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comes 2.0" sheetId="1" r:id="rId5"/>
    <sheet state="visible" name="screening 1.0" sheetId="2" r:id="rId6"/>
    <sheet state="visible" name="screening 2.0" sheetId="3" r:id="rId7"/>
    <sheet state="visible" name="wide-format (do not edit)" sheetId="4" r:id="rId8"/>
    <sheet state="visible" name="information" sheetId="5" r:id="rId9"/>
    <sheet state="visible" name="arms" sheetId="6" r:id="rId10"/>
    <sheet state="visible" name="results" sheetId="7" r:id="rId11"/>
    <sheet state="visible" name="risk_of_bias" sheetId="8" r:id="rId12"/>
    <sheet state="visible" name="Sheet6" sheetId="9" r:id="rId13"/>
    <sheet state="visible" name="Sheet5" sheetId="10" r:id="rId14"/>
    <sheet state="visible" name="Sheet13" sheetId="11" r:id="rId15"/>
    <sheet state="visible" name="Sheet11" sheetId="12" r:id="rId16"/>
    <sheet state="visible" name="Sheet12" sheetId="13" r:id="rId17"/>
  </sheets>
  <definedNames>
    <definedName name="full_text_screening">'screening 1.0'!$E$2:$E$1001</definedName>
    <definedName name="study">'screening 1.0'!$D$2:$D$1001</definedName>
    <definedName name="subgroups">'screening 1.0'!$F$2:$F$1001</definedName>
    <definedName name="outcomes">'screening 1.0'!$G$2:$G$1001</definedName>
    <definedName hidden="1" localSheetId="0" name="_xlnm._FilterDatabase">'outcomes 2.0'!$A$5:$M$988</definedName>
    <definedName hidden="1" localSheetId="1" name="_xlnm._FilterDatabase">'screening 1.0'!$A$1:$T$990</definedName>
    <definedName hidden="1" localSheetId="2" name="_xlnm._FilterDatabase">'screening 2.0'!$A$1:$U$999</definedName>
    <definedName hidden="1" localSheetId="3" name="_xlnm._FilterDatabase">'wide-format (do not edit)'!$A$1:$D$1001</definedName>
    <definedName name="STUDY_ID">LAMBDA(authors, year, doi, HYPERLINK("https://doi.org/"&amp;doi,SUBSTITUTE(IFS(COUNTUNIQUE(SPLIT(authors,","))=1,LEFT(authors,SEARCH(" ",REGEXREPLACE(authors,"[,;.]",""),1)-1)&amp;" ("&amp;year&amp;")",
COUNTUNIQUE(SPLIT(authors,", "))=2,LEFT(authors,SEARCH(" ",REGEXREPLACE(authors,"[,;.]",""),1)-1)&amp;" and "&amp;MID(authors,SEARCH(" ",REGEXREPLACE(authors,"[,;.]",""),1)+4,SEARCH(" ",REGEXREPLACE(authors,"[,;.]",""),1)-2)&amp;" ("&amp;year&amp;")",
COUNTUNIQUE(SPLIT(authors,", "))&gt;2,LEFT(authors,SEARCH(" ",REGEXREPLACE(authors,"[,;.]",""),1)-1)&amp;" et al. ("&amp;year&amp;")"),"  "," ")))</definedName>
    <definedName name="ID">LAMBDA(id, range, IFERROR(ARRAYFORMULA(IF(range&lt;&gt;"",ROW(ID)-1,"")),""))</definedName>
    <definedName name="P_SD">LAMBDA(n, k, (((k+0.5)/(n+0.5))/((1-(k+0.5)/(n+0.5)))*SQRT(n)))</definedName>
    <definedName name="QUOTES">LAMBDA(string, text, string&amp;text&amp;string)</definedName>
    <definedName name="MEDIAN_MEAN">LAMBDA(n, a, m, b, (4/(4+n^0.75))*((a+b)/2)+(n^0.75/(4+n^0.75))*m)</definedName>
    <definedName name="REFERENCE_LINK">LAMBDA(id, doi, HYPERLINK("https://doi.org/"&amp;doi,id))</definedName>
    <definedName name="FUNCTION2">LAMBDA(range1, range2, iferror(ARRAYFORMULA(
  REGEXREPLACE(
    TRANSPOSE(
      SPLIT(
        JOIN("; ",
          FILTER(
            range1 &amp; ", " &amp; SUBSTITUTE(range2, ", ", "; " &amp; range1 &amp; ", "),
            (range1 &lt;&gt; "") * (range2 &lt;&gt; "")
          )
        ),
      "; ", FALSE)
    ),
  "(.*),\s(.*)", "$2")
),""))</definedName>
    <definedName name="FUNCTION4">LAMBDA(range3, range4, range5, BYROW(range5, LAMBDA(sym, TEXTJOIN(", ", TRUE, FILTER(range3, range4 = sym)))))</definedName>
    <definedName name="PLNUSD">LAMBDA(pln, if(pln&lt;&gt;"",GOOGLEFINANCE("PLNUSD")*pln,""))</definedName>
    <definedName name="USDPLN">LAMBDA(usd, if(usd&lt;&gt;"",GOOGLEFINANCE("USDPLN")*usd,""))</definedName>
    <definedName name="MANY_TO_MANY">LAMBDA(range5, range1, range2, IFERROR(BYROW(range5, LAMBDA(sym, TEXTJOIN(", ", TRUE, FILTER(FUNCTION1(range1,range2), FUNCTION2(range1,range2) = sym)))),""))</definedName>
    <definedName name="NORM">LAMBDA(range1, range2, iferror(ARRAYFORMULA(
  REGEXREPLACE(
    TRANSPOSE(
      SPLIT(
        JOIN("; ",
          FILTER(
            range1 &amp; ", " &amp; SUBSTITUTE(range2, ",", "; " &amp; range1 &amp; ", "),
            (range1 &lt;&gt; "") * (range2 &lt;&gt; "")
          )
        ),
      "; ", FALSE)
    ),
  "(.*),\s(.*)", "$1")
),""))</definedName>
    <definedName name="FUNCTION1">LAMBDA(range1, range2, iferror(ARRAYFORMULA(
  REGEXREPLACE(
    TRANSPOSE(
      SPLIT(
        JOIN("; ",
          FILTER(
            range1 &amp; ", " &amp; SUBSTITUTE(range2, ", ", "; " &amp; range1 &amp; ", "),
            (range1 &lt;&gt; "") * (range2 &lt;&gt; "")
          )
        ),
      "; ", FALSE)
    ),
  "(.*),\s(.*)", "$1")
),""))</definedName>
    <definedName name="NUM_AUTHORS">LAMBDA(authors, nondelimiters, delimiter, IFARRAY(counta(split(regexreplace(authors,"["&amp;nondelimiters&amp;"]",""),delimiter&amp;" ",false))))</definedName>
    <definedName name="FUNCTION3">LAMBDA(range4, iferror(unique(range4),""))</definedName>
    <definedName name="IFARRAY">LAMBDA(formula, iferror(arrayformula(formula),""))</definedName>
    <definedName name="RANGE_SD">LAMBDA(n, a, b, (b-a)/(2*NORM.S.INV((n-0.375)/(n+0.25))))</definedName>
    <definedName name="BOOLEAN">LAMBDA(quotes, string, field, operator, IFERROR(ARRAYFORMULA(quotes&amp;string&amp;quotes&amp;"["&amp;field&amp;"]"&amp;" "&amp;operator&amp;" "),""))</definedName>
    <definedName name="DENORM">LAMBDA(junction_table, id_column, BYROW(id_column, LAMBDA(column, TEXTJOIN(", ", TRUE, FILTER(junction_table = column)))))</definedName>
    <definedName name="DELIST">LAMBDA(range1, range2, iferror(ARRAYFORMULA(
  REGEXREPLACE(
    TRANSPOSE(
      SPLIT(
        JOIN("; ",
          FILTER(
            range1 &amp; ", " &amp; SUBSTITUTE(range2, ",", "; " &amp; range1 &amp; ", "),
            (range1 &lt;&gt; "") * (range2 &lt;&gt; "")
          )
        ),
      "; ", FALSE)
    ),
  "(.*),\s(.*)", "$2")
),""))</definedName>
  </definedNames>
  <calcPr/>
</workbook>
</file>

<file path=xl/sharedStrings.xml><?xml version="1.0" encoding="utf-8"?>
<sst xmlns="http://schemas.openxmlformats.org/spreadsheetml/2006/main" count="9054" uniqueCount="675">
  <si>
    <t>study</t>
  </si>
  <si>
    <t>Ageberg (2009)</t>
  </si>
  <si>
    <t>patellar</t>
  </si>
  <si>
    <t>download</t>
  </si>
  <si>
    <t>Tegner</t>
  </si>
  <si>
    <t>screening</t>
  </si>
  <si>
    <t>subgroups</t>
  </si>
  <si>
    <t>view</t>
  </si>
  <si>
    <t>outcomes</t>
  </si>
  <si>
    <t>hamstring</t>
  </si>
  <si>
    <t>quadriceps</t>
  </si>
  <si>
    <t>peroneus</t>
  </si>
  <si>
    <t>Achilles</t>
  </si>
  <si>
    <t>tibialis</t>
  </si>
  <si>
    <t>IKDC</t>
  </si>
  <si>
    <t>Lysholm</t>
  </si>
  <si>
    <t>Instrumental laxity</t>
  </si>
  <si>
    <t>Pivot shift</t>
  </si>
  <si>
    <t>DONE</t>
  </si>
  <si>
    <t>Lachman</t>
  </si>
  <si>
    <t>Graft rupture</t>
  </si>
  <si>
    <t>Set Lachman and pivot shift at 1+</t>
  </si>
  <si>
    <t>ageberg_2009</t>
  </si>
  <si>
    <t>1</t>
  </si>
  <si>
    <t>TODO</t>
  </si>
  <si>
    <t>Aglietti (2004)</t>
  </si>
  <si>
    <t>Lachman, Pivot shift, Instrumental laxity</t>
  </si>
  <si>
    <t>2</t>
  </si>
  <si>
    <t>https://plotdigitizer.com/app</t>
  </si>
  <si>
    <t>Ahldén (2009)</t>
  </si>
  <si>
    <t>Tegner, Lysholm, Lachman, Instrumental laxity</t>
  </si>
  <si>
    <t>Akelman (2016)</t>
  </si>
  <si>
    <t>Included</t>
  </si>
  <si>
    <t>patellar, hamstring</t>
  </si>
  <si>
    <t>Anderson (2001)</t>
  </si>
  <si>
    <t>IKDC, Instrumental laxity, Pivot shift</t>
  </si>
  <si>
    <t>3</t>
  </si>
  <si>
    <t>Anz (2023)</t>
  </si>
  <si>
    <t>% COMPLETED</t>
  </si>
  <si>
    <t>Aune (2001)</t>
  </si>
  <si>
    <t>Barenius (2014)</t>
  </si>
  <si>
    <t>IKDC, Lysholm, Lachman, Pivot shift, Instrumental laxity</t>
  </si>
  <si>
    <t>Barié (2020)</t>
  </si>
  <si>
    <t>IKDC, Lysholm, Tegner, Instrumental laxity, Graft rupture</t>
  </si>
  <si>
    <t>4</t>
  </si>
  <si>
    <t>id</t>
  </si>
  <si>
    <r>
      <rPr>
        <rFont val="Montserrat"/>
        <color rgb="FF1155CC"/>
        <sz val="11.0"/>
        <u/>
      </rPr>
      <t>aglietti_2004</t>
    </r>
  </si>
  <si>
    <t>Beynnon (2002)</t>
  </si>
  <si>
    <t>IKDC, Tegner, Instrumental laxity, Pivot shift, Lachman</t>
  </si>
  <si>
    <t>5</t>
  </si>
  <si>
    <t>subgroup</t>
  </si>
  <si>
    <t>Bi (2018)</t>
  </si>
  <si>
    <t>data_type</t>
  </si>
  <si>
    <t>IKDC, Instrumental laxity, Pivot shift, Graft rupture</t>
  </si>
  <si>
    <t>outcome</t>
  </si>
  <si>
    <t>ni</t>
  </si>
  <si>
    <t>xi</t>
  </si>
  <si>
    <t>Björnsson (2016)</t>
  </si>
  <si>
    <t>Instrumental laxity, IKDC, Tegner, Lysholm</t>
  </si>
  <si>
    <t>sdi</t>
  </si>
  <si>
    <t>a</t>
  </si>
  <si>
    <t>q1</t>
  </si>
  <si>
    <t>m</t>
  </si>
  <si>
    <t>q2</t>
  </si>
  <si>
    <t>Bottoni (2015)</t>
  </si>
  <si>
    <t>IKDC, Tegner</t>
  </si>
  <si>
    <t>b</t>
  </si>
  <si>
    <t>6</t>
  </si>
  <si>
    <t>yi</t>
  </si>
  <si>
    <t>sei</t>
  </si>
  <si>
    <t>Breker (2025)</t>
  </si>
  <si>
    <t>7</t>
  </si>
  <si>
    <t>Butt (2024)</t>
  </si>
  <si>
    <t>Lysholm, IKDC, Lachman, Pivot shift</t>
  </si>
  <si>
    <t>8</t>
  </si>
  <si>
    <t>Calvert (2025)</t>
  </si>
  <si>
    <t>IKDC, Instrumental laxity</t>
  </si>
  <si>
    <t>☑</t>
  </si>
  <si>
    <r>
      <rPr>
        <rFont val="Montserrat"/>
        <color rgb="FF1155CC"/>
        <sz val="11.0"/>
        <u/>
      </rPr>
      <t>ahldén_2009</t>
    </r>
  </si>
  <si>
    <t>Cruz (2022)</t>
  </si>
  <si>
    <r>
      <rPr>
        <rFont val="Montserrat"/>
        <color rgb="FF1155CC"/>
        <sz val="11.0"/>
        <u/>
      </rPr>
      <t>aglietti_2004</t>
    </r>
  </si>
  <si>
    <t>Ejerhed (2003)</t>
  </si>
  <si>
    <t>Tegner, Lysholm, Instrumental laxity, Lachman</t>
  </si>
  <si>
    <t>https://raw.githubusercontent.com/d-wkim/phd/refs/heads/main/data/pdf/ageberg_2009.pdf</t>
  </si>
  <si>
    <t>Eriksson (2006)</t>
  </si>
  <si>
    <t>Instrumental laxity, Pivot shift</t>
  </si>
  <si>
    <t>Feller (Webster (2003)</t>
  </si>
  <si>
    <t>IKDC, Instrumental laxity, Pivot shift, Lachman</t>
  </si>
  <si>
    <t>9</t>
  </si>
  <si>
    <t>https://github.com/d-wkim/phd/blob/main/data/pdf/ageberg_2009.pdf</t>
  </si>
  <si>
    <t>Gerber (2007)</t>
  </si>
  <si>
    <t>Gifstad (2013)</t>
  </si>
  <si>
    <t>continuous</t>
  </si>
  <si>
    <t>Gobbi (Francisco (2006)</t>
  </si>
  <si>
    <t>IKDC, Tegner, Lysholm, Instrumental laxity</t>
  </si>
  <si>
    <r>
      <rPr>
        <rFont val="Montserrat"/>
        <color rgb="FF1155CC"/>
        <sz val="11.0"/>
        <u/>
      </rPr>
      <t>akelman_2016</t>
    </r>
  </si>
  <si>
    <t>tegner</t>
  </si>
  <si>
    <t>Guglielmetti (2021)</t>
  </si>
  <si>
    <t>IKDC, Lysholm, Pivot shift, Lachman</t>
  </si>
  <si>
    <t>Harilainen (2006)</t>
  </si>
  <si>
    <t>IKDC, Tegner, Lysholm, Instrumental laxity, Pivot shift</t>
  </si>
  <si>
    <t>10</t>
  </si>
  <si>
    <t>Excluded</t>
  </si>
  <si>
    <t>Heijne (Werner (2010)</t>
  </si>
  <si>
    <t>Tegner, Instrumental laxity, Pivot shift</t>
  </si>
  <si>
    <t>Holm (2010)</t>
  </si>
  <si>
    <t>Instrumental laxity, Tegner</t>
  </si>
  <si>
    <t>Horstmann (2022)</t>
  </si>
  <si>
    <t>IKDC, Lysholm, Instrumental laxity</t>
  </si>
  <si>
    <r>
      <rPr>
        <rFont val="Montserrat"/>
        <color rgb="FF1155CC"/>
        <sz val="11.0"/>
        <u/>
      </rPr>
      <t>ahldén_2009</t>
    </r>
  </si>
  <si>
    <t>Ibrahim (2005)</t>
  </si>
  <si>
    <t>Lachman, Lysholm, Instrumental laxity, Pivot shift</t>
  </si>
  <si>
    <r>
      <rPr>
        <rFont val="Montserrat"/>
        <color rgb="FF1155CC"/>
        <sz val="11.0"/>
        <u/>
      </rPr>
      <t>anderson_2001</t>
    </r>
  </si>
  <si>
    <t>Iliopoulos (2017)</t>
  </si>
  <si>
    <t>11</t>
  </si>
  <si>
    <t>Jansson (2003)</t>
  </si>
  <si>
    <t>Lachman, Pivot shift, Instrumental laxity, Lysholm, Tegner</t>
  </si>
  <si>
    <t>Kautzner (2015)</t>
  </si>
  <si>
    <t>Lysholm, Instrumental laxity</t>
  </si>
  <si>
    <t>Komzak (2022)</t>
  </si>
  <si>
    <t>IKDC, Lysholm</t>
  </si>
  <si>
    <t>Konrads (2016)</t>
  </si>
  <si>
    <t>Instrumental laxity, Pivot shift, Lachman, IKDC, Tegner, Lysholm</t>
  </si>
  <si>
    <t>12</t>
  </si>
  <si>
    <t>Laoruengthana (2009)</t>
  </si>
  <si>
    <t>Instrumental laxity, Pivot shift, IKDC, Lysholm</t>
  </si>
  <si>
    <r>
      <rPr>
        <rFont val="Montserrat"/>
        <color rgb="FF1155CC"/>
        <sz val="11.0"/>
        <u/>
      </rPr>
      <t>anz_2023</t>
    </r>
  </si>
  <si>
    <t>Lawhorn (2012)</t>
  </si>
  <si>
    <t>Laxdal (2005)</t>
  </si>
  <si>
    <t>Leitgeb (2014)</t>
  </si>
  <si>
    <t>Lachman, Instrumental laxity</t>
  </si>
  <si>
    <t>13</t>
  </si>
  <si>
    <t>Li (2015)</t>
  </si>
  <si>
    <t>Lidén (2007)</t>
  </si>
  <si>
    <t>IKDC, Tegner, Lysholm, Instrumental laxity, Lachman</t>
  </si>
  <si>
    <t>14</t>
  </si>
  <si>
    <t>https://raw.githubusercontent.com/d-wkim/phd/refs/heads/main/data/pdf/aglietti_2004.pdf</t>
  </si>
  <si>
    <r>
      <rPr>
        <rFont val="Montserrat"/>
        <color rgb="FF1155CC"/>
        <sz val="11.0"/>
        <u/>
      </rPr>
      <t>akelman_2016</t>
    </r>
  </si>
  <si>
    <t>Lind (2020)</t>
  </si>
  <si>
    <t>IKDC, Tegner, Instrumental laxity, Pivot shift</t>
  </si>
  <si>
    <t>15</t>
  </si>
  <si>
    <t>Lucidi (2025)</t>
  </si>
  <si>
    <r>
      <rPr>
        <rFont val="Montserrat"/>
        <color rgb="FF1155CC"/>
        <sz val="11.0"/>
        <u/>
      </rPr>
      <t>aune_2001</t>
    </r>
  </si>
  <si>
    <t>IKDC, Tegner, Lysholm, Instrumental laxity, Pivot shift, Graft rupture</t>
  </si>
  <si>
    <t>https://github.com/d-wkim/phd/blob/main/data/pdf/aglietti_2004.pdf</t>
  </si>
  <si>
    <t>Lui (2012)</t>
  </si>
  <si>
    <t>IKDC, Lysholm, Instrumental laxity, Lachman</t>
  </si>
  <si>
    <t>Lund (2014)</t>
  </si>
  <si>
    <t>Instrumental laxity, IKDC</t>
  </si>
  <si>
    <t>dichotomous</t>
  </si>
  <si>
    <t>Maletis (2007)</t>
  </si>
  <si>
    <t>lachman</t>
  </si>
  <si>
    <t>16</t>
  </si>
  <si>
    <t>Malik (2026)</t>
  </si>
  <si>
    <t>Instrumental laxity, Pivot shift, Lachman, IKDC, Lysholm, Tegner</t>
  </si>
  <si>
    <t>Matsumoto (2006)</t>
  </si>
  <si>
    <t>17</t>
  </si>
  <si>
    <t>Mohtadi (2016B)</t>
  </si>
  <si>
    <t>Instrumental laxity, Lachman, Graft rupture</t>
  </si>
  <si>
    <t>18</t>
  </si>
  <si>
    <t>Barenius (2010)</t>
  </si>
  <si>
    <t>Mohtadi (Chan (2019)</t>
  </si>
  <si>
    <t>IKDC, Pivot shift, Lachman, Instrumental laxity, Graft rupture</t>
  </si>
  <si>
    <t>barenius_2010</t>
  </si>
  <si>
    <t>Moraiti (2010)</t>
  </si>
  <si>
    <t>IKDC, Tegner, Lysholm, Instrumental laxity, Lachman, Graft rupture</t>
  </si>
  <si>
    <t>Noh (2011)</t>
  </si>
  <si>
    <t>Lachman, IKDC, Tegner, Lysholm, Instrumental laxity, Pivot shift, Graft rupture</t>
  </si>
  <si>
    <r>
      <rPr>
        <rFont val="Montserrat"/>
        <color rgb="FF1155CC"/>
        <sz val="11.0"/>
        <u/>
      </rPr>
      <t>anderson_2001</t>
    </r>
  </si>
  <si>
    <t>Oneill (1996)</t>
  </si>
  <si>
    <t>19</t>
  </si>
  <si>
    <t>Papalia (2015)</t>
  </si>
  <si>
    <r>
      <rPr>
        <rFont val="Montserrat"/>
        <color rgb="FF1155CC"/>
        <sz val="11.0"/>
        <u/>
      </rPr>
      <t>barenius_2014</t>
    </r>
  </si>
  <si>
    <t>pivot shift</t>
  </si>
  <si>
    <t>Pinczewski (2007)</t>
  </si>
  <si>
    <t>20</t>
  </si>
  <si>
    <t>Popovic (2024)</t>
  </si>
  <si>
    <t>Lysholm, Tegner, Instrumental laxity, Pivot shift, Lachman</t>
  </si>
  <si>
    <t>Sajovic (2018)</t>
  </si>
  <si>
    <t>IKDC, Lysholm, Instrumental laxity, Pivot shift, Lachman</t>
  </si>
  <si>
    <t>Sinding (2020)</t>
  </si>
  <si>
    <t>Smith (2020)</t>
  </si>
  <si>
    <t>IKDC, Instrumental laxity, Graft rupture</t>
  </si>
  <si>
    <t>21</t>
  </si>
  <si>
    <t>22</t>
  </si>
  <si>
    <t>instrumental laxity</t>
  </si>
  <si>
    <t>Sonnery-Cottet (2020)</t>
  </si>
  <si>
    <t>IKDC, Tegner, Lysholm, Instrumental laxity, Pivot shift, Lachman</t>
  </si>
  <si>
    <r>
      <rPr>
        <rFont val="Montserrat"/>
        <color rgb="FF1155CC"/>
        <sz val="11.0"/>
        <u/>
      </rPr>
      <t>barié_2020</t>
    </r>
  </si>
  <si>
    <t>Sonnery-Cottet (2026)</t>
  </si>
  <si>
    <t>Tang (2023)</t>
  </si>
  <si>
    <t>patellar, quadriceps</t>
  </si>
  <si>
    <t>Taylor (2009)</t>
  </si>
  <si>
    <t>23</t>
  </si>
  <si>
    <t>Vilchez-Cavazos (2020)</t>
  </si>
  <si>
    <r>
      <rPr>
        <rFont val="Montserrat"/>
        <color rgb="FF1155CC"/>
        <sz val="11.0"/>
        <u/>
      </rPr>
      <t>anz_2023</t>
    </r>
  </si>
  <si>
    <t>Webster (2001)</t>
  </si>
  <si>
    <t>Wipfler (2011)</t>
  </si>
  <si>
    <t>IKDC, Tegner, Lysholm, Instrumental laxity, Pivot shift, Lachman, Graft rupture</t>
  </si>
  <si>
    <r>
      <rPr>
        <rFont val="Montserrat"/>
        <color rgb="FF1155CC"/>
        <sz val="11.0"/>
        <u/>
      </rPr>
      <t>beynnon_2002</t>
    </r>
  </si>
  <si>
    <t>Yadav (2025)</t>
  </si>
  <si>
    <t>Lysholm, Instrumental laxity, Pivot shift, Lachman</t>
  </si>
  <si>
    <t>24</t>
  </si>
  <si>
    <t>Yoo (2017)</t>
  </si>
  <si>
    <t>Tegner, Lysholm, Instrumental laxity, Pivot shift, Lachman</t>
  </si>
  <si>
    <t>Zaffagnini (2011)</t>
  </si>
  <si>
    <t>25</t>
  </si>
  <si>
    <r>
      <rPr>
        <rFont val="Montserrat"/>
        <color rgb="FF1155CC"/>
        <sz val="11.0"/>
        <u/>
      </rPr>
      <t>bi_2018</t>
    </r>
  </si>
  <si>
    <t>26</t>
  </si>
  <si>
    <t>hamstring, peroneus</t>
  </si>
  <si>
    <r>
      <rPr>
        <rFont val="Montserrat"/>
        <color rgb="FF1155CC"/>
        <sz val="11.0"/>
        <u/>
      </rPr>
      <t>aune_2001</t>
    </r>
  </si>
  <si>
    <t>27</t>
  </si>
  <si>
    <t>28</t>
  </si>
  <si>
    <r>
      <rPr>
        <rFont val="Montserrat"/>
        <color rgb="FF1155CC"/>
        <sz val="11.0"/>
        <u/>
      </rPr>
      <t>björnsson_2016</t>
    </r>
  </si>
  <si>
    <t>29</t>
  </si>
  <si>
    <t>30</t>
  </si>
  <si>
    <t>31</t>
  </si>
  <si>
    <t>https://raw.githubusercontent.com/d-wkim/phd/refs/heads/main/data/pdf/ahldén_2009.pdf</t>
  </si>
  <si>
    <t>https://github.com/d-wkim/phd/blob/main/data/pdf/ahldén_2009.pdf</t>
  </si>
  <si>
    <r>
      <rPr>
        <rFont val="Montserrat"/>
        <color rgb="FF1155CC"/>
        <sz val="11.0"/>
        <u/>
      </rPr>
      <t>bottoni_2015</t>
    </r>
  </si>
  <si>
    <t>ikdc</t>
  </si>
  <si>
    <r>
      <rPr>
        <rFont val="Montserrat"/>
        <color rgb="FF1155CC"/>
        <sz val="11.0"/>
        <u/>
      </rPr>
      <t>barenius_2010</t>
    </r>
  </si>
  <si>
    <t>32</t>
  </si>
  <si>
    <t>hamstring, tibialis</t>
  </si>
  <si>
    <t>33</t>
  </si>
  <si>
    <t>34</t>
  </si>
  <si>
    <t>lysholm</t>
  </si>
  <si>
    <t>Brand (2000)</t>
  </si>
  <si>
    <t>Duplicate report of the same study.</t>
  </si>
  <si>
    <t>brand_2000</t>
  </si>
  <si>
    <t>Did not report any of the specified outcomes.</t>
  </si>
  <si>
    <t>35</t>
  </si>
  <si>
    <r>
      <rPr>
        <rFont val="Montserrat"/>
        <color rgb="FF1155CC"/>
        <sz val="11.0"/>
        <u/>
      </rPr>
      <t>breker_2025</t>
    </r>
  </si>
  <si>
    <t>36</t>
  </si>
  <si>
    <t>37</t>
  </si>
  <si>
    <r>
      <rPr>
        <rFont val="Montserrat"/>
        <color rgb="FF1155CC"/>
        <sz val="11.0"/>
        <u/>
      </rPr>
      <t>barenius_2014</t>
    </r>
  </si>
  <si>
    <t>Buescu (2017)</t>
  </si>
  <si>
    <t>buescu_2017</t>
  </si>
  <si>
    <t>38</t>
  </si>
  <si>
    <t>39</t>
  </si>
  <si>
    <r>
      <rPr>
        <rFont val="Montserrat"/>
        <color rgb="FF1155CC"/>
        <sz val="11.0"/>
        <u/>
      </rPr>
      <t>butt_2024</t>
    </r>
  </si>
  <si>
    <t>40</t>
  </si>
  <si>
    <t>41</t>
  </si>
  <si>
    <r>
      <rPr>
        <rFont val="Montserrat"/>
        <color rgb="FF1155CC"/>
        <sz val="11.0"/>
        <u/>
      </rPr>
      <t>calvert_2025</t>
    </r>
  </si>
  <si>
    <t>42</t>
  </si>
  <si>
    <t>hamstring, quadriceps</t>
  </si>
  <si>
    <r>
      <rPr>
        <rFont val="Montserrat"/>
        <color rgb="FF1155CC"/>
        <sz val="11.0"/>
        <u/>
      </rPr>
      <t>barié_2020</t>
    </r>
  </si>
  <si>
    <t>43</t>
  </si>
  <si>
    <t>Carter &amp; Edinger (1999)</t>
  </si>
  <si>
    <t>carter &amp; edinger_1999</t>
  </si>
  <si>
    <t>44</t>
  </si>
  <si>
    <t>45</t>
  </si>
  <si>
    <t>Covey (2018)</t>
  </si>
  <si>
    <t>covey_2018</t>
  </si>
  <si>
    <t>46</t>
  </si>
  <si>
    <r>
      <rPr>
        <rFont val="Montserrat"/>
        <color rgb="FF1155CC"/>
        <sz val="11.0"/>
        <u/>
      </rPr>
      <t>cruz_2022</t>
    </r>
  </si>
  <si>
    <t>47</t>
  </si>
  <si>
    <r>
      <rPr>
        <rFont val="Montserrat"/>
        <color rgb="FF1155CC"/>
        <sz val="11.0"/>
        <u/>
      </rPr>
      <t>beynnon_2002</t>
    </r>
  </si>
  <si>
    <t>48</t>
  </si>
  <si>
    <t>49</t>
  </si>
  <si>
    <r>
      <rPr>
        <rFont val="Montserrat"/>
        <color rgb="FF1155CC"/>
        <sz val="11.0"/>
        <u/>
      </rPr>
      <t>ejerhed_2003</t>
    </r>
  </si>
  <si>
    <t>50</t>
  </si>
  <si>
    <t>https://raw.githubusercontent.com/d-wkim/phd/refs/heads/main/data/pdf/akelman_2016.pdf</t>
  </si>
  <si>
    <t>https://github.com/d-wkim/phd/blob/main/data/pdf/akelman_2016.pdf</t>
  </si>
  <si>
    <t>51</t>
  </si>
  <si>
    <t>Eriksson (2001)</t>
  </si>
  <si>
    <t>eriksson_2001</t>
  </si>
  <si>
    <r>
      <rPr>
        <rFont val="Montserrat"/>
        <color rgb="FF1155CC"/>
        <sz val="11.0"/>
        <u/>
      </rPr>
      <t>bi_2018</t>
    </r>
  </si>
  <si>
    <t>52</t>
  </si>
  <si>
    <r>
      <rPr>
        <rFont val="Montserrat"/>
        <color rgb="FF1155CC"/>
        <sz val="11.0"/>
        <u/>
      </rPr>
      <t>eriksson_2006</t>
    </r>
  </si>
  <si>
    <t>53</t>
  </si>
  <si>
    <t>54</t>
  </si>
  <si>
    <t>https://raw.githubusercontent.com/d-wkim/phd/refs/heads/main/data/pdf/anderson_2001.pdf</t>
  </si>
  <si>
    <t>55</t>
  </si>
  <si>
    <r>
      <rPr>
        <rFont val="Montserrat"/>
        <color rgb="FF1155CC"/>
        <sz val="11.0"/>
        <u/>
      </rPr>
      <t>feller_webster_2003</t>
    </r>
  </si>
  <si>
    <t>https://github.com/d-wkim/phd/blob/main/data/pdf/anderson_2001.pdf</t>
  </si>
  <si>
    <t>56</t>
  </si>
  <si>
    <r>
      <rPr>
        <rFont val="Montserrat"/>
        <color rgb="FF1155CC"/>
        <sz val="11.0"/>
        <u/>
      </rPr>
      <t>björnsson_2016</t>
    </r>
  </si>
  <si>
    <t>Garcia-Linage (2025)</t>
  </si>
  <si>
    <t>garcia-linage_2025</t>
  </si>
  <si>
    <t>57</t>
  </si>
  <si>
    <t>Non-English.</t>
  </si>
  <si>
    <t>58</t>
  </si>
  <si>
    <t>59</t>
  </si>
  <si>
    <r>
      <rPr>
        <rFont val="Montserrat"/>
        <color rgb="FF1155CC"/>
        <sz val="11.0"/>
        <u/>
      </rPr>
      <t>gerber_2007</t>
    </r>
  </si>
  <si>
    <t>60</t>
  </si>
  <si>
    <t>Ghalayini (2010)</t>
  </si>
  <si>
    <t>ghalayini_2010</t>
  </si>
  <si>
    <t>61</t>
  </si>
  <si>
    <t>Did not compare at least two of the specified subgroups.</t>
  </si>
  <si>
    <r>
      <rPr>
        <rFont val="Montserrat"/>
        <color rgb="FF1155CC"/>
        <sz val="11.0"/>
        <u/>
      </rPr>
      <t>bottoni_2015</t>
    </r>
  </si>
  <si>
    <t>62</t>
  </si>
  <si>
    <t>63</t>
  </si>
  <si>
    <r>
      <rPr>
        <rFont val="Montserrat"/>
        <color rgb="FF1155CC"/>
        <sz val="11.0"/>
        <u/>
      </rPr>
      <t>gifstad_2013</t>
    </r>
  </si>
  <si>
    <t>64</t>
  </si>
  <si>
    <t>65</t>
  </si>
  <si>
    <t>gobbi_francisco_2006</t>
  </si>
  <si>
    <r>
      <rPr>
        <rFont val="Montserrat"/>
        <color rgb="FF1155CC"/>
        <sz val="11.0"/>
        <u/>
      </rPr>
      <t>brand_2000</t>
    </r>
  </si>
  <si>
    <t>66</t>
  </si>
  <si>
    <t>67</t>
  </si>
  <si>
    <r>
      <rPr>
        <rFont val="Montserrat"/>
        <color rgb="FF1155CC"/>
        <sz val="11.0"/>
        <u/>
      </rPr>
      <t>guglielmetti_2021</t>
    </r>
  </si>
  <si>
    <t>68</t>
  </si>
  <si>
    <t/>
  </si>
  <si>
    <r>
      <rPr>
        <rFont val="Montserrat"/>
        <color rgb="FF1155CC"/>
        <sz val="11.0"/>
        <u/>
      </rPr>
      <t>harilainen_2006</t>
    </r>
  </si>
  <si>
    <r>
      <rPr>
        <rFont val="Montserrat"/>
        <color rgb="FF1155CC"/>
        <sz val="11.0"/>
        <u/>
      </rPr>
      <t>breker_2025</t>
    </r>
  </si>
  <si>
    <t>https://raw.githubusercontent.com/d-wkim/phd/refs/heads/main/data/pdf/anz_2023.pdf</t>
  </si>
  <si>
    <r>
      <rPr>
        <rFont val="Montserrat"/>
        <color rgb="FF1155CC"/>
        <sz val="11.0"/>
        <u/>
      </rPr>
      <t>heijne_werner_2010</t>
    </r>
  </si>
  <si>
    <t>https://github.com/d-wkim/phd/blob/main/data/pdf/anz_2023.pdf</t>
  </si>
  <si>
    <t>graft rupture</t>
  </si>
  <si>
    <r>
      <rPr>
        <rFont val="Montserrat"/>
        <color rgb="FF1155CC"/>
        <sz val="11.0"/>
        <u/>
      </rPr>
      <t>holm_2010</t>
    </r>
  </si>
  <si>
    <r>
      <rPr>
        <rFont val="Montserrat"/>
        <color rgb="FF1155CC"/>
        <sz val="11.0"/>
        <u/>
      </rPr>
      <t>buescu_2017</t>
    </r>
  </si>
  <si>
    <r>
      <rPr>
        <rFont val="Montserrat"/>
        <color rgb="FF1155CC"/>
        <sz val="11.0"/>
        <u/>
      </rPr>
      <t>horstmann_2022</t>
    </r>
  </si>
  <si>
    <t>https://raw.githubusercontent.com/d-wkim/phd/refs/heads/main/data/pdf/aune_2001.pdf</t>
  </si>
  <si>
    <t>https://github.com/d-wkim/phd/blob/main/data/pdf/aune_2001.pdf</t>
  </si>
  <si>
    <r>
      <rPr>
        <rFont val="Montserrat"/>
        <color rgb="FF1155CC"/>
        <sz val="11.0"/>
        <u/>
      </rPr>
      <t>butt_2024</t>
    </r>
  </si>
  <si>
    <r>
      <rPr>
        <rFont val="Montserrat"/>
        <color rgb="FF1155CC"/>
        <sz val="11.0"/>
        <u/>
      </rPr>
      <t>ibrahim_2005</t>
    </r>
  </si>
  <si>
    <r>
      <rPr>
        <rFont val="Montserrat"/>
        <color rgb="FF1155CC"/>
        <sz val="11.0"/>
        <u/>
      </rPr>
      <t>iliopoulos_2017</t>
    </r>
  </si>
  <si>
    <r>
      <rPr>
        <rFont val="Montserrat"/>
        <color rgb="FF1155CC"/>
        <sz val="11.0"/>
        <u/>
      </rPr>
      <t>calvert_2025</t>
    </r>
  </si>
  <si>
    <t>https://raw.githubusercontent.com/d-wkim/phd/refs/heads/main/data/pdf/barenius_2010.pdf</t>
  </si>
  <si>
    <t>https://github.com/d-wkim/phd/blob/main/data/pdf/barenius_2010.pdf</t>
  </si>
  <si>
    <t>Irrgang (2021)</t>
  </si>
  <si>
    <t>irrgang_2021</t>
  </si>
  <si>
    <t>Jansson (1999)</t>
  </si>
  <si>
    <t>jansson_1999</t>
  </si>
  <si>
    <r>
      <rPr>
        <rFont val="Montserrat"/>
        <color rgb="FF1155CC"/>
        <sz val="11.0"/>
        <u/>
      </rPr>
      <t>carter_edinger_1999</t>
    </r>
  </si>
  <si>
    <r>
      <rPr>
        <rFont val="Montserrat"/>
        <color rgb="FF1155CC"/>
        <sz val="11.0"/>
        <u/>
      </rPr>
      <t>jansson_2003</t>
    </r>
  </si>
  <si>
    <t>Johns (2026)</t>
  </si>
  <si>
    <r>
      <rPr>
        <rFont val="Montserrat"/>
        <color rgb="FF1155CC"/>
        <sz val="11.0"/>
        <u/>
      </rPr>
      <t>covey_2018</t>
    </r>
  </si>
  <si>
    <t>johns_2026</t>
  </si>
  <si>
    <r>
      <rPr>
        <rFont val="Montserrat"/>
        <color rgb="FF1155CC"/>
        <sz val="11.0"/>
        <u/>
      </rPr>
      <t>kautzner_2015</t>
    </r>
  </si>
  <si>
    <r>
      <rPr>
        <rFont val="Montserrat"/>
        <color rgb="FF1155CC"/>
        <sz val="11.0"/>
        <u/>
      </rPr>
      <t>komzak_2022</t>
    </r>
  </si>
  <si>
    <t>Study</t>
  </si>
  <si>
    <t>Year</t>
  </si>
  <si>
    <t>Data source</t>
  </si>
  <si>
    <t>ID: DOI</t>
  </si>
  <si>
    <t>Char: Methods</t>
  </si>
  <si>
    <t>Char: Participants</t>
  </si>
  <si>
    <t>Char: Interventions</t>
  </si>
  <si>
    <t>Char: Outcomes</t>
  </si>
  <si>
    <t>Char: Notes</t>
  </si>
  <si>
    <t>Cov: Disease severity</t>
  </si>
  <si>
    <t>Cov: Treatment duration</t>
  </si>
  <si>
    <r>
      <rPr>
        <rFont val="Montserrat"/>
        <color rgb="FF1155CC"/>
        <sz val="11.0"/>
        <u/>
      </rPr>
      <t>cruz_2022</t>
    </r>
  </si>
  <si>
    <t>PUB</t>
  </si>
  <si>
    <r>
      <rPr>
        <rFont val="Montserrat"/>
        <color rgb="FF1155CC"/>
        <sz val="11.0"/>
        <u/>
      </rPr>
      <t>konrads_2016</t>
    </r>
  </si>
  <si>
    <r>
      <rPr>
        <rFont val="Montserrat"/>
        <color rgb="FF1155CC"/>
        <sz val="11.0"/>
        <u/>
      </rPr>
      <t>ejerhed_2003</t>
    </r>
  </si>
  <si>
    <r>
      <rPr>
        <rFont val="Montserrat"/>
        <color rgb="FF1155CC"/>
        <sz val="11.0"/>
        <u/>
      </rPr>
      <t>laoruengthana_2009</t>
    </r>
  </si>
  <si>
    <r>
      <rPr>
        <rFont val="Montserrat"/>
        <color rgb="FF1155CC"/>
        <sz val="11.0"/>
        <u/>
      </rPr>
      <t>lawhorn_2012</t>
    </r>
  </si>
  <si>
    <r>
      <rPr>
        <rFont val="Montserrat"/>
        <color rgb="FF1155CC"/>
        <sz val="11.0"/>
        <u/>
      </rPr>
      <t>eriksson_2001</t>
    </r>
  </si>
  <si>
    <t>Laxdal (2004)</t>
  </si>
  <si>
    <t>laxdal_2004</t>
  </si>
  <si>
    <r>
      <rPr>
        <rFont val="Montserrat"/>
        <color rgb="FF1155CC"/>
        <sz val="11.0"/>
        <u/>
      </rPr>
      <t>laxdal_2005</t>
    </r>
  </si>
  <si>
    <r>
      <rPr>
        <rFont val="Montserrat"/>
        <color rgb="FF1155CC"/>
        <sz val="11.0"/>
        <u/>
      </rPr>
      <t>eriksson_2006</t>
    </r>
  </si>
  <si>
    <r>
      <rPr>
        <rFont val="Montserrat"/>
        <color rgb="FF1155CC"/>
        <sz val="11.0"/>
        <u/>
      </rPr>
      <t>leitgeb_2014</t>
    </r>
  </si>
  <si>
    <t>https://raw.githubusercontent.com/d-wkim/phd/refs/heads/main/data/pdf/barié_2020.pdf</t>
  </si>
  <si>
    <t>https://github.com/d-wkim/phd/blob/main/data/pdf/barié_2020.pdf</t>
  </si>
  <si>
    <r>
      <rPr>
        <rFont val="Montserrat"/>
        <color rgb="FF1155CC"/>
        <sz val="11.0"/>
        <u/>
      </rPr>
      <t>li_2015</t>
    </r>
  </si>
  <si>
    <r>
      <rPr>
        <rFont val="Montserrat"/>
        <color rgb="FF1155CC"/>
        <sz val="11.0"/>
        <u/>
      </rPr>
      <t>feller_webster_2003</t>
    </r>
  </si>
  <si>
    <r>
      <rPr>
        <rFont val="Montserrat"/>
        <color rgb="FF1155CC"/>
        <sz val="11.0"/>
        <u/>
      </rPr>
      <t>lidén_2007</t>
    </r>
  </si>
  <si>
    <r>
      <rPr>
        <rFont val="Montserrat"/>
        <color rgb="FF1155CC"/>
        <sz val="11.0"/>
        <u/>
      </rPr>
      <t>lind_2020</t>
    </r>
  </si>
  <si>
    <r>
      <rPr>
        <rFont val="Montserrat"/>
        <color rgb="FF1155CC"/>
        <sz val="11.0"/>
        <u/>
      </rPr>
      <t>garcia-linage_2025</t>
    </r>
  </si>
  <si>
    <r>
      <rPr>
        <rFont val="Montserrat"/>
        <color rgb="FF1155CC"/>
        <sz val="11.0"/>
        <u/>
      </rPr>
      <t>lucidi_2025</t>
    </r>
  </si>
  <si>
    <r>
      <rPr>
        <rFont val="Montserrat"/>
        <color rgb="FF1155CC"/>
        <sz val="11.0"/>
        <u/>
      </rPr>
      <t>lui_2012</t>
    </r>
  </si>
  <si>
    <r>
      <rPr>
        <rFont val="Montserrat"/>
        <color rgb="FF1155CC"/>
        <sz val="11.0"/>
        <u/>
      </rPr>
      <t>gerber_2007</t>
    </r>
  </si>
  <si>
    <r>
      <rPr>
        <rFont val="Montserrat"/>
        <color rgb="FF1155CC"/>
        <sz val="11.0"/>
        <u/>
      </rPr>
      <t>lund_2014</t>
    </r>
  </si>
  <si>
    <r>
      <rPr>
        <rFont val="Montserrat"/>
        <color rgb="FF1155CC"/>
        <sz val="11.0"/>
        <u/>
      </rPr>
      <t>maletis_2007</t>
    </r>
  </si>
  <si>
    <r>
      <rPr>
        <rFont val="Montserrat"/>
        <color rgb="FF1155CC"/>
        <sz val="11.0"/>
        <u/>
      </rPr>
      <t>ghalayini_2010</t>
    </r>
  </si>
  <si>
    <r>
      <rPr>
        <rFont val="Montserrat"/>
        <color rgb="FF1155CC"/>
        <sz val="11.0"/>
        <u/>
      </rPr>
      <t>malik_2026</t>
    </r>
  </si>
  <si>
    <t>https://raw.githubusercontent.com/d-wkim/phd/refs/heads/main/data/pdf/beynnon_2002.pdf</t>
  </si>
  <si>
    <t>https://github.com/d-wkim/phd/blob/main/data/pdf/beynnon_2002.pdf</t>
  </si>
  <si>
    <t>Martin (2024)</t>
  </si>
  <si>
    <t>martin_2024</t>
  </si>
  <si>
    <r>
      <rPr>
        <rFont val="Montserrat"/>
        <color rgb="FF1155CC"/>
        <sz val="11.0"/>
        <u/>
      </rPr>
      <t>gifstad_2013</t>
    </r>
  </si>
  <si>
    <t>Martin-Alguacil (2018)</t>
  </si>
  <si>
    <t>martin-alguacil_2018</t>
  </si>
  <si>
    <t>Martin-Alguacil (2019)</t>
  </si>
  <si>
    <t>martin-alguacil_2019</t>
  </si>
  <si>
    <r>
      <rPr>
        <rFont val="Montserrat"/>
        <color rgb="FF1155CC"/>
        <sz val="11.0"/>
        <u/>
      </rPr>
      <t>matsumoto_2006</t>
    </r>
  </si>
  <si>
    <t>Mccormack (2006)</t>
  </si>
  <si>
    <t>mccormack_2006</t>
  </si>
  <si>
    <t>Mohammadi (2013)</t>
  </si>
  <si>
    <t>mohammadi_2013</t>
  </si>
  <si>
    <r>
      <rPr>
        <rFont val="Montserrat"/>
        <color rgb="FF1155CC"/>
        <sz val="11.0"/>
        <u/>
      </rPr>
      <t>guglielmetti_2021</t>
    </r>
  </si>
  <si>
    <t>Mohtadi (2016a)</t>
  </si>
  <si>
    <t>mohtadi_2016a</t>
  </si>
  <si>
    <r>
      <rPr>
        <rFont val="Montserrat"/>
        <color rgb="FF1155CC"/>
        <sz val="11.0"/>
        <u/>
      </rPr>
      <t>mohtadi_2016b</t>
    </r>
  </si>
  <si>
    <r>
      <rPr>
        <rFont val="Montserrat"/>
        <color rgb="FF1155CC"/>
        <sz val="11.0"/>
        <u/>
      </rPr>
      <t>harilainen_2006</t>
    </r>
  </si>
  <si>
    <r>
      <rPr>
        <rFont val="Montserrat"/>
        <color rgb="FF1155CC"/>
        <sz val="11.0"/>
        <u/>
      </rPr>
      <t>mohtadi_chan_2019</t>
    </r>
  </si>
  <si>
    <r>
      <rPr>
        <rFont val="Montserrat"/>
        <color rgb="FF1155CC"/>
        <sz val="11.0"/>
        <u/>
      </rPr>
      <t>moraiti_2010</t>
    </r>
  </si>
  <si>
    <r>
      <rPr>
        <rFont val="Montserrat"/>
        <color rgb="FF1155CC"/>
        <sz val="11.0"/>
        <u/>
      </rPr>
      <t>heijne_werner_2010</t>
    </r>
  </si>
  <si>
    <t>Mouzopoulos (2015)</t>
  </si>
  <si>
    <t>mouzopoulos_2015</t>
  </si>
  <si>
    <t>https://raw.githubusercontent.com/d-wkim/phd/refs/heads/main/data/pdf/bi_2018.pdf</t>
  </si>
  <si>
    <t>https://github.com/d-wkim/phd/blob/main/data/pdf/bi_2018.pdf</t>
  </si>
  <si>
    <r>
      <rPr>
        <rFont val="Montserrat"/>
        <color rgb="FF1155CC"/>
        <sz val="11.0"/>
        <u/>
      </rPr>
      <t>noh_2011</t>
    </r>
  </si>
  <si>
    <t>hamstring, Achilles</t>
  </si>
  <si>
    <r>
      <rPr>
        <rFont val="Montserrat"/>
        <color rgb="FF1155CC"/>
        <sz val="11.0"/>
        <u/>
      </rPr>
      <t>holm_2010</t>
    </r>
  </si>
  <si>
    <t>Nurmi (2004)</t>
  </si>
  <si>
    <t>nurmi_2004</t>
  </si>
  <si>
    <r>
      <rPr>
        <rFont val="Montserrat"/>
        <color rgb="FF1155CC"/>
        <sz val="11.0"/>
        <u/>
      </rPr>
      <t>oneill_1996</t>
    </r>
  </si>
  <si>
    <r>
      <rPr>
        <rFont val="Montserrat"/>
        <color rgb="FF1155CC"/>
        <sz val="11.0"/>
        <u/>
      </rPr>
      <t>horstmann_2022</t>
    </r>
  </si>
  <si>
    <r>
      <rPr>
        <rFont val="Montserrat"/>
        <color rgb="FF1155CC"/>
        <sz val="11.0"/>
        <u/>
      </rPr>
      <t>papalia_2015</t>
    </r>
  </si>
  <si>
    <t>Pässler (2015)</t>
  </si>
  <si>
    <t>pässler_2015</t>
  </si>
  <si>
    <r>
      <rPr>
        <rFont val="Montserrat"/>
        <color rgb="FF1155CC"/>
        <sz val="11.0"/>
        <u/>
      </rPr>
      <t>ibrahim_2005</t>
    </r>
  </si>
  <si>
    <t>Pigozzi (2004)</t>
  </si>
  <si>
    <t>pigozzi_2004</t>
  </si>
  <si>
    <r>
      <rPr>
        <rFont val="Montserrat"/>
        <color rgb="FF1155CC"/>
        <sz val="11.0"/>
        <u/>
      </rPr>
      <t>pinczewski_2007</t>
    </r>
  </si>
  <si>
    <r>
      <rPr>
        <rFont val="Montserrat"/>
        <color rgb="FF1155CC"/>
        <sz val="11.0"/>
        <u/>
      </rPr>
      <t>iliopoulos_2017</t>
    </r>
  </si>
  <si>
    <r>
      <rPr>
        <rFont val="Montserrat"/>
        <color rgb="FF1155CC"/>
        <sz val="11.0"/>
        <u/>
      </rPr>
      <t>popovic_2024</t>
    </r>
  </si>
  <si>
    <r>
      <rPr>
        <rFont val="Montserrat"/>
        <color rgb="FF1155CC"/>
        <sz val="11.0"/>
        <u/>
      </rPr>
      <t>irrgang_2021</t>
    </r>
  </si>
  <si>
    <t>Röpke (2001)</t>
  </si>
  <si>
    <t>röpke_2001</t>
  </si>
  <si>
    <t>https://raw.githubusercontent.com/d-wkim/phd/refs/heads/main/data/pdf/björnsson_2016.pdf</t>
  </si>
  <si>
    <t>https://github.com/d-wkim/phd/blob/main/data/pdf/björnsson_2016.pdf</t>
  </si>
  <si>
    <t>Sajovic (2006)</t>
  </si>
  <si>
    <t>sajovic_2006</t>
  </si>
  <si>
    <r>
      <rPr>
        <rFont val="Montserrat"/>
        <color rgb="FF1155CC"/>
        <sz val="11.0"/>
        <u/>
      </rPr>
      <t>jansson_1999</t>
    </r>
  </si>
  <si>
    <t>Sajovic (2008)</t>
  </si>
  <si>
    <t>sajovic_2008</t>
  </si>
  <si>
    <t>Sajovic (2011)</t>
  </si>
  <si>
    <t>sajovic_2011</t>
  </si>
  <si>
    <r>
      <rPr>
        <rFont val="Montserrat"/>
        <color rgb="FF1155CC"/>
        <sz val="11.0"/>
        <u/>
      </rPr>
      <t>sajovic_2018</t>
    </r>
  </si>
  <si>
    <r>
      <rPr>
        <rFont val="Montserrat"/>
        <color rgb="FF1155CC"/>
        <sz val="11.0"/>
        <u/>
      </rPr>
      <t>jansson_2003</t>
    </r>
  </si>
  <si>
    <t>Sato (2005)</t>
  </si>
  <si>
    <t>sato_2005</t>
  </si>
  <si>
    <r>
      <rPr>
        <rFont val="Montserrat"/>
        <color rgb="FF1155CC"/>
        <sz val="11.0"/>
        <u/>
      </rPr>
      <t>johns_2026</t>
    </r>
  </si>
  <si>
    <r>
      <rPr>
        <rFont val="Montserrat"/>
        <color rgb="FF1155CC"/>
        <sz val="11.0"/>
        <u/>
      </rPr>
      <t>sinding_2020</t>
    </r>
  </si>
  <si>
    <r>
      <rPr>
        <rFont val="Montserrat"/>
        <color rgb="FF1155CC"/>
        <sz val="11.0"/>
        <u/>
      </rPr>
      <t>smith_2020</t>
    </r>
  </si>
  <si>
    <t>patellar, hamstring, quadriceps</t>
  </si>
  <si>
    <r>
      <rPr>
        <rFont val="Montserrat"/>
        <color rgb="FF1155CC"/>
        <sz val="11.0"/>
        <u/>
      </rPr>
      <t>kautzner_2015</t>
    </r>
  </si>
  <si>
    <r>
      <rPr>
        <rFont val="Montserrat"/>
        <color rgb="FF1155CC"/>
        <sz val="11.0"/>
        <u/>
      </rPr>
      <t>sonnery-cottet_2020</t>
    </r>
  </si>
  <si>
    <r>
      <rPr>
        <rFont val="Montserrat"/>
        <color rgb="FF1155CC"/>
        <sz val="11.0"/>
        <u/>
      </rPr>
      <t>sonnery-cottet_2026</t>
    </r>
  </si>
  <si>
    <r>
      <rPr>
        <rFont val="Montserrat"/>
        <color rgb="FF1155CC"/>
        <sz val="11.0"/>
        <u/>
      </rPr>
      <t>komzak_2022</t>
    </r>
  </si>
  <si>
    <t>Sumanont (2024)</t>
  </si>
  <si>
    <t>sumanont_2024</t>
  </si>
  <si>
    <r>
      <rPr>
        <rFont val="Montserrat"/>
        <color rgb="FF1155CC"/>
        <sz val="11.0"/>
        <u/>
      </rPr>
      <t>tang_2023</t>
    </r>
  </si>
  <si>
    <r>
      <rPr>
        <rFont val="Montserrat"/>
        <color rgb="FF1155CC"/>
        <sz val="11.0"/>
        <u/>
      </rPr>
      <t>konrads_2016</t>
    </r>
  </si>
  <si>
    <r>
      <rPr>
        <rFont val="Montserrat"/>
        <color rgb="FF1155CC"/>
        <sz val="11.0"/>
        <u/>
      </rPr>
      <t>taylor_2009</t>
    </r>
  </si>
  <si>
    <r>
      <rPr>
        <rFont val="Montserrat"/>
        <color rgb="FF1155CC"/>
        <sz val="11.0"/>
        <u/>
      </rPr>
      <t>laoruengthana_2009</t>
    </r>
  </si>
  <si>
    <t>Tibesku (2003)</t>
  </si>
  <si>
    <t>tibesku_2003</t>
  </si>
  <si>
    <t>vilchez-cavazos_2020</t>
  </si>
  <si>
    <t>https://raw.githubusercontent.com/d-wkim/phd/refs/heads/main/data/pdf/bottoni_2015.pdf</t>
  </si>
  <si>
    <r>
      <rPr>
        <rFont val="Montserrat"/>
        <color rgb="FF1155CC"/>
        <sz val="11.0"/>
        <u/>
      </rPr>
      <t>lawhorn_2012</t>
    </r>
  </si>
  <si>
    <t>https://github.com/d-wkim/phd/blob/main/data/pdf/bottoni_2015.pdf</t>
  </si>
  <si>
    <r>
      <rPr>
        <rFont val="Montserrat"/>
        <color rgb="FF1155CC"/>
        <sz val="11.0"/>
        <u/>
      </rPr>
      <t>webster_2001</t>
    </r>
  </si>
  <si>
    <r>
      <rPr>
        <rFont val="Montserrat"/>
        <color rgb="FF1155CC"/>
        <sz val="11.0"/>
        <u/>
      </rPr>
      <t>wipfler_2011</t>
    </r>
  </si>
  <si>
    <r>
      <rPr>
        <rFont val="Montserrat"/>
        <color rgb="FF1155CC"/>
        <sz val="11.0"/>
        <u/>
      </rPr>
      <t>laxdal_2004</t>
    </r>
  </si>
  <si>
    <r>
      <rPr>
        <rFont val="Montserrat"/>
        <color rgb="FF1155CC"/>
        <sz val="11.0"/>
        <u/>
      </rPr>
      <t>yadav_2025</t>
    </r>
  </si>
  <si>
    <r>
      <rPr>
        <rFont val="Montserrat"/>
        <color rgb="FF1155CC"/>
        <sz val="11.0"/>
        <u/>
      </rPr>
      <t>laxdal_2005</t>
    </r>
  </si>
  <si>
    <t>https://raw.githubusercontent.com/d-wkim/phd/refs/heads/main/data/pdf/breker_2025.pdf</t>
  </si>
  <si>
    <r>
      <rPr>
        <rFont val="Montserrat"/>
        <color rgb="FF1155CC"/>
        <sz val="11.0"/>
        <u/>
      </rPr>
      <t>yoo_2017</t>
    </r>
  </si>
  <si>
    <t>https://github.com/d-wkim/phd/blob/main/data/pdf/breker_2025.pdf</t>
  </si>
  <si>
    <t>Zaffagnini (2006)</t>
  </si>
  <si>
    <r>
      <rPr>
        <rFont val="Montserrat"/>
        <color rgb="FF1155CC"/>
        <sz val="11.0"/>
        <u/>
      </rPr>
      <t>leitgeb_2014</t>
    </r>
  </si>
  <si>
    <t>zaffagnini_2006</t>
  </si>
  <si>
    <r>
      <rPr>
        <rFont val="Montserrat"/>
        <color rgb="FF1155CC"/>
        <sz val="11.0"/>
        <u/>
      </rPr>
      <t>zaffagnini_2011</t>
    </r>
  </si>
  <si>
    <t>https://raw.githubusercontent.com/d-wkim/phd/refs/heads/main/data/pdf/butt_2024.pdf</t>
  </si>
  <si>
    <t>https://github.com/d-wkim/phd/blob/main/data/pdf/butt_2024.pdf</t>
  </si>
  <si>
    <r>
      <rPr>
        <rFont val="Montserrat"/>
        <color rgb="FF1155CC"/>
        <sz val="11.0"/>
        <u/>
      </rPr>
      <t>li_2015</t>
    </r>
  </si>
  <si>
    <t>Dai (2025)</t>
  </si>
  <si>
    <t>dai_2025</t>
  </si>
  <si>
    <t>Awaiting assignment</t>
  </si>
  <si>
    <t>Drogset (2009)</t>
  </si>
  <si>
    <t>drogset_2009</t>
  </si>
  <si>
    <r>
      <rPr>
        <rFont val="Montserrat"/>
        <color rgb="FF1155CC"/>
        <sz val="11.0"/>
        <u/>
      </rPr>
      <t>lidén_2007</t>
    </r>
  </si>
  <si>
    <t>Gupta (2017)</t>
  </si>
  <si>
    <t>gupta_2017</t>
  </si>
  <si>
    <t>Beard (2001)</t>
  </si>
  <si>
    <t>beard_2001</t>
  </si>
  <si>
    <r>
      <rPr>
        <rFont val="Montserrat"/>
        <color rgb="FF1155CC"/>
        <sz val="11.0"/>
        <u/>
      </rPr>
      <t>lind_2020</t>
    </r>
  </si>
  <si>
    <t>Kang (2014)</t>
  </si>
  <si>
    <t>kang_2014</t>
  </si>
  <si>
    <t>Shaieb (2002)</t>
  </si>
  <si>
    <t>shaieb_2002</t>
  </si>
  <si>
    <t>Volpi (2010)</t>
  </si>
  <si>
    <t>volpi_2010</t>
  </si>
  <si>
    <r>
      <rPr>
        <rFont val="Montserrat"/>
        <color rgb="FF1155CC"/>
        <sz val="11.0"/>
        <u/>
      </rPr>
      <t>lucidi_2025</t>
    </r>
  </si>
  <si>
    <t>Webster (2015)</t>
  </si>
  <si>
    <t>webster_2015</t>
  </si>
  <si>
    <t>Mcrae (2013)</t>
  </si>
  <si>
    <t>mcrae_2013</t>
  </si>
  <si>
    <r>
      <rPr>
        <rFont val="Montserrat"/>
        <color rgb="FF1155CC"/>
        <sz val="11.0"/>
        <u/>
      </rPr>
      <t>lui_2012</t>
    </r>
  </si>
  <si>
    <t>https://raw.githubusercontent.com/d-wkim/phd/refs/heads/main/data/pdf/calvert_2025.pdf</t>
  </si>
  <si>
    <r>
      <rPr>
        <rFont val="Montserrat"/>
        <color rgb="FF1155CC"/>
        <sz val="11.0"/>
        <u/>
      </rPr>
      <t>lund_2014</t>
    </r>
  </si>
  <si>
    <t>https://github.com/d-wkim/phd/blob/main/data/pdf/calvert_2025.pdf</t>
  </si>
  <si>
    <r>
      <rPr>
        <rFont val="Montserrat"/>
        <color rgb="FF1155CC"/>
        <sz val="11.0"/>
        <u/>
      </rPr>
      <t>maletis_2007</t>
    </r>
  </si>
  <si>
    <r>
      <rPr>
        <rFont val="Montserrat"/>
        <color rgb="FF1155CC"/>
        <sz val="11.0"/>
        <u/>
      </rPr>
      <t>malik_2026</t>
    </r>
  </si>
  <si>
    <t>https://raw.githubusercontent.com/d-wkim/phd/refs/heads/main/data/pdf/cruz_2022.pdf</t>
  </si>
  <si>
    <t>https://github.com/d-wkim/phd/blob/main/data/pdf/cruz_2022.pdf</t>
  </si>
  <si>
    <r>
      <rPr>
        <rFont val="Montserrat"/>
        <color rgb="FF1155CC"/>
        <sz val="11.0"/>
        <u/>
      </rPr>
      <t>martin_2024</t>
    </r>
  </si>
  <si>
    <t>https://raw.githubusercontent.com/d-wkim/phd/refs/heads/main/data/pdf/ejerhed_2003.pdf</t>
  </si>
  <si>
    <t>https://github.com/d-wkim/phd/blob/main/data/pdf/ejerhed_2003.pdf</t>
  </si>
  <si>
    <r>
      <rPr>
        <rFont val="Montserrat"/>
        <color rgb="FF1155CC"/>
        <sz val="11.0"/>
        <u/>
      </rPr>
      <t>matsumoto_2006</t>
    </r>
  </si>
  <si>
    <r>
      <rPr>
        <rFont val="Montserrat"/>
        <color rgb="FF1155CC"/>
        <sz val="11.0"/>
        <u/>
      </rPr>
      <t>mccormack_2006</t>
    </r>
  </si>
  <si>
    <r>
      <rPr>
        <rFont val="Montserrat"/>
        <color rgb="FF1155CC"/>
        <sz val="11.0"/>
        <u/>
      </rPr>
      <t>mohammadi_2013</t>
    </r>
  </si>
  <si>
    <r>
      <rPr>
        <rFont val="Montserrat"/>
        <color rgb="FF1155CC"/>
        <sz val="11.0"/>
        <u/>
      </rPr>
      <t>mohtadi_2016a</t>
    </r>
  </si>
  <si>
    <r>
      <rPr>
        <rFont val="Montserrat"/>
        <color rgb="FF1155CC"/>
        <sz val="11.0"/>
        <u/>
      </rPr>
      <t>mohtadi_2016b</t>
    </r>
  </si>
  <si>
    <t>https://raw.githubusercontent.com/d-wkim/phd/refs/heads/main/data/pdf/eriksson_2006.pdf</t>
  </si>
  <si>
    <r>
      <rPr>
        <rFont val="Montserrat"/>
        <color rgb="FF1155CC"/>
        <sz val="11.0"/>
        <u/>
      </rPr>
      <t>mohtadi_chan_2019</t>
    </r>
  </si>
  <si>
    <t>https://github.com/d-wkim/phd/blob/main/data/pdf/eriksson_2006.pdf</t>
  </si>
  <si>
    <t>https://raw.githubusercontent.com/d-wkim/phd/refs/heads/main/data/pdf/feller_webster_2003.pdf</t>
  </si>
  <si>
    <t>https://github.com/d-wkim/phd/blob/main/data/pdf/feller_webster_2003.pdf</t>
  </si>
  <si>
    <r>
      <rPr>
        <rFont val="Montserrat"/>
        <color rgb="FF1155CC"/>
        <sz val="11.0"/>
        <u/>
      </rPr>
      <t>moraiti_2010</t>
    </r>
  </si>
  <si>
    <r>
      <rPr>
        <rFont val="Montserrat"/>
        <color rgb="FF1155CC"/>
        <sz val="11.0"/>
        <u/>
      </rPr>
      <t>mouzopoulos_2015</t>
    </r>
  </si>
  <si>
    <r>
      <rPr>
        <rFont val="Montserrat"/>
        <color rgb="FF1155CC"/>
        <sz val="11.0"/>
        <u/>
      </rPr>
      <t>noh_2011</t>
    </r>
  </si>
  <si>
    <t>https://raw.githubusercontent.com/d-wkim/phd/refs/heads/main/data/pdf/gerber_2007.pdf</t>
  </si>
  <si>
    <r>
      <rPr>
        <rFont val="Montserrat"/>
        <color rgb="FF1155CC"/>
        <sz val="11.0"/>
        <u/>
      </rPr>
      <t>nurmi_2004</t>
    </r>
  </si>
  <si>
    <t>https://github.com/d-wkim/phd/blob/main/data/pdf/gerber_2007.pdf</t>
  </si>
  <si>
    <t>https://raw.githubusercontent.com/d-wkim/phd/refs/heads/main/data/pdf/gifstad_2013.pdf</t>
  </si>
  <si>
    <r>
      <rPr>
        <rFont val="Montserrat"/>
        <color rgb="FF1155CC"/>
        <sz val="11.0"/>
        <u/>
      </rPr>
      <t>oneill_1996</t>
    </r>
  </si>
  <si>
    <t>https://github.com/d-wkim/phd/blob/main/data/pdf/gifstad_2013.pdf</t>
  </si>
  <si>
    <r>
      <rPr>
        <rFont val="Montserrat"/>
        <color rgb="FF1155CC"/>
        <sz val="11.0"/>
        <u/>
      </rPr>
      <t>papalia_2015</t>
    </r>
  </si>
  <si>
    <r>
      <rPr>
        <rFont val="Montserrat"/>
        <color rgb="FF1155CC"/>
        <sz val="11.0"/>
        <u/>
      </rPr>
      <t>pässler_2015</t>
    </r>
  </si>
  <si>
    <r>
      <rPr>
        <rFont val="Montserrat"/>
        <color rgb="FF1155CC"/>
        <sz val="11.0"/>
        <u/>
      </rPr>
      <t>pigozzi_2004</t>
    </r>
  </si>
  <si>
    <t>https://raw.githubusercontent.com/d-wkim/phd/refs/heads/main/data/pdf/gobbi_francisco_2006.pdf</t>
  </si>
  <si>
    <r>
      <rPr>
        <rFont val="Montserrat"/>
        <color rgb="FF1155CC"/>
        <sz val="11.0"/>
        <u/>
      </rPr>
      <t>pinczewski_2007</t>
    </r>
  </si>
  <si>
    <t>https://github.com/d-wkim/phd/blob/main/data/pdf/gobbi_francisco_2006.pdf</t>
  </si>
  <si>
    <r>
      <rPr>
        <rFont val="Montserrat"/>
        <color rgb="FF1155CC"/>
        <sz val="11.0"/>
        <u/>
      </rPr>
      <t>popovic_2024</t>
    </r>
  </si>
  <si>
    <r>
      <rPr>
        <rFont val="Montserrat"/>
        <color rgb="FF1155CC"/>
        <sz val="11.0"/>
        <u/>
      </rPr>
      <t>röpke_2001</t>
    </r>
  </si>
  <si>
    <r>
      <rPr>
        <rFont val="Montserrat"/>
        <color rgb="FF1155CC"/>
        <sz val="11.0"/>
        <u/>
      </rPr>
      <t>sajovic_2006</t>
    </r>
  </si>
  <si>
    <t>https://raw.githubusercontent.com/d-wkim/phd/refs/heads/main/data/pdf/guglielmetti_2021.pdf</t>
  </si>
  <si>
    <r>
      <rPr>
        <rFont val="Montserrat"/>
        <color rgb="FF1155CC"/>
        <sz val="11.0"/>
        <u/>
      </rPr>
      <t>sajovic_2008</t>
    </r>
  </si>
  <si>
    <t>https://github.com/d-wkim/phd/blob/main/data/pdf/guglielmetti_2021.pdf</t>
  </si>
  <si>
    <r>
      <rPr>
        <rFont val="Montserrat"/>
        <color rgb="FF1155CC"/>
        <sz val="11.0"/>
        <u/>
      </rPr>
      <t>sajovic_2011</t>
    </r>
  </si>
  <si>
    <r>
      <rPr>
        <rFont val="Montserrat"/>
        <color rgb="FF1155CC"/>
        <sz val="11.0"/>
        <u/>
      </rPr>
      <t>sajovic_2018</t>
    </r>
  </si>
  <si>
    <r>
      <rPr>
        <rFont val="Montserrat"/>
        <color rgb="FF1155CC"/>
        <sz val="11.0"/>
        <u/>
      </rPr>
      <t>sato_2005</t>
    </r>
  </si>
  <si>
    <t>https://raw.githubusercontent.com/d-wkim/phd/refs/heads/main/data/pdf/harilainen_2006.pdf</t>
  </si>
  <si>
    <r>
      <rPr>
        <rFont val="Montserrat"/>
        <color rgb="FF1155CC"/>
        <sz val="11.0"/>
        <u/>
      </rPr>
      <t>sinding_2020</t>
    </r>
  </si>
  <si>
    <t>https://github.com/d-wkim/phd/blob/main/data/pdf/harilainen_2006.pdf</t>
  </si>
  <si>
    <r>
      <rPr>
        <rFont val="Montserrat"/>
        <color rgb="FF1155CC"/>
        <sz val="11.0"/>
        <u/>
      </rPr>
      <t>smith_2020</t>
    </r>
  </si>
  <si>
    <r>
      <rPr>
        <rFont val="Montserrat"/>
        <color rgb="FF1155CC"/>
        <sz val="11.0"/>
        <u/>
      </rPr>
      <t>sonnery-cottet_2020</t>
    </r>
  </si>
  <si>
    <r>
      <rPr>
        <rFont val="Montserrat"/>
        <color rgb="FF1155CC"/>
        <sz val="11.0"/>
        <u/>
      </rPr>
      <t>sonnery-cottet_2026</t>
    </r>
  </si>
  <si>
    <r>
      <rPr>
        <rFont val="Montserrat"/>
        <color rgb="FF1155CC"/>
        <sz val="11.0"/>
        <u/>
      </rPr>
      <t>sumanont_2024</t>
    </r>
  </si>
  <si>
    <r>
      <rPr>
        <rFont val="Montserrat"/>
        <color rgb="FF1155CC"/>
        <sz val="11.0"/>
        <u/>
      </rPr>
      <t>tang_2023</t>
    </r>
  </si>
  <si>
    <r>
      <rPr>
        <rFont val="Montserrat"/>
        <color rgb="FF1155CC"/>
        <sz val="11.0"/>
        <u/>
      </rPr>
      <t>taylor_2009</t>
    </r>
  </si>
  <si>
    <t>https://raw.githubusercontent.com/d-wkim/phd/refs/heads/main/data/pdf/heijne_werner_2010.pdf</t>
  </si>
  <si>
    <r>
      <rPr>
        <rFont val="Montserrat"/>
        <color rgb="FF1155CC"/>
        <sz val="11.0"/>
        <u/>
      </rPr>
      <t>tibesku_2003</t>
    </r>
  </si>
  <si>
    <t>https://github.com/d-wkim/phd/blob/main/data/pdf/heijne_werner_2010.pdf</t>
  </si>
  <si>
    <t>vendrig_2026</t>
  </si>
  <si>
    <r>
      <rPr>
        <rFont val="Montserrat"/>
        <color rgb="FF1155CC"/>
        <sz val="11.0"/>
        <u/>
      </rPr>
      <t>wasserman_2017</t>
    </r>
  </si>
  <si>
    <t>https://raw.githubusercontent.com/d-wkim/phd/refs/heads/main/data/pdf/holm_2010.pdf</t>
  </si>
  <si>
    <t>https://github.com/d-wkim/phd/blob/main/data/pdf/holm_2010.pdf</t>
  </si>
  <si>
    <r>
      <rPr>
        <rFont val="Montserrat"/>
        <color rgb="FF1155CC"/>
        <sz val="11.0"/>
        <u/>
      </rPr>
      <t>webster_2001</t>
    </r>
  </si>
  <si>
    <r>
      <rPr>
        <rFont val="Montserrat"/>
        <color rgb="FF1155CC"/>
        <sz val="11.0"/>
        <u/>
      </rPr>
      <t>wipfler_2011</t>
    </r>
  </si>
  <si>
    <t>https://raw.githubusercontent.com/d-wkim/phd/refs/heads/main/data/pdf/horstmann_2022.pdf</t>
  </si>
  <si>
    <t>https://github.com/d-wkim/phd/blob/main/data/pdf/horstmann_2022.pdf</t>
  </si>
  <si>
    <r>
      <rPr>
        <rFont val="Montserrat"/>
        <color rgb="FF1155CC"/>
        <sz val="11.0"/>
        <u/>
      </rPr>
      <t>yadav_2025</t>
    </r>
  </si>
  <si>
    <r>
      <rPr>
        <rFont val="Montserrat"/>
        <color rgb="FF1155CC"/>
        <sz val="11.0"/>
        <u/>
      </rPr>
      <t>yoo_2017</t>
    </r>
  </si>
  <si>
    <r>
      <rPr>
        <rFont val="Montserrat"/>
        <color rgb="FF1155CC"/>
        <sz val="11.0"/>
        <u/>
      </rPr>
      <t>zaffagnini_2006</t>
    </r>
  </si>
  <si>
    <r>
      <rPr>
        <rFont val="Montserrat"/>
        <color rgb="FF1155CC"/>
        <sz val="11.0"/>
        <u/>
      </rPr>
      <t>zaffagnini_2011</t>
    </r>
  </si>
  <si>
    <t>https://raw.githubusercontent.com/d-wkim/phd/refs/heads/main/data/pdf/ibrahim_2005.pdf</t>
  </si>
  <si>
    <t>https://github.com/d-wkim/phd/blob/main/data/pdf/ibrahim_2005.pdf</t>
  </si>
  <si>
    <t>https://raw.githubusercontent.com/d-wkim/phd/refs/heads/main/data/pdf/iliopoulos_2017.pdf</t>
  </si>
  <si>
    <t>https://github.com/d-wkim/phd/blob/main/data/pdf/iliopoulos_2017.pdf</t>
  </si>
  <si>
    <t>Did not report as separate subgroups.</t>
  </si>
  <si>
    <t>https://raw.githubusercontent.com/d-wkim/phd/refs/heads/main/data/pdf/jansson_2003.pdf</t>
  </si>
  <si>
    <t>https://github.com/d-wkim/phd/blob/main/data/pdf/jansson_2003.pdf</t>
  </si>
  <si>
    <t>Outcome</t>
  </si>
  <si>
    <t>Data type</t>
  </si>
  <si>
    <t>Effect measure</t>
  </si>
  <si>
    <t>Arm</t>
  </si>
  <si>
    <t>Reference arm</t>
  </si>
  <si>
    <t>Sample size</t>
  </si>
  <si>
    <t>Mean</t>
  </si>
  <si>
    <t>SE</t>
  </si>
  <si>
    <t>Variance</t>
  </si>
  <si>
    <t>CI level</t>
  </si>
  <si>
    <t>CI start</t>
  </si>
  <si>
    <t>CI end</t>
  </si>
  <si>
    <t>Exp mean</t>
  </si>
  <si>
    <t>Exp CI start</t>
  </si>
  <si>
    <t>Exp CI end</t>
  </si>
  <si>
    <t>t-test</t>
  </si>
  <si>
    <t>z-test</t>
  </si>
  <si>
    <t>P value</t>
  </si>
  <si>
    <t>Footnotes</t>
  </si>
  <si>
    <t>A</t>
  </si>
  <si>
    <t>B</t>
  </si>
  <si>
    <t>C</t>
  </si>
  <si>
    <t>D</t>
  </si>
  <si>
    <t>E</t>
  </si>
  <si>
    <t>achilles</t>
  </si>
  <si>
    <t>F</t>
  </si>
  <si>
    <r>
      <rPr>
        <rFont val="Montserrat"/>
        <b/>
        <i/>
        <color theme="1"/>
      </rPr>
      <t>k,</t>
    </r>
    <r>
      <rPr>
        <rFont val="Montserrat"/>
        <b/>
        <color theme="1"/>
      </rPr>
      <t xml:space="preserve"> studies</t>
    </r>
  </si>
  <si>
    <t>direct</t>
  </si>
  <si>
    <t>https://raw.githubusercontent.com/d-wkim/phd/refs/heads/main/data/pdf/kautzner_2015.pdf</t>
  </si>
  <si>
    <t>https://github.com/d-wkim/phd/blob/main/data/pdf/kautzner_2015.pdf</t>
  </si>
  <si>
    <t>indirect</t>
  </si>
  <si>
    <r>
      <rPr>
        <rFont val="Montserrat"/>
        <color rgb="FF1155CC"/>
        <sz val="11.0"/>
        <u/>
      </rPr>
      <t>calvert_2025</t>
    </r>
  </si>
  <si>
    <t>HT</t>
  </si>
  <si>
    <t>QT</t>
  </si>
  <si>
    <r>
      <rPr>
        <rFont val="Montserrat"/>
        <color rgb="FF1155CC"/>
        <sz val="11.0"/>
        <u/>
      </rPr>
      <t>horstmann_2022</t>
    </r>
  </si>
  <si>
    <r>
      <rPr>
        <rFont val="Montserrat"/>
        <color rgb="FF1155CC"/>
        <sz val="11.0"/>
        <u/>
      </rPr>
      <t>lind_2020</t>
    </r>
  </si>
  <si>
    <r>
      <rPr>
        <rFont val="Montserrat"/>
        <color rgb="FF1155CC"/>
        <sz val="11.0"/>
        <u/>
      </rPr>
      <t>sinding_2020</t>
    </r>
  </si>
  <si>
    <r>
      <rPr>
        <rFont val="Montserrat"/>
        <color rgb="FF1155CC"/>
        <sz val="11.0"/>
        <u/>
      </rPr>
      <t>smith_2020</t>
    </r>
  </si>
  <si>
    <r>
      <rPr>
        <rFont val="Montserrat"/>
        <color rgb="FF1155CC"/>
        <sz val="11.0"/>
        <u/>
      </rPr>
      <t>tang_2023</t>
    </r>
  </si>
  <si>
    <r>
      <rPr>
        <rFont val="Montserrat"/>
        <color rgb="FF1155CC"/>
        <sz val="11.0"/>
        <u/>
      </rPr>
      <t>horstmann_2022</t>
    </r>
  </si>
  <si>
    <r>
      <rPr>
        <rFont val="Montserrat"/>
        <color rgb="FF1155CC"/>
        <sz val="11.0"/>
        <u/>
      </rPr>
      <t>yadav_2025</t>
    </r>
  </si>
  <si>
    <r>
      <rPr>
        <rFont val="Montserrat"/>
        <color rgb="FF1155CC"/>
        <sz val="11.0"/>
        <u/>
      </rPr>
      <t>lind_2020</t>
    </r>
  </si>
  <si>
    <t>https://raw.githubusercontent.com/d-wkim/phd/refs/heads/main/data/pdf/komzak_2022.pdf</t>
  </si>
  <si>
    <t>https://github.com/d-wkim/phd/blob/main/data/pdf/komzak_2022.pdf</t>
  </si>
  <si>
    <t>https://raw.githubusercontent.com/d-wkim/phd/refs/heads/main/data/pdf/konrads_2016.pdf</t>
  </si>
  <si>
    <t>https://github.com/d-wkim/phd/blob/main/data/pdf/konrads_2016.pdf</t>
  </si>
  <si>
    <t>https://raw.githubusercontent.com/d-wkim/phd/refs/heads/main/data/pdf/laoruengthana_2009.pdf</t>
  </si>
  <si>
    <t>https://github.com/d-wkim/phd/blob/main/data/pdf/laoruengthana_2009.pdf</t>
  </si>
  <si>
    <t>https://raw.githubusercontent.com/d-wkim/phd/refs/heads/main/data/pdf/lawhorn_2012.pdf</t>
  </si>
  <si>
    <t>https://github.com/d-wkim/phd/blob/main/data/pdf/lawhorn_2012.pdf</t>
  </si>
  <si>
    <t>https://raw.githubusercontent.com/d-wkim/phd/refs/heads/main/data/pdf/laxdal_2005.pdf</t>
  </si>
  <si>
    <t>https://github.com/d-wkim/phd/blob/main/data/pdf/laxdal_2005.pdf</t>
  </si>
  <si>
    <t>https://raw.githubusercontent.com/d-wkim/phd/refs/heads/main/data/pdf/leitgeb_2014.pdf</t>
  </si>
  <si>
    <t>https://github.com/d-wkim/phd/blob/main/data/pdf/leitgeb_2014.pdf</t>
  </si>
  <si>
    <t>https://raw.githubusercontent.com/d-wkim/phd/refs/heads/main/data/pdf/li_2015.pdf</t>
  </si>
  <si>
    <t>https://github.com/d-wkim/phd/blob/main/data/pdf/li_2015.pdf</t>
  </si>
  <si>
    <t>https://raw.githubusercontent.com/d-wkim/phd/refs/heads/main/data/pdf/lidén_2007.pdf</t>
  </si>
  <si>
    <t>https://github.com/d-wkim/phd/blob/main/data/pdf/lidén_2007.pdf</t>
  </si>
  <si>
    <t>https://raw.githubusercontent.com/d-wkim/phd/refs/heads/main/data/pdf/lind_2020.pdf</t>
  </si>
  <si>
    <t>https://github.com/d-wkim/phd/blob/main/data/pdf/lind_2020.pdf</t>
  </si>
  <si>
    <t>https://raw.githubusercontent.com/d-wkim/phd/refs/heads/main/data/pdf/lucidi_2025.pdf</t>
  </si>
  <si>
    <t>https://github.com/d-wkim/phd/blob/main/data/pdf/lucidi_2025.pdf</t>
  </si>
  <si>
    <t>https://raw.githubusercontent.com/d-wkim/phd/refs/heads/main/data/pdf/lui_2012.pdf</t>
  </si>
  <si>
    <t>https://github.com/d-wkim/phd/blob/main/data/pdf/lui_2012.pdf</t>
  </si>
  <si>
    <t>https://raw.githubusercontent.com/d-wkim/phd/refs/heads/main/data/pdf/lund_2014.pdf</t>
  </si>
  <si>
    <t>https://github.com/d-wkim/phd/blob/main/data/pdf/lund_2014.pdf</t>
  </si>
  <si>
    <t>https://raw.githubusercontent.com/d-wkim/phd/refs/heads/main/data/pdf/maletis_2007.pdf</t>
  </si>
  <si>
    <t>https://github.com/d-wkim/phd/blob/main/data/pdf/maletis_2007.pdf</t>
  </si>
  <si>
    <t>https://raw.githubusercontent.com/d-wkim/phd/refs/heads/main/data/pdf/malik_2026.pdf</t>
  </si>
  <si>
    <t>https://github.com/d-wkim/phd/blob/main/data/pdf/malik_2026.pdf</t>
  </si>
  <si>
    <t>https://raw.githubusercontent.com/d-wkim/phd/refs/heads/main/data/pdf/matsumoto_2006.pdf</t>
  </si>
  <si>
    <t>https://github.com/d-wkim/phd/blob/main/data/pdf/matsumoto_2006.pdf</t>
  </si>
  <si>
    <t>https://raw.githubusercontent.com/d-wkim/phd/refs/heads/main/data/pdf/mohtadi_2016a.pdf</t>
  </si>
  <si>
    <t>https://github.com/d-wkim/phd/blob/main/data/pdf/mohtadi_2016a.pdf</t>
  </si>
  <si>
    <t>https://raw.githubusercontent.com/d-wkim/phd/refs/heads/main/data/pdf/mohtadi_chan_2019.pdf</t>
  </si>
  <si>
    <t>https://github.com/d-wkim/phd/blob/main/data/pdf/mohtadi_chan_2019.pdf</t>
  </si>
  <si>
    <t>☐</t>
  </si>
  <si>
    <t>https://raw.githubusercontent.com/d-wkim/phd/refs/heads/main/data/pdf/moraiti_2010.pdf</t>
  </si>
  <si>
    <t>https://github.com/d-wkim/phd/blob/main/data/pdf/moraiti_2010.pdf</t>
  </si>
  <si>
    <t>https://raw.githubusercontent.com/d-wkim/phd/refs/heads/main/data/pdf/noh_2011.pdf</t>
  </si>
  <si>
    <t>https://github.com/d-wkim/phd/blob/main/data/pdf/noh_2011.pdf</t>
  </si>
  <si>
    <t>https://raw.githubusercontent.com/d-wkim/phd/refs/heads/main/data/pdf/oneill_1996.pdf</t>
  </si>
  <si>
    <t>https://github.com/d-wkim/phd/blob/main/data/pdf/oneill_1996.pdf</t>
  </si>
  <si>
    <t>Did not report any measure of dispersion.</t>
  </si>
  <si>
    <t>https://raw.githubusercontent.com/d-wkim/phd/refs/heads/main/data/pdf/papalia_2015.pdf</t>
  </si>
  <si>
    <t>https://github.com/d-wkim/phd/blob/main/data/pdf/papalia_2015.pdf</t>
  </si>
  <si>
    <t>https://raw.githubusercontent.com/d-wkim/phd/refs/heads/main/data/pdf/pinczewski_2007.pdf</t>
  </si>
  <si>
    <t>https://github.com/d-wkim/phd/blob/main/data/pdf/pinczewski_2007.pdf</t>
  </si>
  <si>
    <t>https://raw.githubusercontent.com/d-wkim/phd/refs/heads/main/data/pdf/popovic_2024.pdf</t>
  </si>
  <si>
    <t>https://github.com/d-wkim/phd/blob/main/data/pdf/popovic_2024.pdf</t>
  </si>
  <si>
    <t>https://raw.githubusercontent.com/d-wkim/phd/refs/heads/main/data/pdf/sajovic_2018.pdf</t>
  </si>
  <si>
    <t>https://github.com/d-wkim/phd/blob/main/data/pdf/sajovic_2018.pdf</t>
  </si>
  <si>
    <t>https://raw.githubusercontent.com/d-wkim/phd/refs/heads/main/data/pdf/sinding_2020.pdf</t>
  </si>
  <si>
    <t>https://github.com/d-wkim/phd/blob/main/data/pdf/sinding_2020.pdf</t>
  </si>
  <si>
    <t>https://raw.githubusercontent.com/d-wkim/phd/refs/heads/main/data/pdf/smith_2020.pdf</t>
  </si>
  <si>
    <t>https://github.com/d-wkim/phd/blob/main/data/pdf/smith_2020.pdf</t>
  </si>
  <si>
    <t>https://raw.githubusercontent.com/d-wkim/phd/refs/heads/main/data/pdf/sonnery-cottet_2020.pdf</t>
  </si>
  <si>
    <t>https://github.com/d-wkim/phd/blob/main/data/pdf/sonnery-cottet_2020.pdf</t>
  </si>
  <si>
    <t>https://raw.githubusercontent.com/d-wkim/phd/refs/heads/main/data/pdf/sonnery-cottet_2026.pdf</t>
  </si>
  <si>
    <t>https://github.com/d-wkim/phd/blob/main/data/pdf/sonnery-cottet_2026.pdf</t>
  </si>
  <si>
    <t>https://raw.githubusercontent.com/d-wkim/phd/refs/heads/main/data/pdf/tang_2023.pdf</t>
  </si>
  <si>
    <t>https://github.com/d-wkim/phd/blob/main/data/pdf/tang_2023.pdf</t>
  </si>
  <si>
    <t>https://raw.githubusercontent.com/d-wkim/phd/refs/heads/main/data/pdf/taylor_2009.pdf</t>
  </si>
  <si>
    <t>https://github.com/d-wkim/phd/blob/main/data/pdf/taylor_2009.pdf</t>
  </si>
  <si>
    <t>https://raw.githubusercontent.com/d-wkim/phd/refs/heads/main/data/pdf/vilchez-cavazos_2020.pdf</t>
  </si>
  <si>
    <t>https://github.com/d-wkim/phd/blob/main/data/pdf/vilchez-cavazos_2020.pdf</t>
  </si>
  <si>
    <t>https://raw.githubusercontent.com/d-wkim/phd/refs/heads/main/data/pdf/webster_2001.pdf</t>
  </si>
  <si>
    <t>https://github.com/d-wkim/phd/blob/main/data/pdf/webster_2001.pdf</t>
  </si>
  <si>
    <t>https://raw.githubusercontent.com/d-wkim/phd/refs/heads/main/data/pdf/wipfler_2011.pdf</t>
  </si>
  <si>
    <t>https://github.com/d-wkim/phd/blob/main/data/pdf/wipfler_2011.pdf</t>
  </si>
  <si>
    <t>https://raw.githubusercontent.com/d-wkim/phd/refs/heads/main/data/pdf/yadav_2025.pdf</t>
  </si>
  <si>
    <t>https://github.com/d-wkim/phd/blob/main/data/pdf/yadav_2025.pdf</t>
  </si>
  <si>
    <t>https://raw.githubusercontent.com/d-wkim/phd/refs/heads/main/data/pdf/yoo_2017.pdf</t>
  </si>
  <si>
    <t>https://github.com/d-wkim/phd/blob/main/data/pdf/yoo_2017.pdf</t>
  </si>
  <si>
    <t>https://raw.githubusercontent.com/d-wkim/phd/refs/heads/main/data/pdf/zaffagnini_2011.pdf</t>
  </si>
  <si>
    <t>https://github.com/d-wkim/phd/blob/main/data/pdf/zaffagnini_2011.pdf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</si>
</sst>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color theme="1"/>
      <name val="Montserrat"/>
    </font>
    <font>
      <b/>
      <sz val="9.0"/>
      <color theme="1"/>
      <name val="Montserrat"/>
    </font>
    <font>
      <color theme="1"/>
      <name val="Arial"/>
      <scheme val="minor"/>
    </font>
    <font>
      <sz val="9.0"/>
      <color theme="1"/>
      <name val="Montserrat"/>
    </font>
    <font>
      <color theme="1"/>
      <name val="Montserrat"/>
    </font>
    <font>
      <u/>
      <color rgb="FF0000FF"/>
      <name val="Montserrat"/>
    </font>
    <font>
      <u/>
      <sz val="11.0"/>
      <color rgb="FF0000FF"/>
      <name val="Montserrat"/>
    </font>
    <font>
      <sz val="11.0"/>
      <color rgb="FF000000"/>
      <name val="Montserrat"/>
    </font>
    <font>
      <u/>
      <sz val="9.0"/>
      <color rgb="FF0000FF"/>
      <name val="Montserrat"/>
    </font>
    <font>
      <u/>
      <sz val="11.0"/>
      <color rgb="FF000000"/>
      <name val="Montserrat"/>
    </font>
    <font>
      <u/>
      <sz val="9.0"/>
      <color rgb="FF0000FF"/>
      <name val="Montserrat"/>
    </font>
    <font>
      <u/>
      <sz val="9.0"/>
      <color rgb="FF0000FF"/>
      <name val="Montserrat"/>
    </font>
    <font>
      <u/>
      <color rgb="FF0000FF"/>
      <name val="Montserrat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theme="1"/>
      <name val="Montserrat"/>
    </font>
    <font>
      <sz val="9.0"/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0" fillId="0" fontId="4" numFmtId="0" xfId="0" applyAlignment="1" applyFont="1">
      <alignment readingOrder="0" vertical="center"/>
    </xf>
    <xf borderId="0" fillId="0" fontId="3" numFmtId="0" xfId="0" applyFont="1"/>
    <xf borderId="1" fillId="0" fontId="5" numFmtId="0" xfId="0" applyAlignment="1" applyBorder="1" applyFont="1">
      <alignment readingOrder="0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horizontal="center" readingOrder="0" vertical="center"/>
    </xf>
    <xf borderId="1" fillId="0" fontId="1" numFmtId="0" xfId="0" applyAlignment="1" applyBorder="1" applyFont="1">
      <alignment readingOrder="0"/>
    </xf>
    <xf borderId="0" fillId="0" fontId="2" numFmtId="2" xfId="0" applyAlignment="1" applyFont="1" applyNumberFormat="1">
      <alignment horizontal="center" readingOrder="0" vertical="center"/>
    </xf>
    <xf borderId="1" fillId="0" fontId="5" numFmtId="0" xfId="0" applyAlignment="1" applyBorder="1" applyFont="1">
      <alignment readingOrder="0" textRotation="90"/>
    </xf>
    <xf borderId="0" fillId="0" fontId="4" numFmtId="0" xfId="0" applyAlignment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6" numFmtId="0" xfId="0" applyAlignment="1" applyBorder="1" applyFont="1">
      <alignment readingOrder="0" vertical="center"/>
    </xf>
    <xf borderId="0" fillId="0" fontId="5" numFmtId="0" xfId="0" applyAlignment="1" applyFont="1">
      <alignment horizontal="center" vertical="center"/>
    </xf>
    <xf borderId="0" fillId="0" fontId="3" numFmtId="0" xfId="0" applyAlignment="1" applyFont="1">
      <alignment readingOrder="0"/>
    </xf>
    <xf borderId="1" fillId="0" fontId="7" numFmtId="0" xfId="0" applyAlignment="1" applyBorder="1" applyFont="1">
      <alignment readingOrder="0" vertical="center"/>
    </xf>
    <xf borderId="0" fillId="0" fontId="8" numFmtId="0" xfId="0" applyAlignment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0" fillId="0" fontId="9" numFmtId="0" xfId="0" applyAlignment="1" applyFont="1">
      <alignment readingOrder="0" vertical="center"/>
    </xf>
    <xf borderId="1" fillId="0" fontId="5" numFmtId="0" xfId="0" applyAlignment="1" applyBorder="1" applyFont="1">
      <alignment horizontal="center"/>
    </xf>
    <xf borderId="0" fillId="0" fontId="4" numFmtId="10" xfId="0" applyAlignment="1" applyFont="1" applyNumberFormat="1">
      <alignment readingOrder="0" vertical="center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horizontal="center" readingOrder="0" vertical="center"/>
    </xf>
    <xf borderId="0" fillId="0" fontId="5" numFmtId="0" xfId="0" applyAlignment="1" applyFont="1">
      <alignment readingOrder="0"/>
    </xf>
    <xf borderId="1" fillId="0" fontId="4" numFmtId="0" xfId="0" applyAlignment="1" applyBorder="1" applyFont="1">
      <alignment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readingOrder="0" vertical="center"/>
    </xf>
    <xf borderId="1" fillId="0" fontId="2" numFmtId="2" xfId="0" applyAlignment="1" applyBorder="1" applyFont="1" applyNumberFormat="1">
      <alignment horizontal="center" readingOrder="0" vertical="center"/>
    </xf>
    <xf borderId="1" fillId="0" fontId="5" numFmtId="0" xfId="0" applyAlignment="1" applyBorder="1" applyFont="1">
      <alignment readingOrder="0"/>
    </xf>
    <xf borderId="0" fillId="0" fontId="5" numFmtId="0" xfId="0" applyAlignment="1" applyFont="1">
      <alignment vertical="center"/>
    </xf>
    <xf borderId="1" fillId="0" fontId="4" numFmtId="0" xfId="0" applyAlignment="1" applyBorder="1" applyFont="1">
      <alignment vertical="center"/>
    </xf>
    <xf borderId="1" fillId="0" fontId="11" numFmtId="0" xfId="0" applyAlignment="1" applyBorder="1" applyFont="1">
      <alignment vertical="center"/>
    </xf>
    <xf borderId="1" fillId="0" fontId="12" numFmtId="0" xfId="0" applyAlignment="1" applyBorder="1" applyFont="1">
      <alignment readingOrder="0" vertical="center"/>
    </xf>
    <xf borderId="1" fillId="0" fontId="5" numFmtId="0" xfId="0" applyAlignment="1" applyBorder="1" applyFont="1">
      <alignment readingOrder="0" vertical="center"/>
    </xf>
    <xf borderId="1" fillId="0" fontId="4" numFmtId="2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1" fillId="0" fontId="4" numFmtId="1" xfId="0" applyAlignment="1" applyBorder="1" applyFont="1" applyNumberFormat="1">
      <alignment horizontal="center" readingOrder="0" vertical="center"/>
    </xf>
    <xf borderId="1" fillId="0" fontId="4" numFmtId="2" xfId="0" applyAlignment="1" applyBorder="1" applyFont="1" applyNumberFormat="1">
      <alignment horizontal="center" vertical="center"/>
    </xf>
    <xf borderId="1" fillId="0" fontId="13" numFmtId="0" xfId="0" applyAlignment="1" applyBorder="1" applyFont="1">
      <alignment readingOrder="0"/>
    </xf>
    <xf borderId="1" fillId="0" fontId="4" numFmtId="1" xfId="0" applyAlignment="1" applyBorder="1" applyFont="1" applyNumberFormat="1">
      <alignment horizontal="center" vertical="center"/>
    </xf>
    <xf borderId="0" fillId="0" fontId="14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wrapText="1"/>
    </xf>
    <xf borderId="0" fillId="0" fontId="15" numFmtId="0" xfId="0" applyAlignment="1" applyFont="1">
      <alignment readingOrder="0" shrinkToFit="0" vertical="bottom" wrapText="1"/>
    </xf>
    <xf borderId="0" fillId="0" fontId="15" numFmtId="0" xfId="0" applyAlignment="1" applyFont="1">
      <alignment shrinkToFit="0" vertical="bottom" wrapText="1"/>
    </xf>
    <xf borderId="0" fillId="0" fontId="3" numFmtId="0" xfId="0" applyAlignment="1" applyFont="1">
      <alignment readingOrder="0" shrinkToFit="0" wrapText="1"/>
    </xf>
    <xf borderId="2" fillId="0" fontId="4" numFmtId="0" xfId="0" applyAlignment="1" applyBorder="1" applyFont="1">
      <alignment vertical="center"/>
    </xf>
    <xf borderId="0" fillId="0" fontId="16" numFmtId="0" xfId="0" applyAlignment="1" applyFont="1">
      <alignment horizontal="center" readingOrder="0" vertical="center"/>
    </xf>
    <xf borderId="1" fillId="0" fontId="5" numFmtId="0" xfId="0" applyBorder="1" applyFont="1"/>
    <xf borderId="3" fillId="0" fontId="4" numFmtId="0" xfId="0" applyAlignment="1" applyBorder="1" applyFont="1">
      <alignment horizontal="center" vertical="center"/>
    </xf>
    <xf borderId="0" fillId="0" fontId="5" numFmtId="0" xfId="0" applyFont="1"/>
    <xf borderId="1" fillId="0" fontId="5" numFmtId="0" xfId="0" applyAlignment="1" applyBorder="1" applyFont="1">
      <alignment vertical="center"/>
    </xf>
    <xf borderId="0" fillId="0" fontId="17" numFmtId="0" xfId="0" applyAlignment="1" applyFont="1">
      <alignment horizontal="center" readingOrder="0" vertical="center"/>
    </xf>
    <xf borderId="0" fillId="0" fontId="1" numFmtId="0" xfId="0" applyAlignment="1" applyFont="1">
      <alignment readingOrder="0" vertical="center"/>
    </xf>
    <xf borderId="0" fillId="0" fontId="5" numFmtId="0" xfId="0" applyAlignment="1" applyFont="1">
      <alignment horizontal="center" readingOrder="0" vertic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 readingOrder="0"/>
    </xf>
    <xf borderId="3" fillId="0" fontId="18" numFmtId="0" xfId="0" applyBorder="1" applyFont="1"/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readingOrder="0"/>
    </xf>
    <xf borderId="1" fillId="0" fontId="3" numFmtId="0" xfId="0" applyBorder="1" applyFont="1"/>
    <xf borderId="1" fillId="0" fontId="1" numFmtId="0" xfId="0" applyAlignment="1" applyBorder="1" applyFont="1">
      <alignment readingOrder="0" textRotation="90"/>
    </xf>
    <xf borderId="1" fillId="0" fontId="5" numFmtId="0" xfId="0" applyAlignment="1" applyBorder="1" applyFont="1">
      <alignment horizontal="center" readingOrder="0"/>
    </xf>
    <xf borderId="0" fillId="0" fontId="17" numFmtId="0" xfId="0" applyAlignment="1" applyFont="1">
      <alignment vertical="center"/>
    </xf>
    <xf borderId="0" fillId="0" fontId="5" numFmtId="0" xfId="0" applyAlignment="1" applyFont="1">
      <alignment horizontal="center"/>
    </xf>
    <xf borderId="0" fillId="0" fontId="5" numFmtId="2" xfId="0" applyAlignment="1" applyFont="1" applyNumberFormat="1">
      <alignment horizontal="center"/>
    </xf>
  </cellXfs>
  <cellStyles count="1">
    <cellStyle xfId="0" name="Normal" builtinId="0"/>
  </cellStyles>
  <dxfs count="6"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raw.githubusercontent.com/d-wkim/phd/refs/heads/main/data/pdf/gifstad_2013.pdf" TargetMode="External"/><Relationship Id="rId194" Type="http://schemas.openxmlformats.org/officeDocument/2006/relationships/hyperlink" Target="https://raw.githubusercontent.com/d-wkim/phd/refs/heads/main/data/pdf/gifstad_2013.pdf" TargetMode="External"/><Relationship Id="rId193" Type="http://schemas.openxmlformats.org/officeDocument/2006/relationships/hyperlink" Target="https://github.com/d-wkim/phd/blob/main/data/pdf/gifstad_2013.pdf" TargetMode="External"/><Relationship Id="rId192" Type="http://schemas.openxmlformats.org/officeDocument/2006/relationships/hyperlink" Target="https://raw.githubusercontent.com/d-wkim/phd/refs/heads/main/data/pdf/gifstad_2013.pdf" TargetMode="External"/><Relationship Id="rId191" Type="http://schemas.openxmlformats.org/officeDocument/2006/relationships/hyperlink" Target="https://github.com/d-wkim/phd/blob/main/data/pdf/gifstad_2013.pdf" TargetMode="External"/><Relationship Id="rId187" Type="http://schemas.openxmlformats.org/officeDocument/2006/relationships/hyperlink" Target="https://github.com/d-wkim/phd/blob/main/data/pdf/gifstad_2013.pdf" TargetMode="External"/><Relationship Id="rId186" Type="http://schemas.openxmlformats.org/officeDocument/2006/relationships/hyperlink" Target="https://raw.githubusercontent.com/d-wkim/phd/refs/heads/main/data/pdf/gifstad_2013.pdf" TargetMode="External"/><Relationship Id="rId185" Type="http://schemas.openxmlformats.org/officeDocument/2006/relationships/hyperlink" Target="https://github.com/d-wkim/phd/blob/main/data/pdf/gifstad_2013.pdf" TargetMode="External"/><Relationship Id="rId184" Type="http://schemas.openxmlformats.org/officeDocument/2006/relationships/hyperlink" Target="https://raw.githubusercontent.com/d-wkim/phd/refs/heads/main/data/pdf/gifstad_2013.pdf" TargetMode="External"/><Relationship Id="rId189" Type="http://schemas.openxmlformats.org/officeDocument/2006/relationships/hyperlink" Target="https://github.com/d-wkim/phd/blob/main/data/pdf/gifstad_2013.pdf" TargetMode="External"/><Relationship Id="rId188" Type="http://schemas.openxmlformats.org/officeDocument/2006/relationships/hyperlink" Target="https://raw.githubusercontent.com/d-wkim/phd/refs/heads/main/data/pdf/gifstad_2013.pdf" TargetMode="External"/><Relationship Id="rId183" Type="http://schemas.openxmlformats.org/officeDocument/2006/relationships/hyperlink" Target="https://github.com/d-wkim/phd/blob/main/data/pdf/gifstad_2013.pdf" TargetMode="External"/><Relationship Id="rId182" Type="http://schemas.openxmlformats.org/officeDocument/2006/relationships/hyperlink" Target="https://raw.githubusercontent.com/d-wkim/phd/refs/heads/main/data/pdf/gifstad_2013.pdf" TargetMode="External"/><Relationship Id="rId181" Type="http://schemas.openxmlformats.org/officeDocument/2006/relationships/hyperlink" Target="https://github.com/d-wkim/phd/blob/main/data/pdf/gerber_2007.pdf" TargetMode="External"/><Relationship Id="rId180" Type="http://schemas.openxmlformats.org/officeDocument/2006/relationships/hyperlink" Target="https://raw.githubusercontent.com/d-wkim/phd/refs/heads/main/data/pdf/gerber_2007.pdf" TargetMode="External"/><Relationship Id="rId176" Type="http://schemas.openxmlformats.org/officeDocument/2006/relationships/hyperlink" Target="https://raw.githubusercontent.com/d-wkim/phd/refs/heads/main/data/pdf/feller_webster_2003.pdf" TargetMode="External"/><Relationship Id="rId175" Type="http://schemas.openxmlformats.org/officeDocument/2006/relationships/hyperlink" Target="https://github.com/d-wkim/phd/blob/main/data/pdf/feller_webster_2003.pdf" TargetMode="External"/><Relationship Id="rId174" Type="http://schemas.openxmlformats.org/officeDocument/2006/relationships/hyperlink" Target="https://raw.githubusercontent.com/d-wkim/phd/refs/heads/main/data/pdf/feller_webster_2003.pdf" TargetMode="External"/><Relationship Id="rId173" Type="http://schemas.openxmlformats.org/officeDocument/2006/relationships/hyperlink" Target="https://github.com/d-wkim/phd/blob/main/data/pdf/feller_webster_2003.pdf" TargetMode="External"/><Relationship Id="rId179" Type="http://schemas.openxmlformats.org/officeDocument/2006/relationships/hyperlink" Target="https://github.com/d-wkim/phd/blob/main/data/pdf/gerber_2007.pdf" TargetMode="External"/><Relationship Id="rId178" Type="http://schemas.openxmlformats.org/officeDocument/2006/relationships/hyperlink" Target="https://raw.githubusercontent.com/d-wkim/phd/refs/heads/main/data/pdf/gerber_2007.pdf" TargetMode="External"/><Relationship Id="rId177" Type="http://schemas.openxmlformats.org/officeDocument/2006/relationships/hyperlink" Target="https://github.com/d-wkim/phd/blob/main/data/pdf/feller_webster_2003.pdf" TargetMode="External"/><Relationship Id="rId198" Type="http://schemas.openxmlformats.org/officeDocument/2006/relationships/hyperlink" Target="https://raw.githubusercontent.com/d-wkim/phd/refs/heads/main/data/pdf/gobbi_francisco_2006.pdf" TargetMode="External"/><Relationship Id="rId197" Type="http://schemas.openxmlformats.org/officeDocument/2006/relationships/hyperlink" Target="https://github.com/d-wkim/phd/blob/main/data/pdf/gifstad_2013.pdf" TargetMode="External"/><Relationship Id="rId196" Type="http://schemas.openxmlformats.org/officeDocument/2006/relationships/hyperlink" Target="https://raw.githubusercontent.com/d-wkim/phd/refs/heads/main/data/pdf/gifstad_2013.pdf" TargetMode="External"/><Relationship Id="rId195" Type="http://schemas.openxmlformats.org/officeDocument/2006/relationships/hyperlink" Target="https://github.com/d-wkim/phd/blob/main/data/pdf/gifstad_2013.pdf" TargetMode="External"/><Relationship Id="rId199" Type="http://schemas.openxmlformats.org/officeDocument/2006/relationships/hyperlink" Target="https://github.com/d-wkim/phd/blob/main/data/pdf/gobbi_francisco_2006.pdf" TargetMode="External"/><Relationship Id="rId150" Type="http://schemas.openxmlformats.org/officeDocument/2006/relationships/hyperlink" Target="https://raw.githubusercontent.com/d-wkim/phd/refs/heads/main/data/pdf/ejerhed_2003.pdf" TargetMode="External"/><Relationship Id="rId392" Type="http://schemas.openxmlformats.org/officeDocument/2006/relationships/hyperlink" Target="https://raw.githubusercontent.com/d-wkim/phd/refs/heads/main/data/pdf/laoruengthana_2009.pdf" TargetMode="External"/><Relationship Id="rId391" Type="http://schemas.openxmlformats.org/officeDocument/2006/relationships/hyperlink" Target="https://github.com/d-wkim/phd/blob/main/data/pdf/laoruengthana_2009.pdf" TargetMode="External"/><Relationship Id="rId390" Type="http://schemas.openxmlformats.org/officeDocument/2006/relationships/hyperlink" Target="https://raw.githubusercontent.com/d-wkim/phd/refs/heads/main/data/pdf/laoruengthana_2009.pdf" TargetMode="External"/><Relationship Id="rId1" Type="http://schemas.openxmlformats.org/officeDocument/2006/relationships/hyperlink" Target="https://plotdigitizer.com/app" TargetMode="External"/><Relationship Id="rId2" Type="http://schemas.openxmlformats.org/officeDocument/2006/relationships/hyperlink" Target="https://raw.githubusercontent.com/d-wkim/phd/refs/heads/main/data/pdf/ageberg_2009.pdf" TargetMode="External"/><Relationship Id="rId3" Type="http://schemas.openxmlformats.org/officeDocument/2006/relationships/hyperlink" Target="https://github.com/d-wkim/phd/blob/main/data/pdf/ageberg_2009.pdf" TargetMode="External"/><Relationship Id="rId149" Type="http://schemas.openxmlformats.org/officeDocument/2006/relationships/hyperlink" Target="https://github.com/d-wkim/phd/blob/main/data/pdf/ejerhed_2003.pdf" TargetMode="External"/><Relationship Id="rId4" Type="http://schemas.openxmlformats.org/officeDocument/2006/relationships/hyperlink" Target="https://raw.githubusercontent.com/d-wkim/phd/refs/heads/main/data/pdf/ageberg_2009.pdf" TargetMode="External"/><Relationship Id="rId148" Type="http://schemas.openxmlformats.org/officeDocument/2006/relationships/hyperlink" Target="https://raw.githubusercontent.com/d-wkim/phd/refs/heads/main/data/pdf/ejerhed_2003.pdf" TargetMode="External"/><Relationship Id="rId9" Type="http://schemas.openxmlformats.org/officeDocument/2006/relationships/hyperlink" Target="https://github.com/d-wkim/phd/blob/main/data/pdf/aglietti_2004.pdf" TargetMode="External"/><Relationship Id="rId143" Type="http://schemas.openxmlformats.org/officeDocument/2006/relationships/hyperlink" Target="https://github.com/d-wkim/phd/blob/main/data/pdf/ejerhed_2003.pdf" TargetMode="External"/><Relationship Id="rId385" Type="http://schemas.openxmlformats.org/officeDocument/2006/relationships/hyperlink" Target="https://github.com/d-wkim/phd/blob/main/data/pdf/konrads_2016.pdf" TargetMode="External"/><Relationship Id="rId142" Type="http://schemas.openxmlformats.org/officeDocument/2006/relationships/hyperlink" Target="https://raw.githubusercontent.com/d-wkim/phd/refs/heads/main/data/pdf/ejerhed_2003.pdf" TargetMode="External"/><Relationship Id="rId384" Type="http://schemas.openxmlformats.org/officeDocument/2006/relationships/hyperlink" Target="https://raw.githubusercontent.com/d-wkim/phd/refs/heads/main/data/pdf/konrads_2016.pdf" TargetMode="External"/><Relationship Id="rId141" Type="http://schemas.openxmlformats.org/officeDocument/2006/relationships/hyperlink" Target="https://github.com/d-wkim/phd/blob/main/data/pdf/ejerhed_2003.pdf" TargetMode="External"/><Relationship Id="rId383" Type="http://schemas.openxmlformats.org/officeDocument/2006/relationships/hyperlink" Target="https://github.com/d-wkim/phd/blob/main/data/pdf/konrads_2016.pdf" TargetMode="External"/><Relationship Id="rId140" Type="http://schemas.openxmlformats.org/officeDocument/2006/relationships/hyperlink" Target="https://raw.githubusercontent.com/d-wkim/phd/refs/heads/main/data/pdf/ejerhed_2003.pdf" TargetMode="External"/><Relationship Id="rId382" Type="http://schemas.openxmlformats.org/officeDocument/2006/relationships/hyperlink" Target="https://raw.githubusercontent.com/d-wkim/phd/refs/heads/main/data/pdf/konrads_2016.pdf" TargetMode="External"/><Relationship Id="rId5" Type="http://schemas.openxmlformats.org/officeDocument/2006/relationships/hyperlink" Target="https://github.com/d-wkim/phd/blob/main/data/pdf/ageberg_2009.pdf" TargetMode="External"/><Relationship Id="rId147" Type="http://schemas.openxmlformats.org/officeDocument/2006/relationships/hyperlink" Target="https://github.com/d-wkim/phd/blob/main/data/pdf/ejerhed_2003.pdf" TargetMode="External"/><Relationship Id="rId389" Type="http://schemas.openxmlformats.org/officeDocument/2006/relationships/hyperlink" Target="https://github.com/d-wkim/phd/blob/main/data/pdf/laoruengthana_2009.pdf" TargetMode="External"/><Relationship Id="rId6" Type="http://schemas.openxmlformats.org/officeDocument/2006/relationships/hyperlink" Target="https://raw.githubusercontent.com/d-wkim/phd/refs/heads/main/data/pdf/aglietti_2004.pdf" TargetMode="External"/><Relationship Id="rId146" Type="http://schemas.openxmlformats.org/officeDocument/2006/relationships/hyperlink" Target="https://raw.githubusercontent.com/d-wkim/phd/refs/heads/main/data/pdf/ejerhed_2003.pdf" TargetMode="External"/><Relationship Id="rId388" Type="http://schemas.openxmlformats.org/officeDocument/2006/relationships/hyperlink" Target="https://raw.githubusercontent.com/d-wkim/phd/refs/heads/main/data/pdf/laoruengthana_2009.pdf" TargetMode="External"/><Relationship Id="rId7" Type="http://schemas.openxmlformats.org/officeDocument/2006/relationships/hyperlink" Target="https://github.com/d-wkim/phd/blob/main/data/pdf/aglietti_2004.pdf" TargetMode="External"/><Relationship Id="rId145" Type="http://schemas.openxmlformats.org/officeDocument/2006/relationships/hyperlink" Target="https://github.com/d-wkim/phd/blob/main/data/pdf/ejerhed_2003.pdf" TargetMode="External"/><Relationship Id="rId387" Type="http://schemas.openxmlformats.org/officeDocument/2006/relationships/hyperlink" Target="https://github.com/d-wkim/phd/blob/main/data/pdf/laoruengthana_2009.pdf" TargetMode="External"/><Relationship Id="rId8" Type="http://schemas.openxmlformats.org/officeDocument/2006/relationships/hyperlink" Target="https://raw.githubusercontent.com/d-wkim/phd/refs/heads/main/data/pdf/aglietti_2004.pdf" TargetMode="External"/><Relationship Id="rId144" Type="http://schemas.openxmlformats.org/officeDocument/2006/relationships/hyperlink" Target="https://raw.githubusercontent.com/d-wkim/phd/refs/heads/main/data/pdf/ejerhed_2003.pdf" TargetMode="External"/><Relationship Id="rId386" Type="http://schemas.openxmlformats.org/officeDocument/2006/relationships/hyperlink" Target="https://raw.githubusercontent.com/d-wkim/phd/refs/heads/main/data/pdf/laoruengthana_2009.pdf" TargetMode="External"/><Relationship Id="rId381" Type="http://schemas.openxmlformats.org/officeDocument/2006/relationships/hyperlink" Target="https://github.com/d-wkim/phd/blob/main/data/pdf/konrads_2016.pdf" TargetMode="External"/><Relationship Id="rId380" Type="http://schemas.openxmlformats.org/officeDocument/2006/relationships/hyperlink" Target="https://raw.githubusercontent.com/d-wkim/phd/refs/heads/main/data/pdf/konrads_2016.pdf" TargetMode="External"/><Relationship Id="rId139" Type="http://schemas.openxmlformats.org/officeDocument/2006/relationships/hyperlink" Target="https://github.com/d-wkim/phd/blob/main/data/pdf/ejerhed_2003.pdf" TargetMode="External"/><Relationship Id="rId138" Type="http://schemas.openxmlformats.org/officeDocument/2006/relationships/hyperlink" Target="https://raw.githubusercontent.com/d-wkim/phd/refs/heads/main/data/pdf/ejerhed_2003.pdf" TargetMode="External"/><Relationship Id="rId137" Type="http://schemas.openxmlformats.org/officeDocument/2006/relationships/hyperlink" Target="https://github.com/d-wkim/phd/blob/main/data/pdf/cruz_2022.pdf" TargetMode="External"/><Relationship Id="rId379" Type="http://schemas.openxmlformats.org/officeDocument/2006/relationships/hyperlink" Target="https://github.com/d-wkim/phd/blob/main/data/pdf/konrads_2016.pdf" TargetMode="External"/><Relationship Id="rId132" Type="http://schemas.openxmlformats.org/officeDocument/2006/relationships/hyperlink" Target="https://raw.githubusercontent.com/d-wkim/phd/refs/heads/main/data/pdf/calvert_2025.pdf" TargetMode="External"/><Relationship Id="rId374" Type="http://schemas.openxmlformats.org/officeDocument/2006/relationships/hyperlink" Target="https://raw.githubusercontent.com/d-wkim/phd/refs/heads/main/data/pdf/konrads_2016.pdf" TargetMode="External"/><Relationship Id="rId131" Type="http://schemas.openxmlformats.org/officeDocument/2006/relationships/hyperlink" Target="https://github.com/d-wkim/phd/blob/main/data/pdf/calvert_2025.pdf" TargetMode="External"/><Relationship Id="rId373" Type="http://schemas.openxmlformats.org/officeDocument/2006/relationships/hyperlink" Target="https://github.com/d-wkim/phd/blob/main/data/pdf/konrads_2016.pdf" TargetMode="External"/><Relationship Id="rId130" Type="http://schemas.openxmlformats.org/officeDocument/2006/relationships/hyperlink" Target="https://raw.githubusercontent.com/d-wkim/phd/refs/heads/main/data/pdf/calvert_2025.pdf" TargetMode="External"/><Relationship Id="rId372" Type="http://schemas.openxmlformats.org/officeDocument/2006/relationships/hyperlink" Target="https://raw.githubusercontent.com/d-wkim/phd/refs/heads/main/data/pdf/konrads_2016.pdf" TargetMode="External"/><Relationship Id="rId371" Type="http://schemas.openxmlformats.org/officeDocument/2006/relationships/hyperlink" Target="https://github.com/d-wkim/phd/blob/main/data/pdf/konrads_2016.pdf" TargetMode="External"/><Relationship Id="rId136" Type="http://schemas.openxmlformats.org/officeDocument/2006/relationships/hyperlink" Target="https://raw.githubusercontent.com/d-wkim/phd/refs/heads/main/data/pdf/cruz_2022.pdf" TargetMode="External"/><Relationship Id="rId378" Type="http://schemas.openxmlformats.org/officeDocument/2006/relationships/hyperlink" Target="https://raw.githubusercontent.com/d-wkim/phd/refs/heads/main/data/pdf/konrads_2016.pdf" TargetMode="External"/><Relationship Id="rId135" Type="http://schemas.openxmlformats.org/officeDocument/2006/relationships/hyperlink" Target="https://github.com/d-wkim/phd/blob/main/data/pdf/cruz_2022.pdf" TargetMode="External"/><Relationship Id="rId377" Type="http://schemas.openxmlformats.org/officeDocument/2006/relationships/hyperlink" Target="https://github.com/d-wkim/phd/blob/main/data/pdf/konrads_2016.pdf" TargetMode="External"/><Relationship Id="rId134" Type="http://schemas.openxmlformats.org/officeDocument/2006/relationships/hyperlink" Target="https://raw.githubusercontent.com/d-wkim/phd/refs/heads/main/data/pdf/cruz_2022.pdf" TargetMode="External"/><Relationship Id="rId376" Type="http://schemas.openxmlformats.org/officeDocument/2006/relationships/hyperlink" Target="https://raw.githubusercontent.com/d-wkim/phd/refs/heads/main/data/pdf/konrads_2016.pdf" TargetMode="External"/><Relationship Id="rId133" Type="http://schemas.openxmlformats.org/officeDocument/2006/relationships/hyperlink" Target="https://github.com/d-wkim/phd/blob/main/data/pdf/calvert_2025.pdf" TargetMode="External"/><Relationship Id="rId375" Type="http://schemas.openxmlformats.org/officeDocument/2006/relationships/hyperlink" Target="https://github.com/d-wkim/phd/blob/main/data/pdf/konrads_2016.pdf" TargetMode="External"/><Relationship Id="rId172" Type="http://schemas.openxmlformats.org/officeDocument/2006/relationships/hyperlink" Target="https://raw.githubusercontent.com/d-wkim/phd/refs/heads/main/data/pdf/feller_webster_2003.pdf" TargetMode="External"/><Relationship Id="rId171" Type="http://schemas.openxmlformats.org/officeDocument/2006/relationships/hyperlink" Target="https://github.com/d-wkim/phd/blob/main/data/pdf/feller_webster_2003.pdf" TargetMode="External"/><Relationship Id="rId170" Type="http://schemas.openxmlformats.org/officeDocument/2006/relationships/hyperlink" Target="https://raw.githubusercontent.com/d-wkim/phd/refs/heads/main/data/pdf/feller_webster_2003.pdf" TargetMode="External"/><Relationship Id="rId165" Type="http://schemas.openxmlformats.org/officeDocument/2006/relationships/hyperlink" Target="https://github.com/d-wkim/phd/blob/main/data/pdf/feller_webster_2003.pdf" TargetMode="External"/><Relationship Id="rId164" Type="http://schemas.openxmlformats.org/officeDocument/2006/relationships/hyperlink" Target="https://raw.githubusercontent.com/d-wkim/phd/refs/heads/main/data/pdf/feller_webster_2003.pdf" TargetMode="External"/><Relationship Id="rId163" Type="http://schemas.openxmlformats.org/officeDocument/2006/relationships/hyperlink" Target="https://github.com/d-wkim/phd/blob/main/data/pdf/feller_webster_2003.pdf" TargetMode="External"/><Relationship Id="rId162" Type="http://schemas.openxmlformats.org/officeDocument/2006/relationships/hyperlink" Target="https://raw.githubusercontent.com/d-wkim/phd/refs/heads/main/data/pdf/feller_webster_2003.pdf" TargetMode="External"/><Relationship Id="rId169" Type="http://schemas.openxmlformats.org/officeDocument/2006/relationships/hyperlink" Target="https://github.com/d-wkim/phd/blob/main/data/pdf/feller_webster_2003.pdf" TargetMode="External"/><Relationship Id="rId168" Type="http://schemas.openxmlformats.org/officeDocument/2006/relationships/hyperlink" Target="https://raw.githubusercontent.com/d-wkim/phd/refs/heads/main/data/pdf/feller_webster_2003.pdf" TargetMode="External"/><Relationship Id="rId167" Type="http://schemas.openxmlformats.org/officeDocument/2006/relationships/hyperlink" Target="https://github.com/d-wkim/phd/blob/main/data/pdf/feller_webster_2003.pdf" TargetMode="External"/><Relationship Id="rId166" Type="http://schemas.openxmlformats.org/officeDocument/2006/relationships/hyperlink" Target="https://raw.githubusercontent.com/d-wkim/phd/refs/heads/main/data/pdf/feller_webster_2003.pdf" TargetMode="External"/><Relationship Id="rId161" Type="http://schemas.openxmlformats.org/officeDocument/2006/relationships/hyperlink" Target="https://github.com/d-wkim/phd/blob/main/data/pdf/eriksson_2006.pdf" TargetMode="External"/><Relationship Id="rId160" Type="http://schemas.openxmlformats.org/officeDocument/2006/relationships/hyperlink" Target="https://raw.githubusercontent.com/d-wkim/phd/refs/heads/main/data/pdf/eriksson_2006.pdf" TargetMode="External"/><Relationship Id="rId159" Type="http://schemas.openxmlformats.org/officeDocument/2006/relationships/hyperlink" Target="https://github.com/d-wkim/phd/blob/main/data/pdf/eriksson_2006.pdf" TargetMode="External"/><Relationship Id="rId154" Type="http://schemas.openxmlformats.org/officeDocument/2006/relationships/hyperlink" Target="https://raw.githubusercontent.com/d-wkim/phd/refs/heads/main/data/pdf/eriksson_2006.pdf" TargetMode="External"/><Relationship Id="rId396" Type="http://schemas.openxmlformats.org/officeDocument/2006/relationships/hyperlink" Target="https://raw.githubusercontent.com/d-wkim/phd/refs/heads/main/data/pdf/laoruengthana_2009.pdf" TargetMode="External"/><Relationship Id="rId153" Type="http://schemas.openxmlformats.org/officeDocument/2006/relationships/hyperlink" Target="https://github.com/d-wkim/phd/blob/main/data/pdf/ejerhed_2003.pdf" TargetMode="External"/><Relationship Id="rId395" Type="http://schemas.openxmlformats.org/officeDocument/2006/relationships/hyperlink" Target="https://github.com/d-wkim/phd/blob/main/data/pdf/laoruengthana_2009.pdf" TargetMode="External"/><Relationship Id="rId152" Type="http://schemas.openxmlformats.org/officeDocument/2006/relationships/hyperlink" Target="https://raw.githubusercontent.com/d-wkim/phd/refs/heads/main/data/pdf/ejerhed_2003.pdf" TargetMode="External"/><Relationship Id="rId394" Type="http://schemas.openxmlformats.org/officeDocument/2006/relationships/hyperlink" Target="https://raw.githubusercontent.com/d-wkim/phd/refs/heads/main/data/pdf/laoruengthana_2009.pdf" TargetMode="External"/><Relationship Id="rId151" Type="http://schemas.openxmlformats.org/officeDocument/2006/relationships/hyperlink" Target="https://github.com/d-wkim/phd/blob/main/data/pdf/ejerhed_2003.pdf" TargetMode="External"/><Relationship Id="rId393" Type="http://schemas.openxmlformats.org/officeDocument/2006/relationships/hyperlink" Target="https://github.com/d-wkim/phd/blob/main/data/pdf/laoruengthana_2009.pdf" TargetMode="External"/><Relationship Id="rId158" Type="http://schemas.openxmlformats.org/officeDocument/2006/relationships/hyperlink" Target="https://raw.githubusercontent.com/d-wkim/phd/refs/heads/main/data/pdf/eriksson_2006.pdf" TargetMode="External"/><Relationship Id="rId157" Type="http://schemas.openxmlformats.org/officeDocument/2006/relationships/hyperlink" Target="https://github.com/d-wkim/phd/blob/main/data/pdf/eriksson_2006.pdf" TargetMode="External"/><Relationship Id="rId399" Type="http://schemas.openxmlformats.org/officeDocument/2006/relationships/hyperlink" Target="https://github.com/d-wkim/phd/blob/main/data/pdf/laoruengthana_2009.pdf" TargetMode="External"/><Relationship Id="rId156" Type="http://schemas.openxmlformats.org/officeDocument/2006/relationships/hyperlink" Target="https://raw.githubusercontent.com/d-wkim/phd/refs/heads/main/data/pdf/eriksson_2006.pdf" TargetMode="External"/><Relationship Id="rId398" Type="http://schemas.openxmlformats.org/officeDocument/2006/relationships/hyperlink" Target="https://raw.githubusercontent.com/d-wkim/phd/refs/heads/main/data/pdf/laoruengthana_2009.pdf" TargetMode="External"/><Relationship Id="rId155" Type="http://schemas.openxmlformats.org/officeDocument/2006/relationships/hyperlink" Target="https://github.com/d-wkim/phd/blob/main/data/pdf/eriksson_2006.pdf" TargetMode="External"/><Relationship Id="rId397" Type="http://schemas.openxmlformats.org/officeDocument/2006/relationships/hyperlink" Target="https://github.com/d-wkim/phd/blob/main/data/pdf/laoruengthana_2009.pdf" TargetMode="External"/><Relationship Id="rId808" Type="http://schemas.openxmlformats.org/officeDocument/2006/relationships/hyperlink" Target="https://raw.githubusercontent.com/d-wkim/phd/refs/heads/main/data/pdf/sonnery-cottet_2026.pdf" TargetMode="External"/><Relationship Id="rId807" Type="http://schemas.openxmlformats.org/officeDocument/2006/relationships/hyperlink" Target="https://github.com/d-wkim/phd/blob/main/data/pdf/sonnery-cottet_2026.pdf" TargetMode="External"/><Relationship Id="rId806" Type="http://schemas.openxmlformats.org/officeDocument/2006/relationships/hyperlink" Target="https://raw.githubusercontent.com/d-wkim/phd/refs/heads/main/data/pdf/sonnery-cottet_2026.pdf" TargetMode="External"/><Relationship Id="rId805" Type="http://schemas.openxmlformats.org/officeDocument/2006/relationships/hyperlink" Target="https://github.com/d-wkim/phd/blob/main/data/pdf/sonnery-cottet_2026.pdf" TargetMode="External"/><Relationship Id="rId809" Type="http://schemas.openxmlformats.org/officeDocument/2006/relationships/hyperlink" Target="https://github.com/d-wkim/phd/blob/main/data/pdf/sonnery-cottet_2026.pdf" TargetMode="External"/><Relationship Id="rId800" Type="http://schemas.openxmlformats.org/officeDocument/2006/relationships/hyperlink" Target="https://raw.githubusercontent.com/d-wkim/phd/refs/heads/main/data/pdf/sonnery-cottet_2026.pdf" TargetMode="External"/><Relationship Id="rId804" Type="http://schemas.openxmlformats.org/officeDocument/2006/relationships/hyperlink" Target="https://raw.githubusercontent.com/d-wkim/phd/refs/heads/main/data/pdf/sonnery-cottet_2026.pdf" TargetMode="External"/><Relationship Id="rId803" Type="http://schemas.openxmlformats.org/officeDocument/2006/relationships/hyperlink" Target="https://github.com/d-wkim/phd/blob/main/data/pdf/sonnery-cottet_2026.pdf" TargetMode="External"/><Relationship Id="rId802" Type="http://schemas.openxmlformats.org/officeDocument/2006/relationships/hyperlink" Target="https://raw.githubusercontent.com/d-wkim/phd/refs/heads/main/data/pdf/sonnery-cottet_2026.pdf" TargetMode="External"/><Relationship Id="rId801" Type="http://schemas.openxmlformats.org/officeDocument/2006/relationships/hyperlink" Target="https://github.com/d-wkim/phd/blob/main/data/pdf/sonnery-cottet_2026.pdf" TargetMode="External"/><Relationship Id="rId40" Type="http://schemas.openxmlformats.org/officeDocument/2006/relationships/hyperlink" Target="https://raw.githubusercontent.com/d-wkim/phd/refs/heads/main/data/pdf/aune_2001.pdf" TargetMode="External"/><Relationship Id="rId42" Type="http://schemas.openxmlformats.org/officeDocument/2006/relationships/hyperlink" Target="https://raw.githubusercontent.com/d-wkim/phd/refs/heads/main/data/pdf/barenius_2010.pdf" TargetMode="External"/><Relationship Id="rId41" Type="http://schemas.openxmlformats.org/officeDocument/2006/relationships/hyperlink" Target="https://github.com/d-wkim/phd/blob/main/data/pdf/aune_2001.pdf" TargetMode="External"/><Relationship Id="rId44" Type="http://schemas.openxmlformats.org/officeDocument/2006/relationships/hyperlink" Target="https://raw.githubusercontent.com/d-wkim/phd/refs/heads/main/data/pdf/barenius_2010.pdf" TargetMode="External"/><Relationship Id="rId43" Type="http://schemas.openxmlformats.org/officeDocument/2006/relationships/hyperlink" Target="https://github.com/d-wkim/phd/blob/main/data/pdf/barenius_2010.pdf" TargetMode="External"/><Relationship Id="rId46" Type="http://schemas.openxmlformats.org/officeDocument/2006/relationships/hyperlink" Target="https://raw.githubusercontent.com/d-wkim/phd/refs/heads/main/data/pdf/barenius_2010.pdf" TargetMode="External"/><Relationship Id="rId45" Type="http://schemas.openxmlformats.org/officeDocument/2006/relationships/hyperlink" Target="https://github.com/d-wkim/phd/blob/main/data/pdf/barenius_2010.pdf" TargetMode="External"/><Relationship Id="rId509" Type="http://schemas.openxmlformats.org/officeDocument/2006/relationships/hyperlink" Target="https://github.com/d-wkim/phd/blob/main/data/pdf/lucidi_2025.pdf" TargetMode="External"/><Relationship Id="rId508" Type="http://schemas.openxmlformats.org/officeDocument/2006/relationships/hyperlink" Target="https://raw.githubusercontent.com/d-wkim/phd/refs/heads/main/data/pdf/lucidi_2025.pdf" TargetMode="External"/><Relationship Id="rId503" Type="http://schemas.openxmlformats.org/officeDocument/2006/relationships/hyperlink" Target="https://github.com/d-wkim/phd/blob/main/data/pdf/lucidi_2025.pdf" TargetMode="External"/><Relationship Id="rId745" Type="http://schemas.openxmlformats.org/officeDocument/2006/relationships/hyperlink" Target="https://github.com/d-wkim/phd/blob/main/data/pdf/sajovic_2018.pdf" TargetMode="External"/><Relationship Id="rId502" Type="http://schemas.openxmlformats.org/officeDocument/2006/relationships/hyperlink" Target="https://raw.githubusercontent.com/d-wkim/phd/refs/heads/main/data/pdf/lucidi_2025.pdf" TargetMode="External"/><Relationship Id="rId744" Type="http://schemas.openxmlformats.org/officeDocument/2006/relationships/hyperlink" Target="https://raw.githubusercontent.com/d-wkim/phd/refs/heads/main/data/pdf/sajovic_2018.pdf" TargetMode="External"/><Relationship Id="rId501" Type="http://schemas.openxmlformats.org/officeDocument/2006/relationships/hyperlink" Target="https://github.com/d-wkim/phd/blob/main/data/pdf/lucidi_2025.pdf" TargetMode="External"/><Relationship Id="rId743" Type="http://schemas.openxmlformats.org/officeDocument/2006/relationships/hyperlink" Target="https://github.com/d-wkim/phd/blob/main/data/pdf/sajovic_2018.pdf" TargetMode="External"/><Relationship Id="rId500" Type="http://schemas.openxmlformats.org/officeDocument/2006/relationships/hyperlink" Target="https://raw.githubusercontent.com/d-wkim/phd/refs/heads/main/data/pdf/lucidi_2025.pdf" TargetMode="External"/><Relationship Id="rId742" Type="http://schemas.openxmlformats.org/officeDocument/2006/relationships/hyperlink" Target="https://raw.githubusercontent.com/d-wkim/phd/refs/heads/main/data/pdf/sajovic_2018.pdf" TargetMode="External"/><Relationship Id="rId507" Type="http://schemas.openxmlformats.org/officeDocument/2006/relationships/hyperlink" Target="https://github.com/d-wkim/phd/blob/main/data/pdf/lucidi_2025.pdf" TargetMode="External"/><Relationship Id="rId749" Type="http://schemas.openxmlformats.org/officeDocument/2006/relationships/hyperlink" Target="https://github.com/d-wkim/phd/blob/main/data/pdf/sajovic_2018.pdf" TargetMode="External"/><Relationship Id="rId506" Type="http://schemas.openxmlformats.org/officeDocument/2006/relationships/hyperlink" Target="https://raw.githubusercontent.com/d-wkim/phd/refs/heads/main/data/pdf/lucidi_2025.pdf" TargetMode="External"/><Relationship Id="rId748" Type="http://schemas.openxmlformats.org/officeDocument/2006/relationships/hyperlink" Target="https://raw.githubusercontent.com/d-wkim/phd/refs/heads/main/data/pdf/sajovic_2018.pdf" TargetMode="External"/><Relationship Id="rId505" Type="http://schemas.openxmlformats.org/officeDocument/2006/relationships/hyperlink" Target="https://github.com/d-wkim/phd/blob/main/data/pdf/lucidi_2025.pdf" TargetMode="External"/><Relationship Id="rId747" Type="http://schemas.openxmlformats.org/officeDocument/2006/relationships/hyperlink" Target="https://github.com/d-wkim/phd/blob/main/data/pdf/sajovic_2018.pdf" TargetMode="External"/><Relationship Id="rId504" Type="http://schemas.openxmlformats.org/officeDocument/2006/relationships/hyperlink" Target="https://raw.githubusercontent.com/d-wkim/phd/refs/heads/main/data/pdf/lucidi_2025.pdf" TargetMode="External"/><Relationship Id="rId746" Type="http://schemas.openxmlformats.org/officeDocument/2006/relationships/hyperlink" Target="https://raw.githubusercontent.com/d-wkim/phd/refs/heads/main/data/pdf/sajovic_2018.pdf" TargetMode="External"/><Relationship Id="rId48" Type="http://schemas.openxmlformats.org/officeDocument/2006/relationships/hyperlink" Target="https://raw.githubusercontent.com/d-wkim/phd/refs/heads/main/data/pdf/barenius_2010.pdf" TargetMode="External"/><Relationship Id="rId47" Type="http://schemas.openxmlformats.org/officeDocument/2006/relationships/hyperlink" Target="https://github.com/d-wkim/phd/blob/main/data/pdf/barenius_2010.pdf" TargetMode="External"/><Relationship Id="rId49" Type="http://schemas.openxmlformats.org/officeDocument/2006/relationships/hyperlink" Target="https://github.com/d-wkim/phd/blob/main/data/pdf/barenius_2010.pdf" TargetMode="External"/><Relationship Id="rId741" Type="http://schemas.openxmlformats.org/officeDocument/2006/relationships/hyperlink" Target="https://github.com/d-wkim/phd/blob/main/data/pdf/sajovic_2018.pdf" TargetMode="External"/><Relationship Id="rId740" Type="http://schemas.openxmlformats.org/officeDocument/2006/relationships/hyperlink" Target="https://raw.githubusercontent.com/d-wkim/phd/refs/heads/main/data/pdf/sajovic_2018.pdf" TargetMode="External"/><Relationship Id="rId31" Type="http://schemas.openxmlformats.org/officeDocument/2006/relationships/hyperlink" Target="https://github.com/d-wkim/phd/blob/main/data/pdf/anderson_2001.pdf" TargetMode="External"/><Relationship Id="rId30" Type="http://schemas.openxmlformats.org/officeDocument/2006/relationships/hyperlink" Target="https://raw.githubusercontent.com/d-wkim/phd/refs/heads/main/data/pdf/anderson_2001.pdf" TargetMode="External"/><Relationship Id="rId33" Type="http://schemas.openxmlformats.org/officeDocument/2006/relationships/hyperlink" Target="https://github.com/d-wkim/phd/blob/main/data/pdf/anderson_2001.pdf" TargetMode="External"/><Relationship Id="rId32" Type="http://schemas.openxmlformats.org/officeDocument/2006/relationships/hyperlink" Target="https://raw.githubusercontent.com/d-wkim/phd/refs/heads/main/data/pdf/anderson_2001.pdf" TargetMode="External"/><Relationship Id="rId35" Type="http://schemas.openxmlformats.org/officeDocument/2006/relationships/hyperlink" Target="https://github.com/d-wkim/phd/blob/main/data/pdf/anz_2023.pdf" TargetMode="External"/><Relationship Id="rId34" Type="http://schemas.openxmlformats.org/officeDocument/2006/relationships/hyperlink" Target="https://raw.githubusercontent.com/d-wkim/phd/refs/heads/main/data/pdf/anz_2023.pdf" TargetMode="External"/><Relationship Id="rId739" Type="http://schemas.openxmlformats.org/officeDocument/2006/relationships/hyperlink" Target="https://github.com/d-wkim/phd/blob/main/data/pdf/popovic_2024.pdf" TargetMode="External"/><Relationship Id="rId734" Type="http://schemas.openxmlformats.org/officeDocument/2006/relationships/hyperlink" Target="https://raw.githubusercontent.com/d-wkim/phd/refs/heads/main/data/pdf/popovic_2024.pdf" TargetMode="External"/><Relationship Id="rId733" Type="http://schemas.openxmlformats.org/officeDocument/2006/relationships/hyperlink" Target="https://github.com/d-wkim/phd/blob/main/data/pdf/popovic_2024.pdf" TargetMode="External"/><Relationship Id="rId732" Type="http://schemas.openxmlformats.org/officeDocument/2006/relationships/hyperlink" Target="https://raw.githubusercontent.com/d-wkim/phd/refs/heads/main/data/pdf/popovic_2024.pdf" TargetMode="External"/><Relationship Id="rId731" Type="http://schemas.openxmlformats.org/officeDocument/2006/relationships/hyperlink" Target="https://github.com/d-wkim/phd/blob/main/data/pdf/popovic_2024.pdf" TargetMode="External"/><Relationship Id="rId738" Type="http://schemas.openxmlformats.org/officeDocument/2006/relationships/hyperlink" Target="https://raw.githubusercontent.com/d-wkim/phd/refs/heads/main/data/pdf/popovic_2024.pdf" TargetMode="External"/><Relationship Id="rId737" Type="http://schemas.openxmlformats.org/officeDocument/2006/relationships/hyperlink" Target="https://github.com/d-wkim/phd/blob/main/data/pdf/popovic_2024.pdf" TargetMode="External"/><Relationship Id="rId736" Type="http://schemas.openxmlformats.org/officeDocument/2006/relationships/hyperlink" Target="https://raw.githubusercontent.com/d-wkim/phd/refs/heads/main/data/pdf/popovic_2024.pdf" TargetMode="External"/><Relationship Id="rId735" Type="http://schemas.openxmlformats.org/officeDocument/2006/relationships/hyperlink" Target="https://github.com/d-wkim/phd/blob/main/data/pdf/popovic_2024.pdf" TargetMode="External"/><Relationship Id="rId37" Type="http://schemas.openxmlformats.org/officeDocument/2006/relationships/hyperlink" Target="https://github.com/d-wkim/phd/blob/main/data/pdf/anz_2023.pdf" TargetMode="External"/><Relationship Id="rId36" Type="http://schemas.openxmlformats.org/officeDocument/2006/relationships/hyperlink" Target="https://raw.githubusercontent.com/d-wkim/phd/refs/heads/main/data/pdf/anz_2023.pdf" TargetMode="External"/><Relationship Id="rId39" Type="http://schemas.openxmlformats.org/officeDocument/2006/relationships/hyperlink" Target="https://github.com/d-wkim/phd/blob/main/data/pdf/aune_2001.pdf" TargetMode="External"/><Relationship Id="rId38" Type="http://schemas.openxmlformats.org/officeDocument/2006/relationships/hyperlink" Target="https://raw.githubusercontent.com/d-wkim/phd/refs/heads/main/data/pdf/aune_2001.pdf" TargetMode="External"/><Relationship Id="rId730" Type="http://schemas.openxmlformats.org/officeDocument/2006/relationships/hyperlink" Target="https://raw.githubusercontent.com/d-wkim/phd/refs/heads/main/data/pdf/popovic_2024.pdf" TargetMode="External"/><Relationship Id="rId20" Type="http://schemas.openxmlformats.org/officeDocument/2006/relationships/hyperlink" Target="https://raw.githubusercontent.com/d-wkim/phd/refs/heads/main/data/pdf/akelman_2016.pdf" TargetMode="External"/><Relationship Id="rId22" Type="http://schemas.openxmlformats.org/officeDocument/2006/relationships/hyperlink" Target="https://raw.githubusercontent.com/d-wkim/phd/refs/heads/main/data/pdf/anderson_2001.pdf" TargetMode="External"/><Relationship Id="rId21" Type="http://schemas.openxmlformats.org/officeDocument/2006/relationships/hyperlink" Target="https://github.com/d-wkim/phd/blob/main/data/pdf/akelman_2016.pdf" TargetMode="External"/><Relationship Id="rId24" Type="http://schemas.openxmlformats.org/officeDocument/2006/relationships/hyperlink" Target="https://raw.githubusercontent.com/d-wkim/phd/refs/heads/main/data/pdf/anderson_2001.pdf" TargetMode="External"/><Relationship Id="rId23" Type="http://schemas.openxmlformats.org/officeDocument/2006/relationships/hyperlink" Target="https://github.com/d-wkim/phd/blob/main/data/pdf/anderson_2001.pdf" TargetMode="External"/><Relationship Id="rId525" Type="http://schemas.openxmlformats.org/officeDocument/2006/relationships/hyperlink" Target="https://github.com/d-wkim/phd/blob/main/data/pdf/lui_2012.pdf" TargetMode="External"/><Relationship Id="rId767" Type="http://schemas.openxmlformats.org/officeDocument/2006/relationships/hyperlink" Target="https://github.com/d-wkim/phd/blob/main/data/pdf/smith_2020.pdf" TargetMode="External"/><Relationship Id="rId524" Type="http://schemas.openxmlformats.org/officeDocument/2006/relationships/hyperlink" Target="https://raw.githubusercontent.com/d-wkim/phd/refs/heads/main/data/pdf/lui_2012.pdf" TargetMode="External"/><Relationship Id="rId766" Type="http://schemas.openxmlformats.org/officeDocument/2006/relationships/hyperlink" Target="https://raw.githubusercontent.com/d-wkim/phd/refs/heads/main/data/pdf/smith_2020.pdf" TargetMode="External"/><Relationship Id="rId523" Type="http://schemas.openxmlformats.org/officeDocument/2006/relationships/hyperlink" Target="https://github.com/d-wkim/phd/blob/main/data/pdf/lui_2012.pdf" TargetMode="External"/><Relationship Id="rId765" Type="http://schemas.openxmlformats.org/officeDocument/2006/relationships/hyperlink" Target="https://github.com/d-wkim/phd/blob/main/data/pdf/smith_2020.pdf" TargetMode="External"/><Relationship Id="rId522" Type="http://schemas.openxmlformats.org/officeDocument/2006/relationships/hyperlink" Target="https://raw.githubusercontent.com/d-wkim/phd/refs/heads/main/data/pdf/lui_2012.pdf" TargetMode="External"/><Relationship Id="rId764" Type="http://schemas.openxmlformats.org/officeDocument/2006/relationships/hyperlink" Target="https://raw.githubusercontent.com/d-wkim/phd/refs/heads/main/data/pdf/smith_2020.pdf" TargetMode="External"/><Relationship Id="rId529" Type="http://schemas.openxmlformats.org/officeDocument/2006/relationships/hyperlink" Target="https://github.com/d-wkim/phd/blob/main/data/pdf/lui_2012.pdf" TargetMode="External"/><Relationship Id="rId528" Type="http://schemas.openxmlformats.org/officeDocument/2006/relationships/hyperlink" Target="https://raw.githubusercontent.com/d-wkim/phd/refs/heads/main/data/pdf/lui_2012.pdf" TargetMode="External"/><Relationship Id="rId527" Type="http://schemas.openxmlformats.org/officeDocument/2006/relationships/hyperlink" Target="https://github.com/d-wkim/phd/blob/main/data/pdf/lui_2012.pdf" TargetMode="External"/><Relationship Id="rId769" Type="http://schemas.openxmlformats.org/officeDocument/2006/relationships/hyperlink" Target="https://github.com/d-wkim/phd/blob/main/data/pdf/smith_2020.pdf" TargetMode="External"/><Relationship Id="rId526" Type="http://schemas.openxmlformats.org/officeDocument/2006/relationships/hyperlink" Target="https://raw.githubusercontent.com/d-wkim/phd/refs/heads/main/data/pdf/lui_2012.pdf" TargetMode="External"/><Relationship Id="rId768" Type="http://schemas.openxmlformats.org/officeDocument/2006/relationships/hyperlink" Target="https://raw.githubusercontent.com/d-wkim/phd/refs/heads/main/data/pdf/smith_2020.pdf" TargetMode="External"/><Relationship Id="rId26" Type="http://schemas.openxmlformats.org/officeDocument/2006/relationships/hyperlink" Target="https://raw.githubusercontent.com/d-wkim/phd/refs/heads/main/data/pdf/anderson_2001.pdf" TargetMode="External"/><Relationship Id="rId25" Type="http://schemas.openxmlformats.org/officeDocument/2006/relationships/hyperlink" Target="https://github.com/d-wkim/phd/blob/main/data/pdf/anderson_2001.pdf" TargetMode="External"/><Relationship Id="rId28" Type="http://schemas.openxmlformats.org/officeDocument/2006/relationships/hyperlink" Target="https://raw.githubusercontent.com/d-wkim/phd/refs/heads/main/data/pdf/anderson_2001.pdf" TargetMode="External"/><Relationship Id="rId27" Type="http://schemas.openxmlformats.org/officeDocument/2006/relationships/hyperlink" Target="https://github.com/d-wkim/phd/blob/main/data/pdf/anderson_2001.pdf" TargetMode="External"/><Relationship Id="rId521" Type="http://schemas.openxmlformats.org/officeDocument/2006/relationships/hyperlink" Target="https://github.com/d-wkim/phd/blob/main/data/pdf/lui_2012.pdf" TargetMode="External"/><Relationship Id="rId763" Type="http://schemas.openxmlformats.org/officeDocument/2006/relationships/hyperlink" Target="https://github.com/d-wkim/phd/blob/main/data/pdf/smith_2020.pdf" TargetMode="External"/><Relationship Id="rId29" Type="http://schemas.openxmlformats.org/officeDocument/2006/relationships/hyperlink" Target="https://github.com/d-wkim/phd/blob/main/data/pdf/anderson_2001.pdf" TargetMode="External"/><Relationship Id="rId520" Type="http://schemas.openxmlformats.org/officeDocument/2006/relationships/hyperlink" Target="https://raw.githubusercontent.com/d-wkim/phd/refs/heads/main/data/pdf/lui_2012.pdf" TargetMode="External"/><Relationship Id="rId762" Type="http://schemas.openxmlformats.org/officeDocument/2006/relationships/hyperlink" Target="https://raw.githubusercontent.com/d-wkim/phd/refs/heads/main/data/pdf/smith_2020.pdf" TargetMode="External"/><Relationship Id="rId761" Type="http://schemas.openxmlformats.org/officeDocument/2006/relationships/hyperlink" Target="https://github.com/d-wkim/phd/blob/main/data/pdf/smith_2020.pdf" TargetMode="External"/><Relationship Id="rId760" Type="http://schemas.openxmlformats.org/officeDocument/2006/relationships/hyperlink" Target="https://raw.githubusercontent.com/d-wkim/phd/refs/heads/main/data/pdf/smith_2020.pdf" TargetMode="External"/><Relationship Id="rId11" Type="http://schemas.openxmlformats.org/officeDocument/2006/relationships/hyperlink" Target="https://github.com/d-wkim/phd/blob/main/data/pdf/aglietti_2004.pdf" TargetMode="External"/><Relationship Id="rId10" Type="http://schemas.openxmlformats.org/officeDocument/2006/relationships/hyperlink" Target="https://raw.githubusercontent.com/d-wkim/phd/refs/heads/main/data/pdf/aglietti_2004.pdf" TargetMode="External"/><Relationship Id="rId13" Type="http://schemas.openxmlformats.org/officeDocument/2006/relationships/hyperlink" Target="https://github.com/d-wkim/phd/blob/main/data/pdf/aglietti_2004.pdf" TargetMode="External"/><Relationship Id="rId12" Type="http://schemas.openxmlformats.org/officeDocument/2006/relationships/hyperlink" Target="https://raw.githubusercontent.com/d-wkim/phd/refs/heads/main/data/pdf/aglietti_2004.pdf" TargetMode="External"/><Relationship Id="rId519" Type="http://schemas.openxmlformats.org/officeDocument/2006/relationships/hyperlink" Target="https://github.com/d-wkim/phd/blob/main/data/pdf/lui_2012.pdf" TargetMode="External"/><Relationship Id="rId514" Type="http://schemas.openxmlformats.org/officeDocument/2006/relationships/hyperlink" Target="https://raw.githubusercontent.com/d-wkim/phd/refs/heads/main/data/pdf/lucidi_2025.pdf" TargetMode="External"/><Relationship Id="rId756" Type="http://schemas.openxmlformats.org/officeDocument/2006/relationships/hyperlink" Target="https://raw.githubusercontent.com/d-wkim/phd/refs/heads/main/data/pdf/smith_2020.pdf" TargetMode="External"/><Relationship Id="rId513" Type="http://schemas.openxmlformats.org/officeDocument/2006/relationships/hyperlink" Target="https://github.com/d-wkim/phd/blob/main/data/pdf/lucidi_2025.pdf" TargetMode="External"/><Relationship Id="rId755" Type="http://schemas.openxmlformats.org/officeDocument/2006/relationships/hyperlink" Target="https://github.com/d-wkim/phd/blob/main/data/pdf/sinding_2020.pdf" TargetMode="External"/><Relationship Id="rId512" Type="http://schemas.openxmlformats.org/officeDocument/2006/relationships/hyperlink" Target="https://raw.githubusercontent.com/d-wkim/phd/refs/heads/main/data/pdf/lucidi_2025.pdf" TargetMode="External"/><Relationship Id="rId754" Type="http://schemas.openxmlformats.org/officeDocument/2006/relationships/hyperlink" Target="https://raw.githubusercontent.com/d-wkim/phd/refs/heads/main/data/pdf/sinding_2020.pdf" TargetMode="External"/><Relationship Id="rId511" Type="http://schemas.openxmlformats.org/officeDocument/2006/relationships/hyperlink" Target="https://github.com/d-wkim/phd/blob/main/data/pdf/lucidi_2025.pdf" TargetMode="External"/><Relationship Id="rId753" Type="http://schemas.openxmlformats.org/officeDocument/2006/relationships/hyperlink" Target="https://github.com/d-wkim/phd/blob/main/data/pdf/sinding_2020.pdf" TargetMode="External"/><Relationship Id="rId518" Type="http://schemas.openxmlformats.org/officeDocument/2006/relationships/hyperlink" Target="https://raw.githubusercontent.com/d-wkim/phd/refs/heads/main/data/pdf/lui_2012.pdf" TargetMode="External"/><Relationship Id="rId517" Type="http://schemas.openxmlformats.org/officeDocument/2006/relationships/hyperlink" Target="https://github.com/d-wkim/phd/blob/main/data/pdf/lui_2012.pdf" TargetMode="External"/><Relationship Id="rId759" Type="http://schemas.openxmlformats.org/officeDocument/2006/relationships/hyperlink" Target="https://github.com/d-wkim/phd/blob/main/data/pdf/smith_2020.pdf" TargetMode="External"/><Relationship Id="rId516" Type="http://schemas.openxmlformats.org/officeDocument/2006/relationships/hyperlink" Target="https://raw.githubusercontent.com/d-wkim/phd/refs/heads/main/data/pdf/lui_2012.pdf" TargetMode="External"/><Relationship Id="rId758" Type="http://schemas.openxmlformats.org/officeDocument/2006/relationships/hyperlink" Target="https://raw.githubusercontent.com/d-wkim/phd/refs/heads/main/data/pdf/smith_2020.pdf" TargetMode="External"/><Relationship Id="rId515" Type="http://schemas.openxmlformats.org/officeDocument/2006/relationships/hyperlink" Target="https://github.com/d-wkim/phd/blob/main/data/pdf/lucidi_2025.pdf" TargetMode="External"/><Relationship Id="rId757" Type="http://schemas.openxmlformats.org/officeDocument/2006/relationships/hyperlink" Target="https://github.com/d-wkim/phd/blob/main/data/pdf/smith_2020.pdf" TargetMode="External"/><Relationship Id="rId15" Type="http://schemas.openxmlformats.org/officeDocument/2006/relationships/hyperlink" Target="https://github.com/d-wkim/phd/blob/main/data/pdf/aglietti_2004.pdf" TargetMode="External"/><Relationship Id="rId14" Type="http://schemas.openxmlformats.org/officeDocument/2006/relationships/hyperlink" Target="https://raw.githubusercontent.com/d-wkim/phd/refs/heads/main/data/pdf/aglietti_2004.pdf" TargetMode="External"/><Relationship Id="rId17" Type="http://schemas.openxmlformats.org/officeDocument/2006/relationships/hyperlink" Target="https://github.com/d-wkim/phd/blob/main/data/pdf/aglietti_2004.pdf" TargetMode="External"/><Relationship Id="rId16" Type="http://schemas.openxmlformats.org/officeDocument/2006/relationships/hyperlink" Target="https://raw.githubusercontent.com/d-wkim/phd/refs/heads/main/data/pdf/aglietti_2004.pdf" TargetMode="External"/><Relationship Id="rId19" Type="http://schemas.openxmlformats.org/officeDocument/2006/relationships/hyperlink" Target="https://github.com/d-wkim/phd/blob/main/data/pdf/akelman_2016.pdf" TargetMode="External"/><Relationship Id="rId510" Type="http://schemas.openxmlformats.org/officeDocument/2006/relationships/hyperlink" Target="https://raw.githubusercontent.com/d-wkim/phd/refs/heads/main/data/pdf/lucidi_2025.pdf" TargetMode="External"/><Relationship Id="rId752" Type="http://schemas.openxmlformats.org/officeDocument/2006/relationships/hyperlink" Target="https://raw.githubusercontent.com/d-wkim/phd/refs/heads/main/data/pdf/sinding_2020.pdf" TargetMode="External"/><Relationship Id="rId18" Type="http://schemas.openxmlformats.org/officeDocument/2006/relationships/hyperlink" Target="https://raw.githubusercontent.com/d-wkim/phd/refs/heads/main/data/pdf/akelman_2016.pdf" TargetMode="External"/><Relationship Id="rId751" Type="http://schemas.openxmlformats.org/officeDocument/2006/relationships/hyperlink" Target="https://github.com/d-wkim/phd/blob/main/data/pdf/sajovic_2018.pdf" TargetMode="External"/><Relationship Id="rId750" Type="http://schemas.openxmlformats.org/officeDocument/2006/relationships/hyperlink" Target="https://raw.githubusercontent.com/d-wkim/phd/refs/heads/main/data/pdf/sajovic_2018.pdf" TargetMode="External"/><Relationship Id="rId84" Type="http://schemas.openxmlformats.org/officeDocument/2006/relationships/hyperlink" Target="https://raw.githubusercontent.com/d-wkim/phd/refs/heads/main/data/pdf/bi_2018.pdf" TargetMode="External"/><Relationship Id="rId83" Type="http://schemas.openxmlformats.org/officeDocument/2006/relationships/hyperlink" Target="https://github.com/d-wkim/phd/blob/main/data/pdf/bi_2018.pdf" TargetMode="External"/><Relationship Id="rId86" Type="http://schemas.openxmlformats.org/officeDocument/2006/relationships/hyperlink" Target="https://raw.githubusercontent.com/d-wkim/phd/refs/heads/main/data/pdf/bi_2018.pdf" TargetMode="External"/><Relationship Id="rId85" Type="http://schemas.openxmlformats.org/officeDocument/2006/relationships/hyperlink" Target="https://github.com/d-wkim/phd/blob/main/data/pdf/bi_2018.pdf" TargetMode="External"/><Relationship Id="rId88" Type="http://schemas.openxmlformats.org/officeDocument/2006/relationships/hyperlink" Target="https://raw.githubusercontent.com/d-wkim/phd/refs/heads/main/data/pdf/bi_2018.pdf" TargetMode="External"/><Relationship Id="rId87" Type="http://schemas.openxmlformats.org/officeDocument/2006/relationships/hyperlink" Target="https://github.com/d-wkim/phd/blob/main/data/pdf/bi_2018.pdf" TargetMode="External"/><Relationship Id="rId89" Type="http://schemas.openxmlformats.org/officeDocument/2006/relationships/hyperlink" Target="https://github.com/d-wkim/phd/blob/main/data/pdf/bi_2018.pdf" TargetMode="External"/><Relationship Id="rId709" Type="http://schemas.openxmlformats.org/officeDocument/2006/relationships/hyperlink" Target="https://github.com/d-wkim/phd/blob/main/data/pdf/pinczewski_2007.pdf" TargetMode="External"/><Relationship Id="rId708" Type="http://schemas.openxmlformats.org/officeDocument/2006/relationships/hyperlink" Target="https://raw.githubusercontent.com/d-wkim/phd/refs/heads/main/data/pdf/pinczewski_2007.pdf" TargetMode="External"/><Relationship Id="rId707" Type="http://schemas.openxmlformats.org/officeDocument/2006/relationships/hyperlink" Target="https://github.com/d-wkim/phd/blob/main/data/pdf/pinczewski_2007.pdf" TargetMode="External"/><Relationship Id="rId706" Type="http://schemas.openxmlformats.org/officeDocument/2006/relationships/hyperlink" Target="https://raw.githubusercontent.com/d-wkim/phd/refs/heads/main/data/pdf/pinczewski_2007.pdf" TargetMode="External"/><Relationship Id="rId80" Type="http://schemas.openxmlformats.org/officeDocument/2006/relationships/hyperlink" Target="https://raw.githubusercontent.com/d-wkim/phd/refs/heads/main/data/pdf/beynnon_2002.pdf" TargetMode="External"/><Relationship Id="rId82" Type="http://schemas.openxmlformats.org/officeDocument/2006/relationships/hyperlink" Target="https://raw.githubusercontent.com/d-wkim/phd/refs/heads/main/data/pdf/bi_2018.pdf" TargetMode="External"/><Relationship Id="rId81" Type="http://schemas.openxmlformats.org/officeDocument/2006/relationships/hyperlink" Target="https://github.com/d-wkim/phd/blob/main/data/pdf/beynnon_2002.pdf" TargetMode="External"/><Relationship Id="rId701" Type="http://schemas.openxmlformats.org/officeDocument/2006/relationships/hyperlink" Target="https://github.com/d-wkim/phd/blob/main/data/pdf/pinczewski_2007.pdf" TargetMode="External"/><Relationship Id="rId700" Type="http://schemas.openxmlformats.org/officeDocument/2006/relationships/hyperlink" Target="https://raw.githubusercontent.com/d-wkim/phd/refs/heads/main/data/pdf/pinczewski_2007.pdf" TargetMode="External"/><Relationship Id="rId942" Type="http://schemas.openxmlformats.org/officeDocument/2006/relationships/drawing" Target="../drawings/drawing1.xml"/><Relationship Id="rId941" Type="http://schemas.openxmlformats.org/officeDocument/2006/relationships/hyperlink" Target="https://github.com/d-wkim/phd/blob/main/data/pdf/zaffagnini_2011.pdf" TargetMode="External"/><Relationship Id="rId940" Type="http://schemas.openxmlformats.org/officeDocument/2006/relationships/hyperlink" Target="https://raw.githubusercontent.com/d-wkim/phd/refs/heads/main/data/pdf/zaffagnini_2011.pdf" TargetMode="External"/><Relationship Id="rId705" Type="http://schemas.openxmlformats.org/officeDocument/2006/relationships/hyperlink" Target="https://github.com/d-wkim/phd/blob/main/data/pdf/pinczewski_2007.pdf" TargetMode="External"/><Relationship Id="rId704" Type="http://schemas.openxmlformats.org/officeDocument/2006/relationships/hyperlink" Target="https://raw.githubusercontent.com/d-wkim/phd/refs/heads/main/data/pdf/pinczewski_2007.pdf" TargetMode="External"/><Relationship Id="rId703" Type="http://schemas.openxmlformats.org/officeDocument/2006/relationships/hyperlink" Target="https://github.com/d-wkim/phd/blob/main/data/pdf/pinczewski_2007.pdf" TargetMode="External"/><Relationship Id="rId702" Type="http://schemas.openxmlformats.org/officeDocument/2006/relationships/hyperlink" Target="https://raw.githubusercontent.com/d-wkim/phd/refs/heads/main/data/pdf/pinczewski_2007.pdf" TargetMode="External"/><Relationship Id="rId73" Type="http://schemas.openxmlformats.org/officeDocument/2006/relationships/hyperlink" Target="https://github.com/d-wkim/phd/blob/main/data/pdf/beynnon_2002.pdf" TargetMode="External"/><Relationship Id="rId72" Type="http://schemas.openxmlformats.org/officeDocument/2006/relationships/hyperlink" Target="https://raw.githubusercontent.com/d-wkim/phd/refs/heads/main/data/pdf/beynnon_2002.pdf" TargetMode="External"/><Relationship Id="rId75" Type="http://schemas.openxmlformats.org/officeDocument/2006/relationships/hyperlink" Target="https://github.com/d-wkim/phd/blob/main/data/pdf/beynnon_2002.pdf" TargetMode="External"/><Relationship Id="rId74" Type="http://schemas.openxmlformats.org/officeDocument/2006/relationships/hyperlink" Target="https://raw.githubusercontent.com/d-wkim/phd/refs/heads/main/data/pdf/beynnon_2002.pdf" TargetMode="External"/><Relationship Id="rId77" Type="http://schemas.openxmlformats.org/officeDocument/2006/relationships/hyperlink" Target="https://github.com/d-wkim/phd/blob/main/data/pdf/beynnon_2002.pdf" TargetMode="External"/><Relationship Id="rId76" Type="http://schemas.openxmlformats.org/officeDocument/2006/relationships/hyperlink" Target="https://raw.githubusercontent.com/d-wkim/phd/refs/heads/main/data/pdf/beynnon_2002.pdf" TargetMode="External"/><Relationship Id="rId79" Type="http://schemas.openxmlformats.org/officeDocument/2006/relationships/hyperlink" Target="https://github.com/d-wkim/phd/blob/main/data/pdf/beynnon_2002.pdf" TargetMode="External"/><Relationship Id="rId78" Type="http://schemas.openxmlformats.org/officeDocument/2006/relationships/hyperlink" Target="https://raw.githubusercontent.com/d-wkim/phd/refs/heads/main/data/pdf/beynnon_2002.pdf" TargetMode="External"/><Relationship Id="rId939" Type="http://schemas.openxmlformats.org/officeDocument/2006/relationships/hyperlink" Target="https://github.com/d-wkim/phd/blob/main/data/pdf/zaffagnini_2011.pdf" TargetMode="External"/><Relationship Id="rId938" Type="http://schemas.openxmlformats.org/officeDocument/2006/relationships/hyperlink" Target="https://raw.githubusercontent.com/d-wkim/phd/refs/heads/main/data/pdf/zaffagnini_2011.pdf" TargetMode="External"/><Relationship Id="rId937" Type="http://schemas.openxmlformats.org/officeDocument/2006/relationships/hyperlink" Target="https://github.com/d-wkim/phd/blob/main/data/pdf/zaffagnini_2011.pdf" TargetMode="External"/><Relationship Id="rId71" Type="http://schemas.openxmlformats.org/officeDocument/2006/relationships/hyperlink" Target="https://github.com/d-wkim/phd/blob/main/data/pdf/beynnon_2002.pdf" TargetMode="External"/><Relationship Id="rId70" Type="http://schemas.openxmlformats.org/officeDocument/2006/relationships/hyperlink" Target="https://raw.githubusercontent.com/d-wkim/phd/refs/heads/main/data/pdf/beynnon_2002.pdf" TargetMode="External"/><Relationship Id="rId932" Type="http://schemas.openxmlformats.org/officeDocument/2006/relationships/hyperlink" Target="https://raw.githubusercontent.com/d-wkim/phd/refs/heads/main/data/pdf/yoo_2017.pdf" TargetMode="External"/><Relationship Id="rId931" Type="http://schemas.openxmlformats.org/officeDocument/2006/relationships/hyperlink" Target="https://github.com/d-wkim/phd/blob/main/data/pdf/yoo_2017.pdf" TargetMode="External"/><Relationship Id="rId930" Type="http://schemas.openxmlformats.org/officeDocument/2006/relationships/hyperlink" Target="https://raw.githubusercontent.com/d-wkim/phd/refs/heads/main/data/pdf/yoo_2017.pdf" TargetMode="External"/><Relationship Id="rId936" Type="http://schemas.openxmlformats.org/officeDocument/2006/relationships/hyperlink" Target="https://raw.githubusercontent.com/d-wkim/phd/refs/heads/main/data/pdf/zaffagnini_2011.pdf" TargetMode="External"/><Relationship Id="rId935" Type="http://schemas.openxmlformats.org/officeDocument/2006/relationships/hyperlink" Target="https://github.com/d-wkim/phd/blob/main/data/pdf/zaffagnini_2011.pdf" TargetMode="External"/><Relationship Id="rId934" Type="http://schemas.openxmlformats.org/officeDocument/2006/relationships/hyperlink" Target="https://raw.githubusercontent.com/d-wkim/phd/refs/heads/main/data/pdf/zaffagnini_2011.pdf" TargetMode="External"/><Relationship Id="rId933" Type="http://schemas.openxmlformats.org/officeDocument/2006/relationships/hyperlink" Target="https://github.com/d-wkim/phd/blob/main/data/pdf/yoo_2017.pdf" TargetMode="External"/><Relationship Id="rId62" Type="http://schemas.openxmlformats.org/officeDocument/2006/relationships/hyperlink" Target="https://raw.githubusercontent.com/d-wkim/phd/refs/heads/main/data/pdf/beynnon_2002.pdf" TargetMode="External"/><Relationship Id="rId61" Type="http://schemas.openxmlformats.org/officeDocument/2006/relationships/hyperlink" Target="https://github.com/d-wkim/phd/blob/main/data/pdf/barenius_2010.pdf" TargetMode="External"/><Relationship Id="rId64" Type="http://schemas.openxmlformats.org/officeDocument/2006/relationships/hyperlink" Target="https://raw.githubusercontent.com/d-wkim/phd/refs/heads/main/data/pdf/beynnon_2002.pdf" TargetMode="External"/><Relationship Id="rId63" Type="http://schemas.openxmlformats.org/officeDocument/2006/relationships/hyperlink" Target="https://github.com/d-wkim/phd/blob/main/data/pdf/beynnon_2002.pdf" TargetMode="External"/><Relationship Id="rId66" Type="http://schemas.openxmlformats.org/officeDocument/2006/relationships/hyperlink" Target="https://raw.githubusercontent.com/d-wkim/phd/refs/heads/main/data/pdf/beynnon_2002.pdf" TargetMode="External"/><Relationship Id="rId65" Type="http://schemas.openxmlformats.org/officeDocument/2006/relationships/hyperlink" Target="https://github.com/d-wkim/phd/blob/main/data/pdf/beynnon_2002.pdf" TargetMode="External"/><Relationship Id="rId68" Type="http://schemas.openxmlformats.org/officeDocument/2006/relationships/hyperlink" Target="https://raw.githubusercontent.com/d-wkim/phd/refs/heads/main/data/pdf/beynnon_2002.pdf" TargetMode="External"/><Relationship Id="rId67" Type="http://schemas.openxmlformats.org/officeDocument/2006/relationships/hyperlink" Target="https://github.com/d-wkim/phd/blob/main/data/pdf/beynnon_2002.pdf" TargetMode="External"/><Relationship Id="rId729" Type="http://schemas.openxmlformats.org/officeDocument/2006/relationships/hyperlink" Target="https://github.com/d-wkim/phd/blob/main/data/pdf/popovic_2024.pdf" TargetMode="External"/><Relationship Id="rId728" Type="http://schemas.openxmlformats.org/officeDocument/2006/relationships/hyperlink" Target="https://raw.githubusercontent.com/d-wkim/phd/refs/heads/main/data/pdf/popovic_2024.pdf" TargetMode="External"/><Relationship Id="rId60" Type="http://schemas.openxmlformats.org/officeDocument/2006/relationships/hyperlink" Target="https://raw.githubusercontent.com/d-wkim/phd/refs/heads/main/data/pdf/barenius_2010.pdf" TargetMode="External"/><Relationship Id="rId723" Type="http://schemas.openxmlformats.org/officeDocument/2006/relationships/hyperlink" Target="https://github.com/d-wkim/phd/blob/main/data/pdf/popovic_2024.pdf" TargetMode="External"/><Relationship Id="rId722" Type="http://schemas.openxmlformats.org/officeDocument/2006/relationships/hyperlink" Target="https://raw.githubusercontent.com/d-wkim/phd/refs/heads/main/data/pdf/popovic_2024.pdf" TargetMode="External"/><Relationship Id="rId721" Type="http://schemas.openxmlformats.org/officeDocument/2006/relationships/hyperlink" Target="https://github.com/d-wkim/phd/blob/main/data/pdf/popovic_2024.pdf" TargetMode="External"/><Relationship Id="rId720" Type="http://schemas.openxmlformats.org/officeDocument/2006/relationships/hyperlink" Target="https://raw.githubusercontent.com/d-wkim/phd/refs/heads/main/data/pdf/popovic_2024.pdf" TargetMode="External"/><Relationship Id="rId727" Type="http://schemas.openxmlformats.org/officeDocument/2006/relationships/hyperlink" Target="https://github.com/d-wkim/phd/blob/main/data/pdf/popovic_2024.pdf" TargetMode="External"/><Relationship Id="rId726" Type="http://schemas.openxmlformats.org/officeDocument/2006/relationships/hyperlink" Target="https://raw.githubusercontent.com/d-wkim/phd/refs/heads/main/data/pdf/popovic_2024.pdf" TargetMode="External"/><Relationship Id="rId725" Type="http://schemas.openxmlformats.org/officeDocument/2006/relationships/hyperlink" Target="https://github.com/d-wkim/phd/blob/main/data/pdf/popovic_2024.pdf" TargetMode="External"/><Relationship Id="rId724" Type="http://schemas.openxmlformats.org/officeDocument/2006/relationships/hyperlink" Target="https://raw.githubusercontent.com/d-wkim/phd/refs/heads/main/data/pdf/popovic_2024.pdf" TargetMode="External"/><Relationship Id="rId69" Type="http://schemas.openxmlformats.org/officeDocument/2006/relationships/hyperlink" Target="https://github.com/d-wkim/phd/blob/main/data/pdf/beynnon_2002.pdf" TargetMode="External"/><Relationship Id="rId51" Type="http://schemas.openxmlformats.org/officeDocument/2006/relationships/hyperlink" Target="https://github.com/d-wkim/phd/blob/main/data/pdf/barenius_2010.pdf" TargetMode="External"/><Relationship Id="rId50" Type="http://schemas.openxmlformats.org/officeDocument/2006/relationships/hyperlink" Target="https://raw.githubusercontent.com/d-wkim/phd/refs/heads/main/data/pdf/barenius_2010.pdf" TargetMode="External"/><Relationship Id="rId53" Type="http://schemas.openxmlformats.org/officeDocument/2006/relationships/hyperlink" Target="https://github.com/d-wkim/phd/blob/main/data/pdf/barenius_2010.pdf" TargetMode="External"/><Relationship Id="rId52" Type="http://schemas.openxmlformats.org/officeDocument/2006/relationships/hyperlink" Target="https://raw.githubusercontent.com/d-wkim/phd/refs/heads/main/data/pdf/barenius_2010.pdf" TargetMode="External"/><Relationship Id="rId55" Type="http://schemas.openxmlformats.org/officeDocument/2006/relationships/hyperlink" Target="https://github.com/d-wkim/phd/blob/main/data/pdf/barenius_2010.pdf" TargetMode="External"/><Relationship Id="rId54" Type="http://schemas.openxmlformats.org/officeDocument/2006/relationships/hyperlink" Target="https://raw.githubusercontent.com/d-wkim/phd/refs/heads/main/data/pdf/barenius_2010.pdf" TargetMode="External"/><Relationship Id="rId57" Type="http://schemas.openxmlformats.org/officeDocument/2006/relationships/hyperlink" Target="https://github.com/d-wkim/phd/blob/main/data/pdf/barenius_2010.pdf" TargetMode="External"/><Relationship Id="rId56" Type="http://schemas.openxmlformats.org/officeDocument/2006/relationships/hyperlink" Target="https://raw.githubusercontent.com/d-wkim/phd/refs/heads/main/data/pdf/barenius_2010.pdf" TargetMode="External"/><Relationship Id="rId719" Type="http://schemas.openxmlformats.org/officeDocument/2006/relationships/hyperlink" Target="https://github.com/d-wkim/phd/blob/main/data/pdf/popovic_2024.pdf" TargetMode="External"/><Relationship Id="rId718" Type="http://schemas.openxmlformats.org/officeDocument/2006/relationships/hyperlink" Target="https://raw.githubusercontent.com/d-wkim/phd/refs/heads/main/data/pdf/popovic_2024.pdf" TargetMode="External"/><Relationship Id="rId717" Type="http://schemas.openxmlformats.org/officeDocument/2006/relationships/hyperlink" Target="https://github.com/d-wkim/phd/blob/main/data/pdf/popovic_2024.pdf" TargetMode="External"/><Relationship Id="rId712" Type="http://schemas.openxmlformats.org/officeDocument/2006/relationships/hyperlink" Target="https://raw.githubusercontent.com/d-wkim/phd/refs/heads/main/data/pdf/pinczewski_2007.pdf" TargetMode="External"/><Relationship Id="rId711" Type="http://schemas.openxmlformats.org/officeDocument/2006/relationships/hyperlink" Target="https://github.com/d-wkim/phd/blob/main/data/pdf/pinczewski_2007.pdf" TargetMode="External"/><Relationship Id="rId710" Type="http://schemas.openxmlformats.org/officeDocument/2006/relationships/hyperlink" Target="https://raw.githubusercontent.com/d-wkim/phd/refs/heads/main/data/pdf/pinczewski_2007.pdf" TargetMode="External"/><Relationship Id="rId716" Type="http://schemas.openxmlformats.org/officeDocument/2006/relationships/hyperlink" Target="https://raw.githubusercontent.com/d-wkim/phd/refs/heads/main/data/pdf/popovic_2024.pdf" TargetMode="External"/><Relationship Id="rId715" Type="http://schemas.openxmlformats.org/officeDocument/2006/relationships/hyperlink" Target="https://github.com/d-wkim/phd/blob/main/data/pdf/pinczewski_2007.pdf" TargetMode="External"/><Relationship Id="rId714" Type="http://schemas.openxmlformats.org/officeDocument/2006/relationships/hyperlink" Target="https://raw.githubusercontent.com/d-wkim/phd/refs/heads/main/data/pdf/pinczewski_2007.pdf" TargetMode="External"/><Relationship Id="rId713" Type="http://schemas.openxmlformats.org/officeDocument/2006/relationships/hyperlink" Target="https://github.com/d-wkim/phd/blob/main/data/pdf/pinczewski_2007.pdf" TargetMode="External"/><Relationship Id="rId59" Type="http://schemas.openxmlformats.org/officeDocument/2006/relationships/hyperlink" Target="https://github.com/d-wkim/phd/blob/main/data/pdf/barenius_2010.pdf" TargetMode="External"/><Relationship Id="rId58" Type="http://schemas.openxmlformats.org/officeDocument/2006/relationships/hyperlink" Target="https://raw.githubusercontent.com/d-wkim/phd/refs/heads/main/data/pdf/barenius_2010.pdf" TargetMode="External"/><Relationship Id="rId590" Type="http://schemas.openxmlformats.org/officeDocument/2006/relationships/hyperlink" Target="https://raw.githubusercontent.com/d-wkim/phd/refs/heads/main/data/pdf/matsumoto_2006.pdf" TargetMode="External"/><Relationship Id="rId107" Type="http://schemas.openxmlformats.org/officeDocument/2006/relationships/hyperlink" Target="https://github.com/d-wkim/phd/blob/main/data/pdf/breker_2025.pdf" TargetMode="External"/><Relationship Id="rId349" Type="http://schemas.openxmlformats.org/officeDocument/2006/relationships/hyperlink" Target="https://github.com/d-wkim/phd/blob/main/data/pdf/kautzner_2015.pdf" TargetMode="External"/><Relationship Id="rId106" Type="http://schemas.openxmlformats.org/officeDocument/2006/relationships/hyperlink" Target="https://raw.githubusercontent.com/d-wkim/phd/refs/heads/main/data/pdf/breker_2025.pdf" TargetMode="External"/><Relationship Id="rId348" Type="http://schemas.openxmlformats.org/officeDocument/2006/relationships/hyperlink" Target="https://raw.githubusercontent.com/d-wkim/phd/refs/heads/main/data/pdf/kautzner_2015.pdf" TargetMode="External"/><Relationship Id="rId105" Type="http://schemas.openxmlformats.org/officeDocument/2006/relationships/hyperlink" Target="https://github.com/d-wkim/phd/blob/main/data/pdf/bottoni_2015.pdf" TargetMode="External"/><Relationship Id="rId347" Type="http://schemas.openxmlformats.org/officeDocument/2006/relationships/hyperlink" Target="https://github.com/d-wkim/phd/blob/main/data/pdf/kautzner_2015.pdf" TargetMode="External"/><Relationship Id="rId589" Type="http://schemas.openxmlformats.org/officeDocument/2006/relationships/hyperlink" Target="https://github.com/d-wkim/phd/blob/main/data/pdf/matsumoto_2006.pdf" TargetMode="External"/><Relationship Id="rId104" Type="http://schemas.openxmlformats.org/officeDocument/2006/relationships/hyperlink" Target="https://raw.githubusercontent.com/d-wkim/phd/refs/heads/main/data/pdf/bottoni_2015.pdf" TargetMode="External"/><Relationship Id="rId346" Type="http://schemas.openxmlformats.org/officeDocument/2006/relationships/hyperlink" Target="https://raw.githubusercontent.com/d-wkim/phd/refs/heads/main/data/pdf/kautzner_2015.pdf" TargetMode="External"/><Relationship Id="rId588" Type="http://schemas.openxmlformats.org/officeDocument/2006/relationships/hyperlink" Target="https://raw.githubusercontent.com/d-wkim/phd/refs/heads/main/data/pdf/matsumoto_2006.pdf" TargetMode="External"/><Relationship Id="rId109" Type="http://schemas.openxmlformats.org/officeDocument/2006/relationships/hyperlink" Target="https://github.com/d-wkim/phd/blob/main/data/pdf/breker_2025.pdf" TargetMode="External"/><Relationship Id="rId108" Type="http://schemas.openxmlformats.org/officeDocument/2006/relationships/hyperlink" Target="https://raw.githubusercontent.com/d-wkim/phd/refs/heads/main/data/pdf/breker_2025.pdf" TargetMode="External"/><Relationship Id="rId341" Type="http://schemas.openxmlformats.org/officeDocument/2006/relationships/hyperlink" Target="https://github.com/d-wkim/phd/blob/main/data/pdf/jansson_2003.pdf" TargetMode="External"/><Relationship Id="rId583" Type="http://schemas.openxmlformats.org/officeDocument/2006/relationships/hyperlink" Target="https://github.com/d-wkim/phd/blob/main/data/pdf/malik_2026.pdf" TargetMode="External"/><Relationship Id="rId340" Type="http://schemas.openxmlformats.org/officeDocument/2006/relationships/hyperlink" Target="https://raw.githubusercontent.com/d-wkim/phd/refs/heads/main/data/pdf/jansson_2003.pdf" TargetMode="External"/><Relationship Id="rId582" Type="http://schemas.openxmlformats.org/officeDocument/2006/relationships/hyperlink" Target="https://raw.githubusercontent.com/d-wkim/phd/refs/heads/main/data/pdf/malik_2026.pdf" TargetMode="External"/><Relationship Id="rId581" Type="http://schemas.openxmlformats.org/officeDocument/2006/relationships/hyperlink" Target="https://github.com/d-wkim/phd/blob/main/data/pdf/malik_2026.pdf" TargetMode="External"/><Relationship Id="rId580" Type="http://schemas.openxmlformats.org/officeDocument/2006/relationships/hyperlink" Target="https://raw.githubusercontent.com/d-wkim/phd/refs/heads/main/data/pdf/malik_2026.pdf" TargetMode="External"/><Relationship Id="rId103" Type="http://schemas.openxmlformats.org/officeDocument/2006/relationships/hyperlink" Target="https://github.com/d-wkim/phd/blob/main/data/pdf/bottoni_2015.pdf" TargetMode="External"/><Relationship Id="rId345" Type="http://schemas.openxmlformats.org/officeDocument/2006/relationships/hyperlink" Target="https://github.com/d-wkim/phd/blob/main/data/pdf/kautzner_2015.pdf" TargetMode="External"/><Relationship Id="rId587" Type="http://schemas.openxmlformats.org/officeDocument/2006/relationships/hyperlink" Target="https://github.com/d-wkim/phd/blob/main/data/pdf/matsumoto_2006.pdf" TargetMode="External"/><Relationship Id="rId102" Type="http://schemas.openxmlformats.org/officeDocument/2006/relationships/hyperlink" Target="https://raw.githubusercontent.com/d-wkim/phd/refs/heads/main/data/pdf/bottoni_2015.pdf" TargetMode="External"/><Relationship Id="rId344" Type="http://schemas.openxmlformats.org/officeDocument/2006/relationships/hyperlink" Target="https://raw.githubusercontent.com/d-wkim/phd/refs/heads/main/data/pdf/kautzner_2015.pdf" TargetMode="External"/><Relationship Id="rId586" Type="http://schemas.openxmlformats.org/officeDocument/2006/relationships/hyperlink" Target="https://raw.githubusercontent.com/d-wkim/phd/refs/heads/main/data/pdf/matsumoto_2006.pdf" TargetMode="External"/><Relationship Id="rId101" Type="http://schemas.openxmlformats.org/officeDocument/2006/relationships/hyperlink" Target="https://github.com/d-wkim/phd/blob/main/data/pdf/bottoni_2015.pdf" TargetMode="External"/><Relationship Id="rId343" Type="http://schemas.openxmlformats.org/officeDocument/2006/relationships/hyperlink" Target="https://github.com/d-wkim/phd/blob/main/data/pdf/kautzner_2015.pdf" TargetMode="External"/><Relationship Id="rId585" Type="http://schemas.openxmlformats.org/officeDocument/2006/relationships/hyperlink" Target="https://github.com/d-wkim/phd/blob/main/data/pdf/matsumoto_2006.pdf" TargetMode="External"/><Relationship Id="rId100" Type="http://schemas.openxmlformats.org/officeDocument/2006/relationships/hyperlink" Target="https://raw.githubusercontent.com/d-wkim/phd/refs/heads/main/data/pdf/bottoni_2015.pdf" TargetMode="External"/><Relationship Id="rId342" Type="http://schemas.openxmlformats.org/officeDocument/2006/relationships/hyperlink" Target="https://raw.githubusercontent.com/d-wkim/phd/refs/heads/main/data/pdf/kautzner_2015.pdf" TargetMode="External"/><Relationship Id="rId584" Type="http://schemas.openxmlformats.org/officeDocument/2006/relationships/hyperlink" Target="https://raw.githubusercontent.com/d-wkim/phd/refs/heads/main/data/pdf/matsumoto_2006.pdf" TargetMode="External"/><Relationship Id="rId338" Type="http://schemas.openxmlformats.org/officeDocument/2006/relationships/hyperlink" Target="https://raw.githubusercontent.com/d-wkim/phd/refs/heads/main/data/pdf/jansson_2003.pdf" TargetMode="External"/><Relationship Id="rId337" Type="http://schemas.openxmlformats.org/officeDocument/2006/relationships/hyperlink" Target="https://github.com/d-wkim/phd/blob/main/data/pdf/jansson_2003.pdf" TargetMode="External"/><Relationship Id="rId579" Type="http://schemas.openxmlformats.org/officeDocument/2006/relationships/hyperlink" Target="https://github.com/d-wkim/phd/blob/main/data/pdf/malik_2026.pdf" TargetMode="External"/><Relationship Id="rId336" Type="http://schemas.openxmlformats.org/officeDocument/2006/relationships/hyperlink" Target="https://raw.githubusercontent.com/d-wkim/phd/refs/heads/main/data/pdf/jansson_2003.pdf" TargetMode="External"/><Relationship Id="rId578" Type="http://schemas.openxmlformats.org/officeDocument/2006/relationships/hyperlink" Target="https://raw.githubusercontent.com/d-wkim/phd/refs/heads/main/data/pdf/malik_2026.pdf" TargetMode="External"/><Relationship Id="rId335" Type="http://schemas.openxmlformats.org/officeDocument/2006/relationships/hyperlink" Target="https://github.com/d-wkim/phd/blob/main/data/pdf/jansson_2003.pdf" TargetMode="External"/><Relationship Id="rId577" Type="http://schemas.openxmlformats.org/officeDocument/2006/relationships/hyperlink" Target="https://github.com/d-wkim/phd/blob/main/data/pdf/malik_2026.pdf" TargetMode="External"/><Relationship Id="rId339" Type="http://schemas.openxmlformats.org/officeDocument/2006/relationships/hyperlink" Target="https://github.com/d-wkim/phd/blob/main/data/pdf/jansson_2003.pdf" TargetMode="External"/><Relationship Id="rId330" Type="http://schemas.openxmlformats.org/officeDocument/2006/relationships/hyperlink" Target="https://raw.githubusercontent.com/d-wkim/phd/refs/heads/main/data/pdf/jansson_2003.pdf" TargetMode="External"/><Relationship Id="rId572" Type="http://schemas.openxmlformats.org/officeDocument/2006/relationships/hyperlink" Target="https://raw.githubusercontent.com/d-wkim/phd/refs/heads/main/data/pdf/malik_2026.pdf" TargetMode="External"/><Relationship Id="rId571" Type="http://schemas.openxmlformats.org/officeDocument/2006/relationships/hyperlink" Target="https://github.com/d-wkim/phd/blob/main/data/pdf/malik_2026.pdf" TargetMode="External"/><Relationship Id="rId570" Type="http://schemas.openxmlformats.org/officeDocument/2006/relationships/hyperlink" Target="https://raw.githubusercontent.com/d-wkim/phd/refs/heads/main/data/pdf/malik_2026.pdf" TargetMode="External"/><Relationship Id="rId334" Type="http://schemas.openxmlformats.org/officeDocument/2006/relationships/hyperlink" Target="https://raw.githubusercontent.com/d-wkim/phd/refs/heads/main/data/pdf/jansson_2003.pdf" TargetMode="External"/><Relationship Id="rId576" Type="http://schemas.openxmlformats.org/officeDocument/2006/relationships/hyperlink" Target="https://raw.githubusercontent.com/d-wkim/phd/refs/heads/main/data/pdf/malik_2026.pdf" TargetMode="External"/><Relationship Id="rId333" Type="http://schemas.openxmlformats.org/officeDocument/2006/relationships/hyperlink" Target="https://github.com/d-wkim/phd/blob/main/data/pdf/jansson_2003.pdf" TargetMode="External"/><Relationship Id="rId575" Type="http://schemas.openxmlformats.org/officeDocument/2006/relationships/hyperlink" Target="https://github.com/d-wkim/phd/blob/main/data/pdf/malik_2026.pdf" TargetMode="External"/><Relationship Id="rId332" Type="http://schemas.openxmlformats.org/officeDocument/2006/relationships/hyperlink" Target="https://raw.githubusercontent.com/d-wkim/phd/refs/heads/main/data/pdf/jansson_2003.pdf" TargetMode="External"/><Relationship Id="rId574" Type="http://schemas.openxmlformats.org/officeDocument/2006/relationships/hyperlink" Target="https://raw.githubusercontent.com/d-wkim/phd/refs/heads/main/data/pdf/malik_2026.pdf" TargetMode="External"/><Relationship Id="rId331" Type="http://schemas.openxmlformats.org/officeDocument/2006/relationships/hyperlink" Target="https://github.com/d-wkim/phd/blob/main/data/pdf/jansson_2003.pdf" TargetMode="External"/><Relationship Id="rId573" Type="http://schemas.openxmlformats.org/officeDocument/2006/relationships/hyperlink" Target="https://github.com/d-wkim/phd/blob/main/data/pdf/malik_2026.pdf" TargetMode="External"/><Relationship Id="rId370" Type="http://schemas.openxmlformats.org/officeDocument/2006/relationships/hyperlink" Target="https://raw.githubusercontent.com/d-wkim/phd/refs/heads/main/data/pdf/konrads_2016.pdf" TargetMode="External"/><Relationship Id="rId129" Type="http://schemas.openxmlformats.org/officeDocument/2006/relationships/hyperlink" Target="https://github.com/d-wkim/phd/blob/main/data/pdf/calvert_2025.pdf" TargetMode="External"/><Relationship Id="rId128" Type="http://schemas.openxmlformats.org/officeDocument/2006/relationships/hyperlink" Target="https://raw.githubusercontent.com/d-wkim/phd/refs/heads/main/data/pdf/calvert_2025.pdf" TargetMode="External"/><Relationship Id="rId127" Type="http://schemas.openxmlformats.org/officeDocument/2006/relationships/hyperlink" Target="https://github.com/d-wkim/phd/blob/main/data/pdf/calvert_2025.pdf" TargetMode="External"/><Relationship Id="rId369" Type="http://schemas.openxmlformats.org/officeDocument/2006/relationships/hyperlink" Target="https://github.com/d-wkim/phd/blob/main/data/pdf/konrads_2016.pdf" TargetMode="External"/><Relationship Id="rId126" Type="http://schemas.openxmlformats.org/officeDocument/2006/relationships/hyperlink" Target="https://raw.githubusercontent.com/d-wkim/phd/refs/heads/main/data/pdf/calvert_2025.pdf" TargetMode="External"/><Relationship Id="rId368" Type="http://schemas.openxmlformats.org/officeDocument/2006/relationships/hyperlink" Target="https://raw.githubusercontent.com/d-wkim/phd/refs/heads/main/data/pdf/konrads_2016.pdf" TargetMode="External"/><Relationship Id="rId121" Type="http://schemas.openxmlformats.org/officeDocument/2006/relationships/hyperlink" Target="https://github.com/d-wkim/phd/blob/main/data/pdf/butt_2024.pdf" TargetMode="External"/><Relationship Id="rId363" Type="http://schemas.openxmlformats.org/officeDocument/2006/relationships/hyperlink" Target="https://github.com/d-wkim/phd/blob/main/data/pdf/konrads_2016.pdf" TargetMode="External"/><Relationship Id="rId120" Type="http://schemas.openxmlformats.org/officeDocument/2006/relationships/hyperlink" Target="https://raw.githubusercontent.com/d-wkim/phd/refs/heads/main/data/pdf/butt_2024.pdf" TargetMode="External"/><Relationship Id="rId362" Type="http://schemas.openxmlformats.org/officeDocument/2006/relationships/hyperlink" Target="https://raw.githubusercontent.com/d-wkim/phd/refs/heads/main/data/pdf/konrads_2016.pdf" TargetMode="External"/><Relationship Id="rId361" Type="http://schemas.openxmlformats.org/officeDocument/2006/relationships/hyperlink" Target="https://github.com/d-wkim/phd/blob/main/data/pdf/komzak_2022.pdf" TargetMode="External"/><Relationship Id="rId360" Type="http://schemas.openxmlformats.org/officeDocument/2006/relationships/hyperlink" Target="https://raw.githubusercontent.com/d-wkim/phd/refs/heads/main/data/pdf/komzak_2022.pdf" TargetMode="External"/><Relationship Id="rId125" Type="http://schemas.openxmlformats.org/officeDocument/2006/relationships/hyperlink" Target="https://github.com/d-wkim/phd/blob/main/data/pdf/butt_2024.pdf" TargetMode="External"/><Relationship Id="rId367" Type="http://schemas.openxmlformats.org/officeDocument/2006/relationships/hyperlink" Target="https://github.com/d-wkim/phd/blob/main/data/pdf/konrads_2016.pdf" TargetMode="External"/><Relationship Id="rId124" Type="http://schemas.openxmlformats.org/officeDocument/2006/relationships/hyperlink" Target="https://raw.githubusercontent.com/d-wkim/phd/refs/heads/main/data/pdf/butt_2024.pdf" TargetMode="External"/><Relationship Id="rId366" Type="http://schemas.openxmlformats.org/officeDocument/2006/relationships/hyperlink" Target="https://raw.githubusercontent.com/d-wkim/phd/refs/heads/main/data/pdf/konrads_2016.pdf" TargetMode="External"/><Relationship Id="rId123" Type="http://schemas.openxmlformats.org/officeDocument/2006/relationships/hyperlink" Target="https://github.com/d-wkim/phd/blob/main/data/pdf/butt_2024.pdf" TargetMode="External"/><Relationship Id="rId365" Type="http://schemas.openxmlformats.org/officeDocument/2006/relationships/hyperlink" Target="https://github.com/d-wkim/phd/blob/main/data/pdf/konrads_2016.pdf" TargetMode="External"/><Relationship Id="rId122" Type="http://schemas.openxmlformats.org/officeDocument/2006/relationships/hyperlink" Target="https://raw.githubusercontent.com/d-wkim/phd/refs/heads/main/data/pdf/butt_2024.pdf" TargetMode="External"/><Relationship Id="rId364" Type="http://schemas.openxmlformats.org/officeDocument/2006/relationships/hyperlink" Target="https://raw.githubusercontent.com/d-wkim/phd/refs/heads/main/data/pdf/konrads_2016.pdf" TargetMode="External"/><Relationship Id="rId95" Type="http://schemas.openxmlformats.org/officeDocument/2006/relationships/hyperlink" Target="https://github.com/d-wkim/phd/blob/main/data/pdf/bi_2018.pdf" TargetMode="External"/><Relationship Id="rId94" Type="http://schemas.openxmlformats.org/officeDocument/2006/relationships/hyperlink" Target="https://raw.githubusercontent.com/d-wkim/phd/refs/heads/main/data/pdf/bi_2018.pdf" TargetMode="External"/><Relationship Id="rId97" Type="http://schemas.openxmlformats.org/officeDocument/2006/relationships/hyperlink" Target="https://github.com/d-wkim/phd/blob/main/data/pdf/bi_2018.pdf" TargetMode="External"/><Relationship Id="rId96" Type="http://schemas.openxmlformats.org/officeDocument/2006/relationships/hyperlink" Target="https://raw.githubusercontent.com/d-wkim/phd/refs/heads/main/data/pdf/bi_2018.pdf" TargetMode="External"/><Relationship Id="rId99" Type="http://schemas.openxmlformats.org/officeDocument/2006/relationships/hyperlink" Target="https://github.com/d-wkim/phd/blob/main/data/pdf/bottoni_2015.pdf" TargetMode="External"/><Relationship Id="rId98" Type="http://schemas.openxmlformats.org/officeDocument/2006/relationships/hyperlink" Target="https://raw.githubusercontent.com/d-wkim/phd/refs/heads/main/data/pdf/bottoni_2015.pdf" TargetMode="External"/><Relationship Id="rId91" Type="http://schemas.openxmlformats.org/officeDocument/2006/relationships/hyperlink" Target="https://github.com/d-wkim/phd/blob/main/data/pdf/bi_2018.pdf" TargetMode="External"/><Relationship Id="rId90" Type="http://schemas.openxmlformats.org/officeDocument/2006/relationships/hyperlink" Target="https://raw.githubusercontent.com/d-wkim/phd/refs/heads/main/data/pdf/bi_2018.pdf" TargetMode="External"/><Relationship Id="rId93" Type="http://schemas.openxmlformats.org/officeDocument/2006/relationships/hyperlink" Target="https://github.com/d-wkim/phd/blob/main/data/pdf/bi_2018.pdf" TargetMode="External"/><Relationship Id="rId92" Type="http://schemas.openxmlformats.org/officeDocument/2006/relationships/hyperlink" Target="https://raw.githubusercontent.com/d-wkim/phd/refs/heads/main/data/pdf/bi_2018.pdf" TargetMode="External"/><Relationship Id="rId118" Type="http://schemas.openxmlformats.org/officeDocument/2006/relationships/hyperlink" Target="https://raw.githubusercontent.com/d-wkim/phd/refs/heads/main/data/pdf/butt_2024.pdf" TargetMode="External"/><Relationship Id="rId117" Type="http://schemas.openxmlformats.org/officeDocument/2006/relationships/hyperlink" Target="https://github.com/d-wkim/phd/blob/main/data/pdf/butt_2024.pdf" TargetMode="External"/><Relationship Id="rId359" Type="http://schemas.openxmlformats.org/officeDocument/2006/relationships/hyperlink" Target="https://github.com/d-wkim/phd/blob/main/data/pdf/komzak_2022.pdf" TargetMode="External"/><Relationship Id="rId116" Type="http://schemas.openxmlformats.org/officeDocument/2006/relationships/hyperlink" Target="https://raw.githubusercontent.com/d-wkim/phd/refs/heads/main/data/pdf/butt_2024.pdf" TargetMode="External"/><Relationship Id="rId358" Type="http://schemas.openxmlformats.org/officeDocument/2006/relationships/hyperlink" Target="https://raw.githubusercontent.com/d-wkim/phd/refs/heads/main/data/pdf/komzak_2022.pdf" TargetMode="External"/><Relationship Id="rId115" Type="http://schemas.openxmlformats.org/officeDocument/2006/relationships/hyperlink" Target="https://github.com/d-wkim/phd/blob/main/data/pdf/butt_2024.pdf" TargetMode="External"/><Relationship Id="rId357" Type="http://schemas.openxmlformats.org/officeDocument/2006/relationships/hyperlink" Target="https://github.com/d-wkim/phd/blob/main/data/pdf/komzak_2022.pdf" TargetMode="External"/><Relationship Id="rId599" Type="http://schemas.openxmlformats.org/officeDocument/2006/relationships/hyperlink" Target="https://github.com/d-wkim/phd/blob/main/data/pdf/mohtadi_2016a.pdf" TargetMode="External"/><Relationship Id="rId119" Type="http://schemas.openxmlformats.org/officeDocument/2006/relationships/hyperlink" Target="https://github.com/d-wkim/phd/blob/main/data/pdf/butt_2024.pdf" TargetMode="External"/><Relationship Id="rId110" Type="http://schemas.openxmlformats.org/officeDocument/2006/relationships/hyperlink" Target="https://raw.githubusercontent.com/d-wkim/phd/refs/heads/main/data/pdf/butt_2024.pdf" TargetMode="External"/><Relationship Id="rId352" Type="http://schemas.openxmlformats.org/officeDocument/2006/relationships/hyperlink" Target="https://raw.githubusercontent.com/d-wkim/phd/refs/heads/main/data/pdf/kautzner_2015.pdf" TargetMode="External"/><Relationship Id="rId594" Type="http://schemas.openxmlformats.org/officeDocument/2006/relationships/hyperlink" Target="https://raw.githubusercontent.com/d-wkim/phd/refs/heads/main/data/pdf/mohtadi_2016a.pdf" TargetMode="External"/><Relationship Id="rId351" Type="http://schemas.openxmlformats.org/officeDocument/2006/relationships/hyperlink" Target="https://github.com/d-wkim/phd/blob/main/data/pdf/kautzner_2015.pdf" TargetMode="External"/><Relationship Id="rId593" Type="http://schemas.openxmlformats.org/officeDocument/2006/relationships/hyperlink" Target="https://github.com/d-wkim/phd/blob/main/data/pdf/mohtadi_2016a.pdf" TargetMode="External"/><Relationship Id="rId350" Type="http://schemas.openxmlformats.org/officeDocument/2006/relationships/hyperlink" Target="https://raw.githubusercontent.com/d-wkim/phd/refs/heads/main/data/pdf/kautzner_2015.pdf" TargetMode="External"/><Relationship Id="rId592" Type="http://schemas.openxmlformats.org/officeDocument/2006/relationships/hyperlink" Target="https://raw.githubusercontent.com/d-wkim/phd/refs/heads/main/data/pdf/mohtadi_2016a.pdf" TargetMode="External"/><Relationship Id="rId591" Type="http://schemas.openxmlformats.org/officeDocument/2006/relationships/hyperlink" Target="https://github.com/d-wkim/phd/blob/main/data/pdf/matsumoto_2006.pdf" TargetMode="External"/><Relationship Id="rId114" Type="http://schemas.openxmlformats.org/officeDocument/2006/relationships/hyperlink" Target="https://raw.githubusercontent.com/d-wkim/phd/refs/heads/main/data/pdf/butt_2024.pdf" TargetMode="External"/><Relationship Id="rId356" Type="http://schemas.openxmlformats.org/officeDocument/2006/relationships/hyperlink" Target="https://raw.githubusercontent.com/d-wkim/phd/refs/heads/main/data/pdf/komzak_2022.pdf" TargetMode="External"/><Relationship Id="rId598" Type="http://schemas.openxmlformats.org/officeDocument/2006/relationships/hyperlink" Target="https://raw.githubusercontent.com/d-wkim/phd/refs/heads/main/data/pdf/mohtadi_2016a.pdf" TargetMode="External"/><Relationship Id="rId113" Type="http://schemas.openxmlformats.org/officeDocument/2006/relationships/hyperlink" Target="https://github.com/d-wkim/phd/blob/main/data/pdf/butt_2024.pdf" TargetMode="External"/><Relationship Id="rId355" Type="http://schemas.openxmlformats.org/officeDocument/2006/relationships/hyperlink" Target="https://github.com/d-wkim/phd/blob/main/data/pdf/komzak_2022.pdf" TargetMode="External"/><Relationship Id="rId597" Type="http://schemas.openxmlformats.org/officeDocument/2006/relationships/hyperlink" Target="https://github.com/d-wkim/phd/blob/main/data/pdf/mohtadi_2016a.pdf" TargetMode="External"/><Relationship Id="rId112" Type="http://schemas.openxmlformats.org/officeDocument/2006/relationships/hyperlink" Target="https://raw.githubusercontent.com/d-wkim/phd/refs/heads/main/data/pdf/butt_2024.pdf" TargetMode="External"/><Relationship Id="rId354" Type="http://schemas.openxmlformats.org/officeDocument/2006/relationships/hyperlink" Target="https://raw.githubusercontent.com/d-wkim/phd/refs/heads/main/data/pdf/komzak_2022.pdf" TargetMode="External"/><Relationship Id="rId596" Type="http://schemas.openxmlformats.org/officeDocument/2006/relationships/hyperlink" Target="https://raw.githubusercontent.com/d-wkim/phd/refs/heads/main/data/pdf/mohtadi_2016a.pdf" TargetMode="External"/><Relationship Id="rId111" Type="http://schemas.openxmlformats.org/officeDocument/2006/relationships/hyperlink" Target="https://github.com/d-wkim/phd/blob/main/data/pdf/butt_2024.pdf" TargetMode="External"/><Relationship Id="rId353" Type="http://schemas.openxmlformats.org/officeDocument/2006/relationships/hyperlink" Target="https://github.com/d-wkim/phd/blob/main/data/pdf/kautzner_2015.pdf" TargetMode="External"/><Relationship Id="rId595" Type="http://schemas.openxmlformats.org/officeDocument/2006/relationships/hyperlink" Target="https://github.com/d-wkim/phd/blob/main/data/pdf/mohtadi_2016a.pdf" TargetMode="External"/><Relationship Id="rId305" Type="http://schemas.openxmlformats.org/officeDocument/2006/relationships/hyperlink" Target="https://github.com/d-wkim/phd/blob/main/data/pdf/ibrahim_2005.pdf" TargetMode="External"/><Relationship Id="rId547" Type="http://schemas.openxmlformats.org/officeDocument/2006/relationships/hyperlink" Target="https://github.com/d-wkim/phd/blob/main/data/pdf/maletis_2007.pdf" TargetMode="External"/><Relationship Id="rId789" Type="http://schemas.openxmlformats.org/officeDocument/2006/relationships/hyperlink" Target="https://github.com/d-wkim/phd/blob/main/data/pdf/sonnery-cottet_2020.pdf" TargetMode="External"/><Relationship Id="rId304" Type="http://schemas.openxmlformats.org/officeDocument/2006/relationships/hyperlink" Target="https://raw.githubusercontent.com/d-wkim/phd/refs/heads/main/data/pdf/ibrahim_2005.pdf" TargetMode="External"/><Relationship Id="rId546" Type="http://schemas.openxmlformats.org/officeDocument/2006/relationships/hyperlink" Target="https://raw.githubusercontent.com/d-wkim/phd/refs/heads/main/data/pdf/maletis_2007.pdf" TargetMode="External"/><Relationship Id="rId788" Type="http://schemas.openxmlformats.org/officeDocument/2006/relationships/hyperlink" Target="https://raw.githubusercontent.com/d-wkim/phd/refs/heads/main/data/pdf/sonnery-cottet_2020.pdf" TargetMode="External"/><Relationship Id="rId303" Type="http://schemas.openxmlformats.org/officeDocument/2006/relationships/hyperlink" Target="https://github.com/d-wkim/phd/blob/main/data/pdf/ibrahim_2005.pdf" TargetMode="External"/><Relationship Id="rId545" Type="http://schemas.openxmlformats.org/officeDocument/2006/relationships/hyperlink" Target="https://github.com/d-wkim/phd/blob/main/data/pdf/maletis_2007.pdf" TargetMode="External"/><Relationship Id="rId787" Type="http://schemas.openxmlformats.org/officeDocument/2006/relationships/hyperlink" Target="https://github.com/d-wkim/phd/blob/main/data/pdf/sonnery-cottet_2020.pdf" TargetMode="External"/><Relationship Id="rId302" Type="http://schemas.openxmlformats.org/officeDocument/2006/relationships/hyperlink" Target="https://raw.githubusercontent.com/d-wkim/phd/refs/heads/main/data/pdf/ibrahim_2005.pdf" TargetMode="External"/><Relationship Id="rId544" Type="http://schemas.openxmlformats.org/officeDocument/2006/relationships/hyperlink" Target="https://raw.githubusercontent.com/d-wkim/phd/refs/heads/main/data/pdf/maletis_2007.pdf" TargetMode="External"/><Relationship Id="rId786" Type="http://schemas.openxmlformats.org/officeDocument/2006/relationships/hyperlink" Target="https://raw.githubusercontent.com/d-wkim/phd/refs/heads/main/data/pdf/sonnery-cottet_2020.pdf" TargetMode="External"/><Relationship Id="rId309" Type="http://schemas.openxmlformats.org/officeDocument/2006/relationships/hyperlink" Target="https://github.com/d-wkim/phd/blob/main/data/pdf/iliopoulos_2017.pdf" TargetMode="External"/><Relationship Id="rId308" Type="http://schemas.openxmlformats.org/officeDocument/2006/relationships/hyperlink" Target="https://raw.githubusercontent.com/d-wkim/phd/refs/heads/main/data/pdf/iliopoulos_2017.pdf" TargetMode="External"/><Relationship Id="rId307" Type="http://schemas.openxmlformats.org/officeDocument/2006/relationships/hyperlink" Target="https://github.com/d-wkim/phd/blob/main/data/pdf/iliopoulos_2017.pdf" TargetMode="External"/><Relationship Id="rId549" Type="http://schemas.openxmlformats.org/officeDocument/2006/relationships/hyperlink" Target="https://github.com/d-wkim/phd/blob/main/data/pdf/maletis_2007.pdf" TargetMode="External"/><Relationship Id="rId306" Type="http://schemas.openxmlformats.org/officeDocument/2006/relationships/hyperlink" Target="https://raw.githubusercontent.com/d-wkim/phd/refs/heads/main/data/pdf/iliopoulos_2017.pdf" TargetMode="External"/><Relationship Id="rId548" Type="http://schemas.openxmlformats.org/officeDocument/2006/relationships/hyperlink" Target="https://raw.githubusercontent.com/d-wkim/phd/refs/heads/main/data/pdf/maletis_2007.pdf" TargetMode="External"/><Relationship Id="rId781" Type="http://schemas.openxmlformats.org/officeDocument/2006/relationships/hyperlink" Target="https://github.com/d-wkim/phd/blob/main/data/pdf/sonnery-cottet_2020.pdf" TargetMode="External"/><Relationship Id="rId780" Type="http://schemas.openxmlformats.org/officeDocument/2006/relationships/hyperlink" Target="https://raw.githubusercontent.com/d-wkim/phd/refs/heads/main/data/pdf/sonnery-cottet_2020.pdf" TargetMode="External"/><Relationship Id="rId301" Type="http://schemas.openxmlformats.org/officeDocument/2006/relationships/hyperlink" Target="https://github.com/d-wkim/phd/blob/main/data/pdf/ibrahim_2005.pdf" TargetMode="External"/><Relationship Id="rId543" Type="http://schemas.openxmlformats.org/officeDocument/2006/relationships/hyperlink" Target="https://github.com/d-wkim/phd/blob/main/data/pdf/lund_2014.pdf" TargetMode="External"/><Relationship Id="rId785" Type="http://schemas.openxmlformats.org/officeDocument/2006/relationships/hyperlink" Target="https://github.com/d-wkim/phd/blob/main/data/pdf/sonnery-cottet_2020.pdf" TargetMode="External"/><Relationship Id="rId300" Type="http://schemas.openxmlformats.org/officeDocument/2006/relationships/hyperlink" Target="https://raw.githubusercontent.com/d-wkim/phd/refs/heads/main/data/pdf/ibrahim_2005.pdf" TargetMode="External"/><Relationship Id="rId542" Type="http://schemas.openxmlformats.org/officeDocument/2006/relationships/hyperlink" Target="https://raw.githubusercontent.com/d-wkim/phd/refs/heads/main/data/pdf/lund_2014.pdf" TargetMode="External"/><Relationship Id="rId784" Type="http://schemas.openxmlformats.org/officeDocument/2006/relationships/hyperlink" Target="https://raw.githubusercontent.com/d-wkim/phd/refs/heads/main/data/pdf/sonnery-cottet_2020.pdf" TargetMode="External"/><Relationship Id="rId541" Type="http://schemas.openxmlformats.org/officeDocument/2006/relationships/hyperlink" Target="https://github.com/d-wkim/phd/blob/main/data/pdf/lund_2014.pdf" TargetMode="External"/><Relationship Id="rId783" Type="http://schemas.openxmlformats.org/officeDocument/2006/relationships/hyperlink" Target="https://github.com/d-wkim/phd/blob/main/data/pdf/sonnery-cottet_2020.pdf" TargetMode="External"/><Relationship Id="rId540" Type="http://schemas.openxmlformats.org/officeDocument/2006/relationships/hyperlink" Target="https://raw.githubusercontent.com/d-wkim/phd/refs/heads/main/data/pdf/lund_2014.pdf" TargetMode="External"/><Relationship Id="rId782" Type="http://schemas.openxmlformats.org/officeDocument/2006/relationships/hyperlink" Target="https://raw.githubusercontent.com/d-wkim/phd/refs/heads/main/data/pdf/sonnery-cottet_2020.pdf" TargetMode="External"/><Relationship Id="rId536" Type="http://schemas.openxmlformats.org/officeDocument/2006/relationships/hyperlink" Target="https://raw.githubusercontent.com/d-wkim/phd/refs/heads/main/data/pdf/lund_2014.pdf" TargetMode="External"/><Relationship Id="rId778" Type="http://schemas.openxmlformats.org/officeDocument/2006/relationships/hyperlink" Target="https://raw.githubusercontent.com/d-wkim/phd/refs/heads/main/data/pdf/sonnery-cottet_2020.pdf" TargetMode="External"/><Relationship Id="rId535" Type="http://schemas.openxmlformats.org/officeDocument/2006/relationships/hyperlink" Target="https://github.com/d-wkim/phd/blob/main/data/pdf/lund_2014.pdf" TargetMode="External"/><Relationship Id="rId777" Type="http://schemas.openxmlformats.org/officeDocument/2006/relationships/hyperlink" Target="https://github.com/d-wkim/phd/blob/main/data/pdf/sonnery-cottet_2020.pdf" TargetMode="External"/><Relationship Id="rId534" Type="http://schemas.openxmlformats.org/officeDocument/2006/relationships/hyperlink" Target="https://raw.githubusercontent.com/d-wkim/phd/refs/heads/main/data/pdf/lund_2014.pdf" TargetMode="External"/><Relationship Id="rId776" Type="http://schemas.openxmlformats.org/officeDocument/2006/relationships/hyperlink" Target="https://raw.githubusercontent.com/d-wkim/phd/refs/heads/main/data/pdf/sonnery-cottet_2020.pdf" TargetMode="External"/><Relationship Id="rId533" Type="http://schemas.openxmlformats.org/officeDocument/2006/relationships/hyperlink" Target="https://github.com/d-wkim/phd/blob/main/data/pdf/lund_2014.pdf" TargetMode="External"/><Relationship Id="rId775" Type="http://schemas.openxmlformats.org/officeDocument/2006/relationships/hyperlink" Target="https://github.com/d-wkim/phd/blob/main/data/pdf/sonnery-cottet_2020.pdf" TargetMode="External"/><Relationship Id="rId539" Type="http://schemas.openxmlformats.org/officeDocument/2006/relationships/hyperlink" Target="https://github.com/d-wkim/phd/blob/main/data/pdf/lund_2014.pdf" TargetMode="External"/><Relationship Id="rId538" Type="http://schemas.openxmlformats.org/officeDocument/2006/relationships/hyperlink" Target="https://raw.githubusercontent.com/d-wkim/phd/refs/heads/main/data/pdf/lund_2014.pdf" TargetMode="External"/><Relationship Id="rId537" Type="http://schemas.openxmlformats.org/officeDocument/2006/relationships/hyperlink" Target="https://github.com/d-wkim/phd/blob/main/data/pdf/lund_2014.pdf" TargetMode="External"/><Relationship Id="rId779" Type="http://schemas.openxmlformats.org/officeDocument/2006/relationships/hyperlink" Target="https://github.com/d-wkim/phd/blob/main/data/pdf/sonnery-cottet_2020.pdf" TargetMode="External"/><Relationship Id="rId770" Type="http://schemas.openxmlformats.org/officeDocument/2006/relationships/hyperlink" Target="https://raw.githubusercontent.com/d-wkim/phd/refs/heads/main/data/pdf/smith_2020.pdf" TargetMode="External"/><Relationship Id="rId532" Type="http://schemas.openxmlformats.org/officeDocument/2006/relationships/hyperlink" Target="https://raw.githubusercontent.com/d-wkim/phd/refs/heads/main/data/pdf/lund_2014.pdf" TargetMode="External"/><Relationship Id="rId774" Type="http://schemas.openxmlformats.org/officeDocument/2006/relationships/hyperlink" Target="https://raw.githubusercontent.com/d-wkim/phd/refs/heads/main/data/pdf/sonnery-cottet_2020.pdf" TargetMode="External"/><Relationship Id="rId531" Type="http://schemas.openxmlformats.org/officeDocument/2006/relationships/hyperlink" Target="https://github.com/d-wkim/phd/blob/main/data/pdf/lui_2012.pdf" TargetMode="External"/><Relationship Id="rId773" Type="http://schemas.openxmlformats.org/officeDocument/2006/relationships/hyperlink" Target="https://github.com/d-wkim/phd/blob/main/data/pdf/smith_2020.pdf" TargetMode="External"/><Relationship Id="rId530" Type="http://schemas.openxmlformats.org/officeDocument/2006/relationships/hyperlink" Target="https://raw.githubusercontent.com/d-wkim/phd/refs/heads/main/data/pdf/lui_2012.pdf" TargetMode="External"/><Relationship Id="rId772" Type="http://schemas.openxmlformats.org/officeDocument/2006/relationships/hyperlink" Target="https://raw.githubusercontent.com/d-wkim/phd/refs/heads/main/data/pdf/smith_2020.pdf" TargetMode="External"/><Relationship Id="rId771" Type="http://schemas.openxmlformats.org/officeDocument/2006/relationships/hyperlink" Target="https://github.com/d-wkim/phd/blob/main/data/pdf/smith_2020.pdf" TargetMode="External"/><Relationship Id="rId327" Type="http://schemas.openxmlformats.org/officeDocument/2006/relationships/hyperlink" Target="https://github.com/d-wkim/phd/blob/main/data/pdf/jansson_2003.pdf" TargetMode="External"/><Relationship Id="rId569" Type="http://schemas.openxmlformats.org/officeDocument/2006/relationships/hyperlink" Target="https://github.com/d-wkim/phd/blob/main/data/pdf/malik_2026.pdf" TargetMode="External"/><Relationship Id="rId326" Type="http://schemas.openxmlformats.org/officeDocument/2006/relationships/hyperlink" Target="https://raw.githubusercontent.com/d-wkim/phd/refs/heads/main/data/pdf/jansson_2003.pdf" TargetMode="External"/><Relationship Id="rId568" Type="http://schemas.openxmlformats.org/officeDocument/2006/relationships/hyperlink" Target="https://raw.githubusercontent.com/d-wkim/phd/refs/heads/main/data/pdf/malik_2026.pdf" TargetMode="External"/><Relationship Id="rId325" Type="http://schemas.openxmlformats.org/officeDocument/2006/relationships/hyperlink" Target="https://github.com/d-wkim/phd/blob/main/data/pdf/jansson_2003.pdf" TargetMode="External"/><Relationship Id="rId567" Type="http://schemas.openxmlformats.org/officeDocument/2006/relationships/hyperlink" Target="https://github.com/d-wkim/phd/blob/main/data/pdf/malik_2026.pdf" TargetMode="External"/><Relationship Id="rId324" Type="http://schemas.openxmlformats.org/officeDocument/2006/relationships/hyperlink" Target="https://raw.githubusercontent.com/d-wkim/phd/refs/heads/main/data/pdf/jansson_2003.pdf" TargetMode="External"/><Relationship Id="rId566" Type="http://schemas.openxmlformats.org/officeDocument/2006/relationships/hyperlink" Target="https://raw.githubusercontent.com/d-wkim/phd/refs/heads/main/data/pdf/malik_2026.pdf" TargetMode="External"/><Relationship Id="rId329" Type="http://schemas.openxmlformats.org/officeDocument/2006/relationships/hyperlink" Target="https://github.com/d-wkim/phd/blob/main/data/pdf/jansson_2003.pdf" TargetMode="External"/><Relationship Id="rId328" Type="http://schemas.openxmlformats.org/officeDocument/2006/relationships/hyperlink" Target="https://raw.githubusercontent.com/d-wkim/phd/refs/heads/main/data/pdf/jansson_2003.pdf" TargetMode="External"/><Relationship Id="rId561" Type="http://schemas.openxmlformats.org/officeDocument/2006/relationships/hyperlink" Target="https://github.com/d-wkim/phd/blob/main/data/pdf/malik_2026.pdf" TargetMode="External"/><Relationship Id="rId560" Type="http://schemas.openxmlformats.org/officeDocument/2006/relationships/hyperlink" Target="https://raw.githubusercontent.com/d-wkim/phd/refs/heads/main/data/pdf/malik_2026.pdf" TargetMode="External"/><Relationship Id="rId323" Type="http://schemas.openxmlformats.org/officeDocument/2006/relationships/hyperlink" Target="https://github.com/d-wkim/phd/blob/main/data/pdf/jansson_2003.pdf" TargetMode="External"/><Relationship Id="rId565" Type="http://schemas.openxmlformats.org/officeDocument/2006/relationships/hyperlink" Target="https://github.com/d-wkim/phd/blob/main/data/pdf/malik_2026.pdf" TargetMode="External"/><Relationship Id="rId322" Type="http://schemas.openxmlformats.org/officeDocument/2006/relationships/hyperlink" Target="https://raw.githubusercontent.com/d-wkim/phd/refs/heads/main/data/pdf/jansson_2003.pdf" TargetMode="External"/><Relationship Id="rId564" Type="http://schemas.openxmlformats.org/officeDocument/2006/relationships/hyperlink" Target="https://raw.githubusercontent.com/d-wkim/phd/refs/heads/main/data/pdf/malik_2026.pdf" TargetMode="External"/><Relationship Id="rId321" Type="http://schemas.openxmlformats.org/officeDocument/2006/relationships/hyperlink" Target="https://github.com/d-wkim/phd/blob/main/data/pdf/iliopoulos_2017.pdf" TargetMode="External"/><Relationship Id="rId563" Type="http://schemas.openxmlformats.org/officeDocument/2006/relationships/hyperlink" Target="https://github.com/d-wkim/phd/blob/main/data/pdf/malik_2026.pdf" TargetMode="External"/><Relationship Id="rId320" Type="http://schemas.openxmlformats.org/officeDocument/2006/relationships/hyperlink" Target="https://raw.githubusercontent.com/d-wkim/phd/refs/heads/main/data/pdf/iliopoulos_2017.pdf" TargetMode="External"/><Relationship Id="rId562" Type="http://schemas.openxmlformats.org/officeDocument/2006/relationships/hyperlink" Target="https://raw.githubusercontent.com/d-wkim/phd/refs/heads/main/data/pdf/malik_2026.pdf" TargetMode="External"/><Relationship Id="rId316" Type="http://schemas.openxmlformats.org/officeDocument/2006/relationships/hyperlink" Target="https://raw.githubusercontent.com/d-wkim/phd/refs/heads/main/data/pdf/iliopoulos_2017.pdf" TargetMode="External"/><Relationship Id="rId558" Type="http://schemas.openxmlformats.org/officeDocument/2006/relationships/hyperlink" Target="https://raw.githubusercontent.com/d-wkim/phd/refs/heads/main/data/pdf/maletis_2007.pdf" TargetMode="External"/><Relationship Id="rId315" Type="http://schemas.openxmlformats.org/officeDocument/2006/relationships/hyperlink" Target="https://github.com/d-wkim/phd/blob/main/data/pdf/iliopoulos_2017.pdf" TargetMode="External"/><Relationship Id="rId557" Type="http://schemas.openxmlformats.org/officeDocument/2006/relationships/hyperlink" Target="https://github.com/d-wkim/phd/blob/main/data/pdf/maletis_2007.pdf" TargetMode="External"/><Relationship Id="rId799" Type="http://schemas.openxmlformats.org/officeDocument/2006/relationships/hyperlink" Target="https://github.com/d-wkim/phd/blob/main/data/pdf/sonnery-cottet_2026.pdf" TargetMode="External"/><Relationship Id="rId314" Type="http://schemas.openxmlformats.org/officeDocument/2006/relationships/hyperlink" Target="https://raw.githubusercontent.com/d-wkim/phd/refs/heads/main/data/pdf/iliopoulos_2017.pdf" TargetMode="External"/><Relationship Id="rId556" Type="http://schemas.openxmlformats.org/officeDocument/2006/relationships/hyperlink" Target="https://raw.githubusercontent.com/d-wkim/phd/refs/heads/main/data/pdf/maletis_2007.pdf" TargetMode="External"/><Relationship Id="rId798" Type="http://schemas.openxmlformats.org/officeDocument/2006/relationships/hyperlink" Target="https://raw.githubusercontent.com/d-wkim/phd/refs/heads/main/data/pdf/sonnery-cottet_2026.pdf" TargetMode="External"/><Relationship Id="rId313" Type="http://schemas.openxmlformats.org/officeDocument/2006/relationships/hyperlink" Target="https://github.com/d-wkim/phd/blob/main/data/pdf/iliopoulos_2017.pdf" TargetMode="External"/><Relationship Id="rId555" Type="http://schemas.openxmlformats.org/officeDocument/2006/relationships/hyperlink" Target="https://github.com/d-wkim/phd/blob/main/data/pdf/maletis_2007.pdf" TargetMode="External"/><Relationship Id="rId797" Type="http://schemas.openxmlformats.org/officeDocument/2006/relationships/hyperlink" Target="https://github.com/d-wkim/phd/blob/main/data/pdf/sonnery-cottet_2020.pdf" TargetMode="External"/><Relationship Id="rId319" Type="http://schemas.openxmlformats.org/officeDocument/2006/relationships/hyperlink" Target="https://github.com/d-wkim/phd/blob/main/data/pdf/iliopoulos_2017.pdf" TargetMode="External"/><Relationship Id="rId318" Type="http://schemas.openxmlformats.org/officeDocument/2006/relationships/hyperlink" Target="https://raw.githubusercontent.com/d-wkim/phd/refs/heads/main/data/pdf/iliopoulos_2017.pdf" TargetMode="External"/><Relationship Id="rId317" Type="http://schemas.openxmlformats.org/officeDocument/2006/relationships/hyperlink" Target="https://github.com/d-wkim/phd/blob/main/data/pdf/iliopoulos_2017.pdf" TargetMode="External"/><Relationship Id="rId559" Type="http://schemas.openxmlformats.org/officeDocument/2006/relationships/hyperlink" Target="https://github.com/d-wkim/phd/blob/main/data/pdf/maletis_2007.pdf" TargetMode="External"/><Relationship Id="rId550" Type="http://schemas.openxmlformats.org/officeDocument/2006/relationships/hyperlink" Target="https://raw.githubusercontent.com/d-wkim/phd/refs/heads/main/data/pdf/maletis_2007.pdf" TargetMode="External"/><Relationship Id="rId792" Type="http://schemas.openxmlformats.org/officeDocument/2006/relationships/hyperlink" Target="https://raw.githubusercontent.com/d-wkim/phd/refs/heads/main/data/pdf/sonnery-cottet_2020.pdf" TargetMode="External"/><Relationship Id="rId791" Type="http://schemas.openxmlformats.org/officeDocument/2006/relationships/hyperlink" Target="https://github.com/d-wkim/phd/blob/main/data/pdf/sonnery-cottet_2020.pdf" TargetMode="External"/><Relationship Id="rId790" Type="http://schemas.openxmlformats.org/officeDocument/2006/relationships/hyperlink" Target="https://raw.githubusercontent.com/d-wkim/phd/refs/heads/main/data/pdf/sonnery-cottet_2020.pdf" TargetMode="External"/><Relationship Id="rId312" Type="http://schemas.openxmlformats.org/officeDocument/2006/relationships/hyperlink" Target="https://raw.githubusercontent.com/d-wkim/phd/refs/heads/main/data/pdf/iliopoulos_2017.pdf" TargetMode="External"/><Relationship Id="rId554" Type="http://schemas.openxmlformats.org/officeDocument/2006/relationships/hyperlink" Target="https://raw.githubusercontent.com/d-wkim/phd/refs/heads/main/data/pdf/maletis_2007.pdf" TargetMode="External"/><Relationship Id="rId796" Type="http://schemas.openxmlformats.org/officeDocument/2006/relationships/hyperlink" Target="https://raw.githubusercontent.com/d-wkim/phd/refs/heads/main/data/pdf/sonnery-cottet_2020.pdf" TargetMode="External"/><Relationship Id="rId311" Type="http://schemas.openxmlformats.org/officeDocument/2006/relationships/hyperlink" Target="https://github.com/d-wkim/phd/blob/main/data/pdf/iliopoulos_2017.pdf" TargetMode="External"/><Relationship Id="rId553" Type="http://schemas.openxmlformats.org/officeDocument/2006/relationships/hyperlink" Target="https://github.com/d-wkim/phd/blob/main/data/pdf/maletis_2007.pdf" TargetMode="External"/><Relationship Id="rId795" Type="http://schemas.openxmlformats.org/officeDocument/2006/relationships/hyperlink" Target="https://github.com/d-wkim/phd/blob/main/data/pdf/sonnery-cottet_2020.pdf" TargetMode="External"/><Relationship Id="rId310" Type="http://schemas.openxmlformats.org/officeDocument/2006/relationships/hyperlink" Target="https://raw.githubusercontent.com/d-wkim/phd/refs/heads/main/data/pdf/iliopoulos_2017.pdf" TargetMode="External"/><Relationship Id="rId552" Type="http://schemas.openxmlformats.org/officeDocument/2006/relationships/hyperlink" Target="https://raw.githubusercontent.com/d-wkim/phd/refs/heads/main/data/pdf/maletis_2007.pdf" TargetMode="External"/><Relationship Id="rId794" Type="http://schemas.openxmlformats.org/officeDocument/2006/relationships/hyperlink" Target="https://raw.githubusercontent.com/d-wkim/phd/refs/heads/main/data/pdf/sonnery-cottet_2020.pdf" TargetMode="External"/><Relationship Id="rId551" Type="http://schemas.openxmlformats.org/officeDocument/2006/relationships/hyperlink" Target="https://github.com/d-wkim/phd/blob/main/data/pdf/maletis_2007.pdf" TargetMode="External"/><Relationship Id="rId793" Type="http://schemas.openxmlformats.org/officeDocument/2006/relationships/hyperlink" Target="https://github.com/d-wkim/phd/blob/main/data/pdf/sonnery-cottet_2020.pdf" TargetMode="External"/><Relationship Id="rId297" Type="http://schemas.openxmlformats.org/officeDocument/2006/relationships/hyperlink" Target="https://github.com/d-wkim/phd/blob/main/data/pdf/ibrahim_2005.pdf" TargetMode="External"/><Relationship Id="rId296" Type="http://schemas.openxmlformats.org/officeDocument/2006/relationships/hyperlink" Target="https://raw.githubusercontent.com/d-wkim/phd/refs/heads/main/data/pdf/ibrahim_2005.pdf" TargetMode="External"/><Relationship Id="rId295" Type="http://schemas.openxmlformats.org/officeDocument/2006/relationships/hyperlink" Target="https://github.com/d-wkim/phd/blob/main/data/pdf/ibrahim_2005.pdf" TargetMode="External"/><Relationship Id="rId294" Type="http://schemas.openxmlformats.org/officeDocument/2006/relationships/hyperlink" Target="https://raw.githubusercontent.com/d-wkim/phd/refs/heads/main/data/pdf/ibrahim_2005.pdf" TargetMode="External"/><Relationship Id="rId299" Type="http://schemas.openxmlformats.org/officeDocument/2006/relationships/hyperlink" Target="https://github.com/d-wkim/phd/blob/main/data/pdf/ibrahim_2005.pdf" TargetMode="External"/><Relationship Id="rId298" Type="http://schemas.openxmlformats.org/officeDocument/2006/relationships/hyperlink" Target="https://raw.githubusercontent.com/d-wkim/phd/refs/heads/main/data/pdf/ibrahim_2005.pdf" TargetMode="External"/><Relationship Id="rId271" Type="http://schemas.openxmlformats.org/officeDocument/2006/relationships/hyperlink" Target="https://github.com/d-wkim/phd/blob/main/data/pdf/holm_2010.pdf" TargetMode="External"/><Relationship Id="rId270" Type="http://schemas.openxmlformats.org/officeDocument/2006/relationships/hyperlink" Target="https://raw.githubusercontent.com/d-wkim/phd/refs/heads/main/data/pdf/holm_2010.pdf" TargetMode="External"/><Relationship Id="rId269" Type="http://schemas.openxmlformats.org/officeDocument/2006/relationships/hyperlink" Target="https://github.com/d-wkim/phd/blob/main/data/pdf/holm_2010.pdf" TargetMode="External"/><Relationship Id="rId264" Type="http://schemas.openxmlformats.org/officeDocument/2006/relationships/hyperlink" Target="https://raw.githubusercontent.com/d-wkim/phd/refs/heads/main/data/pdf/heijne_werner_2010.pdf" TargetMode="External"/><Relationship Id="rId263" Type="http://schemas.openxmlformats.org/officeDocument/2006/relationships/hyperlink" Target="https://github.com/d-wkim/phd/blob/main/data/pdf/heijne_werner_2010.pdf" TargetMode="External"/><Relationship Id="rId262" Type="http://schemas.openxmlformats.org/officeDocument/2006/relationships/hyperlink" Target="https://raw.githubusercontent.com/d-wkim/phd/refs/heads/main/data/pdf/heijne_werner_2010.pdf" TargetMode="External"/><Relationship Id="rId261" Type="http://schemas.openxmlformats.org/officeDocument/2006/relationships/hyperlink" Target="https://github.com/d-wkim/phd/blob/main/data/pdf/heijne_werner_2010.pdf" TargetMode="External"/><Relationship Id="rId268" Type="http://schemas.openxmlformats.org/officeDocument/2006/relationships/hyperlink" Target="https://raw.githubusercontent.com/d-wkim/phd/refs/heads/main/data/pdf/holm_2010.pdf" TargetMode="External"/><Relationship Id="rId267" Type="http://schemas.openxmlformats.org/officeDocument/2006/relationships/hyperlink" Target="https://github.com/d-wkim/phd/blob/main/data/pdf/holm_2010.pdf" TargetMode="External"/><Relationship Id="rId266" Type="http://schemas.openxmlformats.org/officeDocument/2006/relationships/hyperlink" Target="https://raw.githubusercontent.com/d-wkim/phd/refs/heads/main/data/pdf/holm_2010.pdf" TargetMode="External"/><Relationship Id="rId265" Type="http://schemas.openxmlformats.org/officeDocument/2006/relationships/hyperlink" Target="https://github.com/d-wkim/phd/blob/main/data/pdf/heijne_werner_2010.pdf" TargetMode="External"/><Relationship Id="rId260" Type="http://schemas.openxmlformats.org/officeDocument/2006/relationships/hyperlink" Target="https://raw.githubusercontent.com/d-wkim/phd/refs/heads/main/data/pdf/heijne_werner_2010.pdf" TargetMode="External"/><Relationship Id="rId259" Type="http://schemas.openxmlformats.org/officeDocument/2006/relationships/hyperlink" Target="https://github.com/d-wkim/phd/blob/main/data/pdf/heijne_werner_2010.pdf" TargetMode="External"/><Relationship Id="rId258" Type="http://schemas.openxmlformats.org/officeDocument/2006/relationships/hyperlink" Target="https://raw.githubusercontent.com/d-wkim/phd/refs/heads/main/data/pdf/heijne_werner_2010.pdf" TargetMode="External"/><Relationship Id="rId253" Type="http://schemas.openxmlformats.org/officeDocument/2006/relationships/hyperlink" Target="https://github.com/d-wkim/phd/blob/main/data/pdf/harilainen_2006.pdf" TargetMode="External"/><Relationship Id="rId495" Type="http://schemas.openxmlformats.org/officeDocument/2006/relationships/hyperlink" Target="https://github.com/d-wkim/phd/blob/main/data/pdf/lucidi_2025.pdf" TargetMode="External"/><Relationship Id="rId252" Type="http://schemas.openxmlformats.org/officeDocument/2006/relationships/hyperlink" Target="https://raw.githubusercontent.com/d-wkim/phd/refs/heads/main/data/pdf/harilainen_2006.pdf" TargetMode="External"/><Relationship Id="rId494" Type="http://schemas.openxmlformats.org/officeDocument/2006/relationships/hyperlink" Target="https://raw.githubusercontent.com/d-wkim/phd/refs/heads/main/data/pdf/lucidi_2025.pdf" TargetMode="External"/><Relationship Id="rId251" Type="http://schemas.openxmlformats.org/officeDocument/2006/relationships/hyperlink" Target="https://github.com/d-wkim/phd/blob/main/data/pdf/harilainen_2006.pdf" TargetMode="External"/><Relationship Id="rId493" Type="http://schemas.openxmlformats.org/officeDocument/2006/relationships/hyperlink" Target="https://github.com/d-wkim/phd/blob/main/data/pdf/lucidi_2025.pdf" TargetMode="External"/><Relationship Id="rId250" Type="http://schemas.openxmlformats.org/officeDocument/2006/relationships/hyperlink" Target="https://raw.githubusercontent.com/d-wkim/phd/refs/heads/main/data/pdf/harilainen_2006.pdf" TargetMode="External"/><Relationship Id="rId492" Type="http://schemas.openxmlformats.org/officeDocument/2006/relationships/hyperlink" Target="https://raw.githubusercontent.com/d-wkim/phd/refs/heads/main/data/pdf/lucidi_2025.pdf" TargetMode="External"/><Relationship Id="rId257" Type="http://schemas.openxmlformats.org/officeDocument/2006/relationships/hyperlink" Target="https://github.com/d-wkim/phd/blob/main/data/pdf/heijne_werner_2010.pdf" TargetMode="External"/><Relationship Id="rId499" Type="http://schemas.openxmlformats.org/officeDocument/2006/relationships/hyperlink" Target="https://github.com/d-wkim/phd/blob/main/data/pdf/lucidi_2025.pdf" TargetMode="External"/><Relationship Id="rId256" Type="http://schemas.openxmlformats.org/officeDocument/2006/relationships/hyperlink" Target="https://raw.githubusercontent.com/d-wkim/phd/refs/heads/main/data/pdf/heijne_werner_2010.pdf" TargetMode="External"/><Relationship Id="rId498" Type="http://schemas.openxmlformats.org/officeDocument/2006/relationships/hyperlink" Target="https://raw.githubusercontent.com/d-wkim/phd/refs/heads/main/data/pdf/lucidi_2025.pdf" TargetMode="External"/><Relationship Id="rId255" Type="http://schemas.openxmlformats.org/officeDocument/2006/relationships/hyperlink" Target="https://github.com/d-wkim/phd/blob/main/data/pdf/heijne_werner_2010.pdf" TargetMode="External"/><Relationship Id="rId497" Type="http://schemas.openxmlformats.org/officeDocument/2006/relationships/hyperlink" Target="https://github.com/d-wkim/phd/blob/main/data/pdf/lucidi_2025.pdf" TargetMode="External"/><Relationship Id="rId254" Type="http://schemas.openxmlformats.org/officeDocument/2006/relationships/hyperlink" Target="https://raw.githubusercontent.com/d-wkim/phd/refs/heads/main/data/pdf/heijne_werner_2010.pdf" TargetMode="External"/><Relationship Id="rId496" Type="http://schemas.openxmlformats.org/officeDocument/2006/relationships/hyperlink" Target="https://raw.githubusercontent.com/d-wkim/phd/refs/heads/main/data/pdf/lucidi_2025.pdf" TargetMode="External"/><Relationship Id="rId293" Type="http://schemas.openxmlformats.org/officeDocument/2006/relationships/hyperlink" Target="https://github.com/d-wkim/phd/blob/main/data/pdf/ibrahim_2005.pdf" TargetMode="External"/><Relationship Id="rId292" Type="http://schemas.openxmlformats.org/officeDocument/2006/relationships/hyperlink" Target="https://raw.githubusercontent.com/d-wkim/phd/refs/heads/main/data/pdf/ibrahim_2005.pdf" TargetMode="External"/><Relationship Id="rId291" Type="http://schemas.openxmlformats.org/officeDocument/2006/relationships/hyperlink" Target="https://github.com/d-wkim/phd/blob/main/data/pdf/ibrahim_2005.pdf" TargetMode="External"/><Relationship Id="rId290" Type="http://schemas.openxmlformats.org/officeDocument/2006/relationships/hyperlink" Target="https://raw.githubusercontent.com/d-wkim/phd/refs/heads/main/data/pdf/ibrahim_2005.pdf" TargetMode="External"/><Relationship Id="rId286" Type="http://schemas.openxmlformats.org/officeDocument/2006/relationships/hyperlink" Target="https://raw.githubusercontent.com/d-wkim/phd/refs/heads/main/data/pdf/horstmann_2022.pdf" TargetMode="External"/><Relationship Id="rId285" Type="http://schemas.openxmlformats.org/officeDocument/2006/relationships/hyperlink" Target="https://github.com/d-wkim/phd/blob/main/data/pdf/horstmann_2022.pdf" TargetMode="External"/><Relationship Id="rId284" Type="http://schemas.openxmlformats.org/officeDocument/2006/relationships/hyperlink" Target="https://raw.githubusercontent.com/d-wkim/phd/refs/heads/main/data/pdf/horstmann_2022.pdf" TargetMode="External"/><Relationship Id="rId283" Type="http://schemas.openxmlformats.org/officeDocument/2006/relationships/hyperlink" Target="https://github.com/d-wkim/phd/blob/main/data/pdf/horstmann_2022.pdf" TargetMode="External"/><Relationship Id="rId289" Type="http://schemas.openxmlformats.org/officeDocument/2006/relationships/hyperlink" Target="https://github.com/d-wkim/phd/blob/main/data/pdf/horstmann_2022.pdf" TargetMode="External"/><Relationship Id="rId288" Type="http://schemas.openxmlformats.org/officeDocument/2006/relationships/hyperlink" Target="https://raw.githubusercontent.com/d-wkim/phd/refs/heads/main/data/pdf/horstmann_2022.pdf" TargetMode="External"/><Relationship Id="rId287" Type="http://schemas.openxmlformats.org/officeDocument/2006/relationships/hyperlink" Target="https://github.com/d-wkim/phd/blob/main/data/pdf/horstmann_2022.pdf" TargetMode="External"/><Relationship Id="rId282" Type="http://schemas.openxmlformats.org/officeDocument/2006/relationships/hyperlink" Target="https://raw.githubusercontent.com/d-wkim/phd/refs/heads/main/data/pdf/horstmann_2022.pdf" TargetMode="External"/><Relationship Id="rId281" Type="http://schemas.openxmlformats.org/officeDocument/2006/relationships/hyperlink" Target="https://github.com/d-wkim/phd/blob/main/data/pdf/horstmann_2022.pdf" TargetMode="External"/><Relationship Id="rId280" Type="http://schemas.openxmlformats.org/officeDocument/2006/relationships/hyperlink" Target="https://raw.githubusercontent.com/d-wkim/phd/refs/heads/main/data/pdf/horstmann_2022.pdf" TargetMode="External"/><Relationship Id="rId275" Type="http://schemas.openxmlformats.org/officeDocument/2006/relationships/hyperlink" Target="https://github.com/d-wkim/phd/blob/main/data/pdf/horstmann_2022.pdf" TargetMode="External"/><Relationship Id="rId274" Type="http://schemas.openxmlformats.org/officeDocument/2006/relationships/hyperlink" Target="https://raw.githubusercontent.com/d-wkim/phd/refs/heads/main/data/pdf/horstmann_2022.pdf" TargetMode="External"/><Relationship Id="rId273" Type="http://schemas.openxmlformats.org/officeDocument/2006/relationships/hyperlink" Target="https://github.com/d-wkim/phd/blob/main/data/pdf/holm_2010.pdf" TargetMode="External"/><Relationship Id="rId272" Type="http://schemas.openxmlformats.org/officeDocument/2006/relationships/hyperlink" Target="https://raw.githubusercontent.com/d-wkim/phd/refs/heads/main/data/pdf/holm_2010.pdf" TargetMode="External"/><Relationship Id="rId279" Type="http://schemas.openxmlformats.org/officeDocument/2006/relationships/hyperlink" Target="https://github.com/d-wkim/phd/blob/main/data/pdf/horstmann_2022.pdf" TargetMode="External"/><Relationship Id="rId278" Type="http://schemas.openxmlformats.org/officeDocument/2006/relationships/hyperlink" Target="https://raw.githubusercontent.com/d-wkim/phd/refs/heads/main/data/pdf/horstmann_2022.pdf" TargetMode="External"/><Relationship Id="rId277" Type="http://schemas.openxmlformats.org/officeDocument/2006/relationships/hyperlink" Target="https://github.com/d-wkim/phd/blob/main/data/pdf/horstmann_2022.pdf" TargetMode="External"/><Relationship Id="rId276" Type="http://schemas.openxmlformats.org/officeDocument/2006/relationships/hyperlink" Target="https://raw.githubusercontent.com/d-wkim/phd/refs/heads/main/data/pdf/horstmann_2022.pdf" TargetMode="External"/><Relationship Id="rId907" Type="http://schemas.openxmlformats.org/officeDocument/2006/relationships/hyperlink" Target="https://github.com/d-wkim/phd/blob/main/data/pdf/yadav_2025.pdf" TargetMode="External"/><Relationship Id="rId906" Type="http://schemas.openxmlformats.org/officeDocument/2006/relationships/hyperlink" Target="https://raw.githubusercontent.com/d-wkim/phd/refs/heads/main/data/pdf/yadav_2025.pdf" TargetMode="External"/><Relationship Id="rId905" Type="http://schemas.openxmlformats.org/officeDocument/2006/relationships/hyperlink" Target="https://github.com/d-wkim/phd/blob/main/data/pdf/yadav_2025.pdf" TargetMode="External"/><Relationship Id="rId904" Type="http://schemas.openxmlformats.org/officeDocument/2006/relationships/hyperlink" Target="https://raw.githubusercontent.com/d-wkim/phd/refs/heads/main/data/pdf/yadav_2025.pdf" TargetMode="External"/><Relationship Id="rId909" Type="http://schemas.openxmlformats.org/officeDocument/2006/relationships/hyperlink" Target="https://github.com/d-wkim/phd/blob/main/data/pdf/yadav_2025.pdf" TargetMode="External"/><Relationship Id="rId908" Type="http://schemas.openxmlformats.org/officeDocument/2006/relationships/hyperlink" Target="https://raw.githubusercontent.com/d-wkim/phd/refs/heads/main/data/pdf/yadav_2025.pdf" TargetMode="External"/><Relationship Id="rId903" Type="http://schemas.openxmlformats.org/officeDocument/2006/relationships/hyperlink" Target="https://github.com/d-wkim/phd/blob/main/data/pdf/yadav_2025.pdf" TargetMode="External"/><Relationship Id="rId902" Type="http://schemas.openxmlformats.org/officeDocument/2006/relationships/hyperlink" Target="https://raw.githubusercontent.com/d-wkim/phd/refs/heads/main/data/pdf/yadav_2025.pdf" TargetMode="External"/><Relationship Id="rId901" Type="http://schemas.openxmlformats.org/officeDocument/2006/relationships/hyperlink" Target="https://github.com/d-wkim/phd/blob/main/data/pdf/yadav_2025.pdf" TargetMode="External"/><Relationship Id="rId900" Type="http://schemas.openxmlformats.org/officeDocument/2006/relationships/hyperlink" Target="https://raw.githubusercontent.com/d-wkim/phd/refs/heads/main/data/pdf/yadav_2025.pdf" TargetMode="External"/><Relationship Id="rId929" Type="http://schemas.openxmlformats.org/officeDocument/2006/relationships/hyperlink" Target="https://github.com/d-wkim/phd/blob/main/data/pdf/yoo_2017.pdf" TargetMode="External"/><Relationship Id="rId928" Type="http://schemas.openxmlformats.org/officeDocument/2006/relationships/hyperlink" Target="https://raw.githubusercontent.com/d-wkim/phd/refs/heads/main/data/pdf/yoo_2017.pdf" TargetMode="External"/><Relationship Id="rId927" Type="http://schemas.openxmlformats.org/officeDocument/2006/relationships/hyperlink" Target="https://github.com/d-wkim/phd/blob/main/data/pdf/yoo_2017.pdf" TargetMode="External"/><Relationship Id="rId926" Type="http://schemas.openxmlformats.org/officeDocument/2006/relationships/hyperlink" Target="https://raw.githubusercontent.com/d-wkim/phd/refs/heads/main/data/pdf/yoo_2017.pdf" TargetMode="External"/><Relationship Id="rId921" Type="http://schemas.openxmlformats.org/officeDocument/2006/relationships/hyperlink" Target="https://github.com/d-wkim/phd/blob/main/data/pdf/yoo_2017.pdf" TargetMode="External"/><Relationship Id="rId920" Type="http://schemas.openxmlformats.org/officeDocument/2006/relationships/hyperlink" Target="https://raw.githubusercontent.com/d-wkim/phd/refs/heads/main/data/pdf/yoo_2017.pdf" TargetMode="External"/><Relationship Id="rId925" Type="http://schemas.openxmlformats.org/officeDocument/2006/relationships/hyperlink" Target="https://github.com/d-wkim/phd/blob/main/data/pdf/yoo_2017.pdf" TargetMode="External"/><Relationship Id="rId924" Type="http://schemas.openxmlformats.org/officeDocument/2006/relationships/hyperlink" Target="https://raw.githubusercontent.com/d-wkim/phd/refs/heads/main/data/pdf/yoo_2017.pdf" TargetMode="External"/><Relationship Id="rId923" Type="http://schemas.openxmlformats.org/officeDocument/2006/relationships/hyperlink" Target="https://github.com/d-wkim/phd/blob/main/data/pdf/yoo_2017.pdf" TargetMode="External"/><Relationship Id="rId922" Type="http://schemas.openxmlformats.org/officeDocument/2006/relationships/hyperlink" Target="https://raw.githubusercontent.com/d-wkim/phd/refs/heads/main/data/pdf/yoo_2017.pdf" TargetMode="External"/><Relationship Id="rId918" Type="http://schemas.openxmlformats.org/officeDocument/2006/relationships/hyperlink" Target="https://raw.githubusercontent.com/d-wkim/phd/refs/heads/main/data/pdf/yoo_2017.pdf" TargetMode="External"/><Relationship Id="rId917" Type="http://schemas.openxmlformats.org/officeDocument/2006/relationships/hyperlink" Target="https://github.com/d-wkim/phd/blob/main/data/pdf/yoo_2017.pdf" TargetMode="External"/><Relationship Id="rId916" Type="http://schemas.openxmlformats.org/officeDocument/2006/relationships/hyperlink" Target="https://raw.githubusercontent.com/d-wkim/phd/refs/heads/main/data/pdf/yoo_2017.pdf" TargetMode="External"/><Relationship Id="rId915" Type="http://schemas.openxmlformats.org/officeDocument/2006/relationships/hyperlink" Target="https://github.com/d-wkim/phd/blob/main/data/pdf/yoo_2017.pdf" TargetMode="External"/><Relationship Id="rId919" Type="http://schemas.openxmlformats.org/officeDocument/2006/relationships/hyperlink" Target="https://github.com/d-wkim/phd/blob/main/data/pdf/yoo_2017.pdf" TargetMode="External"/><Relationship Id="rId910" Type="http://schemas.openxmlformats.org/officeDocument/2006/relationships/hyperlink" Target="https://raw.githubusercontent.com/d-wkim/phd/refs/heads/main/data/pdf/yadav_2025.pdf" TargetMode="External"/><Relationship Id="rId914" Type="http://schemas.openxmlformats.org/officeDocument/2006/relationships/hyperlink" Target="https://raw.githubusercontent.com/d-wkim/phd/refs/heads/main/data/pdf/yoo_2017.pdf" TargetMode="External"/><Relationship Id="rId913" Type="http://schemas.openxmlformats.org/officeDocument/2006/relationships/hyperlink" Target="https://github.com/d-wkim/phd/blob/main/data/pdf/yadav_2025.pdf" TargetMode="External"/><Relationship Id="rId912" Type="http://schemas.openxmlformats.org/officeDocument/2006/relationships/hyperlink" Target="https://raw.githubusercontent.com/d-wkim/phd/refs/heads/main/data/pdf/yadav_2025.pdf" TargetMode="External"/><Relationship Id="rId911" Type="http://schemas.openxmlformats.org/officeDocument/2006/relationships/hyperlink" Target="https://github.com/d-wkim/phd/blob/main/data/pdf/yadav_2025.pdf" TargetMode="External"/><Relationship Id="rId629" Type="http://schemas.openxmlformats.org/officeDocument/2006/relationships/hyperlink" Target="https://github.com/d-wkim/phd/blob/main/data/pdf/moraiti_2010.pdf" TargetMode="External"/><Relationship Id="rId624" Type="http://schemas.openxmlformats.org/officeDocument/2006/relationships/hyperlink" Target="https://raw.githubusercontent.com/d-wkim/phd/refs/heads/main/data/pdf/moraiti_2010.pdf" TargetMode="External"/><Relationship Id="rId866" Type="http://schemas.openxmlformats.org/officeDocument/2006/relationships/hyperlink" Target="https://raw.githubusercontent.com/d-wkim/phd/refs/heads/main/data/pdf/webster_2001.pdf" TargetMode="External"/><Relationship Id="rId623" Type="http://schemas.openxmlformats.org/officeDocument/2006/relationships/hyperlink" Target="https://github.com/d-wkim/phd/blob/main/data/pdf/mohtadi_chan_2019.pdf" TargetMode="External"/><Relationship Id="rId865" Type="http://schemas.openxmlformats.org/officeDocument/2006/relationships/hyperlink" Target="https://github.com/d-wkim/phd/blob/main/data/pdf/webster_2001.pdf" TargetMode="External"/><Relationship Id="rId622" Type="http://schemas.openxmlformats.org/officeDocument/2006/relationships/hyperlink" Target="https://raw.githubusercontent.com/d-wkim/phd/refs/heads/main/data/pdf/mohtadi_chan_2019.pdf" TargetMode="External"/><Relationship Id="rId864" Type="http://schemas.openxmlformats.org/officeDocument/2006/relationships/hyperlink" Target="https://raw.githubusercontent.com/d-wkim/phd/refs/heads/main/data/pdf/webster_2001.pdf" TargetMode="External"/><Relationship Id="rId621" Type="http://schemas.openxmlformats.org/officeDocument/2006/relationships/hyperlink" Target="https://github.com/d-wkim/phd/blob/main/data/pdf/mohtadi_chan_2019.pdf" TargetMode="External"/><Relationship Id="rId863" Type="http://schemas.openxmlformats.org/officeDocument/2006/relationships/hyperlink" Target="https://github.com/d-wkim/phd/blob/main/data/pdf/webster_2001.pdf" TargetMode="External"/><Relationship Id="rId628" Type="http://schemas.openxmlformats.org/officeDocument/2006/relationships/hyperlink" Target="https://raw.githubusercontent.com/d-wkim/phd/refs/heads/main/data/pdf/moraiti_2010.pdf" TargetMode="External"/><Relationship Id="rId627" Type="http://schemas.openxmlformats.org/officeDocument/2006/relationships/hyperlink" Target="https://github.com/d-wkim/phd/blob/main/data/pdf/moraiti_2010.pdf" TargetMode="External"/><Relationship Id="rId869" Type="http://schemas.openxmlformats.org/officeDocument/2006/relationships/hyperlink" Target="https://github.com/d-wkim/phd/blob/main/data/pdf/webster_2001.pdf" TargetMode="External"/><Relationship Id="rId626" Type="http://schemas.openxmlformats.org/officeDocument/2006/relationships/hyperlink" Target="https://raw.githubusercontent.com/d-wkim/phd/refs/heads/main/data/pdf/moraiti_2010.pdf" TargetMode="External"/><Relationship Id="rId868" Type="http://schemas.openxmlformats.org/officeDocument/2006/relationships/hyperlink" Target="https://raw.githubusercontent.com/d-wkim/phd/refs/heads/main/data/pdf/webster_2001.pdf" TargetMode="External"/><Relationship Id="rId625" Type="http://schemas.openxmlformats.org/officeDocument/2006/relationships/hyperlink" Target="https://github.com/d-wkim/phd/blob/main/data/pdf/moraiti_2010.pdf" TargetMode="External"/><Relationship Id="rId867" Type="http://schemas.openxmlformats.org/officeDocument/2006/relationships/hyperlink" Target="https://github.com/d-wkim/phd/blob/main/data/pdf/webster_2001.pdf" TargetMode="External"/><Relationship Id="rId620" Type="http://schemas.openxmlformats.org/officeDocument/2006/relationships/hyperlink" Target="https://raw.githubusercontent.com/d-wkim/phd/refs/heads/main/data/pdf/mohtadi_chan_2019.pdf" TargetMode="External"/><Relationship Id="rId862" Type="http://schemas.openxmlformats.org/officeDocument/2006/relationships/hyperlink" Target="https://raw.githubusercontent.com/d-wkim/phd/refs/heads/main/data/pdf/webster_2001.pdf" TargetMode="External"/><Relationship Id="rId861" Type="http://schemas.openxmlformats.org/officeDocument/2006/relationships/hyperlink" Target="https://github.com/d-wkim/phd/blob/main/data/pdf/vilchez-cavazos_2020.pdf" TargetMode="External"/><Relationship Id="rId860" Type="http://schemas.openxmlformats.org/officeDocument/2006/relationships/hyperlink" Target="https://raw.githubusercontent.com/d-wkim/phd/refs/heads/main/data/pdf/vilchez-cavazos_2020.pdf" TargetMode="External"/><Relationship Id="rId619" Type="http://schemas.openxmlformats.org/officeDocument/2006/relationships/hyperlink" Target="https://github.com/d-wkim/phd/blob/main/data/pdf/mohtadi_chan_2019.pdf" TargetMode="External"/><Relationship Id="rId618" Type="http://schemas.openxmlformats.org/officeDocument/2006/relationships/hyperlink" Target="https://raw.githubusercontent.com/d-wkim/phd/refs/heads/main/data/pdf/mohtadi_chan_2019.pdf" TargetMode="External"/><Relationship Id="rId613" Type="http://schemas.openxmlformats.org/officeDocument/2006/relationships/hyperlink" Target="https://github.com/d-wkim/phd/blob/main/data/pdf/mohtadi_chan_2019.pdf" TargetMode="External"/><Relationship Id="rId855" Type="http://schemas.openxmlformats.org/officeDocument/2006/relationships/hyperlink" Target="https://github.com/d-wkim/phd/blob/main/data/pdf/vilchez-cavazos_2020.pdf" TargetMode="External"/><Relationship Id="rId612" Type="http://schemas.openxmlformats.org/officeDocument/2006/relationships/hyperlink" Target="https://raw.githubusercontent.com/d-wkim/phd/refs/heads/main/data/pdf/mohtadi_chan_2019.pdf" TargetMode="External"/><Relationship Id="rId854" Type="http://schemas.openxmlformats.org/officeDocument/2006/relationships/hyperlink" Target="https://raw.githubusercontent.com/d-wkim/phd/refs/heads/main/data/pdf/vilchez-cavazos_2020.pdf" TargetMode="External"/><Relationship Id="rId611" Type="http://schemas.openxmlformats.org/officeDocument/2006/relationships/hyperlink" Target="https://github.com/d-wkim/phd/blob/main/data/pdf/mohtadi_chan_2019.pdf" TargetMode="External"/><Relationship Id="rId853" Type="http://schemas.openxmlformats.org/officeDocument/2006/relationships/hyperlink" Target="https://github.com/d-wkim/phd/blob/main/data/pdf/vilchez-cavazos_2020.pdf" TargetMode="External"/><Relationship Id="rId610" Type="http://schemas.openxmlformats.org/officeDocument/2006/relationships/hyperlink" Target="https://raw.githubusercontent.com/d-wkim/phd/refs/heads/main/data/pdf/mohtadi_chan_2019.pdf" TargetMode="External"/><Relationship Id="rId852" Type="http://schemas.openxmlformats.org/officeDocument/2006/relationships/hyperlink" Target="https://raw.githubusercontent.com/d-wkim/phd/refs/heads/main/data/pdf/vilchez-cavazos_2020.pdf" TargetMode="External"/><Relationship Id="rId617" Type="http://schemas.openxmlformats.org/officeDocument/2006/relationships/hyperlink" Target="https://github.com/d-wkim/phd/blob/main/data/pdf/mohtadi_chan_2019.pdf" TargetMode="External"/><Relationship Id="rId859" Type="http://schemas.openxmlformats.org/officeDocument/2006/relationships/hyperlink" Target="https://github.com/d-wkim/phd/blob/main/data/pdf/vilchez-cavazos_2020.pdf" TargetMode="External"/><Relationship Id="rId616" Type="http://schemas.openxmlformats.org/officeDocument/2006/relationships/hyperlink" Target="https://raw.githubusercontent.com/d-wkim/phd/refs/heads/main/data/pdf/mohtadi_chan_2019.pdf" TargetMode="External"/><Relationship Id="rId858" Type="http://schemas.openxmlformats.org/officeDocument/2006/relationships/hyperlink" Target="https://raw.githubusercontent.com/d-wkim/phd/refs/heads/main/data/pdf/vilchez-cavazos_2020.pdf" TargetMode="External"/><Relationship Id="rId615" Type="http://schemas.openxmlformats.org/officeDocument/2006/relationships/hyperlink" Target="https://github.com/d-wkim/phd/blob/main/data/pdf/mohtadi_chan_2019.pdf" TargetMode="External"/><Relationship Id="rId857" Type="http://schemas.openxmlformats.org/officeDocument/2006/relationships/hyperlink" Target="https://github.com/d-wkim/phd/blob/main/data/pdf/vilchez-cavazos_2020.pdf" TargetMode="External"/><Relationship Id="rId614" Type="http://schemas.openxmlformats.org/officeDocument/2006/relationships/hyperlink" Target="https://raw.githubusercontent.com/d-wkim/phd/refs/heads/main/data/pdf/mohtadi_chan_2019.pdf" TargetMode="External"/><Relationship Id="rId856" Type="http://schemas.openxmlformats.org/officeDocument/2006/relationships/hyperlink" Target="https://raw.githubusercontent.com/d-wkim/phd/refs/heads/main/data/pdf/vilchez-cavazos_2020.pdf" TargetMode="External"/><Relationship Id="rId851" Type="http://schemas.openxmlformats.org/officeDocument/2006/relationships/hyperlink" Target="https://github.com/d-wkim/phd/blob/main/data/pdf/vilchez-cavazos_2020.pdf" TargetMode="External"/><Relationship Id="rId850" Type="http://schemas.openxmlformats.org/officeDocument/2006/relationships/hyperlink" Target="https://raw.githubusercontent.com/d-wkim/phd/refs/heads/main/data/pdf/vilchez-cavazos_2020.pdf" TargetMode="External"/><Relationship Id="rId409" Type="http://schemas.openxmlformats.org/officeDocument/2006/relationships/hyperlink" Target="https://github.com/d-wkim/phd/blob/main/data/pdf/lawhorn_2012.pdf" TargetMode="External"/><Relationship Id="rId404" Type="http://schemas.openxmlformats.org/officeDocument/2006/relationships/hyperlink" Target="https://raw.githubusercontent.com/d-wkim/phd/refs/heads/main/data/pdf/lawhorn_2012.pdf" TargetMode="External"/><Relationship Id="rId646" Type="http://schemas.openxmlformats.org/officeDocument/2006/relationships/hyperlink" Target="https://raw.githubusercontent.com/d-wkim/phd/refs/heads/main/data/pdf/moraiti_2010.pdf" TargetMode="External"/><Relationship Id="rId888" Type="http://schemas.openxmlformats.org/officeDocument/2006/relationships/hyperlink" Target="https://raw.githubusercontent.com/d-wkim/phd/refs/heads/main/data/pdf/wipfler_2011.pdf" TargetMode="External"/><Relationship Id="rId403" Type="http://schemas.openxmlformats.org/officeDocument/2006/relationships/hyperlink" Target="https://github.com/d-wkim/phd/blob/main/data/pdf/lawhorn_2012.pdf" TargetMode="External"/><Relationship Id="rId645" Type="http://schemas.openxmlformats.org/officeDocument/2006/relationships/hyperlink" Target="https://github.com/d-wkim/phd/blob/main/data/pdf/moraiti_2010.pdf" TargetMode="External"/><Relationship Id="rId887" Type="http://schemas.openxmlformats.org/officeDocument/2006/relationships/hyperlink" Target="https://github.com/d-wkim/phd/blob/main/data/pdf/wipfler_2011.pdf" TargetMode="External"/><Relationship Id="rId402" Type="http://schemas.openxmlformats.org/officeDocument/2006/relationships/hyperlink" Target="https://raw.githubusercontent.com/d-wkim/phd/refs/heads/main/data/pdf/lawhorn_2012.pdf" TargetMode="External"/><Relationship Id="rId644" Type="http://schemas.openxmlformats.org/officeDocument/2006/relationships/hyperlink" Target="https://raw.githubusercontent.com/d-wkim/phd/refs/heads/main/data/pdf/moraiti_2010.pdf" TargetMode="External"/><Relationship Id="rId886" Type="http://schemas.openxmlformats.org/officeDocument/2006/relationships/hyperlink" Target="https://raw.githubusercontent.com/d-wkim/phd/refs/heads/main/data/pdf/wipfler_2011.pdf" TargetMode="External"/><Relationship Id="rId401" Type="http://schemas.openxmlformats.org/officeDocument/2006/relationships/hyperlink" Target="https://github.com/d-wkim/phd/blob/main/data/pdf/laoruengthana_2009.pdf" TargetMode="External"/><Relationship Id="rId643" Type="http://schemas.openxmlformats.org/officeDocument/2006/relationships/hyperlink" Target="https://github.com/d-wkim/phd/blob/main/data/pdf/moraiti_2010.pdf" TargetMode="External"/><Relationship Id="rId885" Type="http://schemas.openxmlformats.org/officeDocument/2006/relationships/hyperlink" Target="https://github.com/d-wkim/phd/blob/main/data/pdf/wipfler_2011.pdf" TargetMode="External"/><Relationship Id="rId408" Type="http://schemas.openxmlformats.org/officeDocument/2006/relationships/hyperlink" Target="https://raw.githubusercontent.com/d-wkim/phd/refs/heads/main/data/pdf/lawhorn_2012.pdf" TargetMode="External"/><Relationship Id="rId407" Type="http://schemas.openxmlformats.org/officeDocument/2006/relationships/hyperlink" Target="https://github.com/d-wkim/phd/blob/main/data/pdf/lawhorn_2012.pdf" TargetMode="External"/><Relationship Id="rId649" Type="http://schemas.openxmlformats.org/officeDocument/2006/relationships/hyperlink" Target="https://github.com/d-wkim/phd/blob/main/data/pdf/noh_2011.pdf" TargetMode="External"/><Relationship Id="rId406" Type="http://schemas.openxmlformats.org/officeDocument/2006/relationships/hyperlink" Target="https://raw.githubusercontent.com/d-wkim/phd/refs/heads/main/data/pdf/lawhorn_2012.pdf" TargetMode="External"/><Relationship Id="rId648" Type="http://schemas.openxmlformats.org/officeDocument/2006/relationships/hyperlink" Target="https://raw.githubusercontent.com/d-wkim/phd/refs/heads/main/data/pdf/noh_2011.pdf" TargetMode="External"/><Relationship Id="rId405" Type="http://schemas.openxmlformats.org/officeDocument/2006/relationships/hyperlink" Target="https://github.com/d-wkim/phd/blob/main/data/pdf/lawhorn_2012.pdf" TargetMode="External"/><Relationship Id="rId647" Type="http://schemas.openxmlformats.org/officeDocument/2006/relationships/hyperlink" Target="https://github.com/d-wkim/phd/blob/main/data/pdf/moraiti_2010.pdf" TargetMode="External"/><Relationship Id="rId889" Type="http://schemas.openxmlformats.org/officeDocument/2006/relationships/hyperlink" Target="https://github.com/d-wkim/phd/blob/main/data/pdf/wipfler_2011.pdf" TargetMode="External"/><Relationship Id="rId880" Type="http://schemas.openxmlformats.org/officeDocument/2006/relationships/hyperlink" Target="https://raw.githubusercontent.com/d-wkim/phd/refs/heads/main/data/pdf/wipfler_2011.pdf" TargetMode="External"/><Relationship Id="rId400" Type="http://schemas.openxmlformats.org/officeDocument/2006/relationships/hyperlink" Target="https://raw.githubusercontent.com/d-wkim/phd/refs/heads/main/data/pdf/laoruengthana_2009.pdf" TargetMode="External"/><Relationship Id="rId642" Type="http://schemas.openxmlformats.org/officeDocument/2006/relationships/hyperlink" Target="https://raw.githubusercontent.com/d-wkim/phd/refs/heads/main/data/pdf/moraiti_2010.pdf" TargetMode="External"/><Relationship Id="rId884" Type="http://schemas.openxmlformats.org/officeDocument/2006/relationships/hyperlink" Target="https://raw.githubusercontent.com/d-wkim/phd/refs/heads/main/data/pdf/wipfler_2011.pdf" TargetMode="External"/><Relationship Id="rId641" Type="http://schemas.openxmlformats.org/officeDocument/2006/relationships/hyperlink" Target="https://github.com/d-wkim/phd/blob/main/data/pdf/moraiti_2010.pdf" TargetMode="External"/><Relationship Id="rId883" Type="http://schemas.openxmlformats.org/officeDocument/2006/relationships/hyperlink" Target="https://github.com/d-wkim/phd/blob/main/data/pdf/wipfler_2011.pdf" TargetMode="External"/><Relationship Id="rId640" Type="http://schemas.openxmlformats.org/officeDocument/2006/relationships/hyperlink" Target="https://raw.githubusercontent.com/d-wkim/phd/refs/heads/main/data/pdf/moraiti_2010.pdf" TargetMode="External"/><Relationship Id="rId882" Type="http://schemas.openxmlformats.org/officeDocument/2006/relationships/hyperlink" Target="https://raw.githubusercontent.com/d-wkim/phd/refs/heads/main/data/pdf/wipfler_2011.pdf" TargetMode="External"/><Relationship Id="rId881" Type="http://schemas.openxmlformats.org/officeDocument/2006/relationships/hyperlink" Target="https://github.com/d-wkim/phd/blob/main/data/pdf/wipfler_2011.pdf" TargetMode="External"/><Relationship Id="rId635" Type="http://schemas.openxmlformats.org/officeDocument/2006/relationships/hyperlink" Target="https://github.com/d-wkim/phd/blob/main/data/pdf/moraiti_2010.pdf" TargetMode="External"/><Relationship Id="rId877" Type="http://schemas.openxmlformats.org/officeDocument/2006/relationships/hyperlink" Target="https://github.com/d-wkim/phd/blob/main/data/pdf/wipfler_2011.pdf" TargetMode="External"/><Relationship Id="rId634" Type="http://schemas.openxmlformats.org/officeDocument/2006/relationships/hyperlink" Target="https://raw.githubusercontent.com/d-wkim/phd/refs/heads/main/data/pdf/moraiti_2010.pdf" TargetMode="External"/><Relationship Id="rId876" Type="http://schemas.openxmlformats.org/officeDocument/2006/relationships/hyperlink" Target="https://raw.githubusercontent.com/d-wkim/phd/refs/heads/main/data/pdf/wipfler_2011.pdf" TargetMode="External"/><Relationship Id="rId633" Type="http://schemas.openxmlformats.org/officeDocument/2006/relationships/hyperlink" Target="https://github.com/d-wkim/phd/blob/main/data/pdf/moraiti_2010.pdf" TargetMode="External"/><Relationship Id="rId875" Type="http://schemas.openxmlformats.org/officeDocument/2006/relationships/hyperlink" Target="https://github.com/d-wkim/phd/blob/main/data/pdf/wipfler_2011.pdf" TargetMode="External"/><Relationship Id="rId632" Type="http://schemas.openxmlformats.org/officeDocument/2006/relationships/hyperlink" Target="https://raw.githubusercontent.com/d-wkim/phd/refs/heads/main/data/pdf/moraiti_2010.pdf" TargetMode="External"/><Relationship Id="rId874" Type="http://schemas.openxmlformats.org/officeDocument/2006/relationships/hyperlink" Target="https://raw.githubusercontent.com/d-wkim/phd/refs/heads/main/data/pdf/wipfler_2011.pdf" TargetMode="External"/><Relationship Id="rId639" Type="http://schemas.openxmlformats.org/officeDocument/2006/relationships/hyperlink" Target="https://github.com/d-wkim/phd/blob/main/data/pdf/moraiti_2010.pdf" TargetMode="External"/><Relationship Id="rId638" Type="http://schemas.openxmlformats.org/officeDocument/2006/relationships/hyperlink" Target="https://raw.githubusercontent.com/d-wkim/phd/refs/heads/main/data/pdf/moraiti_2010.pdf" TargetMode="External"/><Relationship Id="rId637" Type="http://schemas.openxmlformats.org/officeDocument/2006/relationships/hyperlink" Target="https://github.com/d-wkim/phd/blob/main/data/pdf/moraiti_2010.pdf" TargetMode="External"/><Relationship Id="rId879" Type="http://schemas.openxmlformats.org/officeDocument/2006/relationships/hyperlink" Target="https://github.com/d-wkim/phd/blob/main/data/pdf/wipfler_2011.pdf" TargetMode="External"/><Relationship Id="rId636" Type="http://schemas.openxmlformats.org/officeDocument/2006/relationships/hyperlink" Target="https://raw.githubusercontent.com/d-wkim/phd/refs/heads/main/data/pdf/moraiti_2010.pdf" TargetMode="External"/><Relationship Id="rId878" Type="http://schemas.openxmlformats.org/officeDocument/2006/relationships/hyperlink" Target="https://raw.githubusercontent.com/d-wkim/phd/refs/heads/main/data/pdf/wipfler_2011.pdf" TargetMode="External"/><Relationship Id="rId631" Type="http://schemas.openxmlformats.org/officeDocument/2006/relationships/hyperlink" Target="https://github.com/d-wkim/phd/blob/main/data/pdf/moraiti_2010.pdf" TargetMode="External"/><Relationship Id="rId873" Type="http://schemas.openxmlformats.org/officeDocument/2006/relationships/hyperlink" Target="https://github.com/d-wkim/phd/blob/main/data/pdf/wipfler_2011.pdf" TargetMode="External"/><Relationship Id="rId630" Type="http://schemas.openxmlformats.org/officeDocument/2006/relationships/hyperlink" Target="https://raw.githubusercontent.com/d-wkim/phd/refs/heads/main/data/pdf/moraiti_2010.pdf" TargetMode="External"/><Relationship Id="rId872" Type="http://schemas.openxmlformats.org/officeDocument/2006/relationships/hyperlink" Target="https://raw.githubusercontent.com/d-wkim/phd/refs/heads/main/data/pdf/wipfler_2011.pdf" TargetMode="External"/><Relationship Id="rId871" Type="http://schemas.openxmlformats.org/officeDocument/2006/relationships/hyperlink" Target="https://github.com/d-wkim/phd/blob/main/data/pdf/wipfler_2011.pdf" TargetMode="External"/><Relationship Id="rId870" Type="http://schemas.openxmlformats.org/officeDocument/2006/relationships/hyperlink" Target="https://raw.githubusercontent.com/d-wkim/phd/refs/heads/main/data/pdf/wipfler_2011.pdf" TargetMode="External"/><Relationship Id="rId829" Type="http://schemas.openxmlformats.org/officeDocument/2006/relationships/hyperlink" Target="https://github.com/d-wkim/phd/blob/main/data/pdf/taylor_2009.pdf" TargetMode="External"/><Relationship Id="rId828" Type="http://schemas.openxmlformats.org/officeDocument/2006/relationships/hyperlink" Target="https://raw.githubusercontent.com/d-wkim/phd/refs/heads/main/data/pdf/taylor_2009.pdf" TargetMode="External"/><Relationship Id="rId827" Type="http://schemas.openxmlformats.org/officeDocument/2006/relationships/hyperlink" Target="https://github.com/d-wkim/phd/blob/main/data/pdf/taylor_2009.pdf" TargetMode="External"/><Relationship Id="rId822" Type="http://schemas.openxmlformats.org/officeDocument/2006/relationships/hyperlink" Target="https://raw.githubusercontent.com/d-wkim/phd/refs/heads/main/data/pdf/tang_2023.pdf" TargetMode="External"/><Relationship Id="rId821" Type="http://schemas.openxmlformats.org/officeDocument/2006/relationships/hyperlink" Target="https://github.com/d-wkim/phd/blob/main/data/pdf/sonnery-cottet_2026.pdf" TargetMode="External"/><Relationship Id="rId820" Type="http://schemas.openxmlformats.org/officeDocument/2006/relationships/hyperlink" Target="https://raw.githubusercontent.com/d-wkim/phd/refs/heads/main/data/pdf/sonnery-cottet_2026.pdf" TargetMode="External"/><Relationship Id="rId826" Type="http://schemas.openxmlformats.org/officeDocument/2006/relationships/hyperlink" Target="https://raw.githubusercontent.com/d-wkim/phd/refs/heads/main/data/pdf/taylor_2009.pdf" TargetMode="External"/><Relationship Id="rId825" Type="http://schemas.openxmlformats.org/officeDocument/2006/relationships/hyperlink" Target="https://github.com/d-wkim/phd/blob/main/data/pdf/tang_2023.pdf" TargetMode="External"/><Relationship Id="rId824" Type="http://schemas.openxmlformats.org/officeDocument/2006/relationships/hyperlink" Target="https://raw.githubusercontent.com/d-wkim/phd/refs/heads/main/data/pdf/tang_2023.pdf" TargetMode="External"/><Relationship Id="rId823" Type="http://schemas.openxmlformats.org/officeDocument/2006/relationships/hyperlink" Target="https://github.com/d-wkim/phd/blob/main/data/pdf/tang_2023.pdf" TargetMode="External"/><Relationship Id="rId819" Type="http://schemas.openxmlformats.org/officeDocument/2006/relationships/hyperlink" Target="https://github.com/d-wkim/phd/blob/main/data/pdf/sonnery-cottet_2026.pdf" TargetMode="External"/><Relationship Id="rId818" Type="http://schemas.openxmlformats.org/officeDocument/2006/relationships/hyperlink" Target="https://raw.githubusercontent.com/d-wkim/phd/refs/heads/main/data/pdf/sonnery-cottet_2026.pdf" TargetMode="External"/><Relationship Id="rId817" Type="http://schemas.openxmlformats.org/officeDocument/2006/relationships/hyperlink" Target="https://github.com/d-wkim/phd/blob/main/data/pdf/sonnery-cottet_2026.pdf" TargetMode="External"/><Relationship Id="rId816" Type="http://schemas.openxmlformats.org/officeDocument/2006/relationships/hyperlink" Target="https://raw.githubusercontent.com/d-wkim/phd/refs/heads/main/data/pdf/sonnery-cottet_2026.pdf" TargetMode="External"/><Relationship Id="rId811" Type="http://schemas.openxmlformats.org/officeDocument/2006/relationships/hyperlink" Target="https://github.com/d-wkim/phd/blob/main/data/pdf/sonnery-cottet_2026.pdf" TargetMode="External"/><Relationship Id="rId810" Type="http://schemas.openxmlformats.org/officeDocument/2006/relationships/hyperlink" Target="https://raw.githubusercontent.com/d-wkim/phd/refs/heads/main/data/pdf/sonnery-cottet_2026.pdf" TargetMode="External"/><Relationship Id="rId815" Type="http://schemas.openxmlformats.org/officeDocument/2006/relationships/hyperlink" Target="https://github.com/d-wkim/phd/blob/main/data/pdf/sonnery-cottet_2026.pdf" TargetMode="External"/><Relationship Id="rId814" Type="http://schemas.openxmlformats.org/officeDocument/2006/relationships/hyperlink" Target="https://raw.githubusercontent.com/d-wkim/phd/refs/heads/main/data/pdf/sonnery-cottet_2026.pdf" TargetMode="External"/><Relationship Id="rId813" Type="http://schemas.openxmlformats.org/officeDocument/2006/relationships/hyperlink" Target="https://github.com/d-wkim/phd/blob/main/data/pdf/sonnery-cottet_2026.pdf" TargetMode="External"/><Relationship Id="rId812" Type="http://schemas.openxmlformats.org/officeDocument/2006/relationships/hyperlink" Target="https://raw.githubusercontent.com/d-wkim/phd/refs/heads/main/data/pdf/sonnery-cottet_2026.pdf" TargetMode="External"/><Relationship Id="rId609" Type="http://schemas.openxmlformats.org/officeDocument/2006/relationships/hyperlink" Target="https://github.com/d-wkim/phd/blob/main/data/pdf/mohtadi_chan_2019.pdf" TargetMode="External"/><Relationship Id="rId608" Type="http://schemas.openxmlformats.org/officeDocument/2006/relationships/hyperlink" Target="https://raw.githubusercontent.com/d-wkim/phd/refs/heads/main/data/pdf/mohtadi_chan_2019.pdf" TargetMode="External"/><Relationship Id="rId607" Type="http://schemas.openxmlformats.org/officeDocument/2006/relationships/hyperlink" Target="https://github.com/d-wkim/phd/blob/main/data/pdf/mohtadi_chan_2019.pdf" TargetMode="External"/><Relationship Id="rId849" Type="http://schemas.openxmlformats.org/officeDocument/2006/relationships/hyperlink" Target="https://github.com/d-wkim/phd/blob/main/data/pdf/vilchez-cavazos_2020.pdf" TargetMode="External"/><Relationship Id="rId602" Type="http://schemas.openxmlformats.org/officeDocument/2006/relationships/hyperlink" Target="https://raw.githubusercontent.com/d-wkim/phd/refs/heads/main/data/pdf/mohtadi_2016a.pdf" TargetMode="External"/><Relationship Id="rId844" Type="http://schemas.openxmlformats.org/officeDocument/2006/relationships/hyperlink" Target="https://raw.githubusercontent.com/d-wkim/phd/refs/heads/main/data/pdf/taylor_2009.pdf" TargetMode="External"/><Relationship Id="rId601" Type="http://schemas.openxmlformats.org/officeDocument/2006/relationships/hyperlink" Target="https://github.com/d-wkim/phd/blob/main/data/pdf/mohtadi_2016a.pdf" TargetMode="External"/><Relationship Id="rId843" Type="http://schemas.openxmlformats.org/officeDocument/2006/relationships/hyperlink" Target="https://github.com/d-wkim/phd/blob/main/data/pdf/taylor_2009.pdf" TargetMode="External"/><Relationship Id="rId600" Type="http://schemas.openxmlformats.org/officeDocument/2006/relationships/hyperlink" Target="https://raw.githubusercontent.com/d-wkim/phd/refs/heads/main/data/pdf/mohtadi_2016a.pdf" TargetMode="External"/><Relationship Id="rId842" Type="http://schemas.openxmlformats.org/officeDocument/2006/relationships/hyperlink" Target="https://raw.githubusercontent.com/d-wkim/phd/refs/heads/main/data/pdf/taylor_2009.pdf" TargetMode="External"/><Relationship Id="rId841" Type="http://schemas.openxmlformats.org/officeDocument/2006/relationships/hyperlink" Target="https://github.com/d-wkim/phd/blob/main/data/pdf/taylor_2009.pdf" TargetMode="External"/><Relationship Id="rId606" Type="http://schemas.openxmlformats.org/officeDocument/2006/relationships/hyperlink" Target="https://raw.githubusercontent.com/d-wkim/phd/refs/heads/main/data/pdf/mohtadi_chan_2019.pdf" TargetMode="External"/><Relationship Id="rId848" Type="http://schemas.openxmlformats.org/officeDocument/2006/relationships/hyperlink" Target="https://raw.githubusercontent.com/d-wkim/phd/refs/heads/main/data/pdf/vilchez-cavazos_2020.pdf" TargetMode="External"/><Relationship Id="rId605" Type="http://schemas.openxmlformats.org/officeDocument/2006/relationships/hyperlink" Target="https://github.com/d-wkim/phd/blob/main/data/pdf/mohtadi_chan_2019.pdf" TargetMode="External"/><Relationship Id="rId847" Type="http://schemas.openxmlformats.org/officeDocument/2006/relationships/hyperlink" Target="https://github.com/d-wkim/phd/blob/main/data/pdf/vilchez-cavazos_2020.pdf" TargetMode="External"/><Relationship Id="rId604" Type="http://schemas.openxmlformats.org/officeDocument/2006/relationships/hyperlink" Target="https://raw.githubusercontent.com/d-wkim/phd/refs/heads/main/data/pdf/mohtadi_chan_2019.pdf" TargetMode="External"/><Relationship Id="rId846" Type="http://schemas.openxmlformats.org/officeDocument/2006/relationships/hyperlink" Target="https://raw.githubusercontent.com/d-wkim/phd/refs/heads/main/data/pdf/vilchez-cavazos_2020.pdf" TargetMode="External"/><Relationship Id="rId603" Type="http://schemas.openxmlformats.org/officeDocument/2006/relationships/hyperlink" Target="https://github.com/d-wkim/phd/blob/main/data/pdf/mohtadi_2016a.pdf" TargetMode="External"/><Relationship Id="rId845" Type="http://schemas.openxmlformats.org/officeDocument/2006/relationships/hyperlink" Target="https://github.com/d-wkim/phd/blob/main/data/pdf/taylor_2009.pdf" TargetMode="External"/><Relationship Id="rId840" Type="http://schemas.openxmlformats.org/officeDocument/2006/relationships/hyperlink" Target="https://raw.githubusercontent.com/d-wkim/phd/refs/heads/main/data/pdf/taylor_2009.pdf" TargetMode="External"/><Relationship Id="rId839" Type="http://schemas.openxmlformats.org/officeDocument/2006/relationships/hyperlink" Target="https://github.com/d-wkim/phd/blob/main/data/pdf/taylor_2009.pdf" TargetMode="External"/><Relationship Id="rId838" Type="http://schemas.openxmlformats.org/officeDocument/2006/relationships/hyperlink" Target="https://raw.githubusercontent.com/d-wkim/phd/refs/heads/main/data/pdf/taylor_2009.pdf" TargetMode="External"/><Relationship Id="rId833" Type="http://schemas.openxmlformats.org/officeDocument/2006/relationships/hyperlink" Target="https://github.com/d-wkim/phd/blob/main/data/pdf/taylor_2009.pdf" TargetMode="External"/><Relationship Id="rId832" Type="http://schemas.openxmlformats.org/officeDocument/2006/relationships/hyperlink" Target="https://raw.githubusercontent.com/d-wkim/phd/refs/heads/main/data/pdf/taylor_2009.pdf" TargetMode="External"/><Relationship Id="rId831" Type="http://schemas.openxmlformats.org/officeDocument/2006/relationships/hyperlink" Target="https://github.com/d-wkim/phd/blob/main/data/pdf/taylor_2009.pdf" TargetMode="External"/><Relationship Id="rId830" Type="http://schemas.openxmlformats.org/officeDocument/2006/relationships/hyperlink" Target="https://raw.githubusercontent.com/d-wkim/phd/refs/heads/main/data/pdf/taylor_2009.pdf" TargetMode="External"/><Relationship Id="rId837" Type="http://schemas.openxmlformats.org/officeDocument/2006/relationships/hyperlink" Target="https://github.com/d-wkim/phd/blob/main/data/pdf/taylor_2009.pdf" TargetMode="External"/><Relationship Id="rId836" Type="http://schemas.openxmlformats.org/officeDocument/2006/relationships/hyperlink" Target="https://raw.githubusercontent.com/d-wkim/phd/refs/heads/main/data/pdf/taylor_2009.pdf" TargetMode="External"/><Relationship Id="rId835" Type="http://schemas.openxmlformats.org/officeDocument/2006/relationships/hyperlink" Target="https://github.com/d-wkim/phd/blob/main/data/pdf/taylor_2009.pdf" TargetMode="External"/><Relationship Id="rId834" Type="http://schemas.openxmlformats.org/officeDocument/2006/relationships/hyperlink" Target="https://raw.githubusercontent.com/d-wkim/phd/refs/heads/main/data/pdf/taylor_2009.pdf" TargetMode="External"/><Relationship Id="rId228" Type="http://schemas.openxmlformats.org/officeDocument/2006/relationships/hyperlink" Target="https://raw.githubusercontent.com/d-wkim/phd/refs/heads/main/data/pdf/guglielmetti_2021.pdf" TargetMode="External"/><Relationship Id="rId227" Type="http://schemas.openxmlformats.org/officeDocument/2006/relationships/hyperlink" Target="https://github.com/d-wkim/phd/blob/main/data/pdf/guglielmetti_2021.pdf" TargetMode="External"/><Relationship Id="rId469" Type="http://schemas.openxmlformats.org/officeDocument/2006/relationships/hyperlink" Target="https://github.com/d-wkim/phd/blob/main/data/pdf/li_2015.pdf" TargetMode="External"/><Relationship Id="rId226" Type="http://schemas.openxmlformats.org/officeDocument/2006/relationships/hyperlink" Target="https://raw.githubusercontent.com/d-wkim/phd/refs/heads/main/data/pdf/guglielmetti_2021.pdf" TargetMode="External"/><Relationship Id="rId468" Type="http://schemas.openxmlformats.org/officeDocument/2006/relationships/hyperlink" Target="https://raw.githubusercontent.com/d-wkim/phd/refs/heads/main/data/pdf/li_2015.pdf" TargetMode="External"/><Relationship Id="rId225" Type="http://schemas.openxmlformats.org/officeDocument/2006/relationships/hyperlink" Target="https://github.com/d-wkim/phd/blob/main/data/pdf/guglielmetti_2021.pdf" TargetMode="External"/><Relationship Id="rId467" Type="http://schemas.openxmlformats.org/officeDocument/2006/relationships/hyperlink" Target="https://github.com/d-wkim/phd/blob/main/data/pdf/li_2015.pdf" TargetMode="External"/><Relationship Id="rId229" Type="http://schemas.openxmlformats.org/officeDocument/2006/relationships/hyperlink" Target="https://github.com/d-wkim/phd/blob/main/data/pdf/guglielmetti_2021.pdf" TargetMode="External"/><Relationship Id="rId220" Type="http://schemas.openxmlformats.org/officeDocument/2006/relationships/hyperlink" Target="https://raw.githubusercontent.com/d-wkim/phd/refs/heads/main/data/pdf/guglielmetti_2021.pdf" TargetMode="External"/><Relationship Id="rId462" Type="http://schemas.openxmlformats.org/officeDocument/2006/relationships/hyperlink" Target="https://raw.githubusercontent.com/d-wkim/phd/refs/heads/main/data/pdf/li_2015.pdf" TargetMode="External"/><Relationship Id="rId461" Type="http://schemas.openxmlformats.org/officeDocument/2006/relationships/hyperlink" Target="https://github.com/d-wkim/phd/blob/main/data/pdf/li_2015.pdf" TargetMode="External"/><Relationship Id="rId460" Type="http://schemas.openxmlformats.org/officeDocument/2006/relationships/hyperlink" Target="https://raw.githubusercontent.com/d-wkim/phd/refs/heads/main/data/pdf/li_2015.pdf" TargetMode="External"/><Relationship Id="rId224" Type="http://schemas.openxmlformats.org/officeDocument/2006/relationships/hyperlink" Target="https://raw.githubusercontent.com/d-wkim/phd/refs/heads/main/data/pdf/guglielmetti_2021.pdf" TargetMode="External"/><Relationship Id="rId466" Type="http://schemas.openxmlformats.org/officeDocument/2006/relationships/hyperlink" Target="https://raw.githubusercontent.com/d-wkim/phd/refs/heads/main/data/pdf/li_2015.pdf" TargetMode="External"/><Relationship Id="rId223" Type="http://schemas.openxmlformats.org/officeDocument/2006/relationships/hyperlink" Target="https://github.com/d-wkim/phd/blob/main/data/pdf/guglielmetti_2021.pdf" TargetMode="External"/><Relationship Id="rId465" Type="http://schemas.openxmlformats.org/officeDocument/2006/relationships/hyperlink" Target="https://github.com/d-wkim/phd/blob/main/data/pdf/li_2015.pdf" TargetMode="External"/><Relationship Id="rId222" Type="http://schemas.openxmlformats.org/officeDocument/2006/relationships/hyperlink" Target="https://raw.githubusercontent.com/d-wkim/phd/refs/heads/main/data/pdf/guglielmetti_2021.pdf" TargetMode="External"/><Relationship Id="rId464" Type="http://schemas.openxmlformats.org/officeDocument/2006/relationships/hyperlink" Target="https://raw.githubusercontent.com/d-wkim/phd/refs/heads/main/data/pdf/li_2015.pdf" TargetMode="External"/><Relationship Id="rId221" Type="http://schemas.openxmlformats.org/officeDocument/2006/relationships/hyperlink" Target="https://github.com/d-wkim/phd/blob/main/data/pdf/guglielmetti_2021.pdf" TargetMode="External"/><Relationship Id="rId463" Type="http://schemas.openxmlformats.org/officeDocument/2006/relationships/hyperlink" Target="https://github.com/d-wkim/phd/blob/main/data/pdf/li_2015.pdf" TargetMode="External"/><Relationship Id="rId217" Type="http://schemas.openxmlformats.org/officeDocument/2006/relationships/hyperlink" Target="https://github.com/d-wkim/phd/blob/main/data/pdf/guglielmetti_2021.pdf" TargetMode="External"/><Relationship Id="rId459" Type="http://schemas.openxmlformats.org/officeDocument/2006/relationships/hyperlink" Target="https://github.com/d-wkim/phd/blob/main/data/pdf/li_2015.pdf" TargetMode="External"/><Relationship Id="rId216" Type="http://schemas.openxmlformats.org/officeDocument/2006/relationships/hyperlink" Target="https://raw.githubusercontent.com/d-wkim/phd/refs/heads/main/data/pdf/guglielmetti_2021.pdf" TargetMode="External"/><Relationship Id="rId458" Type="http://schemas.openxmlformats.org/officeDocument/2006/relationships/hyperlink" Target="https://raw.githubusercontent.com/d-wkim/phd/refs/heads/main/data/pdf/li_2015.pdf" TargetMode="External"/><Relationship Id="rId215" Type="http://schemas.openxmlformats.org/officeDocument/2006/relationships/hyperlink" Target="https://github.com/d-wkim/phd/blob/main/data/pdf/guglielmetti_2021.pdf" TargetMode="External"/><Relationship Id="rId457" Type="http://schemas.openxmlformats.org/officeDocument/2006/relationships/hyperlink" Target="https://github.com/d-wkim/phd/blob/main/data/pdf/li_2015.pdf" TargetMode="External"/><Relationship Id="rId699" Type="http://schemas.openxmlformats.org/officeDocument/2006/relationships/hyperlink" Target="https://github.com/d-wkim/phd/blob/main/data/pdf/pinczewski_2007.pdf" TargetMode="External"/><Relationship Id="rId214" Type="http://schemas.openxmlformats.org/officeDocument/2006/relationships/hyperlink" Target="https://raw.githubusercontent.com/d-wkim/phd/refs/heads/main/data/pdf/guglielmetti_2021.pdf" TargetMode="External"/><Relationship Id="rId456" Type="http://schemas.openxmlformats.org/officeDocument/2006/relationships/hyperlink" Target="https://raw.githubusercontent.com/d-wkim/phd/refs/heads/main/data/pdf/li_2015.pdf" TargetMode="External"/><Relationship Id="rId698" Type="http://schemas.openxmlformats.org/officeDocument/2006/relationships/hyperlink" Target="https://raw.githubusercontent.com/d-wkim/phd/refs/heads/main/data/pdf/pinczewski_2007.pdf" TargetMode="External"/><Relationship Id="rId219" Type="http://schemas.openxmlformats.org/officeDocument/2006/relationships/hyperlink" Target="https://github.com/d-wkim/phd/blob/main/data/pdf/guglielmetti_2021.pdf" TargetMode="External"/><Relationship Id="rId218" Type="http://schemas.openxmlformats.org/officeDocument/2006/relationships/hyperlink" Target="https://raw.githubusercontent.com/d-wkim/phd/refs/heads/main/data/pdf/guglielmetti_2021.pdf" TargetMode="External"/><Relationship Id="rId451" Type="http://schemas.openxmlformats.org/officeDocument/2006/relationships/hyperlink" Target="https://github.com/d-wkim/phd/blob/main/data/pdf/leitgeb_2014.pdf" TargetMode="External"/><Relationship Id="rId693" Type="http://schemas.openxmlformats.org/officeDocument/2006/relationships/hyperlink" Target="https://github.com/d-wkim/phd/blob/main/data/pdf/papalia_2015.pdf" TargetMode="External"/><Relationship Id="rId450" Type="http://schemas.openxmlformats.org/officeDocument/2006/relationships/hyperlink" Target="https://raw.githubusercontent.com/d-wkim/phd/refs/heads/main/data/pdf/leitgeb_2014.pdf" TargetMode="External"/><Relationship Id="rId692" Type="http://schemas.openxmlformats.org/officeDocument/2006/relationships/hyperlink" Target="https://raw.githubusercontent.com/d-wkim/phd/refs/heads/main/data/pdf/papalia_2015.pdf" TargetMode="External"/><Relationship Id="rId691" Type="http://schemas.openxmlformats.org/officeDocument/2006/relationships/hyperlink" Target="https://github.com/d-wkim/phd/blob/main/data/pdf/papalia_2015.pdf" TargetMode="External"/><Relationship Id="rId690" Type="http://schemas.openxmlformats.org/officeDocument/2006/relationships/hyperlink" Target="https://raw.githubusercontent.com/d-wkim/phd/refs/heads/main/data/pdf/papalia_2015.pdf" TargetMode="External"/><Relationship Id="rId213" Type="http://schemas.openxmlformats.org/officeDocument/2006/relationships/hyperlink" Target="https://github.com/d-wkim/phd/blob/main/data/pdf/gobbi_francisco_2006.pdf" TargetMode="External"/><Relationship Id="rId455" Type="http://schemas.openxmlformats.org/officeDocument/2006/relationships/hyperlink" Target="https://github.com/d-wkim/phd/blob/main/data/pdf/li_2015.pdf" TargetMode="External"/><Relationship Id="rId697" Type="http://schemas.openxmlformats.org/officeDocument/2006/relationships/hyperlink" Target="https://github.com/d-wkim/phd/blob/main/data/pdf/pinczewski_2007.pdf" TargetMode="External"/><Relationship Id="rId212" Type="http://schemas.openxmlformats.org/officeDocument/2006/relationships/hyperlink" Target="https://raw.githubusercontent.com/d-wkim/phd/refs/heads/main/data/pdf/gobbi_francisco_2006.pdf" TargetMode="External"/><Relationship Id="rId454" Type="http://schemas.openxmlformats.org/officeDocument/2006/relationships/hyperlink" Target="https://raw.githubusercontent.com/d-wkim/phd/refs/heads/main/data/pdf/li_2015.pdf" TargetMode="External"/><Relationship Id="rId696" Type="http://schemas.openxmlformats.org/officeDocument/2006/relationships/hyperlink" Target="https://raw.githubusercontent.com/d-wkim/phd/refs/heads/main/data/pdf/pinczewski_2007.pdf" TargetMode="External"/><Relationship Id="rId211" Type="http://schemas.openxmlformats.org/officeDocument/2006/relationships/hyperlink" Target="https://github.com/d-wkim/phd/blob/main/data/pdf/gobbi_francisco_2006.pdf" TargetMode="External"/><Relationship Id="rId453" Type="http://schemas.openxmlformats.org/officeDocument/2006/relationships/hyperlink" Target="https://github.com/d-wkim/phd/blob/main/data/pdf/li_2015.pdf" TargetMode="External"/><Relationship Id="rId695" Type="http://schemas.openxmlformats.org/officeDocument/2006/relationships/hyperlink" Target="https://github.com/d-wkim/phd/blob/main/data/pdf/papalia_2015.pdf" TargetMode="External"/><Relationship Id="rId210" Type="http://schemas.openxmlformats.org/officeDocument/2006/relationships/hyperlink" Target="https://raw.githubusercontent.com/d-wkim/phd/refs/heads/main/data/pdf/gobbi_francisco_2006.pdf" TargetMode="External"/><Relationship Id="rId452" Type="http://schemas.openxmlformats.org/officeDocument/2006/relationships/hyperlink" Target="https://raw.githubusercontent.com/d-wkim/phd/refs/heads/main/data/pdf/li_2015.pdf" TargetMode="External"/><Relationship Id="rId694" Type="http://schemas.openxmlformats.org/officeDocument/2006/relationships/hyperlink" Target="https://raw.githubusercontent.com/d-wkim/phd/refs/heads/main/data/pdf/papalia_2015.pdf" TargetMode="External"/><Relationship Id="rId491" Type="http://schemas.openxmlformats.org/officeDocument/2006/relationships/hyperlink" Target="https://github.com/d-wkim/phd/blob/main/data/pdf/lind_2020.pdf" TargetMode="External"/><Relationship Id="rId490" Type="http://schemas.openxmlformats.org/officeDocument/2006/relationships/hyperlink" Target="https://raw.githubusercontent.com/d-wkim/phd/refs/heads/main/data/pdf/lind_2020.pdf" TargetMode="External"/><Relationship Id="rId249" Type="http://schemas.openxmlformats.org/officeDocument/2006/relationships/hyperlink" Target="https://github.com/d-wkim/phd/blob/main/data/pdf/harilainen_2006.pdf" TargetMode="External"/><Relationship Id="rId248" Type="http://schemas.openxmlformats.org/officeDocument/2006/relationships/hyperlink" Target="https://raw.githubusercontent.com/d-wkim/phd/refs/heads/main/data/pdf/harilainen_2006.pdf" TargetMode="External"/><Relationship Id="rId247" Type="http://schemas.openxmlformats.org/officeDocument/2006/relationships/hyperlink" Target="https://github.com/d-wkim/phd/blob/main/data/pdf/harilainen_2006.pdf" TargetMode="External"/><Relationship Id="rId489" Type="http://schemas.openxmlformats.org/officeDocument/2006/relationships/hyperlink" Target="https://github.com/d-wkim/phd/blob/main/data/pdf/lind_2020.pdf" TargetMode="External"/><Relationship Id="rId242" Type="http://schemas.openxmlformats.org/officeDocument/2006/relationships/hyperlink" Target="https://raw.githubusercontent.com/d-wkim/phd/refs/heads/main/data/pdf/harilainen_2006.pdf" TargetMode="External"/><Relationship Id="rId484" Type="http://schemas.openxmlformats.org/officeDocument/2006/relationships/hyperlink" Target="https://raw.githubusercontent.com/d-wkim/phd/refs/heads/main/data/pdf/lind_2020.pdf" TargetMode="External"/><Relationship Id="rId241" Type="http://schemas.openxmlformats.org/officeDocument/2006/relationships/hyperlink" Target="https://github.com/d-wkim/phd/blob/main/data/pdf/harilainen_2006.pdf" TargetMode="External"/><Relationship Id="rId483" Type="http://schemas.openxmlformats.org/officeDocument/2006/relationships/hyperlink" Target="https://github.com/d-wkim/phd/blob/main/data/pdf/lind_2020.pdf" TargetMode="External"/><Relationship Id="rId240" Type="http://schemas.openxmlformats.org/officeDocument/2006/relationships/hyperlink" Target="https://raw.githubusercontent.com/d-wkim/phd/refs/heads/main/data/pdf/harilainen_2006.pdf" TargetMode="External"/><Relationship Id="rId482" Type="http://schemas.openxmlformats.org/officeDocument/2006/relationships/hyperlink" Target="https://raw.githubusercontent.com/d-wkim/phd/refs/heads/main/data/pdf/lind_2020.pdf" TargetMode="External"/><Relationship Id="rId481" Type="http://schemas.openxmlformats.org/officeDocument/2006/relationships/hyperlink" Target="https://github.com/d-wkim/phd/blob/main/data/pdf/lind_2020.pdf" TargetMode="External"/><Relationship Id="rId246" Type="http://schemas.openxmlformats.org/officeDocument/2006/relationships/hyperlink" Target="https://raw.githubusercontent.com/d-wkim/phd/refs/heads/main/data/pdf/harilainen_2006.pdf" TargetMode="External"/><Relationship Id="rId488" Type="http://schemas.openxmlformats.org/officeDocument/2006/relationships/hyperlink" Target="https://raw.githubusercontent.com/d-wkim/phd/refs/heads/main/data/pdf/lind_2020.pdf" TargetMode="External"/><Relationship Id="rId245" Type="http://schemas.openxmlformats.org/officeDocument/2006/relationships/hyperlink" Target="https://github.com/d-wkim/phd/blob/main/data/pdf/harilainen_2006.pdf" TargetMode="External"/><Relationship Id="rId487" Type="http://schemas.openxmlformats.org/officeDocument/2006/relationships/hyperlink" Target="https://github.com/d-wkim/phd/blob/main/data/pdf/lind_2020.pdf" TargetMode="External"/><Relationship Id="rId244" Type="http://schemas.openxmlformats.org/officeDocument/2006/relationships/hyperlink" Target="https://raw.githubusercontent.com/d-wkim/phd/refs/heads/main/data/pdf/harilainen_2006.pdf" TargetMode="External"/><Relationship Id="rId486" Type="http://schemas.openxmlformats.org/officeDocument/2006/relationships/hyperlink" Target="https://raw.githubusercontent.com/d-wkim/phd/refs/heads/main/data/pdf/lind_2020.pdf" TargetMode="External"/><Relationship Id="rId243" Type="http://schemas.openxmlformats.org/officeDocument/2006/relationships/hyperlink" Target="https://github.com/d-wkim/phd/blob/main/data/pdf/harilainen_2006.pdf" TargetMode="External"/><Relationship Id="rId485" Type="http://schemas.openxmlformats.org/officeDocument/2006/relationships/hyperlink" Target="https://github.com/d-wkim/phd/blob/main/data/pdf/lind_2020.pdf" TargetMode="External"/><Relationship Id="rId480" Type="http://schemas.openxmlformats.org/officeDocument/2006/relationships/hyperlink" Target="https://raw.githubusercontent.com/d-wkim/phd/refs/heads/main/data/pdf/lind_2020.pdf" TargetMode="External"/><Relationship Id="rId239" Type="http://schemas.openxmlformats.org/officeDocument/2006/relationships/hyperlink" Target="https://github.com/d-wkim/phd/blob/main/data/pdf/harilainen_2006.pdf" TargetMode="External"/><Relationship Id="rId238" Type="http://schemas.openxmlformats.org/officeDocument/2006/relationships/hyperlink" Target="https://raw.githubusercontent.com/d-wkim/phd/refs/heads/main/data/pdf/harilainen_2006.pdf" TargetMode="External"/><Relationship Id="rId237" Type="http://schemas.openxmlformats.org/officeDocument/2006/relationships/hyperlink" Target="https://github.com/d-wkim/phd/blob/main/data/pdf/harilainen_2006.pdf" TargetMode="External"/><Relationship Id="rId479" Type="http://schemas.openxmlformats.org/officeDocument/2006/relationships/hyperlink" Target="https://github.com/d-wkim/phd/blob/main/data/pdf/lind_2020.pdf" TargetMode="External"/><Relationship Id="rId236" Type="http://schemas.openxmlformats.org/officeDocument/2006/relationships/hyperlink" Target="https://raw.githubusercontent.com/d-wkim/phd/refs/heads/main/data/pdf/harilainen_2006.pdf" TargetMode="External"/><Relationship Id="rId478" Type="http://schemas.openxmlformats.org/officeDocument/2006/relationships/hyperlink" Target="https://raw.githubusercontent.com/d-wkim/phd/refs/heads/main/data/pdf/lind_2020.pdf" TargetMode="External"/><Relationship Id="rId231" Type="http://schemas.openxmlformats.org/officeDocument/2006/relationships/hyperlink" Target="https://github.com/d-wkim/phd/blob/main/data/pdf/harilainen_2006.pdf" TargetMode="External"/><Relationship Id="rId473" Type="http://schemas.openxmlformats.org/officeDocument/2006/relationships/hyperlink" Target="https://github.com/d-wkim/phd/blob/main/data/pdf/li_2015.pdf" TargetMode="External"/><Relationship Id="rId230" Type="http://schemas.openxmlformats.org/officeDocument/2006/relationships/hyperlink" Target="https://raw.githubusercontent.com/d-wkim/phd/refs/heads/main/data/pdf/harilainen_2006.pdf" TargetMode="External"/><Relationship Id="rId472" Type="http://schemas.openxmlformats.org/officeDocument/2006/relationships/hyperlink" Target="https://raw.githubusercontent.com/d-wkim/phd/refs/heads/main/data/pdf/li_2015.pdf" TargetMode="External"/><Relationship Id="rId471" Type="http://schemas.openxmlformats.org/officeDocument/2006/relationships/hyperlink" Target="https://github.com/d-wkim/phd/blob/main/data/pdf/li_2015.pdf" TargetMode="External"/><Relationship Id="rId470" Type="http://schemas.openxmlformats.org/officeDocument/2006/relationships/hyperlink" Target="https://raw.githubusercontent.com/d-wkim/phd/refs/heads/main/data/pdf/li_2015.pdf" TargetMode="External"/><Relationship Id="rId235" Type="http://schemas.openxmlformats.org/officeDocument/2006/relationships/hyperlink" Target="https://github.com/d-wkim/phd/blob/main/data/pdf/harilainen_2006.pdf" TargetMode="External"/><Relationship Id="rId477" Type="http://schemas.openxmlformats.org/officeDocument/2006/relationships/hyperlink" Target="https://github.com/d-wkim/phd/blob/main/data/pdf/lind_2020.pdf" TargetMode="External"/><Relationship Id="rId234" Type="http://schemas.openxmlformats.org/officeDocument/2006/relationships/hyperlink" Target="https://raw.githubusercontent.com/d-wkim/phd/refs/heads/main/data/pdf/harilainen_2006.pdf" TargetMode="External"/><Relationship Id="rId476" Type="http://schemas.openxmlformats.org/officeDocument/2006/relationships/hyperlink" Target="https://raw.githubusercontent.com/d-wkim/phd/refs/heads/main/data/pdf/lind_2020.pdf" TargetMode="External"/><Relationship Id="rId233" Type="http://schemas.openxmlformats.org/officeDocument/2006/relationships/hyperlink" Target="https://github.com/d-wkim/phd/blob/main/data/pdf/harilainen_2006.pdf" TargetMode="External"/><Relationship Id="rId475" Type="http://schemas.openxmlformats.org/officeDocument/2006/relationships/hyperlink" Target="https://github.com/d-wkim/phd/blob/main/data/pdf/li_2015.pdf" TargetMode="External"/><Relationship Id="rId232" Type="http://schemas.openxmlformats.org/officeDocument/2006/relationships/hyperlink" Target="https://raw.githubusercontent.com/d-wkim/phd/refs/heads/main/data/pdf/harilainen_2006.pdf" TargetMode="External"/><Relationship Id="rId474" Type="http://schemas.openxmlformats.org/officeDocument/2006/relationships/hyperlink" Target="https://raw.githubusercontent.com/d-wkim/phd/refs/heads/main/data/pdf/li_2015.pdf" TargetMode="External"/><Relationship Id="rId426" Type="http://schemas.openxmlformats.org/officeDocument/2006/relationships/hyperlink" Target="https://raw.githubusercontent.com/d-wkim/phd/refs/heads/main/data/pdf/laxdal_2005.pdf" TargetMode="External"/><Relationship Id="rId668" Type="http://schemas.openxmlformats.org/officeDocument/2006/relationships/hyperlink" Target="https://raw.githubusercontent.com/d-wkim/phd/refs/heads/main/data/pdf/noh_2011.pdf" TargetMode="External"/><Relationship Id="rId425" Type="http://schemas.openxmlformats.org/officeDocument/2006/relationships/hyperlink" Target="https://github.com/d-wkim/phd/blob/main/data/pdf/laxdal_2005.pdf" TargetMode="External"/><Relationship Id="rId667" Type="http://schemas.openxmlformats.org/officeDocument/2006/relationships/hyperlink" Target="https://github.com/d-wkim/phd/blob/main/data/pdf/noh_2011.pdf" TargetMode="External"/><Relationship Id="rId424" Type="http://schemas.openxmlformats.org/officeDocument/2006/relationships/hyperlink" Target="https://raw.githubusercontent.com/d-wkim/phd/refs/heads/main/data/pdf/laxdal_2005.pdf" TargetMode="External"/><Relationship Id="rId666" Type="http://schemas.openxmlformats.org/officeDocument/2006/relationships/hyperlink" Target="https://raw.githubusercontent.com/d-wkim/phd/refs/heads/main/data/pdf/noh_2011.pdf" TargetMode="External"/><Relationship Id="rId423" Type="http://schemas.openxmlformats.org/officeDocument/2006/relationships/hyperlink" Target="https://github.com/d-wkim/phd/blob/main/data/pdf/laxdal_2005.pdf" TargetMode="External"/><Relationship Id="rId665" Type="http://schemas.openxmlformats.org/officeDocument/2006/relationships/hyperlink" Target="https://github.com/d-wkim/phd/blob/main/data/pdf/noh_2011.pdf" TargetMode="External"/><Relationship Id="rId429" Type="http://schemas.openxmlformats.org/officeDocument/2006/relationships/hyperlink" Target="https://github.com/d-wkim/phd/blob/main/data/pdf/laxdal_2005.pdf" TargetMode="External"/><Relationship Id="rId428" Type="http://schemas.openxmlformats.org/officeDocument/2006/relationships/hyperlink" Target="https://raw.githubusercontent.com/d-wkim/phd/refs/heads/main/data/pdf/laxdal_2005.pdf" TargetMode="External"/><Relationship Id="rId427" Type="http://schemas.openxmlformats.org/officeDocument/2006/relationships/hyperlink" Target="https://github.com/d-wkim/phd/blob/main/data/pdf/laxdal_2005.pdf" TargetMode="External"/><Relationship Id="rId669" Type="http://schemas.openxmlformats.org/officeDocument/2006/relationships/hyperlink" Target="https://github.com/d-wkim/phd/blob/main/data/pdf/noh_2011.pdf" TargetMode="External"/><Relationship Id="rId660" Type="http://schemas.openxmlformats.org/officeDocument/2006/relationships/hyperlink" Target="https://raw.githubusercontent.com/d-wkim/phd/refs/heads/main/data/pdf/noh_2011.pdf" TargetMode="External"/><Relationship Id="rId422" Type="http://schemas.openxmlformats.org/officeDocument/2006/relationships/hyperlink" Target="https://raw.githubusercontent.com/d-wkim/phd/refs/heads/main/data/pdf/laxdal_2005.pdf" TargetMode="External"/><Relationship Id="rId664" Type="http://schemas.openxmlformats.org/officeDocument/2006/relationships/hyperlink" Target="https://raw.githubusercontent.com/d-wkim/phd/refs/heads/main/data/pdf/noh_2011.pdf" TargetMode="External"/><Relationship Id="rId421" Type="http://schemas.openxmlformats.org/officeDocument/2006/relationships/hyperlink" Target="https://github.com/d-wkim/phd/blob/main/data/pdf/laxdal_2005.pdf" TargetMode="External"/><Relationship Id="rId663" Type="http://schemas.openxmlformats.org/officeDocument/2006/relationships/hyperlink" Target="https://github.com/d-wkim/phd/blob/main/data/pdf/noh_2011.pdf" TargetMode="External"/><Relationship Id="rId420" Type="http://schemas.openxmlformats.org/officeDocument/2006/relationships/hyperlink" Target="https://raw.githubusercontent.com/d-wkim/phd/refs/heads/main/data/pdf/laxdal_2005.pdf" TargetMode="External"/><Relationship Id="rId662" Type="http://schemas.openxmlformats.org/officeDocument/2006/relationships/hyperlink" Target="https://raw.githubusercontent.com/d-wkim/phd/refs/heads/main/data/pdf/noh_2011.pdf" TargetMode="External"/><Relationship Id="rId661" Type="http://schemas.openxmlformats.org/officeDocument/2006/relationships/hyperlink" Target="https://github.com/d-wkim/phd/blob/main/data/pdf/noh_2011.pdf" TargetMode="External"/><Relationship Id="rId415" Type="http://schemas.openxmlformats.org/officeDocument/2006/relationships/hyperlink" Target="https://github.com/d-wkim/phd/blob/main/data/pdf/laxdal_2005.pdf" TargetMode="External"/><Relationship Id="rId657" Type="http://schemas.openxmlformats.org/officeDocument/2006/relationships/hyperlink" Target="https://github.com/d-wkim/phd/blob/main/data/pdf/noh_2011.pdf" TargetMode="External"/><Relationship Id="rId899" Type="http://schemas.openxmlformats.org/officeDocument/2006/relationships/hyperlink" Target="https://github.com/d-wkim/phd/blob/main/data/pdf/yadav_2025.pdf" TargetMode="External"/><Relationship Id="rId414" Type="http://schemas.openxmlformats.org/officeDocument/2006/relationships/hyperlink" Target="https://raw.githubusercontent.com/d-wkim/phd/refs/heads/main/data/pdf/laxdal_2005.pdf" TargetMode="External"/><Relationship Id="rId656" Type="http://schemas.openxmlformats.org/officeDocument/2006/relationships/hyperlink" Target="https://raw.githubusercontent.com/d-wkim/phd/refs/heads/main/data/pdf/noh_2011.pdf" TargetMode="External"/><Relationship Id="rId898" Type="http://schemas.openxmlformats.org/officeDocument/2006/relationships/hyperlink" Target="https://raw.githubusercontent.com/d-wkim/phd/refs/heads/main/data/pdf/yadav_2025.pdf" TargetMode="External"/><Relationship Id="rId413" Type="http://schemas.openxmlformats.org/officeDocument/2006/relationships/hyperlink" Target="https://github.com/d-wkim/phd/blob/main/data/pdf/lawhorn_2012.pdf" TargetMode="External"/><Relationship Id="rId655" Type="http://schemas.openxmlformats.org/officeDocument/2006/relationships/hyperlink" Target="https://github.com/d-wkim/phd/blob/main/data/pdf/noh_2011.pdf" TargetMode="External"/><Relationship Id="rId897" Type="http://schemas.openxmlformats.org/officeDocument/2006/relationships/hyperlink" Target="https://github.com/d-wkim/phd/blob/main/data/pdf/wipfler_2011.pdf" TargetMode="External"/><Relationship Id="rId412" Type="http://schemas.openxmlformats.org/officeDocument/2006/relationships/hyperlink" Target="https://raw.githubusercontent.com/d-wkim/phd/refs/heads/main/data/pdf/lawhorn_2012.pdf" TargetMode="External"/><Relationship Id="rId654" Type="http://schemas.openxmlformats.org/officeDocument/2006/relationships/hyperlink" Target="https://raw.githubusercontent.com/d-wkim/phd/refs/heads/main/data/pdf/noh_2011.pdf" TargetMode="External"/><Relationship Id="rId896" Type="http://schemas.openxmlformats.org/officeDocument/2006/relationships/hyperlink" Target="https://raw.githubusercontent.com/d-wkim/phd/refs/heads/main/data/pdf/wipfler_2011.pdf" TargetMode="External"/><Relationship Id="rId419" Type="http://schemas.openxmlformats.org/officeDocument/2006/relationships/hyperlink" Target="https://github.com/d-wkim/phd/blob/main/data/pdf/laxdal_2005.pdf" TargetMode="External"/><Relationship Id="rId418" Type="http://schemas.openxmlformats.org/officeDocument/2006/relationships/hyperlink" Target="https://raw.githubusercontent.com/d-wkim/phd/refs/heads/main/data/pdf/laxdal_2005.pdf" TargetMode="External"/><Relationship Id="rId417" Type="http://schemas.openxmlformats.org/officeDocument/2006/relationships/hyperlink" Target="https://github.com/d-wkim/phd/blob/main/data/pdf/laxdal_2005.pdf" TargetMode="External"/><Relationship Id="rId659" Type="http://schemas.openxmlformats.org/officeDocument/2006/relationships/hyperlink" Target="https://github.com/d-wkim/phd/blob/main/data/pdf/noh_2011.pdf" TargetMode="External"/><Relationship Id="rId416" Type="http://schemas.openxmlformats.org/officeDocument/2006/relationships/hyperlink" Target="https://raw.githubusercontent.com/d-wkim/phd/refs/heads/main/data/pdf/laxdal_2005.pdf" TargetMode="External"/><Relationship Id="rId658" Type="http://schemas.openxmlformats.org/officeDocument/2006/relationships/hyperlink" Target="https://raw.githubusercontent.com/d-wkim/phd/refs/heads/main/data/pdf/noh_2011.pdf" TargetMode="External"/><Relationship Id="rId891" Type="http://schemas.openxmlformats.org/officeDocument/2006/relationships/hyperlink" Target="https://github.com/d-wkim/phd/blob/main/data/pdf/wipfler_2011.pdf" TargetMode="External"/><Relationship Id="rId890" Type="http://schemas.openxmlformats.org/officeDocument/2006/relationships/hyperlink" Target="https://raw.githubusercontent.com/d-wkim/phd/refs/heads/main/data/pdf/wipfler_2011.pdf" TargetMode="External"/><Relationship Id="rId411" Type="http://schemas.openxmlformats.org/officeDocument/2006/relationships/hyperlink" Target="https://github.com/d-wkim/phd/blob/main/data/pdf/lawhorn_2012.pdf" TargetMode="External"/><Relationship Id="rId653" Type="http://schemas.openxmlformats.org/officeDocument/2006/relationships/hyperlink" Target="https://github.com/d-wkim/phd/blob/main/data/pdf/noh_2011.pdf" TargetMode="External"/><Relationship Id="rId895" Type="http://schemas.openxmlformats.org/officeDocument/2006/relationships/hyperlink" Target="https://github.com/d-wkim/phd/blob/main/data/pdf/wipfler_2011.pdf" TargetMode="External"/><Relationship Id="rId410" Type="http://schemas.openxmlformats.org/officeDocument/2006/relationships/hyperlink" Target="https://raw.githubusercontent.com/d-wkim/phd/refs/heads/main/data/pdf/lawhorn_2012.pdf" TargetMode="External"/><Relationship Id="rId652" Type="http://schemas.openxmlformats.org/officeDocument/2006/relationships/hyperlink" Target="https://raw.githubusercontent.com/d-wkim/phd/refs/heads/main/data/pdf/noh_2011.pdf" TargetMode="External"/><Relationship Id="rId894" Type="http://schemas.openxmlformats.org/officeDocument/2006/relationships/hyperlink" Target="https://raw.githubusercontent.com/d-wkim/phd/refs/heads/main/data/pdf/wipfler_2011.pdf" TargetMode="External"/><Relationship Id="rId651" Type="http://schemas.openxmlformats.org/officeDocument/2006/relationships/hyperlink" Target="https://github.com/d-wkim/phd/blob/main/data/pdf/noh_2011.pdf" TargetMode="External"/><Relationship Id="rId893" Type="http://schemas.openxmlformats.org/officeDocument/2006/relationships/hyperlink" Target="https://github.com/d-wkim/phd/blob/main/data/pdf/wipfler_2011.pdf" TargetMode="External"/><Relationship Id="rId650" Type="http://schemas.openxmlformats.org/officeDocument/2006/relationships/hyperlink" Target="https://raw.githubusercontent.com/d-wkim/phd/refs/heads/main/data/pdf/noh_2011.pdf" TargetMode="External"/><Relationship Id="rId892" Type="http://schemas.openxmlformats.org/officeDocument/2006/relationships/hyperlink" Target="https://raw.githubusercontent.com/d-wkim/phd/refs/heads/main/data/pdf/wipfler_2011.pdf" TargetMode="External"/><Relationship Id="rId206" Type="http://schemas.openxmlformats.org/officeDocument/2006/relationships/hyperlink" Target="https://raw.githubusercontent.com/d-wkim/phd/refs/heads/main/data/pdf/gobbi_francisco_2006.pdf" TargetMode="External"/><Relationship Id="rId448" Type="http://schemas.openxmlformats.org/officeDocument/2006/relationships/hyperlink" Target="https://raw.githubusercontent.com/d-wkim/phd/refs/heads/main/data/pdf/leitgeb_2014.pdf" TargetMode="External"/><Relationship Id="rId205" Type="http://schemas.openxmlformats.org/officeDocument/2006/relationships/hyperlink" Target="https://github.com/d-wkim/phd/blob/main/data/pdf/gobbi_francisco_2006.pdf" TargetMode="External"/><Relationship Id="rId447" Type="http://schemas.openxmlformats.org/officeDocument/2006/relationships/hyperlink" Target="https://github.com/d-wkim/phd/blob/main/data/pdf/leitgeb_2014.pdf" TargetMode="External"/><Relationship Id="rId689" Type="http://schemas.openxmlformats.org/officeDocument/2006/relationships/hyperlink" Target="https://github.com/d-wkim/phd/blob/main/data/pdf/papalia_2015.pdf" TargetMode="External"/><Relationship Id="rId204" Type="http://schemas.openxmlformats.org/officeDocument/2006/relationships/hyperlink" Target="https://raw.githubusercontent.com/d-wkim/phd/refs/heads/main/data/pdf/gobbi_francisco_2006.pdf" TargetMode="External"/><Relationship Id="rId446" Type="http://schemas.openxmlformats.org/officeDocument/2006/relationships/hyperlink" Target="https://raw.githubusercontent.com/d-wkim/phd/refs/heads/main/data/pdf/leitgeb_2014.pdf" TargetMode="External"/><Relationship Id="rId688" Type="http://schemas.openxmlformats.org/officeDocument/2006/relationships/hyperlink" Target="https://raw.githubusercontent.com/d-wkim/phd/refs/heads/main/data/pdf/papalia_2015.pdf" TargetMode="External"/><Relationship Id="rId203" Type="http://schemas.openxmlformats.org/officeDocument/2006/relationships/hyperlink" Target="https://github.com/d-wkim/phd/blob/main/data/pdf/gobbi_francisco_2006.pdf" TargetMode="External"/><Relationship Id="rId445" Type="http://schemas.openxmlformats.org/officeDocument/2006/relationships/hyperlink" Target="https://github.com/d-wkim/phd/blob/main/data/pdf/leitgeb_2014.pdf" TargetMode="External"/><Relationship Id="rId687" Type="http://schemas.openxmlformats.org/officeDocument/2006/relationships/hyperlink" Target="https://github.com/d-wkim/phd/blob/main/data/pdf/oneill_1996.pdf" TargetMode="External"/><Relationship Id="rId209" Type="http://schemas.openxmlformats.org/officeDocument/2006/relationships/hyperlink" Target="https://github.com/d-wkim/phd/blob/main/data/pdf/gobbi_francisco_2006.pdf" TargetMode="External"/><Relationship Id="rId208" Type="http://schemas.openxmlformats.org/officeDocument/2006/relationships/hyperlink" Target="https://raw.githubusercontent.com/d-wkim/phd/refs/heads/main/data/pdf/gobbi_francisco_2006.pdf" TargetMode="External"/><Relationship Id="rId207" Type="http://schemas.openxmlformats.org/officeDocument/2006/relationships/hyperlink" Target="https://github.com/d-wkim/phd/blob/main/data/pdf/gobbi_francisco_2006.pdf" TargetMode="External"/><Relationship Id="rId449" Type="http://schemas.openxmlformats.org/officeDocument/2006/relationships/hyperlink" Target="https://github.com/d-wkim/phd/blob/main/data/pdf/leitgeb_2014.pdf" TargetMode="External"/><Relationship Id="rId440" Type="http://schemas.openxmlformats.org/officeDocument/2006/relationships/hyperlink" Target="https://raw.githubusercontent.com/d-wkim/phd/refs/heads/main/data/pdf/laxdal_2005.pdf" TargetMode="External"/><Relationship Id="rId682" Type="http://schemas.openxmlformats.org/officeDocument/2006/relationships/hyperlink" Target="https://raw.githubusercontent.com/d-wkim/phd/refs/heads/main/data/pdf/oneill_1996.pdf" TargetMode="External"/><Relationship Id="rId681" Type="http://schemas.openxmlformats.org/officeDocument/2006/relationships/hyperlink" Target="https://github.com/d-wkim/phd/blob/main/data/pdf/oneill_1996.pdf" TargetMode="External"/><Relationship Id="rId680" Type="http://schemas.openxmlformats.org/officeDocument/2006/relationships/hyperlink" Target="https://raw.githubusercontent.com/d-wkim/phd/refs/heads/main/data/pdf/oneill_1996.pdf" TargetMode="External"/><Relationship Id="rId202" Type="http://schemas.openxmlformats.org/officeDocument/2006/relationships/hyperlink" Target="https://raw.githubusercontent.com/d-wkim/phd/refs/heads/main/data/pdf/gobbi_francisco_2006.pdf" TargetMode="External"/><Relationship Id="rId444" Type="http://schemas.openxmlformats.org/officeDocument/2006/relationships/hyperlink" Target="https://raw.githubusercontent.com/d-wkim/phd/refs/heads/main/data/pdf/leitgeb_2014.pdf" TargetMode="External"/><Relationship Id="rId686" Type="http://schemas.openxmlformats.org/officeDocument/2006/relationships/hyperlink" Target="https://raw.githubusercontent.com/d-wkim/phd/refs/heads/main/data/pdf/oneill_1996.pdf" TargetMode="External"/><Relationship Id="rId201" Type="http://schemas.openxmlformats.org/officeDocument/2006/relationships/hyperlink" Target="https://github.com/d-wkim/phd/blob/main/data/pdf/gobbi_francisco_2006.pdf" TargetMode="External"/><Relationship Id="rId443" Type="http://schemas.openxmlformats.org/officeDocument/2006/relationships/hyperlink" Target="https://github.com/d-wkim/phd/blob/main/data/pdf/laxdal_2005.pdf" TargetMode="External"/><Relationship Id="rId685" Type="http://schemas.openxmlformats.org/officeDocument/2006/relationships/hyperlink" Target="https://github.com/d-wkim/phd/blob/main/data/pdf/oneill_1996.pdf" TargetMode="External"/><Relationship Id="rId200" Type="http://schemas.openxmlformats.org/officeDocument/2006/relationships/hyperlink" Target="https://raw.githubusercontent.com/d-wkim/phd/refs/heads/main/data/pdf/gobbi_francisco_2006.pdf" TargetMode="External"/><Relationship Id="rId442" Type="http://schemas.openxmlformats.org/officeDocument/2006/relationships/hyperlink" Target="https://raw.githubusercontent.com/d-wkim/phd/refs/heads/main/data/pdf/laxdal_2005.pdf" TargetMode="External"/><Relationship Id="rId684" Type="http://schemas.openxmlformats.org/officeDocument/2006/relationships/hyperlink" Target="https://raw.githubusercontent.com/d-wkim/phd/refs/heads/main/data/pdf/oneill_1996.pdf" TargetMode="External"/><Relationship Id="rId441" Type="http://schemas.openxmlformats.org/officeDocument/2006/relationships/hyperlink" Target="https://github.com/d-wkim/phd/blob/main/data/pdf/laxdal_2005.pdf" TargetMode="External"/><Relationship Id="rId683" Type="http://schemas.openxmlformats.org/officeDocument/2006/relationships/hyperlink" Target="https://github.com/d-wkim/phd/blob/main/data/pdf/oneill_1996.pdf" TargetMode="External"/><Relationship Id="rId437" Type="http://schemas.openxmlformats.org/officeDocument/2006/relationships/hyperlink" Target="https://github.com/d-wkim/phd/blob/main/data/pdf/laxdal_2005.pdf" TargetMode="External"/><Relationship Id="rId679" Type="http://schemas.openxmlformats.org/officeDocument/2006/relationships/hyperlink" Target="https://github.com/d-wkim/phd/blob/main/data/pdf/oneill_1996.pdf" TargetMode="External"/><Relationship Id="rId436" Type="http://schemas.openxmlformats.org/officeDocument/2006/relationships/hyperlink" Target="https://raw.githubusercontent.com/d-wkim/phd/refs/heads/main/data/pdf/laxdal_2005.pdf" TargetMode="External"/><Relationship Id="rId678" Type="http://schemas.openxmlformats.org/officeDocument/2006/relationships/hyperlink" Target="https://raw.githubusercontent.com/d-wkim/phd/refs/heads/main/data/pdf/oneill_1996.pdf" TargetMode="External"/><Relationship Id="rId435" Type="http://schemas.openxmlformats.org/officeDocument/2006/relationships/hyperlink" Target="https://github.com/d-wkim/phd/blob/main/data/pdf/laxdal_2005.pdf" TargetMode="External"/><Relationship Id="rId677" Type="http://schemas.openxmlformats.org/officeDocument/2006/relationships/hyperlink" Target="https://github.com/d-wkim/phd/blob/main/data/pdf/oneill_1996.pdf" TargetMode="External"/><Relationship Id="rId434" Type="http://schemas.openxmlformats.org/officeDocument/2006/relationships/hyperlink" Target="https://raw.githubusercontent.com/d-wkim/phd/refs/heads/main/data/pdf/laxdal_2005.pdf" TargetMode="External"/><Relationship Id="rId676" Type="http://schemas.openxmlformats.org/officeDocument/2006/relationships/hyperlink" Target="https://raw.githubusercontent.com/d-wkim/phd/refs/heads/main/data/pdf/oneill_1996.pdf" TargetMode="External"/><Relationship Id="rId439" Type="http://schemas.openxmlformats.org/officeDocument/2006/relationships/hyperlink" Target="https://github.com/d-wkim/phd/blob/main/data/pdf/laxdal_2005.pdf" TargetMode="External"/><Relationship Id="rId438" Type="http://schemas.openxmlformats.org/officeDocument/2006/relationships/hyperlink" Target="https://raw.githubusercontent.com/d-wkim/phd/refs/heads/main/data/pdf/laxdal_2005.pdf" TargetMode="External"/><Relationship Id="rId671" Type="http://schemas.openxmlformats.org/officeDocument/2006/relationships/hyperlink" Target="https://github.com/d-wkim/phd/blob/main/data/pdf/noh_2011.pdf" TargetMode="External"/><Relationship Id="rId670" Type="http://schemas.openxmlformats.org/officeDocument/2006/relationships/hyperlink" Target="https://raw.githubusercontent.com/d-wkim/phd/refs/heads/main/data/pdf/noh_2011.pdf" TargetMode="External"/><Relationship Id="rId433" Type="http://schemas.openxmlformats.org/officeDocument/2006/relationships/hyperlink" Target="https://github.com/d-wkim/phd/blob/main/data/pdf/laxdal_2005.pdf" TargetMode="External"/><Relationship Id="rId675" Type="http://schemas.openxmlformats.org/officeDocument/2006/relationships/hyperlink" Target="https://github.com/d-wkim/phd/blob/main/data/pdf/noh_2011.pdf" TargetMode="External"/><Relationship Id="rId432" Type="http://schemas.openxmlformats.org/officeDocument/2006/relationships/hyperlink" Target="https://raw.githubusercontent.com/d-wkim/phd/refs/heads/main/data/pdf/laxdal_2005.pdf" TargetMode="External"/><Relationship Id="rId674" Type="http://schemas.openxmlformats.org/officeDocument/2006/relationships/hyperlink" Target="https://raw.githubusercontent.com/d-wkim/phd/refs/heads/main/data/pdf/noh_2011.pdf" TargetMode="External"/><Relationship Id="rId431" Type="http://schemas.openxmlformats.org/officeDocument/2006/relationships/hyperlink" Target="https://github.com/d-wkim/phd/blob/main/data/pdf/laxdal_2005.pdf" TargetMode="External"/><Relationship Id="rId673" Type="http://schemas.openxmlformats.org/officeDocument/2006/relationships/hyperlink" Target="https://github.com/d-wkim/phd/blob/main/data/pdf/noh_2011.pdf" TargetMode="External"/><Relationship Id="rId430" Type="http://schemas.openxmlformats.org/officeDocument/2006/relationships/hyperlink" Target="https://raw.githubusercontent.com/d-wkim/phd/refs/heads/main/data/pdf/laxdal_2005.pdf" TargetMode="External"/><Relationship Id="rId672" Type="http://schemas.openxmlformats.org/officeDocument/2006/relationships/hyperlink" Target="https://raw.githubusercontent.com/d-wkim/phd/refs/heads/main/data/pdf/noh_2011.pdf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raw.githubusercontent.com/d-wkim/phd/refs/heads/main/data/pdf/ageberg_2009.pdf" TargetMode="External"/><Relationship Id="rId2" Type="http://schemas.openxmlformats.org/officeDocument/2006/relationships/hyperlink" Target="https://raw.githubusercontent.com/d-wkim/phd/refs/heads/main/data/pdf/aglietti_2004.pdf" TargetMode="External"/><Relationship Id="rId3" Type="http://schemas.openxmlformats.org/officeDocument/2006/relationships/hyperlink" Target="https://raw.githubusercontent.com/d-wkim/phd/refs/heads/main/data/pdf/ahld%C3%A9n_2009.pdf" TargetMode="External"/><Relationship Id="rId4" Type="http://schemas.openxmlformats.org/officeDocument/2006/relationships/hyperlink" Target="https://raw.githubusercontent.com/d-wkim/phd/refs/heads/main/data/pdf/akelman_2016.pdf" TargetMode="External"/><Relationship Id="rId9" Type="http://schemas.openxmlformats.org/officeDocument/2006/relationships/hyperlink" Target="https://raw.githubusercontent.com/d-wkim/phd/refs/heads/main/data/pdf/barenius_2014.pdf" TargetMode="External"/><Relationship Id="rId5" Type="http://schemas.openxmlformats.org/officeDocument/2006/relationships/hyperlink" Target="https://raw.githubusercontent.com/d-wkim/phd/refs/heads/main/data/pdf/anderson_2001.pdf" TargetMode="External"/><Relationship Id="rId6" Type="http://schemas.openxmlformats.org/officeDocument/2006/relationships/hyperlink" Target="https://raw.githubusercontent.com/d-wkim/phd/refs/heads/main/data/pdf/anz_2023.pdf" TargetMode="External"/><Relationship Id="rId7" Type="http://schemas.openxmlformats.org/officeDocument/2006/relationships/hyperlink" Target="https://raw.githubusercontent.com/d-wkim/phd/refs/heads/main/data/pdf/aune_2001.pdf" TargetMode="External"/><Relationship Id="rId8" Type="http://schemas.openxmlformats.org/officeDocument/2006/relationships/hyperlink" Target="https://raw.githubusercontent.com/d-wkim/phd/refs/heads/main/data/pdf/barenius_2010.pdf" TargetMode="External"/><Relationship Id="rId40" Type="http://schemas.openxmlformats.org/officeDocument/2006/relationships/hyperlink" Target="https://raw.githubusercontent.com/d-wkim/phd/refs/heads/main/data/pdf/jansson_1999.pdf" TargetMode="External"/><Relationship Id="rId42" Type="http://schemas.openxmlformats.org/officeDocument/2006/relationships/hyperlink" Target="https://raw.githubusercontent.com/d-wkim/phd/refs/heads/main/data/pdf/johns_2026.pdf" TargetMode="External"/><Relationship Id="rId41" Type="http://schemas.openxmlformats.org/officeDocument/2006/relationships/hyperlink" Target="https://raw.githubusercontent.com/d-wkim/phd/refs/heads/main/data/pdf/jansson_2003.pdf" TargetMode="External"/><Relationship Id="rId44" Type="http://schemas.openxmlformats.org/officeDocument/2006/relationships/hyperlink" Target="https://raw.githubusercontent.com/d-wkim/phd/refs/heads/main/data/pdf/komzak_2022.pdf" TargetMode="External"/><Relationship Id="rId43" Type="http://schemas.openxmlformats.org/officeDocument/2006/relationships/hyperlink" Target="https://raw.githubusercontent.com/d-wkim/phd/refs/heads/main/data/pdf/kautzner_2015.pdf" TargetMode="External"/><Relationship Id="rId46" Type="http://schemas.openxmlformats.org/officeDocument/2006/relationships/hyperlink" Target="https://raw.githubusercontent.com/d-wkim/phd/refs/heads/main/data/pdf/laoruengthana_2009.pdf" TargetMode="External"/><Relationship Id="rId45" Type="http://schemas.openxmlformats.org/officeDocument/2006/relationships/hyperlink" Target="https://raw.githubusercontent.com/d-wkim/phd/refs/heads/main/data/pdf/konrads_2016.pdf" TargetMode="External"/><Relationship Id="rId48" Type="http://schemas.openxmlformats.org/officeDocument/2006/relationships/hyperlink" Target="https://raw.githubusercontent.com/d-wkim/phd/refs/heads/main/data/pdf/laxdal_2004.pdf" TargetMode="External"/><Relationship Id="rId47" Type="http://schemas.openxmlformats.org/officeDocument/2006/relationships/hyperlink" Target="https://raw.githubusercontent.com/d-wkim/phd/refs/heads/main/data/pdf/lawhorn_2012.pdf" TargetMode="External"/><Relationship Id="rId49" Type="http://schemas.openxmlformats.org/officeDocument/2006/relationships/hyperlink" Target="https://raw.githubusercontent.com/d-wkim/phd/refs/heads/main/data/pdf/laxdal_2005.pdf" TargetMode="External"/><Relationship Id="rId31" Type="http://schemas.openxmlformats.org/officeDocument/2006/relationships/hyperlink" Target="https://raw.githubusercontent.com/d-wkim/phd/refs/heads/main/data/pdf/gobbi_francisco_2006.pdf" TargetMode="External"/><Relationship Id="rId30" Type="http://schemas.openxmlformats.org/officeDocument/2006/relationships/hyperlink" Target="https://raw.githubusercontent.com/d-wkim/phd/refs/heads/main/data/pdf/gifstad_2013.pdf" TargetMode="External"/><Relationship Id="rId33" Type="http://schemas.openxmlformats.org/officeDocument/2006/relationships/hyperlink" Target="https://raw.githubusercontent.com/d-wkim/phd/refs/heads/main/data/pdf/harilainen_2006.pdf" TargetMode="External"/><Relationship Id="rId32" Type="http://schemas.openxmlformats.org/officeDocument/2006/relationships/hyperlink" Target="https://raw.githubusercontent.com/d-wkim/phd/refs/heads/main/data/pdf/guglielmetti_2021.pdf" TargetMode="External"/><Relationship Id="rId35" Type="http://schemas.openxmlformats.org/officeDocument/2006/relationships/hyperlink" Target="https://raw.githubusercontent.com/d-wkim/phd/refs/heads/main/data/pdf/holm_2010.pdf" TargetMode="External"/><Relationship Id="rId34" Type="http://schemas.openxmlformats.org/officeDocument/2006/relationships/hyperlink" Target="https://raw.githubusercontent.com/d-wkim/phd/refs/heads/main/data/pdf/heijne_werner_2010.pdf" TargetMode="External"/><Relationship Id="rId37" Type="http://schemas.openxmlformats.org/officeDocument/2006/relationships/hyperlink" Target="https://raw.githubusercontent.com/d-wkim/phd/refs/heads/main/data/pdf/ibrahim_2005.pdf" TargetMode="External"/><Relationship Id="rId36" Type="http://schemas.openxmlformats.org/officeDocument/2006/relationships/hyperlink" Target="https://raw.githubusercontent.com/d-wkim/phd/refs/heads/main/data/pdf/horstmann_2022.pdf" TargetMode="External"/><Relationship Id="rId39" Type="http://schemas.openxmlformats.org/officeDocument/2006/relationships/hyperlink" Target="https://raw.githubusercontent.com/d-wkim/phd/refs/heads/main/data/pdf/irrgang_2021.pdf" TargetMode="External"/><Relationship Id="rId38" Type="http://schemas.openxmlformats.org/officeDocument/2006/relationships/hyperlink" Target="https://raw.githubusercontent.com/d-wkim/phd/refs/heads/main/data/pdf/iliopoulos_2017.pdf" TargetMode="External"/><Relationship Id="rId20" Type="http://schemas.openxmlformats.org/officeDocument/2006/relationships/hyperlink" Target="https://raw.githubusercontent.com/d-wkim/phd/refs/heads/main/data/pdf/carter_edinger_1999.pdf" TargetMode="External"/><Relationship Id="rId22" Type="http://schemas.openxmlformats.org/officeDocument/2006/relationships/hyperlink" Target="https://raw.githubusercontent.com/d-wkim/phd/refs/heads/main/data/pdf/cruz_2022.pdf" TargetMode="External"/><Relationship Id="rId21" Type="http://schemas.openxmlformats.org/officeDocument/2006/relationships/hyperlink" Target="https://raw.githubusercontent.com/d-wkim/phd/refs/heads/main/data/pdf/covey_2018.pdf" TargetMode="External"/><Relationship Id="rId24" Type="http://schemas.openxmlformats.org/officeDocument/2006/relationships/hyperlink" Target="https://raw.githubusercontent.com/d-wkim/phd/refs/heads/main/data/pdf/eriksson_2001.pdf" TargetMode="External"/><Relationship Id="rId23" Type="http://schemas.openxmlformats.org/officeDocument/2006/relationships/hyperlink" Target="https://raw.githubusercontent.com/d-wkim/phd/refs/heads/main/data/pdf/ejerhed_2003.pdf" TargetMode="External"/><Relationship Id="rId26" Type="http://schemas.openxmlformats.org/officeDocument/2006/relationships/hyperlink" Target="https://raw.githubusercontent.com/d-wkim/phd/refs/heads/main/data/pdf/feller_webster_2003.pdf" TargetMode="External"/><Relationship Id="rId25" Type="http://schemas.openxmlformats.org/officeDocument/2006/relationships/hyperlink" Target="https://raw.githubusercontent.com/d-wkim/phd/refs/heads/main/data/pdf/eriksson_2006.pdf" TargetMode="External"/><Relationship Id="rId28" Type="http://schemas.openxmlformats.org/officeDocument/2006/relationships/hyperlink" Target="https://raw.githubusercontent.com/d-wkim/phd/refs/heads/main/data/pdf/gerber_2007.pdf" TargetMode="External"/><Relationship Id="rId27" Type="http://schemas.openxmlformats.org/officeDocument/2006/relationships/hyperlink" Target="https://raw.githubusercontent.com/d-wkim/phd/refs/heads/main/data/pdf/garcia-linage_2025.pdf" TargetMode="External"/><Relationship Id="rId29" Type="http://schemas.openxmlformats.org/officeDocument/2006/relationships/hyperlink" Target="https://raw.githubusercontent.com/d-wkim/phd/refs/heads/main/data/pdf/ghalayini_2010.pdf" TargetMode="External"/><Relationship Id="rId11" Type="http://schemas.openxmlformats.org/officeDocument/2006/relationships/hyperlink" Target="https://raw.githubusercontent.com/d-wkim/phd/refs/heads/main/data/pdf/beynnon_2002.pdf" TargetMode="External"/><Relationship Id="rId10" Type="http://schemas.openxmlformats.org/officeDocument/2006/relationships/hyperlink" Target="https://raw.githubusercontent.com/d-wkim/phd/refs/heads/main/data/pdf/bari%C3%A9_2020.pdf" TargetMode="External"/><Relationship Id="rId13" Type="http://schemas.openxmlformats.org/officeDocument/2006/relationships/hyperlink" Target="https://raw.githubusercontent.com/d-wkim/phd/refs/heads/main/data/pdf/bj%C3%B6rnsson_2016.pdf" TargetMode="External"/><Relationship Id="rId12" Type="http://schemas.openxmlformats.org/officeDocument/2006/relationships/hyperlink" Target="https://raw.githubusercontent.com/d-wkim/phd/refs/heads/main/data/pdf/bi_2018.pdf" TargetMode="External"/><Relationship Id="rId15" Type="http://schemas.openxmlformats.org/officeDocument/2006/relationships/hyperlink" Target="https://raw.githubusercontent.com/d-wkim/phd/refs/heads/main/data/pdf/brand_2000.pdf" TargetMode="External"/><Relationship Id="rId14" Type="http://schemas.openxmlformats.org/officeDocument/2006/relationships/hyperlink" Target="https://raw.githubusercontent.com/d-wkim/phd/refs/heads/main/data/pdf/bottoni_2015.pdf" TargetMode="External"/><Relationship Id="rId17" Type="http://schemas.openxmlformats.org/officeDocument/2006/relationships/hyperlink" Target="https://raw.githubusercontent.com/d-wkim/phd/refs/heads/main/data/pdf/buescu_2017.pdf" TargetMode="External"/><Relationship Id="rId16" Type="http://schemas.openxmlformats.org/officeDocument/2006/relationships/hyperlink" Target="https://raw.githubusercontent.com/d-wkim/phd/refs/heads/main/data/pdf/breker_2025.pdf" TargetMode="External"/><Relationship Id="rId19" Type="http://schemas.openxmlformats.org/officeDocument/2006/relationships/hyperlink" Target="https://raw.githubusercontent.com/d-wkim/phd/refs/heads/main/data/pdf/calvert_2025.pdf" TargetMode="External"/><Relationship Id="rId18" Type="http://schemas.openxmlformats.org/officeDocument/2006/relationships/hyperlink" Target="https://raw.githubusercontent.com/d-wkim/phd/refs/heads/main/data/pdf/butt_2024.pdf" TargetMode="External"/><Relationship Id="rId84" Type="http://schemas.openxmlformats.org/officeDocument/2006/relationships/hyperlink" Target="https://raw.githubusercontent.com/d-wkim/phd/refs/heads/main/data/pdf/sinding_2020.pdf" TargetMode="External"/><Relationship Id="rId83" Type="http://schemas.openxmlformats.org/officeDocument/2006/relationships/hyperlink" Target="https://raw.githubusercontent.com/d-wkim/phd/refs/heads/main/data/pdf/sato_2005.pdf" TargetMode="External"/><Relationship Id="rId86" Type="http://schemas.openxmlformats.org/officeDocument/2006/relationships/hyperlink" Target="https://raw.githubusercontent.com/d-wkim/phd/refs/heads/main/data/pdf/sonnery-cottet_2020.pdf" TargetMode="External"/><Relationship Id="rId85" Type="http://schemas.openxmlformats.org/officeDocument/2006/relationships/hyperlink" Target="https://raw.githubusercontent.com/d-wkim/phd/refs/heads/main/data/pdf/smith_2020.pdf" TargetMode="External"/><Relationship Id="rId88" Type="http://schemas.openxmlformats.org/officeDocument/2006/relationships/hyperlink" Target="https://raw.githubusercontent.com/d-wkim/phd/refs/heads/main/data/pdf/sumanont_2024.pdf" TargetMode="External"/><Relationship Id="rId87" Type="http://schemas.openxmlformats.org/officeDocument/2006/relationships/hyperlink" Target="https://raw.githubusercontent.com/d-wkim/phd/refs/heads/main/data/pdf/sonnery-cottet_2026.pdf" TargetMode="External"/><Relationship Id="rId89" Type="http://schemas.openxmlformats.org/officeDocument/2006/relationships/hyperlink" Target="https://raw.githubusercontent.com/d-wkim/phd/refs/heads/main/data/pdf/tang_2023.pdf" TargetMode="External"/><Relationship Id="rId80" Type="http://schemas.openxmlformats.org/officeDocument/2006/relationships/hyperlink" Target="https://raw.githubusercontent.com/d-wkim/phd/refs/heads/main/data/pdf/sajovic_2008.pdf" TargetMode="External"/><Relationship Id="rId82" Type="http://schemas.openxmlformats.org/officeDocument/2006/relationships/hyperlink" Target="https://raw.githubusercontent.com/d-wkim/phd/refs/heads/main/data/pdf/sajovic_2018.pdf" TargetMode="External"/><Relationship Id="rId81" Type="http://schemas.openxmlformats.org/officeDocument/2006/relationships/hyperlink" Target="https://raw.githubusercontent.com/d-wkim/phd/refs/heads/main/data/pdf/sajovic_2011.pdf" TargetMode="External"/><Relationship Id="rId73" Type="http://schemas.openxmlformats.org/officeDocument/2006/relationships/hyperlink" Target="https://raw.githubusercontent.com/d-wkim/phd/refs/heads/main/data/pdf/papalia_2015.pdf" TargetMode="External"/><Relationship Id="rId72" Type="http://schemas.openxmlformats.org/officeDocument/2006/relationships/hyperlink" Target="https://raw.githubusercontent.com/d-wkim/phd/refs/heads/main/data/pdf/oneill_1996.pdf" TargetMode="External"/><Relationship Id="rId75" Type="http://schemas.openxmlformats.org/officeDocument/2006/relationships/hyperlink" Target="https://raw.githubusercontent.com/d-wkim/phd/refs/heads/main/data/pdf/pigozzi_2004.pdf" TargetMode="External"/><Relationship Id="rId74" Type="http://schemas.openxmlformats.org/officeDocument/2006/relationships/hyperlink" Target="https://raw.githubusercontent.com/d-wkim/phd/refs/heads/main/data/pdf/p%C3%A4ssler_2015.pdf" TargetMode="External"/><Relationship Id="rId77" Type="http://schemas.openxmlformats.org/officeDocument/2006/relationships/hyperlink" Target="https://raw.githubusercontent.com/d-wkim/phd/refs/heads/main/data/pdf/popovic_2024.pdf" TargetMode="External"/><Relationship Id="rId76" Type="http://schemas.openxmlformats.org/officeDocument/2006/relationships/hyperlink" Target="https://raw.githubusercontent.com/d-wkim/phd/refs/heads/main/data/pdf/pinczewski_2007.pdf" TargetMode="External"/><Relationship Id="rId79" Type="http://schemas.openxmlformats.org/officeDocument/2006/relationships/hyperlink" Target="https://raw.githubusercontent.com/d-wkim/phd/refs/heads/main/data/pdf/sajovic_2006.pdf" TargetMode="External"/><Relationship Id="rId78" Type="http://schemas.openxmlformats.org/officeDocument/2006/relationships/hyperlink" Target="https://raw.githubusercontent.com/d-wkim/phd/refs/heads/main/data/pdf/r%C3%B6pke_2001.pdf" TargetMode="External"/><Relationship Id="rId71" Type="http://schemas.openxmlformats.org/officeDocument/2006/relationships/hyperlink" Target="https://raw.githubusercontent.com/d-wkim/phd/refs/heads/main/data/pdf/nurmi_2004.pdf" TargetMode="External"/><Relationship Id="rId70" Type="http://schemas.openxmlformats.org/officeDocument/2006/relationships/hyperlink" Target="https://raw.githubusercontent.com/d-wkim/phd/refs/heads/main/data/pdf/noh_2011.pdf" TargetMode="External"/><Relationship Id="rId62" Type="http://schemas.openxmlformats.org/officeDocument/2006/relationships/hyperlink" Target="https://raw.githubusercontent.com/d-wkim/phd/refs/heads/main/data/pdf/matsumoto_2006.pdf" TargetMode="External"/><Relationship Id="rId61" Type="http://schemas.openxmlformats.org/officeDocument/2006/relationships/hyperlink" Target="https://raw.githubusercontent.com/d-wkim/phd/refs/heads/main/data/pdf/martin-alguacil_2019.pdf" TargetMode="External"/><Relationship Id="rId64" Type="http://schemas.openxmlformats.org/officeDocument/2006/relationships/hyperlink" Target="https://raw.githubusercontent.com/d-wkim/phd/refs/heads/main/data/pdf/mohammadi_2013.pdf" TargetMode="External"/><Relationship Id="rId63" Type="http://schemas.openxmlformats.org/officeDocument/2006/relationships/hyperlink" Target="https://raw.githubusercontent.com/d-wkim/phd/refs/heads/main/data/pdf/mccormack_2006.pdf" TargetMode="External"/><Relationship Id="rId66" Type="http://schemas.openxmlformats.org/officeDocument/2006/relationships/hyperlink" Target="https://raw.githubusercontent.com/d-wkim/phd/refs/heads/main/data/pdf/mohtadi_2016b.pdf" TargetMode="External"/><Relationship Id="rId65" Type="http://schemas.openxmlformats.org/officeDocument/2006/relationships/hyperlink" Target="https://raw.githubusercontent.com/d-wkim/phd/refs/heads/main/data/pdf/mohtadi_2016a.pdf" TargetMode="External"/><Relationship Id="rId68" Type="http://schemas.openxmlformats.org/officeDocument/2006/relationships/hyperlink" Target="https://raw.githubusercontent.com/d-wkim/phd/refs/heads/main/data/pdf/moraiti_2010.pdf" TargetMode="External"/><Relationship Id="rId67" Type="http://schemas.openxmlformats.org/officeDocument/2006/relationships/hyperlink" Target="https://raw.githubusercontent.com/d-wkim/phd/refs/heads/main/data/pdf/mohtadi_chan_2019.pdf" TargetMode="External"/><Relationship Id="rId60" Type="http://schemas.openxmlformats.org/officeDocument/2006/relationships/hyperlink" Target="https://raw.githubusercontent.com/d-wkim/phd/refs/heads/main/data/pdf/martin-alguacil_2018.pdf" TargetMode="External"/><Relationship Id="rId69" Type="http://schemas.openxmlformats.org/officeDocument/2006/relationships/hyperlink" Target="https://raw.githubusercontent.com/d-wkim/phd/refs/heads/main/data/pdf/mouzopoulos_2015.pdf" TargetMode="External"/><Relationship Id="rId51" Type="http://schemas.openxmlformats.org/officeDocument/2006/relationships/hyperlink" Target="https://raw.githubusercontent.com/d-wkim/phd/refs/heads/main/data/pdf/li_2015.pdf" TargetMode="External"/><Relationship Id="rId50" Type="http://schemas.openxmlformats.org/officeDocument/2006/relationships/hyperlink" Target="https://raw.githubusercontent.com/d-wkim/phd/refs/heads/main/data/pdf/leitgeb_2014.pdf" TargetMode="External"/><Relationship Id="rId53" Type="http://schemas.openxmlformats.org/officeDocument/2006/relationships/hyperlink" Target="https://raw.githubusercontent.com/d-wkim/phd/refs/heads/main/data/pdf/lind_2020.pdf" TargetMode="External"/><Relationship Id="rId52" Type="http://schemas.openxmlformats.org/officeDocument/2006/relationships/hyperlink" Target="https://raw.githubusercontent.com/d-wkim/phd/refs/heads/main/data/pdf/lid%C3%A9n_2007.pdf" TargetMode="External"/><Relationship Id="rId55" Type="http://schemas.openxmlformats.org/officeDocument/2006/relationships/hyperlink" Target="https://raw.githubusercontent.com/d-wkim/phd/refs/heads/main/data/pdf/lui_2012.pdf" TargetMode="External"/><Relationship Id="rId54" Type="http://schemas.openxmlformats.org/officeDocument/2006/relationships/hyperlink" Target="https://raw.githubusercontent.com/d-wkim/phd/refs/heads/main/data/pdf/lucidi_2025.pdf" TargetMode="External"/><Relationship Id="rId57" Type="http://schemas.openxmlformats.org/officeDocument/2006/relationships/hyperlink" Target="https://raw.githubusercontent.com/d-wkim/phd/refs/heads/main/data/pdf/maletis_2007.pdf" TargetMode="External"/><Relationship Id="rId56" Type="http://schemas.openxmlformats.org/officeDocument/2006/relationships/hyperlink" Target="https://raw.githubusercontent.com/d-wkim/phd/refs/heads/main/data/pdf/lund_2014.pdf" TargetMode="External"/><Relationship Id="rId59" Type="http://schemas.openxmlformats.org/officeDocument/2006/relationships/hyperlink" Target="https://raw.githubusercontent.com/d-wkim/phd/refs/heads/main/data/pdf/martin_2024.pdf" TargetMode="External"/><Relationship Id="rId58" Type="http://schemas.openxmlformats.org/officeDocument/2006/relationships/hyperlink" Target="https://raw.githubusercontent.com/d-wkim/phd/refs/heads/main/data/pdf/malik_2026.pdf" TargetMode="External"/><Relationship Id="rId101" Type="http://schemas.openxmlformats.org/officeDocument/2006/relationships/drawing" Target="../drawings/drawing2.xml"/><Relationship Id="rId100" Type="http://schemas.openxmlformats.org/officeDocument/2006/relationships/hyperlink" Target="https://raw.githubusercontent.com/d-wkim/phd/refs/heads/main/data/pdf/zaffagnini_2011.pdf" TargetMode="External"/><Relationship Id="rId95" Type="http://schemas.openxmlformats.org/officeDocument/2006/relationships/hyperlink" Target="https://raw.githubusercontent.com/d-wkim/phd/refs/heads/main/data/pdf/webster_2001.pdf" TargetMode="External"/><Relationship Id="rId94" Type="http://schemas.openxmlformats.org/officeDocument/2006/relationships/hyperlink" Target="https://raw.githubusercontent.com/d-wkim/phd/refs/heads/main/data/pdf/wasserman_2017.pdf" TargetMode="External"/><Relationship Id="rId97" Type="http://schemas.openxmlformats.org/officeDocument/2006/relationships/hyperlink" Target="https://raw.githubusercontent.com/d-wkim/phd/refs/heads/main/data/pdf/yadav_2025.pdf" TargetMode="External"/><Relationship Id="rId96" Type="http://schemas.openxmlformats.org/officeDocument/2006/relationships/hyperlink" Target="https://raw.githubusercontent.com/d-wkim/phd/refs/heads/main/data/pdf/wipfler_2011.pdf" TargetMode="External"/><Relationship Id="rId99" Type="http://schemas.openxmlformats.org/officeDocument/2006/relationships/hyperlink" Target="https://raw.githubusercontent.com/d-wkim/phd/refs/heads/main/data/pdf/zaffagnini_2006.pdf" TargetMode="External"/><Relationship Id="rId98" Type="http://schemas.openxmlformats.org/officeDocument/2006/relationships/hyperlink" Target="https://raw.githubusercontent.com/d-wkim/phd/refs/heads/main/data/pdf/yoo_2017.pdf" TargetMode="External"/><Relationship Id="rId91" Type="http://schemas.openxmlformats.org/officeDocument/2006/relationships/hyperlink" Target="https://raw.githubusercontent.com/d-wkim/phd/refs/heads/main/data/pdf/tibesku_2003.pdf" TargetMode="External"/><Relationship Id="rId90" Type="http://schemas.openxmlformats.org/officeDocument/2006/relationships/hyperlink" Target="https://raw.githubusercontent.com/d-wkim/phd/refs/heads/main/data/pdf/taylor_2009.pdf" TargetMode="External"/><Relationship Id="rId93" Type="http://schemas.openxmlformats.org/officeDocument/2006/relationships/hyperlink" Target="https://raw.githubusercontent.com/d-wkim/phd/refs/heads/main/data/pdf/vilchez_cavazos_2020.pdf" TargetMode="External"/><Relationship Id="rId92" Type="http://schemas.openxmlformats.org/officeDocument/2006/relationships/hyperlink" Target="https://raw.githubusercontent.com/d-wkim/phd/refs/heads/main/data/pdf/vendrig_2026.pdf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raw.githubusercontent.com/d-wkim/phd/refs/heads/main/data/pdf/ageberg_2009.pdf" TargetMode="External"/><Relationship Id="rId2" Type="http://schemas.openxmlformats.org/officeDocument/2006/relationships/hyperlink" Target="https://raw.githubusercontent.com/d-wkim/phd/refs/heads/main/data/pdf/aglietti_2004.pdf" TargetMode="External"/><Relationship Id="rId3" Type="http://schemas.openxmlformats.org/officeDocument/2006/relationships/hyperlink" Target="https://raw.githubusercontent.com/d-wkim/phd/refs/heads/main/data/pdf/ahld%C3%A9n_2009.pdf" TargetMode="External"/><Relationship Id="rId4" Type="http://schemas.openxmlformats.org/officeDocument/2006/relationships/hyperlink" Target="https://raw.githubusercontent.com/d-wkim/phd/refs/heads/main/data/pdf/akelman_2016.pdf" TargetMode="External"/><Relationship Id="rId9" Type="http://schemas.openxmlformats.org/officeDocument/2006/relationships/hyperlink" Target="https://raw.githubusercontent.com/d-wkim/phd/refs/heads/main/data/pdf/bari%C3%A9_2020.pdf" TargetMode="External"/><Relationship Id="rId5" Type="http://schemas.openxmlformats.org/officeDocument/2006/relationships/hyperlink" Target="https://raw.githubusercontent.com/d-wkim/phd/refs/heads/main/data/pdf/anderson_2001.pdf" TargetMode="External"/><Relationship Id="rId6" Type="http://schemas.openxmlformats.org/officeDocument/2006/relationships/hyperlink" Target="https://raw.githubusercontent.com/d-wkim/phd/refs/heads/main/data/pdf/anz_2023.pdf" TargetMode="External"/><Relationship Id="rId7" Type="http://schemas.openxmlformats.org/officeDocument/2006/relationships/hyperlink" Target="https://raw.githubusercontent.com/d-wkim/phd/refs/heads/main/data/pdf/aune_2001.pdf" TargetMode="External"/><Relationship Id="rId8" Type="http://schemas.openxmlformats.org/officeDocument/2006/relationships/hyperlink" Target="https://raw.githubusercontent.com/d-wkim/phd/refs/heads/main/data/pdf/barenius_2014.pdf" TargetMode="External"/><Relationship Id="rId40" Type="http://schemas.openxmlformats.org/officeDocument/2006/relationships/hyperlink" Target="https://raw.githubusercontent.com/d-wkim/phd/refs/heads/main/data/pdf/lid%C3%A9n_2007.pdf" TargetMode="External"/><Relationship Id="rId42" Type="http://schemas.openxmlformats.org/officeDocument/2006/relationships/hyperlink" Target="https://raw.githubusercontent.com/d-wkim/phd/refs/heads/main/data/pdf/lucidi_2025.pdf" TargetMode="External"/><Relationship Id="rId41" Type="http://schemas.openxmlformats.org/officeDocument/2006/relationships/hyperlink" Target="https://raw.githubusercontent.com/d-wkim/phd/refs/heads/main/data/pdf/lind_2020.pdf" TargetMode="External"/><Relationship Id="rId44" Type="http://schemas.openxmlformats.org/officeDocument/2006/relationships/hyperlink" Target="https://raw.githubusercontent.com/d-wkim/phd/refs/heads/main/data/pdf/lund_2014.pdf" TargetMode="External"/><Relationship Id="rId43" Type="http://schemas.openxmlformats.org/officeDocument/2006/relationships/hyperlink" Target="https://raw.githubusercontent.com/d-wkim/phd/refs/heads/main/data/pdf/lui_2012.pdf" TargetMode="External"/><Relationship Id="rId46" Type="http://schemas.openxmlformats.org/officeDocument/2006/relationships/hyperlink" Target="https://raw.githubusercontent.com/d-wkim/phd/refs/heads/main/data/pdf/malik_2026.pdf" TargetMode="External"/><Relationship Id="rId45" Type="http://schemas.openxmlformats.org/officeDocument/2006/relationships/hyperlink" Target="https://raw.githubusercontent.com/d-wkim/phd/refs/heads/main/data/pdf/maletis_2007.pdf" TargetMode="External"/><Relationship Id="rId48" Type="http://schemas.openxmlformats.org/officeDocument/2006/relationships/hyperlink" Target="https://raw.githubusercontent.com/d-wkim/phd/refs/heads/main/data/pdf/mohtadi_2016b.pdf" TargetMode="External"/><Relationship Id="rId47" Type="http://schemas.openxmlformats.org/officeDocument/2006/relationships/hyperlink" Target="https://raw.githubusercontent.com/d-wkim/phd/refs/heads/main/data/pdf/matsumoto_2006.pdf" TargetMode="External"/><Relationship Id="rId49" Type="http://schemas.openxmlformats.org/officeDocument/2006/relationships/hyperlink" Target="https://raw.githubusercontent.com/d-wkim/phd/refs/heads/main/data/pdf/mohtadi_chan_2019.pdf" TargetMode="External"/><Relationship Id="rId31" Type="http://schemas.openxmlformats.org/officeDocument/2006/relationships/hyperlink" Target="https://raw.githubusercontent.com/d-wkim/phd/refs/heads/main/data/pdf/jansson_2003.pdf" TargetMode="External"/><Relationship Id="rId30" Type="http://schemas.openxmlformats.org/officeDocument/2006/relationships/hyperlink" Target="https://raw.githubusercontent.com/d-wkim/phd/refs/heads/main/data/pdf/iliopoulos_2017.pdf" TargetMode="External"/><Relationship Id="rId33" Type="http://schemas.openxmlformats.org/officeDocument/2006/relationships/hyperlink" Target="https://raw.githubusercontent.com/d-wkim/phd/refs/heads/main/data/pdf/komzak_2022.pdf" TargetMode="External"/><Relationship Id="rId32" Type="http://schemas.openxmlformats.org/officeDocument/2006/relationships/hyperlink" Target="https://raw.githubusercontent.com/d-wkim/phd/refs/heads/main/data/pdf/kautzner_2015.pdf" TargetMode="External"/><Relationship Id="rId35" Type="http://schemas.openxmlformats.org/officeDocument/2006/relationships/hyperlink" Target="https://raw.githubusercontent.com/d-wkim/phd/refs/heads/main/data/pdf/laoruengthana_2009.pdf" TargetMode="External"/><Relationship Id="rId34" Type="http://schemas.openxmlformats.org/officeDocument/2006/relationships/hyperlink" Target="https://raw.githubusercontent.com/d-wkim/phd/refs/heads/main/data/pdf/konrads_2016.pdf" TargetMode="External"/><Relationship Id="rId37" Type="http://schemas.openxmlformats.org/officeDocument/2006/relationships/hyperlink" Target="https://raw.githubusercontent.com/d-wkim/phd/refs/heads/main/data/pdf/laxdal_2005.pdf" TargetMode="External"/><Relationship Id="rId36" Type="http://schemas.openxmlformats.org/officeDocument/2006/relationships/hyperlink" Target="https://raw.githubusercontent.com/d-wkim/phd/refs/heads/main/data/pdf/lawhorn_2012.pdf" TargetMode="External"/><Relationship Id="rId39" Type="http://schemas.openxmlformats.org/officeDocument/2006/relationships/hyperlink" Target="https://raw.githubusercontent.com/d-wkim/phd/refs/heads/main/data/pdf/li_2015.pdf" TargetMode="External"/><Relationship Id="rId38" Type="http://schemas.openxmlformats.org/officeDocument/2006/relationships/hyperlink" Target="https://raw.githubusercontent.com/d-wkim/phd/refs/heads/main/data/pdf/leitgeb_2014.pdf" TargetMode="External"/><Relationship Id="rId20" Type="http://schemas.openxmlformats.org/officeDocument/2006/relationships/hyperlink" Target="https://raw.githubusercontent.com/d-wkim/phd/refs/heads/main/data/pdf/feller_webster_2003.pdf" TargetMode="External"/><Relationship Id="rId22" Type="http://schemas.openxmlformats.org/officeDocument/2006/relationships/hyperlink" Target="https://raw.githubusercontent.com/d-wkim/phd/refs/heads/main/data/pdf/gifstad_2013.pdf" TargetMode="External"/><Relationship Id="rId21" Type="http://schemas.openxmlformats.org/officeDocument/2006/relationships/hyperlink" Target="https://raw.githubusercontent.com/d-wkim/phd/refs/heads/main/data/pdf/gerber_2007.pdf" TargetMode="External"/><Relationship Id="rId24" Type="http://schemas.openxmlformats.org/officeDocument/2006/relationships/hyperlink" Target="https://raw.githubusercontent.com/d-wkim/phd/refs/heads/main/data/pdf/guglielmetti_2021.pdf" TargetMode="External"/><Relationship Id="rId23" Type="http://schemas.openxmlformats.org/officeDocument/2006/relationships/hyperlink" Target="https://raw.githubusercontent.com/d-wkim/phd/refs/heads/main/data/pdf/gobbi_francisco_2006.pdf" TargetMode="External"/><Relationship Id="rId26" Type="http://schemas.openxmlformats.org/officeDocument/2006/relationships/hyperlink" Target="https://raw.githubusercontent.com/d-wkim/phd/refs/heads/main/data/pdf/heijne_werner_2010.pdf" TargetMode="External"/><Relationship Id="rId25" Type="http://schemas.openxmlformats.org/officeDocument/2006/relationships/hyperlink" Target="https://raw.githubusercontent.com/d-wkim/phd/refs/heads/main/data/pdf/harilainen_2006.pdf" TargetMode="External"/><Relationship Id="rId28" Type="http://schemas.openxmlformats.org/officeDocument/2006/relationships/hyperlink" Target="https://raw.githubusercontent.com/d-wkim/phd/refs/heads/main/data/pdf/horstmann_2022.pdf" TargetMode="External"/><Relationship Id="rId27" Type="http://schemas.openxmlformats.org/officeDocument/2006/relationships/hyperlink" Target="https://raw.githubusercontent.com/d-wkim/phd/refs/heads/main/data/pdf/holm_2010.pdf" TargetMode="External"/><Relationship Id="rId29" Type="http://schemas.openxmlformats.org/officeDocument/2006/relationships/hyperlink" Target="https://raw.githubusercontent.com/d-wkim/phd/refs/heads/main/data/pdf/ibrahim_2005.pdf" TargetMode="External"/><Relationship Id="rId11" Type="http://schemas.openxmlformats.org/officeDocument/2006/relationships/hyperlink" Target="https://raw.githubusercontent.com/d-wkim/phd/refs/heads/main/data/pdf/bi_2018.pdf" TargetMode="External"/><Relationship Id="rId10" Type="http://schemas.openxmlformats.org/officeDocument/2006/relationships/hyperlink" Target="https://raw.githubusercontent.com/d-wkim/phd/refs/heads/main/data/pdf/beynnon_2002.pdf" TargetMode="External"/><Relationship Id="rId13" Type="http://schemas.openxmlformats.org/officeDocument/2006/relationships/hyperlink" Target="https://raw.githubusercontent.com/d-wkim/phd/refs/heads/main/data/pdf/bottoni_2015.pdf" TargetMode="External"/><Relationship Id="rId12" Type="http://schemas.openxmlformats.org/officeDocument/2006/relationships/hyperlink" Target="https://raw.githubusercontent.com/d-wkim/phd/refs/heads/main/data/pdf/bj%C3%B6rnsson_2016.pdf" TargetMode="External"/><Relationship Id="rId15" Type="http://schemas.openxmlformats.org/officeDocument/2006/relationships/hyperlink" Target="https://raw.githubusercontent.com/d-wkim/phd/refs/heads/main/data/pdf/butt_2024.pdf" TargetMode="External"/><Relationship Id="rId14" Type="http://schemas.openxmlformats.org/officeDocument/2006/relationships/hyperlink" Target="https://raw.githubusercontent.com/d-wkim/phd/refs/heads/main/data/pdf/breker_2025.pdf" TargetMode="External"/><Relationship Id="rId17" Type="http://schemas.openxmlformats.org/officeDocument/2006/relationships/hyperlink" Target="https://raw.githubusercontent.com/d-wkim/phd/refs/heads/main/data/pdf/cruz_2022.pdf" TargetMode="External"/><Relationship Id="rId16" Type="http://schemas.openxmlformats.org/officeDocument/2006/relationships/hyperlink" Target="https://raw.githubusercontent.com/d-wkim/phd/refs/heads/main/data/pdf/calvert_2025.pdf" TargetMode="External"/><Relationship Id="rId19" Type="http://schemas.openxmlformats.org/officeDocument/2006/relationships/hyperlink" Target="https://raw.githubusercontent.com/d-wkim/phd/refs/heads/main/data/pdf/eriksson_2006.pdf" TargetMode="External"/><Relationship Id="rId18" Type="http://schemas.openxmlformats.org/officeDocument/2006/relationships/hyperlink" Target="https://raw.githubusercontent.com/d-wkim/phd/refs/heads/main/data/pdf/ejerhed_2003.pdf" TargetMode="External"/><Relationship Id="rId62" Type="http://schemas.openxmlformats.org/officeDocument/2006/relationships/hyperlink" Target="https://raw.githubusercontent.com/d-wkim/phd/refs/heads/main/data/pdf/taylor_2009.pdf" TargetMode="External"/><Relationship Id="rId61" Type="http://schemas.openxmlformats.org/officeDocument/2006/relationships/hyperlink" Target="https://raw.githubusercontent.com/d-wkim/phd/refs/heads/main/data/pdf/tang_2023.pdf" TargetMode="External"/><Relationship Id="rId64" Type="http://schemas.openxmlformats.org/officeDocument/2006/relationships/hyperlink" Target="https://raw.githubusercontent.com/d-wkim/phd/refs/heads/main/data/pdf/webster_2001.pdf" TargetMode="External"/><Relationship Id="rId63" Type="http://schemas.openxmlformats.org/officeDocument/2006/relationships/hyperlink" Target="https://raw.githubusercontent.com/d-wkim/phd/refs/heads/main/data/pdf/vilchez_cavazos_2020.pdf" TargetMode="External"/><Relationship Id="rId66" Type="http://schemas.openxmlformats.org/officeDocument/2006/relationships/hyperlink" Target="https://raw.githubusercontent.com/d-wkim/phd/refs/heads/main/data/pdf/yadav_2025.pdf" TargetMode="External"/><Relationship Id="rId65" Type="http://schemas.openxmlformats.org/officeDocument/2006/relationships/hyperlink" Target="https://raw.githubusercontent.com/d-wkim/phd/refs/heads/main/data/pdf/wipfler_2011.pdf" TargetMode="External"/><Relationship Id="rId68" Type="http://schemas.openxmlformats.org/officeDocument/2006/relationships/hyperlink" Target="https://raw.githubusercontent.com/d-wkim/phd/refs/heads/main/data/pdf/zaffagnini_2011.pdf" TargetMode="External"/><Relationship Id="rId67" Type="http://schemas.openxmlformats.org/officeDocument/2006/relationships/hyperlink" Target="https://raw.githubusercontent.com/d-wkim/phd/refs/heads/main/data/pdf/yoo_2017.pdf" TargetMode="External"/><Relationship Id="rId60" Type="http://schemas.openxmlformats.org/officeDocument/2006/relationships/hyperlink" Target="https://raw.githubusercontent.com/d-wkim/phd/refs/heads/main/data/pdf/sonnery-cottet_2026.pdf" TargetMode="External"/><Relationship Id="rId69" Type="http://schemas.openxmlformats.org/officeDocument/2006/relationships/drawing" Target="../drawings/drawing3.xml"/><Relationship Id="rId51" Type="http://schemas.openxmlformats.org/officeDocument/2006/relationships/hyperlink" Target="https://raw.githubusercontent.com/d-wkim/phd/refs/heads/main/data/pdf/noh_2011.pdf" TargetMode="External"/><Relationship Id="rId50" Type="http://schemas.openxmlformats.org/officeDocument/2006/relationships/hyperlink" Target="https://raw.githubusercontent.com/d-wkim/phd/refs/heads/main/data/pdf/moraiti_2010.pdf" TargetMode="External"/><Relationship Id="rId53" Type="http://schemas.openxmlformats.org/officeDocument/2006/relationships/hyperlink" Target="https://raw.githubusercontent.com/d-wkim/phd/refs/heads/main/data/pdf/papalia_2015.pdf" TargetMode="External"/><Relationship Id="rId52" Type="http://schemas.openxmlformats.org/officeDocument/2006/relationships/hyperlink" Target="https://raw.githubusercontent.com/d-wkim/phd/refs/heads/main/data/pdf/oneill_1996.pdf" TargetMode="External"/><Relationship Id="rId55" Type="http://schemas.openxmlformats.org/officeDocument/2006/relationships/hyperlink" Target="https://raw.githubusercontent.com/d-wkim/phd/refs/heads/main/data/pdf/popovic_2024.pdf" TargetMode="External"/><Relationship Id="rId54" Type="http://schemas.openxmlformats.org/officeDocument/2006/relationships/hyperlink" Target="https://raw.githubusercontent.com/d-wkim/phd/refs/heads/main/data/pdf/pinczewski_2007.pdf" TargetMode="External"/><Relationship Id="rId57" Type="http://schemas.openxmlformats.org/officeDocument/2006/relationships/hyperlink" Target="https://raw.githubusercontent.com/d-wkim/phd/refs/heads/main/data/pdf/sinding_2020.pdf" TargetMode="External"/><Relationship Id="rId56" Type="http://schemas.openxmlformats.org/officeDocument/2006/relationships/hyperlink" Target="https://raw.githubusercontent.com/d-wkim/phd/refs/heads/main/data/pdf/sajovic_2018.pdf" TargetMode="External"/><Relationship Id="rId59" Type="http://schemas.openxmlformats.org/officeDocument/2006/relationships/hyperlink" Target="https://raw.githubusercontent.com/d-wkim/phd/refs/heads/main/data/pdf/sonnery-cottet_2020.pdf" TargetMode="External"/><Relationship Id="rId58" Type="http://schemas.openxmlformats.org/officeDocument/2006/relationships/hyperlink" Target="https://raw.githubusercontent.com/d-wkim/phd/refs/heads/main/data/pdf/smith_2020.pdf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raw.githubusercontent.com/d-wkim/phd/refs/heads/main/data/pdf/calvert_2025.pdf" TargetMode="External"/><Relationship Id="rId2" Type="http://schemas.openxmlformats.org/officeDocument/2006/relationships/hyperlink" Target="https://raw.githubusercontent.com/d-wkim/phd/refs/heads/main/data/pdf/horstmann_2022.pdf" TargetMode="External"/><Relationship Id="rId3" Type="http://schemas.openxmlformats.org/officeDocument/2006/relationships/hyperlink" Target="https://raw.githubusercontent.com/d-wkim/phd/refs/heads/main/data/pdf/lind_2020.pdf" TargetMode="External"/><Relationship Id="rId4" Type="http://schemas.openxmlformats.org/officeDocument/2006/relationships/hyperlink" Target="https://raw.githubusercontent.com/d-wkim/phd/refs/heads/main/data/pdf/sinding_2020.pdf" TargetMode="External"/><Relationship Id="rId9" Type="http://schemas.openxmlformats.org/officeDocument/2006/relationships/hyperlink" Target="https://raw.githubusercontent.com/d-wkim/phd/refs/heads/main/data/pdf/lind_2020.pdf" TargetMode="External"/><Relationship Id="rId5" Type="http://schemas.openxmlformats.org/officeDocument/2006/relationships/hyperlink" Target="https://raw.githubusercontent.com/d-wkim/phd/refs/heads/main/data/pdf/smith_2020.pdf" TargetMode="External"/><Relationship Id="rId6" Type="http://schemas.openxmlformats.org/officeDocument/2006/relationships/hyperlink" Target="https://raw.githubusercontent.com/d-wkim/phd/refs/heads/main/data/pdf/tang_2023.pdf" TargetMode="External"/><Relationship Id="rId7" Type="http://schemas.openxmlformats.org/officeDocument/2006/relationships/hyperlink" Target="https://raw.githubusercontent.com/d-wkim/phd/refs/heads/main/data/pdf/horstmann_2022.pdf" TargetMode="External"/><Relationship Id="rId8" Type="http://schemas.openxmlformats.org/officeDocument/2006/relationships/hyperlink" Target="https://raw.githubusercontent.com/d-wkim/phd/refs/heads/main/data/pdf/yadav_2025.pdf" TargetMode="External"/><Relationship Id="rId10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2.63" defaultRowHeight="15.75" outlineLevelRow="1"/>
  <cols>
    <col customWidth="1" hidden="1" min="1" max="1" width="4.25"/>
    <col customWidth="1" hidden="1" min="2" max="2" width="5.13"/>
    <col customWidth="1" min="3" max="3" width="2.63"/>
    <col customWidth="1" min="4" max="4" width="11.63"/>
    <col customWidth="1" min="5" max="5" width="4.25"/>
    <col customWidth="1" min="6" max="6" width="4.38"/>
    <col customWidth="1" min="7" max="7" width="5.38"/>
    <col customWidth="1" min="8" max="8" width="11.88"/>
    <col customWidth="1" min="9" max="9" width="11.25"/>
    <col customWidth="1" min="10" max="10" width="19.75"/>
    <col customWidth="1" min="11" max="11" width="5.13"/>
    <col customWidth="1" min="12" max="12" width="5.0"/>
    <col customWidth="1" min="13" max="13" width="6.0"/>
    <col customWidth="1" min="14" max="14" width="4.13"/>
    <col customWidth="1" min="15" max="15" width="2.75"/>
    <col customWidth="1" min="16" max="16" width="4.25"/>
    <col customWidth="1" min="17" max="17" width="3.13"/>
    <col customWidth="1" min="18" max="18" width="3.75"/>
    <col customWidth="1" min="19" max="20" width="6.63"/>
    <col customWidth="1" min="21" max="21" width="7.63"/>
    <col customWidth="1" min="22" max="22" width="10.38"/>
    <col customWidth="1" min="23" max="23" width="19.0"/>
    <col customWidth="1" min="24" max="24" width="7.63"/>
    <col customWidth="1" min="26" max="31" width="7.63"/>
  </cols>
  <sheetData>
    <row r="1" outlineLevel="1">
      <c r="A1" s="2"/>
      <c r="B1" s="2"/>
      <c r="C1" s="4"/>
      <c r="D1" s="6"/>
      <c r="E1" s="9"/>
      <c r="F1" s="9"/>
      <c r="G1" s="9"/>
      <c r="H1" s="2"/>
      <c r="I1" s="10"/>
      <c r="J1" s="9"/>
      <c r="K1" s="4"/>
      <c r="L1" s="12"/>
      <c r="M1" s="12"/>
      <c r="N1" s="4"/>
      <c r="O1" s="10"/>
      <c r="P1" s="10"/>
      <c r="Q1" s="10"/>
      <c r="R1" s="10"/>
      <c r="S1" s="4"/>
      <c r="T1" s="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</row>
    <row r="2" outlineLevel="1">
      <c r="A2" s="2"/>
      <c r="B2" s="2"/>
      <c r="C2" s="4" t="s">
        <v>18</v>
      </c>
      <c r="D2" s="9">
        <f>countif(C6:C519,"☑")</f>
        <v>396</v>
      </c>
      <c r="E2" s="9"/>
      <c r="F2" s="9"/>
      <c r="G2" s="9" t="s">
        <v>21</v>
      </c>
      <c r="H2" s="2"/>
      <c r="I2" s="10"/>
      <c r="J2" s="9"/>
      <c r="K2" s="4"/>
      <c r="L2" s="12"/>
      <c r="M2" s="12"/>
      <c r="N2" s="4"/>
      <c r="O2" s="10"/>
      <c r="P2" s="10"/>
      <c r="Q2" s="10"/>
      <c r="R2" s="10"/>
      <c r="S2" s="4"/>
      <c r="T2" s="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</row>
    <row r="3" outlineLevel="1">
      <c r="A3" s="2"/>
      <c r="B3" s="2"/>
      <c r="C3" s="4" t="s">
        <v>24</v>
      </c>
      <c r="D3" s="9">
        <f>countif(C6:C519,"☐")</f>
        <v>106</v>
      </c>
      <c r="E3" s="9"/>
      <c r="F3" s="9"/>
      <c r="G3" s="22" t="s">
        <v>28</v>
      </c>
      <c r="H3" s="2"/>
      <c r="I3" s="10"/>
      <c r="J3" s="9"/>
      <c r="K3" s="4"/>
      <c r="L3" s="12"/>
      <c r="M3" s="12"/>
      <c r="N3" s="4"/>
      <c r="O3" s="10"/>
      <c r="P3" s="10"/>
      <c r="Q3" s="10"/>
      <c r="R3" s="10"/>
      <c r="S3" s="4"/>
      <c r="T3" s="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</row>
    <row r="4" outlineLevel="1">
      <c r="A4" s="2"/>
      <c r="B4" s="2"/>
      <c r="C4" s="4" t="s">
        <v>38</v>
      </c>
      <c r="D4" s="24">
        <f>D2/(D2+D3)</f>
        <v>0.7888446215</v>
      </c>
      <c r="E4" s="9"/>
      <c r="F4" s="9"/>
      <c r="G4" s="9"/>
      <c r="H4" s="2"/>
      <c r="I4" s="10"/>
      <c r="J4" s="9"/>
      <c r="K4" s="4"/>
      <c r="L4" s="12"/>
      <c r="M4" s="12"/>
      <c r="N4" s="4"/>
      <c r="O4" s="10"/>
      <c r="P4" s="10"/>
      <c r="Q4" s="10"/>
      <c r="R4" s="10"/>
      <c r="S4" s="4"/>
      <c r="T4" s="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</row>
    <row r="5">
      <c r="A5" s="25"/>
      <c r="B5" s="25" t="s">
        <v>45</v>
      </c>
      <c r="C5" s="26"/>
      <c r="D5" s="25" t="s">
        <v>0</v>
      </c>
      <c r="E5" s="27" t="s">
        <v>3</v>
      </c>
      <c r="F5" s="28" t="s">
        <v>7</v>
      </c>
      <c r="G5" s="28" t="s">
        <v>5</v>
      </c>
      <c r="H5" s="25" t="s">
        <v>50</v>
      </c>
      <c r="I5" s="29" t="s">
        <v>52</v>
      </c>
      <c r="J5" s="28" t="s">
        <v>54</v>
      </c>
      <c r="K5" s="26" t="s">
        <v>55</v>
      </c>
      <c r="L5" s="31" t="s">
        <v>56</v>
      </c>
      <c r="M5" s="31" t="s">
        <v>59</v>
      </c>
      <c r="N5" s="26" t="s">
        <v>60</v>
      </c>
      <c r="O5" s="29" t="s">
        <v>61</v>
      </c>
      <c r="P5" s="29" t="s">
        <v>62</v>
      </c>
      <c r="Q5" s="29" t="s">
        <v>63</v>
      </c>
      <c r="R5" s="29" t="s">
        <v>66</v>
      </c>
      <c r="S5" s="26" t="s">
        <v>68</v>
      </c>
      <c r="T5" s="26" t="s">
        <v>69</v>
      </c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</row>
    <row r="6">
      <c r="A6" s="28">
        <f t="shared" ref="A6:A29" si="1">if(G6="Included",row(A6)-1,"")</f>
        <v>5</v>
      </c>
      <c r="B6" s="34">
        <v>1.0</v>
      </c>
      <c r="C6" s="29" t="s">
        <v>77</v>
      </c>
      <c r="D6" s="35" t="str">
        <f t="shared" ref="D6:D7" si="2">HYPERLINK("https://github.com/d-wkim/phd/blob/main/data/pdf/ageberg_2009.pdf","Ageberg et al., 2009")</f>
        <v>Ageberg et al., 2009</v>
      </c>
      <c r="E6" s="36" t="s">
        <v>83</v>
      </c>
      <c r="F6" s="36" t="s">
        <v>89</v>
      </c>
      <c r="G6" s="28" t="s">
        <v>32</v>
      </c>
      <c r="H6" s="34" t="s">
        <v>2</v>
      </c>
      <c r="I6" s="29" t="s">
        <v>92</v>
      </c>
      <c r="J6" s="34" t="s">
        <v>96</v>
      </c>
      <c r="K6" s="29">
        <v>16.0</v>
      </c>
      <c r="L6" s="38">
        <f t="shared" ref="L6:L7" si="3">iferror(MEDIAN_MEAN(K6,N6,P6,R6),"")</f>
        <v>4.166666667</v>
      </c>
      <c r="M6" s="38">
        <f t="shared" ref="M6:M7" si="4">iferror(RANGE_SD(K6,N6,R6),"")</f>
        <v>1.413367599</v>
      </c>
      <c r="N6" s="29">
        <v>2.0</v>
      </c>
      <c r="O6" s="39"/>
      <c r="P6" s="29">
        <v>4.0</v>
      </c>
      <c r="Q6" s="39"/>
      <c r="R6" s="29">
        <v>7.0</v>
      </c>
      <c r="S6" s="29"/>
      <c r="T6" s="29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</row>
    <row r="7">
      <c r="A7" s="28">
        <f t="shared" si="1"/>
        <v>6</v>
      </c>
      <c r="B7" s="34">
        <v>1.0</v>
      </c>
      <c r="C7" s="29" t="s">
        <v>77</v>
      </c>
      <c r="D7" s="35" t="str">
        <f t="shared" si="2"/>
        <v>Ageberg et al., 2009</v>
      </c>
      <c r="E7" s="36" t="s">
        <v>83</v>
      </c>
      <c r="F7" s="36" t="s">
        <v>89</v>
      </c>
      <c r="G7" s="28" t="s">
        <v>32</v>
      </c>
      <c r="H7" s="34" t="s">
        <v>9</v>
      </c>
      <c r="I7" s="29" t="s">
        <v>92</v>
      </c>
      <c r="J7" s="34" t="s">
        <v>96</v>
      </c>
      <c r="K7" s="29">
        <v>20.0</v>
      </c>
      <c r="L7" s="38">
        <f t="shared" si="3"/>
        <v>3.14861694</v>
      </c>
      <c r="M7" s="38">
        <f t="shared" si="4"/>
        <v>1.338156654</v>
      </c>
      <c r="N7" s="29">
        <v>1.0</v>
      </c>
      <c r="O7" s="39"/>
      <c r="P7" s="29">
        <v>3.0</v>
      </c>
      <c r="Q7" s="39"/>
      <c r="R7" s="29">
        <v>6.0</v>
      </c>
      <c r="S7" s="29"/>
      <c r="T7" s="29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</row>
    <row r="8">
      <c r="A8" s="28">
        <f t="shared" si="1"/>
        <v>7</v>
      </c>
      <c r="B8" s="34">
        <v>2.0</v>
      </c>
      <c r="C8" s="29" t="s">
        <v>77</v>
      </c>
      <c r="D8" s="35" t="str">
        <f t="shared" ref="D8:D13" si="5">HYPERLINK("https://github.com/d-wkim/phd/blob/main/data/pdf/aglietti_2004.pdf","Aglietti et al., 2004")</f>
        <v>Aglietti et al., 2004</v>
      </c>
      <c r="E8" s="36" t="s">
        <v>136</v>
      </c>
      <c r="F8" s="36" t="s">
        <v>144</v>
      </c>
      <c r="G8" s="28" t="s">
        <v>32</v>
      </c>
      <c r="H8" s="34" t="s">
        <v>2</v>
      </c>
      <c r="I8" s="29" t="s">
        <v>149</v>
      </c>
      <c r="J8" s="34" t="s">
        <v>151</v>
      </c>
      <c r="K8" s="29">
        <v>60.0</v>
      </c>
      <c r="L8" s="40">
        <v>0.0</v>
      </c>
      <c r="M8" s="41">
        <f t="shared" ref="M8:M9" si="6">iferror(P_SD(K8,L8),"")</f>
        <v>0.06454972244</v>
      </c>
      <c r="N8" s="39"/>
      <c r="O8" s="39"/>
      <c r="P8" s="39"/>
      <c r="Q8" s="39"/>
      <c r="R8" s="39"/>
      <c r="S8" s="29"/>
      <c r="T8" s="29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</row>
    <row r="9">
      <c r="A9" s="28">
        <f t="shared" si="1"/>
        <v>8</v>
      </c>
      <c r="B9" s="34">
        <v>2.0</v>
      </c>
      <c r="C9" s="29" t="s">
        <v>77</v>
      </c>
      <c r="D9" s="35" t="str">
        <f t="shared" si="5"/>
        <v>Aglietti et al., 2004</v>
      </c>
      <c r="E9" s="36" t="s">
        <v>136</v>
      </c>
      <c r="F9" s="36" t="s">
        <v>144</v>
      </c>
      <c r="G9" s="28" t="s">
        <v>32</v>
      </c>
      <c r="H9" s="34" t="s">
        <v>2</v>
      </c>
      <c r="I9" s="29" t="s">
        <v>149</v>
      </c>
      <c r="J9" s="34" t="s">
        <v>173</v>
      </c>
      <c r="K9" s="29">
        <v>60.0</v>
      </c>
      <c r="L9" s="40">
        <v>0.0</v>
      </c>
      <c r="M9" s="41">
        <f t="shared" si="6"/>
        <v>0.06454972244</v>
      </c>
      <c r="N9" s="39"/>
      <c r="O9" s="39"/>
      <c r="P9" s="39"/>
      <c r="Q9" s="39"/>
      <c r="R9" s="39"/>
      <c r="S9" s="29"/>
      <c r="T9" s="29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</row>
    <row r="10">
      <c r="A10" s="28">
        <f t="shared" si="1"/>
        <v>9</v>
      </c>
      <c r="B10" s="34">
        <v>2.0</v>
      </c>
      <c r="C10" s="29" t="s">
        <v>77</v>
      </c>
      <c r="D10" s="35" t="str">
        <f t="shared" si="5"/>
        <v>Aglietti et al., 2004</v>
      </c>
      <c r="E10" s="36" t="s">
        <v>136</v>
      </c>
      <c r="F10" s="36" t="s">
        <v>144</v>
      </c>
      <c r="G10" s="28" t="s">
        <v>32</v>
      </c>
      <c r="H10" s="34" t="s">
        <v>2</v>
      </c>
      <c r="I10" s="29" t="s">
        <v>92</v>
      </c>
      <c r="J10" s="34" t="s">
        <v>185</v>
      </c>
      <c r="K10" s="29">
        <v>60.0</v>
      </c>
      <c r="L10" s="38">
        <v>2.2</v>
      </c>
      <c r="M10" s="38">
        <f>iferror(RANGE_SD(K10,N10,R10),"")</f>
        <v>1.081053415</v>
      </c>
      <c r="N10" s="29">
        <v>0.0</v>
      </c>
      <c r="O10" s="39"/>
      <c r="P10" s="39"/>
      <c r="Q10" s="39"/>
      <c r="R10" s="29">
        <v>5.0</v>
      </c>
      <c r="S10" s="29"/>
      <c r="T10" s="29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</row>
    <row r="11">
      <c r="A11" s="28">
        <f t="shared" si="1"/>
        <v>10</v>
      </c>
      <c r="B11" s="34">
        <v>2.0</v>
      </c>
      <c r="C11" s="29" t="s">
        <v>77</v>
      </c>
      <c r="D11" s="35" t="str">
        <f t="shared" si="5"/>
        <v>Aglietti et al., 2004</v>
      </c>
      <c r="E11" s="36" t="s">
        <v>136</v>
      </c>
      <c r="F11" s="36" t="s">
        <v>144</v>
      </c>
      <c r="G11" s="28" t="s">
        <v>32</v>
      </c>
      <c r="H11" s="34" t="s">
        <v>9</v>
      </c>
      <c r="I11" s="29" t="s">
        <v>149</v>
      </c>
      <c r="J11" s="34" t="s">
        <v>151</v>
      </c>
      <c r="K11" s="29">
        <v>60.0</v>
      </c>
      <c r="L11" s="40">
        <v>0.0</v>
      </c>
      <c r="M11" s="41">
        <f t="shared" ref="M11:M12" si="7">iferror(P_SD(K11,L11),"")</f>
        <v>0.06454972244</v>
      </c>
      <c r="N11" s="39"/>
      <c r="O11" s="39"/>
      <c r="P11" s="39"/>
      <c r="Q11" s="39"/>
      <c r="R11" s="39"/>
      <c r="S11" s="29"/>
      <c r="T11" s="29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</row>
    <row r="12">
      <c r="A12" s="28">
        <f t="shared" si="1"/>
        <v>11</v>
      </c>
      <c r="B12" s="34">
        <v>2.0</v>
      </c>
      <c r="C12" s="29" t="s">
        <v>77</v>
      </c>
      <c r="D12" s="35" t="str">
        <f t="shared" si="5"/>
        <v>Aglietti et al., 2004</v>
      </c>
      <c r="E12" s="36" t="s">
        <v>136</v>
      </c>
      <c r="F12" s="36" t="s">
        <v>144</v>
      </c>
      <c r="G12" s="28" t="s">
        <v>32</v>
      </c>
      <c r="H12" s="34" t="s">
        <v>9</v>
      </c>
      <c r="I12" s="29" t="s">
        <v>149</v>
      </c>
      <c r="J12" s="34" t="s">
        <v>173</v>
      </c>
      <c r="K12" s="29">
        <v>60.0</v>
      </c>
      <c r="L12" s="40">
        <v>0.0</v>
      </c>
      <c r="M12" s="41">
        <f t="shared" si="7"/>
        <v>0.06454972244</v>
      </c>
      <c r="N12" s="39"/>
      <c r="O12" s="39"/>
      <c r="P12" s="39"/>
      <c r="Q12" s="39"/>
      <c r="R12" s="39"/>
      <c r="S12" s="29"/>
      <c r="T12" s="29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</row>
    <row r="13">
      <c r="A13" s="28">
        <f t="shared" si="1"/>
        <v>12</v>
      </c>
      <c r="B13" s="34">
        <v>2.0</v>
      </c>
      <c r="C13" s="29" t="s">
        <v>77</v>
      </c>
      <c r="D13" s="35" t="str">
        <f t="shared" si="5"/>
        <v>Aglietti et al., 2004</v>
      </c>
      <c r="E13" s="36" t="s">
        <v>136</v>
      </c>
      <c r="F13" s="36" t="s">
        <v>144</v>
      </c>
      <c r="G13" s="28" t="s">
        <v>32</v>
      </c>
      <c r="H13" s="34" t="s">
        <v>9</v>
      </c>
      <c r="I13" s="29" t="s">
        <v>92</v>
      </c>
      <c r="J13" s="34" t="s">
        <v>185</v>
      </c>
      <c r="K13" s="29">
        <v>60.0</v>
      </c>
      <c r="L13" s="38">
        <v>1.95</v>
      </c>
      <c r="M13" s="38">
        <f>iferror(RANGE_SD(K13,N13,R13),"")</f>
        <v>1.297264098</v>
      </c>
      <c r="N13" s="29">
        <v>-1.0</v>
      </c>
      <c r="O13" s="39"/>
      <c r="P13" s="39"/>
      <c r="Q13" s="39"/>
      <c r="R13" s="29">
        <v>5.0</v>
      </c>
      <c r="S13" s="29"/>
      <c r="T13" s="29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</row>
    <row r="14">
      <c r="A14" s="28" t="str">
        <f t="shared" si="1"/>
        <v/>
      </c>
      <c r="B14" s="34">
        <v>3.0</v>
      </c>
      <c r="C14" s="29" t="s">
        <v>77</v>
      </c>
      <c r="D14" s="35" t="str">
        <f t="shared" ref="D14:D21" si="8">HYPERLINK("https://github.com/d-wkim/phd/blob/main/data/pdf/ahldén_2009.pdf","Ahldén et al., 2009")</f>
        <v>Ahldén et al., 2009</v>
      </c>
      <c r="E14" s="28" t="s">
        <v>217</v>
      </c>
      <c r="F14" s="28" t="s">
        <v>218</v>
      </c>
      <c r="G14" s="28" t="s">
        <v>102</v>
      </c>
      <c r="H14" s="34" t="s">
        <v>2</v>
      </c>
      <c r="I14" s="29" t="s">
        <v>92</v>
      </c>
      <c r="J14" s="28" t="s">
        <v>220</v>
      </c>
      <c r="K14" s="29"/>
      <c r="L14" s="38"/>
      <c r="M14" s="38"/>
      <c r="N14" s="39"/>
      <c r="O14" s="39"/>
      <c r="P14" s="39"/>
      <c r="Q14" s="39"/>
      <c r="R14" s="39"/>
      <c r="S14" s="39"/>
      <c r="T14" s="39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</row>
    <row r="15">
      <c r="A15" s="28">
        <f t="shared" si="1"/>
        <v>14</v>
      </c>
      <c r="B15" s="34">
        <v>3.0</v>
      </c>
      <c r="C15" s="29" t="s">
        <v>77</v>
      </c>
      <c r="D15" s="35" t="str">
        <f t="shared" si="8"/>
        <v>Ahldén et al., 2009</v>
      </c>
      <c r="E15" s="28" t="s">
        <v>217</v>
      </c>
      <c r="F15" s="28" t="s">
        <v>218</v>
      </c>
      <c r="G15" s="28" t="s">
        <v>32</v>
      </c>
      <c r="H15" s="34" t="s">
        <v>2</v>
      </c>
      <c r="I15" s="29" t="s">
        <v>92</v>
      </c>
      <c r="J15" s="34" t="s">
        <v>226</v>
      </c>
      <c r="K15" s="29">
        <v>25.0</v>
      </c>
      <c r="L15" s="38">
        <f t="shared" ref="L15:L16" si="9">iferror(MEDIAN_MEAN(K15,N15,P15,R15),"")</f>
        <v>80.69979059</v>
      </c>
      <c r="M15" s="38">
        <f t="shared" ref="M15:M16" si="10">iferror(RANGE_SD(K15,N15,R15),"")</f>
        <v>21.63712227</v>
      </c>
      <c r="N15" s="29">
        <v>15.0</v>
      </c>
      <c r="O15" s="39"/>
      <c r="P15" s="29">
        <v>89.0</v>
      </c>
      <c r="Q15" s="39"/>
      <c r="R15" s="29">
        <v>100.0</v>
      </c>
      <c r="S15" s="39"/>
      <c r="T15" s="39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>
      <c r="A16" s="28">
        <f t="shared" si="1"/>
        <v>15</v>
      </c>
      <c r="B16" s="34">
        <v>3.0</v>
      </c>
      <c r="C16" s="29" t="s">
        <v>77</v>
      </c>
      <c r="D16" s="35" t="str">
        <f t="shared" si="8"/>
        <v>Ahldén et al., 2009</v>
      </c>
      <c r="E16" s="28" t="s">
        <v>217</v>
      </c>
      <c r="F16" s="28" t="s">
        <v>218</v>
      </c>
      <c r="G16" s="28" t="s">
        <v>32</v>
      </c>
      <c r="H16" s="34" t="s">
        <v>2</v>
      </c>
      <c r="I16" s="29" t="s">
        <v>92</v>
      </c>
      <c r="J16" s="28" t="s">
        <v>96</v>
      </c>
      <c r="K16" s="29">
        <v>25.0</v>
      </c>
      <c r="L16" s="38">
        <f t="shared" si="9"/>
        <v>4.868250644</v>
      </c>
      <c r="M16" s="38">
        <f t="shared" si="10"/>
        <v>2.290989417</v>
      </c>
      <c r="N16" s="29">
        <v>0.0</v>
      </c>
      <c r="O16" s="39"/>
      <c r="P16" s="29">
        <v>5.0</v>
      </c>
      <c r="Q16" s="39"/>
      <c r="R16" s="29">
        <v>9.0</v>
      </c>
      <c r="S16" s="39"/>
      <c r="T16" s="39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>
      <c r="A17" s="28">
        <f t="shared" si="1"/>
        <v>16</v>
      </c>
      <c r="B17" s="34">
        <v>3.0</v>
      </c>
      <c r="C17" s="29" t="s">
        <v>77</v>
      </c>
      <c r="D17" s="35" t="str">
        <f t="shared" si="8"/>
        <v>Ahldén et al., 2009</v>
      </c>
      <c r="E17" s="28" t="s">
        <v>217</v>
      </c>
      <c r="F17" s="28" t="s">
        <v>218</v>
      </c>
      <c r="G17" s="28" t="s">
        <v>32</v>
      </c>
      <c r="H17" s="34" t="s">
        <v>2</v>
      </c>
      <c r="I17" s="29" t="s">
        <v>92</v>
      </c>
      <c r="J17" s="34" t="s">
        <v>185</v>
      </c>
      <c r="K17" s="29">
        <v>25.0</v>
      </c>
      <c r="L17" s="38">
        <v>2.6</v>
      </c>
      <c r="M17" s="38">
        <v>3.3</v>
      </c>
      <c r="N17" s="39"/>
      <c r="O17" s="39"/>
      <c r="P17" s="39"/>
      <c r="Q17" s="39"/>
      <c r="R17" s="39"/>
      <c r="S17" s="39"/>
      <c r="T17" s="39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>
      <c r="A18" s="28" t="str">
        <f t="shared" si="1"/>
        <v/>
      </c>
      <c r="B18" s="34">
        <v>3.0</v>
      </c>
      <c r="C18" s="29" t="s">
        <v>77</v>
      </c>
      <c r="D18" s="35" t="str">
        <f t="shared" si="8"/>
        <v>Ahldén et al., 2009</v>
      </c>
      <c r="E18" s="28" t="s">
        <v>217</v>
      </c>
      <c r="F18" s="28" t="s">
        <v>218</v>
      </c>
      <c r="G18" s="28" t="s">
        <v>102</v>
      </c>
      <c r="H18" s="34" t="s">
        <v>9</v>
      </c>
      <c r="I18" s="29" t="s">
        <v>92</v>
      </c>
      <c r="J18" s="28" t="s">
        <v>220</v>
      </c>
      <c r="K18" s="29"/>
      <c r="L18" s="38"/>
      <c r="M18" s="38"/>
      <c r="N18" s="39"/>
      <c r="O18" s="39"/>
      <c r="P18" s="39"/>
      <c r="Q18" s="39"/>
      <c r="R18" s="39"/>
      <c r="S18" s="39"/>
      <c r="T18" s="39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>
      <c r="A19" s="28">
        <f t="shared" si="1"/>
        <v>18</v>
      </c>
      <c r="B19" s="34">
        <v>3.0</v>
      </c>
      <c r="C19" s="29" t="s">
        <v>77</v>
      </c>
      <c r="D19" s="35" t="str">
        <f t="shared" si="8"/>
        <v>Ahldén et al., 2009</v>
      </c>
      <c r="E19" s="28" t="s">
        <v>217</v>
      </c>
      <c r="F19" s="28" t="s">
        <v>218</v>
      </c>
      <c r="G19" s="28" t="s">
        <v>32</v>
      </c>
      <c r="H19" s="34" t="s">
        <v>9</v>
      </c>
      <c r="I19" s="29" t="s">
        <v>92</v>
      </c>
      <c r="J19" s="34" t="s">
        <v>226</v>
      </c>
      <c r="K19" s="29">
        <v>22.0</v>
      </c>
      <c r="L19" s="38">
        <f t="shared" ref="L19:L20" si="11">iferror(MEDIAN_MEAN(K19,N19,P19,R19),"")</f>
        <v>79.16360913</v>
      </c>
      <c r="M19" s="38">
        <f t="shared" ref="M19:M20" si="12">iferror(RANGE_SD(K19,N19,R19),"")</f>
        <v>13.35331274</v>
      </c>
      <c r="N19" s="29">
        <v>49.0</v>
      </c>
      <c r="O19" s="39"/>
      <c r="P19" s="29">
        <v>81.0</v>
      </c>
      <c r="Q19" s="39"/>
      <c r="R19" s="29">
        <v>100.0</v>
      </c>
      <c r="S19" s="39"/>
      <c r="T19" s="39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>
      <c r="A20" s="28">
        <f t="shared" si="1"/>
        <v>19</v>
      </c>
      <c r="B20" s="34">
        <v>3.0</v>
      </c>
      <c r="C20" s="29" t="s">
        <v>77</v>
      </c>
      <c r="D20" s="35" t="str">
        <f t="shared" si="8"/>
        <v>Ahldén et al., 2009</v>
      </c>
      <c r="E20" s="28" t="s">
        <v>217</v>
      </c>
      <c r="F20" s="28" t="s">
        <v>218</v>
      </c>
      <c r="G20" s="28" t="s">
        <v>32</v>
      </c>
      <c r="H20" s="34" t="s">
        <v>9</v>
      </c>
      <c r="I20" s="29" t="s">
        <v>92</v>
      </c>
      <c r="J20" s="28" t="s">
        <v>96</v>
      </c>
      <c r="K20" s="29">
        <v>22.0</v>
      </c>
      <c r="L20" s="38">
        <f t="shared" si="11"/>
        <v>4.858739164</v>
      </c>
      <c r="M20" s="38">
        <f t="shared" si="12"/>
        <v>1.309148307</v>
      </c>
      <c r="N20" s="29">
        <v>2.0</v>
      </c>
      <c r="O20" s="39"/>
      <c r="P20" s="29">
        <v>5.0</v>
      </c>
      <c r="Q20" s="39"/>
      <c r="R20" s="29">
        <v>7.0</v>
      </c>
      <c r="S20" s="39"/>
      <c r="T20" s="39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>
      <c r="A21" s="28">
        <f t="shared" si="1"/>
        <v>20</v>
      </c>
      <c r="B21" s="34">
        <v>3.0</v>
      </c>
      <c r="C21" s="29" t="s">
        <v>77</v>
      </c>
      <c r="D21" s="35" t="str">
        <f t="shared" si="8"/>
        <v>Ahldén et al., 2009</v>
      </c>
      <c r="E21" s="28" t="s">
        <v>217</v>
      </c>
      <c r="F21" s="28" t="s">
        <v>218</v>
      </c>
      <c r="G21" s="28" t="s">
        <v>32</v>
      </c>
      <c r="H21" s="34" t="s">
        <v>9</v>
      </c>
      <c r="I21" s="29" t="s">
        <v>92</v>
      </c>
      <c r="J21" s="34" t="s">
        <v>185</v>
      </c>
      <c r="K21" s="29">
        <v>22.0</v>
      </c>
      <c r="L21" s="38">
        <v>1.4</v>
      </c>
      <c r="M21" s="38">
        <v>2.6</v>
      </c>
      <c r="N21" s="39"/>
      <c r="O21" s="39"/>
      <c r="P21" s="39"/>
      <c r="Q21" s="39"/>
      <c r="R21" s="39"/>
      <c r="S21" s="39"/>
      <c r="T21" s="39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>
      <c r="A22" s="28" t="str">
        <f t="shared" si="1"/>
        <v/>
      </c>
      <c r="B22" s="34">
        <v>4.0</v>
      </c>
      <c r="C22" s="29" t="s">
        <v>77</v>
      </c>
      <c r="D22" s="35" t="str">
        <f t="shared" ref="D22:D23" si="13">HYPERLINK("https://github.com/d-wkim/phd/blob/main/data/pdf/akelman_2016.pdf","Akelman et al., 2016")</f>
        <v>Akelman et al., 2016</v>
      </c>
      <c r="E22" s="36" t="s">
        <v>262</v>
      </c>
      <c r="F22" s="36" t="s">
        <v>263</v>
      </c>
      <c r="G22" s="28" t="s">
        <v>102</v>
      </c>
      <c r="H22" s="34" t="s">
        <v>2</v>
      </c>
      <c r="I22" s="29" t="s">
        <v>92</v>
      </c>
      <c r="J22" s="34" t="s">
        <v>185</v>
      </c>
      <c r="K22" s="39"/>
      <c r="L22" s="41"/>
      <c r="M22" s="38"/>
      <c r="N22" s="39"/>
      <c r="O22" s="39"/>
      <c r="P22" s="39"/>
      <c r="Q22" s="39"/>
      <c r="R22" s="39"/>
      <c r="S22" s="39"/>
      <c r="T22" s="39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</row>
    <row r="23">
      <c r="A23" s="28" t="str">
        <f t="shared" si="1"/>
        <v/>
      </c>
      <c r="B23" s="34">
        <v>4.0</v>
      </c>
      <c r="C23" s="29" t="s">
        <v>77</v>
      </c>
      <c r="D23" s="35" t="str">
        <f t="shared" si="13"/>
        <v>Akelman et al., 2016</v>
      </c>
      <c r="E23" s="36" t="s">
        <v>262</v>
      </c>
      <c r="F23" s="36" t="s">
        <v>263</v>
      </c>
      <c r="G23" s="28" t="s">
        <v>102</v>
      </c>
      <c r="H23" s="34" t="s">
        <v>9</v>
      </c>
      <c r="I23" s="29" t="s">
        <v>92</v>
      </c>
      <c r="J23" s="34" t="s">
        <v>185</v>
      </c>
      <c r="K23" s="39"/>
      <c r="L23" s="41"/>
      <c r="M23" s="38"/>
      <c r="N23" s="39"/>
      <c r="O23" s="39"/>
      <c r="P23" s="39"/>
      <c r="Q23" s="39"/>
      <c r="R23" s="39"/>
      <c r="S23" s="39"/>
      <c r="T23" s="39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>
      <c r="A24" s="28" t="str">
        <f t="shared" si="1"/>
        <v/>
      </c>
      <c r="B24" s="34">
        <v>5.0</v>
      </c>
      <c r="C24" s="29" t="s">
        <v>77</v>
      </c>
      <c r="D24" s="35" t="str">
        <f t="shared" ref="D24:D29" si="14">HYPERLINK("https://github.com/d-wkim/phd/blob/main/data/pdf/anderson_2001.pdf","Anderson et al., 2001")</f>
        <v>Anderson et al., 2001</v>
      </c>
      <c r="E24" s="36" t="s">
        <v>272</v>
      </c>
      <c r="F24" s="36" t="s">
        <v>275</v>
      </c>
      <c r="G24" s="28" t="s">
        <v>102</v>
      </c>
      <c r="H24" s="34" t="s">
        <v>2</v>
      </c>
      <c r="I24" s="29" t="s">
        <v>92</v>
      </c>
      <c r="J24" s="34" t="s">
        <v>220</v>
      </c>
      <c r="K24" s="29"/>
      <c r="L24" s="41"/>
      <c r="M24" s="38"/>
      <c r="N24" s="39"/>
      <c r="O24" s="39"/>
      <c r="P24" s="39"/>
      <c r="Q24" s="39"/>
      <c r="R24" s="39"/>
      <c r="S24" s="39"/>
      <c r="T24" s="39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>
      <c r="A25" s="28">
        <f t="shared" si="1"/>
        <v>24</v>
      </c>
      <c r="B25" s="34">
        <v>5.0</v>
      </c>
      <c r="C25" s="29" t="s">
        <v>77</v>
      </c>
      <c r="D25" s="35" t="str">
        <f t="shared" si="14"/>
        <v>Anderson et al., 2001</v>
      </c>
      <c r="E25" s="36" t="s">
        <v>272</v>
      </c>
      <c r="F25" s="36" t="s">
        <v>275</v>
      </c>
      <c r="G25" s="28" t="s">
        <v>32</v>
      </c>
      <c r="H25" s="34" t="s">
        <v>2</v>
      </c>
      <c r="I25" s="29" t="s">
        <v>92</v>
      </c>
      <c r="J25" s="34" t="s">
        <v>185</v>
      </c>
      <c r="K25" s="29">
        <v>35.0</v>
      </c>
      <c r="L25" s="38">
        <v>2.1</v>
      </c>
      <c r="M25" s="38">
        <v>2.0</v>
      </c>
      <c r="N25" s="39"/>
      <c r="O25" s="39"/>
      <c r="P25" s="39"/>
      <c r="Q25" s="39"/>
      <c r="R25" s="39"/>
      <c r="S25" s="39"/>
      <c r="T25" s="39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>
      <c r="A26" s="28">
        <f t="shared" si="1"/>
        <v>25</v>
      </c>
      <c r="B26" s="34">
        <v>5.0</v>
      </c>
      <c r="C26" s="29" t="s">
        <v>77</v>
      </c>
      <c r="D26" s="35" t="str">
        <f t="shared" si="14"/>
        <v>Anderson et al., 2001</v>
      </c>
      <c r="E26" s="36" t="s">
        <v>272</v>
      </c>
      <c r="F26" s="36" t="s">
        <v>275</v>
      </c>
      <c r="G26" s="28" t="s">
        <v>32</v>
      </c>
      <c r="H26" s="34" t="s">
        <v>2</v>
      </c>
      <c r="I26" s="29" t="s">
        <v>149</v>
      </c>
      <c r="J26" s="34" t="s">
        <v>173</v>
      </c>
      <c r="K26" s="29">
        <v>35.0</v>
      </c>
      <c r="L26" s="40">
        <v>7.0</v>
      </c>
      <c r="M26" s="41">
        <f>iferror(P_SD(K26,L26),"")</f>
        <v>1.584664228</v>
      </c>
      <c r="N26" s="39"/>
      <c r="O26" s="39"/>
      <c r="P26" s="39"/>
      <c r="Q26" s="39"/>
      <c r="R26" s="39"/>
      <c r="S26" s="39"/>
      <c r="T26" s="39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>
      <c r="A27" s="28" t="str">
        <f t="shared" si="1"/>
        <v/>
      </c>
      <c r="B27" s="34">
        <v>5.0</v>
      </c>
      <c r="C27" s="29" t="s">
        <v>77</v>
      </c>
      <c r="D27" s="35" t="str">
        <f t="shared" si="14"/>
        <v>Anderson et al., 2001</v>
      </c>
      <c r="E27" s="36" t="s">
        <v>272</v>
      </c>
      <c r="F27" s="36" t="s">
        <v>275</v>
      </c>
      <c r="G27" s="28" t="s">
        <v>102</v>
      </c>
      <c r="H27" s="34" t="s">
        <v>9</v>
      </c>
      <c r="I27" s="29" t="s">
        <v>92</v>
      </c>
      <c r="J27" s="34" t="s">
        <v>220</v>
      </c>
      <c r="K27" s="29"/>
      <c r="L27" s="41"/>
      <c r="M27" s="38"/>
      <c r="N27" s="39"/>
      <c r="O27" s="39"/>
      <c r="P27" s="39"/>
      <c r="Q27" s="39"/>
      <c r="R27" s="39"/>
      <c r="S27" s="39"/>
      <c r="T27" s="39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>
      <c r="A28" s="28">
        <f t="shared" si="1"/>
        <v>27</v>
      </c>
      <c r="B28" s="34">
        <v>5.0</v>
      </c>
      <c r="C28" s="29" t="s">
        <v>77</v>
      </c>
      <c r="D28" s="35" t="str">
        <f t="shared" si="14"/>
        <v>Anderson et al., 2001</v>
      </c>
      <c r="E28" s="36" t="s">
        <v>272</v>
      </c>
      <c r="F28" s="36" t="s">
        <v>275</v>
      </c>
      <c r="G28" s="28" t="s">
        <v>32</v>
      </c>
      <c r="H28" s="34" t="s">
        <v>9</v>
      </c>
      <c r="I28" s="29" t="s">
        <v>92</v>
      </c>
      <c r="J28" s="34" t="s">
        <v>185</v>
      </c>
      <c r="K28" s="29">
        <v>33.0</v>
      </c>
      <c r="L28" s="38">
        <v>3.1</v>
      </c>
      <c r="M28" s="38">
        <v>2.3</v>
      </c>
      <c r="N28" s="39"/>
      <c r="O28" s="39"/>
      <c r="P28" s="39"/>
      <c r="Q28" s="39"/>
      <c r="R28" s="39"/>
      <c r="S28" s="39"/>
      <c r="T28" s="39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</row>
    <row r="29">
      <c r="A29" s="28">
        <f t="shared" si="1"/>
        <v>28</v>
      </c>
      <c r="B29" s="34">
        <v>5.0</v>
      </c>
      <c r="C29" s="29" t="s">
        <v>77</v>
      </c>
      <c r="D29" s="35" t="str">
        <f t="shared" si="14"/>
        <v>Anderson et al., 2001</v>
      </c>
      <c r="E29" s="36" t="s">
        <v>272</v>
      </c>
      <c r="F29" s="36" t="s">
        <v>275</v>
      </c>
      <c r="G29" s="28" t="s">
        <v>32</v>
      </c>
      <c r="H29" s="34" t="s">
        <v>9</v>
      </c>
      <c r="I29" s="29" t="s">
        <v>149</v>
      </c>
      <c r="J29" s="34" t="s">
        <v>173</v>
      </c>
      <c r="K29" s="29">
        <v>33.0</v>
      </c>
      <c r="L29" s="40">
        <v>8.0</v>
      </c>
      <c r="M29" s="41">
        <f t="shared" ref="M29:M31" si="15">iferror(P_SD(K29,L29),"")</f>
        <v>1.9531513</v>
      </c>
      <c r="N29" s="39"/>
      <c r="O29" s="39"/>
      <c r="P29" s="39"/>
      <c r="Q29" s="39"/>
      <c r="R29" s="39"/>
      <c r="S29" s="39"/>
      <c r="T29" s="39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>
      <c r="A30" s="28">
        <v>25.0</v>
      </c>
      <c r="B30" s="34">
        <v>6.0</v>
      </c>
      <c r="C30" s="39"/>
      <c r="D30" s="35" t="str">
        <f t="shared" ref="D30:D31" si="16">HYPERLINK("https://github.com/d-wkim/phd/blob/main/data/pdf/anz_2023.pdf","Anz et al., 2023")</f>
        <v>Anz et al., 2023</v>
      </c>
      <c r="E30" s="36" t="s">
        <v>305</v>
      </c>
      <c r="F30" s="36" t="s">
        <v>307</v>
      </c>
      <c r="G30" s="28" t="s">
        <v>32</v>
      </c>
      <c r="H30" s="34" t="s">
        <v>2</v>
      </c>
      <c r="I30" s="29" t="s">
        <v>149</v>
      </c>
      <c r="J30" s="34" t="s">
        <v>308</v>
      </c>
      <c r="K30" s="29">
        <v>16.0</v>
      </c>
      <c r="L30" s="40">
        <v>0.0</v>
      </c>
      <c r="M30" s="41">
        <f t="shared" si="15"/>
        <v>0.125</v>
      </c>
      <c r="N30" s="39"/>
      <c r="O30" s="39"/>
      <c r="P30" s="39"/>
      <c r="Q30" s="39"/>
      <c r="R30" s="39"/>
      <c r="S30" s="39"/>
      <c r="T30" s="39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>
      <c r="A31" s="28">
        <v>26.0</v>
      </c>
      <c r="B31" s="34">
        <v>6.0</v>
      </c>
      <c r="C31" s="39"/>
      <c r="D31" s="35" t="str">
        <f t="shared" si="16"/>
        <v>Anz et al., 2023</v>
      </c>
      <c r="E31" s="36" t="s">
        <v>305</v>
      </c>
      <c r="F31" s="36" t="s">
        <v>307</v>
      </c>
      <c r="G31" s="28" t="s">
        <v>32</v>
      </c>
      <c r="H31" s="34" t="s">
        <v>9</v>
      </c>
      <c r="I31" s="29" t="s">
        <v>149</v>
      </c>
      <c r="J31" s="34" t="s">
        <v>308</v>
      </c>
      <c r="K31" s="29">
        <v>16.0</v>
      </c>
      <c r="L31" s="40">
        <v>0.0</v>
      </c>
      <c r="M31" s="41">
        <f t="shared" si="15"/>
        <v>0.125</v>
      </c>
      <c r="N31" s="39"/>
      <c r="O31" s="39"/>
      <c r="P31" s="39"/>
      <c r="Q31" s="39"/>
      <c r="R31" s="39"/>
      <c r="S31" s="39"/>
      <c r="T31" s="39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>
      <c r="A32" s="28">
        <f t="shared" ref="A32:A64" si="17">if(G32="Included",row(A32)-1,"")</f>
        <v>31</v>
      </c>
      <c r="B32" s="34">
        <v>7.0</v>
      </c>
      <c r="C32" s="29" t="s">
        <v>77</v>
      </c>
      <c r="D32" s="35" t="str">
        <f t="shared" ref="D32:D33" si="18">HYPERLINK("https://github.com/d-wkim/phd/blob/main/data/pdf/aune_2001.pdf","Aune et al., 2001")</f>
        <v>Aune et al., 2001</v>
      </c>
      <c r="E32" s="36" t="s">
        <v>312</v>
      </c>
      <c r="F32" s="36" t="s">
        <v>313</v>
      </c>
      <c r="G32" s="28" t="s">
        <v>32</v>
      </c>
      <c r="H32" s="34" t="s">
        <v>2</v>
      </c>
      <c r="I32" s="29" t="s">
        <v>92</v>
      </c>
      <c r="J32" s="34" t="s">
        <v>185</v>
      </c>
      <c r="K32" s="29">
        <v>32.0</v>
      </c>
      <c r="L32" s="38">
        <v>3.3</v>
      </c>
      <c r="M32" s="38">
        <v>2.6</v>
      </c>
      <c r="N32" s="39"/>
      <c r="O32" s="39"/>
      <c r="P32" s="39"/>
      <c r="Q32" s="39"/>
      <c r="R32" s="39"/>
      <c r="S32" s="39"/>
      <c r="T32" s="39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>
      <c r="A33" s="28">
        <f t="shared" si="17"/>
        <v>32</v>
      </c>
      <c r="B33" s="34">
        <v>7.0</v>
      </c>
      <c r="C33" s="29" t="s">
        <v>77</v>
      </c>
      <c r="D33" s="35" t="str">
        <f t="shared" si="18"/>
        <v>Aune et al., 2001</v>
      </c>
      <c r="E33" s="36" t="s">
        <v>312</v>
      </c>
      <c r="F33" s="36" t="s">
        <v>313</v>
      </c>
      <c r="G33" s="28" t="s">
        <v>32</v>
      </c>
      <c r="H33" s="34" t="s">
        <v>9</v>
      </c>
      <c r="I33" s="29" t="s">
        <v>92</v>
      </c>
      <c r="J33" s="34" t="s">
        <v>185</v>
      </c>
      <c r="K33" s="29">
        <v>29.0</v>
      </c>
      <c r="L33" s="38">
        <v>2.9</v>
      </c>
      <c r="M33" s="38">
        <v>2.4</v>
      </c>
      <c r="N33" s="39"/>
      <c r="O33" s="39"/>
      <c r="P33" s="39"/>
      <c r="Q33" s="39"/>
      <c r="R33" s="39"/>
      <c r="S33" s="39"/>
      <c r="T33" s="39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>
      <c r="A34" s="28">
        <f t="shared" si="17"/>
        <v>33</v>
      </c>
      <c r="B34" s="34">
        <v>9.0</v>
      </c>
      <c r="C34" s="29" t="s">
        <v>77</v>
      </c>
      <c r="D34" s="35" t="str">
        <f t="shared" ref="D34:D43" si="19">HYPERLINK("https://github.com/d-wkim/phd/blob/main/data/pdf/barenius_2010.pdf","Barenius et al., 2010")</f>
        <v>Barenius et al., 2010</v>
      </c>
      <c r="E34" s="36" t="s">
        <v>318</v>
      </c>
      <c r="F34" s="36" t="s">
        <v>319</v>
      </c>
      <c r="G34" s="28" t="s">
        <v>32</v>
      </c>
      <c r="H34" s="34" t="s">
        <v>2</v>
      </c>
      <c r="I34" s="29" t="s">
        <v>92</v>
      </c>
      <c r="J34" s="28" t="s">
        <v>96</v>
      </c>
      <c r="K34" s="29">
        <v>78.0</v>
      </c>
      <c r="L34" s="38">
        <f t="shared" ref="L34:L35" si="20">iferror(MEDIAN_MEAN(K34,N34,P34,R34),"")</f>
        <v>5.801629764</v>
      </c>
      <c r="M34" s="38">
        <f t="shared" ref="M34:M35" si="21">iferror(RANGE_SD(K34,N34,R34),"")</f>
        <v>1.86760818</v>
      </c>
      <c r="N34" s="29">
        <v>0.0</v>
      </c>
      <c r="O34" s="39"/>
      <c r="P34" s="29">
        <v>6.0</v>
      </c>
      <c r="Q34" s="39"/>
      <c r="R34" s="29">
        <v>9.0</v>
      </c>
      <c r="S34" s="39"/>
      <c r="T34" s="39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>
      <c r="A35" s="28">
        <f t="shared" si="17"/>
        <v>34</v>
      </c>
      <c r="B35" s="34">
        <v>9.0</v>
      </c>
      <c r="C35" s="29" t="s">
        <v>77</v>
      </c>
      <c r="D35" s="35" t="str">
        <f t="shared" si="19"/>
        <v>Barenius et al., 2010</v>
      </c>
      <c r="E35" s="36" t="s">
        <v>318</v>
      </c>
      <c r="F35" s="36" t="s">
        <v>319</v>
      </c>
      <c r="G35" s="28" t="s">
        <v>32</v>
      </c>
      <c r="H35" s="34" t="s">
        <v>2</v>
      </c>
      <c r="I35" s="29" t="s">
        <v>92</v>
      </c>
      <c r="J35" s="28" t="s">
        <v>226</v>
      </c>
      <c r="K35" s="29">
        <v>78.0</v>
      </c>
      <c r="L35" s="38">
        <f t="shared" si="20"/>
        <v>85.8179274</v>
      </c>
      <c r="M35" s="38">
        <f t="shared" si="21"/>
        <v>11.82818514</v>
      </c>
      <c r="N35" s="29">
        <v>43.0</v>
      </c>
      <c r="O35" s="39"/>
      <c r="P35" s="29">
        <v>88.0</v>
      </c>
      <c r="Q35" s="39"/>
      <c r="R35" s="29">
        <v>100.0</v>
      </c>
      <c r="S35" s="39"/>
      <c r="T35" s="39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</row>
    <row r="36">
      <c r="A36" s="28" t="str">
        <f t="shared" si="17"/>
        <v/>
      </c>
      <c r="B36" s="34">
        <v>9.0</v>
      </c>
      <c r="C36" s="29" t="s">
        <v>77</v>
      </c>
      <c r="D36" s="35" t="str">
        <f t="shared" si="19"/>
        <v>Barenius et al., 2010</v>
      </c>
      <c r="E36" s="36" t="s">
        <v>318</v>
      </c>
      <c r="F36" s="36" t="s">
        <v>319</v>
      </c>
      <c r="G36" s="28" t="s">
        <v>102</v>
      </c>
      <c r="H36" s="34" t="s">
        <v>2</v>
      </c>
      <c r="I36" s="29" t="s">
        <v>149</v>
      </c>
      <c r="J36" s="34" t="s">
        <v>151</v>
      </c>
      <c r="K36" s="29"/>
      <c r="L36" s="40"/>
      <c r="M36" s="41" t="str">
        <f t="shared" ref="M36:M37" si="22">iferror(P_SD(K36,L36),"")</f>
        <v/>
      </c>
      <c r="N36" s="39"/>
      <c r="O36" s="39"/>
      <c r="P36" s="39"/>
      <c r="Q36" s="39"/>
      <c r="R36" s="39"/>
      <c r="S36" s="39"/>
      <c r="T36" s="39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</row>
    <row r="37">
      <c r="A37" s="28" t="str">
        <f t="shared" si="17"/>
        <v/>
      </c>
      <c r="B37" s="34">
        <v>9.0</v>
      </c>
      <c r="C37" s="29" t="s">
        <v>77</v>
      </c>
      <c r="D37" s="35" t="str">
        <f t="shared" si="19"/>
        <v>Barenius et al., 2010</v>
      </c>
      <c r="E37" s="36" t="s">
        <v>318</v>
      </c>
      <c r="F37" s="36" t="s">
        <v>319</v>
      </c>
      <c r="G37" s="28" t="s">
        <v>102</v>
      </c>
      <c r="H37" s="34" t="s">
        <v>2</v>
      </c>
      <c r="I37" s="29" t="s">
        <v>149</v>
      </c>
      <c r="J37" s="34" t="s">
        <v>173</v>
      </c>
      <c r="K37" s="29"/>
      <c r="L37" s="43"/>
      <c r="M37" s="41" t="str">
        <f t="shared" si="22"/>
        <v/>
      </c>
      <c r="N37" s="39"/>
      <c r="O37" s="39"/>
      <c r="P37" s="39"/>
      <c r="Q37" s="39"/>
      <c r="R37" s="39"/>
      <c r="S37" s="39"/>
      <c r="T37" s="39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</row>
    <row r="38">
      <c r="A38" s="28" t="str">
        <f t="shared" si="17"/>
        <v/>
      </c>
      <c r="B38" s="34">
        <v>9.0</v>
      </c>
      <c r="C38" s="29" t="s">
        <v>77</v>
      </c>
      <c r="D38" s="35" t="str">
        <f t="shared" si="19"/>
        <v>Barenius et al., 2010</v>
      </c>
      <c r="E38" s="36" t="s">
        <v>318</v>
      </c>
      <c r="F38" s="36" t="s">
        <v>319</v>
      </c>
      <c r="G38" s="28" t="s">
        <v>102</v>
      </c>
      <c r="H38" s="34" t="s">
        <v>2</v>
      </c>
      <c r="I38" s="29" t="s">
        <v>92</v>
      </c>
      <c r="J38" s="34" t="s">
        <v>185</v>
      </c>
      <c r="K38" s="29"/>
      <c r="L38" s="41"/>
      <c r="M38" s="38"/>
      <c r="N38" s="39"/>
      <c r="O38" s="39"/>
      <c r="P38" s="39"/>
      <c r="Q38" s="39"/>
      <c r="R38" s="39"/>
      <c r="S38" s="39"/>
      <c r="T38" s="39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</row>
    <row r="39">
      <c r="A39" s="28">
        <f t="shared" si="17"/>
        <v>38</v>
      </c>
      <c r="B39" s="34">
        <v>9.0</v>
      </c>
      <c r="C39" s="29" t="s">
        <v>77</v>
      </c>
      <c r="D39" s="35" t="str">
        <f t="shared" si="19"/>
        <v>Barenius et al., 2010</v>
      </c>
      <c r="E39" s="36" t="s">
        <v>318</v>
      </c>
      <c r="F39" s="36" t="s">
        <v>319</v>
      </c>
      <c r="G39" s="28" t="s">
        <v>32</v>
      </c>
      <c r="H39" s="34" t="s">
        <v>9</v>
      </c>
      <c r="I39" s="29" t="s">
        <v>92</v>
      </c>
      <c r="J39" s="28" t="s">
        <v>96</v>
      </c>
      <c r="K39" s="29">
        <v>75.0</v>
      </c>
      <c r="L39" s="38">
        <f t="shared" ref="L39:L40" si="23">iferror(MEDIAN_MEAN(K39,N39,P39,R39),"")</f>
        <v>4.067829574</v>
      </c>
      <c r="M39" s="38">
        <f t="shared" ref="M39:M40" si="24">iferror(RANGE_SD(K39,N39,R39),"")</f>
        <v>1.878757411</v>
      </c>
      <c r="N39" s="29">
        <v>0.0</v>
      </c>
      <c r="O39" s="39"/>
      <c r="P39" s="29">
        <v>4.0</v>
      </c>
      <c r="Q39" s="39"/>
      <c r="R39" s="29">
        <v>9.0</v>
      </c>
      <c r="S39" s="39"/>
      <c r="T39" s="39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</row>
    <row r="40">
      <c r="A40" s="28">
        <f t="shared" si="17"/>
        <v>39</v>
      </c>
      <c r="B40" s="34">
        <v>9.0</v>
      </c>
      <c r="C40" s="29" t="s">
        <v>77</v>
      </c>
      <c r="D40" s="35" t="str">
        <f t="shared" si="19"/>
        <v>Barenius et al., 2010</v>
      </c>
      <c r="E40" s="36" t="s">
        <v>318</v>
      </c>
      <c r="F40" s="36" t="s">
        <v>319</v>
      </c>
      <c r="G40" s="28" t="s">
        <v>32</v>
      </c>
      <c r="H40" s="34" t="s">
        <v>9</v>
      </c>
      <c r="I40" s="29" t="s">
        <v>92</v>
      </c>
      <c r="J40" s="28" t="s">
        <v>226</v>
      </c>
      <c r="K40" s="29">
        <v>75.0</v>
      </c>
      <c r="L40" s="38">
        <f t="shared" si="23"/>
        <v>86.4224762</v>
      </c>
      <c r="M40" s="38">
        <f t="shared" si="24"/>
        <v>12.52504941</v>
      </c>
      <c r="N40" s="29">
        <v>40.0</v>
      </c>
      <c r="O40" s="39"/>
      <c r="P40" s="29">
        <v>89.0</v>
      </c>
      <c r="Q40" s="39"/>
      <c r="R40" s="29">
        <v>100.0</v>
      </c>
      <c r="S40" s="39"/>
      <c r="T40" s="39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</row>
    <row r="41">
      <c r="A41" s="28" t="str">
        <f t="shared" si="17"/>
        <v/>
      </c>
      <c r="B41" s="34">
        <v>9.0</v>
      </c>
      <c r="C41" s="29" t="s">
        <v>77</v>
      </c>
      <c r="D41" s="35" t="str">
        <f t="shared" si="19"/>
        <v>Barenius et al., 2010</v>
      </c>
      <c r="E41" s="36" t="s">
        <v>318</v>
      </c>
      <c r="F41" s="36" t="s">
        <v>319</v>
      </c>
      <c r="G41" s="28" t="s">
        <v>102</v>
      </c>
      <c r="H41" s="34" t="s">
        <v>9</v>
      </c>
      <c r="I41" s="29" t="s">
        <v>149</v>
      </c>
      <c r="J41" s="34" t="s">
        <v>151</v>
      </c>
      <c r="K41" s="29"/>
      <c r="L41" s="40"/>
      <c r="M41" s="41" t="str">
        <f t="shared" ref="M41:M42" si="25">iferror(P_SD(K41,L41),"")</f>
        <v/>
      </c>
      <c r="N41" s="39"/>
      <c r="O41" s="39"/>
      <c r="P41" s="39"/>
      <c r="Q41" s="39"/>
      <c r="R41" s="39"/>
      <c r="S41" s="39"/>
      <c r="T41" s="39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</row>
    <row r="42">
      <c r="A42" s="28" t="str">
        <f t="shared" si="17"/>
        <v/>
      </c>
      <c r="B42" s="34">
        <v>9.0</v>
      </c>
      <c r="C42" s="29" t="s">
        <v>77</v>
      </c>
      <c r="D42" s="35" t="str">
        <f t="shared" si="19"/>
        <v>Barenius et al., 2010</v>
      </c>
      <c r="E42" s="36" t="s">
        <v>318</v>
      </c>
      <c r="F42" s="36" t="s">
        <v>319</v>
      </c>
      <c r="G42" s="28" t="s">
        <v>102</v>
      </c>
      <c r="H42" s="34" t="s">
        <v>9</v>
      </c>
      <c r="I42" s="29" t="s">
        <v>149</v>
      </c>
      <c r="J42" s="34" t="s">
        <v>173</v>
      </c>
      <c r="K42" s="29"/>
      <c r="L42" s="43"/>
      <c r="M42" s="41" t="str">
        <f t="shared" si="25"/>
        <v/>
      </c>
      <c r="N42" s="39"/>
      <c r="O42" s="39"/>
      <c r="P42" s="39"/>
      <c r="Q42" s="39"/>
      <c r="R42" s="39"/>
      <c r="S42" s="39"/>
      <c r="T42" s="39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</row>
    <row r="43">
      <c r="A43" s="28" t="str">
        <f t="shared" si="17"/>
        <v/>
      </c>
      <c r="B43" s="34">
        <v>9.0</v>
      </c>
      <c r="C43" s="29" t="s">
        <v>77</v>
      </c>
      <c r="D43" s="35" t="str">
        <f t="shared" si="19"/>
        <v>Barenius et al., 2010</v>
      </c>
      <c r="E43" s="36" t="s">
        <v>318</v>
      </c>
      <c r="F43" s="36" t="s">
        <v>319</v>
      </c>
      <c r="G43" s="28" t="s">
        <v>102</v>
      </c>
      <c r="H43" s="34" t="s">
        <v>9</v>
      </c>
      <c r="I43" s="29" t="s">
        <v>92</v>
      </c>
      <c r="J43" s="34" t="s">
        <v>185</v>
      </c>
      <c r="K43" s="29"/>
      <c r="L43" s="41"/>
      <c r="M43" s="38"/>
      <c r="N43" s="39"/>
      <c r="O43" s="39"/>
      <c r="P43" s="39"/>
      <c r="Q43" s="39"/>
      <c r="R43" s="39"/>
      <c r="S43" s="39"/>
      <c r="T43" s="39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</row>
    <row r="44">
      <c r="A44" s="28">
        <f t="shared" si="17"/>
        <v>43</v>
      </c>
      <c r="B44" s="34">
        <v>10.0</v>
      </c>
      <c r="C44" s="29" t="s">
        <v>77</v>
      </c>
      <c r="D44" s="35" t="str">
        <f t="shared" ref="D44:D51" si="26">HYPERLINK("https://github.com/d-wkim/phd/blob/main/data/pdf/barié_2020.pdf","Barié et al., 2020")</f>
        <v>Barié et al., 2020</v>
      </c>
      <c r="E44" s="28" t="s">
        <v>354</v>
      </c>
      <c r="F44" s="28" t="s">
        <v>355</v>
      </c>
      <c r="G44" s="28" t="s">
        <v>32</v>
      </c>
      <c r="H44" s="34" t="s">
        <v>2</v>
      </c>
      <c r="I44" s="29" t="s">
        <v>92</v>
      </c>
      <c r="J44" s="34" t="s">
        <v>220</v>
      </c>
      <c r="K44" s="29">
        <v>43.0</v>
      </c>
      <c r="L44" s="38">
        <v>91.0</v>
      </c>
      <c r="M44" s="38">
        <v>7.3</v>
      </c>
      <c r="N44" s="39"/>
      <c r="O44" s="39"/>
      <c r="P44" s="39"/>
      <c r="Q44" s="39"/>
      <c r="R44" s="39"/>
      <c r="S44" s="39"/>
      <c r="T44" s="39"/>
      <c r="U44" s="49"/>
      <c r="V44" s="49"/>
      <c r="W44" s="49"/>
      <c r="X44" s="49"/>
      <c r="Y44" s="14"/>
      <c r="Z44" s="14"/>
      <c r="AA44" s="14"/>
      <c r="AB44" s="14"/>
      <c r="AC44" s="14"/>
      <c r="AD44" s="14"/>
      <c r="AE44" s="14"/>
    </row>
    <row r="45">
      <c r="A45" s="28">
        <f t="shared" si="17"/>
        <v>44</v>
      </c>
      <c r="B45" s="34">
        <v>10.0</v>
      </c>
      <c r="C45" s="29" t="s">
        <v>77</v>
      </c>
      <c r="D45" s="35" t="str">
        <f t="shared" si="26"/>
        <v>Barié et al., 2020</v>
      </c>
      <c r="E45" s="28" t="s">
        <v>354</v>
      </c>
      <c r="F45" s="28" t="s">
        <v>355</v>
      </c>
      <c r="G45" s="28" t="s">
        <v>32</v>
      </c>
      <c r="H45" s="34" t="s">
        <v>2</v>
      </c>
      <c r="I45" s="29" t="s">
        <v>92</v>
      </c>
      <c r="J45" s="34" t="s">
        <v>226</v>
      </c>
      <c r="K45" s="29">
        <v>43.0</v>
      </c>
      <c r="L45" s="38">
        <v>95.2</v>
      </c>
      <c r="M45" s="38">
        <v>6.6</v>
      </c>
      <c r="N45" s="39"/>
      <c r="O45" s="39"/>
      <c r="P45" s="39"/>
      <c r="Q45" s="39"/>
      <c r="R45" s="39"/>
      <c r="S45" s="39"/>
      <c r="T45" s="39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</row>
    <row r="46">
      <c r="A46" s="28">
        <f t="shared" si="17"/>
        <v>45</v>
      </c>
      <c r="B46" s="34">
        <v>10.0</v>
      </c>
      <c r="C46" s="29" t="s">
        <v>77</v>
      </c>
      <c r="D46" s="35" t="str">
        <f t="shared" si="26"/>
        <v>Barié et al., 2020</v>
      </c>
      <c r="E46" s="28" t="s">
        <v>354</v>
      </c>
      <c r="F46" s="28" t="s">
        <v>355</v>
      </c>
      <c r="G46" s="28" t="s">
        <v>32</v>
      </c>
      <c r="H46" s="34" t="s">
        <v>2</v>
      </c>
      <c r="I46" s="29" t="s">
        <v>92</v>
      </c>
      <c r="J46" s="34" t="s">
        <v>96</v>
      </c>
      <c r="K46" s="29">
        <v>43.0</v>
      </c>
      <c r="L46" s="38">
        <f>iferror(MEDIAN_MEAN(K46,N46,P46,R46),"")</f>
        <v>6.096191037</v>
      </c>
      <c r="M46" s="38">
        <f>iferror(RANGE_SD(K46,N46,R46),"")</f>
        <v>1.14425679</v>
      </c>
      <c r="N46" s="29">
        <v>4.0</v>
      </c>
      <c r="O46" s="39"/>
      <c r="P46" s="29">
        <v>6.0</v>
      </c>
      <c r="Q46" s="39"/>
      <c r="R46" s="29">
        <v>9.0</v>
      </c>
      <c r="S46" s="39"/>
      <c r="T46" s="39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</row>
    <row r="47">
      <c r="A47" s="28">
        <f t="shared" si="17"/>
        <v>46</v>
      </c>
      <c r="B47" s="34">
        <v>10.0</v>
      </c>
      <c r="C47" s="29" t="s">
        <v>77</v>
      </c>
      <c r="D47" s="35" t="str">
        <f t="shared" si="26"/>
        <v>Barié et al., 2020</v>
      </c>
      <c r="E47" s="28" t="s">
        <v>354</v>
      </c>
      <c r="F47" s="28" t="s">
        <v>355</v>
      </c>
      <c r="G47" s="28" t="s">
        <v>32</v>
      </c>
      <c r="H47" s="34" t="s">
        <v>2</v>
      </c>
      <c r="I47" s="29" t="s">
        <v>92</v>
      </c>
      <c r="J47" s="34" t="s">
        <v>185</v>
      </c>
      <c r="K47" s="29">
        <v>43.0</v>
      </c>
      <c r="L47" s="38">
        <v>1.05</v>
      </c>
      <c r="M47" s="38">
        <v>1.36</v>
      </c>
      <c r="N47" s="39"/>
      <c r="O47" s="39"/>
      <c r="P47" s="39"/>
      <c r="Q47" s="39"/>
      <c r="R47" s="39"/>
      <c r="S47" s="39"/>
      <c r="T47" s="39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</row>
    <row r="48">
      <c r="A48" s="28">
        <f t="shared" si="17"/>
        <v>47</v>
      </c>
      <c r="B48" s="34">
        <v>10.0</v>
      </c>
      <c r="C48" s="29" t="s">
        <v>77</v>
      </c>
      <c r="D48" s="35" t="str">
        <f t="shared" si="26"/>
        <v>Barié et al., 2020</v>
      </c>
      <c r="E48" s="28" t="s">
        <v>354</v>
      </c>
      <c r="F48" s="28" t="s">
        <v>355</v>
      </c>
      <c r="G48" s="28" t="s">
        <v>32</v>
      </c>
      <c r="H48" s="34" t="s">
        <v>10</v>
      </c>
      <c r="I48" s="29" t="s">
        <v>92</v>
      </c>
      <c r="J48" s="34" t="s">
        <v>220</v>
      </c>
      <c r="K48" s="29">
        <v>43.0</v>
      </c>
      <c r="L48" s="38">
        <v>92.0</v>
      </c>
      <c r="M48" s="38">
        <v>11.5</v>
      </c>
      <c r="N48" s="39"/>
      <c r="O48" s="39"/>
      <c r="P48" s="39"/>
      <c r="Q48" s="39"/>
      <c r="R48" s="39"/>
      <c r="S48" s="39"/>
      <c r="T48" s="39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</row>
    <row r="49">
      <c r="A49" s="28">
        <f t="shared" si="17"/>
        <v>48</v>
      </c>
      <c r="B49" s="34">
        <v>10.0</v>
      </c>
      <c r="C49" s="29" t="s">
        <v>77</v>
      </c>
      <c r="D49" s="35" t="str">
        <f t="shared" si="26"/>
        <v>Barié et al., 2020</v>
      </c>
      <c r="E49" s="28" t="s">
        <v>354</v>
      </c>
      <c r="F49" s="28" t="s">
        <v>355</v>
      </c>
      <c r="G49" s="28" t="s">
        <v>32</v>
      </c>
      <c r="H49" s="34" t="s">
        <v>10</v>
      </c>
      <c r="I49" s="29" t="s">
        <v>92</v>
      </c>
      <c r="J49" s="34" t="s">
        <v>226</v>
      </c>
      <c r="K49" s="29">
        <v>43.0</v>
      </c>
      <c r="L49" s="38">
        <v>95.6</v>
      </c>
      <c r="M49" s="38">
        <v>7.8</v>
      </c>
      <c r="N49" s="39"/>
      <c r="O49" s="39"/>
      <c r="P49" s="39"/>
      <c r="Q49" s="39"/>
      <c r="R49" s="39"/>
      <c r="S49" s="39"/>
      <c r="T49" s="39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</row>
    <row r="50">
      <c r="A50" s="28">
        <f t="shared" si="17"/>
        <v>49</v>
      </c>
      <c r="B50" s="34">
        <v>10.0</v>
      </c>
      <c r="C50" s="29" t="s">
        <v>77</v>
      </c>
      <c r="D50" s="35" t="str">
        <f t="shared" si="26"/>
        <v>Barié et al., 2020</v>
      </c>
      <c r="E50" s="28" t="s">
        <v>354</v>
      </c>
      <c r="F50" s="28" t="s">
        <v>355</v>
      </c>
      <c r="G50" s="28" t="s">
        <v>32</v>
      </c>
      <c r="H50" s="34" t="s">
        <v>10</v>
      </c>
      <c r="I50" s="29" t="s">
        <v>92</v>
      </c>
      <c r="J50" s="34" t="s">
        <v>96</v>
      </c>
      <c r="K50" s="29">
        <v>43.0</v>
      </c>
      <c r="L50" s="38">
        <f>iferror(MEDIAN_MEAN(K50,N50,P50,R50),"")</f>
        <v>6.096191037</v>
      </c>
      <c r="M50" s="38">
        <f>iferror(RANGE_SD(K50,N50,R50),"")</f>
        <v>1.14425679</v>
      </c>
      <c r="N50" s="29">
        <v>4.0</v>
      </c>
      <c r="O50" s="39"/>
      <c r="P50" s="29">
        <v>6.0</v>
      </c>
      <c r="Q50" s="39"/>
      <c r="R50" s="29">
        <v>9.0</v>
      </c>
      <c r="S50" s="39"/>
      <c r="T50" s="39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</row>
    <row r="51">
      <c r="A51" s="28">
        <f t="shared" si="17"/>
        <v>50</v>
      </c>
      <c r="B51" s="34">
        <v>10.0</v>
      </c>
      <c r="C51" s="29" t="s">
        <v>77</v>
      </c>
      <c r="D51" s="35" t="str">
        <f t="shared" si="26"/>
        <v>Barié et al., 2020</v>
      </c>
      <c r="E51" s="28" t="s">
        <v>354</v>
      </c>
      <c r="F51" s="28" t="s">
        <v>355</v>
      </c>
      <c r="G51" s="28" t="s">
        <v>32</v>
      </c>
      <c r="H51" s="34" t="s">
        <v>10</v>
      </c>
      <c r="I51" s="29" t="s">
        <v>92</v>
      </c>
      <c r="J51" s="34" t="s">
        <v>185</v>
      </c>
      <c r="K51" s="29">
        <v>43.0</v>
      </c>
      <c r="L51" s="38">
        <v>1.0</v>
      </c>
      <c r="M51" s="38">
        <v>1.095</v>
      </c>
      <c r="N51" s="39"/>
      <c r="O51" s="39"/>
      <c r="P51" s="39"/>
      <c r="Q51" s="39"/>
      <c r="R51" s="39"/>
      <c r="S51" s="39"/>
      <c r="T51" s="39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</row>
    <row r="52">
      <c r="A52" s="28" t="str">
        <f t="shared" si="17"/>
        <v/>
      </c>
      <c r="B52" s="34">
        <v>11.0</v>
      </c>
      <c r="C52" s="29" t="s">
        <v>77</v>
      </c>
      <c r="D52" s="35" t="str">
        <f t="shared" ref="D52:D61" si="27">HYPERLINK("https://github.com/d-wkim/phd/blob/main/data/pdf/beynnon_2002.pdf","Beynnon et al., 2002")</f>
        <v>Beynnon et al., 2002</v>
      </c>
      <c r="E52" s="36" t="s">
        <v>368</v>
      </c>
      <c r="F52" s="36" t="s">
        <v>369</v>
      </c>
      <c r="G52" s="28" t="s">
        <v>102</v>
      </c>
      <c r="H52" s="34" t="s">
        <v>2</v>
      </c>
      <c r="I52" s="29" t="s">
        <v>92</v>
      </c>
      <c r="J52" s="34" t="s">
        <v>220</v>
      </c>
      <c r="K52" s="39"/>
      <c r="L52" s="41"/>
      <c r="M52" s="38"/>
      <c r="N52" s="39"/>
      <c r="O52" s="39"/>
      <c r="P52" s="39"/>
      <c r="Q52" s="39"/>
      <c r="R52" s="39"/>
      <c r="S52" s="39"/>
      <c r="T52" s="39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</row>
    <row r="53">
      <c r="A53" s="28" t="str">
        <f t="shared" si="17"/>
        <v/>
      </c>
      <c r="B53" s="34">
        <v>11.0</v>
      </c>
      <c r="C53" s="29" t="s">
        <v>77</v>
      </c>
      <c r="D53" s="35" t="str">
        <f t="shared" si="27"/>
        <v>Beynnon et al., 2002</v>
      </c>
      <c r="E53" s="36" t="s">
        <v>368</v>
      </c>
      <c r="F53" s="36" t="s">
        <v>369</v>
      </c>
      <c r="G53" s="28" t="s">
        <v>102</v>
      </c>
      <c r="H53" s="34" t="s">
        <v>2</v>
      </c>
      <c r="I53" s="29" t="s">
        <v>92</v>
      </c>
      <c r="J53" s="34" t="s">
        <v>96</v>
      </c>
      <c r="K53" s="39"/>
      <c r="L53" s="41"/>
      <c r="M53" s="38"/>
      <c r="N53" s="39"/>
      <c r="O53" s="39"/>
      <c r="P53" s="39"/>
      <c r="Q53" s="39"/>
      <c r="R53" s="39"/>
      <c r="S53" s="39"/>
      <c r="T53" s="39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</row>
    <row r="54">
      <c r="A54" s="28" t="str">
        <f t="shared" si="17"/>
        <v/>
      </c>
      <c r="B54" s="34">
        <v>11.0</v>
      </c>
      <c r="C54" s="29" t="s">
        <v>77</v>
      </c>
      <c r="D54" s="35" t="str">
        <f t="shared" si="27"/>
        <v>Beynnon et al., 2002</v>
      </c>
      <c r="E54" s="36" t="s">
        <v>368</v>
      </c>
      <c r="F54" s="36" t="s">
        <v>369</v>
      </c>
      <c r="G54" s="28" t="s">
        <v>102</v>
      </c>
      <c r="H54" s="34" t="s">
        <v>2</v>
      </c>
      <c r="I54" s="29" t="s">
        <v>92</v>
      </c>
      <c r="J54" s="34" t="s">
        <v>185</v>
      </c>
      <c r="K54" s="39"/>
      <c r="L54" s="41"/>
      <c r="M54" s="38"/>
      <c r="N54" s="39"/>
      <c r="O54" s="39"/>
      <c r="P54" s="39"/>
      <c r="Q54" s="39"/>
      <c r="R54" s="39"/>
      <c r="S54" s="39"/>
      <c r="T54" s="39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</row>
    <row r="55">
      <c r="A55" s="28">
        <f t="shared" si="17"/>
        <v>54</v>
      </c>
      <c r="B55" s="34">
        <v>11.0</v>
      </c>
      <c r="C55" s="29" t="s">
        <v>77</v>
      </c>
      <c r="D55" s="35" t="str">
        <f t="shared" si="27"/>
        <v>Beynnon et al., 2002</v>
      </c>
      <c r="E55" s="36" t="s">
        <v>368</v>
      </c>
      <c r="F55" s="36" t="s">
        <v>369</v>
      </c>
      <c r="G55" s="28" t="s">
        <v>32</v>
      </c>
      <c r="H55" s="34" t="s">
        <v>2</v>
      </c>
      <c r="I55" s="29" t="s">
        <v>149</v>
      </c>
      <c r="J55" s="34" t="s">
        <v>173</v>
      </c>
      <c r="K55" s="29">
        <v>22.0</v>
      </c>
      <c r="L55" s="40">
        <v>0.0</v>
      </c>
      <c r="M55" s="41">
        <f t="shared" ref="M55:M56" si="28">iferror(P_SD(K55,L55),"")</f>
        <v>0.1066003582</v>
      </c>
      <c r="N55" s="39"/>
      <c r="O55" s="39"/>
      <c r="P55" s="39"/>
      <c r="Q55" s="39"/>
      <c r="R55" s="39"/>
      <c r="S55" s="39"/>
      <c r="T55" s="39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</row>
    <row r="56">
      <c r="A56" s="28">
        <f t="shared" si="17"/>
        <v>55</v>
      </c>
      <c r="B56" s="34">
        <v>11.0</v>
      </c>
      <c r="C56" s="29" t="s">
        <v>77</v>
      </c>
      <c r="D56" s="35" t="str">
        <f t="shared" si="27"/>
        <v>Beynnon et al., 2002</v>
      </c>
      <c r="E56" s="36" t="s">
        <v>368</v>
      </c>
      <c r="F56" s="36" t="s">
        <v>369</v>
      </c>
      <c r="G56" s="28" t="s">
        <v>32</v>
      </c>
      <c r="H56" s="34" t="s">
        <v>2</v>
      </c>
      <c r="I56" s="29" t="s">
        <v>149</v>
      </c>
      <c r="J56" s="34" t="s">
        <v>151</v>
      </c>
      <c r="K56" s="29">
        <v>22.0</v>
      </c>
      <c r="L56" s="40">
        <v>2.0</v>
      </c>
      <c r="M56" s="41">
        <f t="shared" si="28"/>
        <v>0.58630197</v>
      </c>
      <c r="N56" s="39"/>
      <c r="O56" s="39"/>
      <c r="P56" s="39"/>
      <c r="Q56" s="39"/>
      <c r="R56" s="39"/>
      <c r="S56" s="39"/>
      <c r="T56" s="39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</row>
    <row r="57">
      <c r="A57" s="28" t="str">
        <f t="shared" si="17"/>
        <v/>
      </c>
      <c r="B57" s="34">
        <v>11.0</v>
      </c>
      <c r="C57" s="29" t="s">
        <v>77</v>
      </c>
      <c r="D57" s="35" t="str">
        <f t="shared" si="27"/>
        <v>Beynnon et al., 2002</v>
      </c>
      <c r="E57" s="36" t="s">
        <v>368</v>
      </c>
      <c r="F57" s="36" t="s">
        <v>369</v>
      </c>
      <c r="G57" s="28" t="s">
        <v>102</v>
      </c>
      <c r="H57" s="34" t="s">
        <v>9</v>
      </c>
      <c r="I57" s="29" t="s">
        <v>92</v>
      </c>
      <c r="J57" s="34" t="s">
        <v>220</v>
      </c>
      <c r="K57" s="39"/>
      <c r="L57" s="41"/>
      <c r="M57" s="38"/>
      <c r="N57" s="39"/>
      <c r="O57" s="39"/>
      <c r="P57" s="39"/>
      <c r="Q57" s="39"/>
      <c r="R57" s="39"/>
      <c r="S57" s="39"/>
      <c r="T57" s="39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</row>
    <row r="58">
      <c r="A58" s="28" t="str">
        <f t="shared" si="17"/>
        <v/>
      </c>
      <c r="B58" s="34">
        <v>11.0</v>
      </c>
      <c r="C58" s="29" t="s">
        <v>77</v>
      </c>
      <c r="D58" s="35" t="str">
        <f t="shared" si="27"/>
        <v>Beynnon et al., 2002</v>
      </c>
      <c r="E58" s="36" t="s">
        <v>368</v>
      </c>
      <c r="F58" s="36" t="s">
        <v>369</v>
      </c>
      <c r="G58" s="28" t="s">
        <v>102</v>
      </c>
      <c r="H58" s="34" t="s">
        <v>9</v>
      </c>
      <c r="I58" s="29" t="s">
        <v>92</v>
      </c>
      <c r="J58" s="34" t="s">
        <v>96</v>
      </c>
      <c r="K58" s="39"/>
      <c r="L58" s="41"/>
      <c r="M58" s="38"/>
      <c r="N58" s="39"/>
      <c r="O58" s="39"/>
      <c r="P58" s="39"/>
      <c r="Q58" s="39"/>
      <c r="R58" s="39"/>
      <c r="S58" s="39"/>
      <c r="T58" s="39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</row>
    <row r="59">
      <c r="A59" s="28" t="str">
        <f t="shared" si="17"/>
        <v/>
      </c>
      <c r="B59" s="34">
        <v>11.0</v>
      </c>
      <c r="C59" s="29" t="s">
        <v>77</v>
      </c>
      <c r="D59" s="35" t="str">
        <f t="shared" si="27"/>
        <v>Beynnon et al., 2002</v>
      </c>
      <c r="E59" s="36" t="s">
        <v>368</v>
      </c>
      <c r="F59" s="36" t="s">
        <v>369</v>
      </c>
      <c r="G59" s="28" t="s">
        <v>102</v>
      </c>
      <c r="H59" s="34" t="s">
        <v>9</v>
      </c>
      <c r="I59" s="29" t="s">
        <v>92</v>
      </c>
      <c r="J59" s="34" t="s">
        <v>185</v>
      </c>
      <c r="K59" s="39"/>
      <c r="L59" s="41"/>
      <c r="M59" s="38"/>
      <c r="N59" s="39"/>
      <c r="O59" s="39"/>
      <c r="P59" s="39"/>
      <c r="Q59" s="39"/>
      <c r="R59" s="39"/>
      <c r="S59" s="39"/>
      <c r="T59" s="39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</row>
    <row r="60">
      <c r="A60" s="28">
        <f t="shared" si="17"/>
        <v>59</v>
      </c>
      <c r="B60" s="34">
        <v>11.0</v>
      </c>
      <c r="C60" s="29" t="s">
        <v>77</v>
      </c>
      <c r="D60" s="35" t="str">
        <f t="shared" si="27"/>
        <v>Beynnon et al., 2002</v>
      </c>
      <c r="E60" s="36" t="s">
        <v>368</v>
      </c>
      <c r="F60" s="36" t="s">
        <v>369</v>
      </c>
      <c r="G60" s="28" t="s">
        <v>32</v>
      </c>
      <c r="H60" s="34" t="s">
        <v>9</v>
      </c>
      <c r="I60" s="29" t="s">
        <v>149</v>
      </c>
      <c r="J60" s="34" t="s">
        <v>173</v>
      </c>
      <c r="K60" s="29">
        <v>22.0</v>
      </c>
      <c r="L60" s="40">
        <v>6.0</v>
      </c>
      <c r="M60" s="41">
        <f t="shared" ref="M60:M61" si="29">iferror(P_SD(K60,L60),"")</f>
        <v>1.905481402</v>
      </c>
      <c r="N60" s="39"/>
      <c r="O60" s="39"/>
      <c r="P60" s="39"/>
      <c r="Q60" s="39"/>
      <c r="R60" s="39"/>
      <c r="S60" s="39"/>
      <c r="T60" s="39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</row>
    <row r="61">
      <c r="A61" s="28">
        <f t="shared" si="17"/>
        <v>60</v>
      </c>
      <c r="B61" s="34">
        <v>11.0</v>
      </c>
      <c r="C61" s="29" t="s">
        <v>77</v>
      </c>
      <c r="D61" s="35" t="str">
        <f t="shared" si="27"/>
        <v>Beynnon et al., 2002</v>
      </c>
      <c r="E61" s="36" t="s">
        <v>368</v>
      </c>
      <c r="F61" s="36" t="s">
        <v>369</v>
      </c>
      <c r="G61" s="28" t="s">
        <v>32</v>
      </c>
      <c r="H61" s="34" t="s">
        <v>9</v>
      </c>
      <c r="I61" s="29" t="s">
        <v>149</v>
      </c>
      <c r="J61" s="34" t="s">
        <v>151</v>
      </c>
      <c r="K61" s="29">
        <v>22.0</v>
      </c>
      <c r="L61" s="40">
        <v>13.0</v>
      </c>
      <c r="M61" s="41">
        <f t="shared" si="29"/>
        <v>7.03562364</v>
      </c>
      <c r="N61" s="39"/>
      <c r="O61" s="39"/>
      <c r="P61" s="39"/>
      <c r="Q61" s="39"/>
      <c r="R61" s="39"/>
      <c r="S61" s="39"/>
      <c r="T61" s="39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</row>
    <row r="62">
      <c r="A62" s="28">
        <f t="shared" si="17"/>
        <v>61</v>
      </c>
      <c r="B62" s="34">
        <v>12.0</v>
      </c>
      <c r="C62" s="29" t="s">
        <v>77</v>
      </c>
      <c r="D62" s="35" t="str">
        <f t="shared" ref="D62:D69" si="30">HYPERLINK("https://github.com/d-wkim/phd/blob/main/data/pdf/bi_2018.pdf","Bi et al., 2018")</f>
        <v>Bi et al., 2018</v>
      </c>
      <c r="E62" s="36" t="s">
        <v>392</v>
      </c>
      <c r="F62" s="36" t="s">
        <v>393</v>
      </c>
      <c r="G62" s="28" t="s">
        <v>32</v>
      </c>
      <c r="H62" s="34" t="s">
        <v>9</v>
      </c>
      <c r="I62" s="29" t="s">
        <v>92</v>
      </c>
      <c r="J62" s="34" t="s">
        <v>220</v>
      </c>
      <c r="K62" s="29">
        <v>62.0</v>
      </c>
      <c r="L62" s="38">
        <v>90.4</v>
      </c>
      <c r="M62" s="38">
        <v>7.1</v>
      </c>
      <c r="N62" s="39"/>
      <c r="O62" s="39"/>
      <c r="P62" s="39"/>
      <c r="Q62" s="39"/>
      <c r="R62" s="39"/>
      <c r="S62" s="39"/>
      <c r="T62" s="39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</row>
    <row r="63">
      <c r="A63" s="28">
        <f t="shared" si="17"/>
        <v>62</v>
      </c>
      <c r="B63" s="34">
        <v>12.0</v>
      </c>
      <c r="C63" s="29" t="s">
        <v>77</v>
      </c>
      <c r="D63" s="35" t="str">
        <f t="shared" si="30"/>
        <v>Bi et al., 2018</v>
      </c>
      <c r="E63" s="36" t="s">
        <v>392</v>
      </c>
      <c r="F63" s="36" t="s">
        <v>393</v>
      </c>
      <c r="G63" s="28" t="s">
        <v>32</v>
      </c>
      <c r="H63" s="34" t="s">
        <v>9</v>
      </c>
      <c r="I63" s="29" t="s">
        <v>92</v>
      </c>
      <c r="J63" s="34" t="s">
        <v>185</v>
      </c>
      <c r="K63" s="29">
        <v>62.0</v>
      </c>
      <c r="L63" s="38">
        <v>1.71</v>
      </c>
      <c r="M63" s="38">
        <v>0.57</v>
      </c>
      <c r="N63" s="39"/>
      <c r="O63" s="39"/>
      <c r="P63" s="39"/>
      <c r="Q63" s="39"/>
      <c r="R63" s="39"/>
      <c r="S63" s="39"/>
      <c r="T63" s="39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</row>
    <row r="64">
      <c r="A64" s="28">
        <f t="shared" si="17"/>
        <v>63</v>
      </c>
      <c r="B64" s="34">
        <v>12.0</v>
      </c>
      <c r="C64" s="29" t="s">
        <v>77</v>
      </c>
      <c r="D64" s="35" t="str">
        <f t="shared" si="30"/>
        <v>Bi et al., 2018</v>
      </c>
      <c r="E64" s="36" t="s">
        <v>392</v>
      </c>
      <c r="F64" s="36" t="s">
        <v>393</v>
      </c>
      <c r="G64" s="28" t="s">
        <v>32</v>
      </c>
      <c r="H64" s="34" t="s">
        <v>9</v>
      </c>
      <c r="I64" s="29" t="s">
        <v>149</v>
      </c>
      <c r="J64" s="34" t="s">
        <v>173</v>
      </c>
      <c r="K64" s="29">
        <v>62.0</v>
      </c>
      <c r="L64" s="40">
        <v>0.0</v>
      </c>
      <c r="M64" s="41">
        <f t="shared" ref="M64:M65" si="31">iferror(P_SD(K64,L64),"")</f>
        <v>0.0635000635</v>
      </c>
      <c r="N64" s="39"/>
      <c r="O64" s="39"/>
      <c r="P64" s="39"/>
      <c r="Q64" s="39"/>
      <c r="R64" s="39"/>
      <c r="S64" s="39"/>
      <c r="T64" s="39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</row>
    <row r="65">
      <c r="A65" s="28">
        <v>62.0</v>
      </c>
      <c r="B65" s="34">
        <v>12.0</v>
      </c>
      <c r="C65" s="39"/>
      <c r="D65" s="35" t="str">
        <f t="shared" si="30"/>
        <v>Bi et al., 2018</v>
      </c>
      <c r="E65" s="36" t="s">
        <v>392</v>
      </c>
      <c r="F65" s="36" t="s">
        <v>393</v>
      </c>
      <c r="G65" s="28" t="s">
        <v>102</v>
      </c>
      <c r="H65" s="34" t="s">
        <v>9</v>
      </c>
      <c r="I65" s="29" t="s">
        <v>149</v>
      </c>
      <c r="J65" s="34" t="s">
        <v>308</v>
      </c>
      <c r="K65" s="39"/>
      <c r="L65" s="43"/>
      <c r="M65" s="41" t="str">
        <f t="shared" si="31"/>
        <v/>
      </c>
      <c r="N65" s="39"/>
      <c r="O65" s="39"/>
      <c r="P65" s="39"/>
      <c r="Q65" s="39"/>
      <c r="R65" s="39"/>
      <c r="S65" s="39"/>
      <c r="T65" s="39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</row>
    <row r="66">
      <c r="A66" s="28">
        <f t="shared" ref="A66:A68" si="32">if(G66="Included",row(A66)-1,"")</f>
        <v>65</v>
      </c>
      <c r="B66" s="34">
        <v>12.0</v>
      </c>
      <c r="C66" s="29" t="s">
        <v>77</v>
      </c>
      <c r="D66" s="35" t="str">
        <f t="shared" si="30"/>
        <v>Bi et al., 2018</v>
      </c>
      <c r="E66" s="36" t="s">
        <v>392</v>
      </c>
      <c r="F66" s="36" t="s">
        <v>393</v>
      </c>
      <c r="G66" s="28" t="s">
        <v>32</v>
      </c>
      <c r="H66" s="34" t="s">
        <v>11</v>
      </c>
      <c r="I66" s="29" t="s">
        <v>92</v>
      </c>
      <c r="J66" s="34" t="s">
        <v>220</v>
      </c>
      <c r="K66" s="29">
        <v>62.0</v>
      </c>
      <c r="L66" s="38">
        <v>89.3</v>
      </c>
      <c r="M66" s="38">
        <v>8.4</v>
      </c>
      <c r="N66" s="39"/>
      <c r="O66" s="39"/>
      <c r="P66" s="39"/>
      <c r="Q66" s="39"/>
      <c r="R66" s="39"/>
      <c r="S66" s="39"/>
      <c r="T66" s="39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</row>
    <row r="67">
      <c r="A67" s="28">
        <f t="shared" si="32"/>
        <v>66</v>
      </c>
      <c r="B67" s="34">
        <v>12.0</v>
      </c>
      <c r="C67" s="29" t="s">
        <v>77</v>
      </c>
      <c r="D67" s="35" t="str">
        <f t="shared" si="30"/>
        <v>Bi et al., 2018</v>
      </c>
      <c r="E67" s="36" t="s">
        <v>392</v>
      </c>
      <c r="F67" s="36" t="s">
        <v>393</v>
      </c>
      <c r="G67" s="28" t="s">
        <v>32</v>
      </c>
      <c r="H67" s="34" t="s">
        <v>11</v>
      </c>
      <c r="I67" s="29" t="s">
        <v>92</v>
      </c>
      <c r="J67" s="34" t="s">
        <v>185</v>
      </c>
      <c r="K67" s="29">
        <v>62.0</v>
      </c>
      <c r="L67" s="38">
        <v>1.85</v>
      </c>
      <c r="M67" s="38">
        <v>0.77</v>
      </c>
      <c r="N67" s="39"/>
      <c r="O67" s="39"/>
      <c r="P67" s="39"/>
      <c r="Q67" s="39"/>
      <c r="R67" s="39"/>
      <c r="S67" s="39"/>
      <c r="T67" s="39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</row>
    <row r="68">
      <c r="A68" s="28">
        <f t="shared" si="32"/>
        <v>67</v>
      </c>
      <c r="B68" s="34">
        <v>12.0</v>
      </c>
      <c r="C68" s="29" t="s">
        <v>77</v>
      </c>
      <c r="D68" s="35" t="str">
        <f t="shared" si="30"/>
        <v>Bi et al., 2018</v>
      </c>
      <c r="E68" s="36" t="s">
        <v>392</v>
      </c>
      <c r="F68" s="36" t="s">
        <v>393</v>
      </c>
      <c r="G68" s="28" t="s">
        <v>32</v>
      </c>
      <c r="H68" s="34" t="s">
        <v>11</v>
      </c>
      <c r="I68" s="29" t="s">
        <v>149</v>
      </c>
      <c r="J68" s="34" t="s">
        <v>173</v>
      </c>
      <c r="K68" s="29">
        <v>62.0</v>
      </c>
      <c r="L68" s="40">
        <v>0.0</v>
      </c>
      <c r="M68" s="41">
        <f t="shared" ref="M68:M69" si="33">iferror(P_SD(K68,L68),"")</f>
        <v>0.0635000635</v>
      </c>
      <c r="N68" s="39"/>
      <c r="O68" s="39"/>
      <c r="P68" s="39"/>
      <c r="Q68" s="39"/>
      <c r="R68" s="39"/>
      <c r="S68" s="39"/>
      <c r="T68" s="39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</row>
    <row r="69">
      <c r="A69" s="28">
        <v>66.0</v>
      </c>
      <c r="B69" s="34">
        <v>12.0</v>
      </c>
      <c r="C69" s="39"/>
      <c r="D69" s="35" t="str">
        <f t="shared" si="30"/>
        <v>Bi et al., 2018</v>
      </c>
      <c r="E69" s="36" t="s">
        <v>392</v>
      </c>
      <c r="F69" s="36" t="s">
        <v>393</v>
      </c>
      <c r="G69" s="28" t="s">
        <v>102</v>
      </c>
      <c r="H69" s="34" t="s">
        <v>11</v>
      </c>
      <c r="I69" s="29" t="s">
        <v>149</v>
      </c>
      <c r="J69" s="34" t="s">
        <v>308</v>
      </c>
      <c r="K69" s="39"/>
      <c r="L69" s="43"/>
      <c r="M69" s="41" t="str">
        <f t="shared" si="33"/>
        <v/>
      </c>
      <c r="N69" s="39"/>
      <c r="O69" s="39"/>
      <c r="P69" s="39"/>
      <c r="Q69" s="39"/>
      <c r="R69" s="39"/>
      <c r="S69" s="39"/>
      <c r="T69" s="39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</row>
    <row r="70">
      <c r="A70" s="28" t="str">
        <f t="shared" ref="A70:A99" si="34">if(G70="Included",row(A70)-1,"")</f>
        <v/>
      </c>
      <c r="B70" s="34">
        <v>13.0</v>
      </c>
      <c r="C70" s="29" t="s">
        <v>77</v>
      </c>
      <c r="D70" s="35" t="str">
        <f t="shared" ref="D70:D81" si="35">HYPERLINK("https://github.com/d-wkim/phd/blob/main/data/pdf/björnsson_2016.pdf","Björnsson et al., 2016")</f>
        <v>Björnsson et al., 2016</v>
      </c>
      <c r="E70" s="28" t="s">
        <v>413</v>
      </c>
      <c r="F70" s="28" t="s">
        <v>414</v>
      </c>
      <c r="G70" s="28" t="s">
        <v>102</v>
      </c>
      <c r="H70" s="34" t="s">
        <v>2</v>
      </c>
      <c r="I70" s="29" t="s">
        <v>92</v>
      </c>
      <c r="J70" s="34" t="s">
        <v>185</v>
      </c>
      <c r="K70" s="29"/>
      <c r="L70" s="38"/>
      <c r="M70" s="38"/>
      <c r="N70" s="52"/>
      <c r="O70" s="39"/>
      <c r="P70" s="39"/>
      <c r="Q70" s="39"/>
      <c r="R70" s="39"/>
      <c r="S70" s="39"/>
      <c r="T70" s="39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</row>
    <row r="71">
      <c r="A71" s="28">
        <f t="shared" si="34"/>
        <v>70</v>
      </c>
      <c r="B71" s="28">
        <v>13.0</v>
      </c>
      <c r="C71" s="29" t="s">
        <v>77</v>
      </c>
      <c r="D71" s="35" t="str">
        <f t="shared" si="35"/>
        <v>Björnsson et al., 2016</v>
      </c>
      <c r="E71" s="28" t="s">
        <v>413</v>
      </c>
      <c r="F71" s="28" t="s">
        <v>414</v>
      </c>
      <c r="G71" s="28" t="s">
        <v>32</v>
      </c>
      <c r="H71" s="34" t="s">
        <v>2</v>
      </c>
      <c r="I71" s="29" t="s">
        <v>149</v>
      </c>
      <c r="J71" s="28" t="s">
        <v>151</v>
      </c>
      <c r="K71" s="29">
        <v>61.0</v>
      </c>
      <c r="L71" s="40">
        <v>7.0</v>
      </c>
      <c r="M71" s="41">
        <f t="shared" ref="M71:M72" si="36">iferror(P_SD(K71,L71),"")</f>
        <v>1.084756899</v>
      </c>
      <c r="N71" s="52"/>
      <c r="O71" s="39"/>
      <c r="P71" s="39"/>
      <c r="Q71" s="39"/>
      <c r="R71" s="39"/>
      <c r="S71" s="39"/>
      <c r="T71" s="39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</row>
    <row r="72">
      <c r="A72" s="28">
        <f t="shared" si="34"/>
        <v>71</v>
      </c>
      <c r="B72" s="28">
        <v>13.0</v>
      </c>
      <c r="C72" s="29" t="s">
        <v>77</v>
      </c>
      <c r="D72" s="35" t="str">
        <f t="shared" si="35"/>
        <v>Björnsson et al., 2016</v>
      </c>
      <c r="E72" s="28" t="s">
        <v>413</v>
      </c>
      <c r="F72" s="28" t="s">
        <v>414</v>
      </c>
      <c r="G72" s="28" t="s">
        <v>32</v>
      </c>
      <c r="H72" s="34" t="s">
        <v>2</v>
      </c>
      <c r="I72" s="29" t="s">
        <v>149</v>
      </c>
      <c r="J72" s="28" t="s">
        <v>173</v>
      </c>
      <c r="K72" s="29">
        <v>61.0</v>
      </c>
      <c r="L72" s="40">
        <v>12.0</v>
      </c>
      <c r="M72" s="41">
        <f t="shared" si="36"/>
        <v>1.992410632</v>
      </c>
      <c r="N72" s="52"/>
      <c r="O72" s="39"/>
      <c r="P72" s="39"/>
      <c r="Q72" s="39"/>
      <c r="R72" s="39"/>
      <c r="S72" s="39"/>
      <c r="T72" s="39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</row>
    <row r="73">
      <c r="A73" s="28">
        <f t="shared" si="34"/>
        <v>72</v>
      </c>
      <c r="B73" s="34">
        <v>13.0</v>
      </c>
      <c r="C73" s="29" t="s">
        <v>77</v>
      </c>
      <c r="D73" s="35" t="str">
        <f t="shared" si="35"/>
        <v>Björnsson et al., 2016</v>
      </c>
      <c r="E73" s="28" t="s">
        <v>413</v>
      </c>
      <c r="F73" s="28" t="s">
        <v>414</v>
      </c>
      <c r="G73" s="28" t="s">
        <v>32</v>
      </c>
      <c r="H73" s="34" t="s">
        <v>2</v>
      </c>
      <c r="I73" s="29" t="s">
        <v>92</v>
      </c>
      <c r="J73" s="34" t="s">
        <v>220</v>
      </c>
      <c r="K73" s="29">
        <v>61.0</v>
      </c>
      <c r="L73" s="38">
        <v>67.3</v>
      </c>
      <c r="M73" s="38">
        <v>20.8</v>
      </c>
      <c r="N73" s="52"/>
      <c r="O73" s="39"/>
      <c r="P73" s="39"/>
      <c r="Q73" s="39"/>
      <c r="R73" s="39"/>
      <c r="S73" s="39"/>
      <c r="T73" s="39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</row>
    <row r="74">
      <c r="A74" s="28">
        <f t="shared" si="34"/>
        <v>73</v>
      </c>
      <c r="B74" s="34">
        <v>13.0</v>
      </c>
      <c r="C74" s="29" t="s">
        <v>77</v>
      </c>
      <c r="D74" s="35" t="str">
        <f t="shared" si="35"/>
        <v>Björnsson et al., 2016</v>
      </c>
      <c r="E74" s="28" t="s">
        <v>413</v>
      </c>
      <c r="F74" s="28" t="s">
        <v>414</v>
      </c>
      <c r="G74" s="28" t="s">
        <v>32</v>
      </c>
      <c r="H74" s="34" t="s">
        <v>2</v>
      </c>
      <c r="I74" s="29" t="s">
        <v>92</v>
      </c>
      <c r="J74" s="34" t="s">
        <v>96</v>
      </c>
      <c r="K74" s="29">
        <v>61.0</v>
      </c>
      <c r="L74" s="38">
        <v>4.1</v>
      </c>
      <c r="M74" s="38">
        <v>1.7</v>
      </c>
      <c r="N74" s="52"/>
      <c r="O74" s="39"/>
      <c r="P74" s="39"/>
      <c r="Q74" s="39"/>
      <c r="R74" s="39"/>
      <c r="S74" s="39"/>
      <c r="T74" s="39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</row>
    <row r="75">
      <c r="A75" s="28">
        <f t="shared" si="34"/>
        <v>74</v>
      </c>
      <c r="B75" s="34">
        <v>13.0</v>
      </c>
      <c r="C75" s="29" t="s">
        <v>77</v>
      </c>
      <c r="D75" s="35" t="str">
        <f t="shared" si="35"/>
        <v>Björnsson et al., 2016</v>
      </c>
      <c r="E75" s="28" t="s">
        <v>413</v>
      </c>
      <c r="F75" s="28" t="s">
        <v>414</v>
      </c>
      <c r="G75" s="28" t="s">
        <v>32</v>
      </c>
      <c r="H75" s="34" t="s">
        <v>2</v>
      </c>
      <c r="I75" s="29" t="s">
        <v>92</v>
      </c>
      <c r="J75" s="34" t="s">
        <v>226</v>
      </c>
      <c r="K75" s="29">
        <v>61.0</v>
      </c>
      <c r="L75" s="38">
        <v>79.4</v>
      </c>
      <c r="M75" s="38">
        <v>16.9</v>
      </c>
      <c r="N75" s="52"/>
      <c r="O75" s="39"/>
      <c r="P75" s="39"/>
      <c r="Q75" s="39"/>
      <c r="R75" s="39"/>
      <c r="S75" s="39"/>
      <c r="T75" s="39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</row>
    <row r="76">
      <c r="A76" s="28" t="str">
        <f t="shared" si="34"/>
        <v/>
      </c>
      <c r="B76" s="34">
        <v>13.0</v>
      </c>
      <c r="C76" s="29" t="s">
        <v>77</v>
      </c>
      <c r="D76" s="35" t="str">
        <f t="shared" si="35"/>
        <v>Björnsson et al., 2016</v>
      </c>
      <c r="E76" s="28" t="s">
        <v>413</v>
      </c>
      <c r="F76" s="28" t="s">
        <v>414</v>
      </c>
      <c r="G76" s="28" t="s">
        <v>102</v>
      </c>
      <c r="H76" s="34" t="s">
        <v>9</v>
      </c>
      <c r="I76" s="29" t="s">
        <v>92</v>
      </c>
      <c r="J76" s="34" t="s">
        <v>185</v>
      </c>
      <c r="K76" s="29"/>
      <c r="L76" s="41"/>
      <c r="M76" s="38"/>
      <c r="N76" s="52"/>
      <c r="O76" s="39"/>
      <c r="P76" s="39"/>
      <c r="Q76" s="39"/>
      <c r="R76" s="39"/>
      <c r="S76" s="39"/>
      <c r="T76" s="39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</row>
    <row r="77">
      <c r="A77" s="28">
        <f t="shared" si="34"/>
        <v>76</v>
      </c>
      <c r="B77" s="28">
        <v>13.0</v>
      </c>
      <c r="C77" s="29" t="s">
        <v>77</v>
      </c>
      <c r="D77" s="35" t="str">
        <f t="shared" si="35"/>
        <v>Björnsson et al., 2016</v>
      </c>
      <c r="E77" s="28" t="s">
        <v>413</v>
      </c>
      <c r="F77" s="28" t="s">
        <v>414</v>
      </c>
      <c r="G77" s="28" t="s">
        <v>32</v>
      </c>
      <c r="H77" s="34" t="s">
        <v>9</v>
      </c>
      <c r="I77" s="29" t="s">
        <v>149</v>
      </c>
      <c r="J77" s="28" t="s">
        <v>151</v>
      </c>
      <c r="K77" s="29">
        <v>86.0</v>
      </c>
      <c r="L77" s="40">
        <v>20.0</v>
      </c>
      <c r="M77" s="41">
        <f t="shared" ref="M77:M78" si="37">iferror(P_SD(K77,L77),"")</f>
        <v>2.880442108</v>
      </c>
      <c r="N77" s="52"/>
      <c r="O77" s="39"/>
      <c r="P77" s="39"/>
      <c r="Q77" s="39"/>
      <c r="R77" s="39"/>
      <c r="S77" s="39"/>
      <c r="T77" s="39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</row>
    <row r="78">
      <c r="A78" s="28">
        <f t="shared" si="34"/>
        <v>77</v>
      </c>
      <c r="B78" s="28">
        <v>13.0</v>
      </c>
      <c r="C78" s="29" t="s">
        <v>77</v>
      </c>
      <c r="D78" s="35" t="str">
        <f t="shared" si="35"/>
        <v>Björnsson et al., 2016</v>
      </c>
      <c r="E78" s="28" t="s">
        <v>413</v>
      </c>
      <c r="F78" s="28" t="s">
        <v>414</v>
      </c>
      <c r="G78" s="28" t="s">
        <v>32</v>
      </c>
      <c r="H78" s="34" t="s">
        <v>9</v>
      </c>
      <c r="I78" s="29" t="s">
        <v>149</v>
      </c>
      <c r="J78" s="28" t="s">
        <v>173</v>
      </c>
      <c r="K78" s="29">
        <v>86.0</v>
      </c>
      <c r="L78" s="40">
        <v>13.0</v>
      </c>
      <c r="M78" s="41">
        <f t="shared" si="37"/>
        <v>1.714984242</v>
      </c>
      <c r="N78" s="52"/>
      <c r="O78" s="39"/>
      <c r="P78" s="39"/>
      <c r="Q78" s="39"/>
      <c r="R78" s="39"/>
      <c r="S78" s="39"/>
      <c r="T78" s="39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</row>
    <row r="79">
      <c r="A79" s="28">
        <f t="shared" si="34"/>
        <v>78</v>
      </c>
      <c r="B79" s="34">
        <v>13.0</v>
      </c>
      <c r="C79" s="29" t="s">
        <v>77</v>
      </c>
      <c r="D79" s="35" t="str">
        <f t="shared" si="35"/>
        <v>Björnsson et al., 2016</v>
      </c>
      <c r="E79" s="28" t="s">
        <v>413</v>
      </c>
      <c r="F79" s="28" t="s">
        <v>414</v>
      </c>
      <c r="G79" s="28" t="s">
        <v>32</v>
      </c>
      <c r="H79" s="34" t="s">
        <v>9</v>
      </c>
      <c r="I79" s="29" t="s">
        <v>92</v>
      </c>
      <c r="J79" s="34" t="s">
        <v>220</v>
      </c>
      <c r="K79" s="29">
        <v>86.0</v>
      </c>
      <c r="L79" s="38">
        <v>74.0</v>
      </c>
      <c r="M79" s="38">
        <v>18.8</v>
      </c>
      <c r="N79" s="52"/>
      <c r="O79" s="39"/>
      <c r="P79" s="39"/>
      <c r="Q79" s="39"/>
      <c r="R79" s="39"/>
      <c r="S79" s="39"/>
      <c r="T79" s="39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</row>
    <row r="80">
      <c r="A80" s="28">
        <f t="shared" si="34"/>
        <v>79</v>
      </c>
      <c r="B80" s="34">
        <v>13.0</v>
      </c>
      <c r="C80" s="29" t="s">
        <v>77</v>
      </c>
      <c r="D80" s="35" t="str">
        <f t="shared" si="35"/>
        <v>Björnsson et al., 2016</v>
      </c>
      <c r="E80" s="28" t="s">
        <v>413</v>
      </c>
      <c r="F80" s="28" t="s">
        <v>414</v>
      </c>
      <c r="G80" s="28" t="s">
        <v>32</v>
      </c>
      <c r="H80" s="34" t="s">
        <v>9</v>
      </c>
      <c r="I80" s="29" t="s">
        <v>92</v>
      </c>
      <c r="J80" s="34" t="s">
        <v>96</v>
      </c>
      <c r="K80" s="29">
        <v>86.0</v>
      </c>
      <c r="L80" s="38">
        <v>4.0</v>
      </c>
      <c r="M80" s="38">
        <v>1.7</v>
      </c>
      <c r="N80" s="52"/>
      <c r="O80" s="39"/>
      <c r="P80" s="39"/>
      <c r="Q80" s="39"/>
      <c r="R80" s="39"/>
      <c r="S80" s="39"/>
      <c r="T80" s="39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</row>
    <row r="81">
      <c r="A81" s="28">
        <f t="shared" si="34"/>
        <v>80</v>
      </c>
      <c r="B81" s="34">
        <v>13.0</v>
      </c>
      <c r="C81" s="29" t="s">
        <v>77</v>
      </c>
      <c r="D81" s="35" t="str">
        <f t="shared" si="35"/>
        <v>Björnsson et al., 2016</v>
      </c>
      <c r="E81" s="28" t="s">
        <v>413</v>
      </c>
      <c r="F81" s="28" t="s">
        <v>414</v>
      </c>
      <c r="G81" s="28" t="s">
        <v>32</v>
      </c>
      <c r="H81" s="34" t="s">
        <v>9</v>
      </c>
      <c r="I81" s="29" t="s">
        <v>92</v>
      </c>
      <c r="J81" s="34" t="s">
        <v>226</v>
      </c>
      <c r="K81" s="29">
        <v>86.0</v>
      </c>
      <c r="L81" s="38">
        <v>80.7</v>
      </c>
      <c r="M81" s="38">
        <v>15.3</v>
      </c>
      <c r="N81" s="52"/>
      <c r="O81" s="39"/>
      <c r="P81" s="39"/>
      <c r="Q81" s="39"/>
      <c r="R81" s="39"/>
      <c r="S81" s="39"/>
      <c r="T81" s="39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</row>
    <row r="82">
      <c r="A82" s="28">
        <f t="shared" si="34"/>
        <v>81</v>
      </c>
      <c r="B82" s="34">
        <v>14.0</v>
      </c>
      <c r="C82" s="29" t="s">
        <v>77</v>
      </c>
      <c r="D82" s="35" t="str">
        <f t="shared" ref="D82:D85" si="38">HYPERLINK("https://github.com/d-wkim/phd/blob/main/data/pdf/bottoni_2015.pdf","Bottoni et al., 2015")</f>
        <v>Bottoni et al., 2015</v>
      </c>
      <c r="E82" s="36" t="s">
        <v>443</v>
      </c>
      <c r="F82" s="36" t="s">
        <v>445</v>
      </c>
      <c r="G82" s="28" t="s">
        <v>32</v>
      </c>
      <c r="H82" s="34" t="s">
        <v>9</v>
      </c>
      <c r="I82" s="29" t="s">
        <v>92</v>
      </c>
      <c r="J82" s="34" t="s">
        <v>220</v>
      </c>
      <c r="K82" s="29">
        <v>44.0</v>
      </c>
      <c r="L82" s="38">
        <v>79.5</v>
      </c>
      <c r="M82" s="38">
        <v>24.7</v>
      </c>
      <c r="N82" s="52"/>
      <c r="O82" s="39"/>
      <c r="P82" s="39"/>
      <c r="Q82" s="39"/>
      <c r="R82" s="39"/>
      <c r="S82" s="39"/>
      <c r="T82" s="39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</row>
    <row r="83">
      <c r="A83" s="28">
        <f t="shared" si="34"/>
        <v>82</v>
      </c>
      <c r="B83" s="34">
        <v>14.0</v>
      </c>
      <c r="C83" s="29" t="s">
        <v>77</v>
      </c>
      <c r="D83" s="35" t="str">
        <f t="shared" si="38"/>
        <v>Bottoni et al., 2015</v>
      </c>
      <c r="E83" s="36" t="s">
        <v>443</v>
      </c>
      <c r="F83" s="36" t="s">
        <v>445</v>
      </c>
      <c r="G83" s="28" t="s">
        <v>32</v>
      </c>
      <c r="H83" s="34" t="s">
        <v>9</v>
      </c>
      <c r="I83" s="29" t="s">
        <v>92</v>
      </c>
      <c r="J83" s="34" t="s">
        <v>96</v>
      </c>
      <c r="K83" s="29">
        <v>44.0</v>
      </c>
      <c r="L83" s="38">
        <v>5.1</v>
      </c>
      <c r="M83" s="38">
        <v>2.2</v>
      </c>
      <c r="N83" s="52"/>
      <c r="O83" s="39"/>
      <c r="P83" s="39"/>
      <c r="Q83" s="39"/>
      <c r="R83" s="39"/>
      <c r="S83" s="39"/>
      <c r="T83" s="39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</row>
    <row r="84">
      <c r="A84" s="28">
        <f t="shared" si="34"/>
        <v>83</v>
      </c>
      <c r="B84" s="34">
        <v>14.0</v>
      </c>
      <c r="C84" s="29" t="s">
        <v>77</v>
      </c>
      <c r="D84" s="35" t="str">
        <f t="shared" si="38"/>
        <v>Bottoni et al., 2015</v>
      </c>
      <c r="E84" s="36" t="s">
        <v>443</v>
      </c>
      <c r="F84" s="36" t="s">
        <v>445</v>
      </c>
      <c r="G84" s="28" t="s">
        <v>32</v>
      </c>
      <c r="H84" s="34" t="s">
        <v>13</v>
      </c>
      <c r="I84" s="29" t="s">
        <v>92</v>
      </c>
      <c r="J84" s="34" t="s">
        <v>220</v>
      </c>
      <c r="K84" s="29">
        <v>36.0</v>
      </c>
      <c r="L84" s="38">
        <v>81.1</v>
      </c>
      <c r="M84" s="38">
        <v>23.1</v>
      </c>
      <c r="N84" s="52"/>
      <c r="O84" s="39"/>
      <c r="P84" s="39"/>
      <c r="Q84" s="39"/>
      <c r="R84" s="39"/>
      <c r="S84" s="39"/>
      <c r="T84" s="39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</row>
    <row r="85">
      <c r="A85" s="28">
        <f t="shared" si="34"/>
        <v>84</v>
      </c>
      <c r="B85" s="34">
        <v>14.0</v>
      </c>
      <c r="C85" s="29" t="s">
        <v>77</v>
      </c>
      <c r="D85" s="35" t="str">
        <f t="shared" si="38"/>
        <v>Bottoni et al., 2015</v>
      </c>
      <c r="E85" s="36" t="s">
        <v>443</v>
      </c>
      <c r="F85" s="36" t="s">
        <v>445</v>
      </c>
      <c r="G85" s="28" t="s">
        <v>32</v>
      </c>
      <c r="H85" s="34" t="s">
        <v>13</v>
      </c>
      <c r="I85" s="29" t="s">
        <v>92</v>
      </c>
      <c r="J85" s="34" t="s">
        <v>96</v>
      </c>
      <c r="K85" s="29">
        <v>36.0</v>
      </c>
      <c r="L85" s="38">
        <v>5.1</v>
      </c>
      <c r="M85" s="38">
        <v>2.0</v>
      </c>
      <c r="N85" s="52"/>
      <c r="O85" s="39"/>
      <c r="P85" s="39"/>
      <c r="Q85" s="39"/>
      <c r="R85" s="39"/>
      <c r="S85" s="39"/>
      <c r="T85" s="39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</row>
    <row r="86">
      <c r="A86" s="28" t="str">
        <f t="shared" si="34"/>
        <v/>
      </c>
      <c r="B86" s="34">
        <v>16.0</v>
      </c>
      <c r="C86" s="29" t="s">
        <v>77</v>
      </c>
      <c r="D86" s="35" t="str">
        <f t="shared" ref="D86:D87" si="39">HYPERLINK("https://github.com/d-wkim/phd/blob/main/data/pdf/breker_2025.pdf","Breker et al., 2025")</f>
        <v>Breker et al., 2025</v>
      </c>
      <c r="E86" s="36" t="s">
        <v>451</v>
      </c>
      <c r="F86" s="36" t="s">
        <v>453</v>
      </c>
      <c r="G86" s="28" t="s">
        <v>102</v>
      </c>
      <c r="H86" s="34" t="s">
        <v>2</v>
      </c>
      <c r="I86" s="29" t="s">
        <v>92</v>
      </c>
      <c r="J86" s="34" t="s">
        <v>185</v>
      </c>
      <c r="K86" s="39"/>
      <c r="L86" s="41"/>
      <c r="M86" s="38"/>
      <c r="N86" s="39"/>
      <c r="O86" s="39"/>
      <c r="P86" s="39"/>
      <c r="Q86" s="39"/>
      <c r="R86" s="39"/>
      <c r="S86" s="39"/>
      <c r="T86" s="39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</row>
    <row r="87">
      <c r="A87" s="28" t="str">
        <f t="shared" si="34"/>
        <v/>
      </c>
      <c r="B87" s="34">
        <v>16.0</v>
      </c>
      <c r="C87" s="29" t="s">
        <v>77</v>
      </c>
      <c r="D87" s="35" t="str">
        <f t="shared" si="39"/>
        <v>Breker et al., 2025</v>
      </c>
      <c r="E87" s="36" t="s">
        <v>451</v>
      </c>
      <c r="F87" s="36" t="s">
        <v>453</v>
      </c>
      <c r="G87" s="28" t="s">
        <v>102</v>
      </c>
      <c r="H87" s="34" t="s">
        <v>9</v>
      </c>
      <c r="I87" s="29" t="s">
        <v>92</v>
      </c>
      <c r="J87" s="34" t="s">
        <v>185</v>
      </c>
      <c r="K87" s="39"/>
      <c r="L87" s="41"/>
      <c r="M87" s="38"/>
      <c r="N87" s="39"/>
      <c r="O87" s="39"/>
      <c r="P87" s="39"/>
      <c r="Q87" s="39"/>
      <c r="R87" s="39"/>
      <c r="S87" s="39"/>
      <c r="T87" s="39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</row>
    <row r="88">
      <c r="A88" s="28">
        <f t="shared" si="34"/>
        <v>87</v>
      </c>
      <c r="B88" s="34">
        <v>18.0</v>
      </c>
      <c r="C88" s="29" t="s">
        <v>77</v>
      </c>
      <c r="D88" s="35" t="str">
        <f t="shared" ref="D88:D95" si="40">HYPERLINK("https://github.com/d-wkim/phd/blob/main/data/pdf/butt_2024.pdf","Butt et al., 2024")</f>
        <v>Butt et al., 2024</v>
      </c>
      <c r="E88" s="36" t="s">
        <v>458</v>
      </c>
      <c r="F88" s="36" t="s">
        <v>459</v>
      </c>
      <c r="G88" s="28" t="s">
        <v>32</v>
      </c>
      <c r="H88" s="34" t="s">
        <v>9</v>
      </c>
      <c r="I88" s="29" t="s">
        <v>92</v>
      </c>
      <c r="J88" s="34" t="s">
        <v>226</v>
      </c>
      <c r="K88" s="29">
        <v>30.0</v>
      </c>
      <c r="L88" s="38">
        <v>95.1</v>
      </c>
      <c r="M88" s="38">
        <v>5.2</v>
      </c>
      <c r="N88" s="39"/>
      <c r="O88" s="39"/>
      <c r="P88" s="39"/>
      <c r="Q88" s="39"/>
      <c r="R88" s="39"/>
      <c r="S88" s="39"/>
      <c r="T88" s="39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</row>
    <row r="89">
      <c r="A89" s="28">
        <f t="shared" si="34"/>
        <v>88</v>
      </c>
      <c r="B89" s="34">
        <v>18.0</v>
      </c>
      <c r="C89" s="29" t="s">
        <v>77</v>
      </c>
      <c r="D89" s="35" t="str">
        <f t="shared" si="40"/>
        <v>Butt et al., 2024</v>
      </c>
      <c r="E89" s="36" t="s">
        <v>458</v>
      </c>
      <c r="F89" s="36" t="s">
        <v>459</v>
      </c>
      <c r="G89" s="28" t="s">
        <v>32</v>
      </c>
      <c r="H89" s="34" t="s">
        <v>9</v>
      </c>
      <c r="I89" s="29" t="s">
        <v>92</v>
      </c>
      <c r="J89" s="34" t="s">
        <v>220</v>
      </c>
      <c r="K89" s="29">
        <v>30.0</v>
      </c>
      <c r="L89" s="38">
        <v>89.7</v>
      </c>
      <c r="M89" s="38">
        <v>5.7</v>
      </c>
      <c r="N89" s="39"/>
      <c r="O89" s="39"/>
      <c r="P89" s="39"/>
      <c r="Q89" s="39"/>
      <c r="R89" s="39"/>
      <c r="S89" s="39"/>
      <c r="T89" s="39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</row>
    <row r="90">
      <c r="A90" s="28" t="str">
        <f t="shared" si="34"/>
        <v/>
      </c>
      <c r="B90" s="34">
        <v>18.0</v>
      </c>
      <c r="C90" s="29" t="s">
        <v>77</v>
      </c>
      <c r="D90" s="35" t="str">
        <f t="shared" si="40"/>
        <v>Butt et al., 2024</v>
      </c>
      <c r="E90" s="36" t="s">
        <v>458</v>
      </c>
      <c r="F90" s="36" t="s">
        <v>459</v>
      </c>
      <c r="G90" s="28" t="s">
        <v>102</v>
      </c>
      <c r="H90" s="34" t="s">
        <v>9</v>
      </c>
      <c r="I90" s="29" t="s">
        <v>149</v>
      </c>
      <c r="J90" s="34" t="s">
        <v>151</v>
      </c>
      <c r="K90" s="29"/>
      <c r="L90" s="43"/>
      <c r="M90" s="41" t="str">
        <f t="shared" ref="M90:M91" si="41">iferror(P_SD(K90,L90),"")</f>
        <v/>
      </c>
      <c r="N90" s="39"/>
      <c r="O90" s="39"/>
      <c r="P90" s="39"/>
      <c r="Q90" s="39"/>
      <c r="R90" s="39"/>
      <c r="S90" s="39"/>
      <c r="T90" s="39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</row>
    <row r="91">
      <c r="A91" s="28" t="str">
        <f t="shared" si="34"/>
        <v/>
      </c>
      <c r="B91" s="34">
        <v>18.0</v>
      </c>
      <c r="C91" s="29" t="s">
        <v>77</v>
      </c>
      <c r="D91" s="35" t="str">
        <f t="shared" si="40"/>
        <v>Butt et al., 2024</v>
      </c>
      <c r="E91" s="36" t="s">
        <v>458</v>
      </c>
      <c r="F91" s="36" t="s">
        <v>459</v>
      </c>
      <c r="G91" s="28" t="s">
        <v>102</v>
      </c>
      <c r="H91" s="34" t="s">
        <v>9</v>
      </c>
      <c r="I91" s="29" t="s">
        <v>149</v>
      </c>
      <c r="J91" s="34" t="s">
        <v>173</v>
      </c>
      <c r="K91" s="29"/>
      <c r="L91" s="43"/>
      <c r="M91" s="41" t="str">
        <f t="shared" si="41"/>
        <v/>
      </c>
      <c r="N91" s="39"/>
      <c r="O91" s="39"/>
      <c r="P91" s="39"/>
      <c r="Q91" s="39"/>
      <c r="R91" s="39"/>
      <c r="S91" s="39"/>
      <c r="T91" s="39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</row>
    <row r="92">
      <c r="A92" s="28">
        <f t="shared" si="34"/>
        <v>91</v>
      </c>
      <c r="B92" s="34">
        <v>18.0</v>
      </c>
      <c r="C92" s="29" t="s">
        <v>77</v>
      </c>
      <c r="D92" s="35" t="str">
        <f t="shared" si="40"/>
        <v>Butt et al., 2024</v>
      </c>
      <c r="E92" s="36" t="s">
        <v>458</v>
      </c>
      <c r="F92" s="36" t="s">
        <v>459</v>
      </c>
      <c r="G92" s="28" t="s">
        <v>32</v>
      </c>
      <c r="H92" s="34" t="s">
        <v>11</v>
      </c>
      <c r="I92" s="29" t="s">
        <v>92</v>
      </c>
      <c r="J92" s="34" t="s">
        <v>226</v>
      </c>
      <c r="K92" s="29">
        <v>30.0</v>
      </c>
      <c r="L92" s="38">
        <v>94.5</v>
      </c>
      <c r="M92" s="38">
        <v>6.4</v>
      </c>
      <c r="N92" s="39"/>
      <c r="O92" s="39"/>
      <c r="P92" s="39"/>
      <c r="Q92" s="39"/>
      <c r="R92" s="39"/>
      <c r="S92" s="39"/>
      <c r="T92" s="39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</row>
    <row r="93">
      <c r="A93" s="28">
        <f t="shared" si="34"/>
        <v>92</v>
      </c>
      <c r="B93" s="34">
        <v>18.0</v>
      </c>
      <c r="C93" s="29" t="s">
        <v>77</v>
      </c>
      <c r="D93" s="35" t="str">
        <f t="shared" si="40"/>
        <v>Butt et al., 2024</v>
      </c>
      <c r="E93" s="36" t="s">
        <v>458</v>
      </c>
      <c r="F93" s="36" t="s">
        <v>459</v>
      </c>
      <c r="G93" s="28" t="s">
        <v>32</v>
      </c>
      <c r="H93" s="34" t="s">
        <v>11</v>
      </c>
      <c r="I93" s="29" t="s">
        <v>92</v>
      </c>
      <c r="J93" s="34" t="s">
        <v>220</v>
      </c>
      <c r="K93" s="29">
        <v>30.0</v>
      </c>
      <c r="L93" s="38">
        <v>89.9</v>
      </c>
      <c r="M93" s="38">
        <v>9.8</v>
      </c>
      <c r="N93" s="39"/>
      <c r="O93" s="39"/>
      <c r="P93" s="39"/>
      <c r="Q93" s="39"/>
      <c r="R93" s="39"/>
      <c r="S93" s="39"/>
      <c r="T93" s="39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</row>
    <row r="94">
      <c r="A94" s="28" t="str">
        <f t="shared" si="34"/>
        <v/>
      </c>
      <c r="B94" s="34">
        <v>18.0</v>
      </c>
      <c r="C94" s="29" t="s">
        <v>77</v>
      </c>
      <c r="D94" s="35" t="str">
        <f t="shared" si="40"/>
        <v>Butt et al., 2024</v>
      </c>
      <c r="E94" s="36" t="s">
        <v>458</v>
      </c>
      <c r="F94" s="36" t="s">
        <v>459</v>
      </c>
      <c r="G94" s="28" t="s">
        <v>102</v>
      </c>
      <c r="H94" s="34" t="s">
        <v>11</v>
      </c>
      <c r="I94" s="29" t="s">
        <v>149</v>
      </c>
      <c r="J94" s="34" t="s">
        <v>151</v>
      </c>
      <c r="K94" s="29"/>
      <c r="L94" s="43"/>
      <c r="M94" s="41" t="str">
        <f t="shared" ref="M94:M95" si="42">iferror(P_SD(K94,L94),"")</f>
        <v/>
      </c>
      <c r="N94" s="39"/>
      <c r="O94" s="39"/>
      <c r="P94" s="39"/>
      <c r="Q94" s="39"/>
      <c r="R94" s="39"/>
      <c r="S94" s="39"/>
      <c r="T94" s="39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</row>
    <row r="95">
      <c r="A95" s="28" t="str">
        <f t="shared" si="34"/>
        <v/>
      </c>
      <c r="B95" s="34">
        <v>18.0</v>
      </c>
      <c r="C95" s="29" t="s">
        <v>77</v>
      </c>
      <c r="D95" s="35" t="str">
        <f t="shared" si="40"/>
        <v>Butt et al., 2024</v>
      </c>
      <c r="E95" s="36" t="s">
        <v>458</v>
      </c>
      <c r="F95" s="36" t="s">
        <v>459</v>
      </c>
      <c r="G95" s="28" t="s">
        <v>102</v>
      </c>
      <c r="H95" s="34" t="s">
        <v>11</v>
      </c>
      <c r="I95" s="29" t="s">
        <v>149</v>
      </c>
      <c r="J95" s="34" t="s">
        <v>173</v>
      </c>
      <c r="K95" s="29"/>
      <c r="L95" s="43"/>
      <c r="M95" s="41" t="str">
        <f t="shared" si="42"/>
        <v/>
      </c>
      <c r="N95" s="39"/>
      <c r="O95" s="39"/>
      <c r="P95" s="39"/>
      <c r="Q95" s="39"/>
      <c r="R95" s="39"/>
      <c r="S95" s="39"/>
      <c r="T95" s="39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</row>
    <row r="96">
      <c r="A96" s="28">
        <f t="shared" si="34"/>
        <v>95</v>
      </c>
      <c r="B96" s="34">
        <v>19.0</v>
      </c>
      <c r="C96" s="29" t="s">
        <v>77</v>
      </c>
      <c r="D96" s="35" t="str">
        <f t="shared" ref="D96:D99" si="43">HYPERLINK("https://github.com/d-wkim/phd/blob/main/data/pdf/calvert_2025.pdf","Calvert et al., 2025")</f>
        <v>Calvert et al., 2025</v>
      </c>
      <c r="E96" s="36" t="s">
        <v>484</v>
      </c>
      <c r="F96" s="36" t="s">
        <v>486</v>
      </c>
      <c r="G96" s="28" t="s">
        <v>32</v>
      </c>
      <c r="H96" s="34" t="s">
        <v>9</v>
      </c>
      <c r="I96" s="29" t="s">
        <v>92</v>
      </c>
      <c r="J96" s="34" t="s">
        <v>220</v>
      </c>
      <c r="K96" s="29">
        <v>92.0</v>
      </c>
      <c r="L96" s="38">
        <v>92.0</v>
      </c>
      <c r="M96" s="38">
        <v>8.0</v>
      </c>
      <c r="N96" s="39"/>
      <c r="O96" s="39"/>
      <c r="P96" s="39"/>
      <c r="Q96" s="39"/>
      <c r="R96" s="39"/>
      <c r="S96" s="39"/>
      <c r="T96" s="39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</row>
    <row r="97">
      <c r="A97" s="28">
        <f t="shared" si="34"/>
        <v>96</v>
      </c>
      <c r="B97" s="34">
        <v>19.0</v>
      </c>
      <c r="C97" s="29" t="s">
        <v>77</v>
      </c>
      <c r="D97" s="35" t="str">
        <f t="shared" si="43"/>
        <v>Calvert et al., 2025</v>
      </c>
      <c r="E97" s="36" t="s">
        <v>484</v>
      </c>
      <c r="F97" s="36" t="s">
        <v>486</v>
      </c>
      <c r="G97" s="28" t="s">
        <v>32</v>
      </c>
      <c r="H97" s="34" t="s">
        <v>9</v>
      </c>
      <c r="I97" s="29" t="s">
        <v>92</v>
      </c>
      <c r="J97" s="28" t="s">
        <v>226</v>
      </c>
      <c r="K97" s="29">
        <v>92.0</v>
      </c>
      <c r="L97" s="38">
        <v>94.0</v>
      </c>
      <c r="M97" s="29">
        <v>7.0</v>
      </c>
      <c r="N97" s="39"/>
      <c r="O97" s="39"/>
      <c r="P97" s="39"/>
      <c r="Q97" s="39"/>
      <c r="R97" s="39"/>
      <c r="S97" s="39"/>
      <c r="T97" s="39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</row>
    <row r="98">
      <c r="A98" s="28">
        <f t="shared" si="34"/>
        <v>97</v>
      </c>
      <c r="B98" s="34">
        <v>19.0</v>
      </c>
      <c r="C98" s="29" t="s">
        <v>77</v>
      </c>
      <c r="D98" s="35" t="str">
        <f t="shared" si="43"/>
        <v>Calvert et al., 2025</v>
      </c>
      <c r="E98" s="36" t="s">
        <v>484</v>
      </c>
      <c r="F98" s="36" t="s">
        <v>486</v>
      </c>
      <c r="G98" s="28" t="s">
        <v>32</v>
      </c>
      <c r="H98" s="34" t="s">
        <v>10</v>
      </c>
      <c r="I98" s="29" t="s">
        <v>92</v>
      </c>
      <c r="J98" s="34" t="s">
        <v>220</v>
      </c>
      <c r="K98" s="29">
        <v>89.0</v>
      </c>
      <c r="L98" s="38">
        <v>89.0</v>
      </c>
      <c r="M98" s="38">
        <v>10.0</v>
      </c>
      <c r="N98" s="39"/>
      <c r="O98" s="39"/>
      <c r="P98" s="39"/>
      <c r="Q98" s="39"/>
      <c r="R98" s="39"/>
      <c r="S98" s="39"/>
      <c r="T98" s="39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</row>
    <row r="99">
      <c r="A99" s="28">
        <f t="shared" si="34"/>
        <v>98</v>
      </c>
      <c r="B99" s="34">
        <v>19.0</v>
      </c>
      <c r="C99" s="29" t="s">
        <v>77</v>
      </c>
      <c r="D99" s="35" t="str">
        <f t="shared" si="43"/>
        <v>Calvert et al., 2025</v>
      </c>
      <c r="E99" s="36" t="s">
        <v>484</v>
      </c>
      <c r="F99" s="36" t="s">
        <v>486</v>
      </c>
      <c r="G99" s="28" t="s">
        <v>32</v>
      </c>
      <c r="H99" s="34" t="s">
        <v>10</v>
      </c>
      <c r="I99" s="29" t="s">
        <v>92</v>
      </c>
      <c r="J99" s="28" t="s">
        <v>226</v>
      </c>
      <c r="K99" s="29">
        <v>89.0</v>
      </c>
      <c r="L99" s="38">
        <v>93.0</v>
      </c>
      <c r="M99" s="38">
        <v>8.0</v>
      </c>
      <c r="N99" s="39"/>
      <c r="O99" s="39"/>
      <c r="P99" s="39"/>
      <c r="Q99" s="39"/>
      <c r="R99" s="39"/>
      <c r="S99" s="39"/>
      <c r="T99" s="39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</row>
    <row r="100">
      <c r="A100" s="28">
        <v>93.0</v>
      </c>
      <c r="B100" s="34">
        <v>22.0</v>
      </c>
      <c r="C100" s="39"/>
      <c r="D100" s="35" t="str">
        <f t="shared" ref="D100:D101" si="44">HYPERLINK("https://github.com/d-wkim/phd/blob/main/data/pdf/cruz_2022.pdf","Cruz et al., 2022")</f>
        <v>Cruz et al., 2022</v>
      </c>
      <c r="E100" s="36" t="s">
        <v>489</v>
      </c>
      <c r="F100" s="36" t="s">
        <v>490</v>
      </c>
      <c r="G100" s="28" t="s">
        <v>32</v>
      </c>
      <c r="H100" s="34" t="s">
        <v>9</v>
      </c>
      <c r="I100" s="29" t="s">
        <v>149</v>
      </c>
      <c r="J100" s="34" t="s">
        <v>308</v>
      </c>
      <c r="K100" s="39"/>
      <c r="L100" s="43"/>
      <c r="M100" s="41" t="str">
        <f t="shared" ref="M100:M101" si="45">iferror(P_SD(K100,L100),"")</f>
        <v/>
      </c>
      <c r="N100" s="39"/>
      <c r="O100" s="39"/>
      <c r="P100" s="39"/>
      <c r="Q100" s="39"/>
      <c r="R100" s="39"/>
      <c r="S100" s="39"/>
      <c r="T100" s="39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</row>
    <row r="101">
      <c r="A101" s="28">
        <v>94.0</v>
      </c>
      <c r="B101" s="34">
        <v>22.0</v>
      </c>
      <c r="C101" s="39"/>
      <c r="D101" s="35" t="str">
        <f t="shared" si="44"/>
        <v>Cruz et al., 2022</v>
      </c>
      <c r="E101" s="36" t="s">
        <v>489</v>
      </c>
      <c r="F101" s="36" t="s">
        <v>490</v>
      </c>
      <c r="G101" s="28" t="s">
        <v>32</v>
      </c>
      <c r="H101" s="34" t="s">
        <v>13</v>
      </c>
      <c r="I101" s="29" t="s">
        <v>149</v>
      </c>
      <c r="J101" s="34" t="s">
        <v>308</v>
      </c>
      <c r="K101" s="39"/>
      <c r="L101" s="43"/>
      <c r="M101" s="41" t="str">
        <f t="shared" si="45"/>
        <v/>
      </c>
      <c r="N101" s="39"/>
      <c r="O101" s="39"/>
      <c r="P101" s="39"/>
      <c r="Q101" s="39"/>
      <c r="R101" s="39"/>
      <c r="S101" s="39"/>
      <c r="T101" s="39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</row>
    <row r="102">
      <c r="A102" s="28">
        <f t="shared" ref="A102:A149" si="46">if(G102="Included",row(A102)-1,"")</f>
        <v>101</v>
      </c>
      <c r="B102" s="34">
        <v>23.0</v>
      </c>
      <c r="C102" s="29" t="s">
        <v>77</v>
      </c>
      <c r="D102" s="35" t="str">
        <f t="shared" ref="D102:D109" si="47">HYPERLINK("https://github.com/d-wkim/phd/blob/main/data/pdf/ejerhed_2003.pdf","Ejerhed et al., 2003")</f>
        <v>Ejerhed et al., 2003</v>
      </c>
      <c r="E102" s="36" t="s">
        <v>492</v>
      </c>
      <c r="F102" s="36" t="s">
        <v>493</v>
      </c>
      <c r="G102" s="28" t="s">
        <v>32</v>
      </c>
      <c r="H102" s="34" t="s">
        <v>2</v>
      </c>
      <c r="I102" s="29" t="s">
        <v>92</v>
      </c>
      <c r="J102" s="34" t="s">
        <v>96</v>
      </c>
      <c r="K102" s="29">
        <v>32.0</v>
      </c>
      <c r="L102" s="38">
        <f t="shared" ref="L102:L104" si="48">iferror(MEDIAN_MEAN(K102,N102,P102,R102),"")</f>
        <v>5.770830671</v>
      </c>
      <c r="M102" s="38">
        <f t="shared" ref="M102:M104" si="49">iferror(RANGE_SD(K102,N102,R102),"")</f>
        <v>1.935425428</v>
      </c>
      <c r="N102" s="29">
        <v>1.0</v>
      </c>
      <c r="O102" s="39"/>
      <c r="P102" s="29">
        <v>6.0</v>
      </c>
      <c r="Q102" s="39"/>
      <c r="R102" s="29">
        <v>9.0</v>
      </c>
      <c r="S102" s="39"/>
      <c r="T102" s="39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</row>
    <row r="103">
      <c r="A103" s="28">
        <f t="shared" si="46"/>
        <v>102</v>
      </c>
      <c r="B103" s="34">
        <v>23.0</v>
      </c>
      <c r="C103" s="29" t="s">
        <v>77</v>
      </c>
      <c r="D103" s="35" t="str">
        <f t="shared" si="47"/>
        <v>Ejerhed et al., 2003</v>
      </c>
      <c r="E103" s="36" t="s">
        <v>492</v>
      </c>
      <c r="F103" s="36" t="s">
        <v>493</v>
      </c>
      <c r="G103" s="28" t="s">
        <v>32</v>
      </c>
      <c r="H103" s="34" t="s">
        <v>2</v>
      </c>
      <c r="I103" s="29" t="s">
        <v>92</v>
      </c>
      <c r="J103" s="34" t="s">
        <v>226</v>
      </c>
      <c r="K103" s="29">
        <v>32.0</v>
      </c>
      <c r="L103" s="38">
        <f t="shared" si="48"/>
        <v>89.95827475</v>
      </c>
      <c r="M103" s="38">
        <f t="shared" si="49"/>
        <v>13.06412164</v>
      </c>
      <c r="N103" s="29">
        <v>46.0</v>
      </c>
      <c r="O103" s="39"/>
      <c r="P103" s="29">
        <v>95.0</v>
      </c>
      <c r="Q103" s="39"/>
      <c r="R103" s="29">
        <v>100.0</v>
      </c>
      <c r="S103" s="39"/>
      <c r="T103" s="39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</row>
    <row r="104">
      <c r="A104" s="28">
        <f t="shared" si="46"/>
        <v>103</v>
      </c>
      <c r="B104" s="34">
        <v>23.0</v>
      </c>
      <c r="C104" s="29" t="s">
        <v>77</v>
      </c>
      <c r="D104" s="35" t="str">
        <f t="shared" si="47"/>
        <v>Ejerhed et al., 2003</v>
      </c>
      <c r="E104" s="36" t="s">
        <v>492</v>
      </c>
      <c r="F104" s="36" t="s">
        <v>493</v>
      </c>
      <c r="G104" s="28" t="s">
        <v>32</v>
      </c>
      <c r="H104" s="34" t="s">
        <v>2</v>
      </c>
      <c r="I104" s="29" t="s">
        <v>92</v>
      </c>
      <c r="J104" s="34" t="s">
        <v>185</v>
      </c>
      <c r="K104" s="29">
        <v>32.0</v>
      </c>
      <c r="L104" s="38">
        <f t="shared" si="48"/>
        <v>2.286461662</v>
      </c>
      <c r="M104" s="38">
        <f t="shared" si="49"/>
        <v>3.991814945</v>
      </c>
      <c r="N104" s="29">
        <v>-5.0</v>
      </c>
      <c r="O104" s="39"/>
      <c r="P104" s="29">
        <v>2.0</v>
      </c>
      <c r="Q104" s="39"/>
      <c r="R104" s="29">
        <v>11.5</v>
      </c>
      <c r="S104" s="39"/>
      <c r="T104" s="39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</row>
    <row r="105">
      <c r="A105" s="28">
        <f t="shared" si="46"/>
        <v>104</v>
      </c>
      <c r="B105" s="34">
        <v>23.0</v>
      </c>
      <c r="C105" s="29" t="s">
        <v>77</v>
      </c>
      <c r="D105" s="35" t="str">
        <f t="shared" si="47"/>
        <v>Ejerhed et al., 2003</v>
      </c>
      <c r="E105" s="36" t="s">
        <v>492</v>
      </c>
      <c r="F105" s="36" t="s">
        <v>493</v>
      </c>
      <c r="G105" s="28" t="s">
        <v>32</v>
      </c>
      <c r="H105" s="34" t="s">
        <v>2</v>
      </c>
      <c r="I105" s="29" t="s">
        <v>149</v>
      </c>
      <c r="J105" s="34" t="s">
        <v>151</v>
      </c>
      <c r="K105" s="29">
        <v>32.0</v>
      </c>
      <c r="L105" s="40">
        <v>15.0</v>
      </c>
      <c r="M105" s="41">
        <f>iferror(P_SD(K105,L105),"")</f>
        <v>5.157720051</v>
      </c>
      <c r="N105" s="39"/>
      <c r="O105" s="39"/>
      <c r="P105" s="39"/>
      <c r="Q105" s="39"/>
      <c r="R105" s="39"/>
      <c r="S105" s="39"/>
      <c r="T105" s="39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</row>
    <row r="106">
      <c r="A106" s="28">
        <f t="shared" si="46"/>
        <v>105</v>
      </c>
      <c r="B106" s="34">
        <v>23.0</v>
      </c>
      <c r="C106" s="29" t="s">
        <v>77</v>
      </c>
      <c r="D106" s="35" t="str">
        <f t="shared" si="47"/>
        <v>Ejerhed et al., 2003</v>
      </c>
      <c r="E106" s="36" t="s">
        <v>492</v>
      </c>
      <c r="F106" s="36" t="s">
        <v>493</v>
      </c>
      <c r="G106" s="28" t="s">
        <v>32</v>
      </c>
      <c r="H106" s="34" t="s">
        <v>9</v>
      </c>
      <c r="I106" s="29" t="s">
        <v>92</v>
      </c>
      <c r="J106" s="34" t="s">
        <v>96</v>
      </c>
      <c r="K106" s="29">
        <v>34.0</v>
      </c>
      <c r="L106" s="38">
        <f t="shared" ref="L106:L108" si="50">iferror(MEDIAN_MEAN(K106,N106,P106,R106),"")</f>
        <v>6.389381827</v>
      </c>
      <c r="M106" s="38">
        <f t="shared" ref="M106:M108" si="51">iferror(RANGE_SD(K106,N106,R106),"")</f>
        <v>1.434477439</v>
      </c>
      <c r="N106" s="29">
        <v>3.0</v>
      </c>
      <c r="O106" s="39"/>
      <c r="P106" s="29">
        <v>6.5</v>
      </c>
      <c r="Q106" s="39"/>
      <c r="R106" s="29">
        <v>9.0</v>
      </c>
      <c r="S106" s="39"/>
      <c r="T106" s="39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</row>
    <row r="107">
      <c r="A107" s="28">
        <f t="shared" si="46"/>
        <v>106</v>
      </c>
      <c r="B107" s="34">
        <v>23.0</v>
      </c>
      <c r="C107" s="29" t="s">
        <v>77</v>
      </c>
      <c r="D107" s="35" t="str">
        <f t="shared" si="47"/>
        <v>Ejerhed et al., 2003</v>
      </c>
      <c r="E107" s="36" t="s">
        <v>492</v>
      </c>
      <c r="F107" s="36" t="s">
        <v>493</v>
      </c>
      <c r="G107" s="28" t="s">
        <v>32</v>
      </c>
      <c r="H107" s="34" t="s">
        <v>9</v>
      </c>
      <c r="I107" s="29" t="s">
        <v>92</v>
      </c>
      <c r="J107" s="34" t="s">
        <v>226</v>
      </c>
      <c r="K107" s="29">
        <v>34.0</v>
      </c>
      <c r="L107" s="38">
        <f t="shared" si="50"/>
        <v>86.79207298</v>
      </c>
      <c r="M107" s="38">
        <f t="shared" si="51"/>
        <v>11.71489908</v>
      </c>
      <c r="N107" s="29">
        <v>51.0</v>
      </c>
      <c r="O107" s="39"/>
      <c r="P107" s="29">
        <v>90.0</v>
      </c>
      <c r="Q107" s="39"/>
      <c r="R107" s="29">
        <v>100.0</v>
      </c>
      <c r="S107" s="39"/>
      <c r="T107" s="39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</row>
    <row r="108">
      <c r="A108" s="28">
        <f t="shared" si="46"/>
        <v>107</v>
      </c>
      <c r="B108" s="34">
        <v>23.0</v>
      </c>
      <c r="C108" s="29" t="s">
        <v>77</v>
      </c>
      <c r="D108" s="35" t="str">
        <f t="shared" si="47"/>
        <v>Ejerhed et al., 2003</v>
      </c>
      <c r="E108" s="36" t="s">
        <v>492</v>
      </c>
      <c r="F108" s="36" t="s">
        <v>493</v>
      </c>
      <c r="G108" s="28" t="s">
        <v>32</v>
      </c>
      <c r="H108" s="34" t="s">
        <v>9</v>
      </c>
      <c r="I108" s="29" t="s">
        <v>92</v>
      </c>
      <c r="J108" s="34" t="s">
        <v>185</v>
      </c>
      <c r="K108" s="29">
        <v>34.0</v>
      </c>
      <c r="L108" s="38">
        <f t="shared" si="50"/>
        <v>2.471236346</v>
      </c>
      <c r="M108" s="38">
        <f t="shared" si="51"/>
        <v>3.466653811</v>
      </c>
      <c r="N108" s="29">
        <v>-4.0</v>
      </c>
      <c r="O108" s="39"/>
      <c r="P108" s="29">
        <v>2.25</v>
      </c>
      <c r="Q108" s="39"/>
      <c r="R108" s="29">
        <v>10.5</v>
      </c>
      <c r="S108" s="39"/>
      <c r="T108" s="39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</row>
    <row r="109">
      <c r="A109" s="28">
        <f t="shared" si="46"/>
        <v>108</v>
      </c>
      <c r="B109" s="34">
        <v>23.0</v>
      </c>
      <c r="C109" s="29" t="s">
        <v>77</v>
      </c>
      <c r="D109" s="35" t="str">
        <f t="shared" si="47"/>
        <v>Ejerhed et al., 2003</v>
      </c>
      <c r="E109" s="36" t="s">
        <v>492</v>
      </c>
      <c r="F109" s="36" t="s">
        <v>493</v>
      </c>
      <c r="G109" s="28" t="s">
        <v>32</v>
      </c>
      <c r="H109" s="34" t="s">
        <v>9</v>
      </c>
      <c r="I109" s="29" t="s">
        <v>149</v>
      </c>
      <c r="J109" s="34" t="s">
        <v>151</v>
      </c>
      <c r="K109" s="29">
        <v>34.0</v>
      </c>
      <c r="L109" s="40">
        <v>14.0</v>
      </c>
      <c r="M109" s="41">
        <f>iferror(P_SD(K109,L109),"")</f>
        <v>4.227440124</v>
      </c>
      <c r="N109" s="39"/>
      <c r="O109" s="39"/>
      <c r="P109" s="39"/>
      <c r="Q109" s="39"/>
      <c r="R109" s="39"/>
      <c r="S109" s="39"/>
      <c r="T109" s="39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</row>
    <row r="110">
      <c r="A110" s="28">
        <f t="shared" si="46"/>
        <v>109</v>
      </c>
      <c r="B110" s="34">
        <v>25.0</v>
      </c>
      <c r="C110" s="29" t="s">
        <v>77</v>
      </c>
      <c r="D110" s="35" t="str">
        <f t="shared" ref="D110:D113" si="52">HYPERLINK("https://github.com/d-wkim/phd/blob/main/data/pdf/eriksson_2006.pdf","Eriksson et al., 2006")</f>
        <v>Eriksson et al., 2006</v>
      </c>
      <c r="E110" s="36" t="s">
        <v>499</v>
      </c>
      <c r="F110" s="36" t="s">
        <v>501</v>
      </c>
      <c r="G110" s="28" t="s">
        <v>32</v>
      </c>
      <c r="H110" s="34" t="s">
        <v>2</v>
      </c>
      <c r="I110" s="29" t="s">
        <v>92</v>
      </c>
      <c r="J110" s="34" t="s">
        <v>185</v>
      </c>
      <c r="K110" s="29">
        <v>42.0</v>
      </c>
      <c r="L110" s="38">
        <v>0.95</v>
      </c>
      <c r="M110" s="38">
        <v>0.91</v>
      </c>
      <c r="N110" s="39"/>
      <c r="O110" s="39"/>
      <c r="P110" s="39"/>
      <c r="Q110" s="39"/>
      <c r="R110" s="39"/>
      <c r="S110" s="39"/>
      <c r="T110" s="39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</row>
    <row r="111">
      <c r="A111" s="28">
        <f t="shared" si="46"/>
        <v>110</v>
      </c>
      <c r="B111" s="34">
        <v>25.0</v>
      </c>
      <c r="C111" s="29" t="s">
        <v>77</v>
      </c>
      <c r="D111" s="35" t="str">
        <f t="shared" si="52"/>
        <v>Eriksson et al., 2006</v>
      </c>
      <c r="E111" s="36" t="s">
        <v>499</v>
      </c>
      <c r="F111" s="36" t="s">
        <v>501</v>
      </c>
      <c r="G111" s="28" t="s">
        <v>32</v>
      </c>
      <c r="H111" s="34" t="s">
        <v>2</v>
      </c>
      <c r="I111" s="29" t="s">
        <v>149</v>
      </c>
      <c r="J111" s="34" t="s">
        <v>173</v>
      </c>
      <c r="K111" s="29">
        <v>42.0</v>
      </c>
      <c r="L111" s="40">
        <v>2.0</v>
      </c>
      <c r="M111" s="41">
        <f>iferror(P_SD(K111,L111),"")</f>
        <v>0.4050462937</v>
      </c>
      <c r="N111" s="39"/>
      <c r="O111" s="39"/>
      <c r="P111" s="39"/>
      <c r="Q111" s="39"/>
      <c r="R111" s="39"/>
      <c r="S111" s="39"/>
      <c r="T111" s="39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</row>
    <row r="112">
      <c r="A112" s="28">
        <f t="shared" si="46"/>
        <v>111</v>
      </c>
      <c r="B112" s="34">
        <v>25.0</v>
      </c>
      <c r="C112" s="29" t="s">
        <v>77</v>
      </c>
      <c r="D112" s="35" t="str">
        <f t="shared" si="52"/>
        <v>Eriksson et al., 2006</v>
      </c>
      <c r="E112" s="36" t="s">
        <v>499</v>
      </c>
      <c r="F112" s="36" t="s">
        <v>501</v>
      </c>
      <c r="G112" s="28" t="s">
        <v>32</v>
      </c>
      <c r="H112" s="34" t="s">
        <v>9</v>
      </c>
      <c r="I112" s="29" t="s">
        <v>92</v>
      </c>
      <c r="J112" s="34" t="s">
        <v>185</v>
      </c>
      <c r="K112" s="29">
        <v>47.0</v>
      </c>
      <c r="L112" s="38">
        <v>1.1</v>
      </c>
      <c r="M112" s="38">
        <v>0.95</v>
      </c>
      <c r="N112" s="39"/>
      <c r="O112" s="39"/>
      <c r="P112" s="39"/>
      <c r="Q112" s="39"/>
      <c r="R112" s="39"/>
      <c r="S112" s="39"/>
      <c r="T112" s="39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</row>
    <row r="113">
      <c r="A113" s="28">
        <f t="shared" si="46"/>
        <v>112</v>
      </c>
      <c r="B113" s="34">
        <v>25.0</v>
      </c>
      <c r="C113" s="29" t="s">
        <v>77</v>
      </c>
      <c r="D113" s="35" t="str">
        <f t="shared" si="52"/>
        <v>Eriksson et al., 2006</v>
      </c>
      <c r="E113" s="36" t="s">
        <v>499</v>
      </c>
      <c r="F113" s="36" t="s">
        <v>501</v>
      </c>
      <c r="G113" s="28" t="s">
        <v>32</v>
      </c>
      <c r="H113" s="34" t="s">
        <v>9</v>
      </c>
      <c r="I113" s="29" t="s">
        <v>149</v>
      </c>
      <c r="J113" s="34" t="s">
        <v>173</v>
      </c>
      <c r="K113" s="29">
        <v>47.0</v>
      </c>
      <c r="L113" s="40">
        <v>9.0</v>
      </c>
      <c r="M113" s="41">
        <f>iferror(P_SD(K113,L113),"")</f>
        <v>1.71391365</v>
      </c>
      <c r="N113" s="39"/>
      <c r="O113" s="39"/>
      <c r="P113" s="39"/>
      <c r="Q113" s="39"/>
      <c r="R113" s="39"/>
      <c r="S113" s="39"/>
      <c r="T113" s="39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</row>
    <row r="114">
      <c r="A114" s="28" t="str">
        <f t="shared" si="46"/>
        <v/>
      </c>
      <c r="B114" s="34">
        <v>26.0</v>
      </c>
      <c r="C114" s="29" t="s">
        <v>77</v>
      </c>
      <c r="D114" s="35" t="str">
        <f t="shared" ref="D114:D121" si="53">HYPERLINK("https://github.com/d-wkim/phd/blob/main/data/pdf/feller_webster_2003.pdf","Feller &amp; Webster, 2003")</f>
        <v>Feller &amp; Webster, 2003</v>
      </c>
      <c r="E114" s="36" t="s">
        <v>502</v>
      </c>
      <c r="F114" s="36" t="s">
        <v>503</v>
      </c>
      <c r="G114" s="28" t="s">
        <v>102</v>
      </c>
      <c r="H114" s="34" t="s">
        <v>2</v>
      </c>
      <c r="I114" s="29" t="s">
        <v>92</v>
      </c>
      <c r="J114" s="34" t="s">
        <v>220</v>
      </c>
      <c r="K114" s="39"/>
      <c r="L114" s="41"/>
      <c r="M114" s="38"/>
      <c r="N114" s="39"/>
      <c r="O114" s="39"/>
      <c r="P114" s="39"/>
      <c r="Q114" s="39"/>
      <c r="R114" s="39"/>
      <c r="S114" s="39"/>
      <c r="T114" s="39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</row>
    <row r="115">
      <c r="A115" s="28">
        <f t="shared" si="46"/>
        <v>114</v>
      </c>
      <c r="B115" s="34">
        <v>26.0</v>
      </c>
      <c r="C115" s="29" t="s">
        <v>77</v>
      </c>
      <c r="D115" s="35" t="str">
        <f t="shared" si="53"/>
        <v>Feller &amp; Webster, 2003</v>
      </c>
      <c r="E115" s="36" t="s">
        <v>502</v>
      </c>
      <c r="F115" s="36" t="s">
        <v>503</v>
      </c>
      <c r="G115" s="28" t="s">
        <v>32</v>
      </c>
      <c r="H115" s="34" t="s">
        <v>2</v>
      </c>
      <c r="I115" s="29" t="s">
        <v>92</v>
      </c>
      <c r="J115" s="34" t="s">
        <v>185</v>
      </c>
      <c r="K115" s="29">
        <v>27.0</v>
      </c>
      <c r="L115" s="38">
        <v>0.5</v>
      </c>
      <c r="M115" s="38">
        <v>1.0</v>
      </c>
      <c r="N115" s="39"/>
      <c r="O115" s="39"/>
      <c r="P115" s="39"/>
      <c r="Q115" s="39"/>
      <c r="R115" s="39"/>
      <c r="S115" s="39"/>
      <c r="T115" s="39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</row>
    <row r="116">
      <c r="A116" s="28">
        <f t="shared" si="46"/>
        <v>115</v>
      </c>
      <c r="B116" s="34">
        <v>26.0</v>
      </c>
      <c r="C116" s="29" t="s">
        <v>77</v>
      </c>
      <c r="D116" s="35" t="str">
        <f t="shared" si="53"/>
        <v>Feller &amp; Webster, 2003</v>
      </c>
      <c r="E116" s="36" t="s">
        <v>502</v>
      </c>
      <c r="F116" s="36" t="s">
        <v>503</v>
      </c>
      <c r="G116" s="28" t="s">
        <v>32</v>
      </c>
      <c r="H116" s="34" t="s">
        <v>2</v>
      </c>
      <c r="I116" s="29" t="s">
        <v>149</v>
      </c>
      <c r="J116" s="34" t="s">
        <v>173</v>
      </c>
      <c r="K116" s="29">
        <v>27.0</v>
      </c>
      <c r="L116" s="40">
        <v>0.0</v>
      </c>
      <c r="M116" s="41">
        <f t="shared" ref="M116:M117" si="54">iferror(P_SD(K116,L116),"")</f>
        <v>0.09622504486</v>
      </c>
      <c r="N116" s="39"/>
      <c r="O116" s="39"/>
      <c r="P116" s="39"/>
      <c r="Q116" s="39"/>
      <c r="R116" s="39"/>
      <c r="S116" s="39"/>
      <c r="T116" s="39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</row>
    <row r="117">
      <c r="A117" s="28">
        <f t="shared" si="46"/>
        <v>116</v>
      </c>
      <c r="B117" s="34">
        <v>26.0</v>
      </c>
      <c r="C117" s="29" t="s">
        <v>77</v>
      </c>
      <c r="D117" s="35" t="str">
        <f t="shared" si="53"/>
        <v>Feller &amp; Webster, 2003</v>
      </c>
      <c r="E117" s="36" t="s">
        <v>502</v>
      </c>
      <c r="F117" s="36" t="s">
        <v>503</v>
      </c>
      <c r="G117" s="28" t="s">
        <v>32</v>
      </c>
      <c r="H117" s="34" t="s">
        <v>2</v>
      </c>
      <c r="I117" s="29" t="s">
        <v>149</v>
      </c>
      <c r="J117" s="34" t="s">
        <v>151</v>
      </c>
      <c r="K117" s="29">
        <v>27.0</v>
      </c>
      <c r="L117" s="40">
        <v>1.0</v>
      </c>
      <c r="M117" s="41">
        <f t="shared" si="54"/>
        <v>0.2997780244</v>
      </c>
      <c r="N117" s="39"/>
      <c r="O117" s="39"/>
      <c r="P117" s="39"/>
      <c r="Q117" s="39"/>
      <c r="R117" s="39"/>
      <c r="S117" s="39"/>
      <c r="T117" s="39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</row>
    <row r="118">
      <c r="A118" s="28" t="str">
        <f t="shared" si="46"/>
        <v/>
      </c>
      <c r="B118" s="34">
        <v>26.0</v>
      </c>
      <c r="C118" s="29" t="s">
        <v>77</v>
      </c>
      <c r="D118" s="35" t="str">
        <f t="shared" si="53"/>
        <v>Feller &amp; Webster, 2003</v>
      </c>
      <c r="E118" s="36" t="s">
        <v>502</v>
      </c>
      <c r="F118" s="36" t="s">
        <v>503</v>
      </c>
      <c r="G118" s="28" t="s">
        <v>102</v>
      </c>
      <c r="H118" s="34" t="s">
        <v>9</v>
      </c>
      <c r="I118" s="29" t="s">
        <v>92</v>
      </c>
      <c r="J118" s="34" t="s">
        <v>220</v>
      </c>
      <c r="K118" s="29"/>
      <c r="L118" s="41"/>
      <c r="M118" s="38"/>
      <c r="N118" s="39"/>
      <c r="O118" s="39"/>
      <c r="P118" s="39"/>
      <c r="Q118" s="39"/>
      <c r="R118" s="39"/>
      <c r="S118" s="39"/>
      <c r="T118" s="39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</row>
    <row r="119">
      <c r="A119" s="28">
        <f t="shared" si="46"/>
        <v>118</v>
      </c>
      <c r="B119" s="34">
        <v>26.0</v>
      </c>
      <c r="C119" s="29" t="s">
        <v>77</v>
      </c>
      <c r="D119" s="35" t="str">
        <f t="shared" si="53"/>
        <v>Feller &amp; Webster, 2003</v>
      </c>
      <c r="E119" s="36" t="s">
        <v>502</v>
      </c>
      <c r="F119" s="36" t="s">
        <v>503</v>
      </c>
      <c r="G119" s="28" t="s">
        <v>32</v>
      </c>
      <c r="H119" s="34" t="s">
        <v>9</v>
      </c>
      <c r="I119" s="29" t="s">
        <v>92</v>
      </c>
      <c r="J119" s="34" t="s">
        <v>185</v>
      </c>
      <c r="K119" s="29">
        <v>21.0</v>
      </c>
      <c r="L119" s="38">
        <v>1.1</v>
      </c>
      <c r="M119" s="38">
        <v>1.2</v>
      </c>
      <c r="N119" s="39"/>
      <c r="O119" s="39"/>
      <c r="P119" s="39"/>
      <c r="Q119" s="39"/>
      <c r="R119" s="39"/>
      <c r="S119" s="39"/>
      <c r="T119" s="39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</row>
    <row r="120">
      <c r="A120" s="28">
        <f t="shared" si="46"/>
        <v>119</v>
      </c>
      <c r="B120" s="34">
        <v>26.0</v>
      </c>
      <c r="C120" s="29" t="s">
        <v>77</v>
      </c>
      <c r="D120" s="35" t="str">
        <f t="shared" si="53"/>
        <v>Feller &amp; Webster, 2003</v>
      </c>
      <c r="E120" s="36" t="s">
        <v>502</v>
      </c>
      <c r="F120" s="36" t="s">
        <v>503</v>
      </c>
      <c r="G120" s="28" t="s">
        <v>32</v>
      </c>
      <c r="H120" s="34" t="s">
        <v>9</v>
      </c>
      <c r="I120" s="29" t="s">
        <v>149</v>
      </c>
      <c r="J120" s="34" t="s">
        <v>173</v>
      </c>
      <c r="K120" s="29">
        <v>21.0</v>
      </c>
      <c r="L120" s="40">
        <v>5.0</v>
      </c>
      <c r="M120" s="41">
        <f t="shared" ref="M120:M121" si="55">iferror(P_SD(K120,L120),"")</f>
        <v>1.575260395</v>
      </c>
      <c r="N120" s="39"/>
      <c r="O120" s="39"/>
      <c r="P120" s="39"/>
      <c r="Q120" s="39"/>
      <c r="R120" s="39"/>
      <c r="S120" s="39"/>
      <c r="T120" s="39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</row>
    <row r="121">
      <c r="A121" s="28">
        <f t="shared" si="46"/>
        <v>120</v>
      </c>
      <c r="B121" s="34">
        <v>26.0</v>
      </c>
      <c r="C121" s="29" t="s">
        <v>77</v>
      </c>
      <c r="D121" s="35" t="str">
        <f t="shared" si="53"/>
        <v>Feller &amp; Webster, 2003</v>
      </c>
      <c r="E121" s="36" t="s">
        <v>502</v>
      </c>
      <c r="F121" s="36" t="s">
        <v>503</v>
      </c>
      <c r="G121" s="28" t="s">
        <v>32</v>
      </c>
      <c r="H121" s="34" t="s">
        <v>9</v>
      </c>
      <c r="I121" s="29" t="s">
        <v>149</v>
      </c>
      <c r="J121" s="34" t="s">
        <v>151</v>
      </c>
      <c r="K121" s="29">
        <v>21.0</v>
      </c>
      <c r="L121" s="40">
        <v>0.0</v>
      </c>
      <c r="M121" s="41">
        <f t="shared" si="55"/>
        <v>0.1091089451</v>
      </c>
      <c r="N121" s="39"/>
      <c r="O121" s="39"/>
      <c r="P121" s="39"/>
      <c r="Q121" s="39"/>
      <c r="R121" s="39"/>
      <c r="S121" s="39"/>
      <c r="T121" s="39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</row>
    <row r="122">
      <c r="A122" s="28" t="str">
        <f t="shared" si="46"/>
        <v/>
      </c>
      <c r="B122" s="34">
        <v>28.0</v>
      </c>
      <c r="C122" s="29" t="s">
        <v>77</v>
      </c>
      <c r="D122" s="35" t="str">
        <f t="shared" ref="D122:D123" si="56">HYPERLINK("https://github.com/d-wkim/phd/blob/main/data/pdf/gerber_2007.pdf","Gerber et al., 2007")</f>
        <v>Gerber et al., 2007</v>
      </c>
      <c r="E122" s="36" t="s">
        <v>507</v>
      </c>
      <c r="F122" s="36" t="s">
        <v>509</v>
      </c>
      <c r="G122" s="28" t="s">
        <v>102</v>
      </c>
      <c r="H122" s="34" t="s">
        <v>2</v>
      </c>
      <c r="I122" s="29" t="s">
        <v>92</v>
      </c>
      <c r="J122" s="34" t="s">
        <v>185</v>
      </c>
      <c r="K122" s="39"/>
      <c r="L122" s="41"/>
      <c r="M122" s="38"/>
      <c r="N122" s="39"/>
      <c r="O122" s="39"/>
      <c r="P122" s="39"/>
      <c r="Q122" s="39"/>
      <c r="R122" s="39"/>
      <c r="S122" s="39"/>
      <c r="T122" s="39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</row>
    <row r="123">
      <c r="A123" s="28" t="str">
        <f t="shared" si="46"/>
        <v/>
      </c>
      <c r="B123" s="34">
        <v>28.0</v>
      </c>
      <c r="C123" s="29" t="s">
        <v>77</v>
      </c>
      <c r="D123" s="35" t="str">
        <f t="shared" si="56"/>
        <v>Gerber et al., 2007</v>
      </c>
      <c r="E123" s="36" t="s">
        <v>507</v>
      </c>
      <c r="F123" s="36" t="s">
        <v>509</v>
      </c>
      <c r="G123" s="28" t="s">
        <v>102</v>
      </c>
      <c r="H123" s="34" t="s">
        <v>9</v>
      </c>
      <c r="I123" s="29" t="s">
        <v>92</v>
      </c>
      <c r="J123" s="34" t="s">
        <v>185</v>
      </c>
      <c r="K123" s="39"/>
      <c r="L123" s="41"/>
      <c r="M123" s="38"/>
      <c r="N123" s="39"/>
      <c r="O123" s="39"/>
      <c r="P123" s="39"/>
      <c r="Q123" s="39"/>
      <c r="R123" s="39"/>
      <c r="S123" s="39"/>
      <c r="T123" s="39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</row>
    <row r="124">
      <c r="A124" s="28" t="str">
        <f t="shared" si="46"/>
        <v/>
      </c>
      <c r="B124" s="34">
        <v>30.0</v>
      </c>
      <c r="C124" s="29" t="s">
        <v>77</v>
      </c>
      <c r="D124" s="35" t="str">
        <f t="shared" ref="D124:D131" si="57">HYPERLINK("https://github.com/d-wkim/phd/blob/main/data/pdf/gifstad_2013.pdf","Gifstad et al., 2013")</f>
        <v>Gifstad et al., 2013</v>
      </c>
      <c r="E124" s="36" t="s">
        <v>510</v>
      </c>
      <c r="F124" s="36" t="s">
        <v>512</v>
      </c>
      <c r="G124" s="28" t="s">
        <v>102</v>
      </c>
      <c r="H124" s="34" t="s">
        <v>2</v>
      </c>
      <c r="I124" s="29" t="s">
        <v>92</v>
      </c>
      <c r="J124" s="34" t="s">
        <v>96</v>
      </c>
      <c r="K124" s="29"/>
      <c r="L124" s="41"/>
      <c r="M124" s="38"/>
      <c r="N124" s="39"/>
      <c r="O124" s="39"/>
      <c r="P124" s="39"/>
      <c r="Q124" s="39"/>
      <c r="R124" s="39"/>
      <c r="S124" s="39"/>
      <c r="T124" s="39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</row>
    <row r="125">
      <c r="A125" s="28" t="str">
        <f t="shared" si="46"/>
        <v/>
      </c>
      <c r="B125" s="34">
        <v>30.0</v>
      </c>
      <c r="C125" s="29" t="s">
        <v>77</v>
      </c>
      <c r="D125" s="35" t="str">
        <f t="shared" si="57"/>
        <v>Gifstad et al., 2013</v>
      </c>
      <c r="E125" s="36" t="s">
        <v>510</v>
      </c>
      <c r="F125" s="36" t="s">
        <v>512</v>
      </c>
      <c r="G125" s="28" t="s">
        <v>102</v>
      </c>
      <c r="H125" s="34" t="s">
        <v>2</v>
      </c>
      <c r="I125" s="29" t="s">
        <v>92</v>
      </c>
      <c r="J125" s="34" t="s">
        <v>226</v>
      </c>
      <c r="K125" s="29"/>
      <c r="L125" s="41"/>
      <c r="M125" s="38"/>
      <c r="N125" s="39"/>
      <c r="O125" s="39"/>
      <c r="P125" s="39"/>
      <c r="Q125" s="39"/>
      <c r="R125" s="39"/>
      <c r="S125" s="39"/>
      <c r="T125" s="39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</row>
    <row r="126">
      <c r="A126" s="28">
        <f t="shared" si="46"/>
        <v>125</v>
      </c>
      <c r="B126" s="34">
        <v>30.0</v>
      </c>
      <c r="C126" s="29" t="s">
        <v>77</v>
      </c>
      <c r="D126" s="35" t="str">
        <f t="shared" si="57"/>
        <v>Gifstad et al., 2013</v>
      </c>
      <c r="E126" s="36" t="s">
        <v>510</v>
      </c>
      <c r="F126" s="36" t="s">
        <v>512</v>
      </c>
      <c r="G126" s="28" t="s">
        <v>32</v>
      </c>
      <c r="H126" s="34" t="s">
        <v>2</v>
      </c>
      <c r="I126" s="29" t="s">
        <v>92</v>
      </c>
      <c r="J126" s="34" t="s">
        <v>185</v>
      </c>
      <c r="K126" s="29">
        <v>41.0</v>
      </c>
      <c r="L126" s="38">
        <v>1.4</v>
      </c>
      <c r="M126" s="38">
        <v>1.8</v>
      </c>
      <c r="N126" s="39"/>
      <c r="O126" s="39"/>
      <c r="P126" s="39"/>
      <c r="Q126" s="39"/>
      <c r="R126" s="39"/>
      <c r="S126" s="39"/>
      <c r="T126" s="39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</row>
    <row r="127">
      <c r="A127" s="28">
        <f t="shared" si="46"/>
        <v>126</v>
      </c>
      <c r="B127" s="34">
        <v>30.0</v>
      </c>
      <c r="C127" s="29" t="s">
        <v>77</v>
      </c>
      <c r="D127" s="35" t="str">
        <f t="shared" si="57"/>
        <v>Gifstad et al., 2013</v>
      </c>
      <c r="E127" s="36" t="s">
        <v>510</v>
      </c>
      <c r="F127" s="36" t="s">
        <v>512</v>
      </c>
      <c r="G127" s="28" t="s">
        <v>32</v>
      </c>
      <c r="H127" s="34" t="s">
        <v>2</v>
      </c>
      <c r="I127" s="29" t="s">
        <v>149</v>
      </c>
      <c r="J127" s="34" t="s">
        <v>151</v>
      </c>
      <c r="K127" s="29">
        <v>41.0</v>
      </c>
      <c r="L127" s="40">
        <v>1.0</v>
      </c>
      <c r="M127" s="41">
        <f>iferror(P_SD(K127,L127),"")</f>
        <v>0.2401171589</v>
      </c>
      <c r="N127" s="39"/>
      <c r="O127" s="39"/>
      <c r="P127" s="39"/>
      <c r="Q127" s="39"/>
      <c r="R127" s="39"/>
      <c r="S127" s="39"/>
      <c r="T127" s="39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</row>
    <row r="128">
      <c r="A128" s="28" t="str">
        <f t="shared" si="46"/>
        <v/>
      </c>
      <c r="B128" s="34">
        <v>30.0</v>
      </c>
      <c r="C128" s="29" t="s">
        <v>77</v>
      </c>
      <c r="D128" s="35" t="str">
        <f t="shared" si="57"/>
        <v>Gifstad et al., 2013</v>
      </c>
      <c r="E128" s="36" t="s">
        <v>510</v>
      </c>
      <c r="F128" s="36" t="s">
        <v>512</v>
      </c>
      <c r="G128" s="28" t="s">
        <v>102</v>
      </c>
      <c r="H128" s="34" t="s">
        <v>9</v>
      </c>
      <c r="I128" s="29" t="s">
        <v>92</v>
      </c>
      <c r="J128" s="34" t="s">
        <v>96</v>
      </c>
      <c r="K128" s="29"/>
      <c r="L128" s="41"/>
      <c r="M128" s="38"/>
      <c r="N128" s="39"/>
      <c r="O128" s="39"/>
      <c r="P128" s="39"/>
      <c r="Q128" s="39"/>
      <c r="R128" s="39"/>
      <c r="S128" s="39"/>
      <c r="T128" s="39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</row>
    <row r="129">
      <c r="A129" s="28" t="str">
        <f t="shared" si="46"/>
        <v/>
      </c>
      <c r="B129" s="34">
        <v>30.0</v>
      </c>
      <c r="C129" s="29" t="s">
        <v>77</v>
      </c>
      <c r="D129" s="35" t="str">
        <f t="shared" si="57"/>
        <v>Gifstad et al., 2013</v>
      </c>
      <c r="E129" s="36" t="s">
        <v>510</v>
      </c>
      <c r="F129" s="36" t="s">
        <v>512</v>
      </c>
      <c r="G129" s="28" t="s">
        <v>102</v>
      </c>
      <c r="H129" s="34" t="s">
        <v>9</v>
      </c>
      <c r="I129" s="29" t="s">
        <v>92</v>
      </c>
      <c r="J129" s="34" t="s">
        <v>226</v>
      </c>
      <c r="K129" s="29"/>
      <c r="L129" s="41"/>
      <c r="M129" s="38"/>
      <c r="N129" s="39"/>
      <c r="O129" s="39"/>
      <c r="P129" s="39"/>
      <c r="Q129" s="39"/>
      <c r="R129" s="39"/>
      <c r="S129" s="39"/>
      <c r="T129" s="39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</row>
    <row r="130">
      <c r="A130" s="28">
        <f t="shared" si="46"/>
        <v>129</v>
      </c>
      <c r="B130" s="34">
        <v>30.0</v>
      </c>
      <c r="C130" s="29" t="s">
        <v>77</v>
      </c>
      <c r="D130" s="35" t="str">
        <f t="shared" si="57"/>
        <v>Gifstad et al., 2013</v>
      </c>
      <c r="E130" s="36" t="s">
        <v>510</v>
      </c>
      <c r="F130" s="36" t="s">
        <v>512</v>
      </c>
      <c r="G130" s="28" t="s">
        <v>32</v>
      </c>
      <c r="H130" s="34" t="s">
        <v>9</v>
      </c>
      <c r="I130" s="29" t="s">
        <v>92</v>
      </c>
      <c r="J130" s="34" t="s">
        <v>185</v>
      </c>
      <c r="K130" s="29">
        <v>36.0</v>
      </c>
      <c r="L130" s="38">
        <v>1.4</v>
      </c>
      <c r="M130" s="38">
        <v>1.4</v>
      </c>
      <c r="N130" s="39"/>
      <c r="O130" s="39"/>
      <c r="P130" s="39"/>
      <c r="Q130" s="39"/>
      <c r="R130" s="39"/>
      <c r="S130" s="39"/>
      <c r="T130" s="39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</row>
    <row r="131">
      <c r="A131" s="28">
        <f t="shared" si="46"/>
        <v>130</v>
      </c>
      <c r="B131" s="34">
        <v>30.0</v>
      </c>
      <c r="C131" s="29" t="s">
        <v>77</v>
      </c>
      <c r="D131" s="35" t="str">
        <f t="shared" si="57"/>
        <v>Gifstad et al., 2013</v>
      </c>
      <c r="E131" s="36" t="s">
        <v>510</v>
      </c>
      <c r="F131" s="36" t="s">
        <v>512</v>
      </c>
      <c r="G131" s="28" t="s">
        <v>32</v>
      </c>
      <c r="H131" s="34" t="s">
        <v>9</v>
      </c>
      <c r="I131" s="29" t="s">
        <v>149</v>
      </c>
      <c r="J131" s="34" t="s">
        <v>151</v>
      </c>
      <c r="K131" s="29">
        <v>36.0</v>
      </c>
      <c r="L131" s="40">
        <v>1.0</v>
      </c>
      <c r="M131" s="41">
        <f>iferror(P_SD(K131,L131),"")</f>
        <v>0.2571428571</v>
      </c>
      <c r="N131" s="39"/>
      <c r="O131" s="39"/>
      <c r="P131" s="39"/>
      <c r="Q131" s="39"/>
      <c r="R131" s="39"/>
      <c r="S131" s="39"/>
      <c r="T131" s="39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</row>
    <row r="132">
      <c r="A132" s="28" t="str">
        <f t="shared" si="46"/>
        <v/>
      </c>
      <c r="B132" s="34">
        <v>31.0</v>
      </c>
      <c r="C132" s="29" t="s">
        <v>77</v>
      </c>
      <c r="D132" s="35" t="str">
        <f t="shared" ref="D132:D139" si="58">HYPERLINK("https://github.com/d-wkim/phd/blob/main/data/pdf/gobbi_francisco_2006.pdf","Gobbi &amp; Francisco, 2006")</f>
        <v>Gobbi &amp; Francisco, 2006</v>
      </c>
      <c r="E132" s="36" t="s">
        <v>516</v>
      </c>
      <c r="F132" s="36" t="s">
        <v>518</v>
      </c>
      <c r="G132" s="28" t="s">
        <v>102</v>
      </c>
      <c r="H132" s="34" t="s">
        <v>2</v>
      </c>
      <c r="I132" s="29" t="s">
        <v>92</v>
      </c>
      <c r="J132" s="34" t="s">
        <v>220</v>
      </c>
      <c r="K132" s="39"/>
      <c r="L132" s="41"/>
      <c r="M132" s="38"/>
      <c r="N132" s="39"/>
      <c r="O132" s="39"/>
      <c r="P132" s="39"/>
      <c r="Q132" s="39"/>
      <c r="R132" s="39"/>
      <c r="S132" s="39"/>
      <c r="T132" s="39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</row>
    <row r="133">
      <c r="A133" s="28" t="str">
        <f t="shared" si="46"/>
        <v/>
      </c>
      <c r="B133" s="34">
        <v>31.0</v>
      </c>
      <c r="C133" s="29" t="s">
        <v>77</v>
      </c>
      <c r="D133" s="35" t="str">
        <f t="shared" si="58"/>
        <v>Gobbi &amp; Francisco, 2006</v>
      </c>
      <c r="E133" s="36" t="s">
        <v>516</v>
      </c>
      <c r="F133" s="36" t="s">
        <v>518</v>
      </c>
      <c r="G133" s="28" t="s">
        <v>102</v>
      </c>
      <c r="H133" s="34" t="s">
        <v>2</v>
      </c>
      <c r="I133" s="29" t="s">
        <v>92</v>
      </c>
      <c r="J133" s="34" t="s">
        <v>96</v>
      </c>
      <c r="K133" s="39"/>
      <c r="L133" s="41"/>
      <c r="M133" s="38"/>
      <c r="N133" s="39"/>
      <c r="O133" s="39"/>
      <c r="P133" s="39"/>
      <c r="Q133" s="39"/>
      <c r="R133" s="39"/>
      <c r="S133" s="39"/>
      <c r="T133" s="39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</row>
    <row r="134">
      <c r="A134" s="28" t="str">
        <f t="shared" si="46"/>
        <v/>
      </c>
      <c r="B134" s="34">
        <v>31.0</v>
      </c>
      <c r="C134" s="29" t="s">
        <v>77</v>
      </c>
      <c r="D134" s="35" t="str">
        <f t="shared" si="58"/>
        <v>Gobbi &amp; Francisco, 2006</v>
      </c>
      <c r="E134" s="36" t="s">
        <v>516</v>
      </c>
      <c r="F134" s="36" t="s">
        <v>518</v>
      </c>
      <c r="G134" s="28" t="s">
        <v>102</v>
      </c>
      <c r="H134" s="34" t="s">
        <v>2</v>
      </c>
      <c r="I134" s="29" t="s">
        <v>92</v>
      </c>
      <c r="J134" s="34" t="s">
        <v>226</v>
      </c>
      <c r="K134" s="39"/>
      <c r="L134" s="41"/>
      <c r="M134" s="38"/>
      <c r="N134" s="39"/>
      <c r="O134" s="39"/>
      <c r="P134" s="39"/>
      <c r="Q134" s="39"/>
      <c r="R134" s="39"/>
      <c r="S134" s="39"/>
      <c r="T134" s="39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</row>
    <row r="135">
      <c r="A135" s="28" t="str">
        <f t="shared" si="46"/>
        <v/>
      </c>
      <c r="B135" s="34">
        <v>31.0</v>
      </c>
      <c r="C135" s="29" t="s">
        <v>77</v>
      </c>
      <c r="D135" s="35" t="str">
        <f t="shared" si="58"/>
        <v>Gobbi &amp; Francisco, 2006</v>
      </c>
      <c r="E135" s="36" t="s">
        <v>516</v>
      </c>
      <c r="F135" s="36" t="s">
        <v>518</v>
      </c>
      <c r="G135" s="28" t="s">
        <v>102</v>
      </c>
      <c r="H135" s="34" t="s">
        <v>2</v>
      </c>
      <c r="I135" s="29" t="s">
        <v>92</v>
      </c>
      <c r="J135" s="34" t="s">
        <v>185</v>
      </c>
      <c r="K135" s="39"/>
      <c r="L135" s="41"/>
      <c r="M135" s="38"/>
      <c r="N135" s="39"/>
      <c r="O135" s="39"/>
      <c r="P135" s="39"/>
      <c r="Q135" s="39"/>
      <c r="R135" s="39"/>
      <c r="S135" s="39"/>
      <c r="T135" s="39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</row>
    <row r="136">
      <c r="A136" s="28" t="str">
        <f t="shared" si="46"/>
        <v/>
      </c>
      <c r="B136" s="34">
        <v>31.0</v>
      </c>
      <c r="C136" s="29" t="s">
        <v>77</v>
      </c>
      <c r="D136" s="35" t="str">
        <f t="shared" si="58"/>
        <v>Gobbi &amp; Francisco, 2006</v>
      </c>
      <c r="E136" s="36" t="s">
        <v>516</v>
      </c>
      <c r="F136" s="36" t="s">
        <v>518</v>
      </c>
      <c r="G136" s="28" t="s">
        <v>102</v>
      </c>
      <c r="H136" s="34" t="s">
        <v>9</v>
      </c>
      <c r="I136" s="29" t="s">
        <v>92</v>
      </c>
      <c r="J136" s="34" t="s">
        <v>220</v>
      </c>
      <c r="K136" s="39"/>
      <c r="L136" s="41"/>
      <c r="M136" s="38"/>
      <c r="N136" s="39"/>
      <c r="O136" s="39"/>
      <c r="P136" s="39"/>
      <c r="Q136" s="39"/>
      <c r="R136" s="39"/>
      <c r="S136" s="39"/>
      <c r="T136" s="39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</row>
    <row r="137">
      <c r="A137" s="28" t="str">
        <f t="shared" si="46"/>
        <v/>
      </c>
      <c r="B137" s="34">
        <v>31.0</v>
      </c>
      <c r="C137" s="29" t="s">
        <v>77</v>
      </c>
      <c r="D137" s="35" t="str">
        <f t="shared" si="58"/>
        <v>Gobbi &amp; Francisco, 2006</v>
      </c>
      <c r="E137" s="36" t="s">
        <v>516</v>
      </c>
      <c r="F137" s="36" t="s">
        <v>518</v>
      </c>
      <c r="G137" s="28" t="s">
        <v>102</v>
      </c>
      <c r="H137" s="34" t="s">
        <v>9</v>
      </c>
      <c r="I137" s="29" t="s">
        <v>92</v>
      </c>
      <c r="J137" s="34" t="s">
        <v>96</v>
      </c>
      <c r="K137" s="39"/>
      <c r="L137" s="41"/>
      <c r="M137" s="38"/>
      <c r="N137" s="39"/>
      <c r="O137" s="39"/>
      <c r="P137" s="39"/>
      <c r="Q137" s="39"/>
      <c r="R137" s="39"/>
      <c r="S137" s="39"/>
      <c r="T137" s="39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</row>
    <row r="138">
      <c r="A138" s="28" t="str">
        <f t="shared" si="46"/>
        <v/>
      </c>
      <c r="B138" s="34">
        <v>31.0</v>
      </c>
      <c r="C138" s="29" t="s">
        <v>77</v>
      </c>
      <c r="D138" s="35" t="str">
        <f t="shared" si="58"/>
        <v>Gobbi &amp; Francisco, 2006</v>
      </c>
      <c r="E138" s="36" t="s">
        <v>516</v>
      </c>
      <c r="F138" s="36" t="s">
        <v>518</v>
      </c>
      <c r="G138" s="28" t="s">
        <v>102</v>
      </c>
      <c r="H138" s="34" t="s">
        <v>9</v>
      </c>
      <c r="I138" s="29" t="s">
        <v>92</v>
      </c>
      <c r="J138" s="34" t="s">
        <v>226</v>
      </c>
      <c r="K138" s="39"/>
      <c r="L138" s="41"/>
      <c r="M138" s="38"/>
      <c r="N138" s="39"/>
      <c r="O138" s="39"/>
      <c r="P138" s="39"/>
      <c r="Q138" s="39"/>
      <c r="R138" s="39"/>
      <c r="S138" s="39"/>
      <c r="T138" s="39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</row>
    <row r="139">
      <c r="A139" s="28" t="str">
        <f t="shared" si="46"/>
        <v/>
      </c>
      <c r="B139" s="34">
        <v>31.0</v>
      </c>
      <c r="C139" s="29" t="s">
        <v>77</v>
      </c>
      <c r="D139" s="35" t="str">
        <f t="shared" si="58"/>
        <v>Gobbi &amp; Francisco, 2006</v>
      </c>
      <c r="E139" s="36" t="s">
        <v>516</v>
      </c>
      <c r="F139" s="36" t="s">
        <v>518</v>
      </c>
      <c r="G139" s="28" t="s">
        <v>102</v>
      </c>
      <c r="H139" s="34" t="s">
        <v>9</v>
      </c>
      <c r="I139" s="29" t="s">
        <v>92</v>
      </c>
      <c r="J139" s="34" t="s">
        <v>185</v>
      </c>
      <c r="K139" s="39"/>
      <c r="L139" s="41"/>
      <c r="M139" s="38"/>
      <c r="N139" s="39"/>
      <c r="O139" s="39"/>
      <c r="P139" s="39"/>
      <c r="Q139" s="39"/>
      <c r="R139" s="39"/>
      <c r="S139" s="39"/>
      <c r="T139" s="39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</row>
    <row r="140">
      <c r="A140" s="28">
        <f t="shared" si="46"/>
        <v>139</v>
      </c>
      <c r="B140" s="34">
        <v>32.0</v>
      </c>
      <c r="C140" s="29" t="s">
        <v>77</v>
      </c>
      <c r="D140" s="35" t="str">
        <f t="shared" ref="D140:D147" si="59">HYPERLINK("https://github.com/d-wkim/phd/blob/main/data/pdf/guglielmetti_2021.pdf","Guglielmetti et al., 2021")</f>
        <v>Guglielmetti et al., 2021</v>
      </c>
      <c r="E140" s="36" t="s">
        <v>522</v>
      </c>
      <c r="F140" s="36" t="s">
        <v>524</v>
      </c>
      <c r="G140" s="28" t="s">
        <v>32</v>
      </c>
      <c r="H140" s="34" t="s">
        <v>2</v>
      </c>
      <c r="I140" s="29" t="s">
        <v>92</v>
      </c>
      <c r="J140" s="34" t="s">
        <v>220</v>
      </c>
      <c r="K140" s="29">
        <v>31.0</v>
      </c>
      <c r="L140" s="38">
        <v>88.75</v>
      </c>
      <c r="M140" s="38">
        <v>9.27</v>
      </c>
      <c r="N140" s="39"/>
      <c r="O140" s="39"/>
      <c r="P140" s="39"/>
      <c r="Q140" s="39"/>
      <c r="R140" s="39"/>
      <c r="S140" s="39"/>
      <c r="T140" s="39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</row>
    <row r="141">
      <c r="A141" s="28">
        <f t="shared" si="46"/>
        <v>140</v>
      </c>
      <c r="B141" s="34">
        <v>32.0</v>
      </c>
      <c r="C141" s="29" t="s">
        <v>77</v>
      </c>
      <c r="D141" s="35" t="str">
        <f t="shared" si="59"/>
        <v>Guglielmetti et al., 2021</v>
      </c>
      <c r="E141" s="36" t="s">
        <v>522</v>
      </c>
      <c r="F141" s="36" t="s">
        <v>524</v>
      </c>
      <c r="G141" s="28" t="s">
        <v>32</v>
      </c>
      <c r="H141" s="34" t="s">
        <v>2</v>
      </c>
      <c r="I141" s="29" t="s">
        <v>92</v>
      </c>
      <c r="J141" s="34" t="s">
        <v>226</v>
      </c>
      <c r="K141" s="29">
        <v>31.0</v>
      </c>
      <c r="L141" s="38">
        <v>89.87</v>
      </c>
      <c r="M141" s="29">
        <v>9.17</v>
      </c>
      <c r="N141" s="39"/>
      <c r="O141" s="39"/>
      <c r="P141" s="39"/>
      <c r="Q141" s="39"/>
      <c r="R141" s="39"/>
      <c r="S141" s="39"/>
      <c r="T141" s="39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</row>
    <row r="142">
      <c r="A142" s="28">
        <f t="shared" si="46"/>
        <v>141</v>
      </c>
      <c r="B142" s="34">
        <v>32.0</v>
      </c>
      <c r="C142" s="29" t="s">
        <v>77</v>
      </c>
      <c r="D142" s="35" t="str">
        <f t="shared" si="59"/>
        <v>Guglielmetti et al., 2021</v>
      </c>
      <c r="E142" s="36" t="s">
        <v>522</v>
      </c>
      <c r="F142" s="36" t="s">
        <v>524</v>
      </c>
      <c r="G142" s="28" t="s">
        <v>32</v>
      </c>
      <c r="H142" s="34" t="s">
        <v>2</v>
      </c>
      <c r="I142" s="29" t="s">
        <v>149</v>
      </c>
      <c r="J142" s="34" t="s">
        <v>173</v>
      </c>
      <c r="K142" s="29">
        <v>31.0</v>
      </c>
      <c r="L142" s="40">
        <v>2.0</v>
      </c>
      <c r="M142" s="41">
        <f t="shared" ref="M142:M143" si="60">iferror(P_SD(K142,L142),"")</f>
        <v>0.4799796865</v>
      </c>
      <c r="N142" s="39"/>
      <c r="O142" s="39"/>
      <c r="P142" s="39"/>
      <c r="Q142" s="39"/>
      <c r="R142" s="39"/>
      <c r="S142" s="39"/>
      <c r="T142" s="39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</row>
    <row r="143">
      <c r="A143" s="28">
        <f t="shared" si="46"/>
        <v>142</v>
      </c>
      <c r="B143" s="34">
        <v>32.0</v>
      </c>
      <c r="C143" s="29" t="s">
        <v>77</v>
      </c>
      <c r="D143" s="35" t="str">
        <f t="shared" si="59"/>
        <v>Guglielmetti et al., 2021</v>
      </c>
      <c r="E143" s="36" t="s">
        <v>522</v>
      </c>
      <c r="F143" s="36" t="s">
        <v>524</v>
      </c>
      <c r="G143" s="28" t="s">
        <v>32</v>
      </c>
      <c r="H143" s="34" t="s">
        <v>2</v>
      </c>
      <c r="I143" s="29" t="s">
        <v>149</v>
      </c>
      <c r="J143" s="34" t="s">
        <v>151</v>
      </c>
      <c r="K143" s="29">
        <v>31.0</v>
      </c>
      <c r="L143" s="40">
        <v>2.0</v>
      </c>
      <c r="M143" s="41">
        <f t="shared" si="60"/>
        <v>0.4799796865</v>
      </c>
      <c r="N143" s="39"/>
      <c r="O143" s="39"/>
      <c r="P143" s="39"/>
      <c r="Q143" s="39"/>
      <c r="R143" s="39"/>
      <c r="S143" s="39"/>
      <c r="T143" s="39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</row>
    <row r="144">
      <c r="A144" s="28">
        <f t="shared" si="46"/>
        <v>143</v>
      </c>
      <c r="B144" s="34">
        <v>32.0</v>
      </c>
      <c r="C144" s="29" t="s">
        <v>77</v>
      </c>
      <c r="D144" s="35" t="str">
        <f t="shared" si="59"/>
        <v>Guglielmetti et al., 2021</v>
      </c>
      <c r="E144" s="36" t="s">
        <v>522</v>
      </c>
      <c r="F144" s="36" t="s">
        <v>524</v>
      </c>
      <c r="G144" s="28" t="s">
        <v>32</v>
      </c>
      <c r="H144" s="34" t="s">
        <v>9</v>
      </c>
      <c r="I144" s="29" t="s">
        <v>92</v>
      </c>
      <c r="J144" s="34" t="s">
        <v>220</v>
      </c>
      <c r="K144" s="29">
        <v>31.0</v>
      </c>
      <c r="L144" s="38">
        <v>91.0</v>
      </c>
      <c r="M144" s="38">
        <v>9.07</v>
      </c>
      <c r="N144" s="39"/>
      <c r="O144" s="39"/>
      <c r="P144" s="39"/>
      <c r="Q144" s="39"/>
      <c r="R144" s="39"/>
      <c r="S144" s="39"/>
      <c r="T144" s="39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</row>
    <row r="145">
      <c r="A145" s="28">
        <f t="shared" si="46"/>
        <v>144</v>
      </c>
      <c r="B145" s="34">
        <v>32.0</v>
      </c>
      <c r="C145" s="29" t="s">
        <v>77</v>
      </c>
      <c r="D145" s="35" t="str">
        <f t="shared" si="59"/>
        <v>Guglielmetti et al., 2021</v>
      </c>
      <c r="E145" s="36" t="s">
        <v>522</v>
      </c>
      <c r="F145" s="36" t="s">
        <v>524</v>
      </c>
      <c r="G145" s="28" t="s">
        <v>32</v>
      </c>
      <c r="H145" s="34" t="s">
        <v>9</v>
      </c>
      <c r="I145" s="29" t="s">
        <v>92</v>
      </c>
      <c r="J145" s="34" t="s">
        <v>226</v>
      </c>
      <c r="K145" s="29">
        <v>31.0</v>
      </c>
      <c r="L145" s="38">
        <v>91.26</v>
      </c>
      <c r="M145" s="38">
        <v>9.36</v>
      </c>
      <c r="N145" s="39"/>
      <c r="O145" s="39"/>
      <c r="P145" s="39"/>
      <c r="Q145" s="39"/>
      <c r="R145" s="39"/>
      <c r="S145" s="39"/>
      <c r="T145" s="39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</row>
    <row r="146">
      <c r="A146" s="28">
        <f t="shared" si="46"/>
        <v>145</v>
      </c>
      <c r="B146" s="34">
        <v>32.0</v>
      </c>
      <c r="C146" s="29" t="s">
        <v>77</v>
      </c>
      <c r="D146" s="35" t="str">
        <f t="shared" si="59"/>
        <v>Guglielmetti et al., 2021</v>
      </c>
      <c r="E146" s="36" t="s">
        <v>522</v>
      </c>
      <c r="F146" s="36" t="s">
        <v>524</v>
      </c>
      <c r="G146" s="28" t="s">
        <v>32</v>
      </c>
      <c r="H146" s="34" t="s">
        <v>9</v>
      </c>
      <c r="I146" s="29" t="s">
        <v>149</v>
      </c>
      <c r="J146" s="34" t="s">
        <v>173</v>
      </c>
      <c r="K146" s="29">
        <v>31.0</v>
      </c>
      <c r="L146" s="40">
        <v>3.0</v>
      </c>
      <c r="M146" s="41">
        <f t="shared" ref="M146:M147" si="61">iferror(P_SD(K146,L146),"")</f>
        <v>0.6959705454</v>
      </c>
      <c r="N146" s="39"/>
      <c r="O146" s="39"/>
      <c r="P146" s="39"/>
      <c r="Q146" s="39"/>
      <c r="R146" s="39"/>
      <c r="S146" s="39"/>
      <c r="T146" s="39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</row>
    <row r="147">
      <c r="A147" s="28">
        <f t="shared" si="46"/>
        <v>146</v>
      </c>
      <c r="B147" s="34">
        <v>32.0</v>
      </c>
      <c r="C147" s="29" t="s">
        <v>77</v>
      </c>
      <c r="D147" s="35" t="str">
        <f t="shared" si="59"/>
        <v>Guglielmetti et al., 2021</v>
      </c>
      <c r="E147" s="36" t="s">
        <v>522</v>
      </c>
      <c r="F147" s="36" t="s">
        <v>524</v>
      </c>
      <c r="G147" s="28" t="s">
        <v>32</v>
      </c>
      <c r="H147" s="34" t="s">
        <v>9</v>
      </c>
      <c r="I147" s="29" t="s">
        <v>149</v>
      </c>
      <c r="J147" s="34" t="s">
        <v>151</v>
      </c>
      <c r="K147" s="29">
        <v>31.0</v>
      </c>
      <c r="L147" s="40">
        <v>3.0</v>
      </c>
      <c r="M147" s="41">
        <f t="shared" si="61"/>
        <v>0.6959705454</v>
      </c>
      <c r="N147" s="39"/>
      <c r="O147" s="39"/>
      <c r="P147" s="39"/>
      <c r="Q147" s="39"/>
      <c r="R147" s="39"/>
      <c r="S147" s="39"/>
      <c r="T147" s="39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</row>
    <row r="148">
      <c r="A148" s="28" t="str">
        <f t="shared" si="46"/>
        <v/>
      </c>
      <c r="B148" s="34">
        <v>33.0</v>
      </c>
      <c r="C148" s="29" t="s">
        <v>77</v>
      </c>
      <c r="D148" s="35" t="str">
        <f t="shared" ref="D148:D159" si="62">HYPERLINK("https://github.com/d-wkim/phd/blob/main/data/pdf/harilainen_2006.pdf","Harilainen et al., 2006")</f>
        <v>Harilainen et al., 2006</v>
      </c>
      <c r="E148" s="36" t="s">
        <v>528</v>
      </c>
      <c r="F148" s="36" t="s">
        <v>530</v>
      </c>
      <c r="G148" s="28" t="s">
        <v>102</v>
      </c>
      <c r="H148" s="34" t="s">
        <v>2</v>
      </c>
      <c r="I148" s="29" t="s">
        <v>92</v>
      </c>
      <c r="J148" s="34" t="s">
        <v>220</v>
      </c>
      <c r="K148" s="29"/>
      <c r="L148" s="41"/>
      <c r="M148" s="38"/>
      <c r="N148" s="39"/>
      <c r="O148" s="39"/>
      <c r="P148" s="39"/>
      <c r="Q148" s="39"/>
      <c r="R148" s="39"/>
      <c r="S148" s="39"/>
      <c r="T148" s="39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</row>
    <row r="149">
      <c r="A149" s="28">
        <f t="shared" si="46"/>
        <v>148</v>
      </c>
      <c r="B149" s="34">
        <v>33.0</v>
      </c>
      <c r="C149" s="29" t="s">
        <v>77</v>
      </c>
      <c r="D149" s="35" t="str">
        <f t="shared" si="62"/>
        <v>Harilainen et al., 2006</v>
      </c>
      <c r="E149" s="36" t="s">
        <v>528</v>
      </c>
      <c r="F149" s="36" t="s">
        <v>530</v>
      </c>
      <c r="G149" s="28" t="s">
        <v>32</v>
      </c>
      <c r="H149" s="34" t="s">
        <v>2</v>
      </c>
      <c r="I149" s="29" t="s">
        <v>92</v>
      </c>
      <c r="J149" s="34" t="s">
        <v>96</v>
      </c>
      <c r="K149" s="29">
        <v>37.0</v>
      </c>
      <c r="L149" s="38">
        <f t="shared" ref="L149:L150" si="63">iferror(MEDIAN_MEAN(K149,N149,P149,R149),"")</f>
        <v>5.894748329</v>
      </c>
      <c r="M149" s="38">
        <f t="shared" ref="M149:M150" si="64">iferror(RANGE_SD(K149,N149,R149),"")</f>
        <v>2.117293884</v>
      </c>
      <c r="N149" s="29">
        <v>1.0</v>
      </c>
      <c r="O149" s="39"/>
      <c r="P149" s="29">
        <v>6.0</v>
      </c>
      <c r="Q149" s="39"/>
      <c r="R149" s="29">
        <v>10.0</v>
      </c>
      <c r="S149" s="39"/>
      <c r="T149" s="39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</row>
    <row r="150">
      <c r="A150" s="28"/>
      <c r="B150" s="34"/>
      <c r="C150" s="29" t="s">
        <v>77</v>
      </c>
      <c r="D150" s="35" t="str">
        <f t="shared" si="62"/>
        <v>Harilainen et al., 2006</v>
      </c>
      <c r="E150" s="36" t="s">
        <v>528</v>
      </c>
      <c r="F150" s="36" t="s">
        <v>530</v>
      </c>
      <c r="G150" s="28" t="s">
        <v>32</v>
      </c>
      <c r="H150" s="34" t="s">
        <v>2</v>
      </c>
      <c r="I150" s="29" t="s">
        <v>92</v>
      </c>
      <c r="J150" s="28" t="s">
        <v>226</v>
      </c>
      <c r="K150" s="29">
        <v>37.0</v>
      </c>
      <c r="L150" s="38">
        <f t="shared" si="63"/>
        <v>89.10590643</v>
      </c>
      <c r="M150" s="38">
        <f t="shared" si="64"/>
        <v>15.52682182</v>
      </c>
      <c r="N150" s="29">
        <v>34.0</v>
      </c>
      <c r="O150" s="39"/>
      <c r="P150" s="29">
        <v>95.0</v>
      </c>
      <c r="Q150" s="39"/>
      <c r="R150" s="29">
        <v>100.0</v>
      </c>
      <c r="S150" s="39"/>
      <c r="T150" s="39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</row>
    <row r="151">
      <c r="A151" s="28">
        <f t="shared" ref="A151:A154" si="65">if(G151="Included",row(A151)-1,"")</f>
        <v>150</v>
      </c>
      <c r="B151" s="34">
        <v>33.0</v>
      </c>
      <c r="C151" s="29" t="s">
        <v>77</v>
      </c>
      <c r="D151" s="35" t="str">
        <f t="shared" si="62"/>
        <v>Harilainen et al., 2006</v>
      </c>
      <c r="E151" s="36" t="s">
        <v>528</v>
      </c>
      <c r="F151" s="36" t="s">
        <v>530</v>
      </c>
      <c r="G151" s="28" t="s">
        <v>32</v>
      </c>
      <c r="H151" s="34" t="s">
        <v>2</v>
      </c>
      <c r="I151" s="29" t="s">
        <v>92</v>
      </c>
      <c r="J151" s="28" t="s">
        <v>185</v>
      </c>
      <c r="K151" s="29">
        <v>37.0</v>
      </c>
      <c r="L151" s="38">
        <v>1.5</v>
      </c>
      <c r="M151" s="38">
        <v>3.0</v>
      </c>
      <c r="N151" s="39"/>
      <c r="O151" s="39"/>
      <c r="P151" s="39"/>
      <c r="Q151" s="39"/>
      <c r="R151" s="39"/>
      <c r="S151" s="39"/>
      <c r="T151" s="39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</row>
    <row r="152">
      <c r="A152" s="28">
        <f t="shared" si="65"/>
        <v>151</v>
      </c>
      <c r="B152" s="34">
        <v>33.0</v>
      </c>
      <c r="C152" s="29" t="s">
        <v>77</v>
      </c>
      <c r="D152" s="35" t="str">
        <f t="shared" si="62"/>
        <v>Harilainen et al., 2006</v>
      </c>
      <c r="E152" s="36" t="s">
        <v>528</v>
      </c>
      <c r="F152" s="36" t="s">
        <v>530</v>
      </c>
      <c r="G152" s="28" t="s">
        <v>32</v>
      </c>
      <c r="H152" s="34" t="s">
        <v>2</v>
      </c>
      <c r="I152" s="29" t="s">
        <v>149</v>
      </c>
      <c r="J152" s="28" t="s">
        <v>173</v>
      </c>
      <c r="K152" s="29">
        <v>37.0</v>
      </c>
      <c r="L152" s="40">
        <v>0.0</v>
      </c>
      <c r="M152" s="41">
        <f t="shared" ref="M152:M153" si="66">iferror(P_SD(K152,L152),"")</f>
        <v>0.08219949365</v>
      </c>
      <c r="N152" s="39"/>
      <c r="O152" s="39"/>
      <c r="P152" s="39"/>
      <c r="Q152" s="39"/>
      <c r="R152" s="39"/>
      <c r="S152" s="39"/>
      <c r="T152" s="39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</row>
    <row r="153">
      <c r="A153" s="28">
        <f t="shared" si="65"/>
        <v>152</v>
      </c>
      <c r="B153" s="34">
        <v>33.0</v>
      </c>
      <c r="C153" s="29" t="s">
        <v>77</v>
      </c>
      <c r="D153" s="35" t="str">
        <f t="shared" si="62"/>
        <v>Harilainen et al., 2006</v>
      </c>
      <c r="E153" s="36" t="s">
        <v>528</v>
      </c>
      <c r="F153" s="36" t="s">
        <v>530</v>
      </c>
      <c r="G153" s="28" t="s">
        <v>32</v>
      </c>
      <c r="H153" s="34" t="s">
        <v>2</v>
      </c>
      <c r="I153" s="29" t="s">
        <v>149</v>
      </c>
      <c r="J153" s="28" t="s">
        <v>151</v>
      </c>
      <c r="K153" s="29">
        <v>37.0</v>
      </c>
      <c r="L153" s="40">
        <v>0.0</v>
      </c>
      <c r="M153" s="41">
        <f t="shared" si="66"/>
        <v>0.08219949365</v>
      </c>
      <c r="N153" s="39"/>
      <c r="O153" s="39"/>
      <c r="P153" s="39"/>
      <c r="Q153" s="39"/>
      <c r="R153" s="39"/>
      <c r="S153" s="39"/>
      <c r="T153" s="39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</row>
    <row r="154">
      <c r="A154" s="28" t="str">
        <f t="shared" si="65"/>
        <v/>
      </c>
      <c r="B154" s="34">
        <v>33.0</v>
      </c>
      <c r="C154" s="29" t="s">
        <v>77</v>
      </c>
      <c r="D154" s="35" t="str">
        <f t="shared" si="62"/>
        <v>Harilainen et al., 2006</v>
      </c>
      <c r="E154" s="36" t="s">
        <v>528</v>
      </c>
      <c r="F154" s="36" t="s">
        <v>530</v>
      </c>
      <c r="G154" s="28" t="s">
        <v>102</v>
      </c>
      <c r="H154" s="34" t="s">
        <v>9</v>
      </c>
      <c r="I154" s="29" t="s">
        <v>92</v>
      </c>
      <c r="J154" s="34" t="s">
        <v>220</v>
      </c>
      <c r="K154" s="29"/>
      <c r="L154" s="41"/>
      <c r="M154" s="38"/>
      <c r="N154" s="39"/>
      <c r="O154" s="39"/>
      <c r="P154" s="39"/>
      <c r="Q154" s="39"/>
      <c r="R154" s="39"/>
      <c r="S154" s="39"/>
      <c r="T154" s="39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</row>
    <row r="155">
      <c r="A155" s="28"/>
      <c r="B155" s="34"/>
      <c r="C155" s="29" t="s">
        <v>77</v>
      </c>
      <c r="D155" s="35" t="str">
        <f t="shared" si="62"/>
        <v>Harilainen et al., 2006</v>
      </c>
      <c r="E155" s="36" t="s">
        <v>528</v>
      </c>
      <c r="F155" s="36" t="s">
        <v>530</v>
      </c>
      <c r="G155" s="28" t="s">
        <v>32</v>
      </c>
      <c r="H155" s="34" t="s">
        <v>9</v>
      </c>
      <c r="I155" s="29" t="s">
        <v>92</v>
      </c>
      <c r="J155" s="28" t="s">
        <v>226</v>
      </c>
      <c r="K155" s="29">
        <v>37.0</v>
      </c>
      <c r="L155" s="38">
        <v>95.0</v>
      </c>
      <c r="M155" s="38">
        <f t="shared" ref="M155:M156" si="67">iferror(RANGE_SD(K155,N155,R155),"")</f>
        <v>15.52682182</v>
      </c>
      <c r="N155" s="29">
        <v>34.0</v>
      </c>
      <c r="O155" s="39"/>
      <c r="P155" s="29">
        <v>95.0</v>
      </c>
      <c r="Q155" s="39"/>
      <c r="R155" s="29">
        <v>100.0</v>
      </c>
      <c r="S155" s="39"/>
      <c r="T155" s="39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</row>
    <row r="156">
      <c r="A156" s="28">
        <f t="shared" ref="A156:A205" si="68">if(G156="Included",row(A156)-1,"")</f>
        <v>155</v>
      </c>
      <c r="B156" s="34">
        <v>33.0</v>
      </c>
      <c r="C156" s="29" t="s">
        <v>77</v>
      </c>
      <c r="D156" s="35" t="str">
        <f t="shared" si="62"/>
        <v>Harilainen et al., 2006</v>
      </c>
      <c r="E156" s="36" t="s">
        <v>528</v>
      </c>
      <c r="F156" s="36" t="s">
        <v>530</v>
      </c>
      <c r="G156" s="28" t="s">
        <v>32</v>
      </c>
      <c r="H156" s="34" t="s">
        <v>9</v>
      </c>
      <c r="I156" s="29" t="s">
        <v>92</v>
      </c>
      <c r="J156" s="34" t="s">
        <v>96</v>
      </c>
      <c r="K156" s="29">
        <v>37.0</v>
      </c>
      <c r="L156" s="38">
        <f>iferror(MEDIAN_MEAN(K156,N156,P156,R156),"")</f>
        <v>6</v>
      </c>
      <c r="M156" s="38">
        <f t="shared" si="67"/>
        <v>1.411529256</v>
      </c>
      <c r="N156" s="29">
        <v>3.0</v>
      </c>
      <c r="O156" s="39"/>
      <c r="P156" s="29">
        <v>6.0</v>
      </c>
      <c r="Q156" s="39"/>
      <c r="R156" s="29">
        <v>9.0</v>
      </c>
      <c r="S156" s="39"/>
      <c r="T156" s="39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</row>
    <row r="157">
      <c r="A157" s="28">
        <f t="shared" si="68"/>
        <v>156</v>
      </c>
      <c r="B157" s="34">
        <v>33.0</v>
      </c>
      <c r="C157" s="29" t="s">
        <v>77</v>
      </c>
      <c r="D157" s="35" t="str">
        <f t="shared" si="62"/>
        <v>Harilainen et al., 2006</v>
      </c>
      <c r="E157" s="36" t="s">
        <v>528</v>
      </c>
      <c r="F157" s="36" t="s">
        <v>530</v>
      </c>
      <c r="G157" s="28" t="s">
        <v>32</v>
      </c>
      <c r="H157" s="34" t="s">
        <v>9</v>
      </c>
      <c r="I157" s="29" t="s">
        <v>92</v>
      </c>
      <c r="J157" s="28" t="s">
        <v>185</v>
      </c>
      <c r="K157" s="29">
        <v>37.0</v>
      </c>
      <c r="L157" s="38">
        <v>1.2</v>
      </c>
      <c r="M157" s="38">
        <v>3.9</v>
      </c>
      <c r="N157" s="39"/>
      <c r="O157" s="39"/>
      <c r="P157" s="39"/>
      <c r="Q157" s="39"/>
      <c r="R157" s="39"/>
      <c r="S157" s="39"/>
      <c r="T157" s="39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</row>
    <row r="158">
      <c r="A158" s="28">
        <f t="shared" si="68"/>
        <v>157</v>
      </c>
      <c r="B158" s="34">
        <v>33.0</v>
      </c>
      <c r="C158" s="29" t="s">
        <v>77</v>
      </c>
      <c r="D158" s="35" t="str">
        <f t="shared" si="62"/>
        <v>Harilainen et al., 2006</v>
      </c>
      <c r="E158" s="36" t="s">
        <v>528</v>
      </c>
      <c r="F158" s="36" t="s">
        <v>530</v>
      </c>
      <c r="G158" s="28" t="s">
        <v>32</v>
      </c>
      <c r="H158" s="34" t="s">
        <v>9</v>
      </c>
      <c r="I158" s="29" t="s">
        <v>149</v>
      </c>
      <c r="J158" s="28" t="s">
        <v>173</v>
      </c>
      <c r="K158" s="29">
        <v>37.0</v>
      </c>
      <c r="L158" s="40">
        <v>1.0</v>
      </c>
      <c r="M158" s="41">
        <f t="shared" ref="M158:M159" si="69">iferror(P_SD(K158,L158),"")</f>
        <v>0.2534484388</v>
      </c>
      <c r="N158" s="39"/>
      <c r="O158" s="39"/>
      <c r="P158" s="39"/>
      <c r="Q158" s="39"/>
      <c r="R158" s="39"/>
      <c r="S158" s="39"/>
      <c r="T158" s="39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</row>
    <row r="159">
      <c r="A159" s="28">
        <f t="shared" si="68"/>
        <v>158</v>
      </c>
      <c r="B159" s="34">
        <v>33.0</v>
      </c>
      <c r="C159" s="29" t="s">
        <v>77</v>
      </c>
      <c r="D159" s="35" t="str">
        <f t="shared" si="62"/>
        <v>Harilainen et al., 2006</v>
      </c>
      <c r="E159" s="36" t="s">
        <v>528</v>
      </c>
      <c r="F159" s="36" t="s">
        <v>530</v>
      </c>
      <c r="G159" s="28" t="s">
        <v>32</v>
      </c>
      <c r="H159" s="34" t="s">
        <v>9</v>
      </c>
      <c r="I159" s="29" t="s">
        <v>149</v>
      </c>
      <c r="J159" s="28" t="s">
        <v>151</v>
      </c>
      <c r="K159" s="29">
        <v>37.0</v>
      </c>
      <c r="L159" s="40">
        <v>1.0</v>
      </c>
      <c r="M159" s="41">
        <f t="shared" si="69"/>
        <v>0.2534484388</v>
      </c>
      <c r="N159" s="39"/>
      <c r="O159" s="39"/>
      <c r="P159" s="39"/>
      <c r="Q159" s="39"/>
      <c r="R159" s="39"/>
      <c r="S159" s="39"/>
      <c r="T159" s="39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</row>
    <row r="160">
      <c r="A160" s="28">
        <f t="shared" si="68"/>
        <v>159</v>
      </c>
      <c r="B160" s="34">
        <v>34.0</v>
      </c>
      <c r="C160" s="29" t="s">
        <v>77</v>
      </c>
      <c r="D160" s="35" t="str">
        <f t="shared" ref="D160:D165" si="70">HYPERLINK("https://github.com/d-wkim/phd/blob/main/data/pdf/heijne_werner_2010.pdf","Heijne &amp; Werner, 2010")</f>
        <v>Heijne &amp; Werner, 2010</v>
      </c>
      <c r="E160" s="36" t="s">
        <v>537</v>
      </c>
      <c r="F160" s="36" t="s">
        <v>539</v>
      </c>
      <c r="G160" s="28" t="s">
        <v>32</v>
      </c>
      <c r="H160" s="34" t="s">
        <v>2</v>
      </c>
      <c r="I160" s="29" t="s">
        <v>92</v>
      </c>
      <c r="J160" s="34" t="s">
        <v>96</v>
      </c>
      <c r="K160" s="29">
        <v>30.0</v>
      </c>
      <c r="L160" s="38">
        <f>iferror(MEDIAN_MEAN(K160,N160,P160,R160),"")</f>
        <v>6.64325233</v>
      </c>
      <c r="M160" s="38">
        <f>iferror(RANGE_SD(K160,N160,R160),"")</f>
        <v>2.205578199</v>
      </c>
      <c r="N160" s="29">
        <v>1.0</v>
      </c>
      <c r="O160" s="39"/>
      <c r="P160" s="29">
        <v>7.0</v>
      </c>
      <c r="Q160" s="39"/>
      <c r="R160" s="29">
        <v>10.0</v>
      </c>
      <c r="S160" s="39"/>
      <c r="T160" s="39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</row>
    <row r="161">
      <c r="A161" s="28" t="str">
        <f t="shared" si="68"/>
        <v/>
      </c>
      <c r="B161" s="34">
        <v>34.0</v>
      </c>
      <c r="C161" s="29" t="s">
        <v>77</v>
      </c>
      <c r="D161" s="35" t="str">
        <f t="shared" si="70"/>
        <v>Heijne &amp; Werner, 2010</v>
      </c>
      <c r="E161" s="36" t="s">
        <v>537</v>
      </c>
      <c r="F161" s="36" t="s">
        <v>539</v>
      </c>
      <c r="G161" s="28" t="s">
        <v>102</v>
      </c>
      <c r="H161" s="34" t="s">
        <v>2</v>
      </c>
      <c r="I161" s="29" t="s">
        <v>92</v>
      </c>
      <c r="J161" s="34" t="s">
        <v>185</v>
      </c>
      <c r="K161" s="29"/>
      <c r="L161" s="41"/>
      <c r="M161" s="38"/>
      <c r="N161" s="39"/>
      <c r="O161" s="39"/>
      <c r="P161" s="39"/>
      <c r="Q161" s="39"/>
      <c r="R161" s="39"/>
      <c r="S161" s="39"/>
      <c r="T161" s="39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</row>
    <row r="162">
      <c r="A162" s="28">
        <f t="shared" si="68"/>
        <v>161</v>
      </c>
      <c r="B162" s="34">
        <v>34.0</v>
      </c>
      <c r="C162" s="29" t="s">
        <v>77</v>
      </c>
      <c r="D162" s="35" t="str">
        <f t="shared" si="70"/>
        <v>Heijne &amp; Werner, 2010</v>
      </c>
      <c r="E162" s="36" t="s">
        <v>537</v>
      </c>
      <c r="F162" s="36" t="s">
        <v>539</v>
      </c>
      <c r="G162" s="28" t="s">
        <v>32</v>
      </c>
      <c r="H162" s="34" t="s">
        <v>2</v>
      </c>
      <c r="I162" s="29" t="s">
        <v>149</v>
      </c>
      <c r="J162" s="34" t="s">
        <v>173</v>
      </c>
      <c r="K162" s="29">
        <v>30.0</v>
      </c>
      <c r="L162" s="40">
        <v>3.0</v>
      </c>
      <c r="M162" s="41">
        <f>iferror(P_SD(K162,L162),"")</f>
        <v>0.7100107227</v>
      </c>
      <c r="N162" s="39"/>
      <c r="O162" s="39"/>
      <c r="P162" s="39"/>
      <c r="Q162" s="39"/>
      <c r="R162" s="39"/>
      <c r="S162" s="39"/>
      <c r="T162" s="39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</row>
    <row r="163">
      <c r="A163" s="28">
        <f t="shared" si="68"/>
        <v>162</v>
      </c>
      <c r="B163" s="34">
        <v>34.0</v>
      </c>
      <c r="C163" s="29" t="s">
        <v>77</v>
      </c>
      <c r="D163" s="35" t="str">
        <f t="shared" si="70"/>
        <v>Heijne &amp; Werner, 2010</v>
      </c>
      <c r="E163" s="36" t="s">
        <v>537</v>
      </c>
      <c r="F163" s="36" t="s">
        <v>539</v>
      </c>
      <c r="G163" s="28" t="s">
        <v>32</v>
      </c>
      <c r="H163" s="34" t="s">
        <v>9</v>
      </c>
      <c r="I163" s="29" t="s">
        <v>92</v>
      </c>
      <c r="J163" s="34" t="s">
        <v>96</v>
      </c>
      <c r="K163" s="29">
        <v>29.0</v>
      </c>
      <c r="L163" s="38">
        <f>iferror(MEDIAN_MEAN(K163,N163,P163,R163),"")</f>
        <v>5</v>
      </c>
      <c r="M163" s="38">
        <f>iferror(RANGE_SD(K163,N163,R163),"")</f>
        <v>1.480538091</v>
      </c>
      <c r="N163" s="29">
        <v>2.0</v>
      </c>
      <c r="O163" s="39"/>
      <c r="P163" s="29">
        <v>5.0</v>
      </c>
      <c r="Q163" s="39"/>
      <c r="R163" s="29">
        <v>8.0</v>
      </c>
      <c r="S163" s="39"/>
      <c r="T163" s="39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</row>
    <row r="164">
      <c r="A164" s="28" t="str">
        <f t="shared" si="68"/>
        <v/>
      </c>
      <c r="B164" s="34">
        <v>34.0</v>
      </c>
      <c r="C164" s="29" t="s">
        <v>77</v>
      </c>
      <c r="D164" s="35" t="str">
        <f t="shared" si="70"/>
        <v>Heijne &amp; Werner, 2010</v>
      </c>
      <c r="E164" s="36" t="s">
        <v>537</v>
      </c>
      <c r="F164" s="36" t="s">
        <v>539</v>
      </c>
      <c r="G164" s="28" t="s">
        <v>102</v>
      </c>
      <c r="H164" s="34" t="s">
        <v>9</v>
      </c>
      <c r="I164" s="29" t="s">
        <v>92</v>
      </c>
      <c r="J164" s="34" t="s">
        <v>185</v>
      </c>
      <c r="K164" s="29"/>
      <c r="L164" s="41"/>
      <c r="M164" s="38"/>
      <c r="N164" s="39"/>
      <c r="O164" s="39"/>
      <c r="P164" s="39"/>
      <c r="Q164" s="39"/>
      <c r="R164" s="39"/>
      <c r="S164" s="39"/>
      <c r="T164" s="39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</row>
    <row r="165">
      <c r="A165" s="28">
        <f t="shared" si="68"/>
        <v>164</v>
      </c>
      <c r="B165" s="34">
        <v>34.0</v>
      </c>
      <c r="C165" s="29" t="s">
        <v>77</v>
      </c>
      <c r="D165" s="35" t="str">
        <f t="shared" si="70"/>
        <v>Heijne &amp; Werner, 2010</v>
      </c>
      <c r="E165" s="36" t="s">
        <v>537</v>
      </c>
      <c r="F165" s="36" t="s">
        <v>539</v>
      </c>
      <c r="G165" s="28" t="s">
        <v>32</v>
      </c>
      <c r="H165" s="34" t="s">
        <v>9</v>
      </c>
      <c r="I165" s="29" t="s">
        <v>149</v>
      </c>
      <c r="J165" s="34" t="s">
        <v>173</v>
      </c>
      <c r="K165" s="29">
        <v>29.0</v>
      </c>
      <c r="L165" s="40">
        <v>8.0</v>
      </c>
      <c r="M165" s="41">
        <f>iferror(P_SD(K165,L165),"")</f>
        <v>2.179709565</v>
      </c>
      <c r="N165" s="39"/>
      <c r="O165" s="39"/>
      <c r="P165" s="39"/>
      <c r="Q165" s="39"/>
      <c r="R165" s="39"/>
      <c r="S165" s="39"/>
      <c r="T165" s="39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</row>
    <row r="166">
      <c r="A166" s="28">
        <f t="shared" si="68"/>
        <v>165</v>
      </c>
      <c r="B166" s="34">
        <v>35.0</v>
      </c>
      <c r="C166" s="29" t="s">
        <v>77</v>
      </c>
      <c r="D166" s="35" t="str">
        <f t="shared" ref="D166:D169" si="71">HYPERLINK("https://github.com/d-wkim/phd/blob/main/data/pdf/holm_2010.pdf","Holm et al., 2010")</f>
        <v>Holm et al., 2010</v>
      </c>
      <c r="E166" s="36" t="s">
        <v>542</v>
      </c>
      <c r="F166" s="36" t="s">
        <v>543</v>
      </c>
      <c r="G166" s="28" t="s">
        <v>32</v>
      </c>
      <c r="H166" s="34" t="s">
        <v>2</v>
      </c>
      <c r="I166" s="29" t="s">
        <v>92</v>
      </c>
      <c r="J166" s="34" t="s">
        <v>185</v>
      </c>
      <c r="K166" s="29">
        <v>28.0</v>
      </c>
      <c r="L166" s="38">
        <v>3.0</v>
      </c>
      <c r="M166" s="38">
        <v>3.2</v>
      </c>
      <c r="N166" s="39"/>
      <c r="O166" s="39"/>
      <c r="P166" s="39"/>
      <c r="Q166" s="39"/>
      <c r="R166" s="39"/>
      <c r="S166" s="39"/>
      <c r="T166" s="39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</row>
    <row r="167">
      <c r="A167" s="28">
        <f t="shared" si="68"/>
        <v>166</v>
      </c>
      <c r="B167" s="34">
        <v>35.0</v>
      </c>
      <c r="C167" s="29" t="s">
        <v>77</v>
      </c>
      <c r="D167" s="35" t="str">
        <f t="shared" si="71"/>
        <v>Holm et al., 2010</v>
      </c>
      <c r="E167" s="36" t="s">
        <v>542</v>
      </c>
      <c r="F167" s="36" t="s">
        <v>543</v>
      </c>
      <c r="G167" s="28" t="s">
        <v>32</v>
      </c>
      <c r="H167" s="34" t="s">
        <v>2</v>
      </c>
      <c r="I167" s="29" t="s">
        <v>92</v>
      </c>
      <c r="J167" s="28" t="s">
        <v>226</v>
      </c>
      <c r="K167" s="29">
        <v>28.0</v>
      </c>
      <c r="L167" s="38">
        <v>84.2</v>
      </c>
      <c r="M167" s="38">
        <v>15.4</v>
      </c>
      <c r="N167" s="39"/>
      <c r="O167" s="39"/>
      <c r="P167" s="39"/>
      <c r="Q167" s="39"/>
      <c r="R167" s="39"/>
      <c r="S167" s="39"/>
      <c r="T167" s="39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</row>
    <row r="168">
      <c r="A168" s="28">
        <f t="shared" si="68"/>
        <v>167</v>
      </c>
      <c r="B168" s="34">
        <v>35.0</v>
      </c>
      <c r="C168" s="29" t="s">
        <v>77</v>
      </c>
      <c r="D168" s="35" t="str">
        <f t="shared" si="71"/>
        <v>Holm et al., 2010</v>
      </c>
      <c r="E168" s="36" t="s">
        <v>542</v>
      </c>
      <c r="F168" s="36" t="s">
        <v>543</v>
      </c>
      <c r="G168" s="28" t="s">
        <v>32</v>
      </c>
      <c r="H168" s="34" t="s">
        <v>9</v>
      </c>
      <c r="I168" s="29" t="s">
        <v>92</v>
      </c>
      <c r="J168" s="34" t="s">
        <v>185</v>
      </c>
      <c r="K168" s="29">
        <v>29.0</v>
      </c>
      <c r="L168" s="38">
        <v>2.0</v>
      </c>
      <c r="M168" s="38">
        <v>3.5</v>
      </c>
      <c r="N168" s="39"/>
      <c r="O168" s="39"/>
      <c r="P168" s="39"/>
      <c r="Q168" s="39"/>
      <c r="R168" s="39"/>
      <c r="S168" s="39"/>
      <c r="T168" s="39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</row>
    <row r="169">
      <c r="A169" s="28">
        <f t="shared" si="68"/>
        <v>168</v>
      </c>
      <c r="B169" s="34">
        <v>35.0</v>
      </c>
      <c r="C169" s="29" t="s">
        <v>77</v>
      </c>
      <c r="D169" s="35" t="str">
        <f t="shared" si="71"/>
        <v>Holm et al., 2010</v>
      </c>
      <c r="E169" s="36" t="s">
        <v>542</v>
      </c>
      <c r="F169" s="36" t="s">
        <v>543</v>
      </c>
      <c r="G169" s="28" t="s">
        <v>32</v>
      </c>
      <c r="H169" s="34" t="s">
        <v>9</v>
      </c>
      <c r="I169" s="29" t="s">
        <v>92</v>
      </c>
      <c r="J169" s="28" t="s">
        <v>226</v>
      </c>
      <c r="K169" s="29">
        <v>29.0</v>
      </c>
      <c r="L169" s="38">
        <v>86.1</v>
      </c>
      <c r="M169" s="38">
        <v>15.1</v>
      </c>
      <c r="N169" s="39"/>
      <c r="O169" s="39"/>
      <c r="P169" s="39"/>
      <c r="Q169" s="39"/>
      <c r="R169" s="39"/>
      <c r="S169" s="39"/>
      <c r="T169" s="39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</row>
    <row r="170">
      <c r="A170" s="28">
        <f t="shared" si="68"/>
        <v>169</v>
      </c>
      <c r="B170" s="34">
        <v>36.0</v>
      </c>
      <c r="C170" s="29" t="s">
        <v>77</v>
      </c>
      <c r="D170" s="35" t="str">
        <f t="shared" ref="D170:D177" si="72">HYPERLINK("https://github.com/d-wkim/phd/blob/main/data/pdf/horstmann_2022.pdf","Horstmann et al., 2022")</f>
        <v>Horstmann et al., 2022</v>
      </c>
      <c r="E170" s="36" t="s">
        <v>546</v>
      </c>
      <c r="F170" s="36" t="s">
        <v>547</v>
      </c>
      <c r="G170" s="28" t="s">
        <v>32</v>
      </c>
      <c r="H170" s="34" t="s">
        <v>9</v>
      </c>
      <c r="I170" s="29" t="s">
        <v>92</v>
      </c>
      <c r="J170" s="34" t="s">
        <v>220</v>
      </c>
      <c r="K170" s="55">
        <v>26.0</v>
      </c>
      <c r="L170" s="38">
        <v>83.7</v>
      </c>
      <c r="M170" s="38">
        <v>12.7</v>
      </c>
      <c r="N170" s="39"/>
      <c r="O170" s="39"/>
      <c r="P170" s="39"/>
      <c r="Q170" s="39"/>
      <c r="R170" s="39"/>
      <c r="S170" s="39"/>
      <c r="T170" s="39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</row>
    <row r="171">
      <c r="A171" s="28">
        <f t="shared" si="68"/>
        <v>170</v>
      </c>
      <c r="B171" s="34">
        <v>36.0</v>
      </c>
      <c r="C171" s="29" t="s">
        <v>77</v>
      </c>
      <c r="D171" s="35" t="str">
        <f t="shared" si="72"/>
        <v>Horstmann et al., 2022</v>
      </c>
      <c r="E171" s="36" t="s">
        <v>546</v>
      </c>
      <c r="F171" s="36" t="s">
        <v>547</v>
      </c>
      <c r="G171" s="28" t="s">
        <v>32</v>
      </c>
      <c r="H171" s="34" t="s">
        <v>9</v>
      </c>
      <c r="I171" s="29" t="s">
        <v>92</v>
      </c>
      <c r="J171" s="34" t="s">
        <v>226</v>
      </c>
      <c r="K171" s="29">
        <v>26.0</v>
      </c>
      <c r="L171" s="38">
        <v>83.5</v>
      </c>
      <c r="M171" s="38">
        <v>17.4</v>
      </c>
      <c r="N171" s="39"/>
      <c r="O171" s="39"/>
      <c r="P171" s="39"/>
      <c r="Q171" s="39"/>
      <c r="R171" s="39"/>
      <c r="S171" s="39"/>
      <c r="T171" s="39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</row>
    <row r="172">
      <c r="A172" s="28">
        <f t="shared" si="68"/>
        <v>171</v>
      </c>
      <c r="B172" s="34">
        <v>36.0</v>
      </c>
      <c r="C172" s="29" t="s">
        <v>77</v>
      </c>
      <c r="D172" s="35" t="str">
        <f t="shared" si="72"/>
        <v>Horstmann et al., 2022</v>
      </c>
      <c r="E172" s="36" t="s">
        <v>546</v>
      </c>
      <c r="F172" s="36" t="s">
        <v>547</v>
      </c>
      <c r="G172" s="28" t="s">
        <v>32</v>
      </c>
      <c r="H172" s="34" t="s">
        <v>9</v>
      </c>
      <c r="I172" s="29" t="s">
        <v>92</v>
      </c>
      <c r="J172" s="34" t="s">
        <v>185</v>
      </c>
      <c r="K172" s="29">
        <v>26.0</v>
      </c>
      <c r="L172" s="38">
        <v>0.2</v>
      </c>
      <c r="M172" s="38">
        <v>2.2</v>
      </c>
      <c r="N172" s="39"/>
      <c r="O172" s="39"/>
      <c r="P172" s="39"/>
      <c r="Q172" s="39"/>
      <c r="R172" s="39"/>
      <c r="S172" s="39"/>
      <c r="T172" s="39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</row>
    <row r="173">
      <c r="A173" s="28">
        <f t="shared" si="68"/>
        <v>172</v>
      </c>
      <c r="B173" s="34">
        <v>36.0</v>
      </c>
      <c r="C173" s="29" t="s">
        <v>77</v>
      </c>
      <c r="D173" s="35" t="str">
        <f t="shared" si="72"/>
        <v>Horstmann et al., 2022</v>
      </c>
      <c r="E173" s="36" t="s">
        <v>546</v>
      </c>
      <c r="F173" s="36" t="s">
        <v>547</v>
      </c>
      <c r="G173" s="28" t="s">
        <v>32</v>
      </c>
      <c r="H173" s="34" t="s">
        <v>9</v>
      </c>
      <c r="I173" s="29" t="s">
        <v>149</v>
      </c>
      <c r="J173" s="28" t="s">
        <v>173</v>
      </c>
      <c r="K173" s="29">
        <v>26.0</v>
      </c>
      <c r="L173" s="40">
        <v>0.0</v>
      </c>
      <c r="M173" s="41">
        <f>iferror(P_SD(K173,L173),"")</f>
        <v>0.09805806757</v>
      </c>
      <c r="N173" s="39"/>
      <c r="O173" s="39"/>
      <c r="P173" s="39"/>
      <c r="Q173" s="39"/>
      <c r="R173" s="39"/>
      <c r="S173" s="39"/>
      <c r="T173" s="39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</row>
    <row r="174">
      <c r="A174" s="28">
        <f t="shared" si="68"/>
        <v>173</v>
      </c>
      <c r="B174" s="34">
        <v>36.0</v>
      </c>
      <c r="C174" s="29" t="s">
        <v>77</v>
      </c>
      <c r="D174" s="35" t="str">
        <f t="shared" si="72"/>
        <v>Horstmann et al., 2022</v>
      </c>
      <c r="E174" s="36" t="s">
        <v>546</v>
      </c>
      <c r="F174" s="36" t="s">
        <v>547</v>
      </c>
      <c r="G174" s="28" t="s">
        <v>32</v>
      </c>
      <c r="H174" s="34" t="s">
        <v>10</v>
      </c>
      <c r="I174" s="29" t="s">
        <v>92</v>
      </c>
      <c r="J174" s="34" t="s">
        <v>220</v>
      </c>
      <c r="K174" s="29">
        <v>23.0</v>
      </c>
      <c r="L174" s="38">
        <v>89.3</v>
      </c>
      <c r="M174" s="38">
        <v>12.2</v>
      </c>
      <c r="N174" s="39"/>
      <c r="O174" s="39"/>
      <c r="P174" s="39"/>
      <c r="Q174" s="39"/>
      <c r="R174" s="39"/>
      <c r="S174" s="39"/>
      <c r="T174" s="39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</row>
    <row r="175">
      <c r="A175" s="28">
        <f t="shared" si="68"/>
        <v>174</v>
      </c>
      <c r="B175" s="34">
        <v>36.0</v>
      </c>
      <c r="C175" s="29" t="s">
        <v>77</v>
      </c>
      <c r="D175" s="35" t="str">
        <f t="shared" si="72"/>
        <v>Horstmann et al., 2022</v>
      </c>
      <c r="E175" s="36" t="s">
        <v>546</v>
      </c>
      <c r="F175" s="36" t="s">
        <v>547</v>
      </c>
      <c r="G175" s="28" t="s">
        <v>32</v>
      </c>
      <c r="H175" s="34" t="s">
        <v>10</v>
      </c>
      <c r="I175" s="29" t="s">
        <v>92</v>
      </c>
      <c r="J175" s="34" t="s">
        <v>226</v>
      </c>
      <c r="K175" s="29">
        <v>23.0</v>
      </c>
      <c r="L175" s="38">
        <v>90.4</v>
      </c>
      <c r="M175" s="38">
        <v>11.9</v>
      </c>
      <c r="N175" s="39"/>
      <c r="O175" s="39"/>
      <c r="P175" s="39"/>
      <c r="Q175" s="39"/>
      <c r="R175" s="39"/>
      <c r="S175" s="39"/>
      <c r="T175" s="39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</row>
    <row r="176">
      <c r="A176" s="28">
        <f t="shared" si="68"/>
        <v>175</v>
      </c>
      <c r="B176" s="34">
        <v>36.0</v>
      </c>
      <c r="C176" s="29" t="s">
        <v>77</v>
      </c>
      <c r="D176" s="35" t="str">
        <f t="shared" si="72"/>
        <v>Horstmann et al., 2022</v>
      </c>
      <c r="E176" s="36" t="s">
        <v>546</v>
      </c>
      <c r="F176" s="36" t="s">
        <v>547</v>
      </c>
      <c r="G176" s="28" t="s">
        <v>32</v>
      </c>
      <c r="H176" s="34" t="s">
        <v>10</v>
      </c>
      <c r="I176" s="29" t="s">
        <v>92</v>
      </c>
      <c r="J176" s="34" t="s">
        <v>185</v>
      </c>
      <c r="K176" s="29">
        <v>23.0</v>
      </c>
      <c r="L176" s="38">
        <v>0.7</v>
      </c>
      <c r="M176" s="38">
        <v>1.1</v>
      </c>
      <c r="N176" s="39"/>
      <c r="O176" s="39"/>
      <c r="P176" s="39"/>
      <c r="Q176" s="39"/>
      <c r="R176" s="39"/>
      <c r="S176" s="39"/>
      <c r="T176" s="39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</row>
    <row r="177">
      <c r="A177" s="28">
        <f t="shared" si="68"/>
        <v>176</v>
      </c>
      <c r="B177" s="34">
        <v>36.0</v>
      </c>
      <c r="C177" s="29" t="s">
        <v>77</v>
      </c>
      <c r="D177" s="35" t="str">
        <f t="shared" si="72"/>
        <v>Horstmann et al., 2022</v>
      </c>
      <c r="E177" s="36" t="s">
        <v>546</v>
      </c>
      <c r="F177" s="36" t="s">
        <v>547</v>
      </c>
      <c r="G177" s="28" t="s">
        <v>32</v>
      </c>
      <c r="H177" s="34" t="s">
        <v>10</v>
      </c>
      <c r="I177" s="29" t="s">
        <v>149</v>
      </c>
      <c r="J177" s="28" t="s">
        <v>173</v>
      </c>
      <c r="K177" s="29">
        <v>23.0</v>
      </c>
      <c r="L177" s="40">
        <v>0.0</v>
      </c>
      <c r="M177" s="41">
        <f t="shared" ref="M177:M178" si="73">iferror(P_SD(K177,L177),"")</f>
        <v>0.104257207</v>
      </c>
      <c r="N177" s="39"/>
      <c r="O177" s="39"/>
      <c r="P177" s="39"/>
      <c r="Q177" s="39"/>
      <c r="R177" s="39"/>
      <c r="S177" s="39"/>
      <c r="T177" s="39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</row>
    <row r="178">
      <c r="A178" s="28">
        <f t="shared" si="68"/>
        <v>177</v>
      </c>
      <c r="B178" s="34">
        <v>37.0</v>
      </c>
      <c r="C178" s="29" t="s">
        <v>77</v>
      </c>
      <c r="D178" s="35" t="str">
        <f t="shared" ref="D178:D185" si="74">HYPERLINK("https://github.com/d-wkim/phd/blob/main/data/pdf/ibrahim_2005.pdf","Ibrahim et al., 2005")</f>
        <v>Ibrahim et al., 2005</v>
      </c>
      <c r="E178" s="36" t="s">
        <v>552</v>
      </c>
      <c r="F178" s="36" t="s">
        <v>553</v>
      </c>
      <c r="G178" s="28" t="s">
        <v>32</v>
      </c>
      <c r="H178" s="34" t="s">
        <v>2</v>
      </c>
      <c r="I178" s="29" t="s">
        <v>149</v>
      </c>
      <c r="J178" s="34" t="s">
        <v>151</v>
      </c>
      <c r="K178" s="29">
        <v>40.0</v>
      </c>
      <c r="L178" s="40">
        <v>5.0</v>
      </c>
      <c r="M178" s="41">
        <f t="shared" si="73"/>
        <v>0.9938586932</v>
      </c>
      <c r="N178" s="39"/>
      <c r="O178" s="39"/>
      <c r="P178" s="39"/>
      <c r="Q178" s="39"/>
      <c r="R178" s="39"/>
      <c r="S178" s="39"/>
      <c r="T178" s="39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</row>
    <row r="179">
      <c r="A179" s="28">
        <f t="shared" si="68"/>
        <v>178</v>
      </c>
      <c r="B179" s="34">
        <v>37.0</v>
      </c>
      <c r="C179" s="29" t="s">
        <v>77</v>
      </c>
      <c r="D179" s="35" t="str">
        <f t="shared" si="74"/>
        <v>Ibrahim et al., 2005</v>
      </c>
      <c r="E179" s="36" t="s">
        <v>552</v>
      </c>
      <c r="F179" s="36" t="s">
        <v>553</v>
      </c>
      <c r="G179" s="28" t="s">
        <v>32</v>
      </c>
      <c r="H179" s="34" t="s">
        <v>2</v>
      </c>
      <c r="I179" s="29" t="s">
        <v>92</v>
      </c>
      <c r="J179" s="34" t="s">
        <v>226</v>
      </c>
      <c r="K179" s="29">
        <v>40.0</v>
      </c>
      <c r="L179" s="38">
        <v>91.6</v>
      </c>
      <c r="M179" s="38">
        <f>iferror(RANGE_SD(K179,N179,R179),"")</f>
        <v>3.94183575</v>
      </c>
      <c r="N179" s="29">
        <v>79.0</v>
      </c>
      <c r="O179" s="39"/>
      <c r="P179" s="39"/>
      <c r="Q179" s="39"/>
      <c r="R179" s="29">
        <v>96.0</v>
      </c>
      <c r="S179" s="39"/>
      <c r="T179" s="39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</row>
    <row r="180">
      <c r="A180" s="28" t="str">
        <f t="shared" si="68"/>
        <v/>
      </c>
      <c r="B180" s="34">
        <v>37.0</v>
      </c>
      <c r="C180" s="29" t="s">
        <v>77</v>
      </c>
      <c r="D180" s="35" t="str">
        <f t="shared" si="74"/>
        <v>Ibrahim et al., 2005</v>
      </c>
      <c r="E180" s="36" t="s">
        <v>552</v>
      </c>
      <c r="F180" s="36" t="s">
        <v>553</v>
      </c>
      <c r="G180" s="28" t="s">
        <v>102</v>
      </c>
      <c r="H180" s="34" t="s">
        <v>2</v>
      </c>
      <c r="I180" s="29" t="s">
        <v>92</v>
      </c>
      <c r="J180" s="34" t="s">
        <v>185</v>
      </c>
      <c r="K180" s="39"/>
      <c r="L180" s="41"/>
      <c r="M180" s="38"/>
      <c r="N180" s="39"/>
      <c r="O180" s="39"/>
      <c r="P180" s="39"/>
      <c r="Q180" s="39"/>
      <c r="R180" s="39"/>
      <c r="S180" s="39"/>
      <c r="T180" s="39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</row>
    <row r="181">
      <c r="A181" s="28">
        <f t="shared" si="68"/>
        <v>180</v>
      </c>
      <c r="B181" s="34">
        <v>37.0</v>
      </c>
      <c r="C181" s="29" t="s">
        <v>77</v>
      </c>
      <c r="D181" s="35" t="str">
        <f t="shared" si="74"/>
        <v>Ibrahim et al., 2005</v>
      </c>
      <c r="E181" s="36" t="s">
        <v>552</v>
      </c>
      <c r="F181" s="36" t="s">
        <v>553</v>
      </c>
      <c r="G181" s="28" t="s">
        <v>32</v>
      </c>
      <c r="H181" s="34" t="s">
        <v>2</v>
      </c>
      <c r="I181" s="29" t="s">
        <v>149</v>
      </c>
      <c r="J181" s="34" t="s">
        <v>173</v>
      </c>
      <c r="K181" s="29">
        <v>40.0</v>
      </c>
      <c r="L181" s="40">
        <v>5.0</v>
      </c>
      <c r="M181" s="41">
        <f t="shared" ref="M181:M182" si="75">iferror(P_SD(K181,L181),"")</f>
        <v>0.9938586932</v>
      </c>
      <c r="N181" s="39"/>
      <c r="O181" s="39"/>
      <c r="P181" s="39"/>
      <c r="Q181" s="39"/>
      <c r="R181" s="39"/>
      <c r="S181" s="39"/>
      <c r="T181" s="39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</row>
    <row r="182">
      <c r="A182" s="28">
        <f t="shared" si="68"/>
        <v>181</v>
      </c>
      <c r="B182" s="34">
        <v>37.0</v>
      </c>
      <c r="C182" s="29" t="s">
        <v>77</v>
      </c>
      <c r="D182" s="35" t="str">
        <f t="shared" si="74"/>
        <v>Ibrahim et al., 2005</v>
      </c>
      <c r="E182" s="36" t="s">
        <v>552</v>
      </c>
      <c r="F182" s="36" t="s">
        <v>553</v>
      </c>
      <c r="G182" s="28" t="s">
        <v>32</v>
      </c>
      <c r="H182" s="34" t="s">
        <v>9</v>
      </c>
      <c r="I182" s="29" t="s">
        <v>149</v>
      </c>
      <c r="J182" s="34" t="s">
        <v>151</v>
      </c>
      <c r="K182" s="29">
        <v>46.0</v>
      </c>
      <c r="L182" s="40">
        <v>7.0</v>
      </c>
      <c r="M182" s="41">
        <f t="shared" si="75"/>
        <v>1.304294228</v>
      </c>
      <c r="N182" s="39"/>
      <c r="O182" s="39"/>
      <c r="P182" s="39"/>
      <c r="Q182" s="39"/>
      <c r="R182" s="39"/>
      <c r="S182" s="39"/>
      <c r="T182" s="39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</row>
    <row r="183">
      <c r="A183" s="28">
        <f t="shared" si="68"/>
        <v>182</v>
      </c>
      <c r="B183" s="34">
        <v>37.0</v>
      </c>
      <c r="C183" s="29" t="s">
        <v>77</v>
      </c>
      <c r="D183" s="35" t="str">
        <f t="shared" si="74"/>
        <v>Ibrahim et al., 2005</v>
      </c>
      <c r="E183" s="36" t="s">
        <v>552</v>
      </c>
      <c r="F183" s="36" t="s">
        <v>553</v>
      </c>
      <c r="G183" s="28" t="s">
        <v>32</v>
      </c>
      <c r="H183" s="34" t="s">
        <v>9</v>
      </c>
      <c r="I183" s="29" t="s">
        <v>92</v>
      </c>
      <c r="J183" s="34" t="s">
        <v>226</v>
      </c>
      <c r="K183" s="29">
        <v>46.0</v>
      </c>
      <c r="L183" s="38">
        <v>92.7</v>
      </c>
      <c r="M183" s="38">
        <f>iferror(RANGE_SD(K183,N183,R183),"")</f>
        <v>3.618064061</v>
      </c>
      <c r="N183" s="29">
        <v>81.0</v>
      </c>
      <c r="O183" s="39"/>
      <c r="P183" s="39"/>
      <c r="Q183" s="39"/>
      <c r="R183" s="29">
        <v>97.0</v>
      </c>
      <c r="S183" s="39"/>
      <c r="T183" s="39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</row>
    <row r="184">
      <c r="A184" s="28" t="str">
        <f t="shared" si="68"/>
        <v/>
      </c>
      <c r="B184" s="34">
        <v>37.0</v>
      </c>
      <c r="C184" s="29" t="s">
        <v>77</v>
      </c>
      <c r="D184" s="35" t="str">
        <f t="shared" si="74"/>
        <v>Ibrahim et al., 2005</v>
      </c>
      <c r="E184" s="36" t="s">
        <v>552</v>
      </c>
      <c r="F184" s="36" t="s">
        <v>553</v>
      </c>
      <c r="G184" s="28" t="s">
        <v>102</v>
      </c>
      <c r="H184" s="34" t="s">
        <v>9</v>
      </c>
      <c r="I184" s="29" t="s">
        <v>92</v>
      </c>
      <c r="J184" s="34" t="s">
        <v>185</v>
      </c>
      <c r="K184" s="39"/>
      <c r="L184" s="41"/>
      <c r="M184" s="38"/>
      <c r="N184" s="39"/>
      <c r="O184" s="39"/>
      <c r="P184" s="39"/>
      <c r="Q184" s="39"/>
      <c r="R184" s="39"/>
      <c r="S184" s="39"/>
      <c r="T184" s="39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</row>
    <row r="185">
      <c r="A185" s="28">
        <f t="shared" si="68"/>
        <v>184</v>
      </c>
      <c r="B185" s="34">
        <v>37.0</v>
      </c>
      <c r="C185" s="29" t="s">
        <v>77</v>
      </c>
      <c r="D185" s="35" t="str">
        <f t="shared" si="74"/>
        <v>Ibrahim et al., 2005</v>
      </c>
      <c r="E185" s="36" t="s">
        <v>552</v>
      </c>
      <c r="F185" s="36" t="s">
        <v>553</v>
      </c>
      <c r="G185" s="28" t="s">
        <v>32</v>
      </c>
      <c r="H185" s="34" t="s">
        <v>9</v>
      </c>
      <c r="I185" s="29" t="s">
        <v>149</v>
      </c>
      <c r="J185" s="34" t="s">
        <v>173</v>
      </c>
      <c r="K185" s="29">
        <v>45.0</v>
      </c>
      <c r="L185" s="40">
        <v>8.0</v>
      </c>
      <c r="M185" s="41">
        <f>iferror(P_SD(K185,L185),"")</f>
        <v>1.541073876</v>
      </c>
      <c r="N185" s="39"/>
      <c r="O185" s="39"/>
      <c r="P185" s="39"/>
      <c r="Q185" s="39"/>
      <c r="R185" s="39"/>
      <c r="S185" s="39"/>
      <c r="T185" s="39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</row>
    <row r="186">
      <c r="A186" s="28">
        <f t="shared" si="68"/>
        <v>185</v>
      </c>
      <c r="B186" s="34">
        <v>38.0</v>
      </c>
      <c r="C186" s="29" t="s">
        <v>77</v>
      </c>
      <c r="D186" s="35" t="str">
        <f t="shared" ref="D186:D193" si="76">HYPERLINK("https://github.com/d-wkim/phd/blob/main/data/pdf/iliopoulos_2017.pdf","Iliopoulos et al., 2017")</f>
        <v>Iliopoulos et al., 2017</v>
      </c>
      <c r="E186" s="36" t="s">
        <v>554</v>
      </c>
      <c r="F186" s="36" t="s">
        <v>555</v>
      </c>
      <c r="G186" s="28" t="s">
        <v>32</v>
      </c>
      <c r="H186" s="34" t="s">
        <v>2</v>
      </c>
      <c r="I186" s="29" t="s">
        <v>92</v>
      </c>
      <c r="J186" s="34" t="s">
        <v>220</v>
      </c>
      <c r="K186" s="55">
        <v>45.0</v>
      </c>
      <c r="L186" s="38">
        <v>83.2</v>
      </c>
      <c r="M186" s="38">
        <v>2.8</v>
      </c>
      <c r="N186" s="39"/>
      <c r="O186" s="39"/>
      <c r="P186" s="39"/>
      <c r="Q186" s="39"/>
      <c r="R186" s="39"/>
      <c r="S186" s="39"/>
      <c r="T186" s="39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</row>
    <row r="187">
      <c r="A187" s="28">
        <f t="shared" si="68"/>
        <v>186</v>
      </c>
      <c r="B187" s="34">
        <v>38.0</v>
      </c>
      <c r="C187" s="29" t="s">
        <v>77</v>
      </c>
      <c r="D187" s="35" t="str">
        <f t="shared" si="76"/>
        <v>Iliopoulos et al., 2017</v>
      </c>
      <c r="E187" s="36" t="s">
        <v>554</v>
      </c>
      <c r="F187" s="36" t="s">
        <v>555</v>
      </c>
      <c r="G187" s="28" t="s">
        <v>32</v>
      </c>
      <c r="H187" s="34" t="s">
        <v>2</v>
      </c>
      <c r="I187" s="29" t="s">
        <v>92</v>
      </c>
      <c r="J187" s="34" t="s">
        <v>226</v>
      </c>
      <c r="K187" s="29">
        <v>45.0</v>
      </c>
      <c r="L187" s="38">
        <v>95.8</v>
      </c>
      <c r="M187" s="38">
        <v>2.4</v>
      </c>
      <c r="N187" s="39"/>
      <c r="O187" s="39"/>
      <c r="P187" s="39"/>
      <c r="Q187" s="39"/>
      <c r="R187" s="39"/>
      <c r="S187" s="39"/>
      <c r="T187" s="39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</row>
    <row r="188">
      <c r="A188" s="28" t="str">
        <f t="shared" si="68"/>
        <v/>
      </c>
      <c r="B188" s="34">
        <v>38.0</v>
      </c>
      <c r="C188" s="29" t="s">
        <v>77</v>
      </c>
      <c r="D188" s="35" t="str">
        <f t="shared" si="76"/>
        <v>Iliopoulos et al., 2017</v>
      </c>
      <c r="E188" s="36" t="s">
        <v>554</v>
      </c>
      <c r="F188" s="36" t="s">
        <v>555</v>
      </c>
      <c r="G188" s="28" t="s">
        <v>102</v>
      </c>
      <c r="H188" s="34" t="s">
        <v>2</v>
      </c>
      <c r="I188" s="29" t="s">
        <v>149</v>
      </c>
      <c r="J188" s="34" t="s">
        <v>173</v>
      </c>
      <c r="K188" s="39"/>
      <c r="L188" s="40"/>
      <c r="M188" s="41" t="str">
        <f t="shared" ref="M188:M189" si="77">iferror(P_SD(K188,L188),"")</f>
        <v/>
      </c>
      <c r="N188" s="39"/>
      <c r="O188" s="39"/>
      <c r="P188" s="39"/>
      <c r="Q188" s="39"/>
      <c r="R188" s="39"/>
      <c r="S188" s="39"/>
      <c r="T188" s="39"/>
      <c r="U188" s="9" t="s">
        <v>556</v>
      </c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</row>
    <row r="189">
      <c r="A189" s="28" t="str">
        <f t="shared" si="68"/>
        <v/>
      </c>
      <c r="B189" s="34">
        <v>38.0</v>
      </c>
      <c r="C189" s="29" t="s">
        <v>77</v>
      </c>
      <c r="D189" s="35" t="str">
        <f t="shared" si="76"/>
        <v>Iliopoulos et al., 2017</v>
      </c>
      <c r="E189" s="36" t="s">
        <v>554</v>
      </c>
      <c r="F189" s="36" t="s">
        <v>555</v>
      </c>
      <c r="G189" s="28" t="s">
        <v>102</v>
      </c>
      <c r="H189" s="34" t="s">
        <v>2</v>
      </c>
      <c r="I189" s="29" t="s">
        <v>149</v>
      </c>
      <c r="J189" s="34" t="s">
        <v>151</v>
      </c>
      <c r="K189" s="39"/>
      <c r="L189" s="43"/>
      <c r="M189" s="41" t="str">
        <f t="shared" si="77"/>
        <v/>
      </c>
      <c r="N189" s="39"/>
      <c r="O189" s="39"/>
      <c r="P189" s="39"/>
      <c r="Q189" s="39"/>
      <c r="R189" s="39"/>
      <c r="S189" s="39"/>
      <c r="T189" s="39"/>
      <c r="U189" s="9" t="s">
        <v>556</v>
      </c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</row>
    <row r="190">
      <c r="A190" s="28">
        <f t="shared" si="68"/>
        <v>189</v>
      </c>
      <c r="B190" s="34">
        <v>38.0</v>
      </c>
      <c r="C190" s="29" t="s">
        <v>77</v>
      </c>
      <c r="D190" s="35" t="str">
        <f t="shared" si="76"/>
        <v>Iliopoulos et al., 2017</v>
      </c>
      <c r="E190" s="36" t="s">
        <v>554</v>
      </c>
      <c r="F190" s="36" t="s">
        <v>555</v>
      </c>
      <c r="G190" s="28" t="s">
        <v>32</v>
      </c>
      <c r="H190" s="34" t="s">
        <v>9</v>
      </c>
      <c r="I190" s="29" t="s">
        <v>92</v>
      </c>
      <c r="J190" s="34" t="s">
        <v>220</v>
      </c>
      <c r="K190" s="29">
        <v>45.0</v>
      </c>
      <c r="L190" s="38">
        <v>82.78</v>
      </c>
      <c r="M190" s="38">
        <v>2.8</v>
      </c>
      <c r="N190" s="39"/>
      <c r="O190" s="39"/>
      <c r="P190" s="39"/>
      <c r="Q190" s="39"/>
      <c r="R190" s="39"/>
      <c r="S190" s="39"/>
      <c r="T190" s="39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</row>
    <row r="191">
      <c r="A191" s="28">
        <f t="shared" si="68"/>
        <v>190</v>
      </c>
      <c r="B191" s="34">
        <v>38.0</v>
      </c>
      <c r="C191" s="29" t="s">
        <v>77</v>
      </c>
      <c r="D191" s="35" t="str">
        <f t="shared" si="76"/>
        <v>Iliopoulos et al., 2017</v>
      </c>
      <c r="E191" s="36" t="s">
        <v>554</v>
      </c>
      <c r="F191" s="36" t="s">
        <v>555</v>
      </c>
      <c r="G191" s="28" t="s">
        <v>32</v>
      </c>
      <c r="H191" s="34" t="s">
        <v>9</v>
      </c>
      <c r="I191" s="29" t="s">
        <v>92</v>
      </c>
      <c r="J191" s="34" t="s">
        <v>226</v>
      </c>
      <c r="K191" s="29">
        <v>45.0</v>
      </c>
      <c r="L191" s="38">
        <v>94.0</v>
      </c>
      <c r="M191" s="38">
        <v>3.6</v>
      </c>
      <c r="N191" s="39"/>
      <c r="O191" s="39"/>
      <c r="P191" s="39"/>
      <c r="Q191" s="39"/>
      <c r="R191" s="39"/>
      <c r="S191" s="39"/>
      <c r="T191" s="39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</row>
    <row r="192">
      <c r="A192" s="28" t="str">
        <f t="shared" si="68"/>
        <v/>
      </c>
      <c r="B192" s="34">
        <v>38.0</v>
      </c>
      <c r="C192" s="29" t="s">
        <v>77</v>
      </c>
      <c r="D192" s="35" t="str">
        <f t="shared" si="76"/>
        <v>Iliopoulos et al., 2017</v>
      </c>
      <c r="E192" s="36" t="s">
        <v>554</v>
      </c>
      <c r="F192" s="36" t="s">
        <v>555</v>
      </c>
      <c r="G192" s="28" t="s">
        <v>102</v>
      </c>
      <c r="H192" s="34" t="s">
        <v>9</v>
      </c>
      <c r="I192" s="29" t="s">
        <v>149</v>
      </c>
      <c r="J192" s="34" t="s">
        <v>173</v>
      </c>
      <c r="K192" s="39"/>
      <c r="L192" s="40"/>
      <c r="M192" s="41" t="str">
        <f t="shared" ref="M192:M195" si="78">iferror(P_SD(K192,L192),"")</f>
        <v/>
      </c>
      <c r="N192" s="39"/>
      <c r="O192" s="39"/>
      <c r="P192" s="39"/>
      <c r="Q192" s="39"/>
      <c r="R192" s="39"/>
      <c r="S192" s="39"/>
      <c r="T192" s="39"/>
      <c r="U192" s="9" t="s">
        <v>556</v>
      </c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</row>
    <row r="193">
      <c r="A193" s="28" t="str">
        <f t="shared" si="68"/>
        <v/>
      </c>
      <c r="B193" s="34">
        <v>38.0</v>
      </c>
      <c r="C193" s="29" t="s">
        <v>77</v>
      </c>
      <c r="D193" s="35" t="str">
        <f t="shared" si="76"/>
        <v>Iliopoulos et al., 2017</v>
      </c>
      <c r="E193" s="36" t="s">
        <v>554</v>
      </c>
      <c r="F193" s="36" t="s">
        <v>555</v>
      </c>
      <c r="G193" s="28" t="s">
        <v>102</v>
      </c>
      <c r="H193" s="34" t="s">
        <v>9</v>
      </c>
      <c r="I193" s="29" t="s">
        <v>149</v>
      </c>
      <c r="J193" s="34" t="s">
        <v>151</v>
      </c>
      <c r="K193" s="39"/>
      <c r="L193" s="43"/>
      <c r="M193" s="41" t="str">
        <f t="shared" si="78"/>
        <v/>
      </c>
      <c r="N193" s="39"/>
      <c r="O193" s="39"/>
      <c r="P193" s="39"/>
      <c r="Q193" s="39"/>
      <c r="R193" s="39"/>
      <c r="S193" s="39"/>
      <c r="T193" s="39"/>
      <c r="U193" s="9" t="s">
        <v>556</v>
      </c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</row>
    <row r="194">
      <c r="A194" s="28">
        <f t="shared" si="68"/>
        <v>193</v>
      </c>
      <c r="B194" s="34">
        <v>41.0</v>
      </c>
      <c r="C194" s="29" t="s">
        <v>77</v>
      </c>
      <c r="D194" s="35" t="str">
        <f t="shared" ref="D194:D203" si="79">HYPERLINK("https://github.com/d-wkim/phd/blob/main/data/pdf/jansson_2003.pdf","Jansson et al., 2003")</f>
        <v>Jansson et al., 2003</v>
      </c>
      <c r="E194" s="36" t="s">
        <v>557</v>
      </c>
      <c r="F194" s="36" t="s">
        <v>558</v>
      </c>
      <c r="G194" s="28" t="s">
        <v>32</v>
      </c>
      <c r="H194" s="34" t="s">
        <v>2</v>
      </c>
      <c r="I194" s="29" t="s">
        <v>149</v>
      </c>
      <c r="J194" s="34" t="s">
        <v>151</v>
      </c>
      <c r="K194" s="29">
        <v>43.0</v>
      </c>
      <c r="L194" s="40">
        <v>8.0</v>
      </c>
      <c r="M194" s="41">
        <f t="shared" si="78"/>
        <v>1.592520784</v>
      </c>
      <c r="N194" s="39"/>
      <c r="O194" s="39"/>
      <c r="P194" s="39"/>
      <c r="Q194" s="39"/>
      <c r="R194" s="39"/>
      <c r="S194" s="39"/>
      <c r="T194" s="39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</row>
    <row r="195">
      <c r="A195" s="28">
        <f t="shared" si="68"/>
        <v>194</v>
      </c>
      <c r="B195" s="34">
        <v>41.0</v>
      </c>
      <c r="C195" s="29" t="s">
        <v>77</v>
      </c>
      <c r="D195" s="35" t="str">
        <f t="shared" si="79"/>
        <v>Jansson et al., 2003</v>
      </c>
      <c r="E195" s="36" t="s">
        <v>557</v>
      </c>
      <c r="F195" s="36" t="s">
        <v>558</v>
      </c>
      <c r="G195" s="28" t="s">
        <v>32</v>
      </c>
      <c r="H195" s="34" t="s">
        <v>2</v>
      </c>
      <c r="I195" s="29" t="s">
        <v>149</v>
      </c>
      <c r="J195" s="34" t="s">
        <v>173</v>
      </c>
      <c r="K195" s="29">
        <v>43.0</v>
      </c>
      <c r="L195" s="40">
        <v>3.0</v>
      </c>
      <c r="M195" s="41">
        <f t="shared" si="78"/>
        <v>0.5737758709</v>
      </c>
      <c r="N195" s="39"/>
      <c r="O195" s="39"/>
      <c r="P195" s="39"/>
      <c r="Q195" s="39"/>
      <c r="R195" s="39"/>
      <c r="S195" s="39"/>
      <c r="T195" s="39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</row>
    <row r="196">
      <c r="A196" s="28">
        <f t="shared" si="68"/>
        <v>195</v>
      </c>
      <c r="B196" s="34">
        <v>41.0</v>
      </c>
      <c r="C196" s="29" t="s">
        <v>77</v>
      </c>
      <c r="D196" s="35" t="str">
        <f t="shared" si="79"/>
        <v>Jansson et al., 2003</v>
      </c>
      <c r="E196" s="36" t="s">
        <v>557</v>
      </c>
      <c r="F196" s="36" t="s">
        <v>558</v>
      </c>
      <c r="G196" s="28" t="s">
        <v>32</v>
      </c>
      <c r="H196" s="34" t="s">
        <v>2</v>
      </c>
      <c r="I196" s="29" t="s">
        <v>92</v>
      </c>
      <c r="J196" s="34" t="s">
        <v>185</v>
      </c>
      <c r="K196" s="29">
        <v>43.0</v>
      </c>
      <c r="L196" s="38">
        <v>1.7</v>
      </c>
      <c r="M196" s="38">
        <f>iferror(RANGE_SD(K196,N196,R196),"")</f>
        <v>2.631790618</v>
      </c>
      <c r="N196" s="29">
        <v>-3.7</v>
      </c>
      <c r="O196" s="39"/>
      <c r="P196" s="39"/>
      <c r="Q196" s="39"/>
      <c r="R196" s="29">
        <v>7.8</v>
      </c>
      <c r="S196" s="39"/>
      <c r="T196" s="39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</row>
    <row r="197">
      <c r="A197" s="28" t="str">
        <f t="shared" si="68"/>
        <v/>
      </c>
      <c r="B197" s="34">
        <v>41.0</v>
      </c>
      <c r="C197" s="29" t="s">
        <v>77</v>
      </c>
      <c r="D197" s="35" t="str">
        <f t="shared" si="79"/>
        <v>Jansson et al., 2003</v>
      </c>
      <c r="E197" s="36" t="s">
        <v>557</v>
      </c>
      <c r="F197" s="36" t="s">
        <v>558</v>
      </c>
      <c r="G197" s="28" t="s">
        <v>102</v>
      </c>
      <c r="H197" s="34" t="s">
        <v>2</v>
      </c>
      <c r="I197" s="29" t="s">
        <v>92</v>
      </c>
      <c r="J197" s="34" t="s">
        <v>226</v>
      </c>
      <c r="K197" s="29"/>
      <c r="L197" s="41"/>
      <c r="M197" s="38"/>
      <c r="N197" s="39"/>
      <c r="O197" s="39"/>
      <c r="P197" s="39"/>
      <c r="Q197" s="39"/>
      <c r="R197" s="39"/>
      <c r="S197" s="39"/>
      <c r="T197" s="39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</row>
    <row r="198">
      <c r="A198" s="28">
        <f t="shared" si="68"/>
        <v>197</v>
      </c>
      <c r="B198" s="34">
        <v>41.0</v>
      </c>
      <c r="C198" s="29" t="s">
        <v>77</v>
      </c>
      <c r="D198" s="35" t="str">
        <f t="shared" si="79"/>
        <v>Jansson et al., 2003</v>
      </c>
      <c r="E198" s="36" t="s">
        <v>557</v>
      </c>
      <c r="F198" s="36" t="s">
        <v>558</v>
      </c>
      <c r="G198" s="28" t="s">
        <v>32</v>
      </c>
      <c r="H198" s="34" t="s">
        <v>2</v>
      </c>
      <c r="I198" s="29" t="s">
        <v>92</v>
      </c>
      <c r="J198" s="34" t="s">
        <v>96</v>
      </c>
      <c r="K198" s="29">
        <v>43.0</v>
      </c>
      <c r="L198" s="38">
        <f>iferror(MEDIAN_MEAN(K198,N198,P198,R198),"")</f>
        <v>5.984570756</v>
      </c>
      <c r="M198" s="38">
        <f>iferror(RANGE_SD(K198,N198,R198),"")</f>
        <v>1.601959506</v>
      </c>
      <c r="N198" s="29">
        <v>2.0</v>
      </c>
      <c r="O198" s="39"/>
      <c r="P198" s="29">
        <v>6.1</v>
      </c>
      <c r="Q198" s="39"/>
      <c r="R198" s="29">
        <v>9.0</v>
      </c>
      <c r="S198" s="39"/>
      <c r="T198" s="39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</row>
    <row r="199">
      <c r="A199" s="28">
        <f t="shared" si="68"/>
        <v>198</v>
      </c>
      <c r="B199" s="34">
        <v>41.0</v>
      </c>
      <c r="C199" s="29" t="s">
        <v>77</v>
      </c>
      <c r="D199" s="35" t="str">
        <f t="shared" si="79"/>
        <v>Jansson et al., 2003</v>
      </c>
      <c r="E199" s="36" t="s">
        <v>557</v>
      </c>
      <c r="F199" s="36" t="s">
        <v>558</v>
      </c>
      <c r="G199" s="28" t="s">
        <v>32</v>
      </c>
      <c r="H199" s="34" t="s">
        <v>9</v>
      </c>
      <c r="I199" s="29" t="s">
        <v>149</v>
      </c>
      <c r="J199" s="34" t="s">
        <v>151</v>
      </c>
      <c r="K199" s="29">
        <v>46.0</v>
      </c>
      <c r="L199" s="40">
        <v>8.0</v>
      </c>
      <c r="M199" s="41">
        <f t="shared" ref="M199:M200" si="80">iferror(P_SD(K199,L199),"")</f>
        <v>1.517100128</v>
      </c>
      <c r="N199" s="39"/>
      <c r="O199" s="39"/>
      <c r="P199" s="39"/>
      <c r="Q199" s="39"/>
      <c r="R199" s="39"/>
      <c r="S199" s="39"/>
      <c r="T199" s="39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</row>
    <row r="200">
      <c r="A200" s="28">
        <f t="shared" si="68"/>
        <v>199</v>
      </c>
      <c r="B200" s="34">
        <v>41.0</v>
      </c>
      <c r="C200" s="29" t="s">
        <v>77</v>
      </c>
      <c r="D200" s="35" t="str">
        <f t="shared" si="79"/>
        <v>Jansson et al., 2003</v>
      </c>
      <c r="E200" s="36" t="s">
        <v>557</v>
      </c>
      <c r="F200" s="36" t="s">
        <v>558</v>
      </c>
      <c r="G200" s="28" t="s">
        <v>32</v>
      </c>
      <c r="H200" s="34" t="s">
        <v>9</v>
      </c>
      <c r="I200" s="29" t="s">
        <v>149</v>
      </c>
      <c r="J200" s="34" t="s">
        <v>173</v>
      </c>
      <c r="K200" s="29">
        <v>46.0</v>
      </c>
      <c r="L200" s="40">
        <v>3.0</v>
      </c>
      <c r="M200" s="41">
        <f t="shared" si="80"/>
        <v>0.5520501149</v>
      </c>
      <c r="N200" s="39"/>
      <c r="O200" s="39"/>
      <c r="P200" s="39"/>
      <c r="Q200" s="39"/>
      <c r="R200" s="39"/>
      <c r="S200" s="39"/>
      <c r="T200" s="39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</row>
    <row r="201">
      <c r="A201" s="28">
        <f t="shared" si="68"/>
        <v>200</v>
      </c>
      <c r="B201" s="34">
        <v>41.0</v>
      </c>
      <c r="C201" s="29" t="s">
        <v>77</v>
      </c>
      <c r="D201" s="35" t="str">
        <f t="shared" si="79"/>
        <v>Jansson et al., 2003</v>
      </c>
      <c r="E201" s="36" t="s">
        <v>557</v>
      </c>
      <c r="F201" s="36" t="s">
        <v>558</v>
      </c>
      <c r="G201" s="28" t="s">
        <v>32</v>
      </c>
      <c r="H201" s="34" t="s">
        <v>9</v>
      </c>
      <c r="I201" s="29" t="s">
        <v>92</v>
      </c>
      <c r="J201" s="34" t="s">
        <v>185</v>
      </c>
      <c r="K201" s="29">
        <v>46.0</v>
      </c>
      <c r="L201" s="38">
        <v>1.2</v>
      </c>
      <c r="M201" s="38">
        <f>iferror(RANGE_SD(K201,N201,R201),"")</f>
        <v>2.645709345</v>
      </c>
      <c r="N201" s="29">
        <v>-4.3</v>
      </c>
      <c r="O201" s="39"/>
      <c r="P201" s="39"/>
      <c r="Q201" s="39"/>
      <c r="R201" s="29">
        <v>7.4</v>
      </c>
      <c r="S201" s="39"/>
      <c r="T201" s="39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</row>
    <row r="202">
      <c r="A202" s="28" t="str">
        <f t="shared" si="68"/>
        <v/>
      </c>
      <c r="B202" s="34">
        <v>41.0</v>
      </c>
      <c r="C202" s="29" t="s">
        <v>77</v>
      </c>
      <c r="D202" s="35" t="str">
        <f t="shared" si="79"/>
        <v>Jansson et al., 2003</v>
      </c>
      <c r="E202" s="36" t="s">
        <v>557</v>
      </c>
      <c r="F202" s="36" t="s">
        <v>558</v>
      </c>
      <c r="G202" s="28" t="s">
        <v>102</v>
      </c>
      <c r="H202" s="34" t="s">
        <v>9</v>
      </c>
      <c r="I202" s="29" t="s">
        <v>92</v>
      </c>
      <c r="J202" s="34" t="s">
        <v>226</v>
      </c>
      <c r="K202" s="29"/>
      <c r="L202" s="41"/>
      <c r="M202" s="38"/>
      <c r="N202" s="39"/>
      <c r="O202" s="39"/>
      <c r="P202" s="39"/>
      <c r="Q202" s="39"/>
      <c r="R202" s="39"/>
      <c r="S202" s="39"/>
      <c r="T202" s="39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</row>
    <row r="203">
      <c r="A203" s="28">
        <f t="shared" si="68"/>
        <v>202</v>
      </c>
      <c r="B203" s="34">
        <v>41.0</v>
      </c>
      <c r="C203" s="29" t="s">
        <v>77</v>
      </c>
      <c r="D203" s="35" t="str">
        <f t="shared" si="79"/>
        <v>Jansson et al., 2003</v>
      </c>
      <c r="E203" s="36" t="s">
        <v>557</v>
      </c>
      <c r="F203" s="36" t="s">
        <v>558</v>
      </c>
      <c r="G203" s="28" t="s">
        <v>32</v>
      </c>
      <c r="H203" s="34" t="s">
        <v>9</v>
      </c>
      <c r="I203" s="29" t="s">
        <v>92</v>
      </c>
      <c r="J203" s="34" t="s">
        <v>96</v>
      </c>
      <c r="K203" s="29">
        <v>46.0</v>
      </c>
      <c r="L203" s="38">
        <f>iferror(MEDIAN_MEAN(K203,N203,P203,R203),"")</f>
        <v>5.815354721</v>
      </c>
      <c r="M203" s="38">
        <f>iferror(RANGE_SD(K203,N203,R203),"")</f>
        <v>2.261290038</v>
      </c>
      <c r="N203" s="29">
        <v>0.0</v>
      </c>
      <c r="O203" s="39"/>
      <c r="P203" s="29">
        <v>6.0</v>
      </c>
      <c r="Q203" s="39"/>
      <c r="R203" s="29">
        <v>10.0</v>
      </c>
      <c r="S203" s="39"/>
      <c r="T203" s="39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</row>
    <row r="204">
      <c r="A204" s="28">
        <f t="shared" si="68"/>
        <v>203</v>
      </c>
      <c r="B204" s="34">
        <v>43.0</v>
      </c>
      <c r="C204" s="29" t="s">
        <v>77</v>
      </c>
      <c r="D204" s="35" t="str">
        <f t="shared" ref="D204:D209" si="81">HYPERLINK("https://github.com/d-wkim/phd/blob/main/data/pdf/kautzner_2015.pdf","Kautzner et al., 2015")</f>
        <v>Kautzner et al., 2015</v>
      </c>
      <c r="E204" s="36" t="s">
        <v>587</v>
      </c>
      <c r="F204" s="36" t="s">
        <v>588</v>
      </c>
      <c r="G204" s="28" t="s">
        <v>32</v>
      </c>
      <c r="H204" s="34" t="s">
        <v>2</v>
      </c>
      <c r="I204" s="29" t="s">
        <v>92</v>
      </c>
      <c r="J204" s="34" t="s">
        <v>226</v>
      </c>
      <c r="K204" s="29">
        <v>74.0</v>
      </c>
      <c r="L204" s="38">
        <v>88.0</v>
      </c>
      <c r="M204" s="38">
        <v>7.5</v>
      </c>
      <c r="N204" s="39"/>
      <c r="O204" s="39"/>
      <c r="P204" s="39"/>
      <c r="Q204" s="39"/>
      <c r="R204" s="39"/>
      <c r="S204" s="39"/>
      <c r="T204" s="39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</row>
    <row r="205">
      <c r="A205" s="28">
        <f t="shared" si="68"/>
        <v>204</v>
      </c>
      <c r="B205" s="34">
        <v>43.0</v>
      </c>
      <c r="C205" s="29" t="s">
        <v>77</v>
      </c>
      <c r="D205" s="35" t="str">
        <f t="shared" si="81"/>
        <v>Kautzner et al., 2015</v>
      </c>
      <c r="E205" s="36" t="s">
        <v>587</v>
      </c>
      <c r="F205" s="36" t="s">
        <v>588</v>
      </c>
      <c r="G205" s="28" t="s">
        <v>32</v>
      </c>
      <c r="H205" s="34" t="s">
        <v>2</v>
      </c>
      <c r="I205" s="29" t="s">
        <v>92</v>
      </c>
      <c r="J205" s="34" t="s">
        <v>185</v>
      </c>
      <c r="K205" s="29">
        <v>74.0</v>
      </c>
      <c r="L205" s="38">
        <v>0.6</v>
      </c>
      <c r="M205" s="38">
        <f>iferror(RANGE_SD(K205,N205,R205),"")</f>
        <v>0.2091795305</v>
      </c>
      <c r="N205" s="29">
        <v>0.0</v>
      </c>
      <c r="O205" s="39"/>
      <c r="P205" s="39"/>
      <c r="Q205" s="39"/>
      <c r="R205" s="29">
        <v>1.0</v>
      </c>
      <c r="S205" s="39"/>
      <c r="T205" s="39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</row>
    <row r="206">
      <c r="A206" s="28"/>
      <c r="B206" s="34"/>
      <c r="C206" s="29" t="s">
        <v>77</v>
      </c>
      <c r="D206" s="35" t="str">
        <f t="shared" si="81"/>
        <v>Kautzner et al., 2015</v>
      </c>
      <c r="E206" s="36" t="s">
        <v>587</v>
      </c>
      <c r="F206" s="36" t="s">
        <v>588</v>
      </c>
      <c r="G206" s="28" t="s">
        <v>32</v>
      </c>
      <c r="H206" s="34" t="s">
        <v>2</v>
      </c>
      <c r="I206" s="29" t="s">
        <v>149</v>
      </c>
      <c r="J206" s="28" t="s">
        <v>308</v>
      </c>
      <c r="K206" s="29">
        <v>74.0</v>
      </c>
      <c r="L206" s="40">
        <v>0.0</v>
      </c>
      <c r="M206" s="41">
        <f>iferror(P_SD(K206,L206),"")</f>
        <v>0.05812381937</v>
      </c>
      <c r="N206" s="29"/>
      <c r="O206" s="39"/>
      <c r="P206" s="39"/>
      <c r="Q206" s="39"/>
      <c r="R206" s="29"/>
      <c r="S206" s="39"/>
      <c r="T206" s="39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</row>
    <row r="207">
      <c r="A207" s="28">
        <f t="shared" ref="A207:A208" si="82">if(G207="Included",row(A207)-1,"")</f>
        <v>206</v>
      </c>
      <c r="B207" s="34">
        <v>43.0</v>
      </c>
      <c r="C207" s="29" t="s">
        <v>77</v>
      </c>
      <c r="D207" s="35" t="str">
        <f t="shared" si="81"/>
        <v>Kautzner et al., 2015</v>
      </c>
      <c r="E207" s="36" t="s">
        <v>587</v>
      </c>
      <c r="F207" s="36" t="s">
        <v>588</v>
      </c>
      <c r="G207" s="28" t="s">
        <v>32</v>
      </c>
      <c r="H207" s="34" t="s">
        <v>9</v>
      </c>
      <c r="I207" s="29" t="s">
        <v>92</v>
      </c>
      <c r="J207" s="34" t="s">
        <v>226</v>
      </c>
      <c r="K207" s="29">
        <v>73.0</v>
      </c>
      <c r="L207" s="38">
        <v>90.0</v>
      </c>
      <c r="M207" s="38">
        <v>7.6</v>
      </c>
      <c r="N207" s="39"/>
      <c r="O207" s="39"/>
      <c r="P207" s="39"/>
      <c r="Q207" s="39"/>
      <c r="R207" s="39"/>
      <c r="S207" s="39"/>
      <c r="T207" s="39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</row>
    <row r="208">
      <c r="A208" s="28">
        <f t="shared" si="82"/>
        <v>207</v>
      </c>
      <c r="B208" s="34">
        <v>43.0</v>
      </c>
      <c r="C208" s="29" t="s">
        <v>77</v>
      </c>
      <c r="D208" s="35" t="str">
        <f t="shared" si="81"/>
        <v>Kautzner et al., 2015</v>
      </c>
      <c r="E208" s="36" t="s">
        <v>587</v>
      </c>
      <c r="F208" s="36" t="s">
        <v>588</v>
      </c>
      <c r="G208" s="28" t="s">
        <v>32</v>
      </c>
      <c r="H208" s="34" t="s">
        <v>9</v>
      </c>
      <c r="I208" s="29" t="s">
        <v>92</v>
      </c>
      <c r="J208" s="34" t="s">
        <v>185</v>
      </c>
      <c r="K208" s="29">
        <v>73.0</v>
      </c>
      <c r="L208" s="38">
        <v>0.5</v>
      </c>
      <c r="M208" s="38">
        <f>iferror(RANGE_SD(K208,N208,R208),"")</f>
        <v>0.4192331432</v>
      </c>
      <c r="N208" s="29">
        <v>0.0</v>
      </c>
      <c r="O208" s="39"/>
      <c r="P208" s="39"/>
      <c r="Q208" s="39"/>
      <c r="R208" s="29">
        <v>2.0</v>
      </c>
      <c r="S208" s="39"/>
      <c r="T208" s="39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</row>
    <row r="209">
      <c r="A209" s="28"/>
      <c r="B209" s="34"/>
      <c r="C209" s="29" t="s">
        <v>77</v>
      </c>
      <c r="D209" s="35" t="str">
        <f t="shared" si="81"/>
        <v>Kautzner et al., 2015</v>
      </c>
      <c r="E209" s="36" t="s">
        <v>587</v>
      </c>
      <c r="F209" s="36" t="s">
        <v>588</v>
      </c>
      <c r="G209" s="28" t="s">
        <v>32</v>
      </c>
      <c r="H209" s="34" t="s">
        <v>9</v>
      </c>
      <c r="I209" s="29" t="s">
        <v>149</v>
      </c>
      <c r="J209" s="28" t="s">
        <v>308</v>
      </c>
      <c r="K209" s="29">
        <v>73.0</v>
      </c>
      <c r="L209" s="40">
        <v>2.0</v>
      </c>
      <c r="M209" s="41">
        <f>iferror(P_SD(K209,L209),"")</f>
        <v>0.3008452023</v>
      </c>
      <c r="N209" s="29"/>
      <c r="O209" s="39"/>
      <c r="P209" s="39"/>
      <c r="Q209" s="39"/>
      <c r="R209" s="29"/>
      <c r="S209" s="39"/>
      <c r="T209" s="39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</row>
    <row r="210">
      <c r="A210" s="28">
        <f t="shared" ref="A210:A249" si="83">if(G210="Included",row(A210)-1,"")</f>
        <v>209</v>
      </c>
      <c r="B210" s="34">
        <v>44.0</v>
      </c>
      <c r="C210" s="29" t="s">
        <v>77</v>
      </c>
      <c r="D210" s="35" t="str">
        <f t="shared" ref="D210:D213" si="84">HYPERLINK("https://github.com/d-wkim/phd/blob/main/data/pdf/komzak_2022.pdf","Komzak et al., 2022")</f>
        <v>Komzak et al., 2022</v>
      </c>
      <c r="E210" s="36" t="s">
        <v>601</v>
      </c>
      <c r="F210" s="36" t="s">
        <v>602</v>
      </c>
      <c r="G210" s="28" t="s">
        <v>32</v>
      </c>
      <c r="H210" s="34" t="s">
        <v>2</v>
      </c>
      <c r="I210" s="29" t="s">
        <v>92</v>
      </c>
      <c r="J210" s="34" t="s">
        <v>220</v>
      </c>
      <c r="K210" s="29">
        <v>36.0</v>
      </c>
      <c r="L210" s="38">
        <v>74.2</v>
      </c>
      <c r="M210" s="38">
        <v>10.2</v>
      </c>
      <c r="N210" s="39"/>
      <c r="O210" s="39"/>
      <c r="P210" s="39"/>
      <c r="Q210" s="39"/>
      <c r="R210" s="39"/>
      <c r="S210" s="39"/>
      <c r="T210" s="39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</row>
    <row r="211">
      <c r="A211" s="28">
        <f t="shared" si="83"/>
        <v>210</v>
      </c>
      <c r="B211" s="34">
        <v>44.0</v>
      </c>
      <c r="C211" s="29" t="s">
        <v>77</v>
      </c>
      <c r="D211" s="35" t="str">
        <f t="shared" si="84"/>
        <v>Komzak et al., 2022</v>
      </c>
      <c r="E211" s="36" t="s">
        <v>601</v>
      </c>
      <c r="F211" s="36" t="s">
        <v>602</v>
      </c>
      <c r="G211" s="28" t="s">
        <v>32</v>
      </c>
      <c r="H211" s="34" t="s">
        <v>2</v>
      </c>
      <c r="I211" s="29" t="s">
        <v>92</v>
      </c>
      <c r="J211" s="34" t="s">
        <v>226</v>
      </c>
      <c r="K211" s="29">
        <v>36.0</v>
      </c>
      <c r="L211" s="38">
        <v>93.4</v>
      </c>
      <c r="M211" s="38">
        <v>9.6</v>
      </c>
      <c r="N211" s="39"/>
      <c r="O211" s="39"/>
      <c r="P211" s="39"/>
      <c r="Q211" s="39"/>
      <c r="R211" s="39"/>
      <c r="S211" s="39"/>
      <c r="T211" s="39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</row>
    <row r="212">
      <c r="A212" s="28">
        <f t="shared" si="83"/>
        <v>211</v>
      </c>
      <c r="B212" s="34">
        <v>44.0</v>
      </c>
      <c r="C212" s="29" t="s">
        <v>77</v>
      </c>
      <c r="D212" s="35" t="str">
        <f t="shared" si="84"/>
        <v>Komzak et al., 2022</v>
      </c>
      <c r="E212" s="36" t="s">
        <v>601</v>
      </c>
      <c r="F212" s="36" t="s">
        <v>602</v>
      </c>
      <c r="G212" s="28" t="s">
        <v>32</v>
      </c>
      <c r="H212" s="34" t="s">
        <v>10</v>
      </c>
      <c r="I212" s="29" t="s">
        <v>92</v>
      </c>
      <c r="J212" s="34" t="s">
        <v>220</v>
      </c>
      <c r="K212" s="29">
        <v>36.0</v>
      </c>
      <c r="L212" s="38">
        <v>78.3</v>
      </c>
      <c r="M212" s="38">
        <v>10.5</v>
      </c>
      <c r="N212" s="39"/>
      <c r="O212" s="39"/>
      <c r="P212" s="39"/>
      <c r="Q212" s="39"/>
      <c r="R212" s="39"/>
      <c r="S212" s="39"/>
      <c r="T212" s="39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</row>
    <row r="213">
      <c r="A213" s="28">
        <f t="shared" si="83"/>
        <v>212</v>
      </c>
      <c r="B213" s="34">
        <v>44.0</v>
      </c>
      <c r="C213" s="29" t="s">
        <v>77</v>
      </c>
      <c r="D213" s="35" t="str">
        <f t="shared" si="84"/>
        <v>Komzak et al., 2022</v>
      </c>
      <c r="E213" s="36" t="s">
        <v>601</v>
      </c>
      <c r="F213" s="36" t="s">
        <v>602</v>
      </c>
      <c r="G213" s="28" t="s">
        <v>32</v>
      </c>
      <c r="H213" s="34" t="s">
        <v>10</v>
      </c>
      <c r="I213" s="29" t="s">
        <v>92</v>
      </c>
      <c r="J213" s="34" t="s">
        <v>226</v>
      </c>
      <c r="K213" s="29">
        <v>36.0</v>
      </c>
      <c r="L213" s="38">
        <v>90.1</v>
      </c>
      <c r="M213" s="38">
        <v>6.7</v>
      </c>
      <c r="N213" s="39"/>
      <c r="O213" s="39"/>
      <c r="P213" s="39"/>
      <c r="Q213" s="39"/>
      <c r="R213" s="39"/>
      <c r="S213" s="39"/>
      <c r="T213" s="39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</row>
    <row r="214">
      <c r="A214" s="28">
        <f t="shared" si="83"/>
        <v>213</v>
      </c>
      <c r="B214" s="34">
        <v>45.0</v>
      </c>
      <c r="C214" s="29" t="s">
        <v>77</v>
      </c>
      <c r="D214" s="35" t="str">
        <f t="shared" ref="D214:D225" si="85">HYPERLINK("https://github.com/d-wkim/phd/blob/main/data/pdf/konrads_2016.pdf","Konrads et al., 2016")</f>
        <v>Konrads et al., 2016</v>
      </c>
      <c r="E214" s="36" t="s">
        <v>603</v>
      </c>
      <c r="F214" s="36" t="s">
        <v>604</v>
      </c>
      <c r="G214" s="28" t="s">
        <v>32</v>
      </c>
      <c r="H214" s="34" t="s">
        <v>2</v>
      </c>
      <c r="I214" s="29" t="s">
        <v>92</v>
      </c>
      <c r="J214" s="34" t="s">
        <v>185</v>
      </c>
      <c r="K214" s="29">
        <v>24.0</v>
      </c>
      <c r="L214" s="38">
        <v>1.8</v>
      </c>
      <c r="M214" s="38">
        <f>iferror(RANGE_SD(K214,N214,R214),"")</f>
        <v>0.513636331</v>
      </c>
      <c r="N214" s="29">
        <v>1.0</v>
      </c>
      <c r="O214" s="39"/>
      <c r="P214" s="39"/>
      <c r="Q214" s="39"/>
      <c r="R214" s="29">
        <v>3.0</v>
      </c>
      <c r="S214" s="39"/>
      <c r="T214" s="39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</row>
    <row r="215">
      <c r="A215" s="28" t="str">
        <f t="shared" si="83"/>
        <v/>
      </c>
      <c r="B215" s="34">
        <v>45.0</v>
      </c>
      <c r="C215" s="29" t="s">
        <v>77</v>
      </c>
      <c r="D215" s="35" t="str">
        <f t="shared" si="85"/>
        <v>Konrads et al., 2016</v>
      </c>
      <c r="E215" s="36" t="s">
        <v>603</v>
      </c>
      <c r="F215" s="36" t="s">
        <v>604</v>
      </c>
      <c r="G215" s="28" t="s">
        <v>102</v>
      </c>
      <c r="H215" s="34" t="s">
        <v>2</v>
      </c>
      <c r="I215" s="29" t="s">
        <v>149</v>
      </c>
      <c r="J215" s="34" t="s">
        <v>173</v>
      </c>
      <c r="K215" s="29"/>
      <c r="L215" s="43"/>
      <c r="M215" s="41" t="str">
        <f t="shared" ref="M215:M216" si="86">iferror(P_SD(K215,L215),"")</f>
        <v/>
      </c>
      <c r="N215" s="39"/>
      <c r="O215" s="39"/>
      <c r="P215" s="39"/>
      <c r="Q215" s="39"/>
      <c r="R215" s="39"/>
      <c r="S215" s="39"/>
      <c r="T215" s="39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</row>
    <row r="216">
      <c r="A216" s="28">
        <f t="shared" si="83"/>
        <v>215</v>
      </c>
      <c r="B216" s="34">
        <v>45.0</v>
      </c>
      <c r="C216" s="29" t="s">
        <v>77</v>
      </c>
      <c r="D216" s="35" t="str">
        <f t="shared" si="85"/>
        <v>Konrads et al., 2016</v>
      </c>
      <c r="E216" s="36" t="s">
        <v>603</v>
      </c>
      <c r="F216" s="36" t="s">
        <v>604</v>
      </c>
      <c r="G216" s="28" t="s">
        <v>32</v>
      </c>
      <c r="H216" s="34" t="s">
        <v>2</v>
      </c>
      <c r="I216" s="29" t="s">
        <v>149</v>
      </c>
      <c r="J216" s="34" t="s">
        <v>151</v>
      </c>
      <c r="K216" s="29">
        <v>24.0</v>
      </c>
      <c r="L216" s="40">
        <v>8.0</v>
      </c>
      <c r="M216" s="41">
        <f t="shared" si="86"/>
        <v>2.602582852</v>
      </c>
      <c r="N216" s="39"/>
      <c r="O216" s="39"/>
      <c r="P216" s="39"/>
      <c r="Q216" s="39"/>
      <c r="R216" s="39"/>
      <c r="S216" s="39"/>
      <c r="T216" s="39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</row>
    <row r="217">
      <c r="A217" s="28" t="str">
        <f t="shared" si="83"/>
        <v/>
      </c>
      <c r="B217" s="34">
        <v>45.0</v>
      </c>
      <c r="C217" s="29" t="s">
        <v>77</v>
      </c>
      <c r="D217" s="35" t="str">
        <f t="shared" si="85"/>
        <v>Konrads et al., 2016</v>
      </c>
      <c r="E217" s="36" t="s">
        <v>603</v>
      </c>
      <c r="F217" s="36" t="s">
        <v>604</v>
      </c>
      <c r="G217" s="28" t="s">
        <v>102</v>
      </c>
      <c r="H217" s="34" t="s">
        <v>2</v>
      </c>
      <c r="I217" s="29" t="s">
        <v>92</v>
      </c>
      <c r="J217" s="34" t="s">
        <v>220</v>
      </c>
      <c r="K217" s="29"/>
      <c r="L217" s="41"/>
      <c r="M217" s="38"/>
      <c r="N217" s="39"/>
      <c r="O217" s="39"/>
      <c r="P217" s="39"/>
      <c r="Q217" s="39"/>
      <c r="R217" s="39"/>
      <c r="S217" s="39"/>
      <c r="T217" s="39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</row>
    <row r="218">
      <c r="A218" s="28">
        <f t="shared" si="83"/>
        <v>217</v>
      </c>
      <c r="B218" s="34">
        <v>45.0</v>
      </c>
      <c r="C218" s="29" t="s">
        <v>77</v>
      </c>
      <c r="D218" s="35" t="str">
        <f t="shared" si="85"/>
        <v>Konrads et al., 2016</v>
      </c>
      <c r="E218" s="36" t="s">
        <v>603</v>
      </c>
      <c r="F218" s="36" t="s">
        <v>604</v>
      </c>
      <c r="G218" s="28" t="s">
        <v>32</v>
      </c>
      <c r="H218" s="34" t="s">
        <v>2</v>
      </c>
      <c r="I218" s="29" t="s">
        <v>92</v>
      </c>
      <c r="J218" s="34" t="s">
        <v>96</v>
      </c>
      <c r="K218" s="29">
        <v>24.0</v>
      </c>
      <c r="L218" s="38">
        <v>5.9</v>
      </c>
      <c r="M218" s="38">
        <f t="shared" ref="M218:M220" si="87">iferror(RANGE_SD(K218,N218,R218),"")</f>
        <v>1.284090828</v>
      </c>
      <c r="N218" s="29">
        <v>4.0</v>
      </c>
      <c r="O218" s="39"/>
      <c r="P218" s="39"/>
      <c r="Q218" s="39"/>
      <c r="R218" s="29">
        <v>9.0</v>
      </c>
      <c r="S218" s="39"/>
      <c r="T218" s="39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</row>
    <row r="219">
      <c r="A219" s="28">
        <f t="shared" si="83"/>
        <v>218</v>
      </c>
      <c r="B219" s="34">
        <v>45.0</v>
      </c>
      <c r="C219" s="29" t="s">
        <v>77</v>
      </c>
      <c r="D219" s="35" t="str">
        <f t="shared" si="85"/>
        <v>Konrads et al., 2016</v>
      </c>
      <c r="E219" s="36" t="s">
        <v>603</v>
      </c>
      <c r="F219" s="36" t="s">
        <v>604</v>
      </c>
      <c r="G219" s="28" t="s">
        <v>32</v>
      </c>
      <c r="H219" s="34" t="s">
        <v>2</v>
      </c>
      <c r="I219" s="29" t="s">
        <v>92</v>
      </c>
      <c r="J219" s="34" t="s">
        <v>226</v>
      </c>
      <c r="K219" s="29">
        <v>24.0</v>
      </c>
      <c r="L219" s="38">
        <v>92.0</v>
      </c>
      <c r="M219" s="38">
        <f t="shared" si="87"/>
        <v>8.988635793</v>
      </c>
      <c r="N219" s="29">
        <v>63.0</v>
      </c>
      <c r="O219" s="39"/>
      <c r="P219" s="39"/>
      <c r="Q219" s="39"/>
      <c r="R219" s="29">
        <v>98.0</v>
      </c>
      <c r="S219" s="39"/>
      <c r="T219" s="39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</row>
    <row r="220">
      <c r="A220" s="28">
        <f t="shared" si="83"/>
        <v>219</v>
      </c>
      <c r="B220" s="34">
        <v>45.0</v>
      </c>
      <c r="C220" s="29" t="s">
        <v>77</v>
      </c>
      <c r="D220" s="35" t="str">
        <f t="shared" si="85"/>
        <v>Konrads et al., 2016</v>
      </c>
      <c r="E220" s="36" t="s">
        <v>603</v>
      </c>
      <c r="F220" s="36" t="s">
        <v>604</v>
      </c>
      <c r="G220" s="28" t="s">
        <v>32</v>
      </c>
      <c r="H220" s="34" t="s">
        <v>9</v>
      </c>
      <c r="I220" s="29" t="s">
        <v>92</v>
      </c>
      <c r="J220" s="34" t="s">
        <v>185</v>
      </c>
      <c r="K220" s="29">
        <v>23.0</v>
      </c>
      <c r="L220" s="38">
        <v>2.2</v>
      </c>
      <c r="M220" s="38">
        <f t="shared" si="87"/>
        <v>0.7777107513</v>
      </c>
      <c r="N220" s="29">
        <v>1.0</v>
      </c>
      <c r="O220" s="39"/>
      <c r="P220" s="39"/>
      <c r="Q220" s="39"/>
      <c r="R220" s="29">
        <v>4.0</v>
      </c>
      <c r="S220" s="39"/>
      <c r="T220" s="39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</row>
    <row r="221">
      <c r="A221" s="28" t="str">
        <f t="shared" si="83"/>
        <v/>
      </c>
      <c r="B221" s="34">
        <v>45.0</v>
      </c>
      <c r="C221" s="29" t="s">
        <v>77</v>
      </c>
      <c r="D221" s="35" t="str">
        <f t="shared" si="85"/>
        <v>Konrads et al., 2016</v>
      </c>
      <c r="E221" s="36" t="s">
        <v>603</v>
      </c>
      <c r="F221" s="36" t="s">
        <v>604</v>
      </c>
      <c r="G221" s="28" t="s">
        <v>102</v>
      </c>
      <c r="H221" s="34" t="s">
        <v>9</v>
      </c>
      <c r="I221" s="29" t="s">
        <v>149</v>
      </c>
      <c r="J221" s="34" t="s">
        <v>173</v>
      </c>
      <c r="K221" s="29"/>
      <c r="L221" s="43"/>
      <c r="M221" s="41" t="str">
        <f t="shared" ref="M221:M222" si="88">iferror(P_SD(K221,L221),"")</f>
        <v/>
      </c>
      <c r="N221" s="39"/>
      <c r="O221" s="39"/>
      <c r="P221" s="39"/>
      <c r="Q221" s="39"/>
      <c r="R221" s="39"/>
      <c r="S221" s="39"/>
      <c r="T221" s="39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</row>
    <row r="222">
      <c r="A222" s="28">
        <f t="shared" si="83"/>
        <v>221</v>
      </c>
      <c r="B222" s="34">
        <v>45.0</v>
      </c>
      <c r="C222" s="29" t="s">
        <v>77</v>
      </c>
      <c r="D222" s="35" t="str">
        <f t="shared" si="85"/>
        <v>Konrads et al., 2016</v>
      </c>
      <c r="E222" s="36" t="s">
        <v>603</v>
      </c>
      <c r="F222" s="36" t="s">
        <v>604</v>
      </c>
      <c r="G222" s="28" t="s">
        <v>32</v>
      </c>
      <c r="H222" s="34" t="s">
        <v>9</v>
      </c>
      <c r="I222" s="29" t="s">
        <v>149</v>
      </c>
      <c r="J222" s="34" t="s">
        <v>151</v>
      </c>
      <c r="K222" s="29">
        <v>23.0</v>
      </c>
      <c r="L222" s="40">
        <v>11.0</v>
      </c>
      <c r="M222" s="41">
        <f t="shared" si="88"/>
        <v>4.59600521</v>
      </c>
      <c r="N222" s="39"/>
      <c r="O222" s="39"/>
      <c r="P222" s="39"/>
      <c r="Q222" s="39"/>
      <c r="R222" s="39"/>
      <c r="S222" s="39"/>
      <c r="T222" s="39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</row>
    <row r="223">
      <c r="A223" s="28" t="str">
        <f t="shared" si="83"/>
        <v/>
      </c>
      <c r="B223" s="34">
        <v>45.0</v>
      </c>
      <c r="C223" s="29" t="s">
        <v>77</v>
      </c>
      <c r="D223" s="35" t="str">
        <f t="shared" si="85"/>
        <v>Konrads et al., 2016</v>
      </c>
      <c r="E223" s="36" t="s">
        <v>603</v>
      </c>
      <c r="F223" s="36" t="s">
        <v>604</v>
      </c>
      <c r="G223" s="28" t="s">
        <v>102</v>
      </c>
      <c r="H223" s="34" t="s">
        <v>9</v>
      </c>
      <c r="I223" s="29" t="s">
        <v>92</v>
      </c>
      <c r="J223" s="34" t="s">
        <v>220</v>
      </c>
      <c r="K223" s="29"/>
      <c r="L223" s="41"/>
      <c r="M223" s="38"/>
      <c r="N223" s="39"/>
      <c r="O223" s="39"/>
      <c r="P223" s="39"/>
      <c r="Q223" s="39"/>
      <c r="R223" s="39"/>
      <c r="S223" s="39"/>
      <c r="T223" s="39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</row>
    <row r="224">
      <c r="A224" s="28">
        <f t="shared" si="83"/>
        <v>223</v>
      </c>
      <c r="B224" s="34">
        <v>45.0</v>
      </c>
      <c r="C224" s="29" t="s">
        <v>77</v>
      </c>
      <c r="D224" s="35" t="str">
        <f t="shared" si="85"/>
        <v>Konrads et al., 2016</v>
      </c>
      <c r="E224" s="36" t="s">
        <v>603</v>
      </c>
      <c r="F224" s="36" t="s">
        <v>604</v>
      </c>
      <c r="G224" s="28" t="s">
        <v>32</v>
      </c>
      <c r="H224" s="34" t="s">
        <v>9</v>
      </c>
      <c r="I224" s="29" t="s">
        <v>92</v>
      </c>
      <c r="J224" s="34" t="s">
        <v>96</v>
      </c>
      <c r="K224" s="29">
        <v>23.0</v>
      </c>
      <c r="L224" s="38">
        <v>5.1</v>
      </c>
      <c r="M224" s="38">
        <f t="shared" ref="M224:M226" si="89">iferror(RANGE_SD(K224,N224,R224),"")</f>
        <v>1.036947668</v>
      </c>
      <c r="N224" s="29">
        <v>3.0</v>
      </c>
      <c r="O224" s="39"/>
      <c r="P224" s="39"/>
      <c r="Q224" s="39"/>
      <c r="R224" s="29">
        <v>7.0</v>
      </c>
      <c r="S224" s="39"/>
      <c r="T224" s="39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</row>
    <row r="225">
      <c r="A225" s="28">
        <f t="shared" si="83"/>
        <v>224</v>
      </c>
      <c r="B225" s="34">
        <v>45.0</v>
      </c>
      <c r="C225" s="29" t="s">
        <v>77</v>
      </c>
      <c r="D225" s="35" t="str">
        <f t="shared" si="85"/>
        <v>Konrads et al., 2016</v>
      </c>
      <c r="E225" s="36" t="s">
        <v>603</v>
      </c>
      <c r="F225" s="36" t="s">
        <v>604</v>
      </c>
      <c r="G225" s="28" t="s">
        <v>32</v>
      </c>
      <c r="H225" s="34" t="s">
        <v>9</v>
      </c>
      <c r="I225" s="29" t="s">
        <v>92</v>
      </c>
      <c r="J225" s="34" t="s">
        <v>226</v>
      </c>
      <c r="K225" s="29">
        <v>23.0</v>
      </c>
      <c r="L225" s="38">
        <v>91.8</v>
      </c>
      <c r="M225" s="38">
        <f t="shared" si="89"/>
        <v>9.332529015</v>
      </c>
      <c r="N225" s="29">
        <v>62.0</v>
      </c>
      <c r="O225" s="39"/>
      <c r="P225" s="39"/>
      <c r="Q225" s="39"/>
      <c r="R225" s="29">
        <v>98.0</v>
      </c>
      <c r="S225" s="39"/>
      <c r="T225" s="39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</row>
    <row r="226">
      <c r="A226" s="28">
        <f t="shared" si="83"/>
        <v>225</v>
      </c>
      <c r="B226" s="34">
        <v>46.0</v>
      </c>
      <c r="C226" s="29" t="s">
        <v>77</v>
      </c>
      <c r="D226" s="35" t="str">
        <f t="shared" ref="D226:D233" si="90">HYPERLINK("https://github.com/d-wkim/phd/blob/main/data/pdf/laoruengthana_2009.pdf","Laoruengthana et al., 2009")</f>
        <v>Laoruengthana et al., 2009</v>
      </c>
      <c r="E226" s="36" t="s">
        <v>605</v>
      </c>
      <c r="F226" s="36" t="s">
        <v>606</v>
      </c>
      <c r="G226" s="28" t="s">
        <v>32</v>
      </c>
      <c r="H226" s="34" t="s">
        <v>2</v>
      </c>
      <c r="I226" s="29" t="s">
        <v>92</v>
      </c>
      <c r="J226" s="34" t="s">
        <v>185</v>
      </c>
      <c r="K226" s="29">
        <v>15.0</v>
      </c>
      <c r="L226" s="38">
        <v>1.22</v>
      </c>
      <c r="M226" s="38">
        <f t="shared" si="89"/>
        <v>0.6898993499</v>
      </c>
      <c r="N226" s="29">
        <v>0.3</v>
      </c>
      <c r="O226" s="39"/>
      <c r="P226" s="39"/>
      <c r="Q226" s="39"/>
      <c r="R226" s="29">
        <v>2.7</v>
      </c>
      <c r="S226" s="39"/>
      <c r="T226" s="39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</row>
    <row r="227">
      <c r="A227" s="28">
        <f t="shared" si="83"/>
        <v>226</v>
      </c>
      <c r="B227" s="34">
        <v>46.0</v>
      </c>
      <c r="C227" s="29" t="s">
        <v>77</v>
      </c>
      <c r="D227" s="35" t="str">
        <f t="shared" si="90"/>
        <v>Laoruengthana et al., 2009</v>
      </c>
      <c r="E227" s="36" t="s">
        <v>605</v>
      </c>
      <c r="F227" s="36" t="s">
        <v>606</v>
      </c>
      <c r="G227" s="28" t="s">
        <v>32</v>
      </c>
      <c r="H227" s="34" t="s">
        <v>2</v>
      </c>
      <c r="I227" s="29" t="s">
        <v>149</v>
      </c>
      <c r="J227" s="34" t="s">
        <v>173</v>
      </c>
      <c r="K227" s="29">
        <v>15.0</v>
      </c>
      <c r="L227" s="40">
        <v>2.0</v>
      </c>
      <c r="M227" s="41">
        <f>iferror(P_SD(K227,L227),"")</f>
        <v>0.7448044897</v>
      </c>
      <c r="N227" s="39"/>
      <c r="O227" s="39"/>
      <c r="P227" s="39"/>
      <c r="Q227" s="39"/>
      <c r="R227" s="39"/>
      <c r="S227" s="39"/>
      <c r="T227" s="39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</row>
    <row r="228">
      <c r="A228" s="28" t="str">
        <f t="shared" si="83"/>
        <v/>
      </c>
      <c r="B228" s="34">
        <v>46.0</v>
      </c>
      <c r="C228" s="29" t="s">
        <v>77</v>
      </c>
      <c r="D228" s="35" t="str">
        <f t="shared" si="90"/>
        <v>Laoruengthana et al., 2009</v>
      </c>
      <c r="E228" s="36" t="s">
        <v>605</v>
      </c>
      <c r="F228" s="36" t="s">
        <v>606</v>
      </c>
      <c r="G228" s="28" t="s">
        <v>102</v>
      </c>
      <c r="H228" s="34" t="s">
        <v>2</v>
      </c>
      <c r="I228" s="29" t="s">
        <v>92</v>
      </c>
      <c r="J228" s="34" t="s">
        <v>220</v>
      </c>
      <c r="K228" s="29"/>
      <c r="L228" s="41"/>
      <c r="M228" s="38"/>
      <c r="N228" s="39"/>
      <c r="O228" s="39"/>
      <c r="P228" s="39"/>
      <c r="Q228" s="39"/>
      <c r="R228" s="39"/>
      <c r="S228" s="39"/>
      <c r="T228" s="39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</row>
    <row r="229">
      <c r="A229" s="28" t="str">
        <f t="shared" si="83"/>
        <v/>
      </c>
      <c r="B229" s="34">
        <v>46.0</v>
      </c>
      <c r="C229" s="29" t="s">
        <v>77</v>
      </c>
      <c r="D229" s="35" t="str">
        <f t="shared" si="90"/>
        <v>Laoruengthana et al., 2009</v>
      </c>
      <c r="E229" s="36" t="s">
        <v>605</v>
      </c>
      <c r="F229" s="36" t="s">
        <v>606</v>
      </c>
      <c r="G229" s="28" t="s">
        <v>102</v>
      </c>
      <c r="H229" s="34" t="s">
        <v>2</v>
      </c>
      <c r="I229" s="29" t="s">
        <v>92</v>
      </c>
      <c r="J229" s="34" t="s">
        <v>226</v>
      </c>
      <c r="K229" s="29"/>
      <c r="L229" s="41"/>
      <c r="M229" s="38"/>
      <c r="N229" s="39"/>
      <c r="O229" s="39"/>
      <c r="P229" s="39"/>
      <c r="Q229" s="39"/>
      <c r="R229" s="39"/>
      <c r="S229" s="39"/>
      <c r="T229" s="39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</row>
    <row r="230">
      <c r="A230" s="28">
        <f t="shared" si="83"/>
        <v>229</v>
      </c>
      <c r="B230" s="34">
        <v>46.0</v>
      </c>
      <c r="C230" s="29" t="s">
        <v>77</v>
      </c>
      <c r="D230" s="35" t="str">
        <f t="shared" si="90"/>
        <v>Laoruengthana et al., 2009</v>
      </c>
      <c r="E230" s="36" t="s">
        <v>605</v>
      </c>
      <c r="F230" s="36" t="s">
        <v>606</v>
      </c>
      <c r="G230" s="28" t="s">
        <v>32</v>
      </c>
      <c r="H230" s="34" t="s">
        <v>9</v>
      </c>
      <c r="I230" s="29" t="s">
        <v>92</v>
      </c>
      <c r="J230" s="34" t="s">
        <v>185</v>
      </c>
      <c r="K230" s="29">
        <v>13.0</v>
      </c>
      <c r="L230" s="38">
        <v>0.96</v>
      </c>
      <c r="M230" s="38">
        <f>iferror(RANGE_SD(K230,N230,R230),"")</f>
        <v>0.4184257019</v>
      </c>
      <c r="N230" s="29">
        <v>0.2</v>
      </c>
      <c r="O230" s="39"/>
      <c r="P230" s="39"/>
      <c r="Q230" s="39"/>
      <c r="R230" s="29">
        <v>1.6</v>
      </c>
      <c r="S230" s="39"/>
      <c r="T230" s="39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</row>
    <row r="231">
      <c r="A231" s="28">
        <f t="shared" si="83"/>
        <v>230</v>
      </c>
      <c r="B231" s="34">
        <v>46.0</v>
      </c>
      <c r="C231" s="29" t="s">
        <v>77</v>
      </c>
      <c r="D231" s="35" t="str">
        <f t="shared" si="90"/>
        <v>Laoruengthana et al., 2009</v>
      </c>
      <c r="E231" s="36" t="s">
        <v>605</v>
      </c>
      <c r="F231" s="36" t="s">
        <v>606</v>
      </c>
      <c r="G231" s="28" t="s">
        <v>32</v>
      </c>
      <c r="H231" s="34" t="s">
        <v>9</v>
      </c>
      <c r="I231" s="29" t="s">
        <v>149</v>
      </c>
      <c r="J231" s="34" t="s">
        <v>173</v>
      </c>
      <c r="K231" s="29">
        <v>13.0</v>
      </c>
      <c r="L231" s="40">
        <v>2.0</v>
      </c>
      <c r="M231" s="41">
        <f>iferror(P_SD(K231,L231),"")</f>
        <v>0.8194434717</v>
      </c>
      <c r="N231" s="39"/>
      <c r="O231" s="39"/>
      <c r="P231" s="39"/>
      <c r="Q231" s="39"/>
      <c r="R231" s="39"/>
      <c r="S231" s="39"/>
      <c r="T231" s="39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</row>
    <row r="232">
      <c r="A232" s="28" t="str">
        <f t="shared" si="83"/>
        <v/>
      </c>
      <c r="B232" s="34">
        <v>46.0</v>
      </c>
      <c r="C232" s="29" t="s">
        <v>77</v>
      </c>
      <c r="D232" s="35" t="str">
        <f t="shared" si="90"/>
        <v>Laoruengthana et al., 2009</v>
      </c>
      <c r="E232" s="36" t="s">
        <v>605</v>
      </c>
      <c r="F232" s="36" t="s">
        <v>606</v>
      </c>
      <c r="G232" s="28" t="s">
        <v>102</v>
      </c>
      <c r="H232" s="34" t="s">
        <v>9</v>
      </c>
      <c r="I232" s="29" t="s">
        <v>92</v>
      </c>
      <c r="J232" s="34" t="s">
        <v>220</v>
      </c>
      <c r="K232" s="29"/>
      <c r="L232" s="41"/>
      <c r="M232" s="38"/>
      <c r="N232" s="39"/>
      <c r="O232" s="39"/>
      <c r="P232" s="39"/>
      <c r="Q232" s="39"/>
      <c r="R232" s="39"/>
      <c r="S232" s="39"/>
      <c r="T232" s="39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</row>
    <row r="233">
      <c r="A233" s="28" t="str">
        <f t="shared" si="83"/>
        <v/>
      </c>
      <c r="B233" s="34">
        <v>46.0</v>
      </c>
      <c r="C233" s="29" t="s">
        <v>77</v>
      </c>
      <c r="D233" s="35" t="str">
        <f t="shared" si="90"/>
        <v>Laoruengthana et al., 2009</v>
      </c>
      <c r="E233" s="36" t="s">
        <v>605</v>
      </c>
      <c r="F233" s="36" t="s">
        <v>606</v>
      </c>
      <c r="G233" s="28" t="s">
        <v>102</v>
      </c>
      <c r="H233" s="34" t="s">
        <v>9</v>
      </c>
      <c r="I233" s="29" t="s">
        <v>92</v>
      </c>
      <c r="J233" s="34" t="s">
        <v>226</v>
      </c>
      <c r="K233" s="29"/>
      <c r="L233" s="41"/>
      <c r="M233" s="38"/>
      <c r="N233" s="39"/>
      <c r="O233" s="39"/>
      <c r="P233" s="39"/>
      <c r="Q233" s="39"/>
      <c r="R233" s="39"/>
      <c r="S233" s="39"/>
      <c r="T233" s="39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</row>
    <row r="234">
      <c r="A234" s="28" t="str">
        <f t="shared" si="83"/>
        <v/>
      </c>
      <c r="B234" s="34">
        <v>47.0</v>
      </c>
      <c r="C234" s="29" t="s">
        <v>77</v>
      </c>
      <c r="D234" s="35" t="str">
        <f t="shared" ref="D234:D239" si="91">HYPERLINK("https://github.com/d-wkim/phd/blob/main/data/pdf/lawhorn_2012.pdf","Lawhorn et al., 2012")</f>
        <v>Lawhorn et al., 2012</v>
      </c>
      <c r="E234" s="36" t="s">
        <v>607</v>
      </c>
      <c r="F234" s="36" t="s">
        <v>608</v>
      </c>
      <c r="G234" s="28" t="s">
        <v>102</v>
      </c>
      <c r="H234" s="34" t="s">
        <v>9</v>
      </c>
      <c r="I234" s="29" t="s">
        <v>92</v>
      </c>
      <c r="J234" s="34" t="s">
        <v>220</v>
      </c>
      <c r="K234" s="39"/>
      <c r="L234" s="41"/>
      <c r="M234" s="38"/>
      <c r="N234" s="39"/>
      <c r="O234" s="39"/>
      <c r="P234" s="39"/>
      <c r="Q234" s="39"/>
      <c r="R234" s="39"/>
      <c r="S234" s="39"/>
      <c r="T234" s="39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</row>
    <row r="235">
      <c r="A235" s="28" t="str">
        <f t="shared" si="83"/>
        <v/>
      </c>
      <c r="B235" s="34">
        <v>47.0</v>
      </c>
      <c r="C235" s="29" t="s">
        <v>77</v>
      </c>
      <c r="D235" s="35" t="str">
        <f t="shared" si="91"/>
        <v>Lawhorn et al., 2012</v>
      </c>
      <c r="E235" s="36" t="s">
        <v>607</v>
      </c>
      <c r="F235" s="36" t="s">
        <v>608</v>
      </c>
      <c r="G235" s="28" t="s">
        <v>102</v>
      </c>
      <c r="H235" s="34" t="s">
        <v>9</v>
      </c>
      <c r="I235" s="29" t="s">
        <v>92</v>
      </c>
      <c r="J235" s="34" t="s">
        <v>185</v>
      </c>
      <c r="K235" s="39"/>
      <c r="L235" s="41"/>
      <c r="M235" s="38"/>
      <c r="N235" s="39"/>
      <c r="O235" s="39"/>
      <c r="P235" s="39"/>
      <c r="Q235" s="39"/>
      <c r="R235" s="39"/>
      <c r="S235" s="39"/>
      <c r="T235" s="39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</row>
    <row r="236">
      <c r="A236" s="28">
        <f t="shared" si="83"/>
        <v>235</v>
      </c>
      <c r="B236" s="34">
        <v>47.0</v>
      </c>
      <c r="C236" s="29" t="s">
        <v>77</v>
      </c>
      <c r="D236" s="35" t="str">
        <f t="shared" si="91"/>
        <v>Lawhorn et al., 2012</v>
      </c>
      <c r="E236" s="36" t="s">
        <v>607</v>
      </c>
      <c r="F236" s="36" t="s">
        <v>608</v>
      </c>
      <c r="G236" s="28" t="s">
        <v>32</v>
      </c>
      <c r="H236" s="34" t="s">
        <v>9</v>
      </c>
      <c r="I236" s="29" t="s">
        <v>149</v>
      </c>
      <c r="J236" s="34" t="s">
        <v>173</v>
      </c>
      <c r="K236" s="29">
        <v>48.0</v>
      </c>
      <c r="L236" s="40">
        <v>6.0</v>
      </c>
      <c r="M236" s="41">
        <f>iferror(P_SD(K236,L236),"")</f>
        <v>1.072221928</v>
      </c>
      <c r="N236" s="39"/>
      <c r="O236" s="39"/>
      <c r="P236" s="39"/>
      <c r="Q236" s="39"/>
      <c r="R236" s="39"/>
      <c r="S236" s="39"/>
      <c r="T236" s="39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</row>
    <row r="237">
      <c r="A237" s="28" t="str">
        <f t="shared" si="83"/>
        <v/>
      </c>
      <c r="B237" s="34">
        <v>47.0</v>
      </c>
      <c r="C237" s="29" t="s">
        <v>77</v>
      </c>
      <c r="D237" s="35" t="str">
        <f t="shared" si="91"/>
        <v>Lawhorn et al., 2012</v>
      </c>
      <c r="E237" s="36" t="s">
        <v>607</v>
      </c>
      <c r="F237" s="36" t="s">
        <v>608</v>
      </c>
      <c r="G237" s="28" t="s">
        <v>102</v>
      </c>
      <c r="H237" s="34" t="s">
        <v>13</v>
      </c>
      <c r="I237" s="29" t="s">
        <v>92</v>
      </c>
      <c r="J237" s="34" t="s">
        <v>220</v>
      </c>
      <c r="K237" s="39"/>
      <c r="L237" s="41"/>
      <c r="M237" s="38"/>
      <c r="N237" s="39"/>
      <c r="O237" s="39"/>
      <c r="P237" s="39"/>
      <c r="Q237" s="39"/>
      <c r="R237" s="39"/>
      <c r="S237" s="39"/>
      <c r="T237" s="39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</row>
    <row r="238">
      <c r="A238" s="28" t="str">
        <f t="shared" si="83"/>
        <v/>
      </c>
      <c r="B238" s="34">
        <v>47.0</v>
      </c>
      <c r="C238" s="29" t="s">
        <v>77</v>
      </c>
      <c r="D238" s="35" t="str">
        <f t="shared" si="91"/>
        <v>Lawhorn et al., 2012</v>
      </c>
      <c r="E238" s="36" t="s">
        <v>607</v>
      </c>
      <c r="F238" s="36" t="s">
        <v>608</v>
      </c>
      <c r="G238" s="28" t="s">
        <v>102</v>
      </c>
      <c r="H238" s="34" t="s">
        <v>13</v>
      </c>
      <c r="I238" s="29" t="s">
        <v>92</v>
      </c>
      <c r="J238" s="34" t="s">
        <v>185</v>
      </c>
      <c r="K238" s="39"/>
      <c r="L238" s="41"/>
      <c r="M238" s="38"/>
      <c r="N238" s="39"/>
      <c r="O238" s="39"/>
      <c r="P238" s="39"/>
      <c r="Q238" s="39"/>
      <c r="R238" s="39"/>
      <c r="S238" s="39"/>
      <c r="T238" s="39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</row>
    <row r="239">
      <c r="A239" s="28">
        <f t="shared" si="83"/>
        <v>238</v>
      </c>
      <c r="B239" s="34">
        <v>47.0</v>
      </c>
      <c r="C239" s="29" t="s">
        <v>77</v>
      </c>
      <c r="D239" s="35" t="str">
        <f t="shared" si="91"/>
        <v>Lawhorn et al., 2012</v>
      </c>
      <c r="E239" s="36" t="s">
        <v>607</v>
      </c>
      <c r="F239" s="36" t="s">
        <v>608</v>
      </c>
      <c r="G239" s="28" t="s">
        <v>32</v>
      </c>
      <c r="H239" s="34" t="s">
        <v>13</v>
      </c>
      <c r="I239" s="29" t="s">
        <v>149</v>
      </c>
      <c r="J239" s="34" t="s">
        <v>173</v>
      </c>
      <c r="K239" s="29">
        <v>44.0</v>
      </c>
      <c r="L239" s="40">
        <v>4.0</v>
      </c>
      <c r="M239" s="41">
        <f>iferror(P_SD(K239,L239),"")</f>
        <v>0.7462405778</v>
      </c>
      <c r="N239" s="39"/>
      <c r="O239" s="39"/>
      <c r="P239" s="39"/>
      <c r="Q239" s="39"/>
      <c r="R239" s="39"/>
      <c r="S239" s="39"/>
      <c r="T239" s="39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</row>
    <row r="240">
      <c r="A240" s="28" t="str">
        <f t="shared" si="83"/>
        <v/>
      </c>
      <c r="B240" s="34">
        <v>49.0</v>
      </c>
      <c r="C240" s="29" t="s">
        <v>77</v>
      </c>
      <c r="D240" s="35" t="str">
        <f t="shared" ref="D240:D254" si="92">HYPERLINK("https://github.com/d-wkim/phd/blob/main/data/pdf/laxdal_2005.pdf","Laxdal et al., 2005")</f>
        <v>Laxdal et al., 2005</v>
      </c>
      <c r="E240" s="36" t="s">
        <v>609</v>
      </c>
      <c r="F240" s="36" t="s">
        <v>610</v>
      </c>
      <c r="G240" s="28" t="s">
        <v>102</v>
      </c>
      <c r="H240" s="34" t="s">
        <v>2</v>
      </c>
      <c r="I240" s="29" t="s">
        <v>92</v>
      </c>
      <c r="J240" s="34" t="s">
        <v>220</v>
      </c>
      <c r="K240" s="29"/>
      <c r="L240" s="41"/>
      <c r="M240" s="38"/>
      <c r="N240" s="39"/>
      <c r="O240" s="39"/>
      <c r="P240" s="39"/>
      <c r="Q240" s="39"/>
      <c r="R240" s="39"/>
      <c r="S240" s="39"/>
      <c r="T240" s="39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</row>
    <row r="241">
      <c r="A241" s="28">
        <f t="shared" si="83"/>
        <v>240</v>
      </c>
      <c r="B241" s="34">
        <v>49.0</v>
      </c>
      <c r="C241" s="29" t="s">
        <v>77</v>
      </c>
      <c r="D241" s="35" t="str">
        <f t="shared" si="92"/>
        <v>Laxdal et al., 2005</v>
      </c>
      <c r="E241" s="36" t="s">
        <v>609</v>
      </c>
      <c r="F241" s="36" t="s">
        <v>610</v>
      </c>
      <c r="G241" s="28" t="s">
        <v>32</v>
      </c>
      <c r="H241" s="34" t="s">
        <v>2</v>
      </c>
      <c r="I241" s="29" t="s">
        <v>92</v>
      </c>
      <c r="J241" s="34" t="s">
        <v>96</v>
      </c>
      <c r="K241" s="29">
        <v>40.0</v>
      </c>
      <c r="L241" s="38">
        <v>6.0</v>
      </c>
      <c r="M241" s="38">
        <f t="shared" ref="M241:M243" si="93">iferror(RANGE_SD(K241,N241,R241),"")</f>
        <v>1.85498153</v>
      </c>
      <c r="N241" s="29">
        <v>2.0</v>
      </c>
      <c r="O241" s="39"/>
      <c r="P241" s="39"/>
      <c r="Q241" s="39"/>
      <c r="R241" s="29">
        <v>10.0</v>
      </c>
      <c r="S241" s="39"/>
      <c r="T241" s="39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</row>
    <row r="242">
      <c r="A242" s="28">
        <f t="shared" si="83"/>
        <v>241</v>
      </c>
      <c r="B242" s="34">
        <v>49.0</v>
      </c>
      <c r="C242" s="29" t="s">
        <v>77</v>
      </c>
      <c r="D242" s="35" t="str">
        <f t="shared" si="92"/>
        <v>Laxdal et al., 2005</v>
      </c>
      <c r="E242" s="36" t="s">
        <v>609</v>
      </c>
      <c r="F242" s="36" t="s">
        <v>610</v>
      </c>
      <c r="G242" s="28" t="s">
        <v>32</v>
      </c>
      <c r="H242" s="34" t="s">
        <v>2</v>
      </c>
      <c r="I242" s="29" t="s">
        <v>92</v>
      </c>
      <c r="J242" s="34" t="s">
        <v>226</v>
      </c>
      <c r="K242" s="29">
        <v>40.0</v>
      </c>
      <c r="L242" s="38">
        <v>94.0</v>
      </c>
      <c r="M242" s="38">
        <f t="shared" si="93"/>
        <v>18.08606991</v>
      </c>
      <c r="N242" s="29">
        <v>22.0</v>
      </c>
      <c r="O242" s="39"/>
      <c r="P242" s="39"/>
      <c r="Q242" s="39"/>
      <c r="R242" s="29">
        <v>100.0</v>
      </c>
      <c r="S242" s="39"/>
      <c r="T242" s="39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</row>
    <row r="243">
      <c r="A243" s="28">
        <f t="shared" si="83"/>
        <v>242</v>
      </c>
      <c r="B243" s="34">
        <v>49.0</v>
      </c>
      <c r="C243" s="29" t="s">
        <v>77</v>
      </c>
      <c r="D243" s="35" t="str">
        <f t="shared" si="92"/>
        <v>Laxdal et al., 2005</v>
      </c>
      <c r="E243" s="36" t="s">
        <v>609</v>
      </c>
      <c r="F243" s="36" t="s">
        <v>610</v>
      </c>
      <c r="G243" s="28" t="s">
        <v>32</v>
      </c>
      <c r="H243" s="34" t="s">
        <v>2</v>
      </c>
      <c r="I243" s="29" t="s">
        <v>92</v>
      </c>
      <c r="J243" s="34" t="s">
        <v>185</v>
      </c>
      <c r="K243" s="29">
        <v>40.0</v>
      </c>
      <c r="L243" s="38">
        <v>1.0</v>
      </c>
      <c r="M243" s="38">
        <f t="shared" si="93"/>
        <v>3.014344985</v>
      </c>
      <c r="N243" s="29">
        <v>-5.0</v>
      </c>
      <c r="O243" s="39"/>
      <c r="P243" s="39"/>
      <c r="Q243" s="39"/>
      <c r="R243" s="29">
        <v>8.0</v>
      </c>
      <c r="S243" s="39"/>
      <c r="T243" s="39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</row>
    <row r="244">
      <c r="A244" s="28">
        <f t="shared" si="83"/>
        <v>243</v>
      </c>
      <c r="B244" s="34">
        <v>49.0</v>
      </c>
      <c r="C244" s="29" t="s">
        <v>77</v>
      </c>
      <c r="D244" s="35" t="str">
        <f t="shared" si="92"/>
        <v>Laxdal et al., 2005</v>
      </c>
      <c r="E244" s="36" t="s">
        <v>609</v>
      </c>
      <c r="F244" s="36" t="s">
        <v>610</v>
      </c>
      <c r="G244" s="28" t="s">
        <v>32</v>
      </c>
      <c r="H244" s="34" t="s">
        <v>2</v>
      </c>
      <c r="I244" s="29" t="s">
        <v>149</v>
      </c>
      <c r="J244" s="28" t="s">
        <v>308</v>
      </c>
      <c r="K244" s="29">
        <v>40.0</v>
      </c>
      <c r="L244" s="40">
        <v>1.0</v>
      </c>
      <c r="M244" s="41">
        <f>iferror(P_SD(K244,L244),"")</f>
        <v>0.2432521277</v>
      </c>
      <c r="N244" s="39"/>
      <c r="O244" s="39"/>
      <c r="P244" s="39"/>
      <c r="Q244" s="39"/>
      <c r="R244" s="39"/>
      <c r="S244" s="39"/>
      <c r="T244" s="39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</row>
    <row r="245">
      <c r="A245" s="28" t="str">
        <f t="shared" si="83"/>
        <v/>
      </c>
      <c r="B245" s="34">
        <v>49.0</v>
      </c>
      <c r="C245" s="29" t="s">
        <v>77</v>
      </c>
      <c r="D245" s="35" t="str">
        <f t="shared" si="92"/>
        <v>Laxdal et al., 2005</v>
      </c>
      <c r="E245" s="36" t="s">
        <v>609</v>
      </c>
      <c r="F245" s="36" t="s">
        <v>610</v>
      </c>
      <c r="G245" s="28" t="s">
        <v>102</v>
      </c>
      <c r="H245" s="34" t="s">
        <v>9</v>
      </c>
      <c r="I245" s="29" t="s">
        <v>92</v>
      </c>
      <c r="J245" s="34" t="s">
        <v>220</v>
      </c>
      <c r="K245" s="29"/>
      <c r="L245" s="41"/>
      <c r="M245" s="38"/>
      <c r="N245" s="29"/>
      <c r="O245" s="39"/>
      <c r="P245" s="39"/>
      <c r="Q245" s="39"/>
      <c r="R245" s="39"/>
      <c r="S245" s="39"/>
      <c r="T245" s="39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</row>
    <row r="246">
      <c r="A246" s="28">
        <f t="shared" si="83"/>
        <v>245</v>
      </c>
      <c r="B246" s="34">
        <v>49.0</v>
      </c>
      <c r="C246" s="29" t="s">
        <v>77</v>
      </c>
      <c r="D246" s="35" t="str">
        <f t="shared" si="92"/>
        <v>Laxdal et al., 2005</v>
      </c>
      <c r="E246" s="36" t="s">
        <v>609</v>
      </c>
      <c r="F246" s="36" t="s">
        <v>610</v>
      </c>
      <c r="G246" s="28" t="s">
        <v>32</v>
      </c>
      <c r="H246" s="34" t="s">
        <v>9</v>
      </c>
      <c r="I246" s="29" t="s">
        <v>92</v>
      </c>
      <c r="J246" s="34" t="s">
        <v>96</v>
      </c>
      <c r="K246" s="29">
        <v>39.0</v>
      </c>
      <c r="L246" s="38">
        <v>4.0</v>
      </c>
      <c r="M246" s="38">
        <f t="shared" ref="M246:M248" si="94">iferror(RANGE_SD(K246,N246,R246),"")</f>
        <v>1.863651482</v>
      </c>
      <c r="N246" s="29">
        <v>0.0</v>
      </c>
      <c r="O246" s="39"/>
      <c r="P246" s="39"/>
      <c r="Q246" s="39"/>
      <c r="R246" s="29">
        <v>8.0</v>
      </c>
      <c r="S246" s="39"/>
      <c r="T246" s="39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</row>
    <row r="247">
      <c r="A247" s="28">
        <f t="shared" si="83"/>
        <v>246</v>
      </c>
      <c r="B247" s="34">
        <v>49.0</v>
      </c>
      <c r="C247" s="29" t="s">
        <v>77</v>
      </c>
      <c r="D247" s="35" t="str">
        <f t="shared" si="92"/>
        <v>Laxdal et al., 2005</v>
      </c>
      <c r="E247" s="36" t="s">
        <v>609</v>
      </c>
      <c r="F247" s="36" t="s">
        <v>610</v>
      </c>
      <c r="G247" s="28" t="s">
        <v>32</v>
      </c>
      <c r="H247" s="34" t="s">
        <v>9</v>
      </c>
      <c r="I247" s="29" t="s">
        <v>92</v>
      </c>
      <c r="J247" s="34" t="s">
        <v>226</v>
      </c>
      <c r="K247" s="29">
        <v>39.0</v>
      </c>
      <c r="L247" s="38">
        <v>89.0</v>
      </c>
      <c r="M247" s="38">
        <f t="shared" si="94"/>
        <v>11.8807782</v>
      </c>
      <c r="N247" s="29">
        <v>49.0</v>
      </c>
      <c r="O247" s="39"/>
      <c r="P247" s="39"/>
      <c r="Q247" s="39"/>
      <c r="R247" s="29">
        <v>100.0</v>
      </c>
      <c r="S247" s="39"/>
      <c r="T247" s="39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</row>
    <row r="248">
      <c r="A248" s="28">
        <f t="shared" si="83"/>
        <v>247</v>
      </c>
      <c r="B248" s="34">
        <v>49.0</v>
      </c>
      <c r="C248" s="29" t="s">
        <v>77</v>
      </c>
      <c r="D248" s="35" t="str">
        <f t="shared" si="92"/>
        <v>Laxdal et al., 2005</v>
      </c>
      <c r="E248" s="36" t="s">
        <v>609</v>
      </c>
      <c r="F248" s="36" t="s">
        <v>610</v>
      </c>
      <c r="G248" s="28" t="s">
        <v>32</v>
      </c>
      <c r="H248" s="34" t="s">
        <v>9</v>
      </c>
      <c r="I248" s="29" t="s">
        <v>92</v>
      </c>
      <c r="J248" s="28" t="s">
        <v>185</v>
      </c>
      <c r="K248" s="29">
        <v>39.0</v>
      </c>
      <c r="L248" s="38">
        <v>2.0</v>
      </c>
      <c r="M248" s="38">
        <f t="shared" si="94"/>
        <v>3.028433658</v>
      </c>
      <c r="N248" s="29">
        <v>-4.0</v>
      </c>
      <c r="O248" s="39"/>
      <c r="P248" s="39"/>
      <c r="Q248" s="39"/>
      <c r="R248" s="29">
        <v>9.0</v>
      </c>
      <c r="S248" s="39"/>
      <c r="T248" s="39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</row>
    <row r="249">
      <c r="A249" s="28">
        <f t="shared" si="83"/>
        <v>248</v>
      </c>
      <c r="B249" s="34">
        <v>49.0</v>
      </c>
      <c r="C249" s="29" t="s">
        <v>77</v>
      </c>
      <c r="D249" s="35" t="str">
        <f t="shared" si="92"/>
        <v>Laxdal et al., 2005</v>
      </c>
      <c r="E249" s="36" t="s">
        <v>609</v>
      </c>
      <c r="F249" s="36" t="s">
        <v>610</v>
      </c>
      <c r="G249" s="28" t="s">
        <v>32</v>
      </c>
      <c r="H249" s="34" t="s">
        <v>9</v>
      </c>
      <c r="I249" s="29" t="s">
        <v>149</v>
      </c>
      <c r="J249" s="28" t="s">
        <v>308</v>
      </c>
      <c r="K249" s="29">
        <v>39.0</v>
      </c>
      <c r="L249" s="40">
        <v>2.0</v>
      </c>
      <c r="M249" s="41">
        <f>iferror(P_SD(K249,L249),"")</f>
        <v>0.4219593242</v>
      </c>
      <c r="N249" s="29"/>
      <c r="O249" s="39"/>
      <c r="P249" s="39"/>
      <c r="Q249" s="39"/>
      <c r="R249" s="39"/>
      <c r="S249" s="39"/>
      <c r="T249" s="39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</row>
    <row r="250">
      <c r="A250" s="28"/>
      <c r="B250" s="34"/>
      <c r="C250" s="29" t="s">
        <v>77</v>
      </c>
      <c r="D250" s="35" t="str">
        <f t="shared" si="92"/>
        <v>Laxdal et al., 2005</v>
      </c>
      <c r="E250" s="36" t="s">
        <v>609</v>
      </c>
      <c r="F250" s="36" t="s">
        <v>610</v>
      </c>
      <c r="G250" s="28" t="s">
        <v>102</v>
      </c>
      <c r="H250" s="34" t="s">
        <v>9</v>
      </c>
      <c r="I250" s="29" t="s">
        <v>92</v>
      </c>
      <c r="J250" s="34" t="s">
        <v>220</v>
      </c>
      <c r="K250" s="29"/>
      <c r="L250" s="38"/>
      <c r="M250" s="38"/>
      <c r="N250" s="29"/>
      <c r="O250" s="39"/>
      <c r="P250" s="39"/>
      <c r="Q250" s="39"/>
      <c r="R250" s="39"/>
      <c r="S250" s="39"/>
      <c r="T250" s="39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</row>
    <row r="251">
      <c r="A251" s="28"/>
      <c r="B251" s="34"/>
      <c r="C251" s="29" t="s">
        <v>77</v>
      </c>
      <c r="D251" s="35" t="str">
        <f t="shared" si="92"/>
        <v>Laxdal et al., 2005</v>
      </c>
      <c r="E251" s="36" t="s">
        <v>609</v>
      </c>
      <c r="F251" s="36" t="s">
        <v>610</v>
      </c>
      <c r="G251" s="28" t="s">
        <v>32</v>
      </c>
      <c r="H251" s="34" t="s">
        <v>9</v>
      </c>
      <c r="I251" s="29" t="s">
        <v>92</v>
      </c>
      <c r="J251" s="34" t="s">
        <v>96</v>
      </c>
      <c r="K251" s="29">
        <v>39.0</v>
      </c>
      <c r="L251" s="38">
        <v>4.0</v>
      </c>
      <c r="M251" s="38">
        <f t="shared" ref="M251:M253" si="95">iferror(RANGE_SD(K251,N251,R251),"")</f>
        <v>1.397738611</v>
      </c>
      <c r="N251" s="29">
        <v>2.0</v>
      </c>
      <c r="O251" s="39"/>
      <c r="P251" s="39"/>
      <c r="Q251" s="39"/>
      <c r="R251" s="29">
        <v>8.0</v>
      </c>
      <c r="S251" s="39"/>
      <c r="T251" s="39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</row>
    <row r="252">
      <c r="A252" s="28"/>
      <c r="B252" s="34"/>
      <c r="C252" s="29" t="s">
        <v>77</v>
      </c>
      <c r="D252" s="35" t="str">
        <f t="shared" si="92"/>
        <v>Laxdal et al., 2005</v>
      </c>
      <c r="E252" s="36" t="s">
        <v>609</v>
      </c>
      <c r="F252" s="36" t="s">
        <v>610</v>
      </c>
      <c r="G252" s="28" t="s">
        <v>32</v>
      </c>
      <c r="H252" s="34" t="s">
        <v>9</v>
      </c>
      <c r="I252" s="29" t="s">
        <v>92</v>
      </c>
      <c r="J252" s="34" t="s">
        <v>226</v>
      </c>
      <c r="K252" s="29">
        <v>39.0</v>
      </c>
      <c r="L252" s="38">
        <v>95.0</v>
      </c>
      <c r="M252" s="38">
        <f t="shared" si="95"/>
        <v>14.21034255</v>
      </c>
      <c r="N252" s="29">
        <v>39.0</v>
      </c>
      <c r="O252" s="39"/>
      <c r="P252" s="39"/>
      <c r="Q252" s="39"/>
      <c r="R252" s="29">
        <v>100.0</v>
      </c>
      <c r="S252" s="39"/>
      <c r="T252" s="39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</row>
    <row r="253">
      <c r="A253" s="28"/>
      <c r="B253" s="34"/>
      <c r="C253" s="29" t="s">
        <v>77</v>
      </c>
      <c r="D253" s="35" t="str">
        <f t="shared" si="92"/>
        <v>Laxdal et al., 2005</v>
      </c>
      <c r="E253" s="36" t="s">
        <v>609</v>
      </c>
      <c r="F253" s="36" t="s">
        <v>610</v>
      </c>
      <c r="G253" s="28" t="s">
        <v>32</v>
      </c>
      <c r="H253" s="34" t="s">
        <v>9</v>
      </c>
      <c r="I253" s="29" t="s">
        <v>92</v>
      </c>
      <c r="J253" s="28" t="s">
        <v>185</v>
      </c>
      <c r="K253" s="29">
        <v>39.0</v>
      </c>
      <c r="L253" s="38">
        <v>1.0</v>
      </c>
      <c r="M253" s="38">
        <f t="shared" si="95"/>
        <v>3.144911875</v>
      </c>
      <c r="N253" s="29">
        <v>-5.5</v>
      </c>
      <c r="O253" s="39"/>
      <c r="P253" s="39"/>
      <c r="Q253" s="39"/>
      <c r="R253" s="29">
        <v>8.0</v>
      </c>
      <c r="S253" s="39"/>
      <c r="T253" s="39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</row>
    <row r="254">
      <c r="A254" s="28"/>
      <c r="B254" s="34"/>
      <c r="C254" s="29" t="s">
        <v>77</v>
      </c>
      <c r="D254" s="35" t="str">
        <f t="shared" si="92"/>
        <v>Laxdal et al., 2005</v>
      </c>
      <c r="E254" s="36" t="s">
        <v>609</v>
      </c>
      <c r="F254" s="36" t="s">
        <v>610</v>
      </c>
      <c r="G254" s="28" t="s">
        <v>32</v>
      </c>
      <c r="H254" s="34" t="s">
        <v>9</v>
      </c>
      <c r="I254" s="29" t="s">
        <v>149</v>
      </c>
      <c r="J254" s="28" t="s">
        <v>308</v>
      </c>
      <c r="K254" s="29">
        <v>39.0</v>
      </c>
      <c r="L254" s="40">
        <v>2.0</v>
      </c>
      <c r="M254" s="41">
        <f t="shared" ref="M254:M255" si="96">iferror(P_SD(K254,L254),"")</f>
        <v>0.4219593242</v>
      </c>
      <c r="N254" s="29"/>
      <c r="O254" s="39"/>
      <c r="P254" s="39"/>
      <c r="Q254" s="39"/>
      <c r="R254" s="39"/>
      <c r="S254" s="39"/>
      <c r="T254" s="39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</row>
    <row r="255">
      <c r="A255" s="28" t="str">
        <f t="shared" ref="A255:A293" si="97">if(G255="Included",row(A255)-1,"")</f>
        <v/>
      </c>
      <c r="B255" s="34">
        <v>50.0</v>
      </c>
      <c r="C255" s="29" t="s">
        <v>77</v>
      </c>
      <c r="D255" s="35" t="str">
        <f t="shared" ref="D255:D258" si="98">HYPERLINK("https://github.com/d-wkim/phd/blob/main/data/pdf/leitgeb_2014.pdf","Leitgeb et al., 2014")</f>
        <v>Leitgeb et al., 2014</v>
      </c>
      <c r="E255" s="36" t="s">
        <v>611</v>
      </c>
      <c r="F255" s="36" t="s">
        <v>612</v>
      </c>
      <c r="G255" s="28" t="s">
        <v>102</v>
      </c>
      <c r="H255" s="34" t="s">
        <v>2</v>
      </c>
      <c r="I255" s="29" t="s">
        <v>149</v>
      </c>
      <c r="J255" s="34" t="s">
        <v>151</v>
      </c>
      <c r="K255" s="39"/>
      <c r="L255" s="43"/>
      <c r="M255" s="41" t="str">
        <f t="shared" si="96"/>
        <v/>
      </c>
      <c r="N255" s="39"/>
      <c r="O255" s="39"/>
      <c r="P255" s="39"/>
      <c r="Q255" s="39"/>
      <c r="R255" s="39"/>
      <c r="S255" s="39"/>
      <c r="T255" s="39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</row>
    <row r="256">
      <c r="A256" s="28" t="str">
        <f t="shared" si="97"/>
        <v/>
      </c>
      <c r="B256" s="34">
        <v>50.0</v>
      </c>
      <c r="C256" s="29" t="s">
        <v>77</v>
      </c>
      <c r="D256" s="35" t="str">
        <f t="shared" si="98"/>
        <v>Leitgeb et al., 2014</v>
      </c>
      <c r="E256" s="36" t="s">
        <v>611</v>
      </c>
      <c r="F256" s="36" t="s">
        <v>612</v>
      </c>
      <c r="G256" s="28" t="s">
        <v>102</v>
      </c>
      <c r="H256" s="34" t="s">
        <v>2</v>
      </c>
      <c r="I256" s="29" t="s">
        <v>92</v>
      </c>
      <c r="J256" s="34" t="s">
        <v>185</v>
      </c>
      <c r="K256" s="39"/>
      <c r="L256" s="41"/>
      <c r="M256" s="38"/>
      <c r="N256" s="39"/>
      <c r="O256" s="39"/>
      <c r="P256" s="39"/>
      <c r="Q256" s="39"/>
      <c r="R256" s="39"/>
      <c r="S256" s="39"/>
      <c r="T256" s="39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</row>
    <row r="257">
      <c r="A257" s="28" t="str">
        <f t="shared" si="97"/>
        <v/>
      </c>
      <c r="B257" s="34">
        <v>50.0</v>
      </c>
      <c r="C257" s="29" t="s">
        <v>77</v>
      </c>
      <c r="D257" s="35" t="str">
        <f t="shared" si="98"/>
        <v>Leitgeb et al., 2014</v>
      </c>
      <c r="E257" s="36" t="s">
        <v>611</v>
      </c>
      <c r="F257" s="36" t="s">
        <v>612</v>
      </c>
      <c r="G257" s="28" t="s">
        <v>102</v>
      </c>
      <c r="H257" s="34" t="s">
        <v>9</v>
      </c>
      <c r="I257" s="29" t="s">
        <v>149</v>
      </c>
      <c r="J257" s="34" t="s">
        <v>151</v>
      </c>
      <c r="K257" s="39"/>
      <c r="L257" s="43"/>
      <c r="M257" s="41" t="str">
        <f>iferror(P_SD(K257,L257),"")</f>
        <v/>
      </c>
      <c r="N257" s="39"/>
      <c r="O257" s="39"/>
      <c r="P257" s="39"/>
      <c r="Q257" s="39"/>
      <c r="R257" s="39"/>
      <c r="S257" s="39"/>
      <c r="T257" s="39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</row>
    <row r="258">
      <c r="A258" s="28" t="str">
        <f t="shared" si="97"/>
        <v/>
      </c>
      <c r="B258" s="34">
        <v>50.0</v>
      </c>
      <c r="C258" s="29" t="s">
        <v>77</v>
      </c>
      <c r="D258" s="35" t="str">
        <f t="shared" si="98"/>
        <v>Leitgeb et al., 2014</v>
      </c>
      <c r="E258" s="36" t="s">
        <v>611</v>
      </c>
      <c r="F258" s="36" t="s">
        <v>612</v>
      </c>
      <c r="G258" s="28" t="s">
        <v>102</v>
      </c>
      <c r="H258" s="34" t="s">
        <v>9</v>
      </c>
      <c r="I258" s="29" t="s">
        <v>92</v>
      </c>
      <c r="J258" s="34" t="s">
        <v>185</v>
      </c>
      <c r="K258" s="39"/>
      <c r="L258" s="41"/>
      <c r="M258" s="38"/>
      <c r="N258" s="39"/>
      <c r="O258" s="39"/>
      <c r="P258" s="39"/>
      <c r="Q258" s="39"/>
      <c r="R258" s="39"/>
      <c r="S258" s="39"/>
      <c r="T258" s="39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</row>
    <row r="259">
      <c r="A259" s="28">
        <f t="shared" si="97"/>
        <v>258</v>
      </c>
      <c r="B259" s="34">
        <v>51.0</v>
      </c>
      <c r="C259" s="29" t="s">
        <v>77</v>
      </c>
      <c r="D259" s="35" t="str">
        <f t="shared" ref="D259:D270" si="99">HYPERLINK("https://github.com/d-wkim/phd/blob/main/data/pdf/li_2015.pdf","Li et al., 2015")</f>
        <v>Li et al., 2015</v>
      </c>
      <c r="E259" s="36" t="s">
        <v>613</v>
      </c>
      <c r="F259" s="36" t="s">
        <v>614</v>
      </c>
      <c r="G259" s="28" t="s">
        <v>32</v>
      </c>
      <c r="H259" s="34" t="s">
        <v>9</v>
      </c>
      <c r="I259" s="29" t="s">
        <v>92</v>
      </c>
      <c r="J259" s="34" t="s">
        <v>185</v>
      </c>
      <c r="K259" s="29">
        <v>32.0</v>
      </c>
      <c r="L259" s="38">
        <v>2.1</v>
      </c>
      <c r="M259" s="38">
        <v>1.6</v>
      </c>
      <c r="N259" s="39"/>
      <c r="O259" s="39"/>
      <c r="P259" s="39"/>
      <c r="Q259" s="39"/>
      <c r="R259" s="39"/>
      <c r="S259" s="39"/>
      <c r="T259" s="39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</row>
    <row r="260">
      <c r="A260" s="28">
        <f t="shared" si="97"/>
        <v>259</v>
      </c>
      <c r="B260" s="34">
        <v>51.0</v>
      </c>
      <c r="C260" s="29" t="s">
        <v>77</v>
      </c>
      <c r="D260" s="35" t="str">
        <f t="shared" si="99"/>
        <v>Li et al., 2015</v>
      </c>
      <c r="E260" s="36" t="s">
        <v>613</v>
      </c>
      <c r="F260" s="36" t="s">
        <v>614</v>
      </c>
      <c r="G260" s="28" t="s">
        <v>32</v>
      </c>
      <c r="H260" s="34" t="s">
        <v>9</v>
      </c>
      <c r="I260" s="29" t="s">
        <v>149</v>
      </c>
      <c r="J260" s="34" t="s">
        <v>173</v>
      </c>
      <c r="K260" s="29">
        <v>32.0</v>
      </c>
      <c r="L260" s="40">
        <v>4.0</v>
      </c>
      <c r="M260" s="41">
        <f t="shared" ref="M260:M261" si="100">iferror(P_SD(K260,L260),"")</f>
        <v>0.9091372901</v>
      </c>
      <c r="N260" s="39"/>
      <c r="O260" s="39"/>
      <c r="P260" s="39"/>
      <c r="Q260" s="39"/>
      <c r="R260" s="39"/>
      <c r="S260" s="39"/>
      <c r="T260" s="39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</row>
    <row r="261">
      <c r="A261" s="28">
        <f t="shared" si="97"/>
        <v>260</v>
      </c>
      <c r="B261" s="34">
        <v>51.0</v>
      </c>
      <c r="C261" s="29" t="s">
        <v>77</v>
      </c>
      <c r="D261" s="35" t="str">
        <f t="shared" si="99"/>
        <v>Li et al., 2015</v>
      </c>
      <c r="E261" s="36" t="s">
        <v>613</v>
      </c>
      <c r="F261" s="36" t="s">
        <v>614</v>
      </c>
      <c r="G261" s="28" t="s">
        <v>32</v>
      </c>
      <c r="H261" s="34" t="s">
        <v>9</v>
      </c>
      <c r="I261" s="29" t="s">
        <v>149</v>
      </c>
      <c r="J261" s="34" t="s">
        <v>151</v>
      </c>
      <c r="K261" s="29">
        <v>32.0</v>
      </c>
      <c r="L261" s="40">
        <v>6.0</v>
      </c>
      <c r="M261" s="41">
        <f t="shared" si="100"/>
        <v>1.414213562</v>
      </c>
      <c r="N261" s="39"/>
      <c r="O261" s="39"/>
      <c r="P261" s="39"/>
      <c r="Q261" s="39"/>
      <c r="R261" s="39"/>
      <c r="S261" s="39"/>
      <c r="T261" s="39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</row>
    <row r="262">
      <c r="A262" s="28">
        <f t="shared" si="97"/>
        <v>261</v>
      </c>
      <c r="B262" s="34">
        <v>51.0</v>
      </c>
      <c r="C262" s="29" t="s">
        <v>77</v>
      </c>
      <c r="D262" s="35" t="str">
        <f t="shared" si="99"/>
        <v>Li et al., 2015</v>
      </c>
      <c r="E262" s="36" t="s">
        <v>613</v>
      </c>
      <c r="F262" s="36" t="s">
        <v>614</v>
      </c>
      <c r="G262" s="28" t="s">
        <v>32</v>
      </c>
      <c r="H262" s="34" t="s">
        <v>9</v>
      </c>
      <c r="I262" s="29" t="s">
        <v>92</v>
      </c>
      <c r="J262" s="34" t="s">
        <v>220</v>
      </c>
      <c r="K262" s="29">
        <v>32.0</v>
      </c>
      <c r="L262" s="38">
        <v>87.5</v>
      </c>
      <c r="M262" s="38">
        <v>3.2</v>
      </c>
      <c r="N262" s="39"/>
      <c r="O262" s="39"/>
      <c r="P262" s="39"/>
      <c r="Q262" s="39"/>
      <c r="R262" s="39"/>
      <c r="S262" s="39"/>
      <c r="T262" s="39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</row>
    <row r="263">
      <c r="A263" s="28">
        <f t="shared" si="97"/>
        <v>262</v>
      </c>
      <c r="B263" s="34">
        <v>51.0</v>
      </c>
      <c r="C263" s="29" t="s">
        <v>77</v>
      </c>
      <c r="D263" s="35" t="str">
        <f t="shared" si="99"/>
        <v>Li et al., 2015</v>
      </c>
      <c r="E263" s="36" t="s">
        <v>613</v>
      </c>
      <c r="F263" s="36" t="s">
        <v>614</v>
      </c>
      <c r="G263" s="28" t="s">
        <v>32</v>
      </c>
      <c r="H263" s="34" t="s">
        <v>9</v>
      </c>
      <c r="I263" s="29" t="s">
        <v>92</v>
      </c>
      <c r="J263" s="34" t="s">
        <v>96</v>
      </c>
      <c r="K263" s="29">
        <v>32.0</v>
      </c>
      <c r="L263" s="38">
        <v>7.3</v>
      </c>
      <c r="M263" s="38">
        <v>1.3</v>
      </c>
      <c r="N263" s="39"/>
      <c r="O263" s="39"/>
      <c r="P263" s="39"/>
      <c r="Q263" s="39"/>
      <c r="R263" s="39"/>
      <c r="S263" s="39"/>
      <c r="T263" s="39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</row>
    <row r="264">
      <c r="A264" s="28">
        <f t="shared" si="97"/>
        <v>263</v>
      </c>
      <c r="B264" s="34">
        <v>51.0</v>
      </c>
      <c r="C264" s="29" t="s">
        <v>77</v>
      </c>
      <c r="D264" s="35" t="str">
        <f t="shared" si="99"/>
        <v>Li et al., 2015</v>
      </c>
      <c r="E264" s="36" t="s">
        <v>613</v>
      </c>
      <c r="F264" s="36" t="s">
        <v>614</v>
      </c>
      <c r="G264" s="28" t="s">
        <v>32</v>
      </c>
      <c r="H264" s="34" t="s">
        <v>9</v>
      </c>
      <c r="I264" s="29" t="s">
        <v>92</v>
      </c>
      <c r="J264" s="34" t="s">
        <v>226</v>
      </c>
      <c r="K264" s="29">
        <v>32.0</v>
      </c>
      <c r="L264" s="38">
        <v>91.3</v>
      </c>
      <c r="M264" s="38">
        <v>11.5</v>
      </c>
      <c r="N264" s="39"/>
      <c r="O264" s="39"/>
      <c r="P264" s="39"/>
      <c r="Q264" s="39"/>
      <c r="R264" s="39"/>
      <c r="S264" s="39"/>
      <c r="T264" s="39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</row>
    <row r="265">
      <c r="A265" s="28">
        <f t="shared" si="97"/>
        <v>264</v>
      </c>
      <c r="B265" s="34">
        <v>51.0</v>
      </c>
      <c r="C265" s="29" t="s">
        <v>77</v>
      </c>
      <c r="D265" s="35" t="str">
        <f t="shared" si="99"/>
        <v>Li et al., 2015</v>
      </c>
      <c r="E265" s="36" t="s">
        <v>613</v>
      </c>
      <c r="F265" s="36" t="s">
        <v>614</v>
      </c>
      <c r="G265" s="28" t="s">
        <v>32</v>
      </c>
      <c r="H265" s="34" t="s">
        <v>13</v>
      </c>
      <c r="I265" s="29" t="s">
        <v>92</v>
      </c>
      <c r="J265" s="34" t="s">
        <v>185</v>
      </c>
      <c r="K265" s="29">
        <v>32.0</v>
      </c>
      <c r="L265" s="38">
        <v>3.5</v>
      </c>
      <c r="M265" s="38">
        <v>1.2</v>
      </c>
      <c r="N265" s="39"/>
      <c r="O265" s="39"/>
      <c r="P265" s="39"/>
      <c r="Q265" s="39"/>
      <c r="R265" s="39"/>
      <c r="S265" s="39"/>
      <c r="T265" s="39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</row>
    <row r="266">
      <c r="A266" s="28">
        <f t="shared" si="97"/>
        <v>265</v>
      </c>
      <c r="B266" s="34">
        <v>51.0</v>
      </c>
      <c r="C266" s="29" t="s">
        <v>77</v>
      </c>
      <c r="D266" s="35" t="str">
        <f t="shared" si="99"/>
        <v>Li et al., 2015</v>
      </c>
      <c r="E266" s="36" t="s">
        <v>613</v>
      </c>
      <c r="F266" s="36" t="s">
        <v>614</v>
      </c>
      <c r="G266" s="28" t="s">
        <v>32</v>
      </c>
      <c r="H266" s="34" t="s">
        <v>13</v>
      </c>
      <c r="I266" s="29" t="s">
        <v>149</v>
      </c>
      <c r="J266" s="34" t="s">
        <v>173</v>
      </c>
      <c r="K266" s="29">
        <v>32.0</v>
      </c>
      <c r="L266" s="40">
        <v>9.0</v>
      </c>
      <c r="M266" s="41">
        <f t="shared" ref="M266:M267" si="101">iferror(P_SD(K266,L266),"")</f>
        <v>2.336526755</v>
      </c>
      <c r="N266" s="39"/>
      <c r="O266" s="39"/>
      <c r="P266" s="39"/>
      <c r="Q266" s="39"/>
      <c r="R266" s="39"/>
      <c r="S266" s="39"/>
      <c r="T266" s="39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</row>
    <row r="267">
      <c r="A267" s="28">
        <f t="shared" si="97"/>
        <v>266</v>
      </c>
      <c r="B267" s="34">
        <v>51.0</v>
      </c>
      <c r="C267" s="29" t="s">
        <v>77</v>
      </c>
      <c r="D267" s="35" t="str">
        <f t="shared" si="99"/>
        <v>Li et al., 2015</v>
      </c>
      <c r="E267" s="36" t="s">
        <v>613</v>
      </c>
      <c r="F267" s="36" t="s">
        <v>614</v>
      </c>
      <c r="G267" s="28" t="s">
        <v>32</v>
      </c>
      <c r="H267" s="34" t="s">
        <v>13</v>
      </c>
      <c r="I267" s="29" t="s">
        <v>149</v>
      </c>
      <c r="J267" s="34" t="s">
        <v>151</v>
      </c>
      <c r="K267" s="29">
        <v>32.0</v>
      </c>
      <c r="L267" s="40">
        <v>13.0</v>
      </c>
      <c r="M267" s="41">
        <f t="shared" si="101"/>
        <v>4.019343809</v>
      </c>
      <c r="N267" s="39"/>
      <c r="O267" s="39"/>
      <c r="P267" s="39"/>
      <c r="Q267" s="39"/>
      <c r="R267" s="39"/>
      <c r="S267" s="39"/>
      <c r="T267" s="39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</row>
    <row r="268">
      <c r="A268" s="28">
        <f t="shared" si="97"/>
        <v>267</v>
      </c>
      <c r="B268" s="34">
        <v>51.0</v>
      </c>
      <c r="C268" s="29" t="s">
        <v>77</v>
      </c>
      <c r="D268" s="35" t="str">
        <f t="shared" si="99"/>
        <v>Li et al., 2015</v>
      </c>
      <c r="E268" s="36" t="s">
        <v>613</v>
      </c>
      <c r="F268" s="36" t="s">
        <v>614</v>
      </c>
      <c r="G268" s="28" t="s">
        <v>32</v>
      </c>
      <c r="H268" s="34" t="s">
        <v>13</v>
      </c>
      <c r="I268" s="29" t="s">
        <v>92</v>
      </c>
      <c r="J268" s="34" t="s">
        <v>220</v>
      </c>
      <c r="K268" s="29">
        <v>32.0</v>
      </c>
      <c r="L268" s="38">
        <v>83.8</v>
      </c>
      <c r="M268" s="38">
        <v>6.9</v>
      </c>
      <c r="N268" s="39"/>
      <c r="O268" s="39"/>
      <c r="P268" s="39"/>
      <c r="Q268" s="39"/>
      <c r="R268" s="39"/>
      <c r="S268" s="39"/>
      <c r="T268" s="39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</row>
    <row r="269">
      <c r="A269" s="28">
        <f t="shared" si="97"/>
        <v>268</v>
      </c>
      <c r="B269" s="34">
        <v>51.0</v>
      </c>
      <c r="C269" s="29" t="s">
        <v>77</v>
      </c>
      <c r="D269" s="35" t="str">
        <f t="shared" si="99"/>
        <v>Li et al., 2015</v>
      </c>
      <c r="E269" s="36" t="s">
        <v>613</v>
      </c>
      <c r="F269" s="36" t="s">
        <v>614</v>
      </c>
      <c r="G269" s="28" t="s">
        <v>32</v>
      </c>
      <c r="H269" s="34" t="s">
        <v>13</v>
      </c>
      <c r="I269" s="29" t="s">
        <v>92</v>
      </c>
      <c r="J269" s="34" t="s">
        <v>96</v>
      </c>
      <c r="K269" s="29">
        <v>32.0</v>
      </c>
      <c r="L269" s="38">
        <v>7.0</v>
      </c>
      <c r="M269" s="38">
        <v>2.1</v>
      </c>
      <c r="N269" s="39"/>
      <c r="O269" s="39"/>
      <c r="P269" s="39"/>
      <c r="Q269" s="39"/>
      <c r="R269" s="39"/>
      <c r="S269" s="39"/>
      <c r="T269" s="39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</row>
    <row r="270">
      <c r="A270" s="28">
        <f t="shared" si="97"/>
        <v>269</v>
      </c>
      <c r="B270" s="34">
        <v>51.0</v>
      </c>
      <c r="C270" s="29" t="s">
        <v>77</v>
      </c>
      <c r="D270" s="35" t="str">
        <f t="shared" si="99"/>
        <v>Li et al., 2015</v>
      </c>
      <c r="E270" s="36" t="s">
        <v>613</v>
      </c>
      <c r="F270" s="36" t="s">
        <v>614</v>
      </c>
      <c r="G270" s="28" t="s">
        <v>32</v>
      </c>
      <c r="H270" s="34" t="s">
        <v>13</v>
      </c>
      <c r="I270" s="29" t="s">
        <v>92</v>
      </c>
      <c r="J270" s="34" t="s">
        <v>226</v>
      </c>
      <c r="K270" s="29">
        <v>32.0</v>
      </c>
      <c r="L270" s="38">
        <v>88.7</v>
      </c>
      <c r="M270" s="38">
        <v>8.6</v>
      </c>
      <c r="N270" s="39"/>
      <c r="O270" s="39"/>
      <c r="P270" s="39"/>
      <c r="Q270" s="39"/>
      <c r="R270" s="39"/>
      <c r="S270" s="39"/>
      <c r="T270" s="39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</row>
    <row r="271">
      <c r="A271" s="28" t="str">
        <f t="shared" si="97"/>
        <v/>
      </c>
      <c r="B271" s="34">
        <v>52.0</v>
      </c>
      <c r="C271" s="29" t="s">
        <v>77</v>
      </c>
      <c r="D271" s="35" t="str">
        <f t="shared" ref="D271:D280" si="102">HYPERLINK("https://github.com/d-wkim/phd/blob/main/data/pdf/lidén_2007.pdf","Lidén et al., 2007")</f>
        <v>Lidén et al., 2007</v>
      </c>
      <c r="E271" s="28" t="s">
        <v>615</v>
      </c>
      <c r="F271" s="28" t="s">
        <v>616</v>
      </c>
      <c r="G271" s="28" t="s">
        <v>102</v>
      </c>
      <c r="H271" s="34" t="s">
        <v>2</v>
      </c>
      <c r="I271" s="29" t="s">
        <v>92</v>
      </c>
      <c r="J271" s="34" t="s">
        <v>220</v>
      </c>
      <c r="K271" s="29"/>
      <c r="L271" s="38"/>
      <c r="M271" s="38"/>
      <c r="N271" s="39"/>
      <c r="O271" s="39"/>
      <c r="P271" s="39"/>
      <c r="Q271" s="39"/>
      <c r="R271" s="39"/>
      <c r="S271" s="39"/>
      <c r="T271" s="39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</row>
    <row r="272">
      <c r="A272" s="28">
        <f t="shared" si="97"/>
        <v>271</v>
      </c>
      <c r="B272" s="34">
        <v>52.0</v>
      </c>
      <c r="C272" s="29" t="s">
        <v>77</v>
      </c>
      <c r="D272" s="35" t="str">
        <f t="shared" si="102"/>
        <v>Lidén et al., 2007</v>
      </c>
      <c r="E272" s="28" t="s">
        <v>615</v>
      </c>
      <c r="F272" s="28" t="s">
        <v>616</v>
      </c>
      <c r="G272" s="28" t="s">
        <v>32</v>
      </c>
      <c r="H272" s="34" t="s">
        <v>2</v>
      </c>
      <c r="I272" s="29" t="s">
        <v>92</v>
      </c>
      <c r="J272" s="34" t="s">
        <v>96</v>
      </c>
      <c r="K272" s="29">
        <v>30.0</v>
      </c>
      <c r="L272" s="38">
        <v>5.0</v>
      </c>
      <c r="M272" s="38">
        <f t="shared" ref="M272:M274" si="103">iferror(RANGE_SD(K272,N272,R272),"")</f>
        <v>1.71544971</v>
      </c>
      <c r="N272" s="29">
        <v>0.0</v>
      </c>
      <c r="O272" s="39"/>
      <c r="P272" s="39"/>
      <c r="Q272" s="39"/>
      <c r="R272" s="29">
        <v>7.0</v>
      </c>
      <c r="S272" s="39"/>
      <c r="T272" s="39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</row>
    <row r="273">
      <c r="A273" s="28">
        <f t="shared" si="97"/>
        <v>272</v>
      </c>
      <c r="B273" s="34">
        <v>52.0</v>
      </c>
      <c r="C273" s="29" t="s">
        <v>77</v>
      </c>
      <c r="D273" s="35" t="str">
        <f t="shared" si="102"/>
        <v>Lidén et al., 2007</v>
      </c>
      <c r="E273" s="28" t="s">
        <v>615</v>
      </c>
      <c r="F273" s="28" t="s">
        <v>616</v>
      </c>
      <c r="G273" s="28" t="s">
        <v>32</v>
      </c>
      <c r="H273" s="34" t="s">
        <v>2</v>
      </c>
      <c r="I273" s="29" t="s">
        <v>92</v>
      </c>
      <c r="J273" s="34" t="s">
        <v>226</v>
      </c>
      <c r="K273" s="29">
        <v>30.0</v>
      </c>
      <c r="L273" s="38">
        <v>81.0</v>
      </c>
      <c r="M273" s="38">
        <f t="shared" si="103"/>
        <v>18.37981832</v>
      </c>
      <c r="N273" s="29">
        <v>25.0</v>
      </c>
      <c r="O273" s="39"/>
      <c r="P273" s="39"/>
      <c r="Q273" s="39"/>
      <c r="R273" s="29">
        <v>100.0</v>
      </c>
      <c r="S273" s="39"/>
      <c r="T273" s="39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</row>
    <row r="274">
      <c r="A274" s="28">
        <f t="shared" si="97"/>
        <v>273</v>
      </c>
      <c r="B274" s="34">
        <v>52.0</v>
      </c>
      <c r="C274" s="29" t="s">
        <v>77</v>
      </c>
      <c r="D274" s="35" t="str">
        <f t="shared" si="102"/>
        <v>Lidén et al., 2007</v>
      </c>
      <c r="E274" s="28" t="s">
        <v>615</v>
      </c>
      <c r="F274" s="28" t="s">
        <v>616</v>
      </c>
      <c r="G274" s="28" t="s">
        <v>32</v>
      </c>
      <c r="H274" s="34" t="s">
        <v>2</v>
      </c>
      <c r="I274" s="29" t="s">
        <v>92</v>
      </c>
      <c r="J274" s="34" t="s">
        <v>185</v>
      </c>
      <c r="K274" s="29">
        <v>30.0</v>
      </c>
      <c r="L274" s="38">
        <v>2.3</v>
      </c>
      <c r="M274" s="38">
        <f t="shared" si="103"/>
        <v>3.063303054</v>
      </c>
      <c r="N274" s="29">
        <v>-3.5</v>
      </c>
      <c r="O274" s="39"/>
      <c r="P274" s="39"/>
      <c r="Q274" s="39"/>
      <c r="R274" s="29">
        <v>9.0</v>
      </c>
      <c r="S274" s="39"/>
      <c r="T274" s="39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</row>
    <row r="275">
      <c r="A275" s="28">
        <f t="shared" si="97"/>
        <v>274</v>
      </c>
      <c r="B275" s="34">
        <v>52.0</v>
      </c>
      <c r="C275" s="29" t="s">
        <v>77</v>
      </c>
      <c r="D275" s="35" t="str">
        <f t="shared" si="102"/>
        <v>Lidén et al., 2007</v>
      </c>
      <c r="E275" s="28" t="s">
        <v>615</v>
      </c>
      <c r="F275" s="28" t="s">
        <v>616</v>
      </c>
      <c r="G275" s="28" t="s">
        <v>32</v>
      </c>
      <c r="H275" s="34" t="s">
        <v>2</v>
      </c>
      <c r="I275" s="29" t="s">
        <v>149</v>
      </c>
      <c r="J275" s="34" t="s">
        <v>151</v>
      </c>
      <c r="K275" s="29">
        <v>30.0</v>
      </c>
      <c r="L275" s="40">
        <v>22.0</v>
      </c>
      <c r="M275" s="41">
        <f>iferror(P_SD(K275,L275),"")</f>
        <v>15.40469693</v>
      </c>
      <c r="N275" s="39"/>
      <c r="O275" s="39"/>
      <c r="P275" s="39"/>
      <c r="Q275" s="39"/>
      <c r="R275" s="39"/>
      <c r="S275" s="39"/>
      <c r="T275" s="39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</row>
    <row r="276">
      <c r="A276" s="28" t="str">
        <f t="shared" si="97"/>
        <v/>
      </c>
      <c r="B276" s="34">
        <v>52.0</v>
      </c>
      <c r="C276" s="29" t="s">
        <v>77</v>
      </c>
      <c r="D276" s="35" t="str">
        <f t="shared" si="102"/>
        <v>Lidén et al., 2007</v>
      </c>
      <c r="E276" s="28" t="s">
        <v>615</v>
      </c>
      <c r="F276" s="28" t="s">
        <v>616</v>
      </c>
      <c r="G276" s="28" t="s">
        <v>102</v>
      </c>
      <c r="H276" s="34" t="s">
        <v>9</v>
      </c>
      <c r="I276" s="29" t="s">
        <v>92</v>
      </c>
      <c r="J276" s="34" t="s">
        <v>220</v>
      </c>
      <c r="K276" s="29"/>
      <c r="L276" s="41"/>
      <c r="M276" s="38"/>
      <c r="N276" s="39"/>
      <c r="O276" s="39"/>
      <c r="P276" s="39"/>
      <c r="Q276" s="39"/>
      <c r="R276" s="39"/>
      <c r="S276" s="39"/>
      <c r="T276" s="39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</row>
    <row r="277">
      <c r="A277" s="28">
        <f t="shared" si="97"/>
        <v>276</v>
      </c>
      <c r="B277" s="34">
        <v>52.0</v>
      </c>
      <c r="C277" s="29" t="s">
        <v>77</v>
      </c>
      <c r="D277" s="35" t="str">
        <f t="shared" si="102"/>
        <v>Lidén et al., 2007</v>
      </c>
      <c r="E277" s="28" t="s">
        <v>615</v>
      </c>
      <c r="F277" s="28" t="s">
        <v>616</v>
      </c>
      <c r="G277" s="28" t="s">
        <v>32</v>
      </c>
      <c r="H277" s="34" t="s">
        <v>9</v>
      </c>
      <c r="I277" s="29" t="s">
        <v>92</v>
      </c>
      <c r="J277" s="34" t="s">
        <v>96</v>
      </c>
      <c r="K277" s="29">
        <v>32.0</v>
      </c>
      <c r="L277" s="38">
        <v>6.0</v>
      </c>
      <c r="M277" s="38">
        <f t="shared" ref="M277:M279" si="104">iferror(RANGE_SD(K277,N277,R277),"")</f>
        <v>1.69349725</v>
      </c>
      <c r="N277" s="29">
        <v>2.0</v>
      </c>
      <c r="O277" s="39"/>
      <c r="P277" s="39"/>
      <c r="Q277" s="39"/>
      <c r="R277" s="29">
        <v>9.0</v>
      </c>
      <c r="S277" s="39"/>
      <c r="T277" s="39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</row>
    <row r="278">
      <c r="A278" s="28">
        <f t="shared" si="97"/>
        <v>277</v>
      </c>
      <c r="B278" s="34">
        <v>52.0</v>
      </c>
      <c r="C278" s="29" t="s">
        <v>77</v>
      </c>
      <c r="D278" s="35" t="str">
        <f t="shared" si="102"/>
        <v>Lidén et al., 2007</v>
      </c>
      <c r="E278" s="28" t="s">
        <v>615</v>
      </c>
      <c r="F278" s="28" t="s">
        <v>616</v>
      </c>
      <c r="G278" s="28" t="s">
        <v>32</v>
      </c>
      <c r="H278" s="34" t="s">
        <v>9</v>
      </c>
      <c r="I278" s="29" t="s">
        <v>92</v>
      </c>
      <c r="J278" s="34" t="s">
        <v>226</v>
      </c>
      <c r="K278" s="29">
        <v>32.0</v>
      </c>
      <c r="L278" s="38">
        <v>90.0</v>
      </c>
      <c r="M278" s="38">
        <f t="shared" si="104"/>
        <v>12.09640893</v>
      </c>
      <c r="N278" s="29">
        <v>50.0</v>
      </c>
      <c r="O278" s="39"/>
      <c r="P278" s="39"/>
      <c r="Q278" s="39"/>
      <c r="R278" s="29">
        <v>100.0</v>
      </c>
      <c r="S278" s="39"/>
      <c r="T278" s="39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</row>
    <row r="279">
      <c r="A279" s="28">
        <f t="shared" si="97"/>
        <v>278</v>
      </c>
      <c r="B279" s="34">
        <v>52.0</v>
      </c>
      <c r="C279" s="29" t="s">
        <v>77</v>
      </c>
      <c r="D279" s="35" t="str">
        <f t="shared" si="102"/>
        <v>Lidén et al., 2007</v>
      </c>
      <c r="E279" s="28" t="s">
        <v>615</v>
      </c>
      <c r="F279" s="28" t="s">
        <v>616</v>
      </c>
      <c r="G279" s="28" t="s">
        <v>32</v>
      </c>
      <c r="H279" s="34" t="s">
        <v>9</v>
      </c>
      <c r="I279" s="29" t="s">
        <v>92</v>
      </c>
      <c r="J279" s="34" t="s">
        <v>185</v>
      </c>
      <c r="K279" s="29">
        <v>32.0</v>
      </c>
      <c r="L279" s="38">
        <v>2.7</v>
      </c>
      <c r="M279" s="38">
        <f t="shared" si="104"/>
        <v>3.386994499</v>
      </c>
      <c r="N279" s="29">
        <v>-4.5</v>
      </c>
      <c r="O279" s="39"/>
      <c r="P279" s="39"/>
      <c r="Q279" s="39"/>
      <c r="R279" s="29">
        <v>9.5</v>
      </c>
      <c r="S279" s="39"/>
      <c r="T279" s="39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</row>
    <row r="280">
      <c r="A280" s="28">
        <f t="shared" si="97"/>
        <v>279</v>
      </c>
      <c r="B280" s="34">
        <v>52.0</v>
      </c>
      <c r="C280" s="29" t="s">
        <v>77</v>
      </c>
      <c r="D280" s="35" t="str">
        <f t="shared" si="102"/>
        <v>Lidén et al., 2007</v>
      </c>
      <c r="E280" s="28" t="s">
        <v>615</v>
      </c>
      <c r="F280" s="28" t="s">
        <v>616</v>
      </c>
      <c r="G280" s="28" t="s">
        <v>32</v>
      </c>
      <c r="H280" s="34" t="s">
        <v>9</v>
      </c>
      <c r="I280" s="29" t="s">
        <v>149</v>
      </c>
      <c r="J280" s="34" t="s">
        <v>151</v>
      </c>
      <c r="K280" s="29">
        <v>32.0</v>
      </c>
      <c r="L280" s="40">
        <v>25.0</v>
      </c>
      <c r="M280" s="41">
        <f>iferror(P_SD(K280,L280),"")</f>
        <v>20.60711191</v>
      </c>
      <c r="N280" s="39"/>
      <c r="O280" s="39"/>
      <c r="P280" s="39"/>
      <c r="Q280" s="39"/>
      <c r="R280" s="39"/>
      <c r="S280" s="39"/>
      <c r="T280" s="39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</row>
    <row r="281">
      <c r="A281" s="28">
        <f t="shared" si="97"/>
        <v>280</v>
      </c>
      <c r="B281" s="34">
        <v>53.0</v>
      </c>
      <c r="C281" s="29" t="s">
        <v>77</v>
      </c>
      <c r="D281" s="35" t="str">
        <f t="shared" ref="D281:D288" si="105">HYPERLINK("https://github.com/d-wkim/phd/blob/main/data/pdf/lind_2020.pdf","Lind et al., 2020")</f>
        <v>Lind et al., 2020</v>
      </c>
      <c r="E281" s="36" t="s">
        <v>617</v>
      </c>
      <c r="F281" s="36" t="s">
        <v>618</v>
      </c>
      <c r="G281" s="28" t="s">
        <v>32</v>
      </c>
      <c r="H281" s="34" t="s">
        <v>9</v>
      </c>
      <c r="I281" s="29" t="s">
        <v>92</v>
      </c>
      <c r="J281" s="34" t="s">
        <v>220</v>
      </c>
      <c r="K281" s="29">
        <v>49.0</v>
      </c>
      <c r="L281" s="38">
        <v>78.0</v>
      </c>
      <c r="M281" s="38">
        <v>18.0</v>
      </c>
      <c r="N281" s="39"/>
      <c r="O281" s="39"/>
      <c r="P281" s="39"/>
      <c r="Q281" s="39"/>
      <c r="R281" s="39"/>
      <c r="S281" s="39"/>
      <c r="T281" s="39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</row>
    <row r="282">
      <c r="A282" s="28">
        <f t="shared" si="97"/>
        <v>281</v>
      </c>
      <c r="B282" s="34">
        <v>53.0</v>
      </c>
      <c r="C282" s="29" t="s">
        <v>77</v>
      </c>
      <c r="D282" s="35" t="str">
        <f t="shared" si="105"/>
        <v>Lind et al., 2020</v>
      </c>
      <c r="E282" s="36" t="s">
        <v>617</v>
      </c>
      <c r="F282" s="36" t="s">
        <v>618</v>
      </c>
      <c r="G282" s="28" t="s">
        <v>32</v>
      </c>
      <c r="H282" s="34" t="s">
        <v>9</v>
      </c>
      <c r="I282" s="29" t="s">
        <v>92</v>
      </c>
      <c r="J282" s="34" t="s">
        <v>96</v>
      </c>
      <c r="K282" s="29">
        <v>49.0</v>
      </c>
      <c r="L282" s="38">
        <v>5.9</v>
      </c>
      <c r="M282" s="38">
        <v>1.3</v>
      </c>
      <c r="N282" s="39"/>
      <c r="O282" s="39"/>
      <c r="P282" s="39"/>
      <c r="Q282" s="39"/>
      <c r="R282" s="39"/>
      <c r="S282" s="39"/>
      <c r="T282" s="39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</row>
    <row r="283">
      <c r="A283" s="28">
        <f t="shared" si="97"/>
        <v>282</v>
      </c>
      <c r="B283" s="34">
        <v>53.0</v>
      </c>
      <c r="C283" s="29" t="s">
        <v>77</v>
      </c>
      <c r="D283" s="35" t="str">
        <f t="shared" si="105"/>
        <v>Lind et al., 2020</v>
      </c>
      <c r="E283" s="36" t="s">
        <v>617</v>
      </c>
      <c r="F283" s="36" t="s">
        <v>618</v>
      </c>
      <c r="G283" s="28" t="s">
        <v>32</v>
      </c>
      <c r="H283" s="34" t="s">
        <v>9</v>
      </c>
      <c r="I283" s="29" t="s">
        <v>92</v>
      </c>
      <c r="J283" s="34" t="s">
        <v>185</v>
      </c>
      <c r="K283" s="29">
        <v>49.0</v>
      </c>
      <c r="L283" s="38">
        <v>1.9</v>
      </c>
      <c r="M283" s="38">
        <v>1.7</v>
      </c>
      <c r="N283" s="39"/>
      <c r="O283" s="39"/>
      <c r="P283" s="39"/>
      <c r="Q283" s="39"/>
      <c r="R283" s="39"/>
      <c r="S283" s="39"/>
      <c r="T283" s="39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</row>
    <row r="284">
      <c r="A284" s="28">
        <f t="shared" si="97"/>
        <v>283</v>
      </c>
      <c r="B284" s="34">
        <v>53.0</v>
      </c>
      <c r="C284" s="29" t="s">
        <v>77</v>
      </c>
      <c r="D284" s="35" t="str">
        <f t="shared" si="105"/>
        <v>Lind et al., 2020</v>
      </c>
      <c r="E284" s="36" t="s">
        <v>617</v>
      </c>
      <c r="F284" s="36" t="s">
        <v>618</v>
      </c>
      <c r="G284" s="28" t="s">
        <v>32</v>
      </c>
      <c r="H284" s="34" t="s">
        <v>9</v>
      </c>
      <c r="I284" s="29" t="s">
        <v>149</v>
      </c>
      <c r="J284" s="34" t="s">
        <v>173</v>
      </c>
      <c r="K284" s="29">
        <v>49.0</v>
      </c>
      <c r="L284" s="40">
        <v>11.0</v>
      </c>
      <c r="M284" s="41">
        <f>iferror(P_SD(K284,L284),"")</f>
        <v>2.118421053</v>
      </c>
      <c r="N284" s="39"/>
      <c r="O284" s="39"/>
      <c r="P284" s="39"/>
      <c r="Q284" s="39"/>
      <c r="R284" s="39"/>
      <c r="S284" s="39"/>
      <c r="T284" s="39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</row>
    <row r="285">
      <c r="A285" s="28">
        <f t="shared" si="97"/>
        <v>284</v>
      </c>
      <c r="B285" s="34">
        <v>53.0</v>
      </c>
      <c r="C285" s="29" t="s">
        <v>77</v>
      </c>
      <c r="D285" s="35" t="str">
        <f t="shared" si="105"/>
        <v>Lind et al., 2020</v>
      </c>
      <c r="E285" s="36" t="s">
        <v>617</v>
      </c>
      <c r="F285" s="36" t="s">
        <v>618</v>
      </c>
      <c r="G285" s="28" t="s">
        <v>32</v>
      </c>
      <c r="H285" s="34" t="s">
        <v>10</v>
      </c>
      <c r="I285" s="29" t="s">
        <v>92</v>
      </c>
      <c r="J285" s="34" t="s">
        <v>220</v>
      </c>
      <c r="K285" s="29">
        <v>47.0</v>
      </c>
      <c r="L285" s="38">
        <v>82.0</v>
      </c>
      <c r="M285" s="38">
        <v>14.0</v>
      </c>
      <c r="N285" s="39"/>
      <c r="O285" s="39"/>
      <c r="P285" s="39"/>
      <c r="Q285" s="39"/>
      <c r="R285" s="39"/>
      <c r="S285" s="39"/>
      <c r="T285" s="39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</row>
    <row r="286">
      <c r="A286" s="28">
        <f t="shared" si="97"/>
        <v>285</v>
      </c>
      <c r="B286" s="34">
        <v>53.0</v>
      </c>
      <c r="C286" s="29" t="s">
        <v>77</v>
      </c>
      <c r="D286" s="35" t="str">
        <f t="shared" si="105"/>
        <v>Lind et al., 2020</v>
      </c>
      <c r="E286" s="36" t="s">
        <v>617</v>
      </c>
      <c r="F286" s="36" t="s">
        <v>618</v>
      </c>
      <c r="G286" s="28" t="s">
        <v>32</v>
      </c>
      <c r="H286" s="34" t="s">
        <v>10</v>
      </c>
      <c r="I286" s="29" t="s">
        <v>92</v>
      </c>
      <c r="J286" s="34" t="s">
        <v>96</v>
      </c>
      <c r="K286" s="29">
        <v>47.0</v>
      </c>
      <c r="L286" s="38">
        <v>6.0</v>
      </c>
      <c r="M286" s="38">
        <v>1.5</v>
      </c>
      <c r="N286" s="39"/>
      <c r="O286" s="39"/>
      <c r="P286" s="39"/>
      <c r="Q286" s="39"/>
      <c r="R286" s="39"/>
      <c r="S286" s="39"/>
      <c r="T286" s="39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</row>
    <row r="287">
      <c r="A287" s="28">
        <f t="shared" si="97"/>
        <v>286</v>
      </c>
      <c r="B287" s="34">
        <v>53.0</v>
      </c>
      <c r="C287" s="29" t="s">
        <v>77</v>
      </c>
      <c r="D287" s="35" t="str">
        <f t="shared" si="105"/>
        <v>Lind et al., 2020</v>
      </c>
      <c r="E287" s="36" t="s">
        <v>617</v>
      </c>
      <c r="F287" s="36" t="s">
        <v>618</v>
      </c>
      <c r="G287" s="28" t="s">
        <v>32</v>
      </c>
      <c r="H287" s="34" t="s">
        <v>10</v>
      </c>
      <c r="I287" s="29" t="s">
        <v>92</v>
      </c>
      <c r="J287" s="34" t="s">
        <v>185</v>
      </c>
      <c r="K287" s="29">
        <v>47.0</v>
      </c>
      <c r="L287" s="38">
        <v>1.8</v>
      </c>
      <c r="M287" s="38">
        <v>1.0</v>
      </c>
      <c r="N287" s="39"/>
      <c r="O287" s="39"/>
      <c r="P287" s="39"/>
      <c r="Q287" s="39"/>
      <c r="R287" s="39"/>
      <c r="S287" s="39"/>
      <c r="T287" s="39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</row>
    <row r="288">
      <c r="A288" s="28">
        <f t="shared" si="97"/>
        <v>287</v>
      </c>
      <c r="B288" s="34">
        <v>53.0</v>
      </c>
      <c r="C288" s="29" t="s">
        <v>77</v>
      </c>
      <c r="D288" s="35" t="str">
        <f t="shared" si="105"/>
        <v>Lind et al., 2020</v>
      </c>
      <c r="E288" s="36" t="s">
        <v>617</v>
      </c>
      <c r="F288" s="36" t="s">
        <v>618</v>
      </c>
      <c r="G288" s="28" t="s">
        <v>32</v>
      </c>
      <c r="H288" s="34" t="s">
        <v>10</v>
      </c>
      <c r="I288" s="29" t="s">
        <v>149</v>
      </c>
      <c r="J288" s="34" t="s">
        <v>173</v>
      </c>
      <c r="K288" s="29">
        <v>47.0</v>
      </c>
      <c r="L288" s="40">
        <v>8.0</v>
      </c>
      <c r="M288" s="41">
        <f>iferror(P_SD(K288,L288),"")</f>
        <v>1.494181131</v>
      </c>
      <c r="N288" s="39"/>
      <c r="O288" s="39"/>
      <c r="P288" s="39"/>
      <c r="Q288" s="39"/>
      <c r="R288" s="39"/>
      <c r="S288" s="39"/>
      <c r="T288" s="39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</row>
    <row r="289">
      <c r="A289" s="28">
        <f t="shared" si="97"/>
        <v>288</v>
      </c>
      <c r="B289" s="34">
        <v>54.0</v>
      </c>
      <c r="C289" s="29" t="s">
        <v>77</v>
      </c>
      <c r="D289" s="35" t="str">
        <f t="shared" ref="D289:D300" si="106">HYPERLINK("https://github.com/d-wkim/phd/blob/main/data/pdf/lucidi_2025.pdf","Lucidi et al., 2025")</f>
        <v>Lucidi et al., 2025</v>
      </c>
      <c r="E289" s="36" t="s">
        <v>619</v>
      </c>
      <c r="F289" s="36" t="s">
        <v>620</v>
      </c>
      <c r="G289" s="28" t="s">
        <v>32</v>
      </c>
      <c r="H289" s="34" t="s">
        <v>2</v>
      </c>
      <c r="I289" s="29" t="s">
        <v>92</v>
      </c>
      <c r="J289" s="34" t="s">
        <v>220</v>
      </c>
      <c r="K289" s="29">
        <v>19.0</v>
      </c>
      <c r="L289" s="38">
        <v>78.4</v>
      </c>
      <c r="M289" s="38">
        <v>13.7</v>
      </c>
      <c r="N289" s="39"/>
      <c r="O289" s="39"/>
      <c r="P289" s="39"/>
      <c r="Q289" s="39"/>
      <c r="R289" s="39"/>
      <c r="S289" s="39"/>
      <c r="T289" s="39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</row>
    <row r="290">
      <c r="A290" s="28">
        <f t="shared" si="97"/>
        <v>289</v>
      </c>
      <c r="B290" s="34">
        <v>54.0</v>
      </c>
      <c r="C290" s="29" t="s">
        <v>77</v>
      </c>
      <c r="D290" s="35" t="str">
        <f t="shared" si="106"/>
        <v>Lucidi et al., 2025</v>
      </c>
      <c r="E290" s="36" t="s">
        <v>619</v>
      </c>
      <c r="F290" s="36" t="s">
        <v>620</v>
      </c>
      <c r="G290" s="28" t="s">
        <v>32</v>
      </c>
      <c r="H290" s="34" t="s">
        <v>2</v>
      </c>
      <c r="I290" s="29" t="s">
        <v>92</v>
      </c>
      <c r="J290" s="34" t="s">
        <v>96</v>
      </c>
      <c r="K290" s="29">
        <v>19.0</v>
      </c>
      <c r="L290" s="38">
        <v>3.0</v>
      </c>
      <c r="M290" s="38">
        <f>iferror(RANGE_SD(K290,N290,R290),"")</f>
        <v>1.08359684</v>
      </c>
      <c r="N290" s="29">
        <v>1.0</v>
      </c>
      <c r="O290" s="39"/>
      <c r="P290" s="39"/>
      <c r="Q290" s="39"/>
      <c r="R290" s="29">
        <v>5.0</v>
      </c>
      <c r="S290" s="39"/>
      <c r="T290" s="39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</row>
    <row r="291">
      <c r="A291" s="28">
        <f t="shared" si="97"/>
        <v>290</v>
      </c>
      <c r="B291" s="34">
        <v>54.0</v>
      </c>
      <c r="C291" s="29" t="s">
        <v>77</v>
      </c>
      <c r="D291" s="35" t="str">
        <f t="shared" si="106"/>
        <v>Lucidi et al., 2025</v>
      </c>
      <c r="E291" s="36" t="s">
        <v>619</v>
      </c>
      <c r="F291" s="36" t="s">
        <v>620</v>
      </c>
      <c r="G291" s="28" t="s">
        <v>32</v>
      </c>
      <c r="H291" s="34" t="s">
        <v>2</v>
      </c>
      <c r="I291" s="29" t="s">
        <v>92</v>
      </c>
      <c r="J291" s="34" t="s">
        <v>226</v>
      </c>
      <c r="K291" s="29">
        <v>19.0</v>
      </c>
      <c r="L291" s="38">
        <v>84.8</v>
      </c>
      <c r="M291" s="38">
        <v>10.3</v>
      </c>
      <c r="N291" s="39"/>
      <c r="O291" s="39"/>
      <c r="P291" s="39"/>
      <c r="Q291" s="39"/>
      <c r="R291" s="39"/>
      <c r="S291" s="39"/>
      <c r="T291" s="39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</row>
    <row r="292">
      <c r="A292" s="28">
        <f t="shared" si="97"/>
        <v>291</v>
      </c>
      <c r="B292" s="34">
        <v>54.0</v>
      </c>
      <c r="C292" s="29" t="s">
        <v>77</v>
      </c>
      <c r="D292" s="35" t="str">
        <f t="shared" si="106"/>
        <v>Lucidi et al., 2025</v>
      </c>
      <c r="E292" s="36" t="s">
        <v>619</v>
      </c>
      <c r="F292" s="36" t="s">
        <v>620</v>
      </c>
      <c r="G292" s="28" t="s">
        <v>32</v>
      </c>
      <c r="H292" s="34" t="s">
        <v>2</v>
      </c>
      <c r="I292" s="29" t="s">
        <v>92</v>
      </c>
      <c r="J292" s="34" t="s">
        <v>185</v>
      </c>
      <c r="K292" s="29">
        <v>19.0</v>
      </c>
      <c r="L292" s="38">
        <v>-0.1</v>
      </c>
      <c r="M292" s="38">
        <v>1.6</v>
      </c>
      <c r="N292" s="39"/>
      <c r="O292" s="39"/>
      <c r="P292" s="39"/>
      <c r="Q292" s="39"/>
      <c r="R292" s="39"/>
      <c r="S292" s="39"/>
      <c r="T292" s="39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</row>
    <row r="293">
      <c r="A293" s="28">
        <f t="shared" si="97"/>
        <v>292</v>
      </c>
      <c r="B293" s="34">
        <v>54.0</v>
      </c>
      <c r="C293" s="29" t="s">
        <v>77</v>
      </c>
      <c r="D293" s="35" t="str">
        <f t="shared" si="106"/>
        <v>Lucidi et al., 2025</v>
      </c>
      <c r="E293" s="36" t="s">
        <v>619</v>
      </c>
      <c r="F293" s="36" t="s">
        <v>620</v>
      </c>
      <c r="G293" s="28" t="s">
        <v>32</v>
      </c>
      <c r="H293" s="34" t="s">
        <v>2</v>
      </c>
      <c r="I293" s="29" t="s">
        <v>149</v>
      </c>
      <c r="J293" s="34" t="s">
        <v>173</v>
      </c>
      <c r="K293" s="29">
        <v>19.0</v>
      </c>
      <c r="L293" s="40">
        <v>7.0</v>
      </c>
      <c r="M293" s="41">
        <f t="shared" ref="M293:M294" si="107">iferror(P_SD(K293,L293),"")</f>
        <v>2.72431184</v>
      </c>
      <c r="N293" s="39"/>
      <c r="O293" s="39"/>
      <c r="P293" s="39"/>
      <c r="Q293" s="39"/>
      <c r="R293" s="39"/>
      <c r="S293" s="39"/>
      <c r="T293" s="39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</row>
    <row r="294">
      <c r="A294" s="28">
        <v>274.0</v>
      </c>
      <c r="B294" s="34">
        <v>54.0</v>
      </c>
      <c r="C294" s="29" t="s">
        <v>77</v>
      </c>
      <c r="D294" s="35" t="str">
        <f t="shared" si="106"/>
        <v>Lucidi et al., 2025</v>
      </c>
      <c r="E294" s="36" t="s">
        <v>619</v>
      </c>
      <c r="F294" s="36" t="s">
        <v>620</v>
      </c>
      <c r="G294" s="28" t="s">
        <v>32</v>
      </c>
      <c r="H294" s="34" t="s">
        <v>2</v>
      </c>
      <c r="I294" s="29" t="s">
        <v>149</v>
      </c>
      <c r="J294" s="34" t="s">
        <v>308</v>
      </c>
      <c r="K294" s="29">
        <v>19.0</v>
      </c>
      <c r="L294" s="40">
        <v>7.0</v>
      </c>
      <c r="M294" s="41">
        <f t="shared" si="107"/>
        <v>2.72431184</v>
      </c>
      <c r="N294" s="39"/>
      <c r="O294" s="39"/>
      <c r="P294" s="39"/>
      <c r="Q294" s="39"/>
      <c r="R294" s="39"/>
      <c r="S294" s="39"/>
      <c r="T294" s="39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</row>
    <row r="295">
      <c r="A295" s="28">
        <f t="shared" ref="A295:A299" si="108">if(G295="Included",row(A295)-1,"")</f>
        <v>294</v>
      </c>
      <c r="B295" s="34">
        <v>54.0</v>
      </c>
      <c r="C295" s="29" t="s">
        <v>77</v>
      </c>
      <c r="D295" s="35" t="str">
        <f t="shared" si="106"/>
        <v>Lucidi et al., 2025</v>
      </c>
      <c r="E295" s="36" t="s">
        <v>619</v>
      </c>
      <c r="F295" s="36" t="s">
        <v>620</v>
      </c>
      <c r="G295" s="28" t="s">
        <v>32</v>
      </c>
      <c r="H295" s="34" t="s">
        <v>9</v>
      </c>
      <c r="I295" s="29" t="s">
        <v>92</v>
      </c>
      <c r="J295" s="34" t="s">
        <v>220</v>
      </c>
      <c r="K295" s="29">
        <v>20.0</v>
      </c>
      <c r="L295" s="38">
        <v>81.6</v>
      </c>
      <c r="M295" s="38">
        <v>11.9</v>
      </c>
      <c r="N295" s="39"/>
      <c r="O295" s="39"/>
      <c r="P295" s="39"/>
      <c r="Q295" s="39"/>
      <c r="R295" s="39"/>
      <c r="S295" s="39"/>
      <c r="T295" s="39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</row>
    <row r="296">
      <c r="A296" s="28">
        <f t="shared" si="108"/>
        <v>295</v>
      </c>
      <c r="B296" s="34">
        <v>54.0</v>
      </c>
      <c r="C296" s="29" t="s">
        <v>77</v>
      </c>
      <c r="D296" s="35" t="str">
        <f t="shared" si="106"/>
        <v>Lucidi et al., 2025</v>
      </c>
      <c r="E296" s="36" t="s">
        <v>619</v>
      </c>
      <c r="F296" s="36" t="s">
        <v>620</v>
      </c>
      <c r="G296" s="28" t="s">
        <v>32</v>
      </c>
      <c r="H296" s="34" t="s">
        <v>9</v>
      </c>
      <c r="I296" s="29" t="s">
        <v>92</v>
      </c>
      <c r="J296" s="34" t="s">
        <v>96</v>
      </c>
      <c r="K296" s="29">
        <v>20.0</v>
      </c>
      <c r="L296" s="38">
        <v>4.0</v>
      </c>
      <c r="M296" s="38">
        <f>iferror(RANGE_SD(K296,N296,R296),"")</f>
        <v>0.8028939926</v>
      </c>
      <c r="N296" s="29">
        <v>3.0</v>
      </c>
      <c r="O296" s="39"/>
      <c r="P296" s="39"/>
      <c r="Q296" s="39"/>
      <c r="R296" s="29">
        <v>6.0</v>
      </c>
      <c r="S296" s="39"/>
      <c r="T296" s="39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</row>
    <row r="297">
      <c r="A297" s="28">
        <f t="shared" si="108"/>
        <v>296</v>
      </c>
      <c r="B297" s="34">
        <v>54.0</v>
      </c>
      <c r="C297" s="29" t="s">
        <v>77</v>
      </c>
      <c r="D297" s="35" t="str">
        <f t="shared" si="106"/>
        <v>Lucidi et al., 2025</v>
      </c>
      <c r="E297" s="36" t="s">
        <v>619</v>
      </c>
      <c r="F297" s="36" t="s">
        <v>620</v>
      </c>
      <c r="G297" s="28" t="s">
        <v>32</v>
      </c>
      <c r="H297" s="34" t="s">
        <v>9</v>
      </c>
      <c r="I297" s="29" t="s">
        <v>92</v>
      </c>
      <c r="J297" s="34" t="s">
        <v>226</v>
      </c>
      <c r="K297" s="29">
        <v>20.0</v>
      </c>
      <c r="L297" s="38">
        <v>88.6</v>
      </c>
      <c r="M297" s="38">
        <v>8.3</v>
      </c>
      <c r="N297" s="39"/>
      <c r="O297" s="39"/>
      <c r="P297" s="39"/>
      <c r="Q297" s="39"/>
      <c r="R297" s="39"/>
      <c r="S297" s="39"/>
      <c r="T297" s="39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</row>
    <row r="298">
      <c r="A298" s="28">
        <f t="shared" si="108"/>
        <v>297</v>
      </c>
      <c r="B298" s="34">
        <v>54.0</v>
      </c>
      <c r="C298" s="29" t="s">
        <v>77</v>
      </c>
      <c r="D298" s="35" t="str">
        <f t="shared" si="106"/>
        <v>Lucidi et al., 2025</v>
      </c>
      <c r="E298" s="36" t="s">
        <v>619</v>
      </c>
      <c r="F298" s="36" t="s">
        <v>620</v>
      </c>
      <c r="G298" s="28" t="s">
        <v>32</v>
      </c>
      <c r="H298" s="34" t="s">
        <v>9</v>
      </c>
      <c r="I298" s="29" t="s">
        <v>92</v>
      </c>
      <c r="J298" s="34" t="s">
        <v>185</v>
      </c>
      <c r="K298" s="29">
        <v>20.0</v>
      </c>
      <c r="L298" s="38">
        <v>1.5</v>
      </c>
      <c r="M298" s="38">
        <v>1.2</v>
      </c>
      <c r="N298" s="39"/>
      <c r="O298" s="39"/>
      <c r="P298" s="39"/>
      <c r="Q298" s="39"/>
      <c r="R298" s="39"/>
      <c r="S298" s="39"/>
      <c r="T298" s="39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</row>
    <row r="299">
      <c r="A299" s="28">
        <f t="shared" si="108"/>
        <v>298</v>
      </c>
      <c r="B299" s="34">
        <v>54.0</v>
      </c>
      <c r="C299" s="29" t="s">
        <v>77</v>
      </c>
      <c r="D299" s="35" t="str">
        <f t="shared" si="106"/>
        <v>Lucidi et al., 2025</v>
      </c>
      <c r="E299" s="36" t="s">
        <v>619</v>
      </c>
      <c r="F299" s="36" t="s">
        <v>620</v>
      </c>
      <c r="G299" s="28" t="s">
        <v>32</v>
      </c>
      <c r="H299" s="34" t="s">
        <v>9</v>
      </c>
      <c r="I299" s="29" t="s">
        <v>149</v>
      </c>
      <c r="J299" s="34" t="s">
        <v>173</v>
      </c>
      <c r="K299" s="29">
        <v>20.0</v>
      </c>
      <c r="L299" s="40">
        <v>5.0</v>
      </c>
      <c r="M299" s="41">
        <f t="shared" ref="M299:M300" si="109">iferror(P_SD(K299,L299),"")</f>
        <v>1.639783183</v>
      </c>
      <c r="N299" s="39"/>
      <c r="O299" s="39"/>
      <c r="P299" s="39"/>
      <c r="Q299" s="39"/>
      <c r="R299" s="39"/>
      <c r="S299" s="39"/>
      <c r="T299" s="39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</row>
    <row r="300">
      <c r="A300" s="28">
        <v>280.0</v>
      </c>
      <c r="B300" s="34">
        <v>54.0</v>
      </c>
      <c r="C300" s="29" t="s">
        <v>77</v>
      </c>
      <c r="D300" s="35" t="str">
        <f t="shared" si="106"/>
        <v>Lucidi et al., 2025</v>
      </c>
      <c r="E300" s="36" t="s">
        <v>619</v>
      </c>
      <c r="F300" s="36" t="s">
        <v>620</v>
      </c>
      <c r="G300" s="28" t="s">
        <v>32</v>
      </c>
      <c r="H300" s="34" t="s">
        <v>9</v>
      </c>
      <c r="I300" s="29" t="s">
        <v>149</v>
      </c>
      <c r="J300" s="34" t="s">
        <v>308</v>
      </c>
      <c r="K300" s="29">
        <v>20.0</v>
      </c>
      <c r="L300" s="40">
        <v>3.0</v>
      </c>
      <c r="M300" s="41">
        <f t="shared" si="109"/>
        <v>0.9207338731</v>
      </c>
      <c r="N300" s="39"/>
      <c r="O300" s="39"/>
      <c r="P300" s="39"/>
      <c r="Q300" s="39"/>
      <c r="R300" s="39"/>
      <c r="S300" s="39"/>
      <c r="T300" s="39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</row>
    <row r="301">
      <c r="A301" s="28">
        <f t="shared" ref="A301:A340" si="110">if(G301="Included",row(A301)-1,"")</f>
        <v>300</v>
      </c>
      <c r="B301" s="34">
        <v>55.0</v>
      </c>
      <c r="C301" s="29" t="s">
        <v>77</v>
      </c>
      <c r="D301" s="35" t="str">
        <f t="shared" ref="D301:D308" si="111">HYPERLINK("https://github.com/d-wkim/phd/blob/main/data/pdf/lui_2012.pdf","Lui et al., 2012")</f>
        <v>Lui et al., 2012</v>
      </c>
      <c r="E301" s="36" t="s">
        <v>621</v>
      </c>
      <c r="F301" s="36" t="s">
        <v>622</v>
      </c>
      <c r="G301" s="28" t="s">
        <v>32</v>
      </c>
      <c r="H301" s="34" t="s">
        <v>2</v>
      </c>
      <c r="I301" s="29" t="s">
        <v>92</v>
      </c>
      <c r="J301" s="34" t="s">
        <v>220</v>
      </c>
      <c r="K301" s="29">
        <v>14.0</v>
      </c>
      <c r="L301" s="38">
        <v>71.9</v>
      </c>
      <c r="M301" s="38">
        <v>15.2</v>
      </c>
      <c r="N301" s="39"/>
      <c r="O301" s="39"/>
      <c r="P301" s="39"/>
      <c r="Q301" s="39"/>
      <c r="R301" s="39"/>
      <c r="S301" s="39"/>
      <c r="T301" s="39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</row>
    <row r="302">
      <c r="A302" s="28">
        <f t="shared" si="110"/>
        <v>301</v>
      </c>
      <c r="B302" s="34">
        <v>55.0</v>
      </c>
      <c r="C302" s="29" t="s">
        <v>77</v>
      </c>
      <c r="D302" s="35" t="str">
        <f t="shared" si="111"/>
        <v>Lui et al., 2012</v>
      </c>
      <c r="E302" s="36" t="s">
        <v>621</v>
      </c>
      <c r="F302" s="36" t="s">
        <v>622</v>
      </c>
      <c r="G302" s="28" t="s">
        <v>32</v>
      </c>
      <c r="H302" s="34" t="s">
        <v>2</v>
      </c>
      <c r="I302" s="29" t="s">
        <v>92</v>
      </c>
      <c r="J302" s="34" t="s">
        <v>226</v>
      </c>
      <c r="K302" s="29">
        <v>14.0</v>
      </c>
      <c r="L302" s="38">
        <v>84.0</v>
      </c>
      <c r="M302" s="38">
        <f>iferror(RANGE_SD(K302,N302,R302),"")</f>
        <v>13.46956653</v>
      </c>
      <c r="N302" s="29">
        <v>54.0</v>
      </c>
      <c r="O302" s="39"/>
      <c r="P302" s="39"/>
      <c r="Q302" s="39"/>
      <c r="R302" s="29">
        <v>100.0</v>
      </c>
      <c r="S302" s="39"/>
      <c r="T302" s="39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</row>
    <row r="303">
      <c r="A303" s="28">
        <f t="shared" si="110"/>
        <v>302</v>
      </c>
      <c r="B303" s="34">
        <v>55.0</v>
      </c>
      <c r="C303" s="29" t="s">
        <v>77</v>
      </c>
      <c r="D303" s="35" t="str">
        <f t="shared" si="111"/>
        <v>Lui et al., 2012</v>
      </c>
      <c r="E303" s="36" t="s">
        <v>621</v>
      </c>
      <c r="F303" s="36" t="s">
        <v>622</v>
      </c>
      <c r="G303" s="28" t="s">
        <v>32</v>
      </c>
      <c r="H303" s="34" t="s">
        <v>2</v>
      </c>
      <c r="I303" s="29" t="s">
        <v>92</v>
      </c>
      <c r="J303" s="34" t="s">
        <v>185</v>
      </c>
      <c r="K303" s="29">
        <v>14.0</v>
      </c>
      <c r="L303" s="38">
        <v>3.7</v>
      </c>
      <c r="M303" s="38">
        <v>1.4</v>
      </c>
      <c r="N303" s="39"/>
      <c r="O303" s="39"/>
      <c r="P303" s="39"/>
      <c r="Q303" s="39"/>
      <c r="R303" s="39"/>
      <c r="S303" s="39"/>
      <c r="T303" s="39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</row>
    <row r="304">
      <c r="A304" s="28">
        <f t="shared" si="110"/>
        <v>303</v>
      </c>
      <c r="B304" s="34">
        <v>55.0</v>
      </c>
      <c r="C304" s="29" t="s">
        <v>77</v>
      </c>
      <c r="D304" s="35" t="str">
        <f t="shared" si="111"/>
        <v>Lui et al., 2012</v>
      </c>
      <c r="E304" s="36" t="s">
        <v>621</v>
      </c>
      <c r="F304" s="36" t="s">
        <v>622</v>
      </c>
      <c r="G304" s="28" t="s">
        <v>32</v>
      </c>
      <c r="H304" s="34" t="s">
        <v>2</v>
      </c>
      <c r="I304" s="29" t="s">
        <v>149</v>
      </c>
      <c r="J304" s="34" t="s">
        <v>151</v>
      </c>
      <c r="K304" s="29">
        <v>14.0</v>
      </c>
      <c r="L304" s="40">
        <v>4.0</v>
      </c>
      <c r="M304" s="41">
        <f>iferror(P_SD(K304,L304),"")</f>
        <v>1.683745824</v>
      </c>
      <c r="N304" s="68"/>
      <c r="O304" s="39"/>
      <c r="P304" s="39"/>
      <c r="Q304" s="39"/>
      <c r="R304" s="39"/>
      <c r="S304" s="39"/>
      <c r="T304" s="39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</row>
    <row r="305">
      <c r="A305" s="28">
        <f t="shared" si="110"/>
        <v>304</v>
      </c>
      <c r="B305" s="34">
        <v>55.0</v>
      </c>
      <c r="C305" s="29" t="s">
        <v>77</v>
      </c>
      <c r="D305" s="35" t="str">
        <f t="shared" si="111"/>
        <v>Lui et al., 2012</v>
      </c>
      <c r="E305" s="36" t="s">
        <v>621</v>
      </c>
      <c r="F305" s="36" t="s">
        <v>622</v>
      </c>
      <c r="G305" s="28" t="s">
        <v>32</v>
      </c>
      <c r="H305" s="34" t="s">
        <v>9</v>
      </c>
      <c r="I305" s="29" t="s">
        <v>92</v>
      </c>
      <c r="J305" s="34" t="s">
        <v>220</v>
      </c>
      <c r="K305" s="29">
        <v>17.0</v>
      </c>
      <c r="L305" s="38">
        <v>73.1</v>
      </c>
      <c r="M305" s="38">
        <v>12.3</v>
      </c>
      <c r="N305" s="39"/>
      <c r="O305" s="39"/>
      <c r="P305" s="39"/>
      <c r="Q305" s="39"/>
      <c r="R305" s="39"/>
      <c r="S305" s="39"/>
      <c r="T305" s="39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</row>
    <row r="306">
      <c r="A306" s="28">
        <f t="shared" si="110"/>
        <v>305</v>
      </c>
      <c r="B306" s="34">
        <v>55.0</v>
      </c>
      <c r="C306" s="29" t="s">
        <v>77</v>
      </c>
      <c r="D306" s="35" t="str">
        <f t="shared" si="111"/>
        <v>Lui et al., 2012</v>
      </c>
      <c r="E306" s="36" t="s">
        <v>621</v>
      </c>
      <c r="F306" s="36" t="s">
        <v>622</v>
      </c>
      <c r="G306" s="28" t="s">
        <v>32</v>
      </c>
      <c r="H306" s="34" t="s">
        <v>9</v>
      </c>
      <c r="I306" s="29" t="s">
        <v>92</v>
      </c>
      <c r="J306" s="34" t="s">
        <v>226</v>
      </c>
      <c r="K306" s="29">
        <v>17.0</v>
      </c>
      <c r="L306" s="38">
        <v>80.0</v>
      </c>
      <c r="M306" s="38">
        <f>iferror(RANGE_SD(K306,N306,R306),"")</f>
        <v>15.58852202</v>
      </c>
      <c r="N306" s="29">
        <v>43.0</v>
      </c>
      <c r="O306" s="39"/>
      <c r="P306" s="39"/>
      <c r="Q306" s="39"/>
      <c r="R306" s="29">
        <v>99.0</v>
      </c>
      <c r="S306" s="39"/>
      <c r="T306" s="39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</row>
    <row r="307">
      <c r="A307" s="28">
        <f t="shared" si="110"/>
        <v>306</v>
      </c>
      <c r="B307" s="34">
        <v>55.0</v>
      </c>
      <c r="C307" s="29" t="s">
        <v>77</v>
      </c>
      <c r="D307" s="35" t="str">
        <f t="shared" si="111"/>
        <v>Lui et al., 2012</v>
      </c>
      <c r="E307" s="36" t="s">
        <v>621</v>
      </c>
      <c r="F307" s="36" t="s">
        <v>622</v>
      </c>
      <c r="G307" s="28" t="s">
        <v>32</v>
      </c>
      <c r="H307" s="34" t="s">
        <v>9</v>
      </c>
      <c r="I307" s="29" t="s">
        <v>92</v>
      </c>
      <c r="J307" s="34" t="s">
        <v>185</v>
      </c>
      <c r="K307" s="29">
        <v>17.0</v>
      </c>
      <c r="L307" s="38">
        <v>3.1</v>
      </c>
      <c r="M307" s="38">
        <v>1.6</v>
      </c>
      <c r="N307" s="39"/>
      <c r="O307" s="39"/>
      <c r="P307" s="39"/>
      <c r="Q307" s="39"/>
      <c r="R307" s="39"/>
      <c r="S307" s="39"/>
      <c r="T307" s="39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</row>
    <row r="308">
      <c r="A308" s="28">
        <f t="shared" si="110"/>
        <v>307</v>
      </c>
      <c r="B308" s="34">
        <v>55.0</v>
      </c>
      <c r="C308" s="29" t="s">
        <v>77</v>
      </c>
      <c r="D308" s="35" t="str">
        <f t="shared" si="111"/>
        <v>Lui et al., 2012</v>
      </c>
      <c r="E308" s="36" t="s">
        <v>621</v>
      </c>
      <c r="F308" s="36" t="s">
        <v>622</v>
      </c>
      <c r="G308" s="28" t="s">
        <v>32</v>
      </c>
      <c r="H308" s="34" t="s">
        <v>9</v>
      </c>
      <c r="I308" s="29" t="s">
        <v>149</v>
      </c>
      <c r="J308" s="34" t="s">
        <v>151</v>
      </c>
      <c r="K308" s="29">
        <v>17.0</v>
      </c>
      <c r="L308" s="40">
        <v>3.0</v>
      </c>
      <c r="M308" s="41">
        <f>iferror(P_SD(K308,L308),"")</f>
        <v>1.030776406</v>
      </c>
      <c r="N308" s="39"/>
      <c r="O308" s="39"/>
      <c r="P308" s="39"/>
      <c r="Q308" s="39"/>
      <c r="R308" s="39"/>
      <c r="S308" s="39"/>
      <c r="T308" s="39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</row>
    <row r="309">
      <c r="A309" s="28">
        <f t="shared" si="110"/>
        <v>308</v>
      </c>
      <c r="B309" s="34">
        <v>56.0</v>
      </c>
      <c r="C309" s="29" t="s">
        <v>77</v>
      </c>
      <c r="D309" s="35" t="str">
        <f t="shared" ref="D309:D314" si="112">HYPERLINK("https://github.com/d-wkim/phd/blob/main/data/pdf/lund_2014.pdf","Lund et al., 2014")</f>
        <v>Lund et al., 2014</v>
      </c>
      <c r="E309" s="36" t="s">
        <v>623</v>
      </c>
      <c r="F309" s="36" t="s">
        <v>624</v>
      </c>
      <c r="G309" s="28" t="s">
        <v>32</v>
      </c>
      <c r="H309" s="34" t="s">
        <v>2</v>
      </c>
      <c r="I309" s="29" t="s">
        <v>92</v>
      </c>
      <c r="J309" s="34" t="s">
        <v>185</v>
      </c>
      <c r="K309" s="29">
        <v>18.0</v>
      </c>
      <c r="L309" s="38">
        <v>1.1</v>
      </c>
      <c r="M309" s="38">
        <v>1.4</v>
      </c>
      <c r="N309" s="39"/>
      <c r="O309" s="39"/>
      <c r="P309" s="39"/>
      <c r="Q309" s="39"/>
      <c r="R309" s="39"/>
      <c r="S309" s="39"/>
      <c r="T309" s="39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</row>
    <row r="310">
      <c r="A310" s="28">
        <f t="shared" si="110"/>
        <v>309</v>
      </c>
      <c r="B310" s="34">
        <v>56.0</v>
      </c>
      <c r="C310" s="29" t="s">
        <v>77</v>
      </c>
      <c r="D310" s="35" t="str">
        <f t="shared" si="112"/>
        <v>Lund et al., 2014</v>
      </c>
      <c r="E310" s="36" t="s">
        <v>623</v>
      </c>
      <c r="F310" s="36" t="s">
        <v>624</v>
      </c>
      <c r="G310" s="28" t="s">
        <v>32</v>
      </c>
      <c r="H310" s="34" t="s">
        <v>2</v>
      </c>
      <c r="I310" s="29" t="s">
        <v>149</v>
      </c>
      <c r="J310" s="28" t="s">
        <v>173</v>
      </c>
      <c r="K310" s="29">
        <v>18.0</v>
      </c>
      <c r="L310" s="40">
        <v>3.0</v>
      </c>
      <c r="M310" s="41">
        <f>iferror(P_SD(K310,L310),"")</f>
        <v>0.9899494937</v>
      </c>
      <c r="N310" s="39"/>
      <c r="O310" s="39"/>
      <c r="P310" s="39"/>
      <c r="Q310" s="39"/>
      <c r="R310" s="39"/>
      <c r="S310" s="39"/>
      <c r="T310" s="39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</row>
    <row r="311">
      <c r="A311" s="28">
        <f t="shared" si="110"/>
        <v>310</v>
      </c>
      <c r="B311" s="34">
        <v>56.0</v>
      </c>
      <c r="C311" s="29" t="s">
        <v>77</v>
      </c>
      <c r="D311" s="35" t="str">
        <f t="shared" si="112"/>
        <v>Lund et al., 2014</v>
      </c>
      <c r="E311" s="36" t="s">
        <v>623</v>
      </c>
      <c r="F311" s="36" t="s">
        <v>624</v>
      </c>
      <c r="G311" s="28" t="s">
        <v>32</v>
      </c>
      <c r="H311" s="34" t="s">
        <v>2</v>
      </c>
      <c r="I311" s="29" t="s">
        <v>92</v>
      </c>
      <c r="J311" s="34" t="s">
        <v>220</v>
      </c>
      <c r="K311" s="29">
        <v>18.0</v>
      </c>
      <c r="L311" s="38">
        <v>75.0</v>
      </c>
      <c r="M311" s="38">
        <v>13.0</v>
      </c>
      <c r="N311" s="39"/>
      <c r="O311" s="39"/>
      <c r="P311" s="39"/>
      <c r="Q311" s="39"/>
      <c r="R311" s="39"/>
      <c r="S311" s="39"/>
      <c r="T311" s="39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</row>
    <row r="312">
      <c r="A312" s="28">
        <f t="shared" si="110"/>
        <v>311</v>
      </c>
      <c r="B312" s="34">
        <v>56.0</v>
      </c>
      <c r="C312" s="29" t="s">
        <v>77</v>
      </c>
      <c r="D312" s="35" t="str">
        <f t="shared" si="112"/>
        <v>Lund et al., 2014</v>
      </c>
      <c r="E312" s="36" t="s">
        <v>623</v>
      </c>
      <c r="F312" s="36" t="s">
        <v>624</v>
      </c>
      <c r="G312" s="28" t="s">
        <v>32</v>
      </c>
      <c r="H312" s="34" t="s">
        <v>10</v>
      </c>
      <c r="I312" s="29" t="s">
        <v>92</v>
      </c>
      <c r="J312" s="34" t="s">
        <v>185</v>
      </c>
      <c r="K312" s="29">
        <v>21.0</v>
      </c>
      <c r="L312" s="38">
        <v>0.8</v>
      </c>
      <c r="M312" s="38">
        <v>1.7</v>
      </c>
      <c r="N312" s="39"/>
      <c r="O312" s="39"/>
      <c r="P312" s="39"/>
      <c r="Q312" s="39"/>
      <c r="R312" s="39"/>
      <c r="S312" s="39"/>
      <c r="T312" s="39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</row>
    <row r="313">
      <c r="A313" s="28">
        <f t="shared" si="110"/>
        <v>312</v>
      </c>
      <c r="B313" s="34">
        <v>56.0</v>
      </c>
      <c r="C313" s="29" t="s">
        <v>77</v>
      </c>
      <c r="D313" s="35" t="str">
        <f t="shared" si="112"/>
        <v>Lund et al., 2014</v>
      </c>
      <c r="E313" s="36" t="s">
        <v>623</v>
      </c>
      <c r="F313" s="36" t="s">
        <v>624</v>
      </c>
      <c r="G313" s="28" t="s">
        <v>32</v>
      </c>
      <c r="H313" s="34" t="s">
        <v>10</v>
      </c>
      <c r="I313" s="29" t="s">
        <v>149</v>
      </c>
      <c r="J313" s="28" t="s">
        <v>173</v>
      </c>
      <c r="K313" s="29">
        <v>21.0</v>
      </c>
      <c r="L313" s="40">
        <v>8.0</v>
      </c>
      <c r="M313" s="41">
        <f>iferror(P_SD(K313,L313),"")</f>
        <v>2.996299493</v>
      </c>
      <c r="N313" s="39"/>
      <c r="O313" s="39"/>
      <c r="P313" s="39"/>
      <c r="Q313" s="39"/>
      <c r="R313" s="39"/>
      <c r="S313" s="39"/>
      <c r="T313" s="39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</row>
    <row r="314">
      <c r="A314" s="28">
        <f t="shared" si="110"/>
        <v>313</v>
      </c>
      <c r="B314" s="34">
        <v>56.0</v>
      </c>
      <c r="C314" s="29" t="s">
        <v>77</v>
      </c>
      <c r="D314" s="35" t="str">
        <f t="shared" si="112"/>
        <v>Lund et al., 2014</v>
      </c>
      <c r="E314" s="36" t="s">
        <v>623</v>
      </c>
      <c r="F314" s="36" t="s">
        <v>624</v>
      </c>
      <c r="G314" s="28" t="s">
        <v>32</v>
      </c>
      <c r="H314" s="34" t="s">
        <v>10</v>
      </c>
      <c r="I314" s="29" t="s">
        <v>92</v>
      </c>
      <c r="J314" s="34" t="s">
        <v>220</v>
      </c>
      <c r="K314" s="29">
        <v>21.0</v>
      </c>
      <c r="L314" s="38">
        <v>76.0</v>
      </c>
      <c r="M314" s="38">
        <v>16.0</v>
      </c>
      <c r="N314" s="39"/>
      <c r="O314" s="39"/>
      <c r="P314" s="39"/>
      <c r="Q314" s="39"/>
      <c r="R314" s="39"/>
      <c r="S314" s="39"/>
      <c r="T314" s="39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</row>
    <row r="315">
      <c r="A315" s="28" t="str">
        <f t="shared" si="110"/>
        <v/>
      </c>
      <c r="B315" s="34">
        <v>57.0</v>
      </c>
      <c r="C315" s="29" t="s">
        <v>77</v>
      </c>
      <c r="D315" s="35" t="str">
        <f t="shared" ref="D315:D322" si="113">HYPERLINK("https://github.com/d-wkim/phd/blob/main/data/pdf/maletis_2007.pdf","Maletis et al., 2007")</f>
        <v>Maletis et al., 2007</v>
      </c>
      <c r="E315" s="36" t="s">
        <v>625</v>
      </c>
      <c r="F315" s="36" t="s">
        <v>626</v>
      </c>
      <c r="G315" s="28" t="s">
        <v>102</v>
      </c>
      <c r="H315" s="34" t="s">
        <v>2</v>
      </c>
      <c r="I315" s="29" t="s">
        <v>92</v>
      </c>
      <c r="J315" s="34" t="s">
        <v>220</v>
      </c>
      <c r="K315" s="29"/>
      <c r="L315" s="41"/>
      <c r="M315" s="38"/>
      <c r="N315" s="39"/>
      <c r="O315" s="39"/>
      <c r="P315" s="39"/>
      <c r="Q315" s="39"/>
      <c r="R315" s="39"/>
      <c r="S315" s="39"/>
      <c r="T315" s="39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</row>
    <row r="316">
      <c r="A316" s="28" t="str">
        <f t="shared" si="110"/>
        <v/>
      </c>
      <c r="B316" s="34">
        <v>57.0</v>
      </c>
      <c r="C316" s="29" t="s">
        <v>77</v>
      </c>
      <c r="D316" s="35" t="str">
        <f t="shared" si="113"/>
        <v>Maletis et al., 2007</v>
      </c>
      <c r="E316" s="36" t="s">
        <v>625</v>
      </c>
      <c r="F316" s="36" t="s">
        <v>626</v>
      </c>
      <c r="G316" s="28" t="s">
        <v>102</v>
      </c>
      <c r="H316" s="34" t="s">
        <v>2</v>
      </c>
      <c r="I316" s="29" t="s">
        <v>92</v>
      </c>
      <c r="J316" s="34" t="s">
        <v>96</v>
      </c>
      <c r="K316" s="29"/>
      <c r="L316" s="41"/>
      <c r="M316" s="38"/>
      <c r="N316" s="39"/>
      <c r="O316" s="39"/>
      <c r="P316" s="39"/>
      <c r="Q316" s="39"/>
      <c r="R316" s="39"/>
      <c r="S316" s="39"/>
      <c r="T316" s="39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</row>
    <row r="317">
      <c r="A317" s="28" t="str">
        <f t="shared" si="110"/>
        <v/>
      </c>
      <c r="B317" s="34">
        <v>57.0</v>
      </c>
      <c r="C317" s="29" t="s">
        <v>77</v>
      </c>
      <c r="D317" s="35" t="str">
        <f t="shared" si="113"/>
        <v>Maletis et al., 2007</v>
      </c>
      <c r="E317" s="36" t="s">
        <v>625</v>
      </c>
      <c r="F317" s="36" t="s">
        <v>626</v>
      </c>
      <c r="G317" s="28" t="s">
        <v>102</v>
      </c>
      <c r="H317" s="34" t="s">
        <v>2</v>
      </c>
      <c r="I317" s="29" t="s">
        <v>92</v>
      </c>
      <c r="J317" s="34" t="s">
        <v>226</v>
      </c>
      <c r="K317" s="29"/>
      <c r="L317" s="41"/>
      <c r="M317" s="38"/>
      <c r="N317" s="39"/>
      <c r="O317" s="39"/>
      <c r="P317" s="39"/>
      <c r="Q317" s="39"/>
      <c r="R317" s="39"/>
      <c r="S317" s="39"/>
      <c r="T317" s="39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</row>
    <row r="318">
      <c r="A318" s="28" t="str">
        <f t="shared" si="110"/>
        <v/>
      </c>
      <c r="B318" s="34">
        <v>57.0</v>
      </c>
      <c r="C318" s="29" t="s">
        <v>77</v>
      </c>
      <c r="D318" s="35" t="str">
        <f t="shared" si="113"/>
        <v>Maletis et al., 2007</v>
      </c>
      <c r="E318" s="36" t="s">
        <v>625</v>
      </c>
      <c r="F318" s="36" t="s">
        <v>626</v>
      </c>
      <c r="G318" s="28" t="s">
        <v>102</v>
      </c>
      <c r="H318" s="34" t="s">
        <v>2</v>
      </c>
      <c r="I318" s="29" t="s">
        <v>92</v>
      </c>
      <c r="J318" s="34" t="s">
        <v>185</v>
      </c>
      <c r="K318" s="29"/>
      <c r="L318" s="41"/>
      <c r="M318" s="38"/>
      <c r="N318" s="39"/>
      <c r="O318" s="39"/>
      <c r="P318" s="39"/>
      <c r="Q318" s="39"/>
      <c r="R318" s="39"/>
      <c r="S318" s="39"/>
      <c r="T318" s="39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</row>
    <row r="319">
      <c r="A319" s="28" t="str">
        <f t="shared" si="110"/>
        <v/>
      </c>
      <c r="B319" s="34">
        <v>57.0</v>
      </c>
      <c r="C319" s="29" t="s">
        <v>77</v>
      </c>
      <c r="D319" s="35" t="str">
        <f t="shared" si="113"/>
        <v>Maletis et al., 2007</v>
      </c>
      <c r="E319" s="36" t="s">
        <v>625</v>
      </c>
      <c r="F319" s="36" t="s">
        <v>626</v>
      </c>
      <c r="G319" s="28" t="s">
        <v>102</v>
      </c>
      <c r="H319" s="34" t="s">
        <v>9</v>
      </c>
      <c r="I319" s="29" t="s">
        <v>92</v>
      </c>
      <c r="J319" s="34" t="s">
        <v>220</v>
      </c>
      <c r="K319" s="29"/>
      <c r="L319" s="41"/>
      <c r="M319" s="38"/>
      <c r="N319" s="39"/>
      <c r="O319" s="39"/>
      <c r="P319" s="39"/>
      <c r="Q319" s="39"/>
      <c r="R319" s="39"/>
      <c r="S319" s="39"/>
      <c r="T319" s="39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</row>
    <row r="320">
      <c r="A320" s="28" t="str">
        <f t="shared" si="110"/>
        <v/>
      </c>
      <c r="B320" s="34">
        <v>57.0</v>
      </c>
      <c r="C320" s="29" t="s">
        <v>77</v>
      </c>
      <c r="D320" s="35" t="str">
        <f t="shared" si="113"/>
        <v>Maletis et al., 2007</v>
      </c>
      <c r="E320" s="36" t="s">
        <v>625</v>
      </c>
      <c r="F320" s="36" t="s">
        <v>626</v>
      </c>
      <c r="G320" s="28" t="s">
        <v>102</v>
      </c>
      <c r="H320" s="34" t="s">
        <v>9</v>
      </c>
      <c r="I320" s="29" t="s">
        <v>92</v>
      </c>
      <c r="J320" s="34" t="s">
        <v>96</v>
      </c>
      <c r="K320" s="29"/>
      <c r="L320" s="41"/>
      <c r="M320" s="38"/>
      <c r="N320" s="39"/>
      <c r="O320" s="39"/>
      <c r="P320" s="39"/>
      <c r="Q320" s="39"/>
      <c r="R320" s="39"/>
      <c r="S320" s="39"/>
      <c r="T320" s="39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</row>
    <row r="321">
      <c r="A321" s="28" t="str">
        <f t="shared" si="110"/>
        <v/>
      </c>
      <c r="B321" s="34">
        <v>57.0</v>
      </c>
      <c r="C321" s="29" t="s">
        <v>77</v>
      </c>
      <c r="D321" s="35" t="str">
        <f t="shared" si="113"/>
        <v>Maletis et al., 2007</v>
      </c>
      <c r="E321" s="36" t="s">
        <v>625</v>
      </c>
      <c r="F321" s="36" t="s">
        <v>626</v>
      </c>
      <c r="G321" s="28" t="s">
        <v>102</v>
      </c>
      <c r="H321" s="34" t="s">
        <v>9</v>
      </c>
      <c r="I321" s="29" t="s">
        <v>92</v>
      </c>
      <c r="J321" s="34" t="s">
        <v>226</v>
      </c>
      <c r="K321" s="29"/>
      <c r="L321" s="41"/>
      <c r="M321" s="38"/>
      <c r="N321" s="39"/>
      <c r="O321" s="39"/>
      <c r="P321" s="39"/>
      <c r="Q321" s="39"/>
      <c r="R321" s="39"/>
      <c r="S321" s="39"/>
      <c r="T321" s="39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</row>
    <row r="322">
      <c r="A322" s="28" t="str">
        <f t="shared" si="110"/>
        <v/>
      </c>
      <c r="B322" s="34">
        <v>57.0</v>
      </c>
      <c r="C322" s="29" t="s">
        <v>77</v>
      </c>
      <c r="D322" s="35" t="str">
        <f t="shared" si="113"/>
        <v>Maletis et al., 2007</v>
      </c>
      <c r="E322" s="36" t="s">
        <v>625</v>
      </c>
      <c r="F322" s="36" t="s">
        <v>626</v>
      </c>
      <c r="G322" s="28" t="s">
        <v>102</v>
      </c>
      <c r="H322" s="34" t="s">
        <v>9</v>
      </c>
      <c r="I322" s="29" t="s">
        <v>92</v>
      </c>
      <c r="J322" s="34" t="s">
        <v>185</v>
      </c>
      <c r="K322" s="29"/>
      <c r="L322" s="41"/>
      <c r="M322" s="38"/>
      <c r="N322" s="39"/>
      <c r="O322" s="39"/>
      <c r="P322" s="39"/>
      <c r="Q322" s="39"/>
      <c r="R322" s="39"/>
      <c r="S322" s="39"/>
      <c r="T322" s="39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</row>
    <row r="323">
      <c r="A323" s="28">
        <f t="shared" si="110"/>
        <v>322</v>
      </c>
      <c r="B323" s="34">
        <v>58.0</v>
      </c>
      <c r="C323" s="29" t="s">
        <v>77</v>
      </c>
      <c r="D323" s="35" t="str">
        <f t="shared" ref="D323:D334" si="114">HYPERLINK("https://github.com/d-wkim/phd/blob/main/data/pdf/malik_2026.pdf","Malik et al., 2026")</f>
        <v>Malik et al., 2026</v>
      </c>
      <c r="E323" s="36" t="s">
        <v>627</v>
      </c>
      <c r="F323" s="36" t="s">
        <v>628</v>
      </c>
      <c r="G323" s="28" t="s">
        <v>32</v>
      </c>
      <c r="H323" s="34" t="s">
        <v>9</v>
      </c>
      <c r="I323" s="29" t="s">
        <v>92</v>
      </c>
      <c r="J323" s="28" t="s">
        <v>220</v>
      </c>
      <c r="K323" s="29">
        <v>25.0</v>
      </c>
      <c r="L323" s="38">
        <v>78.9</v>
      </c>
      <c r="M323" s="38">
        <v>7.4</v>
      </c>
      <c r="N323" s="39"/>
      <c r="O323" s="39"/>
      <c r="P323" s="39"/>
      <c r="Q323" s="39"/>
      <c r="R323" s="39"/>
      <c r="S323" s="39"/>
      <c r="T323" s="39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</row>
    <row r="324">
      <c r="A324" s="28">
        <f t="shared" si="110"/>
        <v>323</v>
      </c>
      <c r="B324" s="34">
        <v>58.0</v>
      </c>
      <c r="C324" s="29" t="s">
        <v>77</v>
      </c>
      <c r="D324" s="35" t="str">
        <f t="shared" si="114"/>
        <v>Malik et al., 2026</v>
      </c>
      <c r="E324" s="36" t="s">
        <v>627</v>
      </c>
      <c r="F324" s="36" t="s">
        <v>628</v>
      </c>
      <c r="G324" s="28" t="s">
        <v>32</v>
      </c>
      <c r="H324" s="34" t="s">
        <v>9</v>
      </c>
      <c r="I324" s="29" t="s">
        <v>92</v>
      </c>
      <c r="J324" s="34" t="s">
        <v>226</v>
      </c>
      <c r="K324" s="29">
        <v>25.0</v>
      </c>
      <c r="L324" s="38">
        <v>85.1</v>
      </c>
      <c r="M324" s="38">
        <v>6.4</v>
      </c>
      <c r="N324" s="39"/>
      <c r="O324" s="39"/>
      <c r="P324" s="39"/>
      <c r="Q324" s="39"/>
      <c r="R324" s="39"/>
      <c r="S324" s="39"/>
      <c r="T324" s="39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</row>
    <row r="325">
      <c r="A325" s="28">
        <f t="shared" si="110"/>
        <v>324</v>
      </c>
      <c r="B325" s="34">
        <v>58.0</v>
      </c>
      <c r="C325" s="29" t="s">
        <v>77</v>
      </c>
      <c r="D325" s="35" t="str">
        <f t="shared" si="114"/>
        <v>Malik et al., 2026</v>
      </c>
      <c r="E325" s="36" t="s">
        <v>627</v>
      </c>
      <c r="F325" s="36" t="s">
        <v>628</v>
      </c>
      <c r="G325" s="28" t="s">
        <v>32</v>
      </c>
      <c r="H325" s="34" t="s">
        <v>9</v>
      </c>
      <c r="I325" s="29" t="s">
        <v>92</v>
      </c>
      <c r="J325" s="34" t="s">
        <v>96</v>
      </c>
      <c r="K325" s="29">
        <v>25.0</v>
      </c>
      <c r="L325" s="38">
        <v>5.1</v>
      </c>
      <c r="M325" s="38">
        <v>1.0</v>
      </c>
      <c r="N325" s="39"/>
      <c r="O325" s="39"/>
      <c r="P325" s="39"/>
      <c r="Q325" s="39"/>
      <c r="R325" s="39"/>
      <c r="S325" s="39"/>
      <c r="T325" s="39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</row>
    <row r="326">
      <c r="A326" s="28">
        <f t="shared" si="110"/>
        <v>325</v>
      </c>
      <c r="B326" s="34">
        <v>58.0</v>
      </c>
      <c r="C326" s="29" t="s">
        <v>77</v>
      </c>
      <c r="D326" s="35" t="str">
        <f t="shared" si="114"/>
        <v>Malik et al., 2026</v>
      </c>
      <c r="E326" s="36" t="s">
        <v>627</v>
      </c>
      <c r="F326" s="36" t="s">
        <v>628</v>
      </c>
      <c r="G326" s="28" t="s">
        <v>32</v>
      </c>
      <c r="H326" s="34" t="s">
        <v>9</v>
      </c>
      <c r="I326" s="29" t="s">
        <v>149</v>
      </c>
      <c r="J326" s="34" t="s">
        <v>173</v>
      </c>
      <c r="K326" s="29">
        <v>25.0</v>
      </c>
      <c r="L326" s="40">
        <v>4.0</v>
      </c>
      <c r="M326" s="41">
        <f t="shared" ref="M326:M327" si="115">iferror(P_SD(K326,L326),"")</f>
        <v>1.071428571</v>
      </c>
      <c r="N326" s="39"/>
      <c r="O326" s="39"/>
      <c r="P326" s="39"/>
      <c r="Q326" s="39"/>
      <c r="R326" s="39"/>
      <c r="S326" s="39"/>
      <c r="T326" s="39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</row>
    <row r="327">
      <c r="A327" s="28">
        <f t="shared" si="110"/>
        <v>326</v>
      </c>
      <c r="B327" s="34">
        <v>58.0</v>
      </c>
      <c r="C327" s="29" t="s">
        <v>77</v>
      </c>
      <c r="D327" s="35" t="str">
        <f t="shared" si="114"/>
        <v>Malik et al., 2026</v>
      </c>
      <c r="E327" s="36" t="s">
        <v>627</v>
      </c>
      <c r="F327" s="36" t="s">
        <v>628</v>
      </c>
      <c r="G327" s="28" t="s">
        <v>32</v>
      </c>
      <c r="H327" s="34" t="s">
        <v>9</v>
      </c>
      <c r="I327" s="29" t="s">
        <v>149</v>
      </c>
      <c r="J327" s="34" t="s">
        <v>151</v>
      </c>
      <c r="K327" s="29">
        <v>25.0</v>
      </c>
      <c r="L327" s="40">
        <v>3.0</v>
      </c>
      <c r="M327" s="41">
        <f t="shared" si="115"/>
        <v>0.7954545455</v>
      </c>
      <c r="N327" s="39"/>
      <c r="O327" s="39"/>
      <c r="P327" s="39"/>
      <c r="Q327" s="39"/>
      <c r="R327" s="39"/>
      <c r="S327" s="39"/>
      <c r="T327" s="39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</row>
    <row r="328">
      <c r="A328" s="28">
        <f t="shared" si="110"/>
        <v>327</v>
      </c>
      <c r="B328" s="34">
        <v>58.0</v>
      </c>
      <c r="C328" s="29" t="s">
        <v>77</v>
      </c>
      <c r="D328" s="35" t="str">
        <f t="shared" si="114"/>
        <v>Malik et al., 2026</v>
      </c>
      <c r="E328" s="36" t="s">
        <v>627</v>
      </c>
      <c r="F328" s="36" t="s">
        <v>628</v>
      </c>
      <c r="G328" s="28" t="s">
        <v>32</v>
      </c>
      <c r="H328" s="34" t="s">
        <v>9</v>
      </c>
      <c r="I328" s="29" t="s">
        <v>92</v>
      </c>
      <c r="J328" s="28" t="s">
        <v>185</v>
      </c>
      <c r="K328" s="29">
        <v>25.0</v>
      </c>
      <c r="L328" s="38">
        <v>2.1</v>
      </c>
      <c r="M328" s="38">
        <v>1.0</v>
      </c>
      <c r="N328" s="39"/>
      <c r="O328" s="39"/>
      <c r="P328" s="39"/>
      <c r="Q328" s="39"/>
      <c r="R328" s="39"/>
      <c r="S328" s="39"/>
      <c r="T328" s="39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</row>
    <row r="329">
      <c r="A329" s="28">
        <f t="shared" si="110"/>
        <v>328</v>
      </c>
      <c r="B329" s="34">
        <v>58.0</v>
      </c>
      <c r="C329" s="29" t="s">
        <v>77</v>
      </c>
      <c r="D329" s="35" t="str">
        <f t="shared" si="114"/>
        <v>Malik et al., 2026</v>
      </c>
      <c r="E329" s="36" t="s">
        <v>627</v>
      </c>
      <c r="F329" s="36" t="s">
        <v>628</v>
      </c>
      <c r="G329" s="28" t="s">
        <v>32</v>
      </c>
      <c r="H329" s="34" t="s">
        <v>11</v>
      </c>
      <c r="I329" s="29" t="s">
        <v>92</v>
      </c>
      <c r="J329" s="28" t="s">
        <v>220</v>
      </c>
      <c r="K329" s="29">
        <v>25.0</v>
      </c>
      <c r="L329" s="38">
        <v>82.6</v>
      </c>
      <c r="M329" s="38">
        <v>6.3</v>
      </c>
      <c r="N329" s="39"/>
      <c r="O329" s="39"/>
      <c r="P329" s="39"/>
      <c r="Q329" s="39"/>
      <c r="R329" s="39"/>
      <c r="S329" s="39"/>
      <c r="T329" s="39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</row>
    <row r="330">
      <c r="A330" s="28">
        <f t="shared" si="110"/>
        <v>329</v>
      </c>
      <c r="B330" s="34">
        <v>58.0</v>
      </c>
      <c r="C330" s="29" t="s">
        <v>77</v>
      </c>
      <c r="D330" s="35" t="str">
        <f t="shared" si="114"/>
        <v>Malik et al., 2026</v>
      </c>
      <c r="E330" s="36" t="s">
        <v>627</v>
      </c>
      <c r="F330" s="36" t="s">
        <v>628</v>
      </c>
      <c r="G330" s="28" t="s">
        <v>32</v>
      </c>
      <c r="H330" s="34" t="s">
        <v>11</v>
      </c>
      <c r="I330" s="29" t="s">
        <v>92</v>
      </c>
      <c r="J330" s="34" t="s">
        <v>226</v>
      </c>
      <c r="K330" s="29">
        <v>25.0</v>
      </c>
      <c r="L330" s="38">
        <v>89.4</v>
      </c>
      <c r="M330" s="38">
        <v>5.8</v>
      </c>
      <c r="N330" s="39"/>
      <c r="O330" s="39"/>
      <c r="P330" s="39"/>
      <c r="Q330" s="39"/>
      <c r="R330" s="39"/>
      <c r="S330" s="39"/>
      <c r="T330" s="39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</row>
    <row r="331">
      <c r="A331" s="28">
        <f t="shared" si="110"/>
        <v>330</v>
      </c>
      <c r="B331" s="34">
        <v>58.0</v>
      </c>
      <c r="C331" s="29" t="s">
        <v>77</v>
      </c>
      <c r="D331" s="35" t="str">
        <f t="shared" si="114"/>
        <v>Malik et al., 2026</v>
      </c>
      <c r="E331" s="36" t="s">
        <v>627</v>
      </c>
      <c r="F331" s="36" t="s">
        <v>628</v>
      </c>
      <c r="G331" s="28" t="s">
        <v>32</v>
      </c>
      <c r="H331" s="34" t="s">
        <v>11</v>
      </c>
      <c r="I331" s="29" t="s">
        <v>92</v>
      </c>
      <c r="J331" s="34" t="s">
        <v>96</v>
      </c>
      <c r="K331" s="29">
        <v>25.0</v>
      </c>
      <c r="L331" s="38">
        <v>5.6</v>
      </c>
      <c r="M331" s="38">
        <v>0.9</v>
      </c>
      <c r="N331" s="39"/>
      <c r="O331" s="39"/>
      <c r="P331" s="39"/>
      <c r="Q331" s="39"/>
      <c r="R331" s="39"/>
      <c r="S331" s="39"/>
      <c r="T331" s="39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</row>
    <row r="332">
      <c r="A332" s="28">
        <f t="shared" si="110"/>
        <v>331</v>
      </c>
      <c r="B332" s="34">
        <v>58.0</v>
      </c>
      <c r="C332" s="29" t="s">
        <v>77</v>
      </c>
      <c r="D332" s="35" t="str">
        <f t="shared" si="114"/>
        <v>Malik et al., 2026</v>
      </c>
      <c r="E332" s="36" t="s">
        <v>627</v>
      </c>
      <c r="F332" s="36" t="s">
        <v>628</v>
      </c>
      <c r="G332" s="28" t="s">
        <v>32</v>
      </c>
      <c r="H332" s="34" t="s">
        <v>11</v>
      </c>
      <c r="I332" s="29" t="s">
        <v>149</v>
      </c>
      <c r="J332" s="34" t="s">
        <v>173</v>
      </c>
      <c r="K332" s="29">
        <v>25.0</v>
      </c>
      <c r="L332" s="40">
        <v>3.0</v>
      </c>
      <c r="M332" s="41">
        <f t="shared" ref="M332:M333" si="116">iferror(P_SD(K332,L332),"")</f>
        <v>0.7954545455</v>
      </c>
      <c r="N332" s="39"/>
      <c r="O332" s="39"/>
      <c r="P332" s="39"/>
      <c r="Q332" s="39"/>
      <c r="R332" s="39"/>
      <c r="S332" s="39"/>
      <c r="T332" s="39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</row>
    <row r="333">
      <c r="A333" s="28">
        <f t="shared" si="110"/>
        <v>332</v>
      </c>
      <c r="B333" s="34">
        <v>58.0</v>
      </c>
      <c r="C333" s="29" t="s">
        <v>77</v>
      </c>
      <c r="D333" s="35" t="str">
        <f t="shared" si="114"/>
        <v>Malik et al., 2026</v>
      </c>
      <c r="E333" s="36" t="s">
        <v>627</v>
      </c>
      <c r="F333" s="36" t="s">
        <v>628</v>
      </c>
      <c r="G333" s="28" t="s">
        <v>32</v>
      </c>
      <c r="H333" s="34" t="s">
        <v>11</v>
      </c>
      <c r="I333" s="29" t="s">
        <v>149</v>
      </c>
      <c r="J333" s="34" t="s">
        <v>151</v>
      </c>
      <c r="K333" s="29">
        <v>25.0</v>
      </c>
      <c r="L333" s="40">
        <v>2.0</v>
      </c>
      <c r="M333" s="41">
        <f t="shared" si="116"/>
        <v>0.5434782609</v>
      </c>
      <c r="N333" s="39"/>
      <c r="O333" s="39"/>
      <c r="P333" s="39"/>
      <c r="Q333" s="39"/>
      <c r="R333" s="39"/>
      <c r="S333" s="39"/>
      <c r="T333" s="39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</row>
    <row r="334">
      <c r="A334" s="28">
        <f t="shared" si="110"/>
        <v>333</v>
      </c>
      <c r="B334" s="34">
        <v>58.0</v>
      </c>
      <c r="C334" s="29" t="s">
        <v>77</v>
      </c>
      <c r="D334" s="35" t="str">
        <f t="shared" si="114"/>
        <v>Malik et al., 2026</v>
      </c>
      <c r="E334" s="36" t="s">
        <v>627</v>
      </c>
      <c r="F334" s="36" t="s">
        <v>628</v>
      </c>
      <c r="G334" s="28" t="s">
        <v>32</v>
      </c>
      <c r="H334" s="34" t="s">
        <v>11</v>
      </c>
      <c r="I334" s="29" t="s">
        <v>92</v>
      </c>
      <c r="J334" s="28" t="s">
        <v>185</v>
      </c>
      <c r="K334" s="29">
        <v>25.0</v>
      </c>
      <c r="L334" s="38">
        <v>1.8</v>
      </c>
      <c r="M334" s="38">
        <v>0.9</v>
      </c>
      <c r="N334" s="39"/>
      <c r="O334" s="39"/>
      <c r="P334" s="39"/>
      <c r="Q334" s="39"/>
      <c r="R334" s="39"/>
      <c r="S334" s="39"/>
      <c r="T334" s="39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</row>
    <row r="335">
      <c r="A335" s="28">
        <f t="shared" si="110"/>
        <v>334</v>
      </c>
      <c r="B335" s="34">
        <v>62.0</v>
      </c>
      <c r="C335" s="29" t="s">
        <v>77</v>
      </c>
      <c r="D335" s="35" t="str">
        <f t="shared" ref="D335:D338" si="117">HYPERLINK("https://github.com/d-wkim/phd/blob/main/data/pdf/matsumoto_2006.pdf","Matsumoto et al., 2006")</f>
        <v>Matsumoto et al., 2006</v>
      </c>
      <c r="E335" s="36" t="s">
        <v>629</v>
      </c>
      <c r="F335" s="36" t="s">
        <v>630</v>
      </c>
      <c r="G335" s="28" t="s">
        <v>32</v>
      </c>
      <c r="H335" s="34" t="s">
        <v>2</v>
      </c>
      <c r="I335" s="29" t="s">
        <v>92</v>
      </c>
      <c r="J335" s="34" t="s">
        <v>220</v>
      </c>
      <c r="K335" s="29">
        <v>37.0</v>
      </c>
      <c r="L335" s="38">
        <v>84.3</v>
      </c>
      <c r="M335" s="38">
        <v>11.0</v>
      </c>
      <c r="N335" s="39"/>
      <c r="O335" s="39"/>
      <c r="P335" s="39"/>
      <c r="Q335" s="39"/>
      <c r="R335" s="39"/>
      <c r="S335" s="39"/>
      <c r="T335" s="39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</row>
    <row r="336">
      <c r="A336" s="28">
        <f t="shared" si="110"/>
        <v>335</v>
      </c>
      <c r="B336" s="34">
        <v>62.0</v>
      </c>
      <c r="C336" s="29" t="s">
        <v>77</v>
      </c>
      <c r="D336" s="35" t="str">
        <f t="shared" si="117"/>
        <v>Matsumoto et al., 2006</v>
      </c>
      <c r="E336" s="36" t="s">
        <v>629</v>
      </c>
      <c r="F336" s="36" t="s">
        <v>630</v>
      </c>
      <c r="G336" s="28" t="s">
        <v>32</v>
      </c>
      <c r="H336" s="34" t="s">
        <v>2</v>
      </c>
      <c r="I336" s="29" t="s">
        <v>92</v>
      </c>
      <c r="J336" s="34" t="s">
        <v>185</v>
      </c>
      <c r="K336" s="29">
        <v>37.0</v>
      </c>
      <c r="L336" s="38">
        <v>1.2</v>
      </c>
      <c r="M336" s="38">
        <v>2.1</v>
      </c>
      <c r="N336" s="39"/>
      <c r="O336" s="39"/>
      <c r="P336" s="39"/>
      <c r="Q336" s="39"/>
      <c r="R336" s="39"/>
      <c r="S336" s="39"/>
      <c r="T336" s="39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</row>
    <row r="337">
      <c r="A337" s="28">
        <f t="shared" si="110"/>
        <v>336</v>
      </c>
      <c r="B337" s="34">
        <v>62.0</v>
      </c>
      <c r="C337" s="29" t="s">
        <v>77</v>
      </c>
      <c r="D337" s="35" t="str">
        <f t="shared" si="117"/>
        <v>Matsumoto et al., 2006</v>
      </c>
      <c r="E337" s="36" t="s">
        <v>629</v>
      </c>
      <c r="F337" s="36" t="s">
        <v>630</v>
      </c>
      <c r="G337" s="28" t="s">
        <v>32</v>
      </c>
      <c r="H337" s="34" t="s">
        <v>9</v>
      </c>
      <c r="I337" s="29" t="s">
        <v>92</v>
      </c>
      <c r="J337" s="34" t="s">
        <v>220</v>
      </c>
      <c r="K337" s="29">
        <v>35.0</v>
      </c>
      <c r="L337" s="38">
        <v>86.8</v>
      </c>
      <c r="M337" s="38">
        <v>8.3</v>
      </c>
      <c r="N337" s="39"/>
      <c r="O337" s="39"/>
      <c r="P337" s="39"/>
      <c r="Q337" s="39"/>
      <c r="R337" s="39"/>
      <c r="S337" s="39"/>
      <c r="T337" s="39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</row>
    <row r="338">
      <c r="A338" s="28">
        <f t="shared" si="110"/>
        <v>337</v>
      </c>
      <c r="B338" s="34">
        <v>62.0</v>
      </c>
      <c r="C338" s="29" t="s">
        <v>77</v>
      </c>
      <c r="D338" s="35" t="str">
        <f t="shared" si="117"/>
        <v>Matsumoto et al., 2006</v>
      </c>
      <c r="E338" s="36" t="s">
        <v>629</v>
      </c>
      <c r="F338" s="36" t="s">
        <v>630</v>
      </c>
      <c r="G338" s="28" t="s">
        <v>32</v>
      </c>
      <c r="H338" s="34" t="s">
        <v>9</v>
      </c>
      <c r="I338" s="29" t="s">
        <v>92</v>
      </c>
      <c r="J338" s="34" t="s">
        <v>185</v>
      </c>
      <c r="K338" s="29">
        <v>35.0</v>
      </c>
      <c r="L338" s="38">
        <v>1.7</v>
      </c>
      <c r="M338" s="38">
        <v>1.4</v>
      </c>
      <c r="N338" s="39"/>
      <c r="O338" s="39"/>
      <c r="P338" s="39"/>
      <c r="Q338" s="39"/>
      <c r="R338" s="39"/>
      <c r="S338" s="39"/>
      <c r="T338" s="39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</row>
    <row r="339">
      <c r="A339" s="28" t="str">
        <f t="shared" si="110"/>
        <v/>
      </c>
      <c r="B339" s="34">
        <v>66.0</v>
      </c>
      <c r="C339" s="29" t="s">
        <v>77</v>
      </c>
      <c r="D339" s="35" t="str">
        <f t="shared" ref="D339:D344" si="118">HYPERLINK("https://github.com/d-wkim/phd/blob/main/data/pdf/mohtadi_2016a.pdf","mohtadi_2016a")</f>
        <v>mohtadi_2016a</v>
      </c>
      <c r="E339" s="36" t="s">
        <v>631</v>
      </c>
      <c r="F339" s="36" t="s">
        <v>632</v>
      </c>
      <c r="G339" s="28" t="s">
        <v>102</v>
      </c>
      <c r="H339" s="34" t="s">
        <v>2</v>
      </c>
      <c r="I339" s="29" t="s">
        <v>92</v>
      </c>
      <c r="J339" s="34" t="s">
        <v>185</v>
      </c>
      <c r="K339" s="29"/>
      <c r="L339" s="41"/>
      <c r="M339" s="38"/>
      <c r="N339" s="39"/>
      <c r="O339" s="39"/>
      <c r="P339" s="39"/>
      <c r="Q339" s="39"/>
      <c r="R339" s="39"/>
      <c r="S339" s="39"/>
      <c r="T339" s="39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</row>
    <row r="340">
      <c r="A340" s="28" t="str">
        <f t="shared" si="110"/>
        <v/>
      </c>
      <c r="B340" s="34">
        <v>66.0</v>
      </c>
      <c r="C340" s="29" t="s">
        <v>77</v>
      </c>
      <c r="D340" s="35" t="str">
        <f t="shared" si="118"/>
        <v>mohtadi_2016a</v>
      </c>
      <c r="E340" s="36" t="s">
        <v>631</v>
      </c>
      <c r="F340" s="36" t="s">
        <v>632</v>
      </c>
      <c r="G340" s="28" t="s">
        <v>102</v>
      </c>
      <c r="H340" s="34" t="s">
        <v>2</v>
      </c>
      <c r="I340" s="29" t="s">
        <v>149</v>
      </c>
      <c r="J340" s="34" t="s">
        <v>151</v>
      </c>
      <c r="K340" s="29"/>
      <c r="L340" s="43"/>
      <c r="M340" s="41" t="str">
        <f t="shared" ref="M340:M341" si="119">iferror(P_SD(K340,L340),"")</f>
        <v/>
      </c>
      <c r="N340" s="39"/>
      <c r="O340" s="39"/>
      <c r="P340" s="39"/>
      <c r="Q340" s="39"/>
      <c r="R340" s="39"/>
      <c r="S340" s="39"/>
      <c r="T340" s="39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</row>
    <row r="341">
      <c r="A341" s="28">
        <v>319.0</v>
      </c>
      <c r="B341" s="34">
        <v>66.0</v>
      </c>
      <c r="C341" s="29" t="s">
        <v>77</v>
      </c>
      <c r="D341" s="35" t="str">
        <f t="shared" si="118"/>
        <v>mohtadi_2016a</v>
      </c>
      <c r="E341" s="36" t="s">
        <v>631</v>
      </c>
      <c r="F341" s="36" t="s">
        <v>632</v>
      </c>
      <c r="G341" s="28" t="s">
        <v>32</v>
      </c>
      <c r="H341" s="34" t="s">
        <v>2</v>
      </c>
      <c r="I341" s="29" t="s">
        <v>149</v>
      </c>
      <c r="J341" s="34" t="s">
        <v>308</v>
      </c>
      <c r="K341" s="29">
        <v>110.0</v>
      </c>
      <c r="L341" s="40">
        <v>19.0</v>
      </c>
      <c r="M341" s="41">
        <f t="shared" si="119"/>
        <v>2.247447532</v>
      </c>
      <c r="N341" s="39"/>
      <c r="O341" s="39"/>
      <c r="P341" s="39"/>
      <c r="Q341" s="39"/>
      <c r="R341" s="39"/>
      <c r="S341" s="39"/>
      <c r="T341" s="39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</row>
    <row r="342">
      <c r="A342" s="28" t="str">
        <f t="shared" ref="A342:A343" si="120">if(G342="Included",row(A342)-1,"")</f>
        <v/>
      </c>
      <c r="B342" s="34">
        <v>66.0</v>
      </c>
      <c r="C342" s="29" t="s">
        <v>77</v>
      </c>
      <c r="D342" s="35" t="str">
        <f t="shared" si="118"/>
        <v>mohtadi_2016a</v>
      </c>
      <c r="E342" s="36" t="s">
        <v>631</v>
      </c>
      <c r="F342" s="36" t="s">
        <v>632</v>
      </c>
      <c r="G342" s="28" t="s">
        <v>102</v>
      </c>
      <c r="H342" s="34" t="s">
        <v>9</v>
      </c>
      <c r="I342" s="29" t="s">
        <v>92</v>
      </c>
      <c r="J342" s="34" t="s">
        <v>185</v>
      </c>
      <c r="K342" s="29"/>
      <c r="L342" s="41"/>
      <c r="M342" s="38"/>
      <c r="N342" s="39"/>
      <c r="O342" s="39"/>
      <c r="P342" s="39"/>
      <c r="Q342" s="39"/>
      <c r="R342" s="39"/>
      <c r="S342" s="39"/>
      <c r="T342" s="39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</row>
    <row r="343">
      <c r="A343" s="28" t="str">
        <f t="shared" si="120"/>
        <v/>
      </c>
      <c r="B343" s="34">
        <v>66.0</v>
      </c>
      <c r="C343" s="29" t="s">
        <v>77</v>
      </c>
      <c r="D343" s="35" t="str">
        <f t="shared" si="118"/>
        <v>mohtadi_2016a</v>
      </c>
      <c r="E343" s="36" t="s">
        <v>631</v>
      </c>
      <c r="F343" s="36" t="s">
        <v>632</v>
      </c>
      <c r="G343" s="28" t="s">
        <v>102</v>
      </c>
      <c r="H343" s="34" t="s">
        <v>9</v>
      </c>
      <c r="I343" s="29" t="s">
        <v>149</v>
      </c>
      <c r="J343" s="34" t="s">
        <v>151</v>
      </c>
      <c r="K343" s="29"/>
      <c r="L343" s="43"/>
      <c r="M343" s="41" t="str">
        <f t="shared" ref="M343:M344" si="121">iferror(P_SD(K343,L343),"")</f>
        <v/>
      </c>
      <c r="N343" s="39"/>
      <c r="O343" s="39"/>
      <c r="P343" s="39"/>
      <c r="Q343" s="39"/>
      <c r="R343" s="39"/>
      <c r="S343" s="39"/>
      <c r="T343" s="39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</row>
    <row r="344">
      <c r="A344" s="28">
        <v>322.0</v>
      </c>
      <c r="B344" s="34">
        <v>66.0</v>
      </c>
      <c r="C344" s="29" t="s">
        <v>77</v>
      </c>
      <c r="D344" s="35" t="str">
        <f t="shared" si="118"/>
        <v>mohtadi_2016a</v>
      </c>
      <c r="E344" s="36" t="s">
        <v>631</v>
      </c>
      <c r="F344" s="36" t="s">
        <v>632</v>
      </c>
      <c r="G344" s="28" t="s">
        <v>32</v>
      </c>
      <c r="H344" s="34" t="s">
        <v>9</v>
      </c>
      <c r="I344" s="29" t="s">
        <v>149</v>
      </c>
      <c r="J344" s="34" t="s">
        <v>308</v>
      </c>
      <c r="K344" s="29">
        <v>110.0</v>
      </c>
      <c r="L344" s="40">
        <v>24.0</v>
      </c>
      <c r="M344" s="41">
        <f t="shared" si="121"/>
        <v>2.987885672</v>
      </c>
      <c r="N344" s="39"/>
      <c r="O344" s="39"/>
      <c r="P344" s="39"/>
      <c r="Q344" s="39"/>
      <c r="R344" s="39"/>
      <c r="S344" s="39"/>
      <c r="T344" s="39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</row>
    <row r="345">
      <c r="A345" s="28" t="str">
        <f t="shared" ref="A345:A348" si="122">if(G345="Included",row(A345)-1,"")</f>
        <v/>
      </c>
      <c r="B345" s="34">
        <v>67.0</v>
      </c>
      <c r="C345" s="29" t="s">
        <v>77</v>
      </c>
      <c r="D345" s="35" t="str">
        <f t="shared" ref="D345:D354" si="123">HYPERLINK("https://github.com/d-wkim/phd/blob/main/data/pdf/mohtadi_chan_2019.pdf","Mohtadi &amp; Chan, 2019")</f>
        <v>Mohtadi &amp; Chan, 2019</v>
      </c>
      <c r="E345" s="36" t="s">
        <v>633</v>
      </c>
      <c r="F345" s="36" t="s">
        <v>634</v>
      </c>
      <c r="G345" s="28" t="s">
        <v>102</v>
      </c>
      <c r="H345" s="34" t="s">
        <v>2</v>
      </c>
      <c r="I345" s="29" t="s">
        <v>92</v>
      </c>
      <c r="J345" s="34" t="s">
        <v>220</v>
      </c>
      <c r="K345" s="39"/>
      <c r="L345" s="41"/>
      <c r="M345" s="38"/>
      <c r="N345" s="39"/>
      <c r="O345" s="39"/>
      <c r="P345" s="39"/>
      <c r="Q345" s="39"/>
      <c r="R345" s="39"/>
      <c r="S345" s="39"/>
      <c r="T345" s="39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</row>
    <row r="346">
      <c r="A346" s="28" t="str">
        <f t="shared" si="122"/>
        <v/>
      </c>
      <c r="B346" s="34">
        <v>67.0</v>
      </c>
      <c r="C346" s="29" t="s">
        <v>77</v>
      </c>
      <c r="D346" s="35" t="str">
        <f t="shared" si="123"/>
        <v>Mohtadi &amp; Chan, 2019</v>
      </c>
      <c r="E346" s="36" t="s">
        <v>633</v>
      </c>
      <c r="F346" s="36" t="s">
        <v>634</v>
      </c>
      <c r="G346" s="28" t="s">
        <v>102</v>
      </c>
      <c r="H346" s="34" t="s">
        <v>2</v>
      </c>
      <c r="I346" s="29" t="s">
        <v>149</v>
      </c>
      <c r="J346" s="34" t="s">
        <v>173</v>
      </c>
      <c r="K346" s="39"/>
      <c r="L346" s="43"/>
      <c r="M346" s="41" t="str">
        <f t="shared" ref="M346:M347" si="124">iferror(P_SD(K346,L346),"")</f>
        <v/>
      </c>
      <c r="N346" s="39"/>
      <c r="O346" s="39"/>
      <c r="P346" s="39"/>
      <c r="Q346" s="39"/>
      <c r="R346" s="39"/>
      <c r="S346" s="39"/>
      <c r="T346" s="39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</row>
    <row r="347">
      <c r="A347" s="28" t="str">
        <f t="shared" si="122"/>
        <v/>
      </c>
      <c r="B347" s="34">
        <v>67.0</v>
      </c>
      <c r="C347" s="29" t="s">
        <v>77</v>
      </c>
      <c r="D347" s="35" t="str">
        <f t="shared" si="123"/>
        <v>Mohtadi &amp; Chan, 2019</v>
      </c>
      <c r="E347" s="36" t="s">
        <v>633</v>
      </c>
      <c r="F347" s="36" t="s">
        <v>634</v>
      </c>
      <c r="G347" s="28" t="s">
        <v>102</v>
      </c>
      <c r="H347" s="34" t="s">
        <v>2</v>
      </c>
      <c r="I347" s="29" t="s">
        <v>149</v>
      </c>
      <c r="J347" s="34" t="s">
        <v>151</v>
      </c>
      <c r="K347" s="39"/>
      <c r="L347" s="43"/>
      <c r="M347" s="41" t="str">
        <f t="shared" si="124"/>
        <v/>
      </c>
      <c r="N347" s="39"/>
      <c r="O347" s="39"/>
      <c r="P347" s="39"/>
      <c r="Q347" s="39"/>
      <c r="R347" s="39"/>
      <c r="S347" s="39"/>
      <c r="T347" s="39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</row>
    <row r="348">
      <c r="A348" s="28" t="str">
        <f t="shared" si="122"/>
        <v/>
      </c>
      <c r="B348" s="34">
        <v>67.0</v>
      </c>
      <c r="C348" s="29" t="s">
        <v>77</v>
      </c>
      <c r="D348" s="35" t="str">
        <f t="shared" si="123"/>
        <v>Mohtadi &amp; Chan, 2019</v>
      </c>
      <c r="E348" s="36" t="s">
        <v>633</v>
      </c>
      <c r="F348" s="36" t="s">
        <v>634</v>
      </c>
      <c r="G348" s="28" t="s">
        <v>102</v>
      </c>
      <c r="H348" s="34" t="s">
        <v>2</v>
      </c>
      <c r="I348" s="29" t="s">
        <v>92</v>
      </c>
      <c r="J348" s="34" t="s">
        <v>185</v>
      </c>
      <c r="K348" s="39"/>
      <c r="L348" s="41"/>
      <c r="M348" s="38"/>
      <c r="N348" s="39"/>
      <c r="O348" s="39"/>
      <c r="P348" s="39"/>
      <c r="Q348" s="39"/>
      <c r="R348" s="39"/>
      <c r="S348" s="39"/>
      <c r="T348" s="39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</row>
    <row r="349">
      <c r="A349" s="28">
        <v>327.0</v>
      </c>
      <c r="B349" s="34">
        <v>67.0</v>
      </c>
      <c r="C349" s="29" t="s">
        <v>77</v>
      </c>
      <c r="D349" s="35" t="str">
        <f t="shared" si="123"/>
        <v>Mohtadi &amp; Chan, 2019</v>
      </c>
      <c r="E349" s="36" t="s">
        <v>633</v>
      </c>
      <c r="F349" s="36" t="s">
        <v>634</v>
      </c>
      <c r="G349" s="28" t="s">
        <v>102</v>
      </c>
      <c r="H349" s="34" t="s">
        <v>2</v>
      </c>
      <c r="I349" s="29" t="s">
        <v>149</v>
      </c>
      <c r="J349" s="34" t="s">
        <v>308</v>
      </c>
      <c r="K349" s="39"/>
      <c r="L349" s="43"/>
      <c r="M349" s="41" t="str">
        <f>iferror(P_SD(K349,L349),"")</f>
        <v/>
      </c>
      <c r="N349" s="39"/>
      <c r="O349" s="39"/>
      <c r="P349" s="39"/>
      <c r="Q349" s="39"/>
      <c r="R349" s="39"/>
      <c r="S349" s="39"/>
      <c r="T349" s="39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</row>
    <row r="350">
      <c r="A350" s="28" t="str">
        <f t="shared" ref="A350:A353" si="125">if(G350="Included",row(A350)-1,"")</f>
        <v/>
      </c>
      <c r="B350" s="34">
        <v>67.0</v>
      </c>
      <c r="C350" s="29" t="s">
        <v>77</v>
      </c>
      <c r="D350" s="35" t="str">
        <f t="shared" si="123"/>
        <v>Mohtadi &amp; Chan, 2019</v>
      </c>
      <c r="E350" s="36" t="s">
        <v>633</v>
      </c>
      <c r="F350" s="36" t="s">
        <v>634</v>
      </c>
      <c r="G350" s="28" t="s">
        <v>102</v>
      </c>
      <c r="H350" s="34" t="s">
        <v>9</v>
      </c>
      <c r="I350" s="29" t="s">
        <v>92</v>
      </c>
      <c r="J350" s="34" t="s">
        <v>220</v>
      </c>
      <c r="K350" s="39"/>
      <c r="L350" s="41"/>
      <c r="M350" s="38"/>
      <c r="N350" s="39"/>
      <c r="O350" s="39"/>
      <c r="P350" s="39"/>
      <c r="Q350" s="39"/>
      <c r="R350" s="39"/>
      <c r="S350" s="39"/>
      <c r="T350" s="39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</row>
    <row r="351">
      <c r="A351" s="28" t="str">
        <f t="shared" si="125"/>
        <v/>
      </c>
      <c r="B351" s="34">
        <v>67.0</v>
      </c>
      <c r="C351" s="29" t="s">
        <v>77</v>
      </c>
      <c r="D351" s="35" t="str">
        <f t="shared" si="123"/>
        <v>Mohtadi &amp; Chan, 2019</v>
      </c>
      <c r="E351" s="36" t="s">
        <v>633</v>
      </c>
      <c r="F351" s="36" t="s">
        <v>634</v>
      </c>
      <c r="G351" s="28" t="s">
        <v>102</v>
      </c>
      <c r="H351" s="34" t="s">
        <v>9</v>
      </c>
      <c r="I351" s="29" t="s">
        <v>149</v>
      </c>
      <c r="J351" s="34" t="s">
        <v>173</v>
      </c>
      <c r="K351" s="39"/>
      <c r="L351" s="43"/>
      <c r="M351" s="41" t="str">
        <f t="shared" ref="M351:M352" si="126">iferror(P_SD(K351,L351),"")</f>
        <v/>
      </c>
      <c r="N351" s="39"/>
      <c r="O351" s="39"/>
      <c r="P351" s="39"/>
      <c r="Q351" s="39"/>
      <c r="R351" s="39"/>
      <c r="S351" s="39"/>
      <c r="T351" s="39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</row>
    <row r="352">
      <c r="A352" s="28" t="str">
        <f t="shared" si="125"/>
        <v/>
      </c>
      <c r="B352" s="34">
        <v>67.0</v>
      </c>
      <c r="C352" s="29" t="s">
        <v>77</v>
      </c>
      <c r="D352" s="35" t="str">
        <f t="shared" si="123"/>
        <v>Mohtadi &amp; Chan, 2019</v>
      </c>
      <c r="E352" s="36" t="s">
        <v>633</v>
      </c>
      <c r="F352" s="36" t="s">
        <v>634</v>
      </c>
      <c r="G352" s="28" t="s">
        <v>102</v>
      </c>
      <c r="H352" s="34" t="s">
        <v>9</v>
      </c>
      <c r="I352" s="29" t="s">
        <v>149</v>
      </c>
      <c r="J352" s="34" t="s">
        <v>151</v>
      </c>
      <c r="K352" s="39"/>
      <c r="L352" s="43"/>
      <c r="M352" s="41" t="str">
        <f t="shared" si="126"/>
        <v/>
      </c>
      <c r="N352" s="39"/>
      <c r="O352" s="39"/>
      <c r="P352" s="39"/>
      <c r="Q352" s="39"/>
      <c r="R352" s="39"/>
      <c r="S352" s="39"/>
      <c r="T352" s="39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</row>
    <row r="353">
      <c r="A353" s="28" t="str">
        <f t="shared" si="125"/>
        <v/>
      </c>
      <c r="B353" s="34">
        <v>67.0</v>
      </c>
      <c r="C353" s="29" t="s">
        <v>77</v>
      </c>
      <c r="D353" s="35" t="str">
        <f t="shared" si="123"/>
        <v>Mohtadi &amp; Chan, 2019</v>
      </c>
      <c r="E353" s="36" t="s">
        <v>633</v>
      </c>
      <c r="F353" s="36" t="s">
        <v>634</v>
      </c>
      <c r="G353" s="28" t="s">
        <v>102</v>
      </c>
      <c r="H353" s="34" t="s">
        <v>9</v>
      </c>
      <c r="I353" s="29" t="s">
        <v>92</v>
      </c>
      <c r="J353" s="34" t="s">
        <v>185</v>
      </c>
      <c r="K353" s="39"/>
      <c r="L353" s="41"/>
      <c r="M353" s="38"/>
      <c r="N353" s="39"/>
      <c r="O353" s="39"/>
      <c r="P353" s="39"/>
      <c r="Q353" s="39"/>
      <c r="R353" s="39"/>
      <c r="S353" s="39"/>
      <c r="T353" s="39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</row>
    <row r="354">
      <c r="A354" s="28">
        <v>332.0</v>
      </c>
      <c r="B354" s="34">
        <v>67.0</v>
      </c>
      <c r="C354" s="29" t="s">
        <v>77</v>
      </c>
      <c r="D354" s="35" t="str">
        <f t="shared" si="123"/>
        <v>Mohtadi &amp; Chan, 2019</v>
      </c>
      <c r="E354" s="36" t="s">
        <v>633</v>
      </c>
      <c r="F354" s="36" t="s">
        <v>634</v>
      </c>
      <c r="G354" s="28" t="s">
        <v>102</v>
      </c>
      <c r="H354" s="34" t="s">
        <v>9</v>
      </c>
      <c r="I354" s="29" t="s">
        <v>149</v>
      </c>
      <c r="J354" s="34" t="s">
        <v>308</v>
      </c>
      <c r="K354" s="39"/>
      <c r="L354" s="43"/>
      <c r="M354" s="41" t="str">
        <f>iferror(P_SD(K354,L354),"")</f>
        <v/>
      </c>
      <c r="N354" s="39"/>
      <c r="O354" s="39"/>
      <c r="P354" s="39"/>
      <c r="Q354" s="39"/>
      <c r="R354" s="39"/>
      <c r="S354" s="39"/>
      <c r="T354" s="39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</row>
    <row r="355">
      <c r="A355" s="28">
        <f t="shared" ref="A355:A359" si="127">if(G355="Included",row(A355)-1,"")</f>
        <v>354</v>
      </c>
      <c r="B355" s="34">
        <v>68.0</v>
      </c>
      <c r="C355" s="29" t="s">
        <v>635</v>
      </c>
      <c r="D355" s="35" t="str">
        <f t="shared" ref="D355:D366" si="128">HYPERLINK("https://github.com/d-wkim/phd/blob/main/data/pdf/moraiti_2010.pdf","Moraiti et al., 2010")</f>
        <v>Moraiti et al., 2010</v>
      </c>
      <c r="E355" s="36" t="s">
        <v>636</v>
      </c>
      <c r="F355" s="36" t="s">
        <v>637</v>
      </c>
      <c r="G355" s="28" t="s">
        <v>32</v>
      </c>
      <c r="H355" s="34" t="s">
        <v>2</v>
      </c>
      <c r="I355" s="29" t="s">
        <v>92</v>
      </c>
      <c r="J355" s="34" t="s">
        <v>220</v>
      </c>
      <c r="K355" s="39"/>
      <c r="L355" s="38">
        <v>92.0</v>
      </c>
      <c r="M355" s="38">
        <v>7.0</v>
      </c>
      <c r="N355" s="39"/>
      <c r="O355" s="39"/>
      <c r="P355" s="39"/>
      <c r="Q355" s="39"/>
      <c r="R355" s="39"/>
      <c r="S355" s="39"/>
      <c r="T355" s="39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</row>
    <row r="356">
      <c r="A356" s="28" t="str">
        <f t="shared" si="127"/>
        <v/>
      </c>
      <c r="B356" s="34">
        <v>68.0</v>
      </c>
      <c r="C356" s="29" t="s">
        <v>77</v>
      </c>
      <c r="D356" s="35" t="str">
        <f t="shared" si="128"/>
        <v>Moraiti et al., 2010</v>
      </c>
      <c r="E356" s="36" t="s">
        <v>636</v>
      </c>
      <c r="F356" s="36" t="s">
        <v>637</v>
      </c>
      <c r="G356" s="28" t="s">
        <v>102</v>
      </c>
      <c r="H356" s="34" t="s">
        <v>2</v>
      </c>
      <c r="I356" s="29" t="s">
        <v>92</v>
      </c>
      <c r="J356" s="34" t="s">
        <v>96</v>
      </c>
      <c r="K356" s="39"/>
      <c r="L356" s="41"/>
      <c r="M356" s="38"/>
      <c r="N356" s="39"/>
      <c r="O356" s="39"/>
      <c r="P356" s="39"/>
      <c r="Q356" s="39"/>
      <c r="R356" s="39"/>
      <c r="S356" s="39"/>
      <c r="T356" s="39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</row>
    <row r="357">
      <c r="A357" s="28">
        <f t="shared" si="127"/>
        <v>356</v>
      </c>
      <c r="B357" s="34">
        <v>68.0</v>
      </c>
      <c r="C357" s="29" t="s">
        <v>635</v>
      </c>
      <c r="D357" s="35" t="str">
        <f t="shared" si="128"/>
        <v>Moraiti et al., 2010</v>
      </c>
      <c r="E357" s="36" t="s">
        <v>636</v>
      </c>
      <c r="F357" s="36" t="s">
        <v>637</v>
      </c>
      <c r="G357" s="28" t="s">
        <v>32</v>
      </c>
      <c r="H357" s="34" t="s">
        <v>2</v>
      </c>
      <c r="I357" s="29" t="s">
        <v>92</v>
      </c>
      <c r="J357" s="34" t="s">
        <v>226</v>
      </c>
      <c r="K357" s="39"/>
      <c r="L357" s="38">
        <v>96.0</v>
      </c>
      <c r="M357" s="38">
        <v>3.0</v>
      </c>
      <c r="N357" s="39"/>
      <c r="O357" s="39"/>
      <c r="P357" s="39"/>
      <c r="Q357" s="39"/>
      <c r="R357" s="39"/>
      <c r="S357" s="39"/>
      <c r="T357" s="39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</row>
    <row r="358">
      <c r="A358" s="28" t="str">
        <f t="shared" si="127"/>
        <v/>
      </c>
      <c r="B358" s="34">
        <v>68.0</v>
      </c>
      <c r="C358" s="29" t="s">
        <v>77</v>
      </c>
      <c r="D358" s="35" t="str">
        <f t="shared" si="128"/>
        <v>Moraiti et al., 2010</v>
      </c>
      <c r="E358" s="36" t="s">
        <v>636</v>
      </c>
      <c r="F358" s="36" t="s">
        <v>637</v>
      </c>
      <c r="G358" s="28" t="s">
        <v>102</v>
      </c>
      <c r="H358" s="34" t="s">
        <v>2</v>
      </c>
      <c r="I358" s="29" t="s">
        <v>92</v>
      </c>
      <c r="J358" s="34" t="s">
        <v>185</v>
      </c>
      <c r="K358" s="39"/>
      <c r="L358" s="41"/>
      <c r="M358" s="38"/>
      <c r="N358" s="39"/>
      <c r="O358" s="39"/>
      <c r="P358" s="39"/>
      <c r="Q358" s="39"/>
      <c r="R358" s="39"/>
      <c r="S358" s="39"/>
      <c r="T358" s="39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</row>
    <row r="359">
      <c r="A359" s="28" t="str">
        <f t="shared" si="127"/>
        <v/>
      </c>
      <c r="B359" s="34">
        <v>68.0</v>
      </c>
      <c r="C359" s="29" t="s">
        <v>77</v>
      </c>
      <c r="D359" s="35" t="str">
        <f t="shared" si="128"/>
        <v>Moraiti et al., 2010</v>
      </c>
      <c r="E359" s="36" t="s">
        <v>636</v>
      </c>
      <c r="F359" s="36" t="s">
        <v>637</v>
      </c>
      <c r="G359" s="28" t="s">
        <v>102</v>
      </c>
      <c r="H359" s="34" t="s">
        <v>2</v>
      </c>
      <c r="I359" s="29" t="s">
        <v>149</v>
      </c>
      <c r="J359" s="34" t="s">
        <v>151</v>
      </c>
      <c r="K359" s="39"/>
      <c r="L359" s="43"/>
      <c r="M359" s="41" t="str">
        <f t="shared" ref="M359:M360" si="129">iferror(P_SD(K359,L359),"")</f>
        <v/>
      </c>
      <c r="N359" s="39"/>
      <c r="O359" s="39"/>
      <c r="P359" s="39"/>
      <c r="Q359" s="39"/>
      <c r="R359" s="39"/>
      <c r="S359" s="39"/>
      <c r="T359" s="39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</row>
    <row r="360">
      <c r="A360" s="28">
        <v>338.0</v>
      </c>
      <c r="B360" s="34">
        <v>68.0</v>
      </c>
      <c r="C360" s="29" t="s">
        <v>77</v>
      </c>
      <c r="D360" s="35" t="str">
        <f t="shared" si="128"/>
        <v>Moraiti et al., 2010</v>
      </c>
      <c r="E360" s="36" t="s">
        <v>636</v>
      </c>
      <c r="F360" s="36" t="s">
        <v>637</v>
      </c>
      <c r="G360" s="28" t="s">
        <v>102</v>
      </c>
      <c r="H360" s="34" t="s">
        <v>2</v>
      </c>
      <c r="I360" s="29" t="s">
        <v>149</v>
      </c>
      <c r="J360" s="34" t="s">
        <v>308</v>
      </c>
      <c r="K360" s="39"/>
      <c r="L360" s="43"/>
      <c r="M360" s="41" t="str">
        <f t="shared" si="129"/>
        <v/>
      </c>
      <c r="N360" s="39"/>
      <c r="O360" s="39"/>
      <c r="P360" s="39"/>
      <c r="Q360" s="39"/>
      <c r="R360" s="39"/>
      <c r="S360" s="39"/>
      <c r="T360" s="39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</row>
    <row r="361">
      <c r="A361" s="28">
        <f t="shared" ref="A361:A365" si="130">if(G361="Included",row(A361)-1,"")</f>
        <v>360</v>
      </c>
      <c r="B361" s="34">
        <v>68.0</v>
      </c>
      <c r="C361" s="29" t="s">
        <v>635</v>
      </c>
      <c r="D361" s="35" t="str">
        <f t="shared" si="128"/>
        <v>Moraiti et al., 2010</v>
      </c>
      <c r="E361" s="36" t="s">
        <v>636</v>
      </c>
      <c r="F361" s="36" t="s">
        <v>637</v>
      </c>
      <c r="G361" s="28" t="s">
        <v>32</v>
      </c>
      <c r="H361" s="34" t="s">
        <v>9</v>
      </c>
      <c r="I361" s="29" t="s">
        <v>92</v>
      </c>
      <c r="J361" s="34" t="s">
        <v>220</v>
      </c>
      <c r="K361" s="39"/>
      <c r="L361" s="38">
        <v>90.0</v>
      </c>
      <c r="M361" s="38">
        <v>10.0</v>
      </c>
      <c r="N361" s="39"/>
      <c r="O361" s="39"/>
      <c r="P361" s="39"/>
      <c r="Q361" s="39"/>
      <c r="R361" s="39"/>
      <c r="S361" s="39"/>
      <c r="T361" s="39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</row>
    <row r="362">
      <c r="A362" s="28" t="str">
        <f t="shared" si="130"/>
        <v/>
      </c>
      <c r="B362" s="34">
        <v>68.0</v>
      </c>
      <c r="C362" s="29" t="s">
        <v>77</v>
      </c>
      <c r="D362" s="35" t="str">
        <f t="shared" si="128"/>
        <v>Moraiti et al., 2010</v>
      </c>
      <c r="E362" s="36" t="s">
        <v>636</v>
      </c>
      <c r="F362" s="36" t="s">
        <v>637</v>
      </c>
      <c r="G362" s="28" t="s">
        <v>102</v>
      </c>
      <c r="H362" s="34" t="s">
        <v>9</v>
      </c>
      <c r="I362" s="29" t="s">
        <v>92</v>
      </c>
      <c r="J362" s="34" t="s">
        <v>96</v>
      </c>
      <c r="K362" s="39"/>
      <c r="L362" s="41"/>
      <c r="M362" s="38"/>
      <c r="N362" s="39"/>
      <c r="O362" s="39"/>
      <c r="P362" s="39"/>
      <c r="Q362" s="39"/>
      <c r="R362" s="39"/>
      <c r="S362" s="39"/>
      <c r="T362" s="39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</row>
    <row r="363">
      <c r="A363" s="28">
        <f t="shared" si="130"/>
        <v>362</v>
      </c>
      <c r="B363" s="34">
        <v>68.0</v>
      </c>
      <c r="C363" s="29" t="s">
        <v>635</v>
      </c>
      <c r="D363" s="35" t="str">
        <f t="shared" si="128"/>
        <v>Moraiti et al., 2010</v>
      </c>
      <c r="E363" s="36" t="s">
        <v>636</v>
      </c>
      <c r="F363" s="36" t="s">
        <v>637</v>
      </c>
      <c r="G363" s="28" t="s">
        <v>32</v>
      </c>
      <c r="H363" s="34" t="s">
        <v>9</v>
      </c>
      <c r="I363" s="29" t="s">
        <v>92</v>
      </c>
      <c r="J363" s="34" t="s">
        <v>226</v>
      </c>
      <c r="K363" s="39"/>
      <c r="L363" s="38">
        <v>95.0</v>
      </c>
      <c r="M363" s="38">
        <v>5.0</v>
      </c>
      <c r="N363" s="39"/>
      <c r="O363" s="39"/>
      <c r="P363" s="39"/>
      <c r="Q363" s="39"/>
      <c r="R363" s="39"/>
      <c r="S363" s="39"/>
      <c r="T363" s="39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</row>
    <row r="364">
      <c r="A364" s="28" t="str">
        <f t="shared" si="130"/>
        <v/>
      </c>
      <c r="B364" s="34">
        <v>68.0</v>
      </c>
      <c r="C364" s="29" t="s">
        <v>77</v>
      </c>
      <c r="D364" s="35" t="str">
        <f t="shared" si="128"/>
        <v>Moraiti et al., 2010</v>
      </c>
      <c r="E364" s="36" t="s">
        <v>636</v>
      </c>
      <c r="F364" s="36" t="s">
        <v>637</v>
      </c>
      <c r="G364" s="28" t="s">
        <v>102</v>
      </c>
      <c r="H364" s="34" t="s">
        <v>9</v>
      </c>
      <c r="I364" s="29" t="s">
        <v>92</v>
      </c>
      <c r="J364" s="34" t="s">
        <v>185</v>
      </c>
      <c r="K364" s="39"/>
      <c r="L364" s="41"/>
      <c r="M364" s="38"/>
      <c r="N364" s="39"/>
      <c r="O364" s="39"/>
      <c r="P364" s="39"/>
      <c r="Q364" s="39"/>
      <c r="R364" s="39"/>
      <c r="S364" s="39"/>
      <c r="T364" s="39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</row>
    <row r="365">
      <c r="A365" s="28" t="str">
        <f t="shared" si="130"/>
        <v/>
      </c>
      <c r="B365" s="34">
        <v>68.0</v>
      </c>
      <c r="C365" s="29" t="s">
        <v>77</v>
      </c>
      <c r="D365" s="35" t="str">
        <f t="shared" si="128"/>
        <v>Moraiti et al., 2010</v>
      </c>
      <c r="E365" s="36" t="s">
        <v>636</v>
      </c>
      <c r="F365" s="36" t="s">
        <v>637</v>
      </c>
      <c r="G365" s="28" t="s">
        <v>102</v>
      </c>
      <c r="H365" s="34" t="s">
        <v>9</v>
      </c>
      <c r="I365" s="29" t="s">
        <v>149</v>
      </c>
      <c r="J365" s="34" t="s">
        <v>151</v>
      </c>
      <c r="K365" s="39"/>
      <c r="L365" s="43"/>
      <c r="M365" s="41" t="str">
        <f t="shared" ref="M365:M367" si="131">iferror(P_SD(K365,L365),"")</f>
        <v/>
      </c>
      <c r="N365" s="39"/>
      <c r="O365" s="39"/>
      <c r="P365" s="39"/>
      <c r="Q365" s="39"/>
      <c r="R365" s="39"/>
      <c r="S365" s="39"/>
      <c r="T365" s="39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</row>
    <row r="366">
      <c r="A366" s="28">
        <v>344.0</v>
      </c>
      <c r="B366" s="34">
        <v>68.0</v>
      </c>
      <c r="C366" s="29" t="s">
        <v>77</v>
      </c>
      <c r="D366" s="35" t="str">
        <f t="shared" si="128"/>
        <v>Moraiti et al., 2010</v>
      </c>
      <c r="E366" s="36" t="s">
        <v>636</v>
      </c>
      <c r="F366" s="36" t="s">
        <v>637</v>
      </c>
      <c r="G366" s="28" t="s">
        <v>102</v>
      </c>
      <c r="H366" s="34" t="s">
        <v>9</v>
      </c>
      <c r="I366" s="29" t="s">
        <v>149</v>
      </c>
      <c r="J366" s="34" t="s">
        <v>308</v>
      </c>
      <c r="K366" s="39"/>
      <c r="L366" s="43"/>
      <c r="M366" s="41" t="str">
        <f t="shared" si="131"/>
        <v/>
      </c>
      <c r="N366" s="39"/>
      <c r="O366" s="39"/>
      <c r="P366" s="39"/>
      <c r="Q366" s="39"/>
      <c r="R366" s="39"/>
      <c r="S366" s="39"/>
      <c r="T366" s="39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</row>
    <row r="367">
      <c r="A367" s="28">
        <f t="shared" ref="A367:A372" si="132">if(G367="Included",row(A367)-1,"")</f>
        <v>366</v>
      </c>
      <c r="B367" s="34">
        <v>70.0</v>
      </c>
      <c r="C367" s="29" t="s">
        <v>77</v>
      </c>
      <c r="D367" s="35" t="str">
        <f t="shared" ref="D367:D380" si="133">HYPERLINK("https://github.com/d-wkim/phd/blob/main/data/pdf/noh_2011.pdf","Noh et al., 2011")</f>
        <v>Noh et al., 2011</v>
      </c>
      <c r="E367" s="36" t="s">
        <v>638</v>
      </c>
      <c r="F367" s="36" t="s">
        <v>639</v>
      </c>
      <c r="G367" s="28" t="s">
        <v>32</v>
      </c>
      <c r="H367" s="34" t="s">
        <v>9</v>
      </c>
      <c r="I367" s="29" t="s">
        <v>149</v>
      </c>
      <c r="J367" s="34" t="s">
        <v>151</v>
      </c>
      <c r="K367" s="29">
        <v>33.0</v>
      </c>
      <c r="L367" s="40">
        <v>6.0</v>
      </c>
      <c r="M367" s="41">
        <f t="shared" si="131"/>
        <v>1.382950267</v>
      </c>
      <c r="N367" s="39"/>
      <c r="O367" s="39"/>
      <c r="P367" s="39"/>
      <c r="Q367" s="39"/>
      <c r="R367" s="39"/>
      <c r="S367" s="39"/>
      <c r="T367" s="39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</row>
    <row r="368">
      <c r="A368" s="28" t="str">
        <f t="shared" si="132"/>
        <v/>
      </c>
      <c r="B368" s="34">
        <v>70.0</v>
      </c>
      <c r="C368" s="29" t="s">
        <v>77</v>
      </c>
      <c r="D368" s="35" t="str">
        <f t="shared" si="133"/>
        <v>Noh et al., 2011</v>
      </c>
      <c r="E368" s="36" t="s">
        <v>638</v>
      </c>
      <c r="F368" s="36" t="s">
        <v>639</v>
      </c>
      <c r="G368" s="28" t="s">
        <v>102</v>
      </c>
      <c r="H368" s="34" t="s">
        <v>9</v>
      </c>
      <c r="I368" s="29" t="s">
        <v>92</v>
      </c>
      <c r="J368" s="34" t="s">
        <v>220</v>
      </c>
      <c r="K368" s="29"/>
      <c r="L368" s="41"/>
      <c r="M368" s="38"/>
      <c r="N368" s="39"/>
      <c r="O368" s="39"/>
      <c r="P368" s="39"/>
      <c r="Q368" s="39"/>
      <c r="R368" s="39"/>
      <c r="S368" s="39"/>
      <c r="T368" s="39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</row>
    <row r="369">
      <c r="A369" s="28">
        <f t="shared" si="132"/>
        <v>368</v>
      </c>
      <c r="B369" s="34">
        <v>70.0</v>
      </c>
      <c r="C369" s="29" t="s">
        <v>77</v>
      </c>
      <c r="D369" s="35" t="str">
        <f t="shared" si="133"/>
        <v>Noh et al., 2011</v>
      </c>
      <c r="E369" s="36" t="s">
        <v>638</v>
      </c>
      <c r="F369" s="36" t="s">
        <v>639</v>
      </c>
      <c r="G369" s="28" t="s">
        <v>32</v>
      </c>
      <c r="H369" s="34" t="s">
        <v>9</v>
      </c>
      <c r="I369" s="29" t="s">
        <v>92</v>
      </c>
      <c r="J369" s="34" t="s">
        <v>96</v>
      </c>
      <c r="K369" s="29">
        <v>33.0</v>
      </c>
      <c r="L369" s="38">
        <v>6.0</v>
      </c>
      <c r="M369" s="38">
        <f t="shared" ref="M369:M370" si="134">iferror(RANGE_SD(K369,N369,R369),"")</f>
        <v>0.9618833161</v>
      </c>
      <c r="N369" s="29">
        <v>5.0</v>
      </c>
      <c r="O369" s="39"/>
      <c r="P369" s="39"/>
      <c r="Q369" s="39"/>
      <c r="R369" s="29">
        <v>9.0</v>
      </c>
      <c r="S369" s="39"/>
      <c r="T369" s="39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</row>
    <row r="370">
      <c r="A370" s="28">
        <f t="shared" si="132"/>
        <v>369</v>
      </c>
      <c r="B370" s="34">
        <v>70.0</v>
      </c>
      <c r="C370" s="29" t="s">
        <v>77</v>
      </c>
      <c r="D370" s="35" t="str">
        <f t="shared" si="133"/>
        <v>Noh et al., 2011</v>
      </c>
      <c r="E370" s="36" t="s">
        <v>638</v>
      </c>
      <c r="F370" s="36" t="s">
        <v>639</v>
      </c>
      <c r="G370" s="28" t="s">
        <v>32</v>
      </c>
      <c r="H370" s="34" t="s">
        <v>9</v>
      </c>
      <c r="I370" s="29" t="s">
        <v>92</v>
      </c>
      <c r="J370" s="34" t="s">
        <v>226</v>
      </c>
      <c r="K370" s="29">
        <v>33.0</v>
      </c>
      <c r="L370" s="38">
        <v>98.0</v>
      </c>
      <c r="M370" s="38">
        <f t="shared" si="134"/>
        <v>3.607062435</v>
      </c>
      <c r="N370" s="29">
        <v>85.0</v>
      </c>
      <c r="O370" s="39"/>
      <c r="P370" s="39"/>
      <c r="Q370" s="39"/>
      <c r="R370" s="29">
        <v>100.0</v>
      </c>
      <c r="S370" s="39"/>
      <c r="T370" s="39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</row>
    <row r="371">
      <c r="A371" s="28" t="str">
        <f t="shared" si="132"/>
        <v/>
      </c>
      <c r="B371" s="34">
        <v>70.0</v>
      </c>
      <c r="C371" s="29" t="s">
        <v>77</v>
      </c>
      <c r="D371" s="35" t="str">
        <f t="shared" si="133"/>
        <v>Noh et al., 2011</v>
      </c>
      <c r="E371" s="36" t="s">
        <v>638</v>
      </c>
      <c r="F371" s="36" t="s">
        <v>639</v>
      </c>
      <c r="G371" s="28" t="s">
        <v>102</v>
      </c>
      <c r="H371" s="34" t="s">
        <v>9</v>
      </c>
      <c r="I371" s="29" t="s">
        <v>92</v>
      </c>
      <c r="J371" s="34" t="s">
        <v>185</v>
      </c>
      <c r="K371" s="29"/>
      <c r="L371" s="41"/>
      <c r="M371" s="38"/>
      <c r="N371" s="39"/>
      <c r="O371" s="39"/>
      <c r="P371" s="39"/>
      <c r="Q371" s="39"/>
      <c r="R371" s="39"/>
      <c r="S371" s="39"/>
      <c r="T371" s="39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</row>
    <row r="372">
      <c r="A372" s="28">
        <f t="shared" si="132"/>
        <v>371</v>
      </c>
      <c r="B372" s="34">
        <v>70.0</v>
      </c>
      <c r="C372" s="29" t="s">
        <v>77</v>
      </c>
      <c r="D372" s="35" t="str">
        <f t="shared" si="133"/>
        <v>Noh et al., 2011</v>
      </c>
      <c r="E372" s="36" t="s">
        <v>638</v>
      </c>
      <c r="F372" s="36" t="s">
        <v>639</v>
      </c>
      <c r="G372" s="28" t="s">
        <v>32</v>
      </c>
      <c r="H372" s="34" t="s">
        <v>9</v>
      </c>
      <c r="I372" s="29" t="s">
        <v>149</v>
      </c>
      <c r="J372" s="34" t="s">
        <v>173</v>
      </c>
      <c r="K372" s="29">
        <v>33.0</v>
      </c>
      <c r="L372" s="40">
        <v>6.0</v>
      </c>
      <c r="M372" s="41">
        <f t="shared" ref="M372:M374" si="135">iferror(P_SD(K372,L372),"")</f>
        <v>1.382950267</v>
      </c>
      <c r="N372" s="39"/>
      <c r="O372" s="39"/>
      <c r="P372" s="39"/>
      <c r="Q372" s="39"/>
      <c r="R372" s="39"/>
      <c r="S372" s="39"/>
      <c r="T372" s="39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</row>
    <row r="373">
      <c r="A373" s="28">
        <v>351.0</v>
      </c>
      <c r="B373" s="34">
        <v>70.0</v>
      </c>
      <c r="C373" s="29" t="s">
        <v>77</v>
      </c>
      <c r="D373" s="35" t="str">
        <f t="shared" si="133"/>
        <v>Noh et al., 2011</v>
      </c>
      <c r="E373" s="36" t="s">
        <v>638</v>
      </c>
      <c r="F373" s="36" t="s">
        <v>639</v>
      </c>
      <c r="G373" s="28" t="s">
        <v>102</v>
      </c>
      <c r="H373" s="34" t="s">
        <v>9</v>
      </c>
      <c r="I373" s="29" t="s">
        <v>149</v>
      </c>
      <c r="J373" s="34" t="s">
        <v>308</v>
      </c>
      <c r="K373" s="29"/>
      <c r="L373" s="43"/>
      <c r="M373" s="41" t="str">
        <f t="shared" si="135"/>
        <v/>
      </c>
      <c r="N373" s="39"/>
      <c r="O373" s="39"/>
      <c r="P373" s="39"/>
      <c r="Q373" s="39"/>
      <c r="R373" s="39"/>
      <c r="S373" s="39"/>
      <c r="T373" s="39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</row>
    <row r="374">
      <c r="A374" s="28">
        <f t="shared" ref="A374:A379" si="136">if(G374="Included",row(A374)-1,"")</f>
        <v>373</v>
      </c>
      <c r="B374" s="34">
        <v>70.0</v>
      </c>
      <c r="C374" s="29" t="s">
        <v>77</v>
      </c>
      <c r="D374" s="35" t="str">
        <f t="shared" si="133"/>
        <v>Noh et al., 2011</v>
      </c>
      <c r="E374" s="36" t="s">
        <v>638</v>
      </c>
      <c r="F374" s="36" t="s">
        <v>639</v>
      </c>
      <c r="G374" s="28" t="s">
        <v>32</v>
      </c>
      <c r="H374" s="34" t="s">
        <v>12</v>
      </c>
      <c r="I374" s="29" t="s">
        <v>149</v>
      </c>
      <c r="J374" s="34" t="s">
        <v>151</v>
      </c>
      <c r="K374" s="29">
        <v>32.0</v>
      </c>
      <c r="L374" s="40">
        <v>11.0</v>
      </c>
      <c r="M374" s="41">
        <f t="shared" si="135"/>
        <v>3.097801137</v>
      </c>
      <c r="N374" s="39"/>
      <c r="O374" s="39"/>
      <c r="P374" s="39"/>
      <c r="Q374" s="39"/>
      <c r="R374" s="39"/>
      <c r="S374" s="39"/>
      <c r="T374" s="39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</row>
    <row r="375">
      <c r="A375" s="28" t="str">
        <f t="shared" si="136"/>
        <v/>
      </c>
      <c r="B375" s="34">
        <v>70.0</v>
      </c>
      <c r="C375" s="29" t="s">
        <v>77</v>
      </c>
      <c r="D375" s="35" t="str">
        <f t="shared" si="133"/>
        <v>Noh et al., 2011</v>
      </c>
      <c r="E375" s="36" t="s">
        <v>638</v>
      </c>
      <c r="F375" s="36" t="s">
        <v>639</v>
      </c>
      <c r="G375" s="28" t="s">
        <v>102</v>
      </c>
      <c r="H375" s="34" t="s">
        <v>12</v>
      </c>
      <c r="I375" s="29" t="s">
        <v>92</v>
      </c>
      <c r="J375" s="34" t="s">
        <v>220</v>
      </c>
      <c r="K375" s="29"/>
      <c r="L375" s="41"/>
      <c r="M375" s="38"/>
      <c r="N375" s="39"/>
      <c r="O375" s="39"/>
      <c r="P375" s="39"/>
      <c r="Q375" s="39"/>
      <c r="R375" s="39"/>
      <c r="S375" s="39"/>
      <c r="T375" s="39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</row>
    <row r="376">
      <c r="A376" s="28">
        <f t="shared" si="136"/>
        <v>375</v>
      </c>
      <c r="B376" s="34">
        <v>70.0</v>
      </c>
      <c r="C376" s="29" t="s">
        <v>77</v>
      </c>
      <c r="D376" s="35" t="str">
        <f t="shared" si="133"/>
        <v>Noh et al., 2011</v>
      </c>
      <c r="E376" s="36" t="s">
        <v>638</v>
      </c>
      <c r="F376" s="36" t="s">
        <v>639</v>
      </c>
      <c r="G376" s="28" t="s">
        <v>32</v>
      </c>
      <c r="H376" s="34" t="s">
        <v>12</v>
      </c>
      <c r="I376" s="29" t="s">
        <v>92</v>
      </c>
      <c r="J376" s="34" t="s">
        <v>96</v>
      </c>
      <c r="K376" s="29">
        <v>32.0</v>
      </c>
      <c r="L376" s="38">
        <v>6.0</v>
      </c>
      <c r="M376" s="38">
        <f t="shared" ref="M376:M377" si="137">iferror(RANGE_SD(K376,N376,R376),"")</f>
        <v>1.209640893</v>
      </c>
      <c r="N376" s="29">
        <v>4.0</v>
      </c>
      <c r="O376" s="39"/>
      <c r="P376" s="39"/>
      <c r="Q376" s="39"/>
      <c r="R376" s="29">
        <v>9.0</v>
      </c>
      <c r="S376" s="39"/>
      <c r="T376" s="39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</row>
    <row r="377">
      <c r="A377" s="28">
        <f t="shared" si="136"/>
        <v>376</v>
      </c>
      <c r="B377" s="34">
        <v>70.0</v>
      </c>
      <c r="C377" s="29" t="s">
        <v>77</v>
      </c>
      <c r="D377" s="35" t="str">
        <f t="shared" si="133"/>
        <v>Noh et al., 2011</v>
      </c>
      <c r="E377" s="36" t="s">
        <v>638</v>
      </c>
      <c r="F377" s="36" t="s">
        <v>639</v>
      </c>
      <c r="G377" s="28" t="s">
        <v>32</v>
      </c>
      <c r="H377" s="34" t="s">
        <v>12</v>
      </c>
      <c r="I377" s="29" t="s">
        <v>92</v>
      </c>
      <c r="J377" s="34" t="s">
        <v>226</v>
      </c>
      <c r="K377" s="29">
        <v>32.0</v>
      </c>
      <c r="L377" s="38">
        <v>99.0</v>
      </c>
      <c r="M377" s="38">
        <f t="shared" si="137"/>
        <v>3.628922678</v>
      </c>
      <c r="N377" s="29">
        <v>85.0</v>
      </c>
      <c r="O377" s="39"/>
      <c r="P377" s="39"/>
      <c r="Q377" s="39"/>
      <c r="R377" s="29">
        <v>100.0</v>
      </c>
      <c r="S377" s="39"/>
      <c r="T377" s="39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</row>
    <row r="378">
      <c r="A378" s="28" t="str">
        <f t="shared" si="136"/>
        <v/>
      </c>
      <c r="B378" s="34">
        <v>70.0</v>
      </c>
      <c r="C378" s="29" t="s">
        <v>77</v>
      </c>
      <c r="D378" s="35" t="str">
        <f t="shared" si="133"/>
        <v>Noh et al., 2011</v>
      </c>
      <c r="E378" s="36" t="s">
        <v>638</v>
      </c>
      <c r="F378" s="36" t="s">
        <v>639</v>
      </c>
      <c r="G378" s="28" t="s">
        <v>102</v>
      </c>
      <c r="H378" s="34" t="s">
        <v>12</v>
      </c>
      <c r="I378" s="29" t="s">
        <v>92</v>
      </c>
      <c r="J378" s="34" t="s">
        <v>185</v>
      </c>
      <c r="K378" s="29"/>
      <c r="L378" s="41"/>
      <c r="M378" s="38"/>
      <c r="N378" s="39"/>
      <c r="O378" s="39"/>
      <c r="P378" s="39"/>
      <c r="Q378" s="39"/>
      <c r="R378" s="39"/>
      <c r="S378" s="39"/>
      <c r="T378" s="39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</row>
    <row r="379">
      <c r="A379" s="28">
        <f t="shared" si="136"/>
        <v>378</v>
      </c>
      <c r="B379" s="34">
        <v>70.0</v>
      </c>
      <c r="C379" s="29" t="s">
        <v>77</v>
      </c>
      <c r="D379" s="35" t="str">
        <f t="shared" si="133"/>
        <v>Noh et al., 2011</v>
      </c>
      <c r="E379" s="36" t="s">
        <v>638</v>
      </c>
      <c r="F379" s="36" t="s">
        <v>639</v>
      </c>
      <c r="G379" s="28" t="s">
        <v>32</v>
      </c>
      <c r="H379" s="34" t="s">
        <v>12</v>
      </c>
      <c r="I379" s="29" t="s">
        <v>149</v>
      </c>
      <c r="J379" s="34" t="s">
        <v>173</v>
      </c>
      <c r="K379" s="29">
        <v>32.0</v>
      </c>
      <c r="L379" s="40">
        <v>6.0</v>
      </c>
      <c r="M379" s="41">
        <f t="shared" ref="M379:M380" si="138">iferror(P_SD(K379,L379),"")</f>
        <v>1.414213562</v>
      </c>
      <c r="N379" s="39"/>
      <c r="O379" s="39"/>
      <c r="P379" s="39"/>
      <c r="Q379" s="39"/>
      <c r="R379" s="39"/>
      <c r="S379" s="39"/>
      <c r="T379" s="39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</row>
    <row r="380">
      <c r="A380" s="28">
        <v>358.0</v>
      </c>
      <c r="B380" s="34">
        <v>70.0</v>
      </c>
      <c r="C380" s="29" t="s">
        <v>77</v>
      </c>
      <c r="D380" s="35" t="str">
        <f t="shared" si="133"/>
        <v>Noh et al., 2011</v>
      </c>
      <c r="E380" s="36" t="s">
        <v>638</v>
      </c>
      <c r="F380" s="36" t="s">
        <v>639</v>
      </c>
      <c r="G380" s="28" t="s">
        <v>102</v>
      </c>
      <c r="H380" s="34" t="s">
        <v>12</v>
      </c>
      <c r="I380" s="29" t="s">
        <v>149</v>
      </c>
      <c r="J380" s="34" t="s">
        <v>308</v>
      </c>
      <c r="K380" s="29"/>
      <c r="L380" s="43"/>
      <c r="M380" s="41" t="str">
        <f t="shared" si="138"/>
        <v/>
      </c>
      <c r="N380" s="39"/>
      <c r="O380" s="39"/>
      <c r="P380" s="39"/>
      <c r="Q380" s="39"/>
      <c r="R380" s="39"/>
      <c r="S380" s="39"/>
      <c r="T380" s="39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</row>
    <row r="381">
      <c r="A381" s="28" t="str">
        <f t="shared" ref="A381:A422" si="139">if(G381="Included",row(A381)-1,"")</f>
        <v/>
      </c>
      <c r="B381" s="34">
        <v>72.0</v>
      </c>
      <c r="C381" s="29" t="s">
        <v>77</v>
      </c>
      <c r="D381" s="35" t="str">
        <f t="shared" ref="D381:D386" si="140">HYPERLINK("https://github.com/d-wkim/phd/blob/main/data/pdf/oneill_1996.pdf","Oneill et al., 1996")</f>
        <v>Oneill et al., 1996</v>
      </c>
      <c r="E381" s="36" t="s">
        <v>640</v>
      </c>
      <c r="F381" s="36" t="s">
        <v>641</v>
      </c>
      <c r="G381" s="28" t="s">
        <v>102</v>
      </c>
      <c r="H381" s="34" t="s">
        <v>2</v>
      </c>
      <c r="I381" s="29" t="s">
        <v>92</v>
      </c>
      <c r="J381" s="34" t="s">
        <v>220</v>
      </c>
      <c r="K381" s="39"/>
      <c r="L381" s="41"/>
      <c r="M381" s="38"/>
      <c r="N381" s="39"/>
      <c r="O381" s="39"/>
      <c r="P381" s="39"/>
      <c r="Q381" s="39"/>
      <c r="R381" s="39"/>
      <c r="S381" s="39"/>
      <c r="T381" s="39"/>
      <c r="U381" s="9" t="s">
        <v>642</v>
      </c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</row>
    <row r="382">
      <c r="A382" s="28" t="str">
        <f t="shared" si="139"/>
        <v/>
      </c>
      <c r="B382" s="34">
        <v>72.0</v>
      </c>
      <c r="C382" s="29" t="s">
        <v>77</v>
      </c>
      <c r="D382" s="35" t="str">
        <f t="shared" si="140"/>
        <v>Oneill et al., 1996</v>
      </c>
      <c r="E382" s="36" t="s">
        <v>640</v>
      </c>
      <c r="F382" s="36" t="s">
        <v>641</v>
      </c>
      <c r="G382" s="28" t="s">
        <v>102</v>
      </c>
      <c r="H382" s="34" t="s">
        <v>2</v>
      </c>
      <c r="I382" s="29" t="s">
        <v>92</v>
      </c>
      <c r="J382" s="34" t="s">
        <v>226</v>
      </c>
      <c r="K382" s="39"/>
      <c r="L382" s="41"/>
      <c r="M382" s="38"/>
      <c r="N382" s="39"/>
      <c r="O382" s="39"/>
      <c r="P382" s="39"/>
      <c r="Q382" s="39"/>
      <c r="R382" s="39"/>
      <c r="S382" s="39"/>
      <c r="T382" s="39"/>
      <c r="U382" s="9" t="s">
        <v>642</v>
      </c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</row>
    <row r="383">
      <c r="A383" s="28" t="str">
        <f t="shared" si="139"/>
        <v/>
      </c>
      <c r="B383" s="34">
        <v>72.0</v>
      </c>
      <c r="C383" s="29" t="s">
        <v>77</v>
      </c>
      <c r="D383" s="35" t="str">
        <f t="shared" si="140"/>
        <v>Oneill et al., 1996</v>
      </c>
      <c r="E383" s="36" t="s">
        <v>640</v>
      </c>
      <c r="F383" s="36" t="s">
        <v>641</v>
      </c>
      <c r="G383" s="28" t="s">
        <v>102</v>
      </c>
      <c r="H383" s="34" t="s">
        <v>2</v>
      </c>
      <c r="I383" s="29" t="s">
        <v>92</v>
      </c>
      <c r="J383" s="34" t="s">
        <v>185</v>
      </c>
      <c r="K383" s="39"/>
      <c r="L383" s="41"/>
      <c r="M383" s="38"/>
      <c r="N383" s="39"/>
      <c r="O383" s="39"/>
      <c r="P383" s="39"/>
      <c r="Q383" s="39"/>
      <c r="R383" s="39"/>
      <c r="S383" s="39"/>
      <c r="T383" s="39"/>
      <c r="U383" s="9" t="s">
        <v>642</v>
      </c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</row>
    <row r="384">
      <c r="A384" s="28" t="str">
        <f t="shared" si="139"/>
        <v/>
      </c>
      <c r="B384" s="34">
        <v>72.0</v>
      </c>
      <c r="C384" s="29" t="s">
        <v>77</v>
      </c>
      <c r="D384" s="35" t="str">
        <f t="shared" si="140"/>
        <v>Oneill et al., 1996</v>
      </c>
      <c r="E384" s="36" t="s">
        <v>640</v>
      </c>
      <c r="F384" s="36" t="s">
        <v>641</v>
      </c>
      <c r="G384" s="28" t="s">
        <v>102</v>
      </c>
      <c r="H384" s="34" t="s">
        <v>9</v>
      </c>
      <c r="I384" s="29" t="s">
        <v>92</v>
      </c>
      <c r="J384" s="34" t="s">
        <v>220</v>
      </c>
      <c r="K384" s="39"/>
      <c r="L384" s="41"/>
      <c r="M384" s="38"/>
      <c r="N384" s="39"/>
      <c r="O384" s="39"/>
      <c r="P384" s="39"/>
      <c r="Q384" s="39"/>
      <c r="R384" s="39"/>
      <c r="S384" s="39"/>
      <c r="T384" s="39"/>
      <c r="U384" s="9" t="s">
        <v>642</v>
      </c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</row>
    <row r="385">
      <c r="A385" s="28" t="str">
        <f t="shared" si="139"/>
        <v/>
      </c>
      <c r="B385" s="34">
        <v>72.0</v>
      </c>
      <c r="C385" s="29" t="s">
        <v>77</v>
      </c>
      <c r="D385" s="35" t="str">
        <f t="shared" si="140"/>
        <v>Oneill et al., 1996</v>
      </c>
      <c r="E385" s="36" t="s">
        <v>640</v>
      </c>
      <c r="F385" s="36" t="s">
        <v>641</v>
      </c>
      <c r="G385" s="28" t="s">
        <v>102</v>
      </c>
      <c r="H385" s="34" t="s">
        <v>9</v>
      </c>
      <c r="I385" s="29" t="s">
        <v>92</v>
      </c>
      <c r="J385" s="34" t="s">
        <v>226</v>
      </c>
      <c r="K385" s="39"/>
      <c r="L385" s="41"/>
      <c r="M385" s="38"/>
      <c r="N385" s="39"/>
      <c r="O385" s="39"/>
      <c r="P385" s="39"/>
      <c r="Q385" s="39"/>
      <c r="R385" s="39"/>
      <c r="S385" s="39"/>
      <c r="T385" s="39"/>
      <c r="U385" s="9" t="s">
        <v>642</v>
      </c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</row>
    <row r="386">
      <c r="A386" s="28" t="str">
        <f t="shared" si="139"/>
        <v/>
      </c>
      <c r="B386" s="34">
        <v>72.0</v>
      </c>
      <c r="C386" s="29" t="s">
        <v>77</v>
      </c>
      <c r="D386" s="35" t="str">
        <f t="shared" si="140"/>
        <v>Oneill et al., 1996</v>
      </c>
      <c r="E386" s="36" t="s">
        <v>640</v>
      </c>
      <c r="F386" s="36" t="s">
        <v>641</v>
      </c>
      <c r="G386" s="28" t="s">
        <v>102</v>
      </c>
      <c r="H386" s="34" t="s">
        <v>9</v>
      </c>
      <c r="I386" s="29" t="s">
        <v>92</v>
      </c>
      <c r="J386" s="34" t="s">
        <v>185</v>
      </c>
      <c r="K386" s="39"/>
      <c r="L386" s="41"/>
      <c r="M386" s="38"/>
      <c r="N386" s="39"/>
      <c r="O386" s="39"/>
      <c r="P386" s="39"/>
      <c r="Q386" s="39"/>
      <c r="R386" s="39"/>
      <c r="S386" s="39"/>
      <c r="T386" s="39"/>
      <c r="U386" s="9" t="s">
        <v>642</v>
      </c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</row>
    <row r="387">
      <c r="A387" s="28">
        <f t="shared" si="139"/>
        <v>386</v>
      </c>
      <c r="B387" s="34">
        <v>73.0</v>
      </c>
      <c r="C387" s="29" t="s">
        <v>77</v>
      </c>
      <c r="D387" s="35" t="str">
        <f t="shared" ref="D387:D390" si="141">HYPERLINK("https://github.com/d-wkim/phd/blob/main/data/pdf/papalia_2015.pdf","Papalia et al., 2015")</f>
        <v>Papalia et al., 2015</v>
      </c>
      <c r="E387" s="36" t="s">
        <v>643</v>
      </c>
      <c r="F387" s="36" t="s">
        <v>644</v>
      </c>
      <c r="G387" s="28" t="s">
        <v>32</v>
      </c>
      <c r="H387" s="34" t="s">
        <v>2</v>
      </c>
      <c r="I387" s="29" t="s">
        <v>92</v>
      </c>
      <c r="J387" s="34" t="s">
        <v>220</v>
      </c>
      <c r="K387" s="29">
        <v>20.0</v>
      </c>
      <c r="L387" s="38">
        <v>86.9</v>
      </c>
      <c r="M387" s="38">
        <v>11.7</v>
      </c>
      <c r="N387" s="39"/>
      <c r="O387" s="39"/>
      <c r="P387" s="39"/>
      <c r="Q387" s="39"/>
      <c r="R387" s="39"/>
      <c r="S387" s="39"/>
      <c r="T387" s="39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</row>
    <row r="388">
      <c r="A388" s="28">
        <f t="shared" si="139"/>
        <v>387</v>
      </c>
      <c r="B388" s="34">
        <v>73.0</v>
      </c>
      <c r="C388" s="29" t="s">
        <v>77</v>
      </c>
      <c r="D388" s="35" t="str">
        <f t="shared" si="141"/>
        <v>Papalia et al., 2015</v>
      </c>
      <c r="E388" s="36" t="s">
        <v>643</v>
      </c>
      <c r="F388" s="36" t="s">
        <v>644</v>
      </c>
      <c r="G388" s="28" t="s">
        <v>32</v>
      </c>
      <c r="H388" s="34" t="s">
        <v>2</v>
      </c>
      <c r="I388" s="29" t="s">
        <v>92</v>
      </c>
      <c r="J388" s="34" t="s">
        <v>226</v>
      </c>
      <c r="K388" s="29">
        <v>20.0</v>
      </c>
      <c r="L388" s="38">
        <v>87.4</v>
      </c>
      <c r="M388" s="38">
        <v>13.8</v>
      </c>
      <c r="N388" s="29"/>
      <c r="O388" s="39"/>
      <c r="P388" s="39"/>
      <c r="Q388" s="39"/>
      <c r="R388" s="29"/>
      <c r="S388" s="39"/>
      <c r="T388" s="39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</row>
    <row r="389">
      <c r="A389" s="28">
        <f t="shared" si="139"/>
        <v>388</v>
      </c>
      <c r="B389" s="34">
        <v>73.0</v>
      </c>
      <c r="C389" s="29" t="s">
        <v>77</v>
      </c>
      <c r="D389" s="35" t="str">
        <f t="shared" si="141"/>
        <v>Papalia et al., 2015</v>
      </c>
      <c r="E389" s="36" t="s">
        <v>643</v>
      </c>
      <c r="F389" s="36" t="s">
        <v>644</v>
      </c>
      <c r="G389" s="28" t="s">
        <v>32</v>
      </c>
      <c r="H389" s="34" t="s">
        <v>9</v>
      </c>
      <c r="I389" s="29" t="s">
        <v>92</v>
      </c>
      <c r="J389" s="34" t="s">
        <v>220</v>
      </c>
      <c r="K389" s="29">
        <v>20.0</v>
      </c>
      <c r="L389" s="38">
        <v>90.97</v>
      </c>
      <c r="M389" s="38">
        <v>5.1</v>
      </c>
      <c r="N389" s="39"/>
      <c r="O389" s="39"/>
      <c r="P389" s="39"/>
      <c r="Q389" s="39"/>
      <c r="R389" s="39"/>
      <c r="S389" s="39"/>
      <c r="T389" s="39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</row>
    <row r="390">
      <c r="A390" s="28">
        <f t="shared" si="139"/>
        <v>389</v>
      </c>
      <c r="B390" s="34">
        <v>73.0</v>
      </c>
      <c r="C390" s="29" t="s">
        <v>77</v>
      </c>
      <c r="D390" s="35" t="str">
        <f t="shared" si="141"/>
        <v>Papalia et al., 2015</v>
      </c>
      <c r="E390" s="36" t="s">
        <v>643</v>
      </c>
      <c r="F390" s="36" t="s">
        <v>644</v>
      </c>
      <c r="G390" s="28" t="s">
        <v>32</v>
      </c>
      <c r="H390" s="34" t="s">
        <v>9</v>
      </c>
      <c r="I390" s="29" t="s">
        <v>92</v>
      </c>
      <c r="J390" s="34" t="s">
        <v>226</v>
      </c>
      <c r="K390" s="29">
        <v>20.0</v>
      </c>
      <c r="L390" s="38">
        <v>93.17</v>
      </c>
      <c r="M390" s="38">
        <v>10.3</v>
      </c>
      <c r="N390" s="29"/>
      <c r="O390" s="39"/>
      <c r="P390" s="39"/>
      <c r="Q390" s="39"/>
      <c r="R390" s="29"/>
      <c r="S390" s="39"/>
      <c r="T390" s="39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</row>
    <row r="391" hidden="1">
      <c r="A391" s="28">
        <f t="shared" si="139"/>
        <v>390</v>
      </c>
      <c r="B391" s="34">
        <v>76.0</v>
      </c>
      <c r="C391" s="29" t="s">
        <v>77</v>
      </c>
      <c r="D391" s="35" t="str">
        <f t="shared" ref="D391:D400" si="142">HYPERLINK("https://github.com/d-wkim/phd/blob/main/data/pdf/pinczewski_2007.pdf","Pinczewski et al., 2007")</f>
        <v>Pinczewski et al., 2007</v>
      </c>
      <c r="E391" s="36" t="s">
        <v>645</v>
      </c>
      <c r="F391" s="36" t="s">
        <v>646</v>
      </c>
      <c r="G391" s="28" t="s">
        <v>32</v>
      </c>
      <c r="H391" s="34" t="s">
        <v>2</v>
      </c>
      <c r="I391" s="29" t="s">
        <v>92</v>
      </c>
      <c r="J391" s="34" t="s">
        <v>220</v>
      </c>
      <c r="K391" s="39"/>
      <c r="L391" s="41"/>
      <c r="M391" s="38"/>
      <c r="N391" s="39"/>
      <c r="O391" s="39"/>
      <c r="P391" s="39"/>
      <c r="Q391" s="39"/>
      <c r="R391" s="39"/>
      <c r="S391" s="39"/>
      <c r="T391" s="39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</row>
    <row r="392" hidden="1">
      <c r="A392" s="28">
        <f t="shared" si="139"/>
        <v>391</v>
      </c>
      <c r="B392" s="34">
        <v>76.0</v>
      </c>
      <c r="C392" s="29" t="s">
        <v>77</v>
      </c>
      <c r="D392" s="35" t="str">
        <f t="shared" si="142"/>
        <v>Pinczewski et al., 2007</v>
      </c>
      <c r="E392" s="36" t="s">
        <v>645</v>
      </c>
      <c r="F392" s="36" t="s">
        <v>646</v>
      </c>
      <c r="G392" s="28" t="s">
        <v>32</v>
      </c>
      <c r="H392" s="34" t="s">
        <v>2</v>
      </c>
      <c r="I392" s="29" t="s">
        <v>92</v>
      </c>
      <c r="J392" s="34" t="s">
        <v>226</v>
      </c>
      <c r="K392" s="39"/>
      <c r="L392" s="41"/>
      <c r="M392" s="38"/>
      <c r="N392" s="39"/>
      <c r="O392" s="39"/>
      <c r="P392" s="39"/>
      <c r="Q392" s="39"/>
      <c r="R392" s="39"/>
      <c r="S392" s="39"/>
      <c r="T392" s="39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</row>
    <row r="393" hidden="1">
      <c r="A393" s="28">
        <f t="shared" si="139"/>
        <v>392</v>
      </c>
      <c r="B393" s="34">
        <v>76.0</v>
      </c>
      <c r="C393" s="29" t="s">
        <v>635</v>
      </c>
      <c r="D393" s="35" t="str">
        <f t="shared" si="142"/>
        <v>Pinczewski et al., 2007</v>
      </c>
      <c r="E393" s="36" t="s">
        <v>645</v>
      </c>
      <c r="F393" s="36" t="s">
        <v>646</v>
      </c>
      <c r="G393" s="28" t="s">
        <v>32</v>
      </c>
      <c r="H393" s="34" t="s">
        <v>2</v>
      </c>
      <c r="I393" s="29" t="s">
        <v>149</v>
      </c>
      <c r="J393" s="34" t="s">
        <v>151</v>
      </c>
      <c r="K393" s="39"/>
      <c r="L393" s="43"/>
      <c r="M393" s="41" t="str">
        <f t="shared" ref="M393:M394" si="143">iferror(P_SD(K393,L393),"")</f>
        <v/>
      </c>
      <c r="N393" s="39"/>
      <c r="O393" s="39"/>
      <c r="P393" s="39"/>
      <c r="Q393" s="39"/>
      <c r="R393" s="39"/>
      <c r="S393" s="39"/>
      <c r="T393" s="39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</row>
    <row r="394" hidden="1">
      <c r="A394" s="28">
        <f t="shared" si="139"/>
        <v>393</v>
      </c>
      <c r="B394" s="34">
        <v>76.0</v>
      </c>
      <c r="C394" s="29" t="s">
        <v>635</v>
      </c>
      <c r="D394" s="35" t="str">
        <f t="shared" si="142"/>
        <v>Pinczewski et al., 2007</v>
      </c>
      <c r="E394" s="36" t="s">
        <v>645</v>
      </c>
      <c r="F394" s="36" t="s">
        <v>646</v>
      </c>
      <c r="G394" s="28" t="s">
        <v>32</v>
      </c>
      <c r="H394" s="34" t="s">
        <v>2</v>
      </c>
      <c r="I394" s="29" t="s">
        <v>149</v>
      </c>
      <c r="J394" s="34" t="s">
        <v>173</v>
      </c>
      <c r="K394" s="39"/>
      <c r="L394" s="43"/>
      <c r="M394" s="41" t="str">
        <f t="shared" si="143"/>
        <v/>
      </c>
      <c r="N394" s="39"/>
      <c r="O394" s="39"/>
      <c r="P394" s="39"/>
      <c r="Q394" s="39"/>
      <c r="R394" s="39"/>
      <c r="S394" s="39"/>
      <c r="T394" s="39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</row>
    <row r="395" hidden="1">
      <c r="A395" s="28">
        <f t="shared" si="139"/>
        <v>394</v>
      </c>
      <c r="B395" s="34">
        <v>76.0</v>
      </c>
      <c r="C395" s="29" t="s">
        <v>77</v>
      </c>
      <c r="D395" s="35" t="str">
        <f t="shared" si="142"/>
        <v>Pinczewski et al., 2007</v>
      </c>
      <c r="E395" s="36" t="s">
        <v>645</v>
      </c>
      <c r="F395" s="36" t="s">
        <v>646</v>
      </c>
      <c r="G395" s="28" t="s">
        <v>32</v>
      </c>
      <c r="H395" s="34" t="s">
        <v>2</v>
      </c>
      <c r="I395" s="29" t="s">
        <v>92</v>
      </c>
      <c r="J395" s="34" t="s">
        <v>185</v>
      </c>
      <c r="K395" s="39"/>
      <c r="L395" s="41"/>
      <c r="M395" s="38"/>
      <c r="N395" s="39"/>
      <c r="O395" s="39"/>
      <c r="P395" s="39"/>
      <c r="Q395" s="39"/>
      <c r="R395" s="39"/>
      <c r="S395" s="39"/>
      <c r="T395" s="39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</row>
    <row r="396" hidden="1">
      <c r="A396" s="28">
        <f t="shared" si="139"/>
        <v>395</v>
      </c>
      <c r="B396" s="34">
        <v>76.0</v>
      </c>
      <c r="C396" s="29" t="s">
        <v>77</v>
      </c>
      <c r="D396" s="35" t="str">
        <f t="shared" si="142"/>
        <v>Pinczewski et al., 2007</v>
      </c>
      <c r="E396" s="36" t="s">
        <v>645</v>
      </c>
      <c r="F396" s="36" t="s">
        <v>646</v>
      </c>
      <c r="G396" s="28" t="s">
        <v>32</v>
      </c>
      <c r="H396" s="34" t="s">
        <v>9</v>
      </c>
      <c r="I396" s="29" t="s">
        <v>92</v>
      </c>
      <c r="J396" s="34" t="s">
        <v>220</v>
      </c>
      <c r="K396" s="39"/>
      <c r="L396" s="41"/>
      <c r="M396" s="38"/>
      <c r="N396" s="39"/>
      <c r="O396" s="39"/>
      <c r="P396" s="39"/>
      <c r="Q396" s="39"/>
      <c r="R396" s="39"/>
      <c r="S396" s="39"/>
      <c r="T396" s="39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</row>
    <row r="397" hidden="1">
      <c r="A397" s="28">
        <f t="shared" si="139"/>
        <v>396</v>
      </c>
      <c r="B397" s="34">
        <v>76.0</v>
      </c>
      <c r="C397" s="29" t="s">
        <v>77</v>
      </c>
      <c r="D397" s="35" t="str">
        <f t="shared" si="142"/>
        <v>Pinczewski et al., 2007</v>
      </c>
      <c r="E397" s="36" t="s">
        <v>645</v>
      </c>
      <c r="F397" s="36" t="s">
        <v>646</v>
      </c>
      <c r="G397" s="28" t="s">
        <v>32</v>
      </c>
      <c r="H397" s="34" t="s">
        <v>9</v>
      </c>
      <c r="I397" s="29" t="s">
        <v>92</v>
      </c>
      <c r="J397" s="34" t="s">
        <v>226</v>
      </c>
      <c r="K397" s="39"/>
      <c r="L397" s="41"/>
      <c r="M397" s="38"/>
      <c r="N397" s="39"/>
      <c r="O397" s="39"/>
      <c r="P397" s="39"/>
      <c r="Q397" s="39"/>
      <c r="R397" s="39"/>
      <c r="S397" s="39"/>
      <c r="T397" s="39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</row>
    <row r="398" hidden="1">
      <c r="A398" s="28">
        <f t="shared" si="139"/>
        <v>397</v>
      </c>
      <c r="B398" s="34">
        <v>76.0</v>
      </c>
      <c r="C398" s="29" t="s">
        <v>635</v>
      </c>
      <c r="D398" s="35" t="str">
        <f t="shared" si="142"/>
        <v>Pinczewski et al., 2007</v>
      </c>
      <c r="E398" s="36" t="s">
        <v>645</v>
      </c>
      <c r="F398" s="36" t="s">
        <v>646</v>
      </c>
      <c r="G398" s="28" t="s">
        <v>32</v>
      </c>
      <c r="H398" s="34" t="s">
        <v>9</v>
      </c>
      <c r="I398" s="29" t="s">
        <v>149</v>
      </c>
      <c r="J398" s="34" t="s">
        <v>151</v>
      </c>
      <c r="K398" s="39"/>
      <c r="L398" s="43"/>
      <c r="M398" s="41" t="str">
        <f t="shared" ref="M398:M399" si="144">iferror(P_SD(K398,L398),"")</f>
        <v/>
      </c>
      <c r="N398" s="39"/>
      <c r="O398" s="39"/>
      <c r="P398" s="39"/>
      <c r="Q398" s="39"/>
      <c r="R398" s="39"/>
      <c r="S398" s="39"/>
      <c r="T398" s="39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</row>
    <row r="399" hidden="1">
      <c r="A399" s="28">
        <f t="shared" si="139"/>
        <v>398</v>
      </c>
      <c r="B399" s="34">
        <v>76.0</v>
      </c>
      <c r="C399" s="29" t="s">
        <v>635</v>
      </c>
      <c r="D399" s="35" t="str">
        <f t="shared" si="142"/>
        <v>Pinczewski et al., 2007</v>
      </c>
      <c r="E399" s="36" t="s">
        <v>645</v>
      </c>
      <c r="F399" s="36" t="s">
        <v>646</v>
      </c>
      <c r="G399" s="28" t="s">
        <v>32</v>
      </c>
      <c r="H399" s="34" t="s">
        <v>9</v>
      </c>
      <c r="I399" s="29" t="s">
        <v>149</v>
      </c>
      <c r="J399" s="34" t="s">
        <v>173</v>
      </c>
      <c r="K399" s="39"/>
      <c r="L399" s="43"/>
      <c r="M399" s="41" t="str">
        <f t="shared" si="144"/>
        <v/>
      </c>
      <c r="N399" s="39"/>
      <c r="O399" s="39"/>
      <c r="P399" s="39"/>
      <c r="Q399" s="39"/>
      <c r="R399" s="39"/>
      <c r="S399" s="39"/>
      <c r="T399" s="39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</row>
    <row r="400" hidden="1">
      <c r="A400" s="28">
        <f t="shared" si="139"/>
        <v>399</v>
      </c>
      <c r="B400" s="34">
        <v>76.0</v>
      </c>
      <c r="C400" s="29" t="s">
        <v>77</v>
      </c>
      <c r="D400" s="35" t="str">
        <f t="shared" si="142"/>
        <v>Pinczewski et al., 2007</v>
      </c>
      <c r="E400" s="36" t="s">
        <v>645</v>
      </c>
      <c r="F400" s="36" t="s">
        <v>646</v>
      </c>
      <c r="G400" s="28" t="s">
        <v>32</v>
      </c>
      <c r="H400" s="34" t="s">
        <v>9</v>
      </c>
      <c r="I400" s="29" t="s">
        <v>92</v>
      </c>
      <c r="J400" s="34" t="s">
        <v>185</v>
      </c>
      <c r="K400" s="39"/>
      <c r="L400" s="41"/>
      <c r="M400" s="38"/>
      <c r="N400" s="39"/>
      <c r="O400" s="39"/>
      <c r="P400" s="39"/>
      <c r="Q400" s="39"/>
      <c r="R400" s="39"/>
      <c r="S400" s="39"/>
      <c r="T400" s="39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</row>
    <row r="401">
      <c r="A401" s="28">
        <f t="shared" si="139"/>
        <v>400</v>
      </c>
      <c r="B401" s="34">
        <v>77.0</v>
      </c>
      <c r="C401" s="29" t="s">
        <v>77</v>
      </c>
      <c r="D401" s="35" t="str">
        <f t="shared" ref="D401:D412" si="145">HYPERLINK("https://github.com/d-wkim/phd/blob/main/data/pdf/popovic_2024.pdf","Popovic et al., 2024")</f>
        <v>Popovic et al., 2024</v>
      </c>
      <c r="E401" s="36" t="s">
        <v>647</v>
      </c>
      <c r="F401" s="36" t="s">
        <v>648</v>
      </c>
      <c r="G401" s="28" t="s">
        <v>32</v>
      </c>
      <c r="H401" s="34" t="s">
        <v>2</v>
      </c>
      <c r="I401" s="29" t="s">
        <v>92</v>
      </c>
      <c r="J401" s="34" t="s">
        <v>226</v>
      </c>
      <c r="K401" s="29">
        <v>38.0</v>
      </c>
      <c r="L401" s="38">
        <v>82.0</v>
      </c>
      <c r="M401" s="38">
        <f t="shared" ref="M401:M402" si="146">iferror(RANGE_SD(K401,N401,R401),"")</f>
        <v>15.44946704</v>
      </c>
      <c r="N401" s="29">
        <v>34.0</v>
      </c>
      <c r="O401" s="39"/>
      <c r="P401" s="39"/>
      <c r="Q401" s="39"/>
      <c r="R401" s="29">
        <v>100.0</v>
      </c>
      <c r="S401" s="39"/>
      <c r="T401" s="39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</row>
    <row r="402">
      <c r="A402" s="28">
        <f t="shared" si="139"/>
        <v>401</v>
      </c>
      <c r="B402" s="34">
        <v>77.0</v>
      </c>
      <c r="C402" s="29" t="s">
        <v>77</v>
      </c>
      <c r="D402" s="35" t="str">
        <f t="shared" si="145"/>
        <v>Popovic et al., 2024</v>
      </c>
      <c r="E402" s="36" t="s">
        <v>647</v>
      </c>
      <c r="F402" s="36" t="s">
        <v>648</v>
      </c>
      <c r="G402" s="28" t="s">
        <v>32</v>
      </c>
      <c r="H402" s="34" t="s">
        <v>2</v>
      </c>
      <c r="I402" s="29" t="s">
        <v>92</v>
      </c>
      <c r="J402" s="34" t="s">
        <v>96</v>
      </c>
      <c r="K402" s="29">
        <v>38.0</v>
      </c>
      <c r="L402" s="38">
        <v>4.0</v>
      </c>
      <c r="M402" s="38">
        <f t="shared" si="146"/>
        <v>1.638579837</v>
      </c>
      <c r="N402" s="29">
        <v>0.0</v>
      </c>
      <c r="O402" s="39"/>
      <c r="P402" s="39"/>
      <c r="Q402" s="39"/>
      <c r="R402" s="29">
        <v>7.0</v>
      </c>
      <c r="S402" s="39"/>
      <c r="T402" s="39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</row>
    <row r="403">
      <c r="A403" s="28">
        <f t="shared" si="139"/>
        <v>402</v>
      </c>
      <c r="B403" s="34">
        <v>77.0</v>
      </c>
      <c r="C403" s="29" t="s">
        <v>77</v>
      </c>
      <c r="D403" s="35" t="str">
        <f t="shared" si="145"/>
        <v>Popovic et al., 2024</v>
      </c>
      <c r="E403" s="36" t="s">
        <v>647</v>
      </c>
      <c r="F403" s="36" t="s">
        <v>648</v>
      </c>
      <c r="G403" s="28" t="s">
        <v>32</v>
      </c>
      <c r="H403" s="34" t="s">
        <v>2</v>
      </c>
      <c r="I403" s="29" t="s">
        <v>92</v>
      </c>
      <c r="J403" s="34" t="s">
        <v>185</v>
      </c>
      <c r="K403" s="29">
        <v>38.0</v>
      </c>
      <c r="L403" s="38">
        <v>1.3</v>
      </c>
      <c r="M403" s="38">
        <v>2.2</v>
      </c>
      <c r="N403" s="29">
        <v>-3.0</v>
      </c>
      <c r="O403" s="39"/>
      <c r="P403" s="39"/>
      <c r="Q403" s="39"/>
      <c r="R403" s="29">
        <v>5.0</v>
      </c>
      <c r="S403" s="39"/>
      <c r="T403" s="39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</row>
    <row r="404">
      <c r="A404" s="28">
        <f t="shared" si="139"/>
        <v>403</v>
      </c>
      <c r="B404" s="34">
        <v>77.0</v>
      </c>
      <c r="C404" s="29" t="s">
        <v>77</v>
      </c>
      <c r="D404" s="35" t="str">
        <f t="shared" si="145"/>
        <v>Popovic et al., 2024</v>
      </c>
      <c r="E404" s="36" t="s">
        <v>647</v>
      </c>
      <c r="F404" s="36" t="s">
        <v>648</v>
      </c>
      <c r="G404" s="28" t="s">
        <v>32</v>
      </c>
      <c r="H404" s="34" t="s">
        <v>2</v>
      </c>
      <c r="I404" s="29" t="s">
        <v>149</v>
      </c>
      <c r="J404" s="34" t="s">
        <v>173</v>
      </c>
      <c r="K404" s="29">
        <v>38.0</v>
      </c>
      <c r="L404" s="40">
        <v>3.0</v>
      </c>
      <c r="M404" s="41">
        <f t="shared" ref="M404:M406" si="147">iferror(P_SD(K404,L404),"")</f>
        <v>0.6164414003</v>
      </c>
      <c r="N404" s="39"/>
      <c r="O404" s="39"/>
      <c r="P404" s="39"/>
      <c r="Q404" s="39"/>
      <c r="R404" s="39"/>
      <c r="S404" s="39"/>
      <c r="T404" s="39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</row>
    <row r="405">
      <c r="A405" s="28">
        <f t="shared" si="139"/>
        <v>404</v>
      </c>
      <c r="B405" s="34">
        <v>77.0</v>
      </c>
      <c r="C405" s="29" t="s">
        <v>635</v>
      </c>
      <c r="D405" s="35" t="str">
        <f t="shared" si="145"/>
        <v>Popovic et al., 2024</v>
      </c>
      <c r="E405" s="36" t="s">
        <v>647</v>
      </c>
      <c r="F405" s="36" t="s">
        <v>648</v>
      </c>
      <c r="G405" s="28" t="s">
        <v>32</v>
      </c>
      <c r="H405" s="34" t="s">
        <v>2</v>
      </c>
      <c r="I405" s="29" t="s">
        <v>149</v>
      </c>
      <c r="J405" s="34" t="s">
        <v>151</v>
      </c>
      <c r="K405" s="29">
        <v>38.0</v>
      </c>
      <c r="L405" s="43"/>
      <c r="M405" s="41">
        <f t="shared" si="147"/>
        <v>0.08111071057</v>
      </c>
      <c r="N405" s="39"/>
      <c r="O405" s="39"/>
      <c r="P405" s="39"/>
      <c r="Q405" s="39"/>
      <c r="R405" s="39"/>
      <c r="S405" s="39"/>
      <c r="T405" s="39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</row>
    <row r="406">
      <c r="A406" s="28">
        <f t="shared" si="139"/>
        <v>405</v>
      </c>
      <c r="B406" s="34">
        <v>77.0</v>
      </c>
      <c r="C406" s="29" t="s">
        <v>635</v>
      </c>
      <c r="D406" s="35" t="str">
        <f t="shared" si="145"/>
        <v>Popovic et al., 2024</v>
      </c>
      <c r="E406" s="36" t="s">
        <v>647</v>
      </c>
      <c r="F406" s="36" t="s">
        <v>648</v>
      </c>
      <c r="G406" s="28" t="s">
        <v>32</v>
      </c>
      <c r="H406" s="34" t="s">
        <v>2</v>
      </c>
      <c r="I406" s="29" t="s">
        <v>149</v>
      </c>
      <c r="J406" s="28" t="s">
        <v>308</v>
      </c>
      <c r="K406" s="29">
        <v>38.0</v>
      </c>
      <c r="L406" s="43"/>
      <c r="M406" s="41">
        <f t="shared" si="147"/>
        <v>0.08111071057</v>
      </c>
      <c r="N406" s="39"/>
      <c r="O406" s="39"/>
      <c r="P406" s="39"/>
      <c r="Q406" s="39"/>
      <c r="R406" s="39"/>
      <c r="S406" s="39"/>
      <c r="T406" s="39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</row>
    <row r="407">
      <c r="A407" s="28">
        <f t="shared" si="139"/>
        <v>406</v>
      </c>
      <c r="B407" s="34">
        <v>77.0</v>
      </c>
      <c r="C407" s="29" t="s">
        <v>77</v>
      </c>
      <c r="D407" s="35" t="str">
        <f t="shared" si="145"/>
        <v>Popovic et al., 2024</v>
      </c>
      <c r="E407" s="36" t="s">
        <v>647</v>
      </c>
      <c r="F407" s="36" t="s">
        <v>648</v>
      </c>
      <c r="G407" s="28" t="s">
        <v>32</v>
      </c>
      <c r="H407" s="34" t="s">
        <v>9</v>
      </c>
      <c r="I407" s="29" t="s">
        <v>92</v>
      </c>
      <c r="J407" s="34" t="s">
        <v>226</v>
      </c>
      <c r="K407" s="29">
        <v>33.0</v>
      </c>
      <c r="L407" s="38">
        <v>85.0</v>
      </c>
      <c r="M407" s="38">
        <f t="shared" ref="M407:M408" si="148">iferror(RANGE_SD(K407,N407,R407),"")</f>
        <v>14.66872057</v>
      </c>
      <c r="N407" s="29">
        <v>39.0</v>
      </c>
      <c r="O407" s="39"/>
      <c r="P407" s="39"/>
      <c r="Q407" s="39"/>
      <c r="R407" s="29">
        <v>100.0</v>
      </c>
      <c r="S407" s="39"/>
      <c r="T407" s="39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</row>
    <row r="408">
      <c r="A408" s="28">
        <f t="shared" si="139"/>
        <v>407</v>
      </c>
      <c r="B408" s="34">
        <v>77.0</v>
      </c>
      <c r="C408" s="29" t="s">
        <v>77</v>
      </c>
      <c r="D408" s="35" t="str">
        <f t="shared" si="145"/>
        <v>Popovic et al., 2024</v>
      </c>
      <c r="E408" s="36" t="s">
        <v>647</v>
      </c>
      <c r="F408" s="36" t="s">
        <v>648</v>
      </c>
      <c r="G408" s="28" t="s">
        <v>32</v>
      </c>
      <c r="H408" s="34" t="s">
        <v>9</v>
      </c>
      <c r="I408" s="29" t="s">
        <v>92</v>
      </c>
      <c r="J408" s="34" t="s">
        <v>96</v>
      </c>
      <c r="K408" s="29">
        <v>33.0</v>
      </c>
      <c r="L408" s="38">
        <v>5.0</v>
      </c>
      <c r="M408" s="38">
        <f t="shared" si="148"/>
        <v>2.164237461</v>
      </c>
      <c r="N408" s="29">
        <v>0.0</v>
      </c>
      <c r="O408" s="39"/>
      <c r="P408" s="39"/>
      <c r="Q408" s="39"/>
      <c r="R408" s="29">
        <v>9.0</v>
      </c>
      <c r="S408" s="39"/>
      <c r="T408" s="39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</row>
    <row r="409">
      <c r="A409" s="28">
        <f t="shared" si="139"/>
        <v>408</v>
      </c>
      <c r="B409" s="34">
        <v>77.0</v>
      </c>
      <c r="C409" s="29" t="s">
        <v>77</v>
      </c>
      <c r="D409" s="35" t="str">
        <f t="shared" si="145"/>
        <v>Popovic et al., 2024</v>
      </c>
      <c r="E409" s="36" t="s">
        <v>647</v>
      </c>
      <c r="F409" s="36" t="s">
        <v>648</v>
      </c>
      <c r="G409" s="28" t="s">
        <v>32</v>
      </c>
      <c r="H409" s="34" t="s">
        <v>9</v>
      </c>
      <c r="I409" s="29" t="s">
        <v>92</v>
      </c>
      <c r="J409" s="34" t="s">
        <v>185</v>
      </c>
      <c r="K409" s="29">
        <v>33.0</v>
      </c>
      <c r="L409" s="38">
        <v>1.5</v>
      </c>
      <c r="M409" s="38">
        <v>3.3</v>
      </c>
      <c r="N409" s="29">
        <v>-3.0</v>
      </c>
      <c r="O409" s="39"/>
      <c r="P409" s="39"/>
      <c r="Q409" s="39"/>
      <c r="R409" s="29">
        <v>12.0</v>
      </c>
      <c r="S409" s="39"/>
      <c r="T409" s="39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</row>
    <row r="410">
      <c r="A410" s="28">
        <f t="shared" si="139"/>
        <v>409</v>
      </c>
      <c r="B410" s="34">
        <v>77.0</v>
      </c>
      <c r="C410" s="29" t="s">
        <v>635</v>
      </c>
      <c r="D410" s="35" t="str">
        <f t="shared" si="145"/>
        <v>Popovic et al., 2024</v>
      </c>
      <c r="E410" s="36" t="s">
        <v>647</v>
      </c>
      <c r="F410" s="36" t="s">
        <v>648</v>
      </c>
      <c r="G410" s="28" t="s">
        <v>32</v>
      </c>
      <c r="H410" s="34" t="s">
        <v>9</v>
      </c>
      <c r="I410" s="29" t="s">
        <v>149</v>
      </c>
      <c r="J410" s="34" t="s">
        <v>173</v>
      </c>
      <c r="K410" s="29">
        <v>33.0</v>
      </c>
      <c r="L410" s="43"/>
      <c r="M410" s="41">
        <f t="shared" ref="M410:M412" si="149">iferror(P_SD(K410,L410),"")</f>
        <v>0.08703882798</v>
      </c>
      <c r="N410" s="39"/>
      <c r="O410" s="39"/>
      <c r="P410" s="39"/>
      <c r="Q410" s="39"/>
      <c r="R410" s="39"/>
      <c r="S410" s="39"/>
      <c r="T410" s="39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</row>
    <row r="411">
      <c r="A411" s="28">
        <f t="shared" si="139"/>
        <v>410</v>
      </c>
      <c r="B411" s="34">
        <v>77.0</v>
      </c>
      <c r="C411" s="29" t="s">
        <v>635</v>
      </c>
      <c r="D411" s="35" t="str">
        <f t="shared" si="145"/>
        <v>Popovic et al., 2024</v>
      </c>
      <c r="E411" s="36" t="s">
        <v>647</v>
      </c>
      <c r="F411" s="36" t="s">
        <v>648</v>
      </c>
      <c r="G411" s="28" t="s">
        <v>32</v>
      </c>
      <c r="H411" s="34" t="s">
        <v>9</v>
      </c>
      <c r="I411" s="29" t="s">
        <v>149</v>
      </c>
      <c r="J411" s="34" t="s">
        <v>151</v>
      </c>
      <c r="K411" s="29">
        <v>33.0</v>
      </c>
      <c r="L411" s="43"/>
      <c r="M411" s="41">
        <f t="shared" si="149"/>
        <v>0.08703882798</v>
      </c>
      <c r="N411" s="39"/>
      <c r="O411" s="39"/>
      <c r="P411" s="39"/>
      <c r="Q411" s="39"/>
      <c r="R411" s="39"/>
      <c r="S411" s="39"/>
      <c r="T411" s="39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</row>
    <row r="412">
      <c r="A412" s="28">
        <f t="shared" si="139"/>
        <v>411</v>
      </c>
      <c r="B412" s="34">
        <v>77.0</v>
      </c>
      <c r="C412" s="29" t="s">
        <v>635</v>
      </c>
      <c r="D412" s="35" t="str">
        <f t="shared" si="145"/>
        <v>Popovic et al., 2024</v>
      </c>
      <c r="E412" s="36" t="s">
        <v>647</v>
      </c>
      <c r="F412" s="36" t="s">
        <v>648</v>
      </c>
      <c r="G412" s="28" t="s">
        <v>32</v>
      </c>
      <c r="H412" s="34" t="s">
        <v>9</v>
      </c>
      <c r="I412" s="29" t="s">
        <v>149</v>
      </c>
      <c r="J412" s="28" t="s">
        <v>308</v>
      </c>
      <c r="K412" s="29">
        <v>33.0</v>
      </c>
      <c r="L412" s="43"/>
      <c r="M412" s="41">
        <f t="shared" si="149"/>
        <v>0.08703882798</v>
      </c>
      <c r="N412" s="39"/>
      <c r="O412" s="39"/>
      <c r="P412" s="39"/>
      <c r="Q412" s="39"/>
      <c r="R412" s="39"/>
      <c r="S412" s="39"/>
      <c r="T412" s="39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</row>
    <row r="413">
      <c r="A413" s="28" t="str">
        <f t="shared" si="139"/>
        <v/>
      </c>
      <c r="B413" s="34">
        <v>82.0</v>
      </c>
      <c r="C413" s="29" t="s">
        <v>77</v>
      </c>
      <c r="D413" s="35" t="str">
        <f t="shared" ref="D413:D418" si="150">HYPERLINK("https://github.com/d-wkim/phd/blob/main/data/pdf/sajovic_2018.pdf","Sajovic et al., 2018")</f>
        <v>Sajovic et al., 2018</v>
      </c>
      <c r="E413" s="36" t="s">
        <v>649</v>
      </c>
      <c r="F413" s="36" t="s">
        <v>650</v>
      </c>
      <c r="G413" s="28" t="s">
        <v>102</v>
      </c>
      <c r="H413" s="34" t="s">
        <v>2</v>
      </c>
      <c r="I413" s="29" t="s">
        <v>92</v>
      </c>
      <c r="J413" s="34" t="s">
        <v>220</v>
      </c>
      <c r="K413" s="29"/>
      <c r="L413" s="41"/>
      <c r="M413" s="38" t="str">
        <f>iferror(RANGE_SD(K413,N413,R413),"")</f>
        <v/>
      </c>
      <c r="N413" s="39"/>
      <c r="O413" s="39"/>
      <c r="P413" s="39"/>
      <c r="Q413" s="39"/>
      <c r="R413" s="39"/>
      <c r="S413" s="39"/>
      <c r="T413" s="39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</row>
    <row r="414">
      <c r="A414" s="28">
        <f t="shared" si="139"/>
        <v>413</v>
      </c>
      <c r="B414" s="34">
        <v>82.0</v>
      </c>
      <c r="C414" s="29" t="s">
        <v>77</v>
      </c>
      <c r="D414" s="35" t="str">
        <f t="shared" si="150"/>
        <v>Sajovic et al., 2018</v>
      </c>
      <c r="E414" s="36" t="s">
        <v>649</v>
      </c>
      <c r="F414" s="36" t="s">
        <v>650</v>
      </c>
      <c r="G414" s="28" t="s">
        <v>32</v>
      </c>
      <c r="H414" s="34" t="s">
        <v>2</v>
      </c>
      <c r="I414" s="29" t="s">
        <v>149</v>
      </c>
      <c r="J414" s="28" t="s">
        <v>151</v>
      </c>
      <c r="K414" s="29">
        <v>24.0</v>
      </c>
      <c r="L414" s="40">
        <v>5.0</v>
      </c>
      <c r="M414" s="41">
        <f t="shared" ref="M414:M415" si="151">iferror(P_SD(K414,L414),"")</f>
        <v>1.418125641</v>
      </c>
      <c r="N414" s="39"/>
      <c r="O414" s="39"/>
      <c r="P414" s="39"/>
      <c r="Q414" s="39"/>
      <c r="R414" s="39"/>
      <c r="S414" s="39"/>
      <c r="T414" s="39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</row>
    <row r="415">
      <c r="A415" s="28">
        <f t="shared" si="139"/>
        <v>414</v>
      </c>
      <c r="B415" s="34">
        <v>82.0</v>
      </c>
      <c r="C415" s="29" t="s">
        <v>77</v>
      </c>
      <c r="D415" s="35" t="str">
        <f t="shared" si="150"/>
        <v>Sajovic et al., 2018</v>
      </c>
      <c r="E415" s="36" t="s">
        <v>649</v>
      </c>
      <c r="F415" s="36" t="s">
        <v>650</v>
      </c>
      <c r="G415" s="28" t="s">
        <v>32</v>
      </c>
      <c r="H415" s="34" t="s">
        <v>2</v>
      </c>
      <c r="I415" s="29" t="s">
        <v>149</v>
      </c>
      <c r="J415" s="28" t="s">
        <v>173</v>
      </c>
      <c r="K415" s="29">
        <v>24.0</v>
      </c>
      <c r="L415" s="40">
        <v>6.0</v>
      </c>
      <c r="M415" s="41">
        <f t="shared" si="151"/>
        <v>1.769075925</v>
      </c>
      <c r="N415" s="39"/>
      <c r="O415" s="39"/>
      <c r="P415" s="39"/>
      <c r="Q415" s="39"/>
      <c r="R415" s="39"/>
      <c r="S415" s="39"/>
      <c r="T415" s="39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</row>
    <row r="416">
      <c r="A416" s="28" t="str">
        <f t="shared" si="139"/>
        <v/>
      </c>
      <c r="B416" s="34">
        <v>82.0</v>
      </c>
      <c r="C416" s="29" t="s">
        <v>77</v>
      </c>
      <c r="D416" s="35" t="str">
        <f t="shared" si="150"/>
        <v>Sajovic et al., 2018</v>
      </c>
      <c r="E416" s="36" t="s">
        <v>649</v>
      </c>
      <c r="F416" s="36" t="s">
        <v>650</v>
      </c>
      <c r="G416" s="28" t="s">
        <v>102</v>
      </c>
      <c r="H416" s="34" t="s">
        <v>9</v>
      </c>
      <c r="I416" s="29" t="s">
        <v>92</v>
      </c>
      <c r="J416" s="34" t="s">
        <v>220</v>
      </c>
      <c r="K416" s="39"/>
      <c r="L416" s="41"/>
      <c r="M416" s="38" t="str">
        <f>iferror(RANGE_SD(K416,N416,R416),"")</f>
        <v/>
      </c>
      <c r="N416" s="39"/>
      <c r="O416" s="39"/>
      <c r="P416" s="39"/>
      <c r="Q416" s="39"/>
      <c r="R416" s="39"/>
      <c r="S416" s="39"/>
      <c r="T416" s="39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</row>
    <row r="417">
      <c r="A417" s="28">
        <f t="shared" si="139"/>
        <v>416</v>
      </c>
      <c r="B417" s="34">
        <v>82.0</v>
      </c>
      <c r="C417" s="29" t="s">
        <v>77</v>
      </c>
      <c r="D417" s="35" t="str">
        <f t="shared" si="150"/>
        <v>Sajovic et al., 2018</v>
      </c>
      <c r="E417" s="36" t="s">
        <v>649</v>
      </c>
      <c r="F417" s="36" t="s">
        <v>650</v>
      </c>
      <c r="G417" s="28" t="s">
        <v>32</v>
      </c>
      <c r="H417" s="34" t="s">
        <v>9</v>
      </c>
      <c r="I417" s="29" t="s">
        <v>149</v>
      </c>
      <c r="J417" s="28" t="s">
        <v>151</v>
      </c>
      <c r="K417" s="29">
        <v>24.0</v>
      </c>
      <c r="L417" s="40">
        <v>5.0</v>
      </c>
      <c r="M417" s="41">
        <f t="shared" ref="M417:M418" si="152">iferror(P_SD(K417,L417),"")</f>
        <v>1.418125641</v>
      </c>
      <c r="N417" s="39"/>
      <c r="O417" s="39"/>
      <c r="P417" s="39"/>
      <c r="Q417" s="39"/>
      <c r="R417" s="39"/>
      <c r="S417" s="39"/>
      <c r="T417" s="39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</row>
    <row r="418">
      <c r="A418" s="28">
        <f t="shared" si="139"/>
        <v>417</v>
      </c>
      <c r="B418" s="34">
        <v>82.0</v>
      </c>
      <c r="C418" s="29" t="s">
        <v>77</v>
      </c>
      <c r="D418" s="35" t="str">
        <f t="shared" si="150"/>
        <v>Sajovic et al., 2018</v>
      </c>
      <c r="E418" s="36" t="s">
        <v>649</v>
      </c>
      <c r="F418" s="36" t="s">
        <v>650</v>
      </c>
      <c r="G418" s="28" t="s">
        <v>32</v>
      </c>
      <c r="H418" s="34" t="s">
        <v>9</v>
      </c>
      <c r="I418" s="29" t="s">
        <v>149</v>
      </c>
      <c r="J418" s="28" t="s">
        <v>173</v>
      </c>
      <c r="K418" s="29">
        <v>24.0</v>
      </c>
      <c r="L418" s="40">
        <v>5.0</v>
      </c>
      <c r="M418" s="41">
        <f t="shared" si="152"/>
        <v>1.418125641</v>
      </c>
      <c r="N418" s="39"/>
      <c r="O418" s="39"/>
      <c r="P418" s="39"/>
      <c r="Q418" s="39"/>
      <c r="R418" s="39"/>
      <c r="S418" s="39"/>
      <c r="T418" s="39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</row>
    <row r="419">
      <c r="A419" s="28">
        <f t="shared" si="139"/>
        <v>418</v>
      </c>
      <c r="B419" s="34">
        <v>84.0</v>
      </c>
      <c r="C419" s="29" t="s">
        <v>77</v>
      </c>
      <c r="D419" s="35" t="str">
        <f t="shared" ref="D419:D420" si="153">HYPERLINK("https://github.com/d-wkim/phd/blob/main/data/pdf/sinding_2020.pdf","Sinding et al., 2020")</f>
        <v>Sinding et al., 2020</v>
      </c>
      <c r="E419" s="36" t="s">
        <v>651</v>
      </c>
      <c r="F419" s="36" t="s">
        <v>652</v>
      </c>
      <c r="G419" s="28" t="s">
        <v>32</v>
      </c>
      <c r="H419" s="34" t="s">
        <v>9</v>
      </c>
      <c r="I419" s="29" t="s">
        <v>92</v>
      </c>
      <c r="J419" s="34" t="s">
        <v>220</v>
      </c>
      <c r="K419" s="29">
        <v>43.0</v>
      </c>
      <c r="L419" s="38">
        <v>76.0</v>
      </c>
      <c r="M419" s="38">
        <v>15.0</v>
      </c>
      <c r="N419" s="39"/>
      <c r="O419" s="39"/>
      <c r="P419" s="39"/>
      <c r="Q419" s="39"/>
      <c r="R419" s="39"/>
      <c r="S419" s="39"/>
      <c r="T419" s="39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</row>
    <row r="420">
      <c r="A420" s="28">
        <f t="shared" si="139"/>
        <v>419</v>
      </c>
      <c r="B420" s="34">
        <v>84.0</v>
      </c>
      <c r="C420" s="29" t="s">
        <v>77</v>
      </c>
      <c r="D420" s="35" t="str">
        <f t="shared" si="153"/>
        <v>Sinding et al., 2020</v>
      </c>
      <c r="E420" s="36" t="s">
        <v>651</v>
      </c>
      <c r="F420" s="36" t="s">
        <v>652</v>
      </c>
      <c r="G420" s="28" t="s">
        <v>32</v>
      </c>
      <c r="H420" s="34" t="s">
        <v>10</v>
      </c>
      <c r="I420" s="29" t="s">
        <v>92</v>
      </c>
      <c r="J420" s="34" t="s">
        <v>220</v>
      </c>
      <c r="K420" s="29">
        <v>42.0</v>
      </c>
      <c r="L420" s="38">
        <v>76.0</v>
      </c>
      <c r="M420" s="38">
        <v>17.0</v>
      </c>
      <c r="N420" s="39"/>
      <c r="O420" s="39"/>
      <c r="P420" s="39"/>
      <c r="Q420" s="39"/>
      <c r="R420" s="39"/>
      <c r="S420" s="39"/>
      <c r="T420" s="39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</row>
    <row r="421">
      <c r="A421" s="28">
        <f t="shared" si="139"/>
        <v>420</v>
      </c>
      <c r="B421" s="34">
        <v>85.0</v>
      </c>
      <c r="C421" s="29" t="s">
        <v>635</v>
      </c>
      <c r="D421" s="35" t="str">
        <f t="shared" ref="D421:D429" si="154">HYPERLINK("https://github.com/d-wkim/phd/blob/main/data/pdf/smith_2020.pdf","Smith et al., 2020")</f>
        <v>Smith et al., 2020</v>
      </c>
      <c r="E421" s="36" t="s">
        <v>653</v>
      </c>
      <c r="F421" s="36" t="s">
        <v>654</v>
      </c>
      <c r="G421" s="28" t="s">
        <v>32</v>
      </c>
      <c r="H421" s="34" t="s">
        <v>2</v>
      </c>
      <c r="I421" s="29" t="s">
        <v>92</v>
      </c>
      <c r="J421" s="34" t="s">
        <v>220</v>
      </c>
      <c r="K421" s="39"/>
      <c r="L421" s="41"/>
      <c r="M421" s="38" t="str">
        <f t="shared" ref="M421:M422" si="155">iferror(RANGE_SD(K421,N421,R421),"")</f>
        <v/>
      </c>
      <c r="N421" s="39"/>
      <c r="O421" s="39"/>
      <c r="P421" s="39"/>
      <c r="Q421" s="39"/>
      <c r="R421" s="39"/>
      <c r="S421" s="39"/>
      <c r="T421" s="39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</row>
    <row r="422">
      <c r="A422" s="28">
        <f t="shared" si="139"/>
        <v>421</v>
      </c>
      <c r="B422" s="34">
        <v>85.0</v>
      </c>
      <c r="C422" s="29" t="s">
        <v>635</v>
      </c>
      <c r="D422" s="35" t="str">
        <f t="shared" si="154"/>
        <v>Smith et al., 2020</v>
      </c>
      <c r="E422" s="36" t="s">
        <v>653</v>
      </c>
      <c r="F422" s="36" t="s">
        <v>654</v>
      </c>
      <c r="G422" s="28" t="s">
        <v>32</v>
      </c>
      <c r="H422" s="34" t="s">
        <v>2</v>
      </c>
      <c r="I422" s="29" t="s">
        <v>92</v>
      </c>
      <c r="J422" s="34" t="s">
        <v>185</v>
      </c>
      <c r="K422" s="39"/>
      <c r="L422" s="41"/>
      <c r="M422" s="38" t="str">
        <f t="shared" si="155"/>
        <v/>
      </c>
      <c r="N422" s="39"/>
      <c r="O422" s="39"/>
      <c r="P422" s="39"/>
      <c r="Q422" s="39"/>
      <c r="R422" s="39"/>
      <c r="S422" s="39"/>
      <c r="T422" s="39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</row>
    <row r="423">
      <c r="A423" s="28">
        <v>403.0</v>
      </c>
      <c r="B423" s="34">
        <v>85.0</v>
      </c>
      <c r="C423" s="29" t="s">
        <v>635</v>
      </c>
      <c r="D423" s="35" t="str">
        <f t="shared" si="154"/>
        <v>Smith et al., 2020</v>
      </c>
      <c r="E423" s="36" t="s">
        <v>653</v>
      </c>
      <c r="F423" s="36" t="s">
        <v>654</v>
      </c>
      <c r="G423" s="28" t="s">
        <v>32</v>
      </c>
      <c r="H423" s="34" t="s">
        <v>2</v>
      </c>
      <c r="I423" s="29" t="s">
        <v>149</v>
      </c>
      <c r="J423" s="34" t="s">
        <v>308</v>
      </c>
      <c r="K423" s="39"/>
      <c r="L423" s="43"/>
      <c r="M423" s="41" t="str">
        <f>iferror(P_SD(K423,L423),"")</f>
        <v/>
      </c>
      <c r="N423" s="39"/>
      <c r="O423" s="39"/>
      <c r="P423" s="39"/>
      <c r="Q423" s="39"/>
      <c r="R423" s="39"/>
      <c r="S423" s="39"/>
      <c r="T423" s="39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</row>
    <row r="424">
      <c r="A424" s="28">
        <f t="shared" ref="A424:A425" si="156">if(G424="Included",row(A424)-1,"")</f>
        <v>423</v>
      </c>
      <c r="B424" s="34">
        <v>85.0</v>
      </c>
      <c r="C424" s="29" t="s">
        <v>635</v>
      </c>
      <c r="D424" s="35" t="str">
        <f t="shared" si="154"/>
        <v>Smith et al., 2020</v>
      </c>
      <c r="E424" s="36" t="s">
        <v>653</v>
      </c>
      <c r="F424" s="36" t="s">
        <v>654</v>
      </c>
      <c r="G424" s="28" t="s">
        <v>32</v>
      </c>
      <c r="H424" s="34" t="s">
        <v>9</v>
      </c>
      <c r="I424" s="29" t="s">
        <v>92</v>
      </c>
      <c r="J424" s="34" t="s">
        <v>220</v>
      </c>
      <c r="K424" s="39"/>
      <c r="L424" s="41"/>
      <c r="M424" s="38" t="str">
        <f t="shared" ref="M424:M425" si="157">iferror(RANGE_SD(K424,N424,R424),"")</f>
        <v/>
      </c>
      <c r="N424" s="39"/>
      <c r="O424" s="39"/>
      <c r="P424" s="39"/>
      <c r="Q424" s="39"/>
      <c r="R424" s="39"/>
      <c r="S424" s="39"/>
      <c r="T424" s="39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</row>
    <row r="425">
      <c r="A425" s="28">
        <f t="shared" si="156"/>
        <v>424</v>
      </c>
      <c r="B425" s="34">
        <v>85.0</v>
      </c>
      <c r="C425" s="29" t="s">
        <v>635</v>
      </c>
      <c r="D425" s="35" t="str">
        <f t="shared" si="154"/>
        <v>Smith et al., 2020</v>
      </c>
      <c r="E425" s="36" t="s">
        <v>653</v>
      </c>
      <c r="F425" s="36" t="s">
        <v>654</v>
      </c>
      <c r="G425" s="28" t="s">
        <v>32</v>
      </c>
      <c r="H425" s="34" t="s">
        <v>9</v>
      </c>
      <c r="I425" s="29" t="s">
        <v>92</v>
      </c>
      <c r="J425" s="34" t="s">
        <v>185</v>
      </c>
      <c r="K425" s="39"/>
      <c r="L425" s="41"/>
      <c r="M425" s="38" t="str">
        <f t="shared" si="157"/>
        <v/>
      </c>
      <c r="N425" s="39"/>
      <c r="O425" s="39"/>
      <c r="P425" s="39"/>
      <c r="Q425" s="39"/>
      <c r="R425" s="39"/>
      <c r="S425" s="39"/>
      <c r="T425" s="39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</row>
    <row r="426">
      <c r="A426" s="28">
        <v>406.0</v>
      </c>
      <c r="B426" s="34">
        <v>85.0</v>
      </c>
      <c r="C426" s="29" t="s">
        <v>635</v>
      </c>
      <c r="D426" s="35" t="str">
        <f t="shared" si="154"/>
        <v>Smith et al., 2020</v>
      </c>
      <c r="E426" s="36" t="s">
        <v>653</v>
      </c>
      <c r="F426" s="36" t="s">
        <v>654</v>
      </c>
      <c r="G426" s="28" t="s">
        <v>32</v>
      </c>
      <c r="H426" s="34" t="s">
        <v>9</v>
      </c>
      <c r="I426" s="29" t="s">
        <v>149</v>
      </c>
      <c r="J426" s="34" t="s">
        <v>308</v>
      </c>
      <c r="K426" s="39"/>
      <c r="L426" s="43"/>
      <c r="M426" s="41" t="str">
        <f>iferror(P_SD(K426,L426),"")</f>
        <v/>
      </c>
      <c r="N426" s="39"/>
      <c r="O426" s="39"/>
      <c r="P426" s="39"/>
      <c r="Q426" s="39"/>
      <c r="R426" s="39"/>
      <c r="S426" s="39"/>
      <c r="T426" s="39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</row>
    <row r="427">
      <c r="A427" s="28">
        <f t="shared" ref="A427:A428" si="158">if(G427="Included",row(A427)-1,"")</f>
        <v>426</v>
      </c>
      <c r="B427" s="34">
        <v>85.0</v>
      </c>
      <c r="C427" s="29" t="s">
        <v>635</v>
      </c>
      <c r="D427" s="35" t="str">
        <f t="shared" si="154"/>
        <v>Smith et al., 2020</v>
      </c>
      <c r="E427" s="36" t="s">
        <v>653</v>
      </c>
      <c r="F427" s="36" t="s">
        <v>654</v>
      </c>
      <c r="G427" s="28" t="s">
        <v>32</v>
      </c>
      <c r="H427" s="34" t="s">
        <v>10</v>
      </c>
      <c r="I427" s="29" t="s">
        <v>92</v>
      </c>
      <c r="J427" s="34" t="s">
        <v>220</v>
      </c>
      <c r="K427" s="39"/>
      <c r="L427" s="41"/>
      <c r="M427" s="38" t="str">
        <f t="shared" ref="M427:M428" si="159">iferror(RANGE_SD(K427,N427,R427),"")</f>
        <v/>
      </c>
      <c r="N427" s="39"/>
      <c r="O427" s="39"/>
      <c r="P427" s="39"/>
      <c r="Q427" s="39"/>
      <c r="R427" s="39"/>
      <c r="S427" s="39"/>
      <c r="T427" s="39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</row>
    <row r="428">
      <c r="A428" s="28">
        <f t="shared" si="158"/>
        <v>427</v>
      </c>
      <c r="B428" s="34">
        <v>85.0</v>
      </c>
      <c r="C428" s="29" t="s">
        <v>635</v>
      </c>
      <c r="D428" s="35" t="str">
        <f t="shared" si="154"/>
        <v>Smith et al., 2020</v>
      </c>
      <c r="E428" s="36" t="s">
        <v>653</v>
      </c>
      <c r="F428" s="36" t="s">
        <v>654</v>
      </c>
      <c r="G428" s="28" t="s">
        <v>32</v>
      </c>
      <c r="H428" s="34" t="s">
        <v>10</v>
      </c>
      <c r="I428" s="29" t="s">
        <v>92</v>
      </c>
      <c r="J428" s="34" t="s">
        <v>185</v>
      </c>
      <c r="K428" s="39"/>
      <c r="L428" s="41"/>
      <c r="M428" s="38" t="str">
        <f t="shared" si="159"/>
        <v/>
      </c>
      <c r="N428" s="39"/>
      <c r="O428" s="39"/>
      <c r="P428" s="39"/>
      <c r="Q428" s="39"/>
      <c r="R428" s="39"/>
      <c r="S428" s="39"/>
      <c r="T428" s="39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</row>
    <row r="429">
      <c r="A429" s="28">
        <v>409.0</v>
      </c>
      <c r="B429" s="34">
        <v>85.0</v>
      </c>
      <c r="C429" s="29" t="s">
        <v>635</v>
      </c>
      <c r="D429" s="35" t="str">
        <f t="shared" si="154"/>
        <v>Smith et al., 2020</v>
      </c>
      <c r="E429" s="36" t="s">
        <v>653</v>
      </c>
      <c r="F429" s="36" t="s">
        <v>654</v>
      </c>
      <c r="G429" s="28" t="s">
        <v>32</v>
      </c>
      <c r="H429" s="34" t="s">
        <v>10</v>
      </c>
      <c r="I429" s="29" t="s">
        <v>149</v>
      </c>
      <c r="J429" s="34" t="s">
        <v>308</v>
      </c>
      <c r="K429" s="39"/>
      <c r="L429" s="43"/>
      <c r="M429" s="41" t="str">
        <f>iferror(P_SD(K429,L429),"")</f>
        <v/>
      </c>
      <c r="N429" s="39"/>
      <c r="O429" s="39"/>
      <c r="P429" s="39"/>
      <c r="Q429" s="39"/>
      <c r="R429" s="39"/>
      <c r="S429" s="39"/>
      <c r="T429" s="39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</row>
    <row r="430">
      <c r="A430" s="28">
        <f t="shared" ref="A430:A446" si="160">if(G430="Included",row(A430)-1,"")</f>
        <v>429</v>
      </c>
      <c r="B430" s="34">
        <v>86.0</v>
      </c>
      <c r="C430" s="29" t="s">
        <v>635</v>
      </c>
      <c r="D430" s="35" t="str">
        <f t="shared" ref="D430:D441" si="161">HYPERLINK("https://github.com/d-wkim/phd/blob/main/data/pdf/sonnery-cottet_2020.pdf","Sonnery-cottet et al., 2020")</f>
        <v>Sonnery-cottet et al., 2020</v>
      </c>
      <c r="E430" s="36" t="s">
        <v>655</v>
      </c>
      <c r="F430" s="36" t="s">
        <v>656</v>
      </c>
      <c r="G430" s="28" t="s">
        <v>32</v>
      </c>
      <c r="H430" s="34" t="s">
        <v>2</v>
      </c>
      <c r="I430" s="29" t="s">
        <v>92</v>
      </c>
      <c r="J430" s="34" t="s">
        <v>220</v>
      </c>
      <c r="K430" s="39"/>
      <c r="L430" s="41"/>
      <c r="M430" s="38" t="str">
        <f t="shared" ref="M430:M433" si="162">iferror(RANGE_SD(K430,N430,R430),"")</f>
        <v/>
      </c>
      <c r="N430" s="39"/>
      <c r="O430" s="39"/>
      <c r="P430" s="39"/>
      <c r="Q430" s="39"/>
      <c r="R430" s="39"/>
      <c r="S430" s="39"/>
      <c r="T430" s="39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</row>
    <row r="431">
      <c r="A431" s="28">
        <f t="shared" si="160"/>
        <v>430</v>
      </c>
      <c r="B431" s="34">
        <v>86.0</v>
      </c>
      <c r="C431" s="29" t="s">
        <v>635</v>
      </c>
      <c r="D431" s="35" t="str">
        <f t="shared" si="161"/>
        <v>Sonnery-cottet et al., 2020</v>
      </c>
      <c r="E431" s="36" t="s">
        <v>655</v>
      </c>
      <c r="F431" s="36" t="s">
        <v>656</v>
      </c>
      <c r="G431" s="28" t="s">
        <v>32</v>
      </c>
      <c r="H431" s="34" t="s">
        <v>2</v>
      </c>
      <c r="I431" s="29" t="s">
        <v>92</v>
      </c>
      <c r="J431" s="34" t="s">
        <v>96</v>
      </c>
      <c r="K431" s="39"/>
      <c r="L431" s="41"/>
      <c r="M431" s="38" t="str">
        <f t="shared" si="162"/>
        <v/>
      </c>
      <c r="N431" s="39"/>
      <c r="O431" s="39"/>
      <c r="P431" s="39"/>
      <c r="Q431" s="39"/>
      <c r="R431" s="39"/>
      <c r="S431" s="39"/>
      <c r="T431" s="39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</row>
    <row r="432">
      <c r="A432" s="28">
        <f t="shared" si="160"/>
        <v>431</v>
      </c>
      <c r="B432" s="34">
        <v>86.0</v>
      </c>
      <c r="C432" s="29" t="s">
        <v>635</v>
      </c>
      <c r="D432" s="35" t="str">
        <f t="shared" si="161"/>
        <v>Sonnery-cottet et al., 2020</v>
      </c>
      <c r="E432" s="36" t="s">
        <v>655</v>
      </c>
      <c r="F432" s="36" t="s">
        <v>656</v>
      </c>
      <c r="G432" s="28" t="s">
        <v>32</v>
      </c>
      <c r="H432" s="34" t="s">
        <v>2</v>
      </c>
      <c r="I432" s="29" t="s">
        <v>92</v>
      </c>
      <c r="J432" s="34" t="s">
        <v>226</v>
      </c>
      <c r="K432" s="39"/>
      <c r="L432" s="41"/>
      <c r="M432" s="38" t="str">
        <f t="shared" si="162"/>
        <v/>
      </c>
      <c r="N432" s="39"/>
      <c r="O432" s="39"/>
      <c r="P432" s="39"/>
      <c r="Q432" s="39"/>
      <c r="R432" s="39"/>
      <c r="S432" s="39"/>
      <c r="T432" s="39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</row>
    <row r="433">
      <c r="A433" s="28">
        <f t="shared" si="160"/>
        <v>432</v>
      </c>
      <c r="B433" s="34">
        <v>86.0</v>
      </c>
      <c r="C433" s="29" t="s">
        <v>635</v>
      </c>
      <c r="D433" s="35" t="str">
        <f t="shared" si="161"/>
        <v>Sonnery-cottet et al., 2020</v>
      </c>
      <c r="E433" s="36" t="s">
        <v>655</v>
      </c>
      <c r="F433" s="36" t="s">
        <v>656</v>
      </c>
      <c r="G433" s="28" t="s">
        <v>32</v>
      </c>
      <c r="H433" s="34" t="s">
        <v>2</v>
      </c>
      <c r="I433" s="29" t="s">
        <v>92</v>
      </c>
      <c r="J433" s="34" t="s">
        <v>185</v>
      </c>
      <c r="K433" s="39"/>
      <c r="L433" s="41"/>
      <c r="M433" s="38" t="str">
        <f t="shared" si="162"/>
        <v/>
      </c>
      <c r="N433" s="39"/>
      <c r="O433" s="39"/>
      <c r="P433" s="39"/>
      <c r="Q433" s="39"/>
      <c r="R433" s="39"/>
      <c r="S433" s="39"/>
      <c r="T433" s="39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</row>
    <row r="434">
      <c r="A434" s="28">
        <f t="shared" si="160"/>
        <v>433</v>
      </c>
      <c r="B434" s="34">
        <v>86.0</v>
      </c>
      <c r="C434" s="29" t="s">
        <v>635</v>
      </c>
      <c r="D434" s="35" t="str">
        <f t="shared" si="161"/>
        <v>Sonnery-cottet et al., 2020</v>
      </c>
      <c r="E434" s="36" t="s">
        <v>655</v>
      </c>
      <c r="F434" s="36" t="s">
        <v>656</v>
      </c>
      <c r="G434" s="28" t="s">
        <v>32</v>
      </c>
      <c r="H434" s="34" t="s">
        <v>2</v>
      </c>
      <c r="I434" s="29" t="s">
        <v>149</v>
      </c>
      <c r="J434" s="34" t="s">
        <v>173</v>
      </c>
      <c r="K434" s="39"/>
      <c r="L434" s="43"/>
      <c r="M434" s="41" t="str">
        <f t="shared" ref="M434:M435" si="163">iferror(P_SD(K434,L434),"")</f>
        <v/>
      </c>
      <c r="N434" s="39"/>
      <c r="O434" s="39"/>
      <c r="P434" s="39"/>
      <c r="Q434" s="39"/>
      <c r="R434" s="39"/>
      <c r="S434" s="39"/>
      <c r="T434" s="39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</row>
    <row r="435">
      <c r="A435" s="28">
        <f t="shared" si="160"/>
        <v>434</v>
      </c>
      <c r="B435" s="34">
        <v>86.0</v>
      </c>
      <c r="C435" s="29" t="s">
        <v>635</v>
      </c>
      <c r="D435" s="35" t="str">
        <f t="shared" si="161"/>
        <v>Sonnery-cottet et al., 2020</v>
      </c>
      <c r="E435" s="36" t="s">
        <v>655</v>
      </c>
      <c r="F435" s="36" t="s">
        <v>656</v>
      </c>
      <c r="G435" s="28" t="s">
        <v>32</v>
      </c>
      <c r="H435" s="34" t="s">
        <v>2</v>
      </c>
      <c r="I435" s="29" t="s">
        <v>149</v>
      </c>
      <c r="J435" s="34" t="s">
        <v>151</v>
      </c>
      <c r="K435" s="39"/>
      <c r="L435" s="43"/>
      <c r="M435" s="41" t="str">
        <f t="shared" si="163"/>
        <v/>
      </c>
      <c r="N435" s="39"/>
      <c r="O435" s="39"/>
      <c r="P435" s="39"/>
      <c r="Q435" s="39"/>
      <c r="R435" s="39"/>
      <c r="S435" s="39"/>
      <c r="T435" s="39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</row>
    <row r="436">
      <c r="A436" s="28">
        <f t="shared" si="160"/>
        <v>435</v>
      </c>
      <c r="B436" s="34">
        <v>86.0</v>
      </c>
      <c r="C436" s="29" t="s">
        <v>635</v>
      </c>
      <c r="D436" s="35" t="str">
        <f t="shared" si="161"/>
        <v>Sonnery-cottet et al., 2020</v>
      </c>
      <c r="E436" s="36" t="s">
        <v>655</v>
      </c>
      <c r="F436" s="36" t="s">
        <v>656</v>
      </c>
      <c r="G436" s="28" t="s">
        <v>32</v>
      </c>
      <c r="H436" s="34" t="s">
        <v>9</v>
      </c>
      <c r="I436" s="29" t="s">
        <v>92</v>
      </c>
      <c r="J436" s="34" t="s">
        <v>220</v>
      </c>
      <c r="K436" s="39"/>
      <c r="L436" s="41"/>
      <c r="M436" s="38" t="str">
        <f t="shared" ref="M436:M439" si="164">iferror(RANGE_SD(K436,N436,R436),"")</f>
        <v/>
      </c>
      <c r="N436" s="39"/>
      <c r="O436" s="39"/>
      <c r="P436" s="39"/>
      <c r="Q436" s="39"/>
      <c r="R436" s="39"/>
      <c r="S436" s="39"/>
      <c r="T436" s="39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</row>
    <row r="437">
      <c r="A437" s="28">
        <f t="shared" si="160"/>
        <v>436</v>
      </c>
      <c r="B437" s="34">
        <v>86.0</v>
      </c>
      <c r="C437" s="29" t="s">
        <v>635</v>
      </c>
      <c r="D437" s="35" t="str">
        <f t="shared" si="161"/>
        <v>Sonnery-cottet et al., 2020</v>
      </c>
      <c r="E437" s="36" t="s">
        <v>655</v>
      </c>
      <c r="F437" s="36" t="s">
        <v>656</v>
      </c>
      <c r="G437" s="28" t="s">
        <v>32</v>
      </c>
      <c r="H437" s="34" t="s">
        <v>9</v>
      </c>
      <c r="I437" s="29" t="s">
        <v>92</v>
      </c>
      <c r="J437" s="34" t="s">
        <v>96</v>
      </c>
      <c r="K437" s="39"/>
      <c r="L437" s="41"/>
      <c r="M437" s="38" t="str">
        <f t="shared" si="164"/>
        <v/>
      </c>
      <c r="N437" s="39"/>
      <c r="O437" s="39"/>
      <c r="P437" s="39"/>
      <c r="Q437" s="39"/>
      <c r="R437" s="39"/>
      <c r="S437" s="39"/>
      <c r="T437" s="39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</row>
    <row r="438">
      <c r="A438" s="28">
        <f t="shared" si="160"/>
        <v>437</v>
      </c>
      <c r="B438" s="34">
        <v>86.0</v>
      </c>
      <c r="C438" s="29" t="s">
        <v>635</v>
      </c>
      <c r="D438" s="35" t="str">
        <f t="shared" si="161"/>
        <v>Sonnery-cottet et al., 2020</v>
      </c>
      <c r="E438" s="36" t="s">
        <v>655</v>
      </c>
      <c r="F438" s="36" t="s">
        <v>656</v>
      </c>
      <c r="G438" s="28" t="s">
        <v>32</v>
      </c>
      <c r="H438" s="34" t="s">
        <v>9</v>
      </c>
      <c r="I438" s="29" t="s">
        <v>92</v>
      </c>
      <c r="J438" s="34" t="s">
        <v>226</v>
      </c>
      <c r="K438" s="39"/>
      <c r="L438" s="41"/>
      <c r="M438" s="38" t="str">
        <f t="shared" si="164"/>
        <v/>
      </c>
      <c r="N438" s="39"/>
      <c r="O438" s="39"/>
      <c r="P438" s="39"/>
      <c r="Q438" s="39"/>
      <c r="R438" s="39"/>
      <c r="S438" s="39"/>
      <c r="T438" s="39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</row>
    <row r="439">
      <c r="A439" s="28">
        <f t="shared" si="160"/>
        <v>438</v>
      </c>
      <c r="B439" s="34">
        <v>86.0</v>
      </c>
      <c r="C439" s="29" t="s">
        <v>635</v>
      </c>
      <c r="D439" s="35" t="str">
        <f t="shared" si="161"/>
        <v>Sonnery-cottet et al., 2020</v>
      </c>
      <c r="E439" s="36" t="s">
        <v>655</v>
      </c>
      <c r="F439" s="36" t="s">
        <v>656</v>
      </c>
      <c r="G439" s="28" t="s">
        <v>32</v>
      </c>
      <c r="H439" s="34" t="s">
        <v>9</v>
      </c>
      <c r="I439" s="29" t="s">
        <v>92</v>
      </c>
      <c r="J439" s="34" t="s">
        <v>185</v>
      </c>
      <c r="K439" s="39"/>
      <c r="L439" s="41"/>
      <c r="M439" s="38" t="str">
        <f t="shared" si="164"/>
        <v/>
      </c>
      <c r="N439" s="39"/>
      <c r="O439" s="39"/>
      <c r="P439" s="39"/>
      <c r="Q439" s="39"/>
      <c r="R439" s="39"/>
      <c r="S439" s="39"/>
      <c r="T439" s="39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</row>
    <row r="440">
      <c r="A440" s="28">
        <f t="shared" si="160"/>
        <v>439</v>
      </c>
      <c r="B440" s="34">
        <v>86.0</v>
      </c>
      <c r="C440" s="29" t="s">
        <v>635</v>
      </c>
      <c r="D440" s="35" t="str">
        <f t="shared" si="161"/>
        <v>Sonnery-cottet et al., 2020</v>
      </c>
      <c r="E440" s="36" t="s">
        <v>655</v>
      </c>
      <c r="F440" s="36" t="s">
        <v>656</v>
      </c>
      <c r="G440" s="28" t="s">
        <v>32</v>
      </c>
      <c r="H440" s="34" t="s">
        <v>9</v>
      </c>
      <c r="I440" s="29" t="s">
        <v>149</v>
      </c>
      <c r="J440" s="34" t="s">
        <v>173</v>
      </c>
      <c r="K440" s="39"/>
      <c r="L440" s="43"/>
      <c r="M440" s="41" t="str">
        <f t="shared" ref="M440:M441" si="165">iferror(P_SD(K440,L440),"")</f>
        <v/>
      </c>
      <c r="N440" s="39"/>
      <c r="O440" s="39"/>
      <c r="P440" s="39"/>
      <c r="Q440" s="39"/>
      <c r="R440" s="39"/>
      <c r="S440" s="39"/>
      <c r="T440" s="39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</row>
    <row r="441">
      <c r="A441" s="28">
        <f t="shared" si="160"/>
        <v>440</v>
      </c>
      <c r="B441" s="34">
        <v>86.0</v>
      </c>
      <c r="C441" s="29" t="s">
        <v>635</v>
      </c>
      <c r="D441" s="35" t="str">
        <f t="shared" si="161"/>
        <v>Sonnery-cottet et al., 2020</v>
      </c>
      <c r="E441" s="36" t="s">
        <v>655</v>
      </c>
      <c r="F441" s="36" t="s">
        <v>656</v>
      </c>
      <c r="G441" s="28" t="s">
        <v>32</v>
      </c>
      <c r="H441" s="34" t="s">
        <v>9</v>
      </c>
      <c r="I441" s="29" t="s">
        <v>149</v>
      </c>
      <c r="J441" s="34" t="s">
        <v>151</v>
      </c>
      <c r="K441" s="39"/>
      <c r="L441" s="43"/>
      <c r="M441" s="41" t="str">
        <f t="shared" si="165"/>
        <v/>
      </c>
      <c r="N441" s="39"/>
      <c r="O441" s="39"/>
      <c r="P441" s="39"/>
      <c r="Q441" s="39"/>
      <c r="R441" s="39"/>
      <c r="S441" s="39"/>
      <c r="T441" s="39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</row>
    <row r="442">
      <c r="A442" s="28">
        <f t="shared" si="160"/>
        <v>441</v>
      </c>
      <c r="B442" s="34">
        <v>87.0</v>
      </c>
      <c r="C442" s="29" t="s">
        <v>635</v>
      </c>
      <c r="D442" s="35" t="str">
        <f t="shared" ref="D442:D453" si="166">HYPERLINK("https://github.com/d-wkim/phd/blob/main/data/pdf/sonnery-cottet_2026.pdf","Sonnery-cottet et al., 2026")</f>
        <v>Sonnery-cottet et al., 2026</v>
      </c>
      <c r="E442" s="36" t="s">
        <v>657</v>
      </c>
      <c r="F442" s="36" t="s">
        <v>658</v>
      </c>
      <c r="G442" s="28" t="s">
        <v>32</v>
      </c>
      <c r="H442" s="34" t="s">
        <v>2</v>
      </c>
      <c r="I442" s="29" t="s">
        <v>92</v>
      </c>
      <c r="J442" s="34" t="s">
        <v>220</v>
      </c>
      <c r="K442" s="39"/>
      <c r="L442" s="41"/>
      <c r="M442" s="38" t="str">
        <f t="shared" ref="M442:M445" si="167">iferror(RANGE_SD(K442,N442,R442),"")</f>
        <v/>
      </c>
      <c r="N442" s="39"/>
      <c r="O442" s="39"/>
      <c r="P442" s="39"/>
      <c r="Q442" s="39"/>
      <c r="R442" s="39"/>
      <c r="S442" s="39"/>
      <c r="T442" s="39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</row>
    <row r="443">
      <c r="A443" s="28">
        <f t="shared" si="160"/>
        <v>442</v>
      </c>
      <c r="B443" s="34">
        <v>87.0</v>
      </c>
      <c r="C443" s="29" t="s">
        <v>635</v>
      </c>
      <c r="D443" s="35" t="str">
        <f t="shared" si="166"/>
        <v>Sonnery-cottet et al., 2026</v>
      </c>
      <c r="E443" s="36" t="s">
        <v>657</v>
      </c>
      <c r="F443" s="36" t="s">
        <v>658</v>
      </c>
      <c r="G443" s="28" t="s">
        <v>32</v>
      </c>
      <c r="H443" s="34" t="s">
        <v>2</v>
      </c>
      <c r="I443" s="29" t="s">
        <v>92</v>
      </c>
      <c r="J443" s="34" t="s">
        <v>96</v>
      </c>
      <c r="K443" s="39"/>
      <c r="L443" s="41"/>
      <c r="M443" s="38" t="str">
        <f t="shared" si="167"/>
        <v/>
      </c>
      <c r="N443" s="39"/>
      <c r="O443" s="39"/>
      <c r="P443" s="39"/>
      <c r="Q443" s="39"/>
      <c r="R443" s="39"/>
      <c r="S443" s="39"/>
      <c r="T443" s="39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</row>
    <row r="444">
      <c r="A444" s="28">
        <f t="shared" si="160"/>
        <v>443</v>
      </c>
      <c r="B444" s="34">
        <v>87.0</v>
      </c>
      <c r="C444" s="29" t="s">
        <v>635</v>
      </c>
      <c r="D444" s="35" t="str">
        <f t="shared" si="166"/>
        <v>Sonnery-cottet et al., 2026</v>
      </c>
      <c r="E444" s="36" t="s">
        <v>657</v>
      </c>
      <c r="F444" s="36" t="s">
        <v>658</v>
      </c>
      <c r="G444" s="28" t="s">
        <v>32</v>
      </c>
      <c r="H444" s="34" t="s">
        <v>2</v>
      </c>
      <c r="I444" s="29" t="s">
        <v>92</v>
      </c>
      <c r="J444" s="34" t="s">
        <v>226</v>
      </c>
      <c r="K444" s="39"/>
      <c r="L444" s="41"/>
      <c r="M444" s="38" t="str">
        <f t="shared" si="167"/>
        <v/>
      </c>
      <c r="N444" s="39"/>
      <c r="O444" s="39"/>
      <c r="P444" s="39"/>
      <c r="Q444" s="39"/>
      <c r="R444" s="39"/>
      <c r="S444" s="39"/>
      <c r="T444" s="39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</row>
    <row r="445">
      <c r="A445" s="28">
        <f t="shared" si="160"/>
        <v>444</v>
      </c>
      <c r="B445" s="34">
        <v>87.0</v>
      </c>
      <c r="C445" s="29" t="s">
        <v>635</v>
      </c>
      <c r="D445" s="35" t="str">
        <f t="shared" si="166"/>
        <v>Sonnery-cottet et al., 2026</v>
      </c>
      <c r="E445" s="36" t="s">
        <v>657</v>
      </c>
      <c r="F445" s="36" t="s">
        <v>658</v>
      </c>
      <c r="G445" s="28" t="s">
        <v>32</v>
      </c>
      <c r="H445" s="34" t="s">
        <v>2</v>
      </c>
      <c r="I445" s="29" t="s">
        <v>92</v>
      </c>
      <c r="J445" s="34" t="s">
        <v>185</v>
      </c>
      <c r="K445" s="39"/>
      <c r="L445" s="41"/>
      <c r="M445" s="38" t="str">
        <f t="shared" si="167"/>
        <v/>
      </c>
      <c r="N445" s="39"/>
      <c r="O445" s="39"/>
      <c r="P445" s="39"/>
      <c r="Q445" s="39"/>
      <c r="R445" s="39"/>
      <c r="S445" s="39"/>
      <c r="T445" s="39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</row>
    <row r="446">
      <c r="A446" s="28">
        <f t="shared" si="160"/>
        <v>445</v>
      </c>
      <c r="B446" s="34">
        <v>87.0</v>
      </c>
      <c r="C446" s="29" t="s">
        <v>635</v>
      </c>
      <c r="D446" s="35" t="str">
        <f t="shared" si="166"/>
        <v>Sonnery-cottet et al., 2026</v>
      </c>
      <c r="E446" s="36" t="s">
        <v>657</v>
      </c>
      <c r="F446" s="36" t="s">
        <v>658</v>
      </c>
      <c r="G446" s="28" t="s">
        <v>32</v>
      </c>
      <c r="H446" s="34" t="s">
        <v>2</v>
      </c>
      <c r="I446" s="29" t="s">
        <v>149</v>
      </c>
      <c r="J446" s="34" t="s">
        <v>173</v>
      </c>
      <c r="K446" s="39"/>
      <c r="L446" s="43"/>
      <c r="M446" s="41" t="str">
        <f t="shared" ref="M446:M447" si="168">iferror(P_SD(K446,L446),"")</f>
        <v/>
      </c>
      <c r="N446" s="39"/>
      <c r="O446" s="39"/>
      <c r="P446" s="39"/>
      <c r="Q446" s="39"/>
      <c r="R446" s="39"/>
      <c r="S446" s="39"/>
      <c r="T446" s="39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</row>
    <row r="447">
      <c r="A447" s="28">
        <v>427.0</v>
      </c>
      <c r="B447" s="34">
        <v>87.0</v>
      </c>
      <c r="C447" s="29" t="s">
        <v>635</v>
      </c>
      <c r="D447" s="35" t="str">
        <f t="shared" si="166"/>
        <v>Sonnery-cottet et al., 2026</v>
      </c>
      <c r="E447" s="36" t="s">
        <v>657</v>
      </c>
      <c r="F447" s="36" t="s">
        <v>658</v>
      </c>
      <c r="G447" s="28" t="s">
        <v>32</v>
      </c>
      <c r="H447" s="34" t="s">
        <v>2</v>
      </c>
      <c r="I447" s="29" t="s">
        <v>149</v>
      </c>
      <c r="J447" s="34" t="s">
        <v>308</v>
      </c>
      <c r="K447" s="39"/>
      <c r="L447" s="43"/>
      <c r="M447" s="41" t="str">
        <f t="shared" si="168"/>
        <v/>
      </c>
      <c r="N447" s="39"/>
      <c r="O447" s="39"/>
      <c r="P447" s="39"/>
      <c r="Q447" s="39"/>
      <c r="R447" s="39"/>
      <c r="S447" s="39"/>
      <c r="T447" s="39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</row>
    <row r="448">
      <c r="A448" s="28">
        <f t="shared" ref="A448:A452" si="169">if(G448="Included",row(A448)-1,"")</f>
        <v>447</v>
      </c>
      <c r="B448" s="34">
        <v>87.0</v>
      </c>
      <c r="C448" s="29" t="s">
        <v>635</v>
      </c>
      <c r="D448" s="35" t="str">
        <f t="shared" si="166"/>
        <v>Sonnery-cottet et al., 2026</v>
      </c>
      <c r="E448" s="36" t="s">
        <v>657</v>
      </c>
      <c r="F448" s="36" t="s">
        <v>658</v>
      </c>
      <c r="G448" s="28" t="s">
        <v>32</v>
      </c>
      <c r="H448" s="34" t="s">
        <v>9</v>
      </c>
      <c r="I448" s="29" t="s">
        <v>92</v>
      </c>
      <c r="J448" s="34" t="s">
        <v>220</v>
      </c>
      <c r="K448" s="39"/>
      <c r="L448" s="41"/>
      <c r="M448" s="38" t="str">
        <f t="shared" ref="M448:M451" si="170">iferror(RANGE_SD(K448,N448,R448),"")</f>
        <v/>
      </c>
      <c r="N448" s="39"/>
      <c r="O448" s="39"/>
      <c r="P448" s="39"/>
      <c r="Q448" s="39"/>
      <c r="R448" s="39"/>
      <c r="S448" s="39"/>
      <c r="T448" s="39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</row>
    <row r="449">
      <c r="A449" s="28">
        <f t="shared" si="169"/>
        <v>448</v>
      </c>
      <c r="B449" s="34">
        <v>87.0</v>
      </c>
      <c r="C449" s="29" t="s">
        <v>635</v>
      </c>
      <c r="D449" s="35" t="str">
        <f t="shared" si="166"/>
        <v>Sonnery-cottet et al., 2026</v>
      </c>
      <c r="E449" s="36" t="s">
        <v>657</v>
      </c>
      <c r="F449" s="36" t="s">
        <v>658</v>
      </c>
      <c r="G449" s="28" t="s">
        <v>32</v>
      </c>
      <c r="H449" s="34" t="s">
        <v>9</v>
      </c>
      <c r="I449" s="29" t="s">
        <v>92</v>
      </c>
      <c r="J449" s="34" t="s">
        <v>96</v>
      </c>
      <c r="K449" s="39"/>
      <c r="L449" s="41"/>
      <c r="M449" s="38" t="str">
        <f t="shared" si="170"/>
        <v/>
      </c>
      <c r="N449" s="39"/>
      <c r="O449" s="39"/>
      <c r="P449" s="39"/>
      <c r="Q449" s="39"/>
      <c r="R449" s="39"/>
      <c r="S449" s="39"/>
      <c r="T449" s="39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</row>
    <row r="450">
      <c r="A450" s="28">
        <f t="shared" si="169"/>
        <v>449</v>
      </c>
      <c r="B450" s="34">
        <v>87.0</v>
      </c>
      <c r="C450" s="29" t="s">
        <v>635</v>
      </c>
      <c r="D450" s="35" t="str">
        <f t="shared" si="166"/>
        <v>Sonnery-cottet et al., 2026</v>
      </c>
      <c r="E450" s="36" t="s">
        <v>657</v>
      </c>
      <c r="F450" s="36" t="s">
        <v>658</v>
      </c>
      <c r="G450" s="28" t="s">
        <v>32</v>
      </c>
      <c r="H450" s="34" t="s">
        <v>9</v>
      </c>
      <c r="I450" s="29" t="s">
        <v>92</v>
      </c>
      <c r="J450" s="34" t="s">
        <v>226</v>
      </c>
      <c r="K450" s="39"/>
      <c r="L450" s="41"/>
      <c r="M450" s="38" t="str">
        <f t="shared" si="170"/>
        <v/>
      </c>
      <c r="N450" s="39"/>
      <c r="O450" s="39"/>
      <c r="P450" s="39"/>
      <c r="Q450" s="39"/>
      <c r="R450" s="39"/>
      <c r="S450" s="39"/>
      <c r="T450" s="39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</row>
    <row r="451">
      <c r="A451" s="28">
        <f t="shared" si="169"/>
        <v>450</v>
      </c>
      <c r="B451" s="34">
        <v>87.0</v>
      </c>
      <c r="C451" s="29" t="s">
        <v>635</v>
      </c>
      <c r="D451" s="35" t="str">
        <f t="shared" si="166"/>
        <v>Sonnery-cottet et al., 2026</v>
      </c>
      <c r="E451" s="36" t="s">
        <v>657</v>
      </c>
      <c r="F451" s="36" t="s">
        <v>658</v>
      </c>
      <c r="G451" s="28" t="s">
        <v>32</v>
      </c>
      <c r="H451" s="34" t="s">
        <v>9</v>
      </c>
      <c r="I451" s="29" t="s">
        <v>92</v>
      </c>
      <c r="J451" s="34" t="s">
        <v>185</v>
      </c>
      <c r="K451" s="39"/>
      <c r="L451" s="41"/>
      <c r="M451" s="38" t="str">
        <f t="shared" si="170"/>
        <v/>
      </c>
      <c r="N451" s="39"/>
      <c r="O451" s="39"/>
      <c r="P451" s="39"/>
      <c r="Q451" s="39"/>
      <c r="R451" s="39"/>
      <c r="S451" s="39"/>
      <c r="T451" s="39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</row>
    <row r="452">
      <c r="A452" s="28">
        <f t="shared" si="169"/>
        <v>451</v>
      </c>
      <c r="B452" s="34">
        <v>87.0</v>
      </c>
      <c r="C452" s="29" t="s">
        <v>635</v>
      </c>
      <c r="D452" s="35" t="str">
        <f t="shared" si="166"/>
        <v>Sonnery-cottet et al., 2026</v>
      </c>
      <c r="E452" s="36" t="s">
        <v>657</v>
      </c>
      <c r="F452" s="36" t="s">
        <v>658</v>
      </c>
      <c r="G452" s="28" t="s">
        <v>32</v>
      </c>
      <c r="H452" s="34" t="s">
        <v>9</v>
      </c>
      <c r="I452" s="29" t="s">
        <v>149</v>
      </c>
      <c r="J452" s="34" t="s">
        <v>173</v>
      </c>
      <c r="K452" s="39"/>
      <c r="L452" s="43"/>
      <c r="M452" s="41" t="str">
        <f t="shared" ref="M452:M453" si="171">iferror(P_SD(K452,L452),"")</f>
        <v/>
      </c>
      <c r="N452" s="39"/>
      <c r="O452" s="39"/>
      <c r="P452" s="39"/>
      <c r="Q452" s="39"/>
      <c r="R452" s="39"/>
      <c r="S452" s="39"/>
      <c r="T452" s="39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</row>
    <row r="453">
      <c r="A453" s="28">
        <v>433.0</v>
      </c>
      <c r="B453" s="34">
        <v>87.0</v>
      </c>
      <c r="C453" s="29" t="s">
        <v>635</v>
      </c>
      <c r="D453" s="35" t="str">
        <f t="shared" si="166"/>
        <v>Sonnery-cottet et al., 2026</v>
      </c>
      <c r="E453" s="36" t="s">
        <v>657</v>
      </c>
      <c r="F453" s="36" t="s">
        <v>658</v>
      </c>
      <c r="G453" s="28" t="s">
        <v>32</v>
      </c>
      <c r="H453" s="34" t="s">
        <v>9</v>
      </c>
      <c r="I453" s="29" t="s">
        <v>149</v>
      </c>
      <c r="J453" s="34" t="s">
        <v>308</v>
      </c>
      <c r="K453" s="39"/>
      <c r="L453" s="43"/>
      <c r="M453" s="41" t="str">
        <f t="shared" si="171"/>
        <v/>
      </c>
      <c r="N453" s="39"/>
      <c r="O453" s="39"/>
      <c r="P453" s="39"/>
      <c r="Q453" s="39"/>
      <c r="R453" s="39"/>
      <c r="S453" s="39"/>
      <c r="T453" s="39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</row>
    <row r="454">
      <c r="A454" s="28">
        <f t="shared" ref="A454:A483" si="172">if(G454="Included",row(A454)-1,"")</f>
        <v>453</v>
      </c>
      <c r="B454" s="34">
        <v>89.0</v>
      </c>
      <c r="C454" s="29" t="s">
        <v>635</v>
      </c>
      <c r="D454" s="35" t="str">
        <f t="shared" ref="D454:D455" si="173">HYPERLINK("https://github.com/d-wkim/phd/blob/main/data/pdf/tang_2023.pdf","Tang et al., 2023")</f>
        <v>Tang et al., 2023</v>
      </c>
      <c r="E454" s="36" t="s">
        <v>659</v>
      </c>
      <c r="F454" s="36" t="s">
        <v>660</v>
      </c>
      <c r="G454" s="28" t="s">
        <v>32</v>
      </c>
      <c r="H454" s="34" t="s">
        <v>9</v>
      </c>
      <c r="I454" s="29" t="s">
        <v>92</v>
      </c>
      <c r="J454" s="34" t="s">
        <v>220</v>
      </c>
      <c r="K454" s="39"/>
      <c r="L454" s="41"/>
      <c r="M454" s="38" t="str">
        <f t="shared" ref="M454:M459" si="174">iferror(RANGE_SD(K454,N454,R454),"")</f>
        <v/>
      </c>
      <c r="N454" s="39"/>
      <c r="O454" s="39"/>
      <c r="P454" s="39"/>
      <c r="Q454" s="39"/>
      <c r="R454" s="39"/>
      <c r="S454" s="39"/>
      <c r="T454" s="39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</row>
    <row r="455">
      <c r="A455" s="28">
        <f t="shared" si="172"/>
        <v>454</v>
      </c>
      <c r="B455" s="34">
        <v>89.0</v>
      </c>
      <c r="C455" s="29" t="s">
        <v>635</v>
      </c>
      <c r="D455" s="35" t="str">
        <f t="shared" si="173"/>
        <v>Tang et al., 2023</v>
      </c>
      <c r="E455" s="36" t="s">
        <v>659</v>
      </c>
      <c r="F455" s="36" t="s">
        <v>660</v>
      </c>
      <c r="G455" s="28" t="s">
        <v>32</v>
      </c>
      <c r="H455" s="34" t="s">
        <v>10</v>
      </c>
      <c r="I455" s="29" t="s">
        <v>92</v>
      </c>
      <c r="J455" s="34" t="s">
        <v>220</v>
      </c>
      <c r="K455" s="39"/>
      <c r="L455" s="41"/>
      <c r="M455" s="38" t="str">
        <f t="shared" si="174"/>
        <v/>
      </c>
      <c r="N455" s="39"/>
      <c r="O455" s="39"/>
      <c r="P455" s="39"/>
      <c r="Q455" s="39"/>
      <c r="R455" s="39"/>
      <c r="S455" s="39"/>
      <c r="T455" s="39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</row>
    <row r="456">
      <c r="A456" s="28">
        <f t="shared" si="172"/>
        <v>455</v>
      </c>
      <c r="B456" s="34">
        <v>90.0</v>
      </c>
      <c r="C456" s="29" t="s">
        <v>635</v>
      </c>
      <c r="D456" s="35" t="str">
        <f t="shared" ref="D456:D465" si="175">HYPERLINK("https://github.com/d-wkim/phd/blob/main/data/pdf/taylor_2009.pdf","Taylor et al., 2009")</f>
        <v>Taylor et al., 2009</v>
      </c>
      <c r="E456" s="36" t="s">
        <v>661</v>
      </c>
      <c r="F456" s="36" t="s">
        <v>662</v>
      </c>
      <c r="G456" s="28" t="s">
        <v>32</v>
      </c>
      <c r="H456" s="34" t="s">
        <v>2</v>
      </c>
      <c r="I456" s="29" t="s">
        <v>92</v>
      </c>
      <c r="J456" s="34" t="s">
        <v>220</v>
      </c>
      <c r="K456" s="39"/>
      <c r="L456" s="41"/>
      <c r="M456" s="38" t="str">
        <f t="shared" si="174"/>
        <v/>
      </c>
      <c r="N456" s="39"/>
      <c r="O456" s="39"/>
      <c r="P456" s="39"/>
      <c r="Q456" s="39"/>
      <c r="R456" s="39"/>
      <c r="S456" s="39"/>
      <c r="T456" s="39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</row>
    <row r="457">
      <c r="A457" s="28">
        <f t="shared" si="172"/>
        <v>456</v>
      </c>
      <c r="B457" s="34">
        <v>90.0</v>
      </c>
      <c r="C457" s="29" t="s">
        <v>635</v>
      </c>
      <c r="D457" s="35" t="str">
        <f t="shared" si="175"/>
        <v>Taylor et al., 2009</v>
      </c>
      <c r="E457" s="36" t="s">
        <v>661</v>
      </c>
      <c r="F457" s="36" t="s">
        <v>662</v>
      </c>
      <c r="G457" s="28" t="s">
        <v>32</v>
      </c>
      <c r="H457" s="34" t="s">
        <v>2</v>
      </c>
      <c r="I457" s="29" t="s">
        <v>92</v>
      </c>
      <c r="J457" s="34" t="s">
        <v>96</v>
      </c>
      <c r="K457" s="39"/>
      <c r="L457" s="41"/>
      <c r="M457" s="38" t="str">
        <f t="shared" si="174"/>
        <v/>
      </c>
      <c r="N457" s="39"/>
      <c r="O457" s="39"/>
      <c r="P457" s="39"/>
      <c r="Q457" s="39"/>
      <c r="R457" s="39"/>
      <c r="S457" s="39"/>
      <c r="T457" s="39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</row>
    <row r="458">
      <c r="A458" s="28">
        <f t="shared" si="172"/>
        <v>457</v>
      </c>
      <c r="B458" s="34">
        <v>90.0</v>
      </c>
      <c r="C458" s="29" t="s">
        <v>635</v>
      </c>
      <c r="D458" s="35" t="str">
        <f t="shared" si="175"/>
        <v>Taylor et al., 2009</v>
      </c>
      <c r="E458" s="36" t="s">
        <v>661</v>
      </c>
      <c r="F458" s="36" t="s">
        <v>662</v>
      </c>
      <c r="G458" s="28" t="s">
        <v>32</v>
      </c>
      <c r="H458" s="34" t="s">
        <v>2</v>
      </c>
      <c r="I458" s="29" t="s">
        <v>92</v>
      </c>
      <c r="J458" s="34" t="s">
        <v>226</v>
      </c>
      <c r="K458" s="39"/>
      <c r="L458" s="41"/>
      <c r="M458" s="38" t="str">
        <f t="shared" si="174"/>
        <v/>
      </c>
      <c r="N458" s="39"/>
      <c r="O458" s="39"/>
      <c r="P458" s="39"/>
      <c r="Q458" s="39"/>
      <c r="R458" s="39"/>
      <c r="S458" s="39"/>
      <c r="T458" s="39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</row>
    <row r="459">
      <c r="A459" s="28">
        <f t="shared" si="172"/>
        <v>458</v>
      </c>
      <c r="B459" s="34">
        <v>90.0</v>
      </c>
      <c r="C459" s="29" t="s">
        <v>635</v>
      </c>
      <c r="D459" s="35" t="str">
        <f t="shared" si="175"/>
        <v>Taylor et al., 2009</v>
      </c>
      <c r="E459" s="36" t="s">
        <v>661</v>
      </c>
      <c r="F459" s="36" t="s">
        <v>662</v>
      </c>
      <c r="G459" s="28" t="s">
        <v>32</v>
      </c>
      <c r="H459" s="34" t="s">
        <v>2</v>
      </c>
      <c r="I459" s="29" t="s">
        <v>92</v>
      </c>
      <c r="J459" s="34" t="s">
        <v>185</v>
      </c>
      <c r="K459" s="39"/>
      <c r="L459" s="41"/>
      <c r="M459" s="38" t="str">
        <f t="shared" si="174"/>
        <v/>
      </c>
      <c r="N459" s="39"/>
      <c r="O459" s="39"/>
      <c r="P459" s="39"/>
      <c r="Q459" s="39"/>
      <c r="R459" s="39"/>
      <c r="S459" s="39"/>
      <c r="T459" s="39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</row>
    <row r="460">
      <c r="A460" s="28">
        <f t="shared" si="172"/>
        <v>459</v>
      </c>
      <c r="B460" s="34">
        <v>90.0</v>
      </c>
      <c r="C460" s="29" t="s">
        <v>635</v>
      </c>
      <c r="D460" s="35" t="str">
        <f t="shared" si="175"/>
        <v>Taylor et al., 2009</v>
      </c>
      <c r="E460" s="36" t="s">
        <v>661</v>
      </c>
      <c r="F460" s="36" t="s">
        <v>662</v>
      </c>
      <c r="G460" s="28" t="s">
        <v>32</v>
      </c>
      <c r="H460" s="34" t="s">
        <v>2</v>
      </c>
      <c r="I460" s="29" t="s">
        <v>149</v>
      </c>
      <c r="J460" s="34" t="s">
        <v>173</v>
      </c>
      <c r="K460" s="39"/>
      <c r="L460" s="43"/>
      <c r="M460" s="41" t="str">
        <f>iferror(P_SD(K460,L460),"")</f>
        <v/>
      </c>
      <c r="N460" s="39"/>
      <c r="O460" s="39"/>
      <c r="P460" s="39"/>
      <c r="Q460" s="39"/>
      <c r="R460" s="39"/>
      <c r="S460" s="39"/>
      <c r="T460" s="39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</row>
    <row r="461">
      <c r="A461" s="28">
        <f t="shared" si="172"/>
        <v>460</v>
      </c>
      <c r="B461" s="34">
        <v>90.0</v>
      </c>
      <c r="C461" s="29" t="s">
        <v>635</v>
      </c>
      <c r="D461" s="35" t="str">
        <f t="shared" si="175"/>
        <v>Taylor et al., 2009</v>
      </c>
      <c r="E461" s="36" t="s">
        <v>661</v>
      </c>
      <c r="F461" s="36" t="s">
        <v>662</v>
      </c>
      <c r="G461" s="28" t="s">
        <v>32</v>
      </c>
      <c r="H461" s="34" t="s">
        <v>9</v>
      </c>
      <c r="I461" s="29" t="s">
        <v>92</v>
      </c>
      <c r="J461" s="34" t="s">
        <v>220</v>
      </c>
      <c r="K461" s="39"/>
      <c r="L461" s="41"/>
      <c r="M461" s="38" t="str">
        <f t="shared" ref="M461:M464" si="176">iferror(RANGE_SD(K461,N461,R461),"")</f>
        <v/>
      </c>
      <c r="N461" s="39"/>
      <c r="O461" s="39"/>
      <c r="P461" s="39"/>
      <c r="Q461" s="39"/>
      <c r="R461" s="39"/>
      <c r="S461" s="39"/>
      <c r="T461" s="39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</row>
    <row r="462">
      <c r="A462" s="28">
        <f t="shared" si="172"/>
        <v>461</v>
      </c>
      <c r="B462" s="34">
        <v>90.0</v>
      </c>
      <c r="C462" s="29" t="s">
        <v>635</v>
      </c>
      <c r="D462" s="35" t="str">
        <f t="shared" si="175"/>
        <v>Taylor et al., 2009</v>
      </c>
      <c r="E462" s="36" t="s">
        <v>661</v>
      </c>
      <c r="F462" s="36" t="s">
        <v>662</v>
      </c>
      <c r="G462" s="28" t="s">
        <v>32</v>
      </c>
      <c r="H462" s="34" t="s">
        <v>9</v>
      </c>
      <c r="I462" s="29" t="s">
        <v>92</v>
      </c>
      <c r="J462" s="34" t="s">
        <v>96</v>
      </c>
      <c r="K462" s="39"/>
      <c r="L462" s="41"/>
      <c r="M462" s="38" t="str">
        <f t="shared" si="176"/>
        <v/>
      </c>
      <c r="N462" s="39"/>
      <c r="O462" s="39"/>
      <c r="P462" s="39"/>
      <c r="Q462" s="39"/>
      <c r="R462" s="39"/>
      <c r="S462" s="39"/>
      <c r="T462" s="39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</row>
    <row r="463">
      <c r="A463" s="28">
        <f t="shared" si="172"/>
        <v>462</v>
      </c>
      <c r="B463" s="34">
        <v>90.0</v>
      </c>
      <c r="C463" s="29" t="s">
        <v>635</v>
      </c>
      <c r="D463" s="35" t="str">
        <f t="shared" si="175"/>
        <v>Taylor et al., 2009</v>
      </c>
      <c r="E463" s="36" t="s">
        <v>661</v>
      </c>
      <c r="F463" s="36" t="s">
        <v>662</v>
      </c>
      <c r="G463" s="28" t="s">
        <v>32</v>
      </c>
      <c r="H463" s="34" t="s">
        <v>9</v>
      </c>
      <c r="I463" s="29" t="s">
        <v>92</v>
      </c>
      <c r="J463" s="34" t="s">
        <v>226</v>
      </c>
      <c r="K463" s="39"/>
      <c r="L463" s="41"/>
      <c r="M463" s="38" t="str">
        <f t="shared" si="176"/>
        <v/>
      </c>
      <c r="N463" s="39"/>
      <c r="O463" s="39"/>
      <c r="P463" s="39"/>
      <c r="Q463" s="39"/>
      <c r="R463" s="39"/>
      <c r="S463" s="39"/>
      <c r="T463" s="39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</row>
    <row r="464">
      <c r="A464" s="28">
        <f t="shared" si="172"/>
        <v>463</v>
      </c>
      <c r="B464" s="34">
        <v>90.0</v>
      </c>
      <c r="C464" s="29" t="s">
        <v>635</v>
      </c>
      <c r="D464" s="35" t="str">
        <f t="shared" si="175"/>
        <v>Taylor et al., 2009</v>
      </c>
      <c r="E464" s="36" t="s">
        <v>661</v>
      </c>
      <c r="F464" s="36" t="s">
        <v>662</v>
      </c>
      <c r="G464" s="28" t="s">
        <v>32</v>
      </c>
      <c r="H464" s="34" t="s">
        <v>9</v>
      </c>
      <c r="I464" s="29" t="s">
        <v>92</v>
      </c>
      <c r="J464" s="34" t="s">
        <v>185</v>
      </c>
      <c r="K464" s="39"/>
      <c r="L464" s="41"/>
      <c r="M464" s="38" t="str">
        <f t="shared" si="176"/>
        <v/>
      </c>
      <c r="N464" s="39"/>
      <c r="O464" s="39"/>
      <c r="P464" s="39"/>
      <c r="Q464" s="39"/>
      <c r="R464" s="39"/>
      <c r="S464" s="39"/>
      <c r="T464" s="39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</row>
    <row r="465">
      <c r="A465" s="28">
        <f t="shared" si="172"/>
        <v>464</v>
      </c>
      <c r="B465" s="34">
        <v>90.0</v>
      </c>
      <c r="C465" s="29" t="s">
        <v>635</v>
      </c>
      <c r="D465" s="35" t="str">
        <f t="shared" si="175"/>
        <v>Taylor et al., 2009</v>
      </c>
      <c r="E465" s="36" t="s">
        <v>661</v>
      </c>
      <c r="F465" s="36" t="s">
        <v>662</v>
      </c>
      <c r="G465" s="28" t="s">
        <v>32</v>
      </c>
      <c r="H465" s="34" t="s">
        <v>9</v>
      </c>
      <c r="I465" s="29" t="s">
        <v>149</v>
      </c>
      <c r="J465" s="34" t="s">
        <v>173</v>
      </c>
      <c r="K465" s="39"/>
      <c r="L465" s="43"/>
      <c r="M465" s="41" t="str">
        <f>iferror(P_SD(K465,L465),"")</f>
        <v/>
      </c>
      <c r="N465" s="39"/>
      <c r="O465" s="39"/>
      <c r="P465" s="39"/>
      <c r="Q465" s="39"/>
      <c r="R465" s="39"/>
      <c r="S465" s="39"/>
      <c r="T465" s="39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</row>
    <row r="466">
      <c r="A466" s="28">
        <f t="shared" si="172"/>
        <v>465</v>
      </c>
      <c r="B466" s="34">
        <v>93.0</v>
      </c>
      <c r="C466" s="29" t="s">
        <v>635</v>
      </c>
      <c r="D466" s="35" t="str">
        <f t="shared" ref="D466:D473" si="177">HYPERLINK("https://github.com/d-wkim/phd/blob/main/data/pdf/vilchez-cavazos_2020.pdf","Vilchez-cavazos et al., 2020")</f>
        <v>Vilchez-cavazos et al., 2020</v>
      </c>
      <c r="E466" s="36" t="s">
        <v>663</v>
      </c>
      <c r="F466" s="36" t="s">
        <v>664</v>
      </c>
      <c r="G466" s="28" t="s">
        <v>32</v>
      </c>
      <c r="H466" s="34" t="s">
        <v>2</v>
      </c>
      <c r="I466" s="29" t="s">
        <v>92</v>
      </c>
      <c r="J466" s="34" t="s">
        <v>220</v>
      </c>
      <c r="K466" s="39"/>
      <c r="L466" s="41"/>
      <c r="M466" s="38" t="str">
        <f t="shared" ref="M466:M481" si="178">iferror(RANGE_SD(K466,N466,R466),"")</f>
        <v/>
      </c>
      <c r="N466" s="39"/>
      <c r="O466" s="39"/>
      <c r="P466" s="39"/>
      <c r="Q466" s="39"/>
      <c r="R466" s="39"/>
      <c r="S466" s="39"/>
      <c r="T466" s="39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</row>
    <row r="467">
      <c r="A467" s="28">
        <f t="shared" si="172"/>
        <v>466</v>
      </c>
      <c r="B467" s="34">
        <v>93.0</v>
      </c>
      <c r="C467" s="29" t="s">
        <v>635</v>
      </c>
      <c r="D467" s="35" t="str">
        <f t="shared" si="177"/>
        <v>Vilchez-cavazos et al., 2020</v>
      </c>
      <c r="E467" s="36" t="s">
        <v>663</v>
      </c>
      <c r="F467" s="36" t="s">
        <v>664</v>
      </c>
      <c r="G467" s="28" t="s">
        <v>32</v>
      </c>
      <c r="H467" s="34" t="s">
        <v>2</v>
      </c>
      <c r="I467" s="29" t="s">
        <v>92</v>
      </c>
      <c r="J467" s="34" t="s">
        <v>96</v>
      </c>
      <c r="K467" s="39"/>
      <c r="L467" s="41"/>
      <c r="M467" s="38" t="str">
        <f t="shared" si="178"/>
        <v/>
      </c>
      <c r="N467" s="39"/>
      <c r="O467" s="39"/>
      <c r="P467" s="39"/>
      <c r="Q467" s="39"/>
      <c r="R467" s="39"/>
      <c r="S467" s="39"/>
      <c r="T467" s="39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</row>
    <row r="468">
      <c r="A468" s="28">
        <f t="shared" si="172"/>
        <v>467</v>
      </c>
      <c r="B468" s="34">
        <v>93.0</v>
      </c>
      <c r="C468" s="29" t="s">
        <v>635</v>
      </c>
      <c r="D468" s="35" t="str">
        <f t="shared" si="177"/>
        <v>Vilchez-cavazos et al., 2020</v>
      </c>
      <c r="E468" s="36" t="s">
        <v>663</v>
      </c>
      <c r="F468" s="36" t="s">
        <v>664</v>
      </c>
      <c r="G468" s="28" t="s">
        <v>32</v>
      </c>
      <c r="H468" s="34" t="s">
        <v>2</v>
      </c>
      <c r="I468" s="29" t="s">
        <v>92</v>
      </c>
      <c r="J468" s="34" t="s">
        <v>226</v>
      </c>
      <c r="K468" s="39"/>
      <c r="L468" s="41"/>
      <c r="M468" s="38" t="str">
        <f t="shared" si="178"/>
        <v/>
      </c>
      <c r="N468" s="39"/>
      <c r="O468" s="39"/>
      <c r="P468" s="39"/>
      <c r="Q468" s="39"/>
      <c r="R468" s="39"/>
      <c r="S468" s="39"/>
      <c r="T468" s="39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</row>
    <row r="469">
      <c r="A469" s="28">
        <f t="shared" si="172"/>
        <v>468</v>
      </c>
      <c r="B469" s="34">
        <v>93.0</v>
      </c>
      <c r="C469" s="29" t="s">
        <v>635</v>
      </c>
      <c r="D469" s="35" t="str">
        <f t="shared" si="177"/>
        <v>Vilchez-cavazos et al., 2020</v>
      </c>
      <c r="E469" s="36" t="s">
        <v>663</v>
      </c>
      <c r="F469" s="36" t="s">
        <v>664</v>
      </c>
      <c r="G469" s="28" t="s">
        <v>32</v>
      </c>
      <c r="H469" s="34" t="s">
        <v>2</v>
      </c>
      <c r="I469" s="29" t="s">
        <v>92</v>
      </c>
      <c r="J469" s="34" t="s">
        <v>185</v>
      </c>
      <c r="K469" s="39"/>
      <c r="L469" s="41"/>
      <c r="M469" s="38" t="str">
        <f t="shared" si="178"/>
        <v/>
      </c>
      <c r="N469" s="39"/>
      <c r="O469" s="39"/>
      <c r="P469" s="39"/>
      <c r="Q469" s="39"/>
      <c r="R469" s="39"/>
      <c r="S469" s="39"/>
      <c r="T469" s="39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</row>
    <row r="470">
      <c r="A470" s="28">
        <f t="shared" si="172"/>
        <v>469</v>
      </c>
      <c r="B470" s="34">
        <v>93.0</v>
      </c>
      <c r="C470" s="29" t="s">
        <v>635</v>
      </c>
      <c r="D470" s="35" t="str">
        <f t="shared" si="177"/>
        <v>Vilchez-cavazos et al., 2020</v>
      </c>
      <c r="E470" s="36" t="s">
        <v>663</v>
      </c>
      <c r="F470" s="36" t="s">
        <v>664</v>
      </c>
      <c r="G470" s="28" t="s">
        <v>32</v>
      </c>
      <c r="H470" s="34" t="s">
        <v>10</v>
      </c>
      <c r="I470" s="29" t="s">
        <v>92</v>
      </c>
      <c r="J470" s="34" t="s">
        <v>220</v>
      </c>
      <c r="K470" s="39"/>
      <c r="L470" s="41"/>
      <c r="M470" s="38" t="str">
        <f t="shared" si="178"/>
        <v/>
      </c>
      <c r="N470" s="39"/>
      <c r="O470" s="39"/>
      <c r="P470" s="39"/>
      <c r="Q470" s="39"/>
      <c r="R470" s="39"/>
      <c r="S470" s="39"/>
      <c r="T470" s="39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</row>
    <row r="471">
      <c r="A471" s="28">
        <f t="shared" si="172"/>
        <v>470</v>
      </c>
      <c r="B471" s="34">
        <v>93.0</v>
      </c>
      <c r="C471" s="29" t="s">
        <v>635</v>
      </c>
      <c r="D471" s="35" t="str">
        <f t="shared" si="177"/>
        <v>Vilchez-cavazos et al., 2020</v>
      </c>
      <c r="E471" s="36" t="s">
        <v>663</v>
      </c>
      <c r="F471" s="36" t="s">
        <v>664</v>
      </c>
      <c r="G471" s="28" t="s">
        <v>32</v>
      </c>
      <c r="H471" s="34" t="s">
        <v>10</v>
      </c>
      <c r="I471" s="29" t="s">
        <v>92</v>
      </c>
      <c r="J471" s="34" t="s">
        <v>96</v>
      </c>
      <c r="K471" s="39"/>
      <c r="L471" s="41"/>
      <c r="M471" s="38" t="str">
        <f t="shared" si="178"/>
        <v/>
      </c>
      <c r="N471" s="39"/>
      <c r="O471" s="39"/>
      <c r="P471" s="39"/>
      <c r="Q471" s="39"/>
      <c r="R471" s="39"/>
      <c r="S471" s="39"/>
      <c r="T471" s="39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</row>
    <row r="472">
      <c r="A472" s="28">
        <f t="shared" si="172"/>
        <v>471</v>
      </c>
      <c r="B472" s="34">
        <v>93.0</v>
      </c>
      <c r="C472" s="29" t="s">
        <v>635</v>
      </c>
      <c r="D472" s="35" t="str">
        <f t="shared" si="177"/>
        <v>Vilchez-cavazos et al., 2020</v>
      </c>
      <c r="E472" s="36" t="s">
        <v>663</v>
      </c>
      <c r="F472" s="36" t="s">
        <v>664</v>
      </c>
      <c r="G472" s="28" t="s">
        <v>32</v>
      </c>
      <c r="H472" s="34" t="s">
        <v>10</v>
      </c>
      <c r="I472" s="29" t="s">
        <v>92</v>
      </c>
      <c r="J472" s="34" t="s">
        <v>226</v>
      </c>
      <c r="K472" s="39"/>
      <c r="L472" s="41"/>
      <c r="M472" s="38" t="str">
        <f t="shared" si="178"/>
        <v/>
      </c>
      <c r="N472" s="39"/>
      <c r="O472" s="39"/>
      <c r="P472" s="39"/>
      <c r="Q472" s="39"/>
      <c r="R472" s="39"/>
      <c r="S472" s="39"/>
      <c r="T472" s="39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</row>
    <row r="473">
      <c r="A473" s="28">
        <f t="shared" si="172"/>
        <v>472</v>
      </c>
      <c r="B473" s="34">
        <v>93.0</v>
      </c>
      <c r="C473" s="29" t="s">
        <v>635</v>
      </c>
      <c r="D473" s="35" t="str">
        <f t="shared" si="177"/>
        <v>Vilchez-cavazos et al., 2020</v>
      </c>
      <c r="E473" s="36" t="s">
        <v>663</v>
      </c>
      <c r="F473" s="36" t="s">
        <v>664</v>
      </c>
      <c r="G473" s="28" t="s">
        <v>32</v>
      </c>
      <c r="H473" s="34" t="s">
        <v>10</v>
      </c>
      <c r="I473" s="29" t="s">
        <v>92</v>
      </c>
      <c r="J473" s="34" t="s">
        <v>185</v>
      </c>
      <c r="K473" s="39"/>
      <c r="L473" s="41"/>
      <c r="M473" s="38" t="str">
        <f t="shared" si="178"/>
        <v/>
      </c>
      <c r="N473" s="39"/>
      <c r="O473" s="39"/>
      <c r="P473" s="39"/>
      <c r="Q473" s="39"/>
      <c r="R473" s="39"/>
      <c r="S473" s="39"/>
      <c r="T473" s="39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</row>
    <row r="474">
      <c r="A474" s="28">
        <f t="shared" si="172"/>
        <v>473</v>
      </c>
      <c r="B474" s="34">
        <v>95.0</v>
      </c>
      <c r="C474" s="29" t="s">
        <v>635</v>
      </c>
      <c r="D474" s="35" t="str">
        <f t="shared" ref="D474:D477" si="179">HYPERLINK("https://github.com/d-wkim/phd/blob/main/data/pdf/webster_2001.pdf","Webster et al., 2001")</f>
        <v>Webster et al., 2001</v>
      </c>
      <c r="E474" s="36" t="s">
        <v>665</v>
      </c>
      <c r="F474" s="36" t="s">
        <v>666</v>
      </c>
      <c r="G474" s="28" t="s">
        <v>32</v>
      </c>
      <c r="H474" s="34" t="s">
        <v>2</v>
      </c>
      <c r="I474" s="29" t="s">
        <v>92</v>
      </c>
      <c r="J474" s="34" t="s">
        <v>220</v>
      </c>
      <c r="K474" s="39"/>
      <c r="L474" s="41"/>
      <c r="M474" s="38" t="str">
        <f t="shared" si="178"/>
        <v/>
      </c>
      <c r="N474" s="39"/>
      <c r="O474" s="39"/>
      <c r="P474" s="39"/>
      <c r="Q474" s="39"/>
      <c r="R474" s="39"/>
      <c r="S474" s="39"/>
      <c r="T474" s="39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</row>
    <row r="475">
      <c r="A475" s="28">
        <f t="shared" si="172"/>
        <v>474</v>
      </c>
      <c r="B475" s="34">
        <v>95.0</v>
      </c>
      <c r="C475" s="29" t="s">
        <v>635</v>
      </c>
      <c r="D475" s="35" t="str">
        <f t="shared" si="179"/>
        <v>Webster et al., 2001</v>
      </c>
      <c r="E475" s="36" t="s">
        <v>665</v>
      </c>
      <c r="F475" s="36" t="s">
        <v>666</v>
      </c>
      <c r="G475" s="28" t="s">
        <v>32</v>
      </c>
      <c r="H475" s="34" t="s">
        <v>2</v>
      </c>
      <c r="I475" s="29" t="s">
        <v>92</v>
      </c>
      <c r="J475" s="34" t="s">
        <v>185</v>
      </c>
      <c r="K475" s="39"/>
      <c r="L475" s="41"/>
      <c r="M475" s="38" t="str">
        <f t="shared" si="178"/>
        <v/>
      </c>
      <c r="N475" s="39"/>
      <c r="O475" s="39"/>
      <c r="P475" s="39"/>
      <c r="Q475" s="39"/>
      <c r="R475" s="39"/>
      <c r="S475" s="39"/>
      <c r="T475" s="39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</row>
    <row r="476">
      <c r="A476" s="28">
        <f t="shared" si="172"/>
        <v>475</v>
      </c>
      <c r="B476" s="34">
        <v>95.0</v>
      </c>
      <c r="C476" s="29" t="s">
        <v>635</v>
      </c>
      <c r="D476" s="35" t="str">
        <f t="shared" si="179"/>
        <v>Webster et al., 2001</v>
      </c>
      <c r="E476" s="36" t="s">
        <v>665</v>
      </c>
      <c r="F476" s="36" t="s">
        <v>666</v>
      </c>
      <c r="G476" s="28" t="s">
        <v>32</v>
      </c>
      <c r="H476" s="34" t="s">
        <v>9</v>
      </c>
      <c r="I476" s="29" t="s">
        <v>92</v>
      </c>
      <c r="J476" s="34" t="s">
        <v>220</v>
      </c>
      <c r="K476" s="39"/>
      <c r="L476" s="41"/>
      <c r="M476" s="38" t="str">
        <f t="shared" si="178"/>
        <v/>
      </c>
      <c r="N476" s="39"/>
      <c r="O476" s="39"/>
      <c r="P476" s="39"/>
      <c r="Q476" s="39"/>
      <c r="R476" s="39"/>
      <c r="S476" s="39"/>
      <c r="T476" s="39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</row>
    <row r="477">
      <c r="A477" s="28">
        <f t="shared" si="172"/>
        <v>476</v>
      </c>
      <c r="B477" s="34">
        <v>95.0</v>
      </c>
      <c r="C477" s="29" t="s">
        <v>635</v>
      </c>
      <c r="D477" s="35" t="str">
        <f t="shared" si="179"/>
        <v>Webster et al., 2001</v>
      </c>
      <c r="E477" s="36" t="s">
        <v>665</v>
      </c>
      <c r="F477" s="36" t="s">
        <v>666</v>
      </c>
      <c r="G477" s="28" t="s">
        <v>32</v>
      </c>
      <c r="H477" s="34" t="s">
        <v>9</v>
      </c>
      <c r="I477" s="29" t="s">
        <v>92</v>
      </c>
      <c r="J477" s="34" t="s">
        <v>185</v>
      </c>
      <c r="K477" s="39"/>
      <c r="L477" s="41"/>
      <c r="M477" s="38" t="str">
        <f t="shared" si="178"/>
        <v/>
      </c>
      <c r="N477" s="39"/>
      <c r="O477" s="39"/>
      <c r="P477" s="39"/>
      <c r="Q477" s="39"/>
      <c r="R477" s="39"/>
      <c r="S477" s="39"/>
      <c r="T477" s="39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</row>
    <row r="478">
      <c r="A478" s="28">
        <f t="shared" si="172"/>
        <v>477</v>
      </c>
      <c r="B478" s="34">
        <v>96.0</v>
      </c>
      <c r="C478" s="29" t="s">
        <v>635</v>
      </c>
      <c r="D478" s="35" t="str">
        <f t="shared" ref="D478:D491" si="180">HYPERLINK("https://github.com/d-wkim/phd/blob/main/data/pdf/wipfler_2011.pdf","Wipfler et al., 2011")</f>
        <v>Wipfler et al., 2011</v>
      </c>
      <c r="E478" s="36" t="s">
        <v>667</v>
      </c>
      <c r="F478" s="36" t="s">
        <v>668</v>
      </c>
      <c r="G478" s="28" t="s">
        <v>32</v>
      </c>
      <c r="H478" s="34" t="s">
        <v>2</v>
      </c>
      <c r="I478" s="29" t="s">
        <v>92</v>
      </c>
      <c r="J478" s="34" t="s">
        <v>220</v>
      </c>
      <c r="K478" s="39"/>
      <c r="L478" s="41"/>
      <c r="M478" s="38" t="str">
        <f t="shared" si="178"/>
        <v/>
      </c>
      <c r="N478" s="39"/>
      <c r="O478" s="39"/>
      <c r="P478" s="39"/>
      <c r="Q478" s="39"/>
      <c r="R478" s="39"/>
      <c r="S478" s="39"/>
      <c r="T478" s="39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</row>
    <row r="479">
      <c r="A479" s="28">
        <f t="shared" si="172"/>
        <v>478</v>
      </c>
      <c r="B479" s="34">
        <v>96.0</v>
      </c>
      <c r="C479" s="29" t="s">
        <v>635</v>
      </c>
      <c r="D479" s="35" t="str">
        <f t="shared" si="180"/>
        <v>Wipfler et al., 2011</v>
      </c>
      <c r="E479" s="36" t="s">
        <v>667</v>
      </c>
      <c r="F479" s="36" t="s">
        <v>668</v>
      </c>
      <c r="G479" s="28" t="s">
        <v>32</v>
      </c>
      <c r="H479" s="34" t="s">
        <v>2</v>
      </c>
      <c r="I479" s="29" t="s">
        <v>92</v>
      </c>
      <c r="J479" s="34" t="s">
        <v>96</v>
      </c>
      <c r="K479" s="39"/>
      <c r="L479" s="41"/>
      <c r="M479" s="38" t="str">
        <f t="shared" si="178"/>
        <v/>
      </c>
      <c r="N479" s="39"/>
      <c r="O479" s="39"/>
      <c r="P479" s="39"/>
      <c r="Q479" s="39"/>
      <c r="R479" s="39"/>
      <c r="S479" s="39"/>
      <c r="T479" s="39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</row>
    <row r="480">
      <c r="A480" s="28">
        <f t="shared" si="172"/>
        <v>479</v>
      </c>
      <c r="B480" s="34">
        <v>96.0</v>
      </c>
      <c r="C480" s="29" t="s">
        <v>635</v>
      </c>
      <c r="D480" s="35" t="str">
        <f t="shared" si="180"/>
        <v>Wipfler et al., 2011</v>
      </c>
      <c r="E480" s="36" t="s">
        <v>667</v>
      </c>
      <c r="F480" s="36" t="s">
        <v>668</v>
      </c>
      <c r="G480" s="28" t="s">
        <v>32</v>
      </c>
      <c r="H480" s="34" t="s">
        <v>2</v>
      </c>
      <c r="I480" s="29" t="s">
        <v>92</v>
      </c>
      <c r="J480" s="34" t="s">
        <v>226</v>
      </c>
      <c r="K480" s="39"/>
      <c r="L480" s="41"/>
      <c r="M480" s="38" t="str">
        <f t="shared" si="178"/>
        <v/>
      </c>
      <c r="N480" s="39"/>
      <c r="O480" s="39"/>
      <c r="P480" s="39"/>
      <c r="Q480" s="39"/>
      <c r="R480" s="39"/>
      <c r="S480" s="39"/>
      <c r="T480" s="39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</row>
    <row r="481">
      <c r="A481" s="28">
        <f t="shared" si="172"/>
        <v>480</v>
      </c>
      <c r="B481" s="34">
        <v>96.0</v>
      </c>
      <c r="C481" s="29" t="s">
        <v>635</v>
      </c>
      <c r="D481" s="35" t="str">
        <f t="shared" si="180"/>
        <v>Wipfler et al., 2011</v>
      </c>
      <c r="E481" s="36" t="s">
        <v>667</v>
      </c>
      <c r="F481" s="36" t="s">
        <v>668</v>
      </c>
      <c r="G481" s="28" t="s">
        <v>32</v>
      </c>
      <c r="H481" s="34" t="s">
        <v>2</v>
      </c>
      <c r="I481" s="29" t="s">
        <v>92</v>
      </c>
      <c r="J481" s="34" t="s">
        <v>185</v>
      </c>
      <c r="K481" s="39"/>
      <c r="L481" s="41"/>
      <c r="M481" s="38" t="str">
        <f t="shared" si="178"/>
        <v/>
      </c>
      <c r="N481" s="39"/>
      <c r="O481" s="39"/>
      <c r="P481" s="39"/>
      <c r="Q481" s="39"/>
      <c r="R481" s="39"/>
      <c r="S481" s="39"/>
      <c r="T481" s="39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</row>
    <row r="482">
      <c r="A482" s="28">
        <f t="shared" si="172"/>
        <v>481</v>
      </c>
      <c r="B482" s="34">
        <v>96.0</v>
      </c>
      <c r="C482" s="29" t="s">
        <v>635</v>
      </c>
      <c r="D482" s="35" t="str">
        <f t="shared" si="180"/>
        <v>Wipfler et al., 2011</v>
      </c>
      <c r="E482" s="36" t="s">
        <v>667</v>
      </c>
      <c r="F482" s="36" t="s">
        <v>668</v>
      </c>
      <c r="G482" s="28" t="s">
        <v>32</v>
      </c>
      <c r="H482" s="34" t="s">
        <v>2</v>
      </c>
      <c r="I482" s="29" t="s">
        <v>149</v>
      </c>
      <c r="J482" s="34" t="s">
        <v>173</v>
      </c>
      <c r="K482" s="39"/>
      <c r="L482" s="43"/>
      <c r="M482" s="41" t="str">
        <f t="shared" ref="M482:M484" si="181">iferror(P_SD(K482,L482),"")</f>
        <v/>
      </c>
      <c r="N482" s="39"/>
      <c r="O482" s="39"/>
      <c r="P482" s="39"/>
      <c r="Q482" s="39"/>
      <c r="R482" s="39"/>
      <c r="S482" s="39"/>
      <c r="T482" s="39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</row>
    <row r="483">
      <c r="A483" s="28">
        <f t="shared" si="172"/>
        <v>482</v>
      </c>
      <c r="B483" s="34">
        <v>96.0</v>
      </c>
      <c r="C483" s="29" t="s">
        <v>635</v>
      </c>
      <c r="D483" s="35" t="str">
        <f t="shared" si="180"/>
        <v>Wipfler et al., 2011</v>
      </c>
      <c r="E483" s="36" t="s">
        <v>667</v>
      </c>
      <c r="F483" s="36" t="s">
        <v>668</v>
      </c>
      <c r="G483" s="28" t="s">
        <v>32</v>
      </c>
      <c r="H483" s="34" t="s">
        <v>2</v>
      </c>
      <c r="I483" s="29" t="s">
        <v>149</v>
      </c>
      <c r="J483" s="34" t="s">
        <v>151</v>
      </c>
      <c r="K483" s="39"/>
      <c r="L483" s="43"/>
      <c r="M483" s="41" t="str">
        <f t="shared" si="181"/>
        <v/>
      </c>
      <c r="N483" s="39"/>
      <c r="O483" s="39"/>
      <c r="P483" s="39"/>
      <c r="Q483" s="39"/>
      <c r="R483" s="39"/>
      <c r="S483" s="39"/>
      <c r="T483" s="39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</row>
    <row r="484">
      <c r="A484" s="28">
        <v>464.0</v>
      </c>
      <c r="B484" s="34">
        <v>96.0</v>
      </c>
      <c r="C484" s="29" t="s">
        <v>635</v>
      </c>
      <c r="D484" s="35" t="str">
        <f t="shared" si="180"/>
        <v>Wipfler et al., 2011</v>
      </c>
      <c r="E484" s="36" t="s">
        <v>667</v>
      </c>
      <c r="F484" s="36" t="s">
        <v>668</v>
      </c>
      <c r="G484" s="28" t="s">
        <v>32</v>
      </c>
      <c r="H484" s="34" t="s">
        <v>2</v>
      </c>
      <c r="I484" s="29" t="s">
        <v>149</v>
      </c>
      <c r="J484" s="34" t="s">
        <v>308</v>
      </c>
      <c r="K484" s="39"/>
      <c r="L484" s="43"/>
      <c r="M484" s="41" t="str">
        <f t="shared" si="181"/>
        <v/>
      </c>
      <c r="N484" s="39"/>
      <c r="O484" s="39"/>
      <c r="P484" s="39"/>
      <c r="Q484" s="39"/>
      <c r="R484" s="39"/>
      <c r="S484" s="39"/>
      <c r="T484" s="39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</row>
    <row r="485">
      <c r="A485" s="28">
        <f t="shared" ref="A485:A490" si="182">if(G485="Included",row(A485)-1,"")</f>
        <v>484</v>
      </c>
      <c r="B485" s="34">
        <v>96.0</v>
      </c>
      <c r="C485" s="29" t="s">
        <v>635</v>
      </c>
      <c r="D485" s="35" t="str">
        <f t="shared" si="180"/>
        <v>Wipfler et al., 2011</v>
      </c>
      <c r="E485" s="36" t="s">
        <v>667</v>
      </c>
      <c r="F485" s="36" t="s">
        <v>668</v>
      </c>
      <c r="G485" s="28" t="s">
        <v>32</v>
      </c>
      <c r="H485" s="34" t="s">
        <v>9</v>
      </c>
      <c r="I485" s="29" t="s">
        <v>92</v>
      </c>
      <c r="J485" s="34" t="s">
        <v>220</v>
      </c>
      <c r="K485" s="39"/>
      <c r="L485" s="41"/>
      <c r="M485" s="38" t="str">
        <f t="shared" ref="M485:M488" si="183">iferror(RANGE_SD(K485,N485,R485),"")</f>
        <v/>
      </c>
      <c r="N485" s="39"/>
      <c r="O485" s="39"/>
      <c r="P485" s="39"/>
      <c r="Q485" s="39"/>
      <c r="R485" s="39"/>
      <c r="S485" s="39"/>
      <c r="T485" s="39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</row>
    <row r="486">
      <c r="A486" s="28">
        <f t="shared" si="182"/>
        <v>485</v>
      </c>
      <c r="B486" s="34">
        <v>96.0</v>
      </c>
      <c r="C486" s="29" t="s">
        <v>635</v>
      </c>
      <c r="D486" s="35" t="str">
        <f t="shared" si="180"/>
        <v>Wipfler et al., 2011</v>
      </c>
      <c r="E486" s="36" t="s">
        <v>667</v>
      </c>
      <c r="F486" s="36" t="s">
        <v>668</v>
      </c>
      <c r="G486" s="28" t="s">
        <v>32</v>
      </c>
      <c r="H486" s="34" t="s">
        <v>9</v>
      </c>
      <c r="I486" s="29" t="s">
        <v>92</v>
      </c>
      <c r="J486" s="34" t="s">
        <v>96</v>
      </c>
      <c r="K486" s="39"/>
      <c r="L486" s="41"/>
      <c r="M486" s="38" t="str">
        <f t="shared" si="183"/>
        <v/>
      </c>
      <c r="N486" s="39"/>
      <c r="O486" s="39"/>
      <c r="P486" s="39"/>
      <c r="Q486" s="39"/>
      <c r="R486" s="39"/>
      <c r="S486" s="39"/>
      <c r="T486" s="39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</row>
    <row r="487">
      <c r="A487" s="28">
        <f t="shared" si="182"/>
        <v>486</v>
      </c>
      <c r="B487" s="34">
        <v>96.0</v>
      </c>
      <c r="C487" s="29" t="s">
        <v>635</v>
      </c>
      <c r="D487" s="35" t="str">
        <f t="shared" si="180"/>
        <v>Wipfler et al., 2011</v>
      </c>
      <c r="E487" s="36" t="s">
        <v>667</v>
      </c>
      <c r="F487" s="36" t="s">
        <v>668</v>
      </c>
      <c r="G487" s="28" t="s">
        <v>32</v>
      </c>
      <c r="H487" s="34" t="s">
        <v>9</v>
      </c>
      <c r="I487" s="29" t="s">
        <v>92</v>
      </c>
      <c r="J487" s="34" t="s">
        <v>226</v>
      </c>
      <c r="K487" s="39"/>
      <c r="L487" s="41"/>
      <c r="M487" s="38" t="str">
        <f t="shared" si="183"/>
        <v/>
      </c>
      <c r="N487" s="39"/>
      <c r="O487" s="39"/>
      <c r="P487" s="39"/>
      <c r="Q487" s="39"/>
      <c r="R487" s="39"/>
      <c r="S487" s="39"/>
      <c r="T487" s="39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</row>
    <row r="488">
      <c r="A488" s="28">
        <f t="shared" si="182"/>
        <v>487</v>
      </c>
      <c r="B488" s="34">
        <v>96.0</v>
      </c>
      <c r="C488" s="29" t="s">
        <v>635</v>
      </c>
      <c r="D488" s="35" t="str">
        <f t="shared" si="180"/>
        <v>Wipfler et al., 2011</v>
      </c>
      <c r="E488" s="36" t="s">
        <v>667</v>
      </c>
      <c r="F488" s="36" t="s">
        <v>668</v>
      </c>
      <c r="G488" s="28" t="s">
        <v>32</v>
      </c>
      <c r="H488" s="34" t="s">
        <v>9</v>
      </c>
      <c r="I488" s="29" t="s">
        <v>92</v>
      </c>
      <c r="J488" s="34" t="s">
        <v>185</v>
      </c>
      <c r="K488" s="39"/>
      <c r="L488" s="41"/>
      <c r="M488" s="38" t="str">
        <f t="shared" si="183"/>
        <v/>
      </c>
      <c r="N488" s="39"/>
      <c r="O488" s="39"/>
      <c r="P488" s="39"/>
      <c r="Q488" s="39"/>
      <c r="R488" s="39"/>
      <c r="S488" s="39"/>
      <c r="T488" s="39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</row>
    <row r="489">
      <c r="A489" s="28">
        <f t="shared" si="182"/>
        <v>488</v>
      </c>
      <c r="B489" s="34">
        <v>96.0</v>
      </c>
      <c r="C489" s="29" t="s">
        <v>635</v>
      </c>
      <c r="D489" s="35" t="str">
        <f t="shared" si="180"/>
        <v>Wipfler et al., 2011</v>
      </c>
      <c r="E489" s="36" t="s">
        <v>667</v>
      </c>
      <c r="F489" s="36" t="s">
        <v>668</v>
      </c>
      <c r="G489" s="28" t="s">
        <v>32</v>
      </c>
      <c r="H489" s="34" t="s">
        <v>9</v>
      </c>
      <c r="I489" s="29" t="s">
        <v>149</v>
      </c>
      <c r="J489" s="34" t="s">
        <v>173</v>
      </c>
      <c r="K489" s="39"/>
      <c r="L489" s="43"/>
      <c r="M489" s="41" t="str">
        <f t="shared" ref="M489:M491" si="184">iferror(P_SD(K489,L489),"")</f>
        <v/>
      </c>
      <c r="N489" s="39"/>
      <c r="O489" s="39"/>
      <c r="P489" s="39"/>
      <c r="Q489" s="39"/>
      <c r="R489" s="39"/>
      <c r="S489" s="39"/>
      <c r="T489" s="39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</row>
    <row r="490">
      <c r="A490" s="28">
        <f t="shared" si="182"/>
        <v>489</v>
      </c>
      <c r="B490" s="34">
        <v>96.0</v>
      </c>
      <c r="C490" s="29" t="s">
        <v>635</v>
      </c>
      <c r="D490" s="35" t="str">
        <f t="shared" si="180"/>
        <v>Wipfler et al., 2011</v>
      </c>
      <c r="E490" s="36" t="s">
        <v>667</v>
      </c>
      <c r="F490" s="36" t="s">
        <v>668</v>
      </c>
      <c r="G490" s="28" t="s">
        <v>32</v>
      </c>
      <c r="H490" s="34" t="s">
        <v>9</v>
      </c>
      <c r="I490" s="29" t="s">
        <v>149</v>
      </c>
      <c r="J490" s="34" t="s">
        <v>151</v>
      </c>
      <c r="K490" s="39"/>
      <c r="L490" s="43"/>
      <c r="M490" s="41" t="str">
        <f t="shared" si="184"/>
        <v/>
      </c>
      <c r="N490" s="39"/>
      <c r="O490" s="39"/>
      <c r="P490" s="39"/>
      <c r="Q490" s="39"/>
      <c r="R490" s="39"/>
      <c r="S490" s="39"/>
      <c r="T490" s="39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</row>
    <row r="491">
      <c r="A491" s="28">
        <v>471.0</v>
      </c>
      <c r="B491" s="34">
        <v>96.0</v>
      </c>
      <c r="C491" s="29" t="s">
        <v>635</v>
      </c>
      <c r="D491" s="35" t="str">
        <f t="shared" si="180"/>
        <v>Wipfler et al., 2011</v>
      </c>
      <c r="E491" s="36" t="s">
        <v>667</v>
      </c>
      <c r="F491" s="36" t="s">
        <v>668</v>
      </c>
      <c r="G491" s="28" t="s">
        <v>32</v>
      </c>
      <c r="H491" s="34" t="s">
        <v>9</v>
      </c>
      <c r="I491" s="29" t="s">
        <v>149</v>
      </c>
      <c r="J491" s="34" t="s">
        <v>308</v>
      </c>
      <c r="K491" s="39"/>
      <c r="L491" s="43"/>
      <c r="M491" s="41" t="str">
        <f t="shared" si="184"/>
        <v/>
      </c>
      <c r="N491" s="39"/>
      <c r="O491" s="39"/>
      <c r="P491" s="39"/>
      <c r="Q491" s="39"/>
      <c r="R491" s="39"/>
      <c r="S491" s="39"/>
      <c r="T491" s="39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</row>
    <row r="492">
      <c r="A492" s="28">
        <f t="shared" ref="A492:A513" si="185">if(G492="Included",row(A492)-1,"")</f>
        <v>491</v>
      </c>
      <c r="B492" s="34">
        <v>97.0</v>
      </c>
      <c r="C492" s="29" t="s">
        <v>635</v>
      </c>
      <c r="D492" s="35" t="str">
        <f t="shared" ref="D492:D499" si="186">HYPERLINK("https://github.com/d-wkim/phd/blob/main/data/pdf/yadav_2025.pdf","Yadav et al., 2025")</f>
        <v>Yadav et al., 2025</v>
      </c>
      <c r="E492" s="36" t="s">
        <v>669</v>
      </c>
      <c r="F492" s="36" t="s">
        <v>670</v>
      </c>
      <c r="G492" s="28" t="s">
        <v>32</v>
      </c>
      <c r="H492" s="34" t="s">
        <v>9</v>
      </c>
      <c r="I492" s="29" t="s">
        <v>92</v>
      </c>
      <c r="J492" s="34" t="s">
        <v>226</v>
      </c>
      <c r="K492" s="39"/>
      <c r="L492" s="41"/>
      <c r="M492" s="38" t="str">
        <f t="shared" ref="M492:M493" si="187">iferror(RANGE_SD(K492,N492,R492),"")</f>
        <v/>
      </c>
      <c r="N492" s="39"/>
      <c r="O492" s="39"/>
      <c r="P492" s="39"/>
      <c r="Q492" s="39"/>
      <c r="R492" s="39"/>
      <c r="S492" s="39"/>
      <c r="T492" s="39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</row>
    <row r="493">
      <c r="A493" s="28">
        <f t="shared" si="185"/>
        <v>492</v>
      </c>
      <c r="B493" s="34">
        <v>97.0</v>
      </c>
      <c r="C493" s="29" t="s">
        <v>635</v>
      </c>
      <c r="D493" s="35" t="str">
        <f t="shared" si="186"/>
        <v>Yadav et al., 2025</v>
      </c>
      <c r="E493" s="36" t="s">
        <v>669</v>
      </c>
      <c r="F493" s="36" t="s">
        <v>670</v>
      </c>
      <c r="G493" s="28" t="s">
        <v>32</v>
      </c>
      <c r="H493" s="34" t="s">
        <v>9</v>
      </c>
      <c r="I493" s="29" t="s">
        <v>92</v>
      </c>
      <c r="J493" s="34" t="s">
        <v>185</v>
      </c>
      <c r="K493" s="39"/>
      <c r="L493" s="41"/>
      <c r="M493" s="38" t="str">
        <f t="shared" si="187"/>
        <v/>
      </c>
      <c r="N493" s="39"/>
      <c r="O493" s="39"/>
      <c r="P493" s="39"/>
      <c r="Q493" s="39"/>
      <c r="R493" s="39"/>
      <c r="S493" s="39"/>
      <c r="T493" s="39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</row>
    <row r="494">
      <c r="A494" s="28">
        <f t="shared" si="185"/>
        <v>493</v>
      </c>
      <c r="B494" s="34">
        <v>97.0</v>
      </c>
      <c r="C494" s="29" t="s">
        <v>635</v>
      </c>
      <c r="D494" s="35" t="str">
        <f t="shared" si="186"/>
        <v>Yadav et al., 2025</v>
      </c>
      <c r="E494" s="36" t="s">
        <v>669</v>
      </c>
      <c r="F494" s="36" t="s">
        <v>670</v>
      </c>
      <c r="G494" s="28" t="s">
        <v>32</v>
      </c>
      <c r="H494" s="34" t="s">
        <v>9</v>
      </c>
      <c r="I494" s="29" t="s">
        <v>149</v>
      </c>
      <c r="J494" s="34" t="s">
        <v>173</v>
      </c>
      <c r="K494" s="39"/>
      <c r="L494" s="43"/>
      <c r="M494" s="41" t="str">
        <f t="shared" ref="M494:M495" si="188">iferror(P_SD(K494,L494),"")</f>
        <v/>
      </c>
      <c r="N494" s="39"/>
      <c r="O494" s="39"/>
      <c r="P494" s="39"/>
      <c r="Q494" s="39"/>
      <c r="R494" s="39"/>
      <c r="S494" s="39"/>
      <c r="T494" s="39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</row>
    <row r="495">
      <c r="A495" s="28">
        <f t="shared" si="185"/>
        <v>494</v>
      </c>
      <c r="B495" s="34">
        <v>97.0</v>
      </c>
      <c r="C495" s="29" t="s">
        <v>635</v>
      </c>
      <c r="D495" s="35" t="str">
        <f t="shared" si="186"/>
        <v>Yadav et al., 2025</v>
      </c>
      <c r="E495" s="36" t="s">
        <v>669</v>
      </c>
      <c r="F495" s="36" t="s">
        <v>670</v>
      </c>
      <c r="G495" s="28" t="s">
        <v>32</v>
      </c>
      <c r="H495" s="34" t="s">
        <v>9</v>
      </c>
      <c r="I495" s="29" t="s">
        <v>149</v>
      </c>
      <c r="J495" s="34" t="s">
        <v>151</v>
      </c>
      <c r="K495" s="39"/>
      <c r="L495" s="43"/>
      <c r="M495" s="41" t="str">
        <f t="shared" si="188"/>
        <v/>
      </c>
      <c r="N495" s="39"/>
      <c r="O495" s="39"/>
      <c r="P495" s="39"/>
      <c r="Q495" s="39"/>
      <c r="R495" s="39"/>
      <c r="S495" s="39"/>
      <c r="T495" s="39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</row>
    <row r="496">
      <c r="A496" s="28">
        <f t="shared" si="185"/>
        <v>495</v>
      </c>
      <c r="B496" s="34">
        <v>97.0</v>
      </c>
      <c r="C496" s="29" t="s">
        <v>635</v>
      </c>
      <c r="D496" s="35" t="str">
        <f t="shared" si="186"/>
        <v>Yadav et al., 2025</v>
      </c>
      <c r="E496" s="36" t="s">
        <v>669</v>
      </c>
      <c r="F496" s="36" t="s">
        <v>670</v>
      </c>
      <c r="G496" s="28" t="s">
        <v>32</v>
      </c>
      <c r="H496" s="34" t="s">
        <v>10</v>
      </c>
      <c r="I496" s="29" t="s">
        <v>92</v>
      </c>
      <c r="J496" s="34" t="s">
        <v>226</v>
      </c>
      <c r="K496" s="39"/>
      <c r="L496" s="41"/>
      <c r="M496" s="38" t="str">
        <f t="shared" ref="M496:M497" si="189">iferror(RANGE_SD(K496,N496,R496),"")</f>
        <v/>
      </c>
      <c r="N496" s="39"/>
      <c r="O496" s="39"/>
      <c r="P496" s="39"/>
      <c r="Q496" s="39"/>
      <c r="R496" s="39"/>
      <c r="S496" s="39"/>
      <c r="T496" s="39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</row>
    <row r="497">
      <c r="A497" s="28">
        <f t="shared" si="185"/>
        <v>496</v>
      </c>
      <c r="B497" s="34">
        <v>97.0</v>
      </c>
      <c r="C497" s="29" t="s">
        <v>635</v>
      </c>
      <c r="D497" s="35" t="str">
        <f t="shared" si="186"/>
        <v>Yadav et al., 2025</v>
      </c>
      <c r="E497" s="36" t="s">
        <v>669</v>
      </c>
      <c r="F497" s="36" t="s">
        <v>670</v>
      </c>
      <c r="G497" s="28" t="s">
        <v>32</v>
      </c>
      <c r="H497" s="34" t="s">
        <v>10</v>
      </c>
      <c r="I497" s="29" t="s">
        <v>92</v>
      </c>
      <c r="J497" s="34" t="s">
        <v>185</v>
      </c>
      <c r="K497" s="39"/>
      <c r="L497" s="41"/>
      <c r="M497" s="38" t="str">
        <f t="shared" si="189"/>
        <v/>
      </c>
      <c r="N497" s="39"/>
      <c r="O497" s="39"/>
      <c r="P497" s="39"/>
      <c r="Q497" s="39"/>
      <c r="R497" s="39"/>
      <c r="S497" s="39"/>
      <c r="T497" s="39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</row>
    <row r="498">
      <c r="A498" s="28">
        <f t="shared" si="185"/>
        <v>497</v>
      </c>
      <c r="B498" s="34">
        <v>97.0</v>
      </c>
      <c r="C498" s="29" t="s">
        <v>635</v>
      </c>
      <c r="D498" s="35" t="str">
        <f t="shared" si="186"/>
        <v>Yadav et al., 2025</v>
      </c>
      <c r="E498" s="36" t="s">
        <v>669</v>
      </c>
      <c r="F498" s="36" t="s">
        <v>670</v>
      </c>
      <c r="G498" s="28" t="s">
        <v>32</v>
      </c>
      <c r="H498" s="34" t="s">
        <v>10</v>
      </c>
      <c r="I498" s="29" t="s">
        <v>149</v>
      </c>
      <c r="J498" s="34" t="s">
        <v>173</v>
      </c>
      <c r="K498" s="39"/>
      <c r="L498" s="43"/>
      <c r="M498" s="41" t="str">
        <f t="shared" ref="M498:M499" si="190">iferror(P_SD(K498,L498),"")</f>
        <v/>
      </c>
      <c r="N498" s="39"/>
      <c r="O498" s="39"/>
      <c r="P498" s="39"/>
      <c r="Q498" s="39"/>
      <c r="R498" s="39"/>
      <c r="S498" s="39"/>
      <c r="T498" s="39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</row>
    <row r="499">
      <c r="A499" s="28">
        <f t="shared" si="185"/>
        <v>498</v>
      </c>
      <c r="B499" s="34">
        <v>97.0</v>
      </c>
      <c r="C499" s="29" t="s">
        <v>635</v>
      </c>
      <c r="D499" s="35" t="str">
        <f t="shared" si="186"/>
        <v>Yadav et al., 2025</v>
      </c>
      <c r="E499" s="36" t="s">
        <v>669</v>
      </c>
      <c r="F499" s="36" t="s">
        <v>670</v>
      </c>
      <c r="G499" s="28" t="s">
        <v>32</v>
      </c>
      <c r="H499" s="34" t="s">
        <v>10</v>
      </c>
      <c r="I499" s="29" t="s">
        <v>149</v>
      </c>
      <c r="J499" s="34" t="s">
        <v>151</v>
      </c>
      <c r="K499" s="39"/>
      <c r="L499" s="43"/>
      <c r="M499" s="41" t="str">
        <f t="shared" si="190"/>
        <v/>
      </c>
      <c r="N499" s="39"/>
      <c r="O499" s="39"/>
      <c r="P499" s="39"/>
      <c r="Q499" s="39"/>
      <c r="R499" s="39"/>
      <c r="S499" s="39"/>
      <c r="T499" s="39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</row>
    <row r="500">
      <c r="A500" s="28">
        <f t="shared" si="185"/>
        <v>499</v>
      </c>
      <c r="B500" s="34">
        <v>98.0</v>
      </c>
      <c r="C500" s="29" t="s">
        <v>635</v>
      </c>
      <c r="D500" s="35" t="str">
        <f t="shared" ref="D500:D509" si="191">HYPERLINK("https://github.com/d-wkim/phd/blob/main/data/pdf/yoo_2017.pdf","Yoo et al., 2017")</f>
        <v>Yoo et al., 2017</v>
      </c>
      <c r="E500" s="36" t="s">
        <v>671</v>
      </c>
      <c r="F500" s="36" t="s">
        <v>672</v>
      </c>
      <c r="G500" s="28" t="s">
        <v>32</v>
      </c>
      <c r="H500" s="34" t="s">
        <v>9</v>
      </c>
      <c r="I500" s="29" t="s">
        <v>92</v>
      </c>
      <c r="J500" s="34" t="s">
        <v>96</v>
      </c>
      <c r="K500" s="39"/>
      <c r="L500" s="41"/>
      <c r="M500" s="38" t="str">
        <f t="shared" ref="M500:M502" si="192">iferror(RANGE_SD(K500,N500,R500),"")</f>
        <v/>
      </c>
      <c r="N500" s="39"/>
      <c r="O500" s="39"/>
      <c r="P500" s="39"/>
      <c r="Q500" s="39"/>
      <c r="R500" s="39"/>
      <c r="S500" s="39"/>
      <c r="T500" s="39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</row>
    <row r="501">
      <c r="A501" s="28">
        <f t="shared" si="185"/>
        <v>500</v>
      </c>
      <c r="B501" s="34">
        <v>98.0</v>
      </c>
      <c r="C501" s="29" t="s">
        <v>635</v>
      </c>
      <c r="D501" s="35" t="str">
        <f t="shared" si="191"/>
        <v>Yoo et al., 2017</v>
      </c>
      <c r="E501" s="36" t="s">
        <v>671</v>
      </c>
      <c r="F501" s="36" t="s">
        <v>672</v>
      </c>
      <c r="G501" s="28" t="s">
        <v>32</v>
      </c>
      <c r="H501" s="34" t="s">
        <v>9</v>
      </c>
      <c r="I501" s="29" t="s">
        <v>92</v>
      </c>
      <c r="J501" s="34" t="s">
        <v>226</v>
      </c>
      <c r="K501" s="39"/>
      <c r="L501" s="41"/>
      <c r="M501" s="38" t="str">
        <f t="shared" si="192"/>
        <v/>
      </c>
      <c r="N501" s="39"/>
      <c r="O501" s="39"/>
      <c r="P501" s="39"/>
      <c r="Q501" s="39"/>
      <c r="R501" s="39"/>
      <c r="S501" s="39"/>
      <c r="T501" s="39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</row>
    <row r="502">
      <c r="A502" s="28">
        <f t="shared" si="185"/>
        <v>501</v>
      </c>
      <c r="B502" s="34">
        <v>98.0</v>
      </c>
      <c r="C502" s="29" t="s">
        <v>635</v>
      </c>
      <c r="D502" s="35" t="str">
        <f t="shared" si="191"/>
        <v>Yoo et al., 2017</v>
      </c>
      <c r="E502" s="36" t="s">
        <v>671</v>
      </c>
      <c r="F502" s="36" t="s">
        <v>672</v>
      </c>
      <c r="G502" s="28" t="s">
        <v>32</v>
      </c>
      <c r="H502" s="34" t="s">
        <v>9</v>
      </c>
      <c r="I502" s="29" t="s">
        <v>92</v>
      </c>
      <c r="J502" s="34" t="s">
        <v>185</v>
      </c>
      <c r="K502" s="39"/>
      <c r="L502" s="41"/>
      <c r="M502" s="38" t="str">
        <f t="shared" si="192"/>
        <v/>
      </c>
      <c r="N502" s="39"/>
      <c r="O502" s="39"/>
      <c r="P502" s="39"/>
      <c r="Q502" s="39"/>
      <c r="R502" s="39"/>
      <c r="S502" s="39"/>
      <c r="T502" s="39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</row>
    <row r="503">
      <c r="A503" s="28">
        <f t="shared" si="185"/>
        <v>502</v>
      </c>
      <c r="B503" s="34">
        <v>98.0</v>
      </c>
      <c r="C503" s="29" t="s">
        <v>635</v>
      </c>
      <c r="D503" s="35" t="str">
        <f t="shared" si="191"/>
        <v>Yoo et al., 2017</v>
      </c>
      <c r="E503" s="36" t="s">
        <v>671</v>
      </c>
      <c r="F503" s="36" t="s">
        <v>672</v>
      </c>
      <c r="G503" s="28" t="s">
        <v>32</v>
      </c>
      <c r="H503" s="34" t="s">
        <v>9</v>
      </c>
      <c r="I503" s="29" t="s">
        <v>149</v>
      </c>
      <c r="J503" s="34" t="s">
        <v>173</v>
      </c>
      <c r="K503" s="39"/>
      <c r="L503" s="43"/>
      <c r="M503" s="41" t="str">
        <f t="shared" ref="M503:M504" si="193">iferror(P_SD(K503,L503),"")</f>
        <v/>
      </c>
      <c r="N503" s="39"/>
      <c r="O503" s="39"/>
      <c r="P503" s="39"/>
      <c r="Q503" s="39"/>
      <c r="R503" s="39"/>
      <c r="S503" s="39"/>
      <c r="T503" s="39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</row>
    <row r="504">
      <c r="A504" s="28">
        <f t="shared" si="185"/>
        <v>503</v>
      </c>
      <c r="B504" s="34">
        <v>98.0</v>
      </c>
      <c r="C504" s="29" t="s">
        <v>635</v>
      </c>
      <c r="D504" s="35" t="str">
        <f t="shared" si="191"/>
        <v>Yoo et al., 2017</v>
      </c>
      <c r="E504" s="36" t="s">
        <v>671</v>
      </c>
      <c r="F504" s="36" t="s">
        <v>672</v>
      </c>
      <c r="G504" s="28" t="s">
        <v>32</v>
      </c>
      <c r="H504" s="34" t="s">
        <v>9</v>
      </c>
      <c r="I504" s="29" t="s">
        <v>149</v>
      </c>
      <c r="J504" s="34" t="s">
        <v>151</v>
      </c>
      <c r="K504" s="39"/>
      <c r="L504" s="43"/>
      <c r="M504" s="41" t="str">
        <f t="shared" si="193"/>
        <v/>
      </c>
      <c r="N504" s="39"/>
      <c r="O504" s="39"/>
      <c r="P504" s="39"/>
      <c r="Q504" s="39"/>
      <c r="R504" s="39"/>
      <c r="S504" s="39"/>
      <c r="T504" s="39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</row>
    <row r="505">
      <c r="A505" s="28">
        <f t="shared" si="185"/>
        <v>504</v>
      </c>
      <c r="B505" s="34">
        <v>98.0</v>
      </c>
      <c r="C505" s="29" t="s">
        <v>635</v>
      </c>
      <c r="D505" s="35" t="str">
        <f t="shared" si="191"/>
        <v>Yoo et al., 2017</v>
      </c>
      <c r="E505" s="36" t="s">
        <v>671</v>
      </c>
      <c r="F505" s="36" t="s">
        <v>672</v>
      </c>
      <c r="G505" s="28" t="s">
        <v>32</v>
      </c>
      <c r="H505" s="34" t="s">
        <v>13</v>
      </c>
      <c r="I505" s="29" t="s">
        <v>92</v>
      </c>
      <c r="J505" s="34" t="s">
        <v>96</v>
      </c>
      <c r="K505" s="39"/>
      <c r="L505" s="41"/>
      <c r="M505" s="38" t="str">
        <f t="shared" ref="M505:M507" si="194">iferror(RANGE_SD(K505,N505,R505),"")</f>
        <v/>
      </c>
      <c r="N505" s="39"/>
      <c r="O505" s="39"/>
      <c r="P505" s="39"/>
      <c r="Q505" s="39"/>
      <c r="R505" s="39"/>
      <c r="S505" s="39"/>
      <c r="T505" s="39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</row>
    <row r="506">
      <c r="A506" s="28">
        <f t="shared" si="185"/>
        <v>505</v>
      </c>
      <c r="B506" s="34">
        <v>98.0</v>
      </c>
      <c r="C506" s="29" t="s">
        <v>635</v>
      </c>
      <c r="D506" s="35" t="str">
        <f t="shared" si="191"/>
        <v>Yoo et al., 2017</v>
      </c>
      <c r="E506" s="36" t="s">
        <v>671</v>
      </c>
      <c r="F506" s="36" t="s">
        <v>672</v>
      </c>
      <c r="G506" s="28" t="s">
        <v>32</v>
      </c>
      <c r="H506" s="34" t="s">
        <v>13</v>
      </c>
      <c r="I506" s="29" t="s">
        <v>92</v>
      </c>
      <c r="J506" s="34" t="s">
        <v>226</v>
      </c>
      <c r="K506" s="39"/>
      <c r="L506" s="41"/>
      <c r="M506" s="38" t="str">
        <f t="shared" si="194"/>
        <v/>
      </c>
      <c r="N506" s="39"/>
      <c r="O506" s="39"/>
      <c r="P506" s="39"/>
      <c r="Q506" s="39"/>
      <c r="R506" s="39"/>
      <c r="S506" s="39"/>
      <c r="T506" s="39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</row>
    <row r="507">
      <c r="A507" s="28">
        <f t="shared" si="185"/>
        <v>506</v>
      </c>
      <c r="B507" s="34">
        <v>98.0</v>
      </c>
      <c r="C507" s="29" t="s">
        <v>635</v>
      </c>
      <c r="D507" s="35" t="str">
        <f t="shared" si="191"/>
        <v>Yoo et al., 2017</v>
      </c>
      <c r="E507" s="36" t="s">
        <v>671</v>
      </c>
      <c r="F507" s="36" t="s">
        <v>672</v>
      </c>
      <c r="G507" s="28" t="s">
        <v>32</v>
      </c>
      <c r="H507" s="34" t="s">
        <v>13</v>
      </c>
      <c r="I507" s="29" t="s">
        <v>92</v>
      </c>
      <c r="J507" s="34" t="s">
        <v>185</v>
      </c>
      <c r="K507" s="39"/>
      <c r="L507" s="41"/>
      <c r="M507" s="38" t="str">
        <f t="shared" si="194"/>
        <v/>
      </c>
      <c r="N507" s="39"/>
      <c r="O507" s="39"/>
      <c r="P507" s="39"/>
      <c r="Q507" s="39"/>
      <c r="R507" s="39"/>
      <c r="S507" s="39"/>
      <c r="T507" s="39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</row>
    <row r="508">
      <c r="A508" s="28">
        <f t="shared" si="185"/>
        <v>507</v>
      </c>
      <c r="B508" s="34">
        <v>98.0</v>
      </c>
      <c r="C508" s="29" t="s">
        <v>635</v>
      </c>
      <c r="D508" s="35" t="str">
        <f t="shared" si="191"/>
        <v>Yoo et al., 2017</v>
      </c>
      <c r="E508" s="36" t="s">
        <v>671</v>
      </c>
      <c r="F508" s="36" t="s">
        <v>672</v>
      </c>
      <c r="G508" s="28" t="s">
        <v>32</v>
      </c>
      <c r="H508" s="34" t="s">
        <v>13</v>
      </c>
      <c r="I508" s="29" t="s">
        <v>149</v>
      </c>
      <c r="J508" s="34" t="s">
        <v>173</v>
      </c>
      <c r="K508" s="39"/>
      <c r="L508" s="43"/>
      <c r="M508" s="41" t="str">
        <f t="shared" ref="M508:M509" si="195">iferror(P_SD(K508,L508),"")</f>
        <v/>
      </c>
      <c r="N508" s="39"/>
      <c r="O508" s="39"/>
      <c r="P508" s="39"/>
      <c r="Q508" s="39"/>
      <c r="R508" s="39"/>
      <c r="S508" s="39"/>
      <c r="T508" s="39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</row>
    <row r="509">
      <c r="A509" s="28">
        <f t="shared" si="185"/>
        <v>508</v>
      </c>
      <c r="B509" s="34">
        <v>98.0</v>
      </c>
      <c r="C509" s="29" t="s">
        <v>635</v>
      </c>
      <c r="D509" s="35" t="str">
        <f t="shared" si="191"/>
        <v>Yoo et al., 2017</v>
      </c>
      <c r="E509" s="36" t="s">
        <v>671</v>
      </c>
      <c r="F509" s="36" t="s">
        <v>672</v>
      </c>
      <c r="G509" s="28" t="s">
        <v>32</v>
      </c>
      <c r="H509" s="34" t="s">
        <v>13</v>
      </c>
      <c r="I509" s="29" t="s">
        <v>149</v>
      </c>
      <c r="J509" s="34" t="s">
        <v>151</v>
      </c>
      <c r="K509" s="39"/>
      <c r="L509" s="43"/>
      <c r="M509" s="41" t="str">
        <f t="shared" si="195"/>
        <v/>
      </c>
      <c r="N509" s="39"/>
      <c r="O509" s="39"/>
      <c r="P509" s="39"/>
      <c r="Q509" s="39"/>
      <c r="R509" s="39"/>
      <c r="S509" s="39"/>
      <c r="T509" s="39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</row>
    <row r="510">
      <c r="A510" s="28">
        <f t="shared" si="185"/>
        <v>509</v>
      </c>
      <c r="B510" s="34">
        <v>100.0</v>
      </c>
      <c r="C510" s="29" t="s">
        <v>635</v>
      </c>
      <c r="D510" s="35" t="str">
        <f t="shared" ref="D510:D513" si="196">HYPERLINK("https://github.com/d-wkim/phd/blob/main/data/pdf/zaffagnini_2011.pdf","Zaffagnini et al., 2011")</f>
        <v>Zaffagnini et al., 2011</v>
      </c>
      <c r="E510" s="36" t="s">
        <v>673</v>
      </c>
      <c r="F510" s="36" t="s">
        <v>674</v>
      </c>
      <c r="G510" s="28" t="s">
        <v>32</v>
      </c>
      <c r="H510" s="34" t="s">
        <v>2</v>
      </c>
      <c r="I510" s="29" t="s">
        <v>92</v>
      </c>
      <c r="J510" s="34" t="s">
        <v>220</v>
      </c>
      <c r="K510" s="39"/>
      <c r="L510" s="41"/>
      <c r="M510" s="38" t="str">
        <f t="shared" ref="M510:M513" si="197">iferror(RANGE_SD(K510,N510,R510),"")</f>
        <v/>
      </c>
      <c r="N510" s="39"/>
      <c r="O510" s="39"/>
      <c r="P510" s="39"/>
      <c r="Q510" s="39"/>
      <c r="R510" s="39"/>
      <c r="S510" s="39"/>
      <c r="T510" s="39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</row>
    <row r="511">
      <c r="A511" s="28">
        <f t="shared" si="185"/>
        <v>510</v>
      </c>
      <c r="B511" s="34">
        <v>100.0</v>
      </c>
      <c r="C511" s="29" t="s">
        <v>635</v>
      </c>
      <c r="D511" s="35" t="str">
        <f t="shared" si="196"/>
        <v>Zaffagnini et al., 2011</v>
      </c>
      <c r="E511" s="36" t="s">
        <v>673</v>
      </c>
      <c r="F511" s="36" t="s">
        <v>674</v>
      </c>
      <c r="G511" s="28" t="s">
        <v>32</v>
      </c>
      <c r="H511" s="34" t="s">
        <v>2</v>
      </c>
      <c r="I511" s="29" t="s">
        <v>92</v>
      </c>
      <c r="J511" s="34" t="s">
        <v>185</v>
      </c>
      <c r="K511" s="39"/>
      <c r="L511" s="41"/>
      <c r="M511" s="38" t="str">
        <f t="shared" si="197"/>
        <v/>
      </c>
      <c r="N511" s="39"/>
      <c r="O511" s="39"/>
      <c r="P511" s="39"/>
      <c r="Q511" s="39"/>
      <c r="R511" s="39"/>
      <c r="S511" s="39"/>
      <c r="T511" s="39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</row>
    <row r="512">
      <c r="A512" s="28">
        <f t="shared" si="185"/>
        <v>511</v>
      </c>
      <c r="B512" s="34">
        <v>100.0</v>
      </c>
      <c r="C512" s="29" t="s">
        <v>635</v>
      </c>
      <c r="D512" s="35" t="str">
        <f t="shared" si="196"/>
        <v>Zaffagnini et al., 2011</v>
      </c>
      <c r="E512" s="36" t="s">
        <v>673</v>
      </c>
      <c r="F512" s="36" t="s">
        <v>674</v>
      </c>
      <c r="G512" s="28" t="s">
        <v>32</v>
      </c>
      <c r="H512" s="34" t="s">
        <v>9</v>
      </c>
      <c r="I512" s="29" t="s">
        <v>92</v>
      </c>
      <c r="J512" s="34" t="s">
        <v>220</v>
      </c>
      <c r="K512" s="39"/>
      <c r="L512" s="41"/>
      <c r="M512" s="38" t="str">
        <f t="shared" si="197"/>
        <v/>
      </c>
      <c r="N512" s="39"/>
      <c r="O512" s="39"/>
      <c r="P512" s="39"/>
      <c r="Q512" s="39"/>
      <c r="R512" s="39"/>
      <c r="S512" s="39"/>
      <c r="T512" s="39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</row>
    <row r="513">
      <c r="A513" s="28">
        <f t="shared" si="185"/>
        <v>512</v>
      </c>
      <c r="B513" s="34">
        <v>100.0</v>
      </c>
      <c r="C513" s="29" t="s">
        <v>635</v>
      </c>
      <c r="D513" s="35" t="str">
        <f t="shared" si="196"/>
        <v>Zaffagnini et al., 2011</v>
      </c>
      <c r="E513" s="36" t="s">
        <v>673</v>
      </c>
      <c r="F513" s="36" t="s">
        <v>674</v>
      </c>
      <c r="G513" s="28" t="s">
        <v>32</v>
      </c>
      <c r="H513" s="34" t="s">
        <v>9</v>
      </c>
      <c r="I513" s="29" t="s">
        <v>92</v>
      </c>
      <c r="J513" s="34" t="s">
        <v>185</v>
      </c>
      <c r="K513" s="39"/>
      <c r="L513" s="41"/>
      <c r="M513" s="38" t="str">
        <f t="shared" si="197"/>
        <v/>
      </c>
      <c r="N513" s="39"/>
      <c r="O513" s="39"/>
      <c r="P513" s="39"/>
      <c r="Q513" s="39"/>
      <c r="R513" s="39"/>
      <c r="S513" s="39"/>
      <c r="T513" s="39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</row>
    <row r="514" hidden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69"/>
      <c r="L514" s="69"/>
      <c r="M514" s="70"/>
      <c r="N514" s="69"/>
      <c r="O514" s="69"/>
      <c r="P514" s="69"/>
      <c r="Q514" s="69"/>
      <c r="R514" s="69"/>
      <c r="S514" s="69"/>
      <c r="T514" s="69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</row>
    <row r="515" hidden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69"/>
      <c r="L515" s="69"/>
      <c r="M515" s="70"/>
      <c r="N515" s="69"/>
      <c r="O515" s="69"/>
      <c r="P515" s="69"/>
      <c r="Q515" s="69"/>
      <c r="R515" s="69"/>
      <c r="S515" s="69"/>
      <c r="T515" s="69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</row>
    <row r="516" hidden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69"/>
      <c r="L516" s="69"/>
      <c r="M516" s="70"/>
      <c r="N516" s="69"/>
      <c r="O516" s="69"/>
      <c r="P516" s="69"/>
      <c r="Q516" s="69"/>
      <c r="R516" s="69"/>
      <c r="S516" s="69"/>
      <c r="T516" s="69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</row>
    <row r="517" hidden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69"/>
      <c r="L517" s="69"/>
      <c r="M517" s="70"/>
      <c r="N517" s="69"/>
      <c r="O517" s="69"/>
      <c r="P517" s="69"/>
      <c r="Q517" s="69"/>
      <c r="R517" s="69"/>
      <c r="S517" s="69"/>
      <c r="T517" s="69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</row>
    <row r="518" hidden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69"/>
      <c r="L518" s="69"/>
      <c r="M518" s="70"/>
      <c r="N518" s="69"/>
      <c r="O518" s="69"/>
      <c r="P518" s="69"/>
      <c r="Q518" s="69"/>
      <c r="R518" s="69"/>
      <c r="S518" s="69"/>
      <c r="T518" s="69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</row>
    <row r="519" hidden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69"/>
      <c r="L519" s="69"/>
      <c r="M519" s="70"/>
      <c r="N519" s="69"/>
      <c r="O519" s="69"/>
      <c r="P519" s="69"/>
      <c r="Q519" s="69"/>
      <c r="R519" s="69"/>
      <c r="S519" s="69"/>
      <c r="T519" s="69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</row>
    <row r="520" hidden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69"/>
      <c r="L520" s="69"/>
      <c r="M520" s="70"/>
      <c r="N520" s="69"/>
      <c r="O520" s="69"/>
      <c r="P520" s="69"/>
      <c r="Q520" s="69"/>
      <c r="R520" s="69"/>
      <c r="S520" s="69"/>
      <c r="T520" s="69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</row>
    <row r="521" hidden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69"/>
      <c r="L521" s="69"/>
      <c r="M521" s="70"/>
      <c r="N521" s="69"/>
      <c r="O521" s="69"/>
      <c r="P521" s="69"/>
      <c r="Q521" s="69"/>
      <c r="R521" s="69"/>
      <c r="S521" s="69"/>
      <c r="T521" s="69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</row>
    <row r="522" hidden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69"/>
      <c r="L522" s="69"/>
      <c r="M522" s="70"/>
      <c r="N522" s="69"/>
      <c r="O522" s="69"/>
      <c r="P522" s="69"/>
      <c r="Q522" s="69"/>
      <c r="R522" s="69"/>
      <c r="S522" s="69"/>
      <c r="T522" s="69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</row>
    <row r="523" hidden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69"/>
      <c r="L523" s="69"/>
      <c r="M523" s="70"/>
      <c r="N523" s="69"/>
      <c r="O523" s="69"/>
      <c r="P523" s="69"/>
      <c r="Q523" s="69"/>
      <c r="R523" s="69"/>
      <c r="S523" s="69"/>
      <c r="T523" s="69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</row>
    <row r="524" hidden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69"/>
      <c r="L524" s="69"/>
      <c r="M524" s="70"/>
      <c r="N524" s="69"/>
      <c r="O524" s="69"/>
      <c r="P524" s="69"/>
      <c r="Q524" s="69"/>
      <c r="R524" s="69"/>
      <c r="S524" s="69"/>
      <c r="T524" s="69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</row>
    <row r="525" hidden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69"/>
      <c r="L525" s="69"/>
      <c r="M525" s="70"/>
      <c r="N525" s="69"/>
      <c r="O525" s="69"/>
      <c r="P525" s="69"/>
      <c r="Q525" s="69"/>
      <c r="R525" s="69"/>
      <c r="S525" s="69"/>
      <c r="T525" s="69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</row>
    <row r="526" hidden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69"/>
      <c r="L526" s="69"/>
      <c r="M526" s="70"/>
      <c r="N526" s="69"/>
      <c r="O526" s="69"/>
      <c r="P526" s="69"/>
      <c r="Q526" s="69"/>
      <c r="R526" s="69"/>
      <c r="S526" s="69"/>
      <c r="T526" s="69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</row>
    <row r="527" hidden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69"/>
      <c r="L527" s="69"/>
      <c r="M527" s="70"/>
      <c r="N527" s="69"/>
      <c r="O527" s="69"/>
      <c r="P527" s="69"/>
      <c r="Q527" s="69"/>
      <c r="R527" s="69"/>
      <c r="S527" s="69"/>
      <c r="T527" s="69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</row>
    <row r="528" hidden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69"/>
      <c r="L528" s="69"/>
      <c r="M528" s="70"/>
      <c r="N528" s="69"/>
      <c r="O528" s="69"/>
      <c r="P528" s="69"/>
      <c r="Q528" s="69"/>
      <c r="R528" s="69"/>
      <c r="S528" s="69"/>
      <c r="T528" s="69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</row>
    <row r="529" hidden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69"/>
      <c r="L529" s="69"/>
      <c r="M529" s="70"/>
      <c r="N529" s="69"/>
      <c r="O529" s="69"/>
      <c r="P529" s="69"/>
      <c r="Q529" s="69"/>
      <c r="R529" s="69"/>
      <c r="S529" s="69"/>
      <c r="T529" s="69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</row>
    <row r="530" hidden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69"/>
      <c r="L530" s="69"/>
      <c r="M530" s="70"/>
      <c r="N530" s="69"/>
      <c r="O530" s="69"/>
      <c r="P530" s="69"/>
      <c r="Q530" s="69"/>
      <c r="R530" s="69"/>
      <c r="S530" s="69"/>
      <c r="T530" s="69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</row>
    <row r="531" hidden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69"/>
      <c r="L531" s="69"/>
      <c r="M531" s="70"/>
      <c r="N531" s="69"/>
      <c r="O531" s="69"/>
      <c r="P531" s="69"/>
      <c r="Q531" s="69"/>
      <c r="R531" s="69"/>
      <c r="S531" s="69"/>
      <c r="T531" s="69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</row>
    <row r="532" hidden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69"/>
      <c r="L532" s="69"/>
      <c r="M532" s="70"/>
      <c r="N532" s="69"/>
      <c r="O532" s="69"/>
      <c r="P532" s="69"/>
      <c r="Q532" s="69"/>
      <c r="R532" s="69"/>
      <c r="S532" s="69"/>
      <c r="T532" s="69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</row>
    <row r="533" hidden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69"/>
      <c r="L533" s="69"/>
      <c r="M533" s="70"/>
      <c r="N533" s="69"/>
      <c r="O533" s="69"/>
      <c r="P533" s="69"/>
      <c r="Q533" s="69"/>
      <c r="R533" s="69"/>
      <c r="S533" s="69"/>
      <c r="T533" s="69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</row>
    <row r="534" hidden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69"/>
      <c r="L534" s="69"/>
      <c r="M534" s="70"/>
      <c r="N534" s="69"/>
      <c r="O534" s="69"/>
      <c r="P534" s="69"/>
      <c r="Q534" s="69"/>
      <c r="R534" s="69"/>
      <c r="S534" s="69"/>
      <c r="T534" s="69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</row>
    <row r="535" hidden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69"/>
      <c r="L535" s="69"/>
      <c r="M535" s="70"/>
      <c r="N535" s="69"/>
      <c r="O535" s="69"/>
      <c r="P535" s="69"/>
      <c r="Q535" s="69"/>
      <c r="R535" s="69"/>
      <c r="S535" s="69"/>
      <c r="T535" s="69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</row>
    <row r="536" hidden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69"/>
      <c r="L536" s="69"/>
      <c r="M536" s="70"/>
      <c r="N536" s="69"/>
      <c r="O536" s="69"/>
      <c r="P536" s="69"/>
      <c r="Q536" s="69"/>
      <c r="R536" s="69"/>
      <c r="S536" s="69"/>
      <c r="T536" s="69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</row>
    <row r="537" hidden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69"/>
      <c r="L537" s="69"/>
      <c r="M537" s="70"/>
      <c r="N537" s="69"/>
      <c r="O537" s="69"/>
      <c r="P537" s="69"/>
      <c r="Q537" s="69"/>
      <c r="R537" s="69"/>
      <c r="S537" s="69"/>
      <c r="T537" s="69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</row>
    <row r="538" hidden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69"/>
      <c r="L538" s="69"/>
      <c r="M538" s="70"/>
      <c r="N538" s="69"/>
      <c r="O538" s="69"/>
      <c r="P538" s="69"/>
      <c r="Q538" s="69"/>
      <c r="R538" s="69"/>
      <c r="S538" s="69"/>
      <c r="T538" s="69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</row>
    <row r="539" hidden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69"/>
      <c r="L539" s="69"/>
      <c r="M539" s="70"/>
      <c r="N539" s="69"/>
      <c r="O539" s="69"/>
      <c r="P539" s="69"/>
      <c r="Q539" s="69"/>
      <c r="R539" s="69"/>
      <c r="S539" s="69"/>
      <c r="T539" s="69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</row>
    <row r="540" hidden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69"/>
      <c r="L540" s="69"/>
      <c r="M540" s="70"/>
      <c r="N540" s="69"/>
      <c r="O540" s="69"/>
      <c r="P540" s="69"/>
      <c r="Q540" s="69"/>
      <c r="R540" s="69"/>
      <c r="S540" s="69"/>
      <c r="T540" s="69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</row>
    <row r="541" hidden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69"/>
      <c r="L541" s="69"/>
      <c r="M541" s="70"/>
      <c r="N541" s="69"/>
      <c r="O541" s="69"/>
      <c r="P541" s="69"/>
      <c r="Q541" s="69"/>
      <c r="R541" s="69"/>
      <c r="S541" s="69"/>
      <c r="T541" s="69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</row>
    <row r="542" hidden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69"/>
      <c r="L542" s="69"/>
      <c r="M542" s="70"/>
      <c r="N542" s="69"/>
      <c r="O542" s="69"/>
      <c r="P542" s="69"/>
      <c r="Q542" s="69"/>
      <c r="R542" s="69"/>
      <c r="S542" s="69"/>
      <c r="T542" s="69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</row>
    <row r="543" hidden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69"/>
      <c r="L543" s="69"/>
      <c r="M543" s="70"/>
      <c r="N543" s="69"/>
      <c r="O543" s="69"/>
      <c r="P543" s="69"/>
      <c r="Q543" s="69"/>
      <c r="R543" s="69"/>
      <c r="S543" s="69"/>
      <c r="T543" s="69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</row>
    <row r="544" hidden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69"/>
      <c r="L544" s="69"/>
      <c r="M544" s="70"/>
      <c r="N544" s="69"/>
      <c r="O544" s="69"/>
      <c r="P544" s="69"/>
      <c r="Q544" s="69"/>
      <c r="R544" s="69"/>
      <c r="S544" s="69"/>
      <c r="T544" s="69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</row>
    <row r="545" hidden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69"/>
      <c r="L545" s="69"/>
      <c r="M545" s="70"/>
      <c r="N545" s="69"/>
      <c r="O545" s="69"/>
      <c r="P545" s="69"/>
      <c r="Q545" s="69"/>
      <c r="R545" s="69"/>
      <c r="S545" s="69"/>
      <c r="T545" s="69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</row>
    <row r="546" hidden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69"/>
      <c r="L546" s="69"/>
      <c r="M546" s="70"/>
      <c r="N546" s="69"/>
      <c r="O546" s="69"/>
      <c r="P546" s="69"/>
      <c r="Q546" s="69"/>
      <c r="R546" s="69"/>
      <c r="S546" s="69"/>
      <c r="T546" s="69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</row>
    <row r="547" hidden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69"/>
      <c r="L547" s="69"/>
      <c r="M547" s="70"/>
      <c r="N547" s="69"/>
      <c r="O547" s="69"/>
      <c r="P547" s="69"/>
      <c r="Q547" s="69"/>
      <c r="R547" s="69"/>
      <c r="S547" s="69"/>
      <c r="T547" s="69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</row>
    <row r="548" hidden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69"/>
      <c r="L548" s="69"/>
      <c r="M548" s="70"/>
      <c r="N548" s="69"/>
      <c r="O548" s="69"/>
      <c r="P548" s="69"/>
      <c r="Q548" s="69"/>
      <c r="R548" s="69"/>
      <c r="S548" s="69"/>
      <c r="T548" s="69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</row>
    <row r="549" hidden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69"/>
      <c r="L549" s="69"/>
      <c r="M549" s="70"/>
      <c r="N549" s="69"/>
      <c r="O549" s="69"/>
      <c r="P549" s="69"/>
      <c r="Q549" s="69"/>
      <c r="R549" s="69"/>
      <c r="S549" s="69"/>
      <c r="T549" s="69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</row>
    <row r="550" hidden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69"/>
      <c r="L550" s="69"/>
      <c r="M550" s="70"/>
      <c r="N550" s="69"/>
      <c r="O550" s="69"/>
      <c r="P550" s="69"/>
      <c r="Q550" s="69"/>
      <c r="R550" s="69"/>
      <c r="S550" s="69"/>
      <c r="T550" s="69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</row>
    <row r="551" hidden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69"/>
      <c r="L551" s="69"/>
      <c r="M551" s="70"/>
      <c r="N551" s="69"/>
      <c r="O551" s="69"/>
      <c r="P551" s="69"/>
      <c r="Q551" s="69"/>
      <c r="R551" s="69"/>
      <c r="S551" s="69"/>
      <c r="T551" s="69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</row>
    <row r="552" hidden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69"/>
      <c r="L552" s="69"/>
      <c r="M552" s="70"/>
      <c r="N552" s="69"/>
      <c r="O552" s="69"/>
      <c r="P552" s="69"/>
      <c r="Q552" s="69"/>
      <c r="R552" s="69"/>
      <c r="S552" s="69"/>
      <c r="T552" s="69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</row>
    <row r="553" hidden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69"/>
      <c r="L553" s="69"/>
      <c r="M553" s="70"/>
      <c r="N553" s="69"/>
      <c r="O553" s="69"/>
      <c r="P553" s="69"/>
      <c r="Q553" s="69"/>
      <c r="R553" s="69"/>
      <c r="S553" s="69"/>
      <c r="T553" s="69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</row>
    <row r="554" hidden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69"/>
      <c r="L554" s="69"/>
      <c r="M554" s="70"/>
      <c r="N554" s="69"/>
      <c r="O554" s="69"/>
      <c r="P554" s="69"/>
      <c r="Q554" s="69"/>
      <c r="R554" s="69"/>
      <c r="S554" s="69"/>
      <c r="T554" s="69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</row>
    <row r="555" hidden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69"/>
      <c r="L555" s="69"/>
      <c r="M555" s="70"/>
      <c r="N555" s="69"/>
      <c r="O555" s="69"/>
      <c r="P555" s="69"/>
      <c r="Q555" s="69"/>
      <c r="R555" s="69"/>
      <c r="S555" s="69"/>
      <c r="T555" s="69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</row>
    <row r="556" hidden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69"/>
      <c r="L556" s="69"/>
      <c r="M556" s="70"/>
      <c r="N556" s="69"/>
      <c r="O556" s="69"/>
      <c r="P556" s="69"/>
      <c r="Q556" s="69"/>
      <c r="R556" s="69"/>
      <c r="S556" s="69"/>
      <c r="T556" s="69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</row>
    <row r="557" hidden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69"/>
      <c r="L557" s="69"/>
      <c r="M557" s="70"/>
      <c r="N557" s="69"/>
      <c r="O557" s="69"/>
      <c r="P557" s="69"/>
      <c r="Q557" s="69"/>
      <c r="R557" s="69"/>
      <c r="S557" s="69"/>
      <c r="T557" s="69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</row>
    <row r="558" hidden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69"/>
      <c r="L558" s="69"/>
      <c r="M558" s="70"/>
      <c r="N558" s="69"/>
      <c r="O558" s="69"/>
      <c r="P558" s="69"/>
      <c r="Q558" s="69"/>
      <c r="R558" s="69"/>
      <c r="S558" s="69"/>
      <c r="T558" s="69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</row>
    <row r="559" hidden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69"/>
      <c r="L559" s="69"/>
      <c r="M559" s="70"/>
      <c r="N559" s="69"/>
      <c r="O559" s="69"/>
      <c r="P559" s="69"/>
      <c r="Q559" s="69"/>
      <c r="R559" s="69"/>
      <c r="S559" s="69"/>
      <c r="T559" s="69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</row>
    <row r="560" hidden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69"/>
      <c r="L560" s="69"/>
      <c r="M560" s="70"/>
      <c r="N560" s="69"/>
      <c r="O560" s="69"/>
      <c r="P560" s="69"/>
      <c r="Q560" s="69"/>
      <c r="R560" s="69"/>
      <c r="S560" s="69"/>
      <c r="T560" s="69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</row>
    <row r="561" hidden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69"/>
      <c r="L561" s="69"/>
      <c r="M561" s="70"/>
      <c r="N561" s="69"/>
      <c r="O561" s="69"/>
      <c r="P561" s="69"/>
      <c r="Q561" s="69"/>
      <c r="R561" s="69"/>
      <c r="S561" s="69"/>
      <c r="T561" s="69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</row>
    <row r="562" hidden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69"/>
      <c r="L562" s="69"/>
      <c r="M562" s="70"/>
      <c r="N562" s="69"/>
      <c r="O562" s="69"/>
      <c r="P562" s="69"/>
      <c r="Q562" s="69"/>
      <c r="R562" s="69"/>
      <c r="S562" s="69"/>
      <c r="T562" s="69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</row>
    <row r="563" hidden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69"/>
      <c r="L563" s="69"/>
      <c r="M563" s="70"/>
      <c r="N563" s="69"/>
      <c r="O563" s="69"/>
      <c r="P563" s="69"/>
      <c r="Q563" s="69"/>
      <c r="R563" s="69"/>
      <c r="S563" s="69"/>
      <c r="T563" s="69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</row>
    <row r="564" hidden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69"/>
      <c r="L564" s="69"/>
      <c r="M564" s="70"/>
      <c r="N564" s="69"/>
      <c r="O564" s="69"/>
      <c r="P564" s="69"/>
      <c r="Q564" s="69"/>
      <c r="R564" s="69"/>
      <c r="S564" s="69"/>
      <c r="T564" s="69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</row>
    <row r="565" hidden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69"/>
      <c r="L565" s="69"/>
      <c r="M565" s="70"/>
      <c r="N565" s="69"/>
      <c r="O565" s="69"/>
      <c r="P565" s="69"/>
      <c r="Q565" s="69"/>
      <c r="R565" s="69"/>
      <c r="S565" s="69"/>
      <c r="T565" s="69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</row>
    <row r="566" hidden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69"/>
      <c r="L566" s="69"/>
      <c r="M566" s="70"/>
      <c r="N566" s="69"/>
      <c r="O566" s="69"/>
      <c r="P566" s="69"/>
      <c r="Q566" s="69"/>
      <c r="R566" s="69"/>
      <c r="S566" s="69"/>
      <c r="T566" s="69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</row>
    <row r="567" hidden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69"/>
      <c r="L567" s="69"/>
      <c r="M567" s="70"/>
      <c r="N567" s="69"/>
      <c r="O567" s="69"/>
      <c r="P567" s="69"/>
      <c r="Q567" s="69"/>
      <c r="R567" s="69"/>
      <c r="S567" s="69"/>
      <c r="T567" s="69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</row>
    <row r="568" hidden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69"/>
      <c r="L568" s="69"/>
      <c r="M568" s="70"/>
      <c r="N568" s="69"/>
      <c r="O568" s="69"/>
      <c r="P568" s="69"/>
      <c r="Q568" s="69"/>
      <c r="R568" s="69"/>
      <c r="S568" s="69"/>
      <c r="T568" s="69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</row>
    <row r="569" hidden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69"/>
      <c r="L569" s="69"/>
      <c r="M569" s="70"/>
      <c r="N569" s="69"/>
      <c r="O569" s="69"/>
      <c r="P569" s="69"/>
      <c r="Q569" s="69"/>
      <c r="R569" s="69"/>
      <c r="S569" s="69"/>
      <c r="T569" s="69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</row>
    <row r="570" hidden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69"/>
      <c r="L570" s="69"/>
      <c r="M570" s="70"/>
      <c r="N570" s="69"/>
      <c r="O570" s="69"/>
      <c r="P570" s="69"/>
      <c r="Q570" s="69"/>
      <c r="R570" s="69"/>
      <c r="S570" s="69"/>
      <c r="T570" s="69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</row>
    <row r="571" hidden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69"/>
      <c r="L571" s="69"/>
      <c r="M571" s="70"/>
      <c r="N571" s="69"/>
      <c r="O571" s="69"/>
      <c r="P571" s="69"/>
      <c r="Q571" s="69"/>
      <c r="R571" s="69"/>
      <c r="S571" s="69"/>
      <c r="T571" s="69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</row>
    <row r="572" hidden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69"/>
      <c r="L572" s="69"/>
      <c r="M572" s="70"/>
      <c r="N572" s="69"/>
      <c r="O572" s="69"/>
      <c r="P572" s="69"/>
      <c r="Q572" s="69"/>
      <c r="R572" s="69"/>
      <c r="S572" s="69"/>
      <c r="T572" s="69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</row>
    <row r="573" hidden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69"/>
      <c r="L573" s="69"/>
      <c r="M573" s="70"/>
      <c r="N573" s="69"/>
      <c r="O573" s="69"/>
      <c r="P573" s="69"/>
      <c r="Q573" s="69"/>
      <c r="R573" s="69"/>
      <c r="S573" s="69"/>
      <c r="T573" s="69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</row>
    <row r="574" hidden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69"/>
      <c r="L574" s="69"/>
      <c r="M574" s="70"/>
      <c r="N574" s="69"/>
      <c r="O574" s="69"/>
      <c r="P574" s="69"/>
      <c r="Q574" s="69"/>
      <c r="R574" s="69"/>
      <c r="S574" s="69"/>
      <c r="T574" s="69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</row>
    <row r="575" hidden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69"/>
      <c r="L575" s="69"/>
      <c r="M575" s="70"/>
      <c r="N575" s="69"/>
      <c r="O575" s="69"/>
      <c r="P575" s="69"/>
      <c r="Q575" s="69"/>
      <c r="R575" s="69"/>
      <c r="S575" s="69"/>
      <c r="T575" s="69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</row>
    <row r="576" hidden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69"/>
      <c r="L576" s="69"/>
      <c r="M576" s="70"/>
      <c r="N576" s="69"/>
      <c r="O576" s="69"/>
      <c r="P576" s="69"/>
      <c r="Q576" s="69"/>
      <c r="R576" s="69"/>
      <c r="S576" s="69"/>
      <c r="T576" s="69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</row>
    <row r="577" hidden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69"/>
      <c r="L577" s="69"/>
      <c r="M577" s="70"/>
      <c r="N577" s="69"/>
      <c r="O577" s="69"/>
      <c r="P577" s="69"/>
      <c r="Q577" s="69"/>
      <c r="R577" s="69"/>
      <c r="S577" s="69"/>
      <c r="T577" s="69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</row>
    <row r="578" hidden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69"/>
      <c r="L578" s="69"/>
      <c r="M578" s="70"/>
      <c r="N578" s="69"/>
      <c r="O578" s="69"/>
      <c r="P578" s="69"/>
      <c r="Q578" s="69"/>
      <c r="R578" s="69"/>
      <c r="S578" s="69"/>
      <c r="T578" s="69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</row>
    <row r="579" hidden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69"/>
      <c r="L579" s="69"/>
      <c r="M579" s="70"/>
      <c r="N579" s="69"/>
      <c r="O579" s="69"/>
      <c r="P579" s="69"/>
      <c r="Q579" s="69"/>
      <c r="R579" s="69"/>
      <c r="S579" s="69"/>
      <c r="T579" s="69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</row>
    <row r="580" hidden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69"/>
      <c r="L580" s="69"/>
      <c r="M580" s="70"/>
      <c r="N580" s="69"/>
      <c r="O580" s="69"/>
      <c r="P580" s="69"/>
      <c r="Q580" s="69"/>
      <c r="R580" s="69"/>
      <c r="S580" s="69"/>
      <c r="T580" s="69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</row>
    <row r="581" hidden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69"/>
      <c r="L581" s="69"/>
      <c r="M581" s="70"/>
      <c r="N581" s="69"/>
      <c r="O581" s="69"/>
      <c r="P581" s="69"/>
      <c r="Q581" s="69"/>
      <c r="R581" s="69"/>
      <c r="S581" s="69"/>
      <c r="T581" s="69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</row>
    <row r="582" hidden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69"/>
      <c r="L582" s="69"/>
      <c r="M582" s="70"/>
      <c r="N582" s="69"/>
      <c r="O582" s="69"/>
      <c r="P582" s="69"/>
      <c r="Q582" s="69"/>
      <c r="R582" s="69"/>
      <c r="S582" s="69"/>
      <c r="T582" s="69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</row>
    <row r="583" hidden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69"/>
      <c r="L583" s="69"/>
      <c r="M583" s="70"/>
      <c r="N583" s="69"/>
      <c r="O583" s="69"/>
      <c r="P583" s="69"/>
      <c r="Q583" s="69"/>
      <c r="R583" s="69"/>
      <c r="S583" s="69"/>
      <c r="T583" s="69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</row>
    <row r="584" hidden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69"/>
      <c r="L584" s="69"/>
      <c r="M584" s="70"/>
      <c r="N584" s="69"/>
      <c r="O584" s="69"/>
      <c r="P584" s="69"/>
      <c r="Q584" s="69"/>
      <c r="R584" s="69"/>
      <c r="S584" s="69"/>
      <c r="T584" s="69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</row>
    <row r="585" hidden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69"/>
      <c r="L585" s="69"/>
      <c r="M585" s="70"/>
      <c r="N585" s="69"/>
      <c r="O585" s="69"/>
      <c r="P585" s="69"/>
      <c r="Q585" s="69"/>
      <c r="R585" s="69"/>
      <c r="S585" s="69"/>
      <c r="T585" s="69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</row>
    <row r="586" hidden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69"/>
      <c r="L586" s="69"/>
      <c r="M586" s="70"/>
      <c r="N586" s="69"/>
      <c r="O586" s="69"/>
      <c r="P586" s="69"/>
      <c r="Q586" s="69"/>
      <c r="R586" s="69"/>
      <c r="S586" s="69"/>
      <c r="T586" s="69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</row>
    <row r="587" hidden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69"/>
      <c r="L587" s="69"/>
      <c r="M587" s="70"/>
      <c r="N587" s="69"/>
      <c r="O587" s="69"/>
      <c r="P587" s="69"/>
      <c r="Q587" s="69"/>
      <c r="R587" s="69"/>
      <c r="S587" s="69"/>
      <c r="T587" s="69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</row>
    <row r="588" hidden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69"/>
      <c r="L588" s="69"/>
      <c r="M588" s="70"/>
      <c r="N588" s="69"/>
      <c r="O588" s="69"/>
      <c r="P588" s="69"/>
      <c r="Q588" s="69"/>
      <c r="R588" s="69"/>
      <c r="S588" s="69"/>
      <c r="T588" s="69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</row>
    <row r="589" hidden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69"/>
      <c r="L589" s="69"/>
      <c r="M589" s="70"/>
      <c r="N589" s="69"/>
      <c r="O589" s="69"/>
      <c r="P589" s="69"/>
      <c r="Q589" s="69"/>
      <c r="R589" s="69"/>
      <c r="S589" s="69"/>
      <c r="T589" s="69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</row>
    <row r="590" hidden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69"/>
      <c r="L590" s="69"/>
      <c r="M590" s="70"/>
      <c r="N590" s="69"/>
      <c r="O590" s="69"/>
      <c r="P590" s="69"/>
      <c r="Q590" s="69"/>
      <c r="R590" s="69"/>
      <c r="S590" s="69"/>
      <c r="T590" s="69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</row>
    <row r="591" hidden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69"/>
      <c r="L591" s="69"/>
      <c r="M591" s="70"/>
      <c r="N591" s="69"/>
      <c r="O591" s="69"/>
      <c r="P591" s="69"/>
      <c r="Q591" s="69"/>
      <c r="R591" s="69"/>
      <c r="S591" s="69"/>
      <c r="T591" s="69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</row>
    <row r="592" hidden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69"/>
      <c r="L592" s="69"/>
      <c r="M592" s="70"/>
      <c r="N592" s="69"/>
      <c r="O592" s="69"/>
      <c r="P592" s="69"/>
      <c r="Q592" s="69"/>
      <c r="R592" s="69"/>
      <c r="S592" s="69"/>
      <c r="T592" s="69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</row>
    <row r="593" hidden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69"/>
      <c r="L593" s="69"/>
      <c r="M593" s="70"/>
      <c r="N593" s="69"/>
      <c r="O593" s="69"/>
      <c r="P593" s="69"/>
      <c r="Q593" s="69"/>
      <c r="R593" s="69"/>
      <c r="S593" s="69"/>
      <c r="T593" s="69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</row>
    <row r="594" hidden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69"/>
      <c r="L594" s="69"/>
      <c r="M594" s="70"/>
      <c r="N594" s="69"/>
      <c r="O594" s="69"/>
      <c r="P594" s="69"/>
      <c r="Q594" s="69"/>
      <c r="R594" s="69"/>
      <c r="S594" s="69"/>
      <c r="T594" s="69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</row>
    <row r="595" hidden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69"/>
      <c r="L595" s="69"/>
      <c r="M595" s="70"/>
      <c r="N595" s="69"/>
      <c r="O595" s="69"/>
      <c r="P595" s="69"/>
      <c r="Q595" s="69"/>
      <c r="R595" s="69"/>
      <c r="S595" s="69"/>
      <c r="T595" s="69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</row>
    <row r="596" hidden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69"/>
      <c r="L596" s="69"/>
      <c r="M596" s="70"/>
      <c r="N596" s="69"/>
      <c r="O596" s="69"/>
      <c r="P596" s="69"/>
      <c r="Q596" s="69"/>
      <c r="R596" s="69"/>
      <c r="S596" s="69"/>
      <c r="T596" s="69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</row>
    <row r="597" hidden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69"/>
      <c r="L597" s="69"/>
      <c r="M597" s="70"/>
      <c r="N597" s="69"/>
      <c r="O597" s="69"/>
      <c r="P597" s="69"/>
      <c r="Q597" s="69"/>
      <c r="R597" s="69"/>
      <c r="S597" s="69"/>
      <c r="T597" s="69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</row>
    <row r="598" hidden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69"/>
      <c r="L598" s="69"/>
      <c r="M598" s="70"/>
      <c r="N598" s="69"/>
      <c r="O598" s="69"/>
      <c r="P598" s="69"/>
      <c r="Q598" s="69"/>
      <c r="R598" s="69"/>
      <c r="S598" s="69"/>
      <c r="T598" s="69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</row>
    <row r="599" hidden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69"/>
      <c r="L599" s="69"/>
      <c r="M599" s="70"/>
      <c r="N599" s="69"/>
      <c r="O599" s="69"/>
      <c r="P599" s="69"/>
      <c r="Q599" s="69"/>
      <c r="R599" s="69"/>
      <c r="S599" s="69"/>
      <c r="T599" s="69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</row>
    <row r="600" hidden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69"/>
      <c r="L600" s="69"/>
      <c r="M600" s="70"/>
      <c r="N600" s="69"/>
      <c r="O600" s="69"/>
      <c r="P600" s="69"/>
      <c r="Q600" s="69"/>
      <c r="R600" s="69"/>
      <c r="S600" s="69"/>
      <c r="T600" s="69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</row>
    <row r="601" hidden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69"/>
      <c r="L601" s="69"/>
      <c r="M601" s="70"/>
      <c r="N601" s="69"/>
      <c r="O601" s="69"/>
      <c r="P601" s="69"/>
      <c r="Q601" s="69"/>
      <c r="R601" s="69"/>
      <c r="S601" s="69"/>
      <c r="T601" s="69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</row>
    <row r="602" hidden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69"/>
      <c r="L602" s="69"/>
      <c r="M602" s="70"/>
      <c r="N602" s="69"/>
      <c r="O602" s="69"/>
      <c r="P602" s="69"/>
      <c r="Q602" s="69"/>
      <c r="R602" s="69"/>
      <c r="S602" s="69"/>
      <c r="T602" s="69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</row>
    <row r="603" hidden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69"/>
      <c r="L603" s="69"/>
      <c r="M603" s="70"/>
      <c r="N603" s="69"/>
      <c r="O603" s="69"/>
      <c r="P603" s="69"/>
      <c r="Q603" s="69"/>
      <c r="R603" s="69"/>
      <c r="S603" s="69"/>
      <c r="T603" s="69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</row>
    <row r="604" hidden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69"/>
      <c r="L604" s="69"/>
      <c r="M604" s="70"/>
      <c r="N604" s="69"/>
      <c r="O604" s="69"/>
      <c r="P604" s="69"/>
      <c r="Q604" s="69"/>
      <c r="R604" s="69"/>
      <c r="S604" s="69"/>
      <c r="T604" s="69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</row>
    <row r="605" hidden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69"/>
      <c r="L605" s="69"/>
      <c r="M605" s="70"/>
      <c r="N605" s="69"/>
      <c r="O605" s="69"/>
      <c r="P605" s="69"/>
      <c r="Q605" s="69"/>
      <c r="R605" s="69"/>
      <c r="S605" s="69"/>
      <c r="T605" s="69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</row>
    <row r="606" hidden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69"/>
      <c r="L606" s="69"/>
      <c r="M606" s="70"/>
      <c r="N606" s="69"/>
      <c r="O606" s="69"/>
      <c r="P606" s="69"/>
      <c r="Q606" s="69"/>
      <c r="R606" s="69"/>
      <c r="S606" s="69"/>
      <c r="T606" s="69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</row>
    <row r="607" hidden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69"/>
      <c r="L607" s="69"/>
      <c r="M607" s="70"/>
      <c r="N607" s="69"/>
      <c r="O607" s="69"/>
      <c r="P607" s="69"/>
      <c r="Q607" s="69"/>
      <c r="R607" s="69"/>
      <c r="S607" s="69"/>
      <c r="T607" s="69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</row>
    <row r="608" hidden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69"/>
      <c r="L608" s="69"/>
      <c r="M608" s="70"/>
      <c r="N608" s="69"/>
      <c r="O608" s="69"/>
      <c r="P608" s="69"/>
      <c r="Q608" s="69"/>
      <c r="R608" s="69"/>
      <c r="S608" s="69"/>
      <c r="T608" s="69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</row>
    <row r="609" hidden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69"/>
      <c r="L609" s="69"/>
      <c r="M609" s="70"/>
      <c r="N609" s="69"/>
      <c r="O609" s="69"/>
      <c r="P609" s="69"/>
      <c r="Q609" s="69"/>
      <c r="R609" s="69"/>
      <c r="S609" s="69"/>
      <c r="T609" s="69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</row>
    <row r="610" hidden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69"/>
      <c r="L610" s="69"/>
      <c r="M610" s="70"/>
      <c r="N610" s="69"/>
      <c r="O610" s="69"/>
      <c r="P610" s="69"/>
      <c r="Q610" s="69"/>
      <c r="R610" s="69"/>
      <c r="S610" s="69"/>
      <c r="T610" s="69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</row>
    <row r="611" hidden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69"/>
      <c r="L611" s="69"/>
      <c r="M611" s="70"/>
      <c r="N611" s="69"/>
      <c r="O611" s="69"/>
      <c r="P611" s="69"/>
      <c r="Q611" s="69"/>
      <c r="R611" s="69"/>
      <c r="S611" s="69"/>
      <c r="T611" s="69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</row>
    <row r="612" hidden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69"/>
      <c r="L612" s="69"/>
      <c r="M612" s="70"/>
      <c r="N612" s="69"/>
      <c r="O612" s="69"/>
      <c r="P612" s="69"/>
      <c r="Q612" s="69"/>
      <c r="R612" s="69"/>
      <c r="S612" s="69"/>
      <c r="T612" s="69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</row>
    <row r="613" hidden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69"/>
      <c r="L613" s="69"/>
      <c r="M613" s="70"/>
      <c r="N613" s="69"/>
      <c r="O613" s="69"/>
      <c r="P613" s="69"/>
      <c r="Q613" s="69"/>
      <c r="R613" s="69"/>
      <c r="S613" s="69"/>
      <c r="T613" s="69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</row>
    <row r="614" hidden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69"/>
      <c r="L614" s="69"/>
      <c r="M614" s="70"/>
      <c r="N614" s="69"/>
      <c r="O614" s="69"/>
      <c r="P614" s="69"/>
      <c r="Q614" s="69"/>
      <c r="R614" s="69"/>
      <c r="S614" s="69"/>
      <c r="T614" s="69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</row>
    <row r="615" hidden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69"/>
      <c r="L615" s="69"/>
      <c r="M615" s="70"/>
      <c r="N615" s="69"/>
      <c r="O615" s="69"/>
      <c r="P615" s="69"/>
      <c r="Q615" s="69"/>
      <c r="R615" s="69"/>
      <c r="S615" s="69"/>
      <c r="T615" s="69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</row>
    <row r="616" hidden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69"/>
      <c r="L616" s="69"/>
      <c r="M616" s="70"/>
      <c r="N616" s="69"/>
      <c r="O616" s="69"/>
      <c r="P616" s="69"/>
      <c r="Q616" s="69"/>
      <c r="R616" s="69"/>
      <c r="S616" s="69"/>
      <c r="T616" s="69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</row>
    <row r="617" hidden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69"/>
      <c r="L617" s="69"/>
      <c r="M617" s="70"/>
      <c r="N617" s="69"/>
      <c r="O617" s="69"/>
      <c r="P617" s="69"/>
      <c r="Q617" s="69"/>
      <c r="R617" s="69"/>
      <c r="S617" s="69"/>
      <c r="T617" s="69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</row>
    <row r="618" hidden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69"/>
      <c r="L618" s="69"/>
      <c r="M618" s="70"/>
      <c r="N618" s="69"/>
      <c r="O618" s="69"/>
      <c r="P618" s="69"/>
      <c r="Q618" s="69"/>
      <c r="R618" s="69"/>
      <c r="S618" s="69"/>
      <c r="T618" s="69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</row>
    <row r="619" hidden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69"/>
      <c r="L619" s="69"/>
      <c r="M619" s="70"/>
      <c r="N619" s="69"/>
      <c r="O619" s="69"/>
      <c r="P619" s="69"/>
      <c r="Q619" s="69"/>
      <c r="R619" s="69"/>
      <c r="S619" s="69"/>
      <c r="T619" s="69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</row>
    <row r="620" hidden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69"/>
      <c r="L620" s="69"/>
      <c r="M620" s="70"/>
      <c r="N620" s="69"/>
      <c r="O620" s="69"/>
      <c r="P620" s="69"/>
      <c r="Q620" s="69"/>
      <c r="R620" s="69"/>
      <c r="S620" s="69"/>
      <c r="T620" s="69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</row>
    <row r="621" hidden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69"/>
      <c r="L621" s="69"/>
      <c r="M621" s="70"/>
      <c r="N621" s="69"/>
      <c r="O621" s="69"/>
      <c r="P621" s="69"/>
      <c r="Q621" s="69"/>
      <c r="R621" s="69"/>
      <c r="S621" s="69"/>
      <c r="T621" s="69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</row>
    <row r="622" hidden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69"/>
      <c r="L622" s="69"/>
      <c r="M622" s="70"/>
      <c r="N622" s="69"/>
      <c r="O622" s="69"/>
      <c r="P622" s="69"/>
      <c r="Q622" s="69"/>
      <c r="R622" s="69"/>
      <c r="S622" s="69"/>
      <c r="T622" s="69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</row>
    <row r="623" hidden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69"/>
      <c r="L623" s="69"/>
      <c r="M623" s="70"/>
      <c r="N623" s="69"/>
      <c r="O623" s="69"/>
      <c r="P623" s="69"/>
      <c r="Q623" s="69"/>
      <c r="R623" s="69"/>
      <c r="S623" s="69"/>
      <c r="T623" s="69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</row>
    <row r="624" hidden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69"/>
      <c r="L624" s="69"/>
      <c r="M624" s="70"/>
      <c r="N624" s="69"/>
      <c r="O624" s="69"/>
      <c r="P624" s="69"/>
      <c r="Q624" s="69"/>
      <c r="R624" s="69"/>
      <c r="S624" s="69"/>
      <c r="T624" s="69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</row>
    <row r="625" hidden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69"/>
      <c r="L625" s="69"/>
      <c r="M625" s="70"/>
      <c r="N625" s="69"/>
      <c r="O625" s="69"/>
      <c r="P625" s="69"/>
      <c r="Q625" s="69"/>
      <c r="R625" s="69"/>
      <c r="S625" s="69"/>
      <c r="T625" s="69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</row>
    <row r="626" hidden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69"/>
      <c r="L626" s="69"/>
      <c r="M626" s="70"/>
      <c r="N626" s="69"/>
      <c r="O626" s="69"/>
      <c r="P626" s="69"/>
      <c r="Q626" s="69"/>
      <c r="R626" s="69"/>
      <c r="S626" s="69"/>
      <c r="T626" s="69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</row>
    <row r="627" hidden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69"/>
      <c r="L627" s="69"/>
      <c r="M627" s="70"/>
      <c r="N627" s="69"/>
      <c r="O627" s="69"/>
      <c r="P627" s="69"/>
      <c r="Q627" s="69"/>
      <c r="R627" s="69"/>
      <c r="S627" s="69"/>
      <c r="T627" s="69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</row>
    <row r="628" hidden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69"/>
      <c r="L628" s="69"/>
      <c r="M628" s="70"/>
      <c r="N628" s="69"/>
      <c r="O628" s="69"/>
      <c r="P628" s="69"/>
      <c r="Q628" s="69"/>
      <c r="R628" s="69"/>
      <c r="S628" s="69"/>
      <c r="T628" s="69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</row>
    <row r="629" hidden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69"/>
      <c r="L629" s="69"/>
      <c r="M629" s="70"/>
      <c r="N629" s="69"/>
      <c r="O629" s="69"/>
      <c r="P629" s="69"/>
      <c r="Q629" s="69"/>
      <c r="R629" s="69"/>
      <c r="S629" s="69"/>
      <c r="T629" s="69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</row>
    <row r="630" hidden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69"/>
      <c r="L630" s="69"/>
      <c r="M630" s="70"/>
      <c r="N630" s="69"/>
      <c r="O630" s="69"/>
      <c r="P630" s="69"/>
      <c r="Q630" s="69"/>
      <c r="R630" s="69"/>
      <c r="S630" s="69"/>
      <c r="T630" s="69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</row>
    <row r="631" hidden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69"/>
      <c r="L631" s="69"/>
      <c r="M631" s="70"/>
      <c r="N631" s="69"/>
      <c r="O631" s="69"/>
      <c r="P631" s="69"/>
      <c r="Q631" s="69"/>
      <c r="R631" s="69"/>
      <c r="S631" s="69"/>
      <c r="T631" s="69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</row>
    <row r="632" hidden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69"/>
      <c r="L632" s="69"/>
      <c r="M632" s="70"/>
      <c r="N632" s="69"/>
      <c r="O632" s="69"/>
      <c r="P632" s="69"/>
      <c r="Q632" s="69"/>
      <c r="R632" s="69"/>
      <c r="S632" s="69"/>
      <c r="T632" s="69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</row>
    <row r="633" hidden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69"/>
      <c r="L633" s="69"/>
      <c r="M633" s="70"/>
      <c r="N633" s="69"/>
      <c r="O633" s="69"/>
      <c r="P633" s="69"/>
      <c r="Q633" s="69"/>
      <c r="R633" s="69"/>
      <c r="S633" s="69"/>
      <c r="T633" s="69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</row>
    <row r="634" hidden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69"/>
      <c r="L634" s="69"/>
      <c r="M634" s="70"/>
      <c r="N634" s="69"/>
      <c r="O634" s="69"/>
      <c r="P634" s="69"/>
      <c r="Q634" s="69"/>
      <c r="R634" s="69"/>
      <c r="S634" s="69"/>
      <c r="T634" s="69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</row>
    <row r="635" hidden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69"/>
      <c r="L635" s="69"/>
      <c r="M635" s="70"/>
      <c r="N635" s="69"/>
      <c r="O635" s="69"/>
      <c r="P635" s="69"/>
      <c r="Q635" s="69"/>
      <c r="R635" s="69"/>
      <c r="S635" s="69"/>
      <c r="T635" s="69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</row>
    <row r="636" hidden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69"/>
      <c r="L636" s="69"/>
      <c r="M636" s="70"/>
      <c r="N636" s="69"/>
      <c r="O636" s="69"/>
      <c r="P636" s="69"/>
      <c r="Q636" s="69"/>
      <c r="R636" s="69"/>
      <c r="S636" s="69"/>
      <c r="T636" s="69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</row>
    <row r="637" hidden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69"/>
      <c r="L637" s="69"/>
      <c r="M637" s="70"/>
      <c r="N637" s="69"/>
      <c r="O637" s="69"/>
      <c r="P637" s="69"/>
      <c r="Q637" s="69"/>
      <c r="R637" s="69"/>
      <c r="S637" s="69"/>
      <c r="T637" s="69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</row>
    <row r="638" hidden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69"/>
      <c r="L638" s="69"/>
      <c r="M638" s="70"/>
      <c r="N638" s="69"/>
      <c r="O638" s="69"/>
      <c r="P638" s="69"/>
      <c r="Q638" s="69"/>
      <c r="R638" s="69"/>
      <c r="S638" s="69"/>
      <c r="T638" s="69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</row>
    <row r="639" hidden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69"/>
      <c r="L639" s="69"/>
      <c r="M639" s="70"/>
      <c r="N639" s="69"/>
      <c r="O639" s="69"/>
      <c r="P639" s="69"/>
      <c r="Q639" s="69"/>
      <c r="R639" s="69"/>
      <c r="S639" s="69"/>
      <c r="T639" s="69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</row>
    <row r="640" hidden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69"/>
      <c r="L640" s="69"/>
      <c r="M640" s="70"/>
      <c r="N640" s="69"/>
      <c r="O640" s="69"/>
      <c r="P640" s="69"/>
      <c r="Q640" s="69"/>
      <c r="R640" s="69"/>
      <c r="S640" s="69"/>
      <c r="T640" s="69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</row>
    <row r="641" hidden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69"/>
      <c r="L641" s="69"/>
      <c r="M641" s="70"/>
      <c r="N641" s="69"/>
      <c r="O641" s="69"/>
      <c r="P641" s="69"/>
      <c r="Q641" s="69"/>
      <c r="R641" s="69"/>
      <c r="S641" s="69"/>
      <c r="T641" s="69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</row>
    <row r="642" hidden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69"/>
      <c r="L642" s="69"/>
      <c r="M642" s="70"/>
      <c r="N642" s="69"/>
      <c r="O642" s="69"/>
      <c r="P642" s="69"/>
      <c r="Q642" s="69"/>
      <c r="R642" s="69"/>
      <c r="S642" s="69"/>
      <c r="T642" s="69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</row>
    <row r="643" hidden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69"/>
      <c r="L643" s="69"/>
      <c r="M643" s="70"/>
      <c r="N643" s="69"/>
      <c r="O643" s="69"/>
      <c r="P643" s="69"/>
      <c r="Q643" s="69"/>
      <c r="R643" s="69"/>
      <c r="S643" s="69"/>
      <c r="T643" s="69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</row>
    <row r="644" hidden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69"/>
      <c r="L644" s="69"/>
      <c r="M644" s="70"/>
      <c r="N644" s="69"/>
      <c r="O644" s="69"/>
      <c r="P644" s="69"/>
      <c r="Q644" s="69"/>
      <c r="R644" s="69"/>
      <c r="S644" s="69"/>
      <c r="T644" s="69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</row>
    <row r="645" hidden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69"/>
      <c r="L645" s="69"/>
      <c r="M645" s="70"/>
      <c r="N645" s="69"/>
      <c r="O645" s="69"/>
      <c r="P645" s="69"/>
      <c r="Q645" s="69"/>
      <c r="R645" s="69"/>
      <c r="S645" s="69"/>
      <c r="T645" s="69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</row>
    <row r="646" hidden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69"/>
      <c r="L646" s="69"/>
      <c r="M646" s="70"/>
      <c r="N646" s="69"/>
      <c r="O646" s="69"/>
      <c r="P646" s="69"/>
      <c r="Q646" s="69"/>
      <c r="R646" s="69"/>
      <c r="S646" s="69"/>
      <c r="T646" s="69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</row>
    <row r="647" hidden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69"/>
      <c r="L647" s="69"/>
      <c r="M647" s="70"/>
      <c r="N647" s="69"/>
      <c r="O647" s="69"/>
      <c r="P647" s="69"/>
      <c r="Q647" s="69"/>
      <c r="R647" s="69"/>
      <c r="S647" s="69"/>
      <c r="T647" s="69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</row>
    <row r="648" hidden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69"/>
      <c r="L648" s="69"/>
      <c r="M648" s="70"/>
      <c r="N648" s="69"/>
      <c r="O648" s="69"/>
      <c r="P648" s="69"/>
      <c r="Q648" s="69"/>
      <c r="R648" s="69"/>
      <c r="S648" s="69"/>
      <c r="T648" s="69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</row>
    <row r="649" hidden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69"/>
      <c r="L649" s="69"/>
      <c r="M649" s="70"/>
      <c r="N649" s="69"/>
      <c r="O649" s="69"/>
      <c r="P649" s="69"/>
      <c r="Q649" s="69"/>
      <c r="R649" s="69"/>
      <c r="S649" s="69"/>
      <c r="T649" s="69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</row>
    <row r="650" hidden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69"/>
      <c r="L650" s="69"/>
      <c r="M650" s="70"/>
      <c r="N650" s="69"/>
      <c r="O650" s="69"/>
      <c r="P650" s="69"/>
      <c r="Q650" s="69"/>
      <c r="R650" s="69"/>
      <c r="S650" s="69"/>
      <c r="T650" s="69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</row>
    <row r="651" hidden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69"/>
      <c r="L651" s="69"/>
      <c r="M651" s="70"/>
      <c r="N651" s="69"/>
      <c r="O651" s="69"/>
      <c r="P651" s="69"/>
      <c r="Q651" s="69"/>
      <c r="R651" s="69"/>
      <c r="S651" s="69"/>
      <c r="T651" s="69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</row>
    <row r="652" hidden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69"/>
      <c r="L652" s="69"/>
      <c r="M652" s="70"/>
      <c r="N652" s="69"/>
      <c r="O652" s="69"/>
      <c r="P652" s="69"/>
      <c r="Q652" s="69"/>
      <c r="R652" s="69"/>
      <c r="S652" s="69"/>
      <c r="T652" s="69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</row>
    <row r="653" hidden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69"/>
      <c r="L653" s="69"/>
      <c r="M653" s="70"/>
      <c r="N653" s="69"/>
      <c r="O653" s="69"/>
      <c r="P653" s="69"/>
      <c r="Q653" s="69"/>
      <c r="R653" s="69"/>
      <c r="S653" s="69"/>
      <c r="T653" s="69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</row>
    <row r="654" hidden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69"/>
      <c r="L654" s="69"/>
      <c r="M654" s="70"/>
      <c r="N654" s="69"/>
      <c r="O654" s="69"/>
      <c r="P654" s="69"/>
      <c r="Q654" s="69"/>
      <c r="R654" s="69"/>
      <c r="S654" s="69"/>
      <c r="T654" s="69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</row>
    <row r="655" hidden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69"/>
      <c r="L655" s="69"/>
      <c r="M655" s="70"/>
      <c r="N655" s="69"/>
      <c r="O655" s="69"/>
      <c r="P655" s="69"/>
      <c r="Q655" s="69"/>
      <c r="R655" s="69"/>
      <c r="S655" s="69"/>
      <c r="T655" s="69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</row>
    <row r="656" hidden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69"/>
      <c r="L656" s="69"/>
      <c r="M656" s="70"/>
      <c r="N656" s="69"/>
      <c r="O656" s="69"/>
      <c r="P656" s="69"/>
      <c r="Q656" s="69"/>
      <c r="R656" s="69"/>
      <c r="S656" s="69"/>
      <c r="T656" s="69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</row>
    <row r="657" hidden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69"/>
      <c r="L657" s="69"/>
      <c r="M657" s="70"/>
      <c r="N657" s="69"/>
      <c r="O657" s="69"/>
      <c r="P657" s="69"/>
      <c r="Q657" s="69"/>
      <c r="R657" s="69"/>
      <c r="S657" s="69"/>
      <c r="T657" s="69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</row>
    <row r="658" hidden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69"/>
      <c r="L658" s="69"/>
      <c r="M658" s="70"/>
      <c r="N658" s="69"/>
      <c r="O658" s="69"/>
      <c r="P658" s="69"/>
      <c r="Q658" s="69"/>
      <c r="R658" s="69"/>
      <c r="S658" s="69"/>
      <c r="T658" s="69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</row>
    <row r="659" hidden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69"/>
      <c r="L659" s="69"/>
      <c r="M659" s="70"/>
      <c r="N659" s="69"/>
      <c r="O659" s="69"/>
      <c r="P659" s="69"/>
      <c r="Q659" s="69"/>
      <c r="R659" s="69"/>
      <c r="S659" s="69"/>
      <c r="T659" s="69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</row>
    <row r="660" hidden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69"/>
      <c r="L660" s="69"/>
      <c r="M660" s="70"/>
      <c r="N660" s="69"/>
      <c r="O660" s="69"/>
      <c r="P660" s="69"/>
      <c r="Q660" s="69"/>
      <c r="R660" s="69"/>
      <c r="S660" s="69"/>
      <c r="T660" s="69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</row>
    <row r="661" hidden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69"/>
      <c r="L661" s="69"/>
      <c r="M661" s="70"/>
      <c r="N661" s="69"/>
      <c r="O661" s="69"/>
      <c r="P661" s="69"/>
      <c r="Q661" s="69"/>
      <c r="R661" s="69"/>
      <c r="S661" s="69"/>
      <c r="T661" s="69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</row>
    <row r="662" hidden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69"/>
      <c r="L662" s="69"/>
      <c r="M662" s="70"/>
      <c r="N662" s="69"/>
      <c r="O662" s="69"/>
      <c r="P662" s="69"/>
      <c r="Q662" s="69"/>
      <c r="R662" s="69"/>
      <c r="S662" s="69"/>
      <c r="T662" s="69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</row>
    <row r="663" hidden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69"/>
      <c r="L663" s="69"/>
      <c r="M663" s="70"/>
      <c r="N663" s="69"/>
      <c r="O663" s="69"/>
      <c r="P663" s="69"/>
      <c r="Q663" s="69"/>
      <c r="R663" s="69"/>
      <c r="S663" s="69"/>
      <c r="T663" s="69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</row>
    <row r="664" hidden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69"/>
      <c r="L664" s="69"/>
      <c r="M664" s="70"/>
      <c r="N664" s="69"/>
      <c r="O664" s="69"/>
      <c r="P664" s="69"/>
      <c r="Q664" s="69"/>
      <c r="R664" s="69"/>
      <c r="S664" s="69"/>
      <c r="T664" s="69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</row>
    <row r="665" hidden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69"/>
      <c r="L665" s="69"/>
      <c r="M665" s="70"/>
      <c r="N665" s="69"/>
      <c r="O665" s="69"/>
      <c r="P665" s="69"/>
      <c r="Q665" s="69"/>
      <c r="R665" s="69"/>
      <c r="S665" s="69"/>
      <c r="T665" s="69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</row>
    <row r="666" hidden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69"/>
      <c r="L666" s="69"/>
      <c r="M666" s="70"/>
      <c r="N666" s="69"/>
      <c r="O666" s="69"/>
      <c r="P666" s="69"/>
      <c r="Q666" s="69"/>
      <c r="R666" s="69"/>
      <c r="S666" s="69"/>
      <c r="T666" s="69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</row>
    <row r="667" hidden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69"/>
      <c r="L667" s="69"/>
      <c r="M667" s="70"/>
      <c r="N667" s="69"/>
      <c r="O667" s="69"/>
      <c r="P667" s="69"/>
      <c r="Q667" s="69"/>
      <c r="R667" s="69"/>
      <c r="S667" s="69"/>
      <c r="T667" s="69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</row>
    <row r="668" hidden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69"/>
      <c r="L668" s="69"/>
      <c r="M668" s="70"/>
      <c r="N668" s="69"/>
      <c r="O668" s="69"/>
      <c r="P668" s="69"/>
      <c r="Q668" s="69"/>
      <c r="R668" s="69"/>
      <c r="S668" s="69"/>
      <c r="T668" s="69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</row>
    <row r="669" hidden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69"/>
      <c r="L669" s="69"/>
      <c r="M669" s="70"/>
      <c r="N669" s="69"/>
      <c r="O669" s="69"/>
      <c r="P669" s="69"/>
      <c r="Q669" s="69"/>
      <c r="R669" s="69"/>
      <c r="S669" s="69"/>
      <c r="T669" s="69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</row>
    <row r="670" hidden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69"/>
      <c r="L670" s="69"/>
      <c r="M670" s="70"/>
      <c r="N670" s="69"/>
      <c r="O670" s="69"/>
      <c r="P670" s="69"/>
      <c r="Q670" s="69"/>
      <c r="R670" s="69"/>
      <c r="S670" s="69"/>
      <c r="T670" s="69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</row>
    <row r="671" hidden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69"/>
      <c r="L671" s="69"/>
      <c r="M671" s="70"/>
      <c r="N671" s="69"/>
      <c r="O671" s="69"/>
      <c r="P671" s="69"/>
      <c r="Q671" s="69"/>
      <c r="R671" s="69"/>
      <c r="S671" s="69"/>
      <c r="T671" s="69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</row>
    <row r="672" hidden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69"/>
      <c r="L672" s="69"/>
      <c r="M672" s="70"/>
      <c r="N672" s="69"/>
      <c r="O672" s="69"/>
      <c r="P672" s="69"/>
      <c r="Q672" s="69"/>
      <c r="R672" s="69"/>
      <c r="S672" s="69"/>
      <c r="T672" s="69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</row>
    <row r="673" hidden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69"/>
      <c r="L673" s="69"/>
      <c r="M673" s="70"/>
      <c r="N673" s="69"/>
      <c r="O673" s="69"/>
      <c r="P673" s="69"/>
      <c r="Q673" s="69"/>
      <c r="R673" s="69"/>
      <c r="S673" s="69"/>
      <c r="T673" s="69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</row>
    <row r="674" hidden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69"/>
      <c r="L674" s="69"/>
      <c r="M674" s="70"/>
      <c r="N674" s="69"/>
      <c r="O674" s="69"/>
      <c r="P674" s="69"/>
      <c r="Q674" s="69"/>
      <c r="R674" s="69"/>
      <c r="S674" s="69"/>
      <c r="T674" s="69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</row>
    <row r="675" hidden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69"/>
      <c r="L675" s="69"/>
      <c r="M675" s="70"/>
      <c r="N675" s="69"/>
      <c r="O675" s="69"/>
      <c r="P675" s="69"/>
      <c r="Q675" s="69"/>
      <c r="R675" s="69"/>
      <c r="S675" s="69"/>
      <c r="T675" s="69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</row>
    <row r="676" hidden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69"/>
      <c r="L676" s="69"/>
      <c r="M676" s="70"/>
      <c r="N676" s="69"/>
      <c r="O676" s="69"/>
      <c r="P676" s="69"/>
      <c r="Q676" s="69"/>
      <c r="R676" s="69"/>
      <c r="S676" s="69"/>
      <c r="T676" s="69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</row>
    <row r="677" hidden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69"/>
      <c r="L677" s="69"/>
      <c r="M677" s="70"/>
      <c r="N677" s="69"/>
      <c r="O677" s="69"/>
      <c r="P677" s="69"/>
      <c r="Q677" s="69"/>
      <c r="R677" s="69"/>
      <c r="S677" s="69"/>
      <c r="T677" s="69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</row>
    <row r="678" hidden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69"/>
      <c r="L678" s="69"/>
      <c r="M678" s="70"/>
      <c r="N678" s="69"/>
      <c r="O678" s="69"/>
      <c r="P678" s="69"/>
      <c r="Q678" s="69"/>
      <c r="R678" s="69"/>
      <c r="S678" s="69"/>
      <c r="T678" s="69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</row>
    <row r="679" hidden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69"/>
      <c r="L679" s="69"/>
      <c r="M679" s="70"/>
      <c r="N679" s="69"/>
      <c r="O679" s="69"/>
      <c r="P679" s="69"/>
      <c r="Q679" s="69"/>
      <c r="R679" s="69"/>
      <c r="S679" s="69"/>
      <c r="T679" s="69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</row>
    <row r="680" hidden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69"/>
      <c r="L680" s="69"/>
      <c r="M680" s="70"/>
      <c r="N680" s="69"/>
      <c r="O680" s="69"/>
      <c r="P680" s="69"/>
      <c r="Q680" s="69"/>
      <c r="R680" s="69"/>
      <c r="S680" s="69"/>
      <c r="T680" s="69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</row>
    <row r="681" hidden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69"/>
      <c r="L681" s="69"/>
      <c r="M681" s="70"/>
      <c r="N681" s="69"/>
      <c r="O681" s="69"/>
      <c r="P681" s="69"/>
      <c r="Q681" s="69"/>
      <c r="R681" s="69"/>
      <c r="S681" s="69"/>
      <c r="T681" s="69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</row>
    <row r="682" hidden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69"/>
      <c r="L682" s="69"/>
      <c r="M682" s="70"/>
      <c r="N682" s="69"/>
      <c r="O682" s="69"/>
      <c r="P682" s="69"/>
      <c r="Q682" s="69"/>
      <c r="R682" s="69"/>
      <c r="S682" s="69"/>
      <c r="T682" s="69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</row>
    <row r="683" hidden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69"/>
      <c r="L683" s="69"/>
      <c r="M683" s="70"/>
      <c r="N683" s="69"/>
      <c r="O683" s="69"/>
      <c r="P683" s="69"/>
      <c r="Q683" s="69"/>
      <c r="R683" s="69"/>
      <c r="S683" s="69"/>
      <c r="T683" s="69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</row>
    <row r="684" hidden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69"/>
      <c r="L684" s="69"/>
      <c r="M684" s="70"/>
      <c r="N684" s="69"/>
      <c r="O684" s="69"/>
      <c r="P684" s="69"/>
      <c r="Q684" s="69"/>
      <c r="R684" s="69"/>
      <c r="S684" s="69"/>
      <c r="T684" s="69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</row>
    <row r="685" hidden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69"/>
      <c r="L685" s="69"/>
      <c r="M685" s="70"/>
      <c r="N685" s="69"/>
      <c r="O685" s="69"/>
      <c r="P685" s="69"/>
      <c r="Q685" s="69"/>
      <c r="R685" s="69"/>
      <c r="S685" s="69"/>
      <c r="T685" s="69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</row>
    <row r="686" hidden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69"/>
      <c r="L686" s="69"/>
      <c r="M686" s="70"/>
      <c r="N686" s="69"/>
      <c r="O686" s="69"/>
      <c r="P686" s="69"/>
      <c r="Q686" s="69"/>
      <c r="R686" s="69"/>
      <c r="S686" s="69"/>
      <c r="T686" s="69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</row>
    <row r="687" hidden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69"/>
      <c r="L687" s="69"/>
      <c r="M687" s="70"/>
      <c r="N687" s="69"/>
      <c r="O687" s="69"/>
      <c r="P687" s="69"/>
      <c r="Q687" s="69"/>
      <c r="R687" s="69"/>
      <c r="S687" s="69"/>
      <c r="T687" s="69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</row>
    <row r="688" hidden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69"/>
      <c r="L688" s="69"/>
      <c r="M688" s="70"/>
      <c r="N688" s="69"/>
      <c r="O688" s="69"/>
      <c r="P688" s="69"/>
      <c r="Q688" s="69"/>
      <c r="R688" s="69"/>
      <c r="S688" s="69"/>
      <c r="T688" s="69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</row>
    <row r="689" hidden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69"/>
      <c r="L689" s="69"/>
      <c r="M689" s="70"/>
      <c r="N689" s="69"/>
      <c r="O689" s="69"/>
      <c r="P689" s="69"/>
      <c r="Q689" s="69"/>
      <c r="R689" s="69"/>
      <c r="S689" s="69"/>
      <c r="T689" s="69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</row>
    <row r="690" hidden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69"/>
      <c r="L690" s="69"/>
      <c r="M690" s="70"/>
      <c r="N690" s="69"/>
      <c r="O690" s="69"/>
      <c r="P690" s="69"/>
      <c r="Q690" s="69"/>
      <c r="R690" s="69"/>
      <c r="S690" s="69"/>
      <c r="T690" s="69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</row>
    <row r="691" hidden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69"/>
      <c r="L691" s="69"/>
      <c r="M691" s="70"/>
      <c r="N691" s="69"/>
      <c r="O691" s="69"/>
      <c r="P691" s="69"/>
      <c r="Q691" s="69"/>
      <c r="R691" s="69"/>
      <c r="S691" s="69"/>
      <c r="T691" s="69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</row>
    <row r="692" hidden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69"/>
      <c r="L692" s="69"/>
      <c r="M692" s="70"/>
      <c r="N692" s="69"/>
      <c r="O692" s="69"/>
      <c r="P692" s="69"/>
      <c r="Q692" s="69"/>
      <c r="R692" s="69"/>
      <c r="S692" s="69"/>
      <c r="T692" s="69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</row>
    <row r="693" hidden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69"/>
      <c r="L693" s="69"/>
      <c r="M693" s="70"/>
      <c r="N693" s="69"/>
      <c r="O693" s="69"/>
      <c r="P693" s="69"/>
      <c r="Q693" s="69"/>
      <c r="R693" s="69"/>
      <c r="S693" s="69"/>
      <c r="T693" s="69"/>
      <c r="U693" s="53"/>
      <c r="V693" s="53"/>
      <c r="W693" s="53"/>
      <c r="X693" s="53"/>
      <c r="Y693" s="53"/>
      <c r="Z693" s="53"/>
      <c r="AA693" s="53"/>
      <c r="AB693" s="53"/>
      <c r="AC693" s="53"/>
      <c r="AD693" s="53"/>
      <c r="AE693" s="53"/>
    </row>
    <row r="694" hidden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69"/>
      <c r="L694" s="69"/>
      <c r="M694" s="70"/>
      <c r="N694" s="69"/>
      <c r="O694" s="69"/>
      <c r="P694" s="69"/>
      <c r="Q694" s="69"/>
      <c r="R694" s="69"/>
      <c r="S694" s="69"/>
      <c r="T694" s="69"/>
      <c r="U694" s="53"/>
      <c r="V694" s="53"/>
      <c r="W694" s="53"/>
      <c r="X694" s="53"/>
      <c r="Y694" s="53"/>
      <c r="Z694" s="53"/>
      <c r="AA694" s="53"/>
      <c r="AB694" s="53"/>
      <c r="AC694" s="53"/>
      <c r="AD694" s="53"/>
      <c r="AE694" s="53"/>
    </row>
    <row r="695" hidden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69"/>
      <c r="L695" s="69"/>
      <c r="M695" s="70"/>
      <c r="N695" s="69"/>
      <c r="O695" s="69"/>
      <c r="P695" s="69"/>
      <c r="Q695" s="69"/>
      <c r="R695" s="69"/>
      <c r="S695" s="69"/>
      <c r="T695" s="69"/>
      <c r="U695" s="53"/>
      <c r="V695" s="53"/>
      <c r="W695" s="53"/>
      <c r="X695" s="53"/>
      <c r="Y695" s="53"/>
      <c r="Z695" s="53"/>
      <c r="AA695" s="53"/>
      <c r="AB695" s="53"/>
      <c r="AC695" s="53"/>
      <c r="AD695" s="53"/>
      <c r="AE695" s="53"/>
    </row>
    <row r="696" hidden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69"/>
      <c r="L696" s="69"/>
      <c r="M696" s="70"/>
      <c r="N696" s="69"/>
      <c r="O696" s="69"/>
      <c r="P696" s="69"/>
      <c r="Q696" s="69"/>
      <c r="R696" s="69"/>
      <c r="S696" s="69"/>
      <c r="T696" s="69"/>
      <c r="U696" s="53"/>
      <c r="V696" s="53"/>
      <c r="W696" s="53"/>
      <c r="X696" s="53"/>
      <c r="Y696" s="53"/>
      <c r="Z696" s="53"/>
      <c r="AA696" s="53"/>
      <c r="AB696" s="53"/>
      <c r="AC696" s="53"/>
      <c r="AD696" s="53"/>
      <c r="AE696" s="53"/>
    </row>
    <row r="697" hidden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69"/>
      <c r="L697" s="69"/>
      <c r="M697" s="70"/>
      <c r="N697" s="69"/>
      <c r="O697" s="69"/>
      <c r="P697" s="69"/>
      <c r="Q697" s="69"/>
      <c r="R697" s="69"/>
      <c r="S697" s="69"/>
      <c r="T697" s="69"/>
      <c r="U697" s="53"/>
      <c r="V697" s="53"/>
      <c r="W697" s="53"/>
      <c r="X697" s="53"/>
      <c r="Y697" s="53"/>
      <c r="Z697" s="53"/>
      <c r="AA697" s="53"/>
      <c r="AB697" s="53"/>
      <c r="AC697" s="53"/>
      <c r="AD697" s="53"/>
      <c r="AE697" s="53"/>
    </row>
    <row r="698" hidden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69"/>
      <c r="L698" s="69"/>
      <c r="M698" s="70"/>
      <c r="N698" s="69"/>
      <c r="O698" s="69"/>
      <c r="P698" s="69"/>
      <c r="Q698" s="69"/>
      <c r="R698" s="69"/>
      <c r="S698" s="69"/>
      <c r="T698" s="69"/>
      <c r="U698" s="53"/>
      <c r="V698" s="53"/>
      <c r="W698" s="53"/>
      <c r="X698" s="53"/>
      <c r="Y698" s="53"/>
      <c r="Z698" s="53"/>
      <c r="AA698" s="53"/>
      <c r="AB698" s="53"/>
      <c r="AC698" s="53"/>
      <c r="AD698" s="53"/>
      <c r="AE698" s="53"/>
    </row>
    <row r="699" hidden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69"/>
      <c r="L699" s="69"/>
      <c r="M699" s="70"/>
      <c r="N699" s="69"/>
      <c r="O699" s="69"/>
      <c r="P699" s="69"/>
      <c r="Q699" s="69"/>
      <c r="R699" s="69"/>
      <c r="S699" s="69"/>
      <c r="T699" s="69"/>
      <c r="U699" s="53"/>
      <c r="V699" s="53"/>
      <c r="W699" s="53"/>
      <c r="X699" s="53"/>
      <c r="Y699" s="53"/>
      <c r="Z699" s="53"/>
      <c r="AA699" s="53"/>
      <c r="AB699" s="53"/>
      <c r="AC699" s="53"/>
      <c r="AD699" s="53"/>
      <c r="AE699" s="53"/>
    </row>
    <row r="700" hidden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69"/>
      <c r="L700" s="69"/>
      <c r="M700" s="70"/>
      <c r="N700" s="69"/>
      <c r="O700" s="69"/>
      <c r="P700" s="69"/>
      <c r="Q700" s="69"/>
      <c r="R700" s="69"/>
      <c r="S700" s="69"/>
      <c r="T700" s="69"/>
      <c r="U700" s="53"/>
      <c r="V700" s="53"/>
      <c r="W700" s="53"/>
      <c r="X700" s="53"/>
      <c r="Y700" s="53"/>
      <c r="Z700" s="53"/>
      <c r="AA700" s="53"/>
      <c r="AB700" s="53"/>
      <c r="AC700" s="53"/>
      <c r="AD700" s="53"/>
      <c r="AE700" s="53"/>
    </row>
    <row r="701" hidden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69"/>
      <c r="L701" s="69"/>
      <c r="M701" s="70"/>
      <c r="N701" s="69"/>
      <c r="O701" s="69"/>
      <c r="P701" s="69"/>
      <c r="Q701" s="69"/>
      <c r="R701" s="69"/>
      <c r="S701" s="69"/>
      <c r="T701" s="69"/>
      <c r="U701" s="53"/>
      <c r="V701" s="53"/>
      <c r="W701" s="53"/>
      <c r="X701" s="53"/>
      <c r="Y701" s="53"/>
      <c r="Z701" s="53"/>
      <c r="AA701" s="53"/>
      <c r="AB701" s="53"/>
      <c r="AC701" s="53"/>
      <c r="AD701" s="53"/>
      <c r="AE701" s="53"/>
    </row>
    <row r="702" hidden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69"/>
      <c r="L702" s="69"/>
      <c r="M702" s="70"/>
      <c r="N702" s="69"/>
      <c r="O702" s="69"/>
      <c r="P702" s="69"/>
      <c r="Q702" s="69"/>
      <c r="R702" s="69"/>
      <c r="S702" s="69"/>
      <c r="T702" s="69"/>
      <c r="U702" s="53"/>
      <c r="V702" s="53"/>
      <c r="W702" s="53"/>
      <c r="X702" s="53"/>
      <c r="Y702" s="53"/>
      <c r="Z702" s="53"/>
      <c r="AA702" s="53"/>
      <c r="AB702" s="53"/>
      <c r="AC702" s="53"/>
      <c r="AD702" s="53"/>
      <c r="AE702" s="53"/>
    </row>
    <row r="703" hidden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69"/>
      <c r="L703" s="69"/>
      <c r="M703" s="70"/>
      <c r="N703" s="69"/>
      <c r="O703" s="69"/>
      <c r="P703" s="69"/>
      <c r="Q703" s="69"/>
      <c r="R703" s="69"/>
      <c r="S703" s="69"/>
      <c r="T703" s="69"/>
      <c r="U703" s="53"/>
      <c r="V703" s="53"/>
      <c r="W703" s="53"/>
      <c r="X703" s="53"/>
      <c r="Y703" s="53"/>
      <c r="Z703" s="53"/>
      <c r="AA703" s="53"/>
      <c r="AB703" s="53"/>
      <c r="AC703" s="53"/>
      <c r="AD703" s="53"/>
      <c r="AE703" s="53"/>
    </row>
    <row r="704" hidden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69"/>
      <c r="L704" s="69"/>
      <c r="M704" s="70"/>
      <c r="N704" s="69"/>
      <c r="O704" s="69"/>
      <c r="P704" s="69"/>
      <c r="Q704" s="69"/>
      <c r="R704" s="69"/>
      <c r="S704" s="69"/>
      <c r="T704" s="69"/>
      <c r="U704" s="53"/>
      <c r="V704" s="53"/>
      <c r="W704" s="53"/>
      <c r="X704" s="53"/>
      <c r="Y704" s="53"/>
      <c r="Z704" s="53"/>
      <c r="AA704" s="53"/>
      <c r="AB704" s="53"/>
      <c r="AC704" s="53"/>
      <c r="AD704" s="53"/>
      <c r="AE704" s="53"/>
    </row>
    <row r="705" hidden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69"/>
      <c r="L705" s="69"/>
      <c r="M705" s="70"/>
      <c r="N705" s="69"/>
      <c r="O705" s="69"/>
      <c r="P705" s="69"/>
      <c r="Q705" s="69"/>
      <c r="R705" s="69"/>
      <c r="S705" s="69"/>
      <c r="T705" s="69"/>
      <c r="U705" s="53"/>
      <c r="V705" s="53"/>
      <c r="W705" s="53"/>
      <c r="X705" s="53"/>
      <c r="Y705" s="53"/>
      <c r="Z705" s="53"/>
      <c r="AA705" s="53"/>
      <c r="AB705" s="53"/>
      <c r="AC705" s="53"/>
      <c r="AD705" s="53"/>
      <c r="AE705" s="53"/>
    </row>
    <row r="706" hidden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69"/>
      <c r="L706" s="69"/>
      <c r="M706" s="70"/>
      <c r="N706" s="69"/>
      <c r="O706" s="69"/>
      <c r="P706" s="69"/>
      <c r="Q706" s="69"/>
      <c r="R706" s="69"/>
      <c r="S706" s="69"/>
      <c r="T706" s="69"/>
      <c r="U706" s="53"/>
      <c r="V706" s="53"/>
      <c r="W706" s="53"/>
      <c r="X706" s="53"/>
      <c r="Y706" s="53"/>
      <c r="Z706" s="53"/>
      <c r="AA706" s="53"/>
      <c r="AB706" s="53"/>
      <c r="AC706" s="53"/>
      <c r="AD706" s="53"/>
      <c r="AE706" s="53"/>
    </row>
    <row r="707" hidden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69"/>
      <c r="L707" s="69"/>
      <c r="M707" s="70"/>
      <c r="N707" s="69"/>
      <c r="O707" s="69"/>
      <c r="P707" s="69"/>
      <c r="Q707" s="69"/>
      <c r="R707" s="69"/>
      <c r="S707" s="69"/>
      <c r="T707" s="69"/>
      <c r="U707" s="53"/>
      <c r="V707" s="53"/>
      <c r="W707" s="53"/>
      <c r="X707" s="53"/>
      <c r="Y707" s="53"/>
      <c r="Z707" s="53"/>
      <c r="AA707" s="53"/>
      <c r="AB707" s="53"/>
      <c r="AC707" s="53"/>
      <c r="AD707" s="53"/>
      <c r="AE707" s="53"/>
    </row>
    <row r="708" hidden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69"/>
      <c r="L708" s="69"/>
      <c r="M708" s="70"/>
      <c r="N708" s="69"/>
      <c r="O708" s="69"/>
      <c r="P708" s="69"/>
      <c r="Q708" s="69"/>
      <c r="R708" s="69"/>
      <c r="S708" s="69"/>
      <c r="T708" s="69"/>
      <c r="U708" s="53"/>
      <c r="V708" s="53"/>
      <c r="W708" s="53"/>
      <c r="X708" s="53"/>
      <c r="Y708" s="53"/>
      <c r="Z708" s="53"/>
      <c r="AA708" s="53"/>
      <c r="AB708" s="53"/>
      <c r="AC708" s="53"/>
      <c r="AD708" s="53"/>
      <c r="AE708" s="53"/>
    </row>
    <row r="709" hidden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69"/>
      <c r="L709" s="69"/>
      <c r="M709" s="70"/>
      <c r="N709" s="69"/>
      <c r="O709" s="69"/>
      <c r="P709" s="69"/>
      <c r="Q709" s="69"/>
      <c r="R709" s="69"/>
      <c r="S709" s="69"/>
      <c r="T709" s="69"/>
      <c r="U709" s="53"/>
      <c r="V709" s="53"/>
      <c r="W709" s="53"/>
      <c r="X709" s="53"/>
      <c r="Y709" s="53"/>
      <c r="Z709" s="53"/>
      <c r="AA709" s="53"/>
      <c r="AB709" s="53"/>
      <c r="AC709" s="53"/>
      <c r="AD709" s="53"/>
      <c r="AE709" s="53"/>
    </row>
    <row r="710" hidden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69"/>
      <c r="L710" s="69"/>
      <c r="M710" s="70"/>
      <c r="N710" s="69"/>
      <c r="O710" s="69"/>
      <c r="P710" s="69"/>
      <c r="Q710" s="69"/>
      <c r="R710" s="69"/>
      <c r="S710" s="69"/>
      <c r="T710" s="69"/>
      <c r="U710" s="53"/>
      <c r="V710" s="53"/>
      <c r="W710" s="53"/>
      <c r="X710" s="53"/>
      <c r="Y710" s="53"/>
      <c r="Z710" s="53"/>
      <c r="AA710" s="53"/>
      <c r="AB710" s="53"/>
      <c r="AC710" s="53"/>
      <c r="AD710" s="53"/>
      <c r="AE710" s="53"/>
    </row>
    <row r="711" hidden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69"/>
      <c r="L711" s="69"/>
      <c r="M711" s="70"/>
      <c r="N711" s="69"/>
      <c r="O711" s="69"/>
      <c r="P711" s="69"/>
      <c r="Q711" s="69"/>
      <c r="R711" s="69"/>
      <c r="S711" s="69"/>
      <c r="T711" s="69"/>
      <c r="U711" s="53"/>
      <c r="V711" s="53"/>
      <c r="W711" s="53"/>
      <c r="X711" s="53"/>
      <c r="Y711" s="53"/>
      <c r="Z711" s="53"/>
      <c r="AA711" s="53"/>
      <c r="AB711" s="53"/>
      <c r="AC711" s="53"/>
      <c r="AD711" s="53"/>
      <c r="AE711" s="53"/>
    </row>
    <row r="712" hidden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69"/>
      <c r="L712" s="69"/>
      <c r="M712" s="70"/>
      <c r="N712" s="69"/>
      <c r="O712" s="69"/>
      <c r="P712" s="69"/>
      <c r="Q712" s="69"/>
      <c r="R712" s="69"/>
      <c r="S712" s="69"/>
      <c r="T712" s="69"/>
      <c r="U712" s="53"/>
      <c r="V712" s="53"/>
      <c r="W712" s="53"/>
      <c r="X712" s="53"/>
      <c r="Y712" s="53"/>
      <c r="Z712" s="53"/>
      <c r="AA712" s="53"/>
      <c r="AB712" s="53"/>
      <c r="AC712" s="53"/>
      <c r="AD712" s="53"/>
      <c r="AE712" s="53"/>
    </row>
    <row r="713" hidden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69"/>
      <c r="L713" s="69"/>
      <c r="M713" s="70"/>
      <c r="N713" s="69"/>
      <c r="O713" s="69"/>
      <c r="P713" s="69"/>
      <c r="Q713" s="69"/>
      <c r="R713" s="69"/>
      <c r="S713" s="69"/>
      <c r="T713" s="69"/>
      <c r="U713" s="53"/>
      <c r="V713" s="53"/>
      <c r="W713" s="53"/>
      <c r="X713" s="53"/>
      <c r="Y713" s="53"/>
      <c r="Z713" s="53"/>
      <c r="AA713" s="53"/>
      <c r="AB713" s="53"/>
      <c r="AC713" s="53"/>
      <c r="AD713" s="53"/>
      <c r="AE713" s="53"/>
    </row>
    <row r="714" hidden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69"/>
      <c r="L714" s="69"/>
      <c r="M714" s="70"/>
      <c r="N714" s="69"/>
      <c r="O714" s="69"/>
      <c r="P714" s="69"/>
      <c r="Q714" s="69"/>
      <c r="R714" s="69"/>
      <c r="S714" s="69"/>
      <c r="T714" s="69"/>
      <c r="U714" s="53"/>
      <c r="V714" s="53"/>
      <c r="W714" s="53"/>
      <c r="X714" s="53"/>
      <c r="Y714" s="53"/>
      <c r="Z714" s="53"/>
      <c r="AA714" s="53"/>
      <c r="AB714" s="53"/>
      <c r="AC714" s="53"/>
      <c r="AD714" s="53"/>
      <c r="AE714" s="53"/>
    </row>
    <row r="715" hidden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69"/>
      <c r="L715" s="69"/>
      <c r="M715" s="70"/>
      <c r="N715" s="69"/>
      <c r="O715" s="69"/>
      <c r="P715" s="69"/>
      <c r="Q715" s="69"/>
      <c r="R715" s="69"/>
      <c r="S715" s="69"/>
      <c r="T715" s="69"/>
      <c r="U715" s="53"/>
      <c r="V715" s="53"/>
      <c r="W715" s="53"/>
      <c r="X715" s="53"/>
      <c r="Y715" s="53"/>
      <c r="Z715" s="53"/>
      <c r="AA715" s="53"/>
      <c r="AB715" s="53"/>
      <c r="AC715" s="53"/>
      <c r="AD715" s="53"/>
      <c r="AE715" s="53"/>
    </row>
    <row r="716" hidden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69"/>
      <c r="L716" s="69"/>
      <c r="M716" s="70"/>
      <c r="N716" s="69"/>
      <c r="O716" s="69"/>
      <c r="P716" s="69"/>
      <c r="Q716" s="69"/>
      <c r="R716" s="69"/>
      <c r="S716" s="69"/>
      <c r="T716" s="69"/>
      <c r="U716" s="53"/>
      <c r="V716" s="53"/>
      <c r="W716" s="53"/>
      <c r="X716" s="53"/>
      <c r="Y716" s="53"/>
      <c r="Z716" s="53"/>
      <c r="AA716" s="53"/>
      <c r="AB716" s="53"/>
      <c r="AC716" s="53"/>
      <c r="AD716" s="53"/>
      <c r="AE716" s="53"/>
    </row>
    <row r="717" hidden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69"/>
      <c r="L717" s="69"/>
      <c r="M717" s="70"/>
      <c r="N717" s="69"/>
      <c r="O717" s="69"/>
      <c r="P717" s="69"/>
      <c r="Q717" s="69"/>
      <c r="R717" s="69"/>
      <c r="S717" s="69"/>
      <c r="T717" s="69"/>
      <c r="U717" s="53"/>
      <c r="V717" s="53"/>
      <c r="W717" s="53"/>
      <c r="X717" s="53"/>
      <c r="Y717" s="53"/>
      <c r="Z717" s="53"/>
      <c r="AA717" s="53"/>
      <c r="AB717" s="53"/>
      <c r="AC717" s="53"/>
      <c r="AD717" s="53"/>
      <c r="AE717" s="53"/>
    </row>
    <row r="718" hidden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69"/>
      <c r="L718" s="69"/>
      <c r="M718" s="70"/>
      <c r="N718" s="69"/>
      <c r="O718" s="69"/>
      <c r="P718" s="69"/>
      <c r="Q718" s="69"/>
      <c r="R718" s="69"/>
      <c r="S718" s="69"/>
      <c r="T718" s="69"/>
      <c r="U718" s="53"/>
      <c r="V718" s="53"/>
      <c r="W718" s="53"/>
      <c r="X718" s="53"/>
      <c r="Y718" s="53"/>
      <c r="Z718" s="53"/>
      <c r="AA718" s="53"/>
      <c r="AB718" s="53"/>
      <c r="AC718" s="53"/>
      <c r="AD718" s="53"/>
      <c r="AE718" s="53"/>
    </row>
    <row r="719" hidden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69"/>
      <c r="L719" s="69"/>
      <c r="M719" s="70"/>
      <c r="N719" s="69"/>
      <c r="O719" s="69"/>
      <c r="P719" s="69"/>
      <c r="Q719" s="69"/>
      <c r="R719" s="69"/>
      <c r="S719" s="69"/>
      <c r="T719" s="69"/>
      <c r="U719" s="53"/>
      <c r="V719" s="53"/>
      <c r="W719" s="53"/>
      <c r="X719" s="53"/>
      <c r="Y719" s="53"/>
      <c r="Z719" s="53"/>
      <c r="AA719" s="53"/>
      <c r="AB719" s="53"/>
      <c r="AC719" s="53"/>
      <c r="AD719" s="53"/>
      <c r="AE719" s="53"/>
    </row>
    <row r="720" hidden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69"/>
      <c r="L720" s="69"/>
      <c r="M720" s="70"/>
      <c r="N720" s="69"/>
      <c r="O720" s="69"/>
      <c r="P720" s="69"/>
      <c r="Q720" s="69"/>
      <c r="R720" s="69"/>
      <c r="S720" s="69"/>
      <c r="T720" s="69"/>
      <c r="U720" s="53"/>
      <c r="V720" s="53"/>
      <c r="W720" s="53"/>
      <c r="X720" s="53"/>
      <c r="Y720" s="53"/>
      <c r="Z720" s="53"/>
      <c r="AA720" s="53"/>
      <c r="AB720" s="53"/>
      <c r="AC720" s="53"/>
      <c r="AD720" s="53"/>
      <c r="AE720" s="53"/>
    </row>
    <row r="721" hidden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69"/>
      <c r="L721" s="69"/>
      <c r="M721" s="70"/>
      <c r="N721" s="69"/>
      <c r="O721" s="69"/>
      <c r="P721" s="69"/>
      <c r="Q721" s="69"/>
      <c r="R721" s="69"/>
      <c r="S721" s="69"/>
      <c r="T721" s="69"/>
      <c r="U721" s="53"/>
      <c r="V721" s="53"/>
      <c r="W721" s="53"/>
      <c r="X721" s="53"/>
      <c r="Y721" s="53"/>
      <c r="Z721" s="53"/>
      <c r="AA721" s="53"/>
      <c r="AB721" s="53"/>
      <c r="AC721" s="53"/>
      <c r="AD721" s="53"/>
      <c r="AE721" s="53"/>
    </row>
    <row r="722" hidden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69"/>
      <c r="L722" s="69"/>
      <c r="M722" s="70"/>
      <c r="N722" s="69"/>
      <c r="O722" s="69"/>
      <c r="P722" s="69"/>
      <c r="Q722" s="69"/>
      <c r="R722" s="69"/>
      <c r="S722" s="69"/>
      <c r="T722" s="69"/>
      <c r="U722" s="53"/>
      <c r="V722" s="53"/>
      <c r="W722" s="53"/>
      <c r="X722" s="53"/>
      <c r="Y722" s="53"/>
      <c r="Z722" s="53"/>
      <c r="AA722" s="53"/>
      <c r="AB722" s="53"/>
      <c r="AC722" s="53"/>
      <c r="AD722" s="53"/>
      <c r="AE722" s="53"/>
    </row>
    <row r="723" hidden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69"/>
      <c r="L723" s="69"/>
      <c r="M723" s="70"/>
      <c r="N723" s="69"/>
      <c r="O723" s="69"/>
      <c r="P723" s="69"/>
      <c r="Q723" s="69"/>
      <c r="R723" s="69"/>
      <c r="S723" s="69"/>
      <c r="T723" s="69"/>
      <c r="U723" s="53"/>
      <c r="V723" s="53"/>
      <c r="W723" s="53"/>
      <c r="X723" s="53"/>
      <c r="Y723" s="53"/>
      <c r="Z723" s="53"/>
      <c r="AA723" s="53"/>
      <c r="AB723" s="53"/>
      <c r="AC723" s="53"/>
      <c r="AD723" s="53"/>
      <c r="AE723" s="53"/>
    </row>
    <row r="724" hidden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69"/>
      <c r="L724" s="69"/>
      <c r="M724" s="70"/>
      <c r="N724" s="69"/>
      <c r="O724" s="69"/>
      <c r="P724" s="69"/>
      <c r="Q724" s="69"/>
      <c r="R724" s="69"/>
      <c r="S724" s="69"/>
      <c r="T724" s="69"/>
      <c r="U724" s="53"/>
      <c r="V724" s="53"/>
      <c r="W724" s="53"/>
      <c r="X724" s="53"/>
      <c r="Y724" s="53"/>
      <c r="Z724" s="53"/>
      <c r="AA724" s="53"/>
      <c r="AB724" s="53"/>
      <c r="AC724" s="53"/>
      <c r="AD724" s="53"/>
      <c r="AE724" s="53"/>
    </row>
    <row r="725" hidden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69"/>
      <c r="L725" s="69"/>
      <c r="M725" s="70"/>
      <c r="N725" s="69"/>
      <c r="O725" s="69"/>
      <c r="P725" s="69"/>
      <c r="Q725" s="69"/>
      <c r="R725" s="69"/>
      <c r="S725" s="69"/>
      <c r="T725" s="69"/>
      <c r="U725" s="53"/>
      <c r="V725" s="53"/>
      <c r="W725" s="53"/>
      <c r="X725" s="53"/>
      <c r="Y725" s="53"/>
      <c r="Z725" s="53"/>
      <c r="AA725" s="53"/>
      <c r="AB725" s="53"/>
      <c r="AC725" s="53"/>
      <c r="AD725" s="53"/>
      <c r="AE725" s="53"/>
    </row>
    <row r="726" hidden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69"/>
      <c r="L726" s="69"/>
      <c r="M726" s="70"/>
      <c r="N726" s="69"/>
      <c r="O726" s="69"/>
      <c r="P726" s="69"/>
      <c r="Q726" s="69"/>
      <c r="R726" s="69"/>
      <c r="S726" s="69"/>
      <c r="T726" s="69"/>
      <c r="U726" s="53"/>
      <c r="V726" s="53"/>
      <c r="W726" s="53"/>
      <c r="X726" s="53"/>
      <c r="Y726" s="53"/>
      <c r="Z726" s="53"/>
      <c r="AA726" s="53"/>
      <c r="AB726" s="53"/>
      <c r="AC726" s="53"/>
      <c r="AD726" s="53"/>
      <c r="AE726" s="53"/>
    </row>
    <row r="727" hidden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69"/>
      <c r="L727" s="69"/>
      <c r="M727" s="70"/>
      <c r="N727" s="69"/>
      <c r="O727" s="69"/>
      <c r="P727" s="69"/>
      <c r="Q727" s="69"/>
      <c r="R727" s="69"/>
      <c r="S727" s="69"/>
      <c r="T727" s="69"/>
      <c r="U727" s="53"/>
      <c r="V727" s="53"/>
      <c r="W727" s="53"/>
      <c r="X727" s="53"/>
      <c r="Y727" s="53"/>
      <c r="Z727" s="53"/>
      <c r="AA727" s="53"/>
      <c r="AB727" s="53"/>
      <c r="AC727" s="53"/>
      <c r="AD727" s="53"/>
      <c r="AE727" s="53"/>
    </row>
    <row r="728" hidden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69"/>
      <c r="L728" s="69"/>
      <c r="M728" s="70"/>
      <c r="N728" s="69"/>
      <c r="O728" s="69"/>
      <c r="P728" s="69"/>
      <c r="Q728" s="69"/>
      <c r="R728" s="69"/>
      <c r="S728" s="69"/>
      <c r="T728" s="69"/>
      <c r="U728" s="53"/>
      <c r="V728" s="53"/>
      <c r="W728" s="53"/>
      <c r="X728" s="53"/>
      <c r="Y728" s="53"/>
      <c r="Z728" s="53"/>
      <c r="AA728" s="53"/>
      <c r="AB728" s="53"/>
      <c r="AC728" s="53"/>
      <c r="AD728" s="53"/>
      <c r="AE728" s="53"/>
    </row>
    <row r="729" hidden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69"/>
      <c r="L729" s="69"/>
      <c r="M729" s="70"/>
      <c r="N729" s="69"/>
      <c r="O729" s="69"/>
      <c r="P729" s="69"/>
      <c r="Q729" s="69"/>
      <c r="R729" s="69"/>
      <c r="S729" s="69"/>
      <c r="T729" s="69"/>
      <c r="U729" s="53"/>
      <c r="V729" s="53"/>
      <c r="W729" s="53"/>
      <c r="X729" s="53"/>
      <c r="Y729" s="53"/>
      <c r="Z729" s="53"/>
      <c r="AA729" s="53"/>
      <c r="AB729" s="53"/>
      <c r="AC729" s="53"/>
      <c r="AD729" s="53"/>
      <c r="AE729" s="53"/>
    </row>
    <row r="730" hidden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69"/>
      <c r="L730" s="69"/>
      <c r="M730" s="70"/>
      <c r="N730" s="69"/>
      <c r="O730" s="69"/>
      <c r="P730" s="69"/>
      <c r="Q730" s="69"/>
      <c r="R730" s="69"/>
      <c r="S730" s="69"/>
      <c r="T730" s="69"/>
      <c r="U730" s="53"/>
      <c r="V730" s="53"/>
      <c r="W730" s="53"/>
      <c r="X730" s="53"/>
      <c r="Y730" s="53"/>
      <c r="Z730" s="53"/>
      <c r="AA730" s="53"/>
      <c r="AB730" s="53"/>
      <c r="AC730" s="53"/>
      <c r="AD730" s="53"/>
      <c r="AE730" s="53"/>
    </row>
    <row r="731" hidden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69"/>
      <c r="L731" s="69"/>
      <c r="M731" s="70"/>
      <c r="N731" s="69"/>
      <c r="O731" s="69"/>
      <c r="P731" s="69"/>
      <c r="Q731" s="69"/>
      <c r="R731" s="69"/>
      <c r="S731" s="69"/>
      <c r="T731" s="69"/>
      <c r="U731" s="53"/>
      <c r="V731" s="53"/>
      <c r="W731" s="53"/>
      <c r="X731" s="53"/>
      <c r="Y731" s="53"/>
      <c r="Z731" s="53"/>
      <c r="AA731" s="53"/>
      <c r="AB731" s="53"/>
      <c r="AC731" s="53"/>
      <c r="AD731" s="53"/>
      <c r="AE731" s="53"/>
    </row>
    <row r="732" hidden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69"/>
      <c r="L732" s="69"/>
      <c r="M732" s="70"/>
      <c r="N732" s="69"/>
      <c r="O732" s="69"/>
      <c r="P732" s="69"/>
      <c r="Q732" s="69"/>
      <c r="R732" s="69"/>
      <c r="S732" s="69"/>
      <c r="T732" s="69"/>
      <c r="U732" s="53"/>
      <c r="V732" s="53"/>
      <c r="W732" s="53"/>
      <c r="X732" s="53"/>
      <c r="Y732" s="53"/>
      <c r="Z732" s="53"/>
      <c r="AA732" s="53"/>
      <c r="AB732" s="53"/>
      <c r="AC732" s="53"/>
      <c r="AD732" s="53"/>
      <c r="AE732" s="53"/>
    </row>
    <row r="733" hidden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69"/>
      <c r="L733" s="69"/>
      <c r="M733" s="70"/>
      <c r="N733" s="69"/>
      <c r="O733" s="69"/>
      <c r="P733" s="69"/>
      <c r="Q733" s="69"/>
      <c r="R733" s="69"/>
      <c r="S733" s="69"/>
      <c r="T733" s="69"/>
      <c r="U733" s="53"/>
      <c r="V733" s="53"/>
      <c r="W733" s="53"/>
      <c r="X733" s="53"/>
      <c r="Y733" s="53"/>
      <c r="Z733" s="53"/>
      <c r="AA733" s="53"/>
      <c r="AB733" s="53"/>
      <c r="AC733" s="53"/>
      <c r="AD733" s="53"/>
      <c r="AE733" s="53"/>
    </row>
    <row r="734" hidden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69"/>
      <c r="L734" s="69"/>
      <c r="M734" s="70"/>
      <c r="N734" s="69"/>
      <c r="O734" s="69"/>
      <c r="P734" s="69"/>
      <c r="Q734" s="69"/>
      <c r="R734" s="69"/>
      <c r="S734" s="69"/>
      <c r="T734" s="69"/>
      <c r="U734" s="53"/>
      <c r="V734" s="53"/>
      <c r="W734" s="53"/>
      <c r="X734" s="53"/>
      <c r="Y734" s="53"/>
      <c r="Z734" s="53"/>
      <c r="AA734" s="53"/>
      <c r="AB734" s="53"/>
      <c r="AC734" s="53"/>
      <c r="AD734" s="53"/>
      <c r="AE734" s="53"/>
    </row>
    <row r="735" hidden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69"/>
      <c r="L735" s="69"/>
      <c r="M735" s="70"/>
      <c r="N735" s="69"/>
      <c r="O735" s="69"/>
      <c r="P735" s="69"/>
      <c r="Q735" s="69"/>
      <c r="R735" s="69"/>
      <c r="S735" s="69"/>
      <c r="T735" s="69"/>
      <c r="U735" s="53"/>
      <c r="V735" s="53"/>
      <c r="W735" s="53"/>
      <c r="X735" s="53"/>
      <c r="Y735" s="53"/>
      <c r="Z735" s="53"/>
      <c r="AA735" s="53"/>
      <c r="AB735" s="53"/>
      <c r="AC735" s="53"/>
      <c r="AD735" s="53"/>
      <c r="AE735" s="53"/>
    </row>
    <row r="736" hidden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69"/>
      <c r="L736" s="69"/>
      <c r="M736" s="70"/>
      <c r="N736" s="69"/>
      <c r="O736" s="69"/>
      <c r="P736" s="69"/>
      <c r="Q736" s="69"/>
      <c r="R736" s="69"/>
      <c r="S736" s="69"/>
      <c r="T736" s="69"/>
      <c r="U736" s="53"/>
      <c r="V736" s="53"/>
      <c r="W736" s="53"/>
      <c r="X736" s="53"/>
      <c r="Y736" s="53"/>
      <c r="Z736" s="53"/>
      <c r="AA736" s="53"/>
      <c r="AB736" s="53"/>
      <c r="AC736" s="53"/>
      <c r="AD736" s="53"/>
      <c r="AE736" s="53"/>
    </row>
    <row r="737" hidden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69"/>
      <c r="L737" s="69"/>
      <c r="M737" s="70"/>
      <c r="N737" s="69"/>
      <c r="O737" s="69"/>
      <c r="P737" s="69"/>
      <c r="Q737" s="69"/>
      <c r="R737" s="69"/>
      <c r="S737" s="69"/>
      <c r="T737" s="69"/>
      <c r="U737" s="53"/>
      <c r="V737" s="53"/>
      <c r="W737" s="53"/>
      <c r="X737" s="53"/>
      <c r="Y737" s="53"/>
      <c r="Z737" s="53"/>
      <c r="AA737" s="53"/>
      <c r="AB737" s="53"/>
      <c r="AC737" s="53"/>
      <c r="AD737" s="53"/>
      <c r="AE737" s="53"/>
    </row>
    <row r="738" hidden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69"/>
      <c r="L738" s="69"/>
      <c r="M738" s="70"/>
      <c r="N738" s="69"/>
      <c r="O738" s="69"/>
      <c r="P738" s="69"/>
      <c r="Q738" s="69"/>
      <c r="R738" s="69"/>
      <c r="S738" s="69"/>
      <c r="T738" s="69"/>
      <c r="U738" s="53"/>
      <c r="V738" s="53"/>
      <c r="W738" s="53"/>
      <c r="X738" s="53"/>
      <c r="Y738" s="53"/>
      <c r="Z738" s="53"/>
      <c r="AA738" s="53"/>
      <c r="AB738" s="53"/>
      <c r="AC738" s="53"/>
      <c r="AD738" s="53"/>
      <c r="AE738" s="53"/>
    </row>
    <row r="739" hidden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69"/>
      <c r="L739" s="69"/>
      <c r="M739" s="70"/>
      <c r="N739" s="69"/>
      <c r="O739" s="69"/>
      <c r="P739" s="69"/>
      <c r="Q739" s="69"/>
      <c r="R739" s="69"/>
      <c r="S739" s="69"/>
      <c r="T739" s="69"/>
      <c r="U739" s="53"/>
      <c r="V739" s="53"/>
      <c r="W739" s="53"/>
      <c r="X739" s="53"/>
      <c r="Y739" s="53"/>
      <c r="Z739" s="53"/>
      <c r="AA739" s="53"/>
      <c r="AB739" s="53"/>
      <c r="AC739" s="53"/>
      <c r="AD739" s="53"/>
      <c r="AE739" s="53"/>
    </row>
    <row r="740" hidden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69"/>
      <c r="L740" s="69"/>
      <c r="M740" s="70"/>
      <c r="N740" s="69"/>
      <c r="O740" s="69"/>
      <c r="P740" s="69"/>
      <c r="Q740" s="69"/>
      <c r="R740" s="69"/>
      <c r="S740" s="69"/>
      <c r="T740" s="69"/>
      <c r="U740" s="53"/>
      <c r="V740" s="53"/>
      <c r="W740" s="53"/>
      <c r="X740" s="53"/>
      <c r="Y740" s="53"/>
      <c r="Z740" s="53"/>
      <c r="AA740" s="53"/>
      <c r="AB740" s="53"/>
      <c r="AC740" s="53"/>
      <c r="AD740" s="53"/>
      <c r="AE740" s="53"/>
    </row>
    <row r="741" hidden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69"/>
      <c r="L741" s="69"/>
      <c r="M741" s="70"/>
      <c r="N741" s="69"/>
      <c r="O741" s="69"/>
      <c r="P741" s="69"/>
      <c r="Q741" s="69"/>
      <c r="R741" s="69"/>
      <c r="S741" s="69"/>
      <c r="T741" s="69"/>
      <c r="U741" s="53"/>
      <c r="V741" s="53"/>
      <c r="W741" s="53"/>
      <c r="X741" s="53"/>
      <c r="Y741" s="53"/>
      <c r="Z741" s="53"/>
      <c r="AA741" s="53"/>
      <c r="AB741" s="53"/>
      <c r="AC741" s="53"/>
      <c r="AD741" s="53"/>
      <c r="AE741" s="53"/>
    </row>
    <row r="742" hidden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69"/>
      <c r="L742" s="69"/>
      <c r="M742" s="70"/>
      <c r="N742" s="69"/>
      <c r="O742" s="69"/>
      <c r="P742" s="69"/>
      <c r="Q742" s="69"/>
      <c r="R742" s="69"/>
      <c r="S742" s="69"/>
      <c r="T742" s="69"/>
      <c r="U742" s="53"/>
      <c r="V742" s="53"/>
      <c r="W742" s="53"/>
      <c r="X742" s="53"/>
      <c r="Y742" s="53"/>
      <c r="Z742" s="53"/>
      <c r="AA742" s="53"/>
      <c r="AB742" s="53"/>
      <c r="AC742" s="53"/>
      <c r="AD742" s="53"/>
      <c r="AE742" s="53"/>
    </row>
    <row r="743" hidden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69"/>
      <c r="L743" s="69"/>
      <c r="M743" s="70"/>
      <c r="N743" s="69"/>
      <c r="O743" s="69"/>
      <c r="P743" s="69"/>
      <c r="Q743" s="69"/>
      <c r="R743" s="69"/>
      <c r="S743" s="69"/>
      <c r="T743" s="69"/>
      <c r="U743" s="53"/>
      <c r="V743" s="53"/>
      <c r="W743" s="53"/>
      <c r="X743" s="53"/>
      <c r="Y743" s="53"/>
      <c r="Z743" s="53"/>
      <c r="AA743" s="53"/>
      <c r="AB743" s="53"/>
      <c r="AC743" s="53"/>
      <c r="AD743" s="53"/>
      <c r="AE743" s="53"/>
    </row>
    <row r="744" hidden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69"/>
      <c r="L744" s="69"/>
      <c r="M744" s="70"/>
      <c r="N744" s="69"/>
      <c r="O744" s="69"/>
      <c r="P744" s="69"/>
      <c r="Q744" s="69"/>
      <c r="R744" s="69"/>
      <c r="S744" s="69"/>
      <c r="T744" s="69"/>
      <c r="U744" s="53"/>
      <c r="V744" s="53"/>
      <c r="W744" s="53"/>
      <c r="X744" s="53"/>
      <c r="Y744" s="53"/>
      <c r="Z744" s="53"/>
      <c r="AA744" s="53"/>
      <c r="AB744" s="53"/>
      <c r="AC744" s="53"/>
      <c r="AD744" s="53"/>
      <c r="AE744" s="53"/>
    </row>
    <row r="745" hidden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69"/>
      <c r="L745" s="69"/>
      <c r="M745" s="70"/>
      <c r="N745" s="69"/>
      <c r="O745" s="69"/>
      <c r="P745" s="69"/>
      <c r="Q745" s="69"/>
      <c r="R745" s="69"/>
      <c r="S745" s="69"/>
      <c r="T745" s="69"/>
      <c r="U745" s="53"/>
      <c r="V745" s="53"/>
      <c r="W745" s="53"/>
      <c r="X745" s="53"/>
      <c r="Y745" s="53"/>
      <c r="Z745" s="53"/>
      <c r="AA745" s="53"/>
      <c r="AB745" s="53"/>
      <c r="AC745" s="53"/>
      <c r="AD745" s="53"/>
      <c r="AE745" s="53"/>
    </row>
    <row r="746" hidden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69"/>
      <c r="L746" s="69"/>
      <c r="M746" s="70"/>
      <c r="N746" s="69"/>
      <c r="O746" s="69"/>
      <c r="P746" s="69"/>
      <c r="Q746" s="69"/>
      <c r="R746" s="69"/>
      <c r="S746" s="69"/>
      <c r="T746" s="69"/>
      <c r="U746" s="53"/>
      <c r="V746" s="53"/>
      <c r="W746" s="53"/>
      <c r="X746" s="53"/>
      <c r="Y746" s="53"/>
      <c r="Z746" s="53"/>
      <c r="AA746" s="53"/>
      <c r="AB746" s="53"/>
      <c r="AC746" s="53"/>
      <c r="AD746" s="53"/>
      <c r="AE746" s="53"/>
    </row>
    <row r="747" hidden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69"/>
      <c r="L747" s="69"/>
      <c r="M747" s="70"/>
      <c r="N747" s="69"/>
      <c r="O747" s="69"/>
      <c r="P747" s="69"/>
      <c r="Q747" s="69"/>
      <c r="R747" s="69"/>
      <c r="S747" s="69"/>
      <c r="T747" s="69"/>
      <c r="U747" s="53"/>
      <c r="V747" s="53"/>
      <c r="W747" s="53"/>
      <c r="X747" s="53"/>
      <c r="Y747" s="53"/>
      <c r="Z747" s="53"/>
      <c r="AA747" s="53"/>
      <c r="AB747" s="53"/>
      <c r="AC747" s="53"/>
      <c r="AD747" s="53"/>
      <c r="AE747" s="53"/>
    </row>
    <row r="748" hidden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69"/>
      <c r="L748" s="69"/>
      <c r="M748" s="70"/>
      <c r="N748" s="69"/>
      <c r="O748" s="69"/>
      <c r="P748" s="69"/>
      <c r="Q748" s="69"/>
      <c r="R748" s="69"/>
      <c r="S748" s="69"/>
      <c r="T748" s="69"/>
      <c r="U748" s="53"/>
      <c r="V748" s="53"/>
      <c r="W748" s="53"/>
      <c r="X748" s="53"/>
      <c r="Y748" s="53"/>
      <c r="Z748" s="53"/>
      <c r="AA748" s="53"/>
      <c r="AB748" s="53"/>
      <c r="AC748" s="53"/>
      <c r="AD748" s="53"/>
      <c r="AE748" s="53"/>
    </row>
    <row r="749" hidden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69"/>
      <c r="L749" s="69"/>
      <c r="M749" s="70"/>
      <c r="N749" s="69"/>
      <c r="O749" s="69"/>
      <c r="P749" s="69"/>
      <c r="Q749" s="69"/>
      <c r="R749" s="69"/>
      <c r="S749" s="69"/>
      <c r="T749" s="69"/>
      <c r="U749" s="53"/>
      <c r="V749" s="53"/>
      <c r="W749" s="53"/>
      <c r="X749" s="53"/>
      <c r="Y749" s="53"/>
      <c r="Z749" s="53"/>
      <c r="AA749" s="53"/>
      <c r="AB749" s="53"/>
      <c r="AC749" s="53"/>
      <c r="AD749" s="53"/>
      <c r="AE749" s="53"/>
    </row>
    <row r="750" hidden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69"/>
      <c r="L750" s="69"/>
      <c r="M750" s="70"/>
      <c r="N750" s="69"/>
      <c r="O750" s="69"/>
      <c r="P750" s="69"/>
      <c r="Q750" s="69"/>
      <c r="R750" s="69"/>
      <c r="S750" s="69"/>
      <c r="T750" s="69"/>
      <c r="U750" s="53"/>
      <c r="V750" s="53"/>
      <c r="W750" s="53"/>
      <c r="X750" s="53"/>
      <c r="Y750" s="53"/>
      <c r="Z750" s="53"/>
      <c r="AA750" s="53"/>
      <c r="AB750" s="53"/>
      <c r="AC750" s="53"/>
      <c r="AD750" s="53"/>
      <c r="AE750" s="53"/>
    </row>
    <row r="751" hidden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69"/>
      <c r="L751" s="69"/>
      <c r="M751" s="70"/>
      <c r="N751" s="69"/>
      <c r="O751" s="69"/>
      <c r="P751" s="69"/>
      <c r="Q751" s="69"/>
      <c r="R751" s="69"/>
      <c r="S751" s="69"/>
      <c r="T751" s="69"/>
      <c r="U751" s="53"/>
      <c r="V751" s="53"/>
      <c r="W751" s="53"/>
      <c r="X751" s="53"/>
      <c r="Y751" s="53"/>
      <c r="Z751" s="53"/>
      <c r="AA751" s="53"/>
      <c r="AB751" s="53"/>
      <c r="AC751" s="53"/>
      <c r="AD751" s="53"/>
      <c r="AE751" s="53"/>
    </row>
    <row r="752" hidden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69"/>
      <c r="L752" s="69"/>
      <c r="M752" s="70"/>
      <c r="N752" s="69"/>
      <c r="O752" s="69"/>
      <c r="P752" s="69"/>
      <c r="Q752" s="69"/>
      <c r="R752" s="69"/>
      <c r="S752" s="69"/>
      <c r="T752" s="69"/>
      <c r="U752" s="53"/>
      <c r="V752" s="53"/>
      <c r="W752" s="53"/>
      <c r="X752" s="53"/>
      <c r="Y752" s="53"/>
      <c r="Z752" s="53"/>
      <c r="AA752" s="53"/>
      <c r="AB752" s="53"/>
      <c r="AC752" s="53"/>
      <c r="AD752" s="53"/>
      <c r="AE752" s="53"/>
    </row>
    <row r="753" hidden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69"/>
      <c r="L753" s="69"/>
      <c r="M753" s="70"/>
      <c r="N753" s="69"/>
      <c r="O753" s="69"/>
      <c r="P753" s="69"/>
      <c r="Q753" s="69"/>
      <c r="R753" s="69"/>
      <c r="S753" s="69"/>
      <c r="T753" s="69"/>
      <c r="U753" s="53"/>
      <c r="V753" s="53"/>
      <c r="W753" s="53"/>
      <c r="X753" s="53"/>
      <c r="Y753" s="53"/>
      <c r="Z753" s="53"/>
      <c r="AA753" s="53"/>
      <c r="AB753" s="53"/>
      <c r="AC753" s="53"/>
      <c r="AD753" s="53"/>
      <c r="AE753" s="53"/>
    </row>
    <row r="754" hidden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69"/>
      <c r="L754" s="69"/>
      <c r="M754" s="70"/>
      <c r="N754" s="69"/>
      <c r="O754" s="69"/>
      <c r="P754" s="69"/>
      <c r="Q754" s="69"/>
      <c r="R754" s="69"/>
      <c r="S754" s="69"/>
      <c r="T754" s="69"/>
      <c r="U754" s="53"/>
      <c r="V754" s="53"/>
      <c r="W754" s="53"/>
      <c r="X754" s="53"/>
      <c r="Y754" s="53"/>
      <c r="Z754" s="53"/>
      <c r="AA754" s="53"/>
      <c r="AB754" s="53"/>
      <c r="AC754" s="53"/>
      <c r="AD754" s="53"/>
      <c r="AE754" s="53"/>
    </row>
    <row r="755" hidden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69"/>
      <c r="L755" s="69"/>
      <c r="M755" s="70"/>
      <c r="N755" s="69"/>
      <c r="O755" s="69"/>
      <c r="P755" s="69"/>
      <c r="Q755" s="69"/>
      <c r="R755" s="69"/>
      <c r="S755" s="69"/>
      <c r="T755" s="69"/>
      <c r="U755" s="53"/>
      <c r="V755" s="53"/>
      <c r="W755" s="53"/>
      <c r="X755" s="53"/>
      <c r="Y755" s="53"/>
      <c r="Z755" s="53"/>
      <c r="AA755" s="53"/>
      <c r="AB755" s="53"/>
      <c r="AC755" s="53"/>
      <c r="AD755" s="53"/>
      <c r="AE755" s="53"/>
    </row>
    <row r="756" hidden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69"/>
      <c r="L756" s="69"/>
      <c r="M756" s="70"/>
      <c r="N756" s="69"/>
      <c r="O756" s="69"/>
      <c r="P756" s="69"/>
      <c r="Q756" s="69"/>
      <c r="R756" s="69"/>
      <c r="S756" s="69"/>
      <c r="T756" s="69"/>
      <c r="U756" s="53"/>
      <c r="V756" s="53"/>
      <c r="W756" s="53"/>
      <c r="X756" s="53"/>
      <c r="Y756" s="53"/>
      <c r="Z756" s="53"/>
      <c r="AA756" s="53"/>
      <c r="AB756" s="53"/>
      <c r="AC756" s="53"/>
      <c r="AD756" s="53"/>
      <c r="AE756" s="53"/>
    </row>
    <row r="757" hidden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69"/>
      <c r="L757" s="69"/>
      <c r="M757" s="70"/>
      <c r="N757" s="69"/>
      <c r="O757" s="69"/>
      <c r="P757" s="69"/>
      <c r="Q757" s="69"/>
      <c r="R757" s="69"/>
      <c r="S757" s="69"/>
      <c r="T757" s="69"/>
      <c r="U757" s="53"/>
      <c r="V757" s="53"/>
      <c r="W757" s="53"/>
      <c r="X757" s="53"/>
      <c r="Y757" s="53"/>
      <c r="Z757" s="53"/>
      <c r="AA757" s="53"/>
      <c r="AB757" s="53"/>
      <c r="AC757" s="53"/>
      <c r="AD757" s="53"/>
      <c r="AE757" s="53"/>
    </row>
    <row r="758" hidden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69"/>
      <c r="L758" s="69"/>
      <c r="M758" s="70"/>
      <c r="N758" s="69"/>
      <c r="O758" s="69"/>
      <c r="P758" s="69"/>
      <c r="Q758" s="69"/>
      <c r="R758" s="69"/>
      <c r="S758" s="69"/>
      <c r="T758" s="69"/>
      <c r="U758" s="53"/>
      <c r="V758" s="53"/>
      <c r="W758" s="53"/>
      <c r="X758" s="53"/>
      <c r="Y758" s="53"/>
      <c r="Z758" s="53"/>
      <c r="AA758" s="53"/>
      <c r="AB758" s="53"/>
      <c r="AC758" s="53"/>
      <c r="AD758" s="53"/>
      <c r="AE758" s="53"/>
    </row>
    <row r="759" hidden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69"/>
      <c r="L759" s="69"/>
      <c r="M759" s="70"/>
      <c r="N759" s="69"/>
      <c r="O759" s="69"/>
      <c r="P759" s="69"/>
      <c r="Q759" s="69"/>
      <c r="R759" s="69"/>
      <c r="S759" s="69"/>
      <c r="T759" s="69"/>
      <c r="U759" s="53"/>
      <c r="V759" s="53"/>
      <c r="W759" s="53"/>
      <c r="X759" s="53"/>
      <c r="Y759" s="53"/>
      <c r="Z759" s="53"/>
      <c r="AA759" s="53"/>
      <c r="AB759" s="53"/>
      <c r="AC759" s="53"/>
      <c r="AD759" s="53"/>
      <c r="AE759" s="53"/>
    </row>
    <row r="760" hidden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69"/>
      <c r="L760" s="69"/>
      <c r="M760" s="70"/>
      <c r="N760" s="69"/>
      <c r="O760" s="69"/>
      <c r="P760" s="69"/>
      <c r="Q760" s="69"/>
      <c r="R760" s="69"/>
      <c r="S760" s="69"/>
      <c r="T760" s="69"/>
      <c r="U760" s="53"/>
      <c r="V760" s="53"/>
      <c r="W760" s="53"/>
      <c r="X760" s="53"/>
      <c r="Y760" s="53"/>
      <c r="Z760" s="53"/>
      <c r="AA760" s="53"/>
      <c r="AB760" s="53"/>
      <c r="AC760" s="53"/>
      <c r="AD760" s="53"/>
      <c r="AE760" s="53"/>
    </row>
    <row r="761" hidden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69"/>
      <c r="L761" s="69"/>
      <c r="M761" s="70"/>
      <c r="N761" s="69"/>
      <c r="O761" s="69"/>
      <c r="P761" s="69"/>
      <c r="Q761" s="69"/>
      <c r="R761" s="69"/>
      <c r="S761" s="69"/>
      <c r="T761" s="69"/>
      <c r="U761" s="53"/>
      <c r="V761" s="53"/>
      <c r="W761" s="53"/>
      <c r="X761" s="53"/>
      <c r="Y761" s="53"/>
      <c r="Z761" s="53"/>
      <c r="AA761" s="53"/>
      <c r="AB761" s="53"/>
      <c r="AC761" s="53"/>
      <c r="AD761" s="53"/>
      <c r="AE761" s="53"/>
    </row>
    <row r="762" hidden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69"/>
      <c r="L762" s="69"/>
      <c r="M762" s="70"/>
      <c r="N762" s="69"/>
      <c r="O762" s="69"/>
      <c r="P762" s="69"/>
      <c r="Q762" s="69"/>
      <c r="R762" s="69"/>
      <c r="S762" s="69"/>
      <c r="T762" s="69"/>
      <c r="U762" s="53"/>
      <c r="V762" s="53"/>
      <c r="W762" s="53"/>
      <c r="X762" s="53"/>
      <c r="Y762" s="53"/>
      <c r="Z762" s="53"/>
      <c r="AA762" s="53"/>
      <c r="AB762" s="53"/>
      <c r="AC762" s="53"/>
      <c r="AD762" s="53"/>
      <c r="AE762" s="53"/>
    </row>
    <row r="763" hidden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69"/>
      <c r="L763" s="69"/>
      <c r="M763" s="70"/>
      <c r="N763" s="69"/>
      <c r="O763" s="69"/>
      <c r="P763" s="69"/>
      <c r="Q763" s="69"/>
      <c r="R763" s="69"/>
      <c r="S763" s="69"/>
      <c r="T763" s="69"/>
      <c r="U763" s="53"/>
      <c r="V763" s="53"/>
      <c r="W763" s="53"/>
      <c r="X763" s="53"/>
      <c r="Y763" s="53"/>
      <c r="Z763" s="53"/>
      <c r="AA763" s="53"/>
      <c r="AB763" s="53"/>
      <c r="AC763" s="53"/>
      <c r="AD763" s="53"/>
      <c r="AE763" s="53"/>
    </row>
    <row r="764" hidden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69"/>
      <c r="L764" s="69"/>
      <c r="M764" s="70"/>
      <c r="N764" s="69"/>
      <c r="O764" s="69"/>
      <c r="P764" s="69"/>
      <c r="Q764" s="69"/>
      <c r="R764" s="69"/>
      <c r="S764" s="69"/>
      <c r="T764" s="69"/>
      <c r="U764" s="53"/>
      <c r="V764" s="53"/>
      <c r="W764" s="53"/>
      <c r="X764" s="53"/>
      <c r="Y764" s="53"/>
      <c r="Z764" s="53"/>
      <c r="AA764" s="53"/>
      <c r="AB764" s="53"/>
      <c r="AC764" s="53"/>
      <c r="AD764" s="53"/>
      <c r="AE764" s="53"/>
    </row>
    <row r="765" hidden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69"/>
      <c r="L765" s="69"/>
      <c r="M765" s="70"/>
      <c r="N765" s="69"/>
      <c r="O765" s="69"/>
      <c r="P765" s="69"/>
      <c r="Q765" s="69"/>
      <c r="R765" s="69"/>
      <c r="S765" s="69"/>
      <c r="T765" s="69"/>
      <c r="U765" s="53"/>
      <c r="V765" s="53"/>
      <c r="W765" s="53"/>
      <c r="X765" s="53"/>
      <c r="Y765" s="53"/>
      <c r="Z765" s="53"/>
      <c r="AA765" s="53"/>
      <c r="AB765" s="53"/>
      <c r="AC765" s="53"/>
      <c r="AD765" s="53"/>
      <c r="AE765" s="53"/>
    </row>
    <row r="766" hidden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69"/>
      <c r="L766" s="69"/>
      <c r="M766" s="70"/>
      <c r="N766" s="69"/>
      <c r="O766" s="69"/>
      <c r="P766" s="69"/>
      <c r="Q766" s="69"/>
      <c r="R766" s="69"/>
      <c r="S766" s="69"/>
      <c r="T766" s="69"/>
      <c r="U766" s="53"/>
      <c r="V766" s="53"/>
      <c r="W766" s="53"/>
      <c r="X766" s="53"/>
      <c r="Y766" s="53"/>
      <c r="Z766" s="53"/>
      <c r="AA766" s="53"/>
      <c r="AB766" s="53"/>
      <c r="AC766" s="53"/>
      <c r="AD766" s="53"/>
      <c r="AE766" s="53"/>
    </row>
    <row r="767" hidden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69"/>
      <c r="L767" s="69"/>
      <c r="M767" s="70"/>
      <c r="N767" s="69"/>
      <c r="O767" s="69"/>
      <c r="P767" s="69"/>
      <c r="Q767" s="69"/>
      <c r="R767" s="69"/>
      <c r="S767" s="69"/>
      <c r="T767" s="69"/>
      <c r="U767" s="53"/>
      <c r="V767" s="53"/>
      <c r="W767" s="53"/>
      <c r="X767" s="53"/>
      <c r="Y767" s="53"/>
      <c r="Z767" s="53"/>
      <c r="AA767" s="53"/>
      <c r="AB767" s="53"/>
      <c r="AC767" s="53"/>
      <c r="AD767" s="53"/>
      <c r="AE767" s="53"/>
    </row>
    <row r="768" hidden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69"/>
      <c r="L768" s="69"/>
      <c r="M768" s="70"/>
      <c r="N768" s="69"/>
      <c r="O768" s="69"/>
      <c r="P768" s="69"/>
      <c r="Q768" s="69"/>
      <c r="R768" s="69"/>
      <c r="S768" s="69"/>
      <c r="T768" s="69"/>
      <c r="U768" s="53"/>
      <c r="V768" s="53"/>
      <c r="W768" s="53"/>
      <c r="X768" s="53"/>
      <c r="Y768" s="53"/>
      <c r="Z768" s="53"/>
      <c r="AA768" s="53"/>
      <c r="AB768" s="53"/>
      <c r="AC768" s="53"/>
      <c r="AD768" s="53"/>
      <c r="AE768" s="53"/>
    </row>
    <row r="769" hidden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69"/>
      <c r="L769" s="69"/>
      <c r="M769" s="70"/>
      <c r="N769" s="69"/>
      <c r="O769" s="69"/>
      <c r="P769" s="69"/>
      <c r="Q769" s="69"/>
      <c r="R769" s="69"/>
      <c r="S769" s="69"/>
      <c r="T769" s="69"/>
      <c r="U769" s="53"/>
      <c r="V769" s="53"/>
      <c r="W769" s="53"/>
      <c r="X769" s="53"/>
      <c r="Y769" s="53"/>
      <c r="Z769" s="53"/>
      <c r="AA769" s="53"/>
      <c r="AB769" s="53"/>
      <c r="AC769" s="53"/>
      <c r="AD769" s="53"/>
      <c r="AE769" s="53"/>
    </row>
    <row r="770" hidden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69"/>
      <c r="L770" s="69"/>
      <c r="M770" s="70"/>
      <c r="N770" s="69"/>
      <c r="O770" s="69"/>
      <c r="P770" s="69"/>
      <c r="Q770" s="69"/>
      <c r="R770" s="69"/>
      <c r="S770" s="69"/>
      <c r="T770" s="69"/>
      <c r="U770" s="53"/>
      <c r="V770" s="53"/>
      <c r="W770" s="53"/>
      <c r="X770" s="53"/>
      <c r="Y770" s="53"/>
      <c r="Z770" s="53"/>
      <c r="AA770" s="53"/>
      <c r="AB770" s="53"/>
      <c r="AC770" s="53"/>
      <c r="AD770" s="53"/>
      <c r="AE770" s="53"/>
    </row>
    <row r="771" hidden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69"/>
      <c r="L771" s="69"/>
      <c r="M771" s="70"/>
      <c r="N771" s="69"/>
      <c r="O771" s="69"/>
      <c r="P771" s="69"/>
      <c r="Q771" s="69"/>
      <c r="R771" s="69"/>
      <c r="S771" s="69"/>
      <c r="T771" s="69"/>
      <c r="U771" s="53"/>
      <c r="V771" s="53"/>
      <c r="W771" s="53"/>
      <c r="X771" s="53"/>
      <c r="Y771" s="53"/>
      <c r="Z771" s="53"/>
      <c r="AA771" s="53"/>
      <c r="AB771" s="53"/>
      <c r="AC771" s="53"/>
      <c r="AD771" s="53"/>
      <c r="AE771" s="53"/>
    </row>
    <row r="772" hidden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69"/>
      <c r="L772" s="69"/>
      <c r="M772" s="70"/>
      <c r="N772" s="69"/>
      <c r="O772" s="69"/>
      <c r="P772" s="69"/>
      <c r="Q772" s="69"/>
      <c r="R772" s="69"/>
      <c r="S772" s="69"/>
      <c r="T772" s="69"/>
      <c r="U772" s="53"/>
      <c r="V772" s="53"/>
      <c r="W772" s="53"/>
      <c r="X772" s="53"/>
      <c r="Y772" s="53"/>
      <c r="Z772" s="53"/>
      <c r="AA772" s="53"/>
      <c r="AB772" s="53"/>
      <c r="AC772" s="53"/>
      <c r="AD772" s="53"/>
      <c r="AE772" s="53"/>
    </row>
    <row r="773" hidden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69"/>
      <c r="L773" s="69"/>
      <c r="M773" s="70"/>
      <c r="N773" s="69"/>
      <c r="O773" s="69"/>
      <c r="P773" s="69"/>
      <c r="Q773" s="69"/>
      <c r="R773" s="69"/>
      <c r="S773" s="69"/>
      <c r="T773" s="69"/>
      <c r="U773" s="53"/>
      <c r="V773" s="53"/>
      <c r="W773" s="53"/>
      <c r="X773" s="53"/>
      <c r="Y773" s="53"/>
      <c r="Z773" s="53"/>
      <c r="AA773" s="53"/>
      <c r="AB773" s="53"/>
      <c r="AC773" s="53"/>
      <c r="AD773" s="53"/>
      <c r="AE773" s="53"/>
    </row>
    <row r="774" hidden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69"/>
      <c r="L774" s="69"/>
      <c r="M774" s="70"/>
      <c r="N774" s="69"/>
      <c r="O774" s="69"/>
      <c r="P774" s="69"/>
      <c r="Q774" s="69"/>
      <c r="R774" s="69"/>
      <c r="S774" s="69"/>
      <c r="T774" s="69"/>
      <c r="U774" s="53"/>
      <c r="V774" s="53"/>
      <c r="W774" s="53"/>
      <c r="X774" s="53"/>
      <c r="Y774" s="53"/>
      <c r="Z774" s="53"/>
      <c r="AA774" s="53"/>
      <c r="AB774" s="53"/>
      <c r="AC774" s="53"/>
      <c r="AD774" s="53"/>
      <c r="AE774" s="53"/>
    </row>
    <row r="775" hidden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69"/>
      <c r="L775" s="69"/>
      <c r="M775" s="70"/>
      <c r="N775" s="69"/>
      <c r="O775" s="69"/>
      <c r="P775" s="69"/>
      <c r="Q775" s="69"/>
      <c r="R775" s="69"/>
      <c r="S775" s="69"/>
      <c r="T775" s="69"/>
      <c r="U775" s="53"/>
      <c r="V775" s="53"/>
      <c r="W775" s="53"/>
      <c r="X775" s="53"/>
      <c r="Y775" s="53"/>
      <c r="Z775" s="53"/>
      <c r="AA775" s="53"/>
      <c r="AB775" s="53"/>
      <c r="AC775" s="53"/>
      <c r="AD775" s="53"/>
      <c r="AE775" s="53"/>
    </row>
    <row r="776" hidden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69"/>
      <c r="L776" s="69"/>
      <c r="M776" s="70"/>
      <c r="N776" s="69"/>
      <c r="O776" s="69"/>
      <c r="P776" s="69"/>
      <c r="Q776" s="69"/>
      <c r="R776" s="69"/>
      <c r="S776" s="69"/>
      <c r="T776" s="69"/>
      <c r="U776" s="53"/>
      <c r="V776" s="53"/>
      <c r="W776" s="53"/>
      <c r="X776" s="53"/>
      <c r="Y776" s="53"/>
      <c r="Z776" s="53"/>
      <c r="AA776" s="53"/>
      <c r="AB776" s="53"/>
      <c r="AC776" s="53"/>
      <c r="AD776" s="53"/>
      <c r="AE776" s="53"/>
    </row>
    <row r="777" hidden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69"/>
      <c r="L777" s="69"/>
      <c r="M777" s="70"/>
      <c r="N777" s="69"/>
      <c r="O777" s="69"/>
      <c r="P777" s="69"/>
      <c r="Q777" s="69"/>
      <c r="R777" s="69"/>
      <c r="S777" s="69"/>
      <c r="T777" s="69"/>
      <c r="U777" s="53"/>
      <c r="V777" s="53"/>
      <c r="W777" s="53"/>
      <c r="X777" s="53"/>
      <c r="Y777" s="53"/>
      <c r="Z777" s="53"/>
      <c r="AA777" s="53"/>
      <c r="AB777" s="53"/>
      <c r="AC777" s="53"/>
      <c r="AD777" s="53"/>
      <c r="AE777" s="53"/>
    </row>
    <row r="778" hidden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69"/>
      <c r="L778" s="69"/>
      <c r="M778" s="70"/>
      <c r="N778" s="69"/>
      <c r="O778" s="69"/>
      <c r="P778" s="69"/>
      <c r="Q778" s="69"/>
      <c r="R778" s="69"/>
      <c r="S778" s="69"/>
      <c r="T778" s="69"/>
      <c r="U778" s="53"/>
      <c r="V778" s="53"/>
      <c r="W778" s="53"/>
      <c r="X778" s="53"/>
      <c r="Y778" s="53"/>
      <c r="Z778" s="53"/>
      <c r="AA778" s="53"/>
      <c r="AB778" s="53"/>
      <c r="AC778" s="53"/>
      <c r="AD778" s="53"/>
      <c r="AE778" s="53"/>
    </row>
    <row r="779" hidden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69"/>
      <c r="L779" s="69"/>
      <c r="M779" s="70"/>
      <c r="N779" s="69"/>
      <c r="O779" s="69"/>
      <c r="P779" s="69"/>
      <c r="Q779" s="69"/>
      <c r="R779" s="69"/>
      <c r="S779" s="69"/>
      <c r="T779" s="69"/>
      <c r="U779" s="53"/>
      <c r="V779" s="53"/>
      <c r="W779" s="53"/>
      <c r="X779" s="53"/>
      <c r="Y779" s="53"/>
      <c r="Z779" s="53"/>
      <c r="AA779" s="53"/>
      <c r="AB779" s="53"/>
      <c r="AC779" s="53"/>
      <c r="AD779" s="53"/>
      <c r="AE779" s="53"/>
    </row>
    <row r="780" hidden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69"/>
      <c r="L780" s="69"/>
      <c r="M780" s="70"/>
      <c r="N780" s="69"/>
      <c r="O780" s="69"/>
      <c r="P780" s="69"/>
      <c r="Q780" s="69"/>
      <c r="R780" s="69"/>
      <c r="S780" s="69"/>
      <c r="T780" s="69"/>
      <c r="U780" s="53"/>
      <c r="V780" s="53"/>
      <c r="W780" s="53"/>
      <c r="X780" s="53"/>
      <c r="Y780" s="53"/>
      <c r="Z780" s="53"/>
      <c r="AA780" s="53"/>
      <c r="AB780" s="53"/>
      <c r="AC780" s="53"/>
      <c r="AD780" s="53"/>
      <c r="AE780" s="53"/>
    </row>
    <row r="781" hidden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69"/>
      <c r="L781" s="69"/>
      <c r="M781" s="70"/>
      <c r="N781" s="69"/>
      <c r="O781" s="69"/>
      <c r="P781" s="69"/>
      <c r="Q781" s="69"/>
      <c r="R781" s="69"/>
      <c r="S781" s="69"/>
      <c r="T781" s="69"/>
      <c r="U781" s="53"/>
      <c r="V781" s="53"/>
      <c r="W781" s="53"/>
      <c r="X781" s="53"/>
      <c r="Y781" s="53"/>
      <c r="Z781" s="53"/>
      <c r="AA781" s="53"/>
      <c r="AB781" s="53"/>
      <c r="AC781" s="53"/>
      <c r="AD781" s="53"/>
      <c r="AE781" s="53"/>
    </row>
    <row r="782" hidden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69"/>
      <c r="L782" s="69"/>
      <c r="M782" s="70"/>
      <c r="N782" s="69"/>
      <c r="O782" s="69"/>
      <c r="P782" s="69"/>
      <c r="Q782" s="69"/>
      <c r="R782" s="69"/>
      <c r="S782" s="69"/>
      <c r="T782" s="69"/>
      <c r="U782" s="53"/>
      <c r="V782" s="53"/>
      <c r="W782" s="53"/>
      <c r="X782" s="53"/>
      <c r="Y782" s="53"/>
      <c r="Z782" s="53"/>
      <c r="AA782" s="53"/>
      <c r="AB782" s="53"/>
      <c r="AC782" s="53"/>
      <c r="AD782" s="53"/>
      <c r="AE782" s="53"/>
    </row>
    <row r="783" hidden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69"/>
      <c r="L783" s="69"/>
      <c r="M783" s="70"/>
      <c r="N783" s="69"/>
      <c r="O783" s="69"/>
      <c r="P783" s="69"/>
      <c r="Q783" s="69"/>
      <c r="R783" s="69"/>
      <c r="S783" s="69"/>
      <c r="T783" s="69"/>
      <c r="U783" s="53"/>
      <c r="V783" s="53"/>
      <c r="W783" s="53"/>
      <c r="X783" s="53"/>
      <c r="Y783" s="53"/>
      <c r="Z783" s="53"/>
      <c r="AA783" s="53"/>
      <c r="AB783" s="53"/>
      <c r="AC783" s="53"/>
      <c r="AD783" s="53"/>
      <c r="AE783" s="53"/>
    </row>
    <row r="784" hidden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69"/>
      <c r="L784" s="69"/>
      <c r="M784" s="70"/>
      <c r="N784" s="69"/>
      <c r="O784" s="69"/>
      <c r="P784" s="69"/>
      <c r="Q784" s="69"/>
      <c r="R784" s="69"/>
      <c r="S784" s="69"/>
      <c r="T784" s="69"/>
      <c r="U784" s="53"/>
      <c r="V784" s="53"/>
      <c r="W784" s="53"/>
      <c r="X784" s="53"/>
      <c r="Y784" s="53"/>
      <c r="Z784" s="53"/>
      <c r="AA784" s="53"/>
      <c r="AB784" s="53"/>
      <c r="AC784" s="53"/>
      <c r="AD784" s="53"/>
      <c r="AE784" s="53"/>
    </row>
    <row r="785" hidden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69"/>
      <c r="L785" s="69"/>
      <c r="M785" s="70"/>
      <c r="N785" s="69"/>
      <c r="O785" s="69"/>
      <c r="P785" s="69"/>
      <c r="Q785" s="69"/>
      <c r="R785" s="69"/>
      <c r="S785" s="69"/>
      <c r="T785" s="69"/>
      <c r="U785" s="53"/>
      <c r="V785" s="53"/>
      <c r="W785" s="53"/>
      <c r="X785" s="53"/>
      <c r="Y785" s="53"/>
      <c r="Z785" s="53"/>
      <c r="AA785" s="53"/>
      <c r="AB785" s="53"/>
      <c r="AC785" s="53"/>
      <c r="AD785" s="53"/>
      <c r="AE785" s="53"/>
    </row>
    <row r="786" hidden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69"/>
      <c r="L786" s="69"/>
      <c r="M786" s="70"/>
      <c r="N786" s="69"/>
      <c r="O786" s="69"/>
      <c r="P786" s="69"/>
      <c r="Q786" s="69"/>
      <c r="R786" s="69"/>
      <c r="S786" s="69"/>
      <c r="T786" s="69"/>
      <c r="U786" s="53"/>
      <c r="V786" s="53"/>
      <c r="W786" s="53"/>
      <c r="X786" s="53"/>
      <c r="Y786" s="53"/>
      <c r="Z786" s="53"/>
      <c r="AA786" s="53"/>
      <c r="AB786" s="53"/>
      <c r="AC786" s="53"/>
      <c r="AD786" s="53"/>
      <c r="AE786" s="53"/>
    </row>
    <row r="787" hidden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69"/>
      <c r="L787" s="69"/>
      <c r="M787" s="70"/>
      <c r="N787" s="69"/>
      <c r="O787" s="69"/>
      <c r="P787" s="69"/>
      <c r="Q787" s="69"/>
      <c r="R787" s="69"/>
      <c r="S787" s="69"/>
      <c r="T787" s="69"/>
      <c r="U787" s="53"/>
      <c r="V787" s="53"/>
      <c r="W787" s="53"/>
      <c r="X787" s="53"/>
      <c r="Y787" s="53"/>
      <c r="Z787" s="53"/>
      <c r="AA787" s="53"/>
      <c r="AB787" s="53"/>
      <c r="AC787" s="53"/>
      <c r="AD787" s="53"/>
      <c r="AE787" s="53"/>
    </row>
    <row r="788" hidden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69"/>
      <c r="L788" s="69"/>
      <c r="M788" s="70"/>
      <c r="N788" s="69"/>
      <c r="O788" s="69"/>
      <c r="P788" s="69"/>
      <c r="Q788" s="69"/>
      <c r="R788" s="69"/>
      <c r="S788" s="69"/>
      <c r="T788" s="69"/>
      <c r="U788" s="53"/>
      <c r="V788" s="53"/>
      <c r="W788" s="53"/>
      <c r="X788" s="53"/>
      <c r="Y788" s="53"/>
      <c r="Z788" s="53"/>
      <c r="AA788" s="53"/>
      <c r="AB788" s="53"/>
      <c r="AC788" s="53"/>
      <c r="AD788" s="53"/>
      <c r="AE788" s="53"/>
    </row>
    <row r="789" hidden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69"/>
      <c r="L789" s="69"/>
      <c r="M789" s="70"/>
      <c r="N789" s="69"/>
      <c r="O789" s="69"/>
      <c r="P789" s="69"/>
      <c r="Q789" s="69"/>
      <c r="R789" s="69"/>
      <c r="S789" s="69"/>
      <c r="T789" s="69"/>
      <c r="U789" s="53"/>
      <c r="V789" s="53"/>
      <c r="W789" s="53"/>
      <c r="X789" s="53"/>
      <c r="Y789" s="53"/>
      <c r="Z789" s="53"/>
      <c r="AA789" s="53"/>
      <c r="AB789" s="53"/>
      <c r="AC789" s="53"/>
      <c r="AD789" s="53"/>
      <c r="AE789" s="53"/>
    </row>
    <row r="790" hidden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69"/>
      <c r="L790" s="69"/>
      <c r="M790" s="70"/>
      <c r="N790" s="69"/>
      <c r="O790" s="69"/>
      <c r="P790" s="69"/>
      <c r="Q790" s="69"/>
      <c r="R790" s="69"/>
      <c r="S790" s="69"/>
      <c r="T790" s="69"/>
      <c r="U790" s="53"/>
      <c r="V790" s="53"/>
      <c r="W790" s="53"/>
      <c r="X790" s="53"/>
      <c r="Y790" s="53"/>
      <c r="Z790" s="53"/>
      <c r="AA790" s="53"/>
      <c r="AB790" s="53"/>
      <c r="AC790" s="53"/>
      <c r="AD790" s="53"/>
      <c r="AE790" s="53"/>
    </row>
    <row r="791" hidden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69"/>
      <c r="L791" s="69"/>
      <c r="M791" s="70"/>
      <c r="N791" s="69"/>
      <c r="O791" s="69"/>
      <c r="P791" s="69"/>
      <c r="Q791" s="69"/>
      <c r="R791" s="69"/>
      <c r="S791" s="69"/>
      <c r="T791" s="69"/>
      <c r="U791" s="53"/>
      <c r="V791" s="53"/>
      <c r="W791" s="53"/>
      <c r="X791" s="53"/>
      <c r="Y791" s="53"/>
      <c r="Z791" s="53"/>
      <c r="AA791" s="53"/>
      <c r="AB791" s="53"/>
      <c r="AC791" s="53"/>
      <c r="AD791" s="53"/>
      <c r="AE791" s="53"/>
    </row>
    <row r="792" hidden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69"/>
      <c r="L792" s="69"/>
      <c r="M792" s="70"/>
      <c r="N792" s="69"/>
      <c r="O792" s="69"/>
      <c r="P792" s="69"/>
      <c r="Q792" s="69"/>
      <c r="R792" s="69"/>
      <c r="S792" s="69"/>
      <c r="T792" s="69"/>
      <c r="U792" s="53"/>
      <c r="V792" s="53"/>
      <c r="W792" s="53"/>
      <c r="X792" s="53"/>
      <c r="Y792" s="53"/>
      <c r="Z792" s="53"/>
      <c r="AA792" s="53"/>
      <c r="AB792" s="53"/>
      <c r="AC792" s="53"/>
      <c r="AD792" s="53"/>
      <c r="AE792" s="53"/>
    </row>
    <row r="793" hidden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69"/>
      <c r="L793" s="69"/>
      <c r="M793" s="70"/>
      <c r="N793" s="69"/>
      <c r="O793" s="69"/>
      <c r="P793" s="69"/>
      <c r="Q793" s="69"/>
      <c r="R793" s="69"/>
      <c r="S793" s="69"/>
      <c r="T793" s="69"/>
      <c r="U793" s="53"/>
      <c r="V793" s="53"/>
      <c r="W793" s="53"/>
      <c r="X793" s="53"/>
      <c r="Y793" s="53"/>
      <c r="Z793" s="53"/>
      <c r="AA793" s="53"/>
      <c r="AB793" s="53"/>
      <c r="AC793" s="53"/>
      <c r="AD793" s="53"/>
      <c r="AE793" s="53"/>
    </row>
    <row r="794" hidden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69"/>
      <c r="L794" s="69"/>
      <c r="M794" s="70"/>
      <c r="N794" s="69"/>
      <c r="O794" s="69"/>
      <c r="P794" s="69"/>
      <c r="Q794" s="69"/>
      <c r="R794" s="69"/>
      <c r="S794" s="69"/>
      <c r="T794" s="69"/>
      <c r="U794" s="53"/>
      <c r="V794" s="53"/>
      <c r="W794" s="53"/>
      <c r="X794" s="53"/>
      <c r="Y794" s="53"/>
      <c r="Z794" s="53"/>
      <c r="AA794" s="53"/>
      <c r="AB794" s="53"/>
      <c r="AC794" s="53"/>
      <c r="AD794" s="53"/>
      <c r="AE794" s="53"/>
    </row>
    <row r="795" hidden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69"/>
      <c r="L795" s="69"/>
      <c r="M795" s="70"/>
      <c r="N795" s="69"/>
      <c r="O795" s="69"/>
      <c r="P795" s="69"/>
      <c r="Q795" s="69"/>
      <c r="R795" s="69"/>
      <c r="S795" s="69"/>
      <c r="T795" s="69"/>
      <c r="U795" s="53"/>
      <c r="V795" s="53"/>
      <c r="W795" s="53"/>
      <c r="X795" s="53"/>
      <c r="Y795" s="53"/>
      <c r="Z795" s="53"/>
      <c r="AA795" s="53"/>
      <c r="AB795" s="53"/>
      <c r="AC795" s="53"/>
      <c r="AD795" s="53"/>
      <c r="AE795" s="53"/>
    </row>
    <row r="796" hidden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69"/>
      <c r="L796" s="69"/>
      <c r="M796" s="70"/>
      <c r="N796" s="69"/>
      <c r="O796" s="69"/>
      <c r="P796" s="69"/>
      <c r="Q796" s="69"/>
      <c r="R796" s="69"/>
      <c r="S796" s="69"/>
      <c r="T796" s="69"/>
      <c r="U796" s="53"/>
      <c r="V796" s="53"/>
      <c r="W796" s="53"/>
      <c r="X796" s="53"/>
      <c r="Y796" s="53"/>
      <c r="Z796" s="53"/>
      <c r="AA796" s="53"/>
      <c r="AB796" s="53"/>
      <c r="AC796" s="53"/>
      <c r="AD796" s="53"/>
      <c r="AE796" s="53"/>
    </row>
    <row r="797" hidden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69"/>
      <c r="L797" s="69"/>
      <c r="M797" s="70"/>
      <c r="N797" s="69"/>
      <c r="O797" s="69"/>
      <c r="P797" s="69"/>
      <c r="Q797" s="69"/>
      <c r="R797" s="69"/>
      <c r="S797" s="69"/>
      <c r="T797" s="69"/>
      <c r="U797" s="53"/>
      <c r="V797" s="53"/>
      <c r="W797" s="53"/>
      <c r="X797" s="53"/>
      <c r="Y797" s="53"/>
      <c r="Z797" s="53"/>
      <c r="AA797" s="53"/>
      <c r="AB797" s="53"/>
      <c r="AC797" s="53"/>
      <c r="AD797" s="53"/>
      <c r="AE797" s="53"/>
    </row>
    <row r="798" hidden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69"/>
      <c r="L798" s="69"/>
      <c r="M798" s="70"/>
      <c r="N798" s="69"/>
      <c r="O798" s="69"/>
      <c r="P798" s="69"/>
      <c r="Q798" s="69"/>
      <c r="R798" s="69"/>
      <c r="S798" s="69"/>
      <c r="T798" s="69"/>
      <c r="U798" s="53"/>
      <c r="V798" s="53"/>
      <c r="W798" s="53"/>
      <c r="X798" s="53"/>
      <c r="Y798" s="53"/>
      <c r="Z798" s="53"/>
      <c r="AA798" s="53"/>
      <c r="AB798" s="53"/>
      <c r="AC798" s="53"/>
      <c r="AD798" s="53"/>
      <c r="AE798" s="53"/>
    </row>
    <row r="799" hidden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69"/>
      <c r="L799" s="69"/>
      <c r="M799" s="70"/>
      <c r="N799" s="69"/>
      <c r="O799" s="69"/>
      <c r="P799" s="69"/>
      <c r="Q799" s="69"/>
      <c r="R799" s="69"/>
      <c r="S799" s="69"/>
      <c r="T799" s="69"/>
      <c r="U799" s="53"/>
      <c r="V799" s="53"/>
      <c r="W799" s="53"/>
      <c r="X799" s="53"/>
      <c r="Y799" s="53"/>
      <c r="Z799" s="53"/>
      <c r="AA799" s="53"/>
      <c r="AB799" s="53"/>
      <c r="AC799" s="53"/>
      <c r="AD799" s="53"/>
      <c r="AE799" s="53"/>
    </row>
    <row r="800" hidden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69"/>
      <c r="L800" s="69"/>
      <c r="M800" s="70"/>
      <c r="N800" s="69"/>
      <c r="O800" s="69"/>
      <c r="P800" s="69"/>
      <c r="Q800" s="69"/>
      <c r="R800" s="69"/>
      <c r="S800" s="69"/>
      <c r="T800" s="69"/>
      <c r="U800" s="53"/>
      <c r="V800" s="53"/>
      <c r="W800" s="53"/>
      <c r="X800" s="53"/>
      <c r="Y800" s="53"/>
      <c r="Z800" s="53"/>
      <c r="AA800" s="53"/>
      <c r="AB800" s="53"/>
      <c r="AC800" s="53"/>
      <c r="AD800" s="53"/>
      <c r="AE800" s="53"/>
    </row>
    <row r="801" hidden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69"/>
      <c r="L801" s="69"/>
      <c r="M801" s="70"/>
      <c r="N801" s="69"/>
      <c r="O801" s="69"/>
      <c r="P801" s="69"/>
      <c r="Q801" s="69"/>
      <c r="R801" s="69"/>
      <c r="S801" s="69"/>
      <c r="T801" s="69"/>
      <c r="U801" s="53"/>
      <c r="V801" s="53"/>
      <c r="W801" s="53"/>
      <c r="X801" s="53"/>
      <c r="Y801" s="53"/>
      <c r="Z801" s="53"/>
      <c r="AA801" s="53"/>
      <c r="AB801" s="53"/>
      <c r="AC801" s="53"/>
      <c r="AD801" s="53"/>
      <c r="AE801" s="53"/>
    </row>
    <row r="802" hidden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69"/>
      <c r="L802" s="69"/>
      <c r="M802" s="70"/>
      <c r="N802" s="69"/>
      <c r="O802" s="69"/>
      <c r="P802" s="69"/>
      <c r="Q802" s="69"/>
      <c r="R802" s="69"/>
      <c r="S802" s="69"/>
      <c r="T802" s="69"/>
      <c r="U802" s="53"/>
      <c r="V802" s="53"/>
      <c r="W802" s="53"/>
      <c r="X802" s="53"/>
      <c r="Y802" s="53"/>
      <c r="Z802" s="53"/>
      <c r="AA802" s="53"/>
      <c r="AB802" s="53"/>
      <c r="AC802" s="53"/>
      <c r="AD802" s="53"/>
      <c r="AE802" s="53"/>
    </row>
    <row r="803" hidden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69"/>
      <c r="L803" s="69"/>
      <c r="M803" s="70"/>
      <c r="N803" s="69"/>
      <c r="O803" s="69"/>
      <c r="P803" s="69"/>
      <c r="Q803" s="69"/>
      <c r="R803" s="69"/>
      <c r="S803" s="69"/>
      <c r="T803" s="69"/>
      <c r="U803" s="53"/>
      <c r="V803" s="53"/>
      <c r="W803" s="53"/>
      <c r="X803" s="53"/>
      <c r="Y803" s="53"/>
      <c r="Z803" s="53"/>
      <c r="AA803" s="53"/>
      <c r="AB803" s="53"/>
      <c r="AC803" s="53"/>
      <c r="AD803" s="53"/>
      <c r="AE803" s="53"/>
    </row>
    <row r="804" hidden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69"/>
      <c r="L804" s="69"/>
      <c r="M804" s="70"/>
      <c r="N804" s="69"/>
      <c r="O804" s="69"/>
      <c r="P804" s="69"/>
      <c r="Q804" s="69"/>
      <c r="R804" s="69"/>
      <c r="S804" s="69"/>
      <c r="T804" s="69"/>
      <c r="U804" s="53"/>
      <c r="V804" s="53"/>
      <c r="W804" s="53"/>
      <c r="X804" s="53"/>
      <c r="Y804" s="53"/>
      <c r="Z804" s="53"/>
      <c r="AA804" s="53"/>
      <c r="AB804" s="53"/>
      <c r="AC804" s="53"/>
      <c r="AD804" s="53"/>
      <c r="AE804" s="53"/>
    </row>
    <row r="805" hidden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69"/>
      <c r="L805" s="69"/>
      <c r="M805" s="70"/>
      <c r="N805" s="69"/>
      <c r="O805" s="69"/>
      <c r="P805" s="69"/>
      <c r="Q805" s="69"/>
      <c r="R805" s="69"/>
      <c r="S805" s="69"/>
      <c r="T805" s="69"/>
      <c r="U805" s="53"/>
      <c r="V805" s="53"/>
      <c r="W805" s="53"/>
      <c r="X805" s="53"/>
      <c r="Y805" s="53"/>
      <c r="Z805" s="53"/>
      <c r="AA805" s="53"/>
      <c r="AB805" s="53"/>
      <c r="AC805" s="53"/>
      <c r="AD805" s="53"/>
      <c r="AE805" s="53"/>
    </row>
    <row r="806" hidden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69"/>
      <c r="L806" s="69"/>
      <c r="M806" s="70"/>
      <c r="N806" s="69"/>
      <c r="O806" s="69"/>
      <c r="P806" s="69"/>
      <c r="Q806" s="69"/>
      <c r="R806" s="69"/>
      <c r="S806" s="69"/>
      <c r="T806" s="69"/>
      <c r="U806" s="53"/>
      <c r="V806" s="53"/>
      <c r="W806" s="53"/>
      <c r="X806" s="53"/>
      <c r="Y806" s="53"/>
      <c r="Z806" s="53"/>
      <c r="AA806" s="53"/>
      <c r="AB806" s="53"/>
      <c r="AC806" s="53"/>
      <c r="AD806" s="53"/>
      <c r="AE806" s="53"/>
    </row>
    <row r="807" hidden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69"/>
      <c r="L807" s="69"/>
      <c r="M807" s="70"/>
      <c r="N807" s="69"/>
      <c r="O807" s="69"/>
      <c r="P807" s="69"/>
      <c r="Q807" s="69"/>
      <c r="R807" s="69"/>
      <c r="S807" s="69"/>
      <c r="T807" s="69"/>
      <c r="U807" s="53"/>
      <c r="V807" s="53"/>
      <c r="W807" s="53"/>
      <c r="X807" s="53"/>
      <c r="Y807" s="53"/>
      <c r="Z807" s="53"/>
      <c r="AA807" s="53"/>
      <c r="AB807" s="53"/>
      <c r="AC807" s="53"/>
      <c r="AD807" s="53"/>
      <c r="AE807" s="53"/>
    </row>
    <row r="808" hidden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69"/>
      <c r="L808" s="69"/>
      <c r="M808" s="70"/>
      <c r="N808" s="69"/>
      <c r="O808" s="69"/>
      <c r="P808" s="69"/>
      <c r="Q808" s="69"/>
      <c r="R808" s="69"/>
      <c r="S808" s="69"/>
      <c r="T808" s="69"/>
      <c r="U808" s="53"/>
      <c r="V808" s="53"/>
      <c r="W808" s="53"/>
      <c r="X808" s="53"/>
      <c r="Y808" s="53"/>
      <c r="Z808" s="53"/>
      <c r="AA808" s="53"/>
      <c r="AB808" s="53"/>
      <c r="AC808" s="53"/>
      <c r="AD808" s="53"/>
      <c r="AE808" s="53"/>
    </row>
    <row r="809" hidden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69"/>
      <c r="L809" s="69"/>
      <c r="M809" s="70"/>
      <c r="N809" s="69"/>
      <c r="O809" s="69"/>
      <c r="P809" s="69"/>
      <c r="Q809" s="69"/>
      <c r="R809" s="69"/>
      <c r="S809" s="69"/>
      <c r="T809" s="69"/>
      <c r="U809" s="53"/>
      <c r="V809" s="53"/>
      <c r="W809" s="53"/>
      <c r="X809" s="53"/>
      <c r="Y809" s="53"/>
      <c r="Z809" s="53"/>
      <c r="AA809" s="53"/>
      <c r="AB809" s="53"/>
      <c r="AC809" s="53"/>
      <c r="AD809" s="53"/>
      <c r="AE809" s="53"/>
    </row>
    <row r="810" hidden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69"/>
      <c r="L810" s="69"/>
      <c r="M810" s="70"/>
      <c r="N810" s="69"/>
      <c r="O810" s="69"/>
      <c r="P810" s="69"/>
      <c r="Q810" s="69"/>
      <c r="R810" s="69"/>
      <c r="S810" s="69"/>
      <c r="T810" s="69"/>
      <c r="U810" s="53"/>
      <c r="V810" s="53"/>
      <c r="W810" s="53"/>
      <c r="X810" s="53"/>
      <c r="Y810" s="53"/>
      <c r="Z810" s="53"/>
      <c r="AA810" s="53"/>
      <c r="AB810" s="53"/>
      <c r="AC810" s="53"/>
      <c r="AD810" s="53"/>
      <c r="AE810" s="53"/>
    </row>
    <row r="811" hidden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69"/>
      <c r="L811" s="69"/>
      <c r="M811" s="70"/>
      <c r="N811" s="69"/>
      <c r="O811" s="69"/>
      <c r="P811" s="69"/>
      <c r="Q811" s="69"/>
      <c r="R811" s="69"/>
      <c r="S811" s="69"/>
      <c r="T811" s="69"/>
      <c r="U811" s="53"/>
      <c r="V811" s="53"/>
      <c r="W811" s="53"/>
      <c r="X811" s="53"/>
      <c r="Y811" s="53"/>
      <c r="Z811" s="53"/>
      <c r="AA811" s="53"/>
      <c r="AB811" s="53"/>
      <c r="AC811" s="53"/>
      <c r="AD811" s="53"/>
      <c r="AE811" s="53"/>
    </row>
    <row r="812" hidden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69"/>
      <c r="L812" s="69"/>
      <c r="M812" s="70"/>
      <c r="N812" s="69"/>
      <c r="O812" s="69"/>
      <c r="P812" s="69"/>
      <c r="Q812" s="69"/>
      <c r="R812" s="69"/>
      <c r="S812" s="69"/>
      <c r="T812" s="69"/>
      <c r="U812" s="53"/>
      <c r="V812" s="53"/>
      <c r="W812" s="53"/>
      <c r="X812" s="53"/>
      <c r="Y812" s="53"/>
      <c r="Z812" s="53"/>
      <c r="AA812" s="53"/>
      <c r="AB812" s="53"/>
      <c r="AC812" s="53"/>
      <c r="AD812" s="53"/>
      <c r="AE812" s="53"/>
    </row>
    <row r="813" hidden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69"/>
      <c r="L813" s="69"/>
      <c r="M813" s="70"/>
      <c r="N813" s="69"/>
      <c r="O813" s="69"/>
      <c r="P813" s="69"/>
      <c r="Q813" s="69"/>
      <c r="R813" s="69"/>
      <c r="S813" s="69"/>
      <c r="T813" s="69"/>
      <c r="U813" s="53"/>
      <c r="V813" s="53"/>
      <c r="W813" s="53"/>
      <c r="X813" s="53"/>
      <c r="Y813" s="53"/>
      <c r="Z813" s="53"/>
      <c r="AA813" s="53"/>
      <c r="AB813" s="53"/>
      <c r="AC813" s="53"/>
      <c r="AD813" s="53"/>
      <c r="AE813" s="53"/>
    </row>
    <row r="814" hidden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69"/>
      <c r="L814" s="69"/>
      <c r="M814" s="70"/>
      <c r="N814" s="69"/>
      <c r="O814" s="69"/>
      <c r="P814" s="69"/>
      <c r="Q814" s="69"/>
      <c r="R814" s="69"/>
      <c r="S814" s="69"/>
      <c r="T814" s="69"/>
      <c r="U814" s="53"/>
      <c r="V814" s="53"/>
      <c r="W814" s="53"/>
      <c r="X814" s="53"/>
      <c r="Y814" s="53"/>
      <c r="Z814" s="53"/>
      <c r="AA814" s="53"/>
      <c r="AB814" s="53"/>
      <c r="AC814" s="53"/>
      <c r="AD814" s="53"/>
      <c r="AE814" s="53"/>
    </row>
    <row r="815" hidden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69"/>
      <c r="L815" s="69"/>
      <c r="M815" s="70"/>
      <c r="N815" s="69"/>
      <c r="O815" s="69"/>
      <c r="P815" s="69"/>
      <c r="Q815" s="69"/>
      <c r="R815" s="69"/>
      <c r="S815" s="69"/>
      <c r="T815" s="69"/>
      <c r="U815" s="53"/>
      <c r="V815" s="53"/>
      <c r="W815" s="53"/>
      <c r="X815" s="53"/>
      <c r="Y815" s="53"/>
      <c r="Z815" s="53"/>
      <c r="AA815" s="53"/>
      <c r="AB815" s="53"/>
      <c r="AC815" s="53"/>
      <c r="AD815" s="53"/>
      <c r="AE815" s="53"/>
    </row>
    <row r="816" hidden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69"/>
      <c r="L816" s="69"/>
      <c r="M816" s="70"/>
      <c r="N816" s="69"/>
      <c r="O816" s="69"/>
      <c r="P816" s="69"/>
      <c r="Q816" s="69"/>
      <c r="R816" s="69"/>
      <c r="S816" s="69"/>
      <c r="T816" s="69"/>
      <c r="U816" s="53"/>
      <c r="V816" s="53"/>
      <c r="W816" s="53"/>
      <c r="X816" s="53"/>
      <c r="Y816" s="53"/>
      <c r="Z816" s="53"/>
      <c r="AA816" s="53"/>
      <c r="AB816" s="53"/>
      <c r="AC816" s="53"/>
      <c r="AD816" s="53"/>
      <c r="AE816" s="53"/>
    </row>
    <row r="817" hidden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69"/>
      <c r="L817" s="69"/>
      <c r="M817" s="70"/>
      <c r="N817" s="69"/>
      <c r="O817" s="69"/>
      <c r="P817" s="69"/>
      <c r="Q817" s="69"/>
      <c r="R817" s="69"/>
      <c r="S817" s="69"/>
      <c r="T817" s="69"/>
      <c r="U817" s="53"/>
      <c r="V817" s="53"/>
      <c r="W817" s="53"/>
      <c r="X817" s="53"/>
      <c r="Y817" s="53"/>
      <c r="Z817" s="53"/>
      <c r="AA817" s="53"/>
      <c r="AB817" s="53"/>
      <c r="AC817" s="53"/>
      <c r="AD817" s="53"/>
      <c r="AE817" s="53"/>
    </row>
    <row r="818" hidden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69"/>
      <c r="L818" s="69"/>
      <c r="M818" s="70"/>
      <c r="N818" s="69"/>
      <c r="O818" s="69"/>
      <c r="P818" s="69"/>
      <c r="Q818" s="69"/>
      <c r="R818" s="69"/>
      <c r="S818" s="69"/>
      <c r="T818" s="69"/>
      <c r="U818" s="53"/>
      <c r="V818" s="53"/>
      <c r="W818" s="53"/>
      <c r="X818" s="53"/>
      <c r="Y818" s="53"/>
      <c r="Z818" s="53"/>
      <c r="AA818" s="53"/>
      <c r="AB818" s="53"/>
      <c r="AC818" s="53"/>
      <c r="AD818" s="53"/>
      <c r="AE818" s="53"/>
    </row>
    <row r="819" hidden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69"/>
      <c r="L819" s="69"/>
      <c r="M819" s="70"/>
      <c r="N819" s="69"/>
      <c r="O819" s="69"/>
      <c r="P819" s="69"/>
      <c r="Q819" s="69"/>
      <c r="R819" s="69"/>
      <c r="S819" s="69"/>
      <c r="T819" s="69"/>
      <c r="U819" s="53"/>
      <c r="V819" s="53"/>
      <c r="W819" s="53"/>
      <c r="X819" s="53"/>
      <c r="Y819" s="53"/>
      <c r="Z819" s="53"/>
      <c r="AA819" s="53"/>
      <c r="AB819" s="53"/>
      <c r="AC819" s="53"/>
      <c r="AD819" s="53"/>
      <c r="AE819" s="53"/>
    </row>
    <row r="820" hidden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69"/>
      <c r="L820" s="69"/>
      <c r="M820" s="70"/>
      <c r="N820" s="69"/>
      <c r="O820" s="69"/>
      <c r="P820" s="69"/>
      <c r="Q820" s="69"/>
      <c r="R820" s="69"/>
      <c r="S820" s="69"/>
      <c r="T820" s="69"/>
      <c r="U820" s="53"/>
      <c r="V820" s="53"/>
      <c r="W820" s="53"/>
      <c r="X820" s="53"/>
      <c r="Y820" s="53"/>
      <c r="Z820" s="53"/>
      <c r="AA820" s="53"/>
      <c r="AB820" s="53"/>
      <c r="AC820" s="53"/>
      <c r="AD820" s="53"/>
      <c r="AE820" s="53"/>
    </row>
    <row r="821" hidden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69"/>
      <c r="L821" s="69"/>
      <c r="M821" s="70"/>
      <c r="N821" s="69"/>
      <c r="O821" s="69"/>
      <c r="P821" s="69"/>
      <c r="Q821" s="69"/>
      <c r="R821" s="69"/>
      <c r="S821" s="69"/>
      <c r="T821" s="69"/>
      <c r="U821" s="53"/>
      <c r="V821" s="53"/>
      <c r="W821" s="53"/>
      <c r="X821" s="53"/>
      <c r="Y821" s="53"/>
      <c r="Z821" s="53"/>
      <c r="AA821" s="53"/>
      <c r="AB821" s="53"/>
      <c r="AC821" s="53"/>
      <c r="AD821" s="53"/>
      <c r="AE821" s="53"/>
    </row>
    <row r="822" hidden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69"/>
      <c r="L822" s="69"/>
      <c r="M822" s="70"/>
      <c r="N822" s="69"/>
      <c r="O822" s="69"/>
      <c r="P822" s="69"/>
      <c r="Q822" s="69"/>
      <c r="R822" s="69"/>
      <c r="S822" s="69"/>
      <c r="T822" s="69"/>
      <c r="U822" s="53"/>
      <c r="V822" s="53"/>
      <c r="W822" s="53"/>
      <c r="X822" s="53"/>
      <c r="Y822" s="53"/>
      <c r="Z822" s="53"/>
      <c r="AA822" s="53"/>
      <c r="AB822" s="53"/>
      <c r="AC822" s="53"/>
      <c r="AD822" s="53"/>
      <c r="AE822" s="53"/>
    </row>
    <row r="823" hidden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69"/>
      <c r="L823" s="69"/>
      <c r="M823" s="70"/>
      <c r="N823" s="69"/>
      <c r="O823" s="69"/>
      <c r="P823" s="69"/>
      <c r="Q823" s="69"/>
      <c r="R823" s="69"/>
      <c r="S823" s="69"/>
      <c r="T823" s="69"/>
      <c r="U823" s="53"/>
      <c r="V823" s="53"/>
      <c r="W823" s="53"/>
      <c r="X823" s="53"/>
      <c r="Y823" s="53"/>
      <c r="Z823" s="53"/>
      <c r="AA823" s="53"/>
      <c r="AB823" s="53"/>
      <c r="AC823" s="53"/>
      <c r="AD823" s="53"/>
      <c r="AE823" s="53"/>
    </row>
    <row r="824" hidden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69"/>
      <c r="L824" s="69"/>
      <c r="M824" s="70"/>
      <c r="N824" s="69"/>
      <c r="O824" s="69"/>
      <c r="P824" s="69"/>
      <c r="Q824" s="69"/>
      <c r="R824" s="69"/>
      <c r="S824" s="69"/>
      <c r="T824" s="69"/>
      <c r="U824" s="53"/>
      <c r="V824" s="53"/>
      <c r="W824" s="53"/>
      <c r="X824" s="53"/>
      <c r="Y824" s="53"/>
      <c r="Z824" s="53"/>
      <c r="AA824" s="53"/>
      <c r="AB824" s="53"/>
      <c r="AC824" s="53"/>
      <c r="AD824" s="53"/>
      <c r="AE824" s="53"/>
    </row>
    <row r="825" hidden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69"/>
      <c r="L825" s="69"/>
      <c r="M825" s="70"/>
      <c r="N825" s="69"/>
      <c r="O825" s="69"/>
      <c r="P825" s="69"/>
      <c r="Q825" s="69"/>
      <c r="R825" s="69"/>
      <c r="S825" s="69"/>
      <c r="T825" s="69"/>
      <c r="U825" s="53"/>
      <c r="V825" s="53"/>
      <c r="W825" s="53"/>
      <c r="X825" s="53"/>
      <c r="Y825" s="53"/>
      <c r="Z825" s="53"/>
      <c r="AA825" s="53"/>
      <c r="AB825" s="53"/>
      <c r="AC825" s="53"/>
      <c r="AD825" s="53"/>
      <c r="AE825" s="53"/>
    </row>
    <row r="826" hidden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69"/>
      <c r="L826" s="69"/>
      <c r="M826" s="70"/>
      <c r="N826" s="69"/>
      <c r="O826" s="69"/>
      <c r="P826" s="69"/>
      <c r="Q826" s="69"/>
      <c r="R826" s="69"/>
      <c r="S826" s="69"/>
      <c r="T826" s="69"/>
      <c r="U826" s="53"/>
      <c r="V826" s="53"/>
      <c r="W826" s="53"/>
      <c r="X826" s="53"/>
      <c r="Y826" s="53"/>
      <c r="Z826" s="53"/>
      <c r="AA826" s="53"/>
      <c r="AB826" s="53"/>
      <c r="AC826" s="53"/>
      <c r="AD826" s="53"/>
      <c r="AE826" s="53"/>
    </row>
    <row r="827" hidden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69"/>
      <c r="L827" s="69"/>
      <c r="M827" s="70"/>
      <c r="N827" s="69"/>
      <c r="O827" s="69"/>
      <c r="P827" s="69"/>
      <c r="Q827" s="69"/>
      <c r="R827" s="69"/>
      <c r="S827" s="69"/>
      <c r="T827" s="69"/>
      <c r="U827" s="53"/>
      <c r="V827" s="53"/>
      <c r="W827" s="53"/>
      <c r="X827" s="53"/>
      <c r="Y827" s="53"/>
      <c r="Z827" s="53"/>
      <c r="AA827" s="53"/>
      <c r="AB827" s="53"/>
      <c r="AC827" s="53"/>
      <c r="AD827" s="53"/>
      <c r="AE827" s="53"/>
    </row>
    <row r="828" hidden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69"/>
      <c r="L828" s="69"/>
      <c r="M828" s="70"/>
      <c r="N828" s="69"/>
      <c r="O828" s="69"/>
      <c r="P828" s="69"/>
      <c r="Q828" s="69"/>
      <c r="R828" s="69"/>
      <c r="S828" s="69"/>
      <c r="T828" s="69"/>
      <c r="U828" s="53"/>
      <c r="V828" s="53"/>
      <c r="W828" s="53"/>
      <c r="X828" s="53"/>
      <c r="Y828" s="53"/>
      <c r="Z828" s="53"/>
      <c r="AA828" s="53"/>
      <c r="AB828" s="53"/>
      <c r="AC828" s="53"/>
      <c r="AD828" s="53"/>
      <c r="AE828" s="53"/>
    </row>
    <row r="829" hidden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69"/>
      <c r="L829" s="69"/>
      <c r="M829" s="70"/>
      <c r="N829" s="69"/>
      <c r="O829" s="69"/>
      <c r="P829" s="69"/>
      <c r="Q829" s="69"/>
      <c r="R829" s="69"/>
      <c r="S829" s="69"/>
      <c r="T829" s="69"/>
      <c r="U829" s="53"/>
      <c r="V829" s="53"/>
      <c r="W829" s="53"/>
      <c r="X829" s="53"/>
      <c r="Y829" s="53"/>
      <c r="Z829" s="53"/>
      <c r="AA829" s="53"/>
      <c r="AB829" s="53"/>
      <c r="AC829" s="53"/>
      <c r="AD829" s="53"/>
      <c r="AE829" s="53"/>
    </row>
    <row r="830" hidden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69"/>
      <c r="L830" s="69"/>
      <c r="M830" s="70"/>
      <c r="N830" s="69"/>
      <c r="O830" s="69"/>
      <c r="P830" s="69"/>
      <c r="Q830" s="69"/>
      <c r="R830" s="69"/>
      <c r="S830" s="69"/>
      <c r="T830" s="69"/>
      <c r="U830" s="53"/>
      <c r="V830" s="53"/>
      <c r="W830" s="53"/>
      <c r="X830" s="53"/>
      <c r="Y830" s="53"/>
      <c r="Z830" s="53"/>
      <c r="AA830" s="53"/>
      <c r="AB830" s="53"/>
      <c r="AC830" s="53"/>
      <c r="AD830" s="53"/>
      <c r="AE830" s="53"/>
    </row>
    <row r="831" hidden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69"/>
      <c r="L831" s="69"/>
      <c r="M831" s="70"/>
      <c r="N831" s="69"/>
      <c r="O831" s="69"/>
      <c r="P831" s="69"/>
      <c r="Q831" s="69"/>
      <c r="R831" s="69"/>
      <c r="S831" s="69"/>
      <c r="T831" s="69"/>
      <c r="U831" s="53"/>
      <c r="V831" s="53"/>
      <c r="W831" s="53"/>
      <c r="X831" s="53"/>
      <c r="Y831" s="53"/>
      <c r="Z831" s="53"/>
      <c r="AA831" s="53"/>
      <c r="AB831" s="53"/>
      <c r="AC831" s="53"/>
      <c r="AD831" s="53"/>
      <c r="AE831" s="53"/>
    </row>
    <row r="832" hidden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69"/>
      <c r="L832" s="69"/>
      <c r="M832" s="70"/>
      <c r="N832" s="69"/>
      <c r="O832" s="69"/>
      <c r="P832" s="69"/>
      <c r="Q832" s="69"/>
      <c r="R832" s="69"/>
      <c r="S832" s="69"/>
      <c r="T832" s="69"/>
      <c r="U832" s="53"/>
      <c r="V832" s="53"/>
      <c r="W832" s="53"/>
      <c r="X832" s="53"/>
      <c r="Y832" s="53"/>
      <c r="Z832" s="53"/>
      <c r="AA832" s="53"/>
      <c r="AB832" s="53"/>
      <c r="AC832" s="53"/>
      <c r="AD832" s="53"/>
      <c r="AE832" s="53"/>
    </row>
    <row r="833" hidden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69"/>
      <c r="L833" s="69"/>
      <c r="M833" s="70"/>
      <c r="N833" s="69"/>
      <c r="O833" s="69"/>
      <c r="P833" s="69"/>
      <c r="Q833" s="69"/>
      <c r="R833" s="69"/>
      <c r="S833" s="69"/>
      <c r="T833" s="69"/>
      <c r="U833" s="53"/>
      <c r="V833" s="53"/>
      <c r="W833" s="53"/>
      <c r="X833" s="53"/>
      <c r="Y833" s="53"/>
      <c r="Z833" s="53"/>
      <c r="AA833" s="53"/>
      <c r="AB833" s="53"/>
      <c r="AC833" s="53"/>
      <c r="AD833" s="53"/>
      <c r="AE833" s="53"/>
    </row>
    <row r="834" hidden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69"/>
      <c r="L834" s="69"/>
      <c r="M834" s="70"/>
      <c r="N834" s="69"/>
      <c r="O834" s="69"/>
      <c r="P834" s="69"/>
      <c r="Q834" s="69"/>
      <c r="R834" s="69"/>
      <c r="S834" s="69"/>
      <c r="T834" s="69"/>
      <c r="U834" s="53"/>
      <c r="V834" s="53"/>
      <c r="W834" s="53"/>
      <c r="X834" s="53"/>
      <c r="Y834" s="53"/>
      <c r="Z834" s="53"/>
      <c r="AA834" s="53"/>
      <c r="AB834" s="53"/>
      <c r="AC834" s="53"/>
      <c r="AD834" s="53"/>
      <c r="AE834" s="53"/>
    </row>
    <row r="835" hidden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69"/>
      <c r="L835" s="69"/>
      <c r="M835" s="70"/>
      <c r="N835" s="69"/>
      <c r="O835" s="69"/>
      <c r="P835" s="69"/>
      <c r="Q835" s="69"/>
      <c r="R835" s="69"/>
      <c r="S835" s="69"/>
      <c r="T835" s="69"/>
      <c r="U835" s="53"/>
      <c r="V835" s="53"/>
      <c r="W835" s="53"/>
      <c r="X835" s="53"/>
      <c r="Y835" s="53"/>
      <c r="Z835" s="53"/>
      <c r="AA835" s="53"/>
      <c r="AB835" s="53"/>
      <c r="AC835" s="53"/>
      <c r="AD835" s="53"/>
      <c r="AE835" s="53"/>
    </row>
    <row r="836" hidden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69"/>
      <c r="L836" s="69"/>
      <c r="M836" s="70"/>
      <c r="N836" s="69"/>
      <c r="O836" s="69"/>
      <c r="P836" s="69"/>
      <c r="Q836" s="69"/>
      <c r="R836" s="69"/>
      <c r="S836" s="69"/>
      <c r="T836" s="69"/>
      <c r="U836" s="53"/>
      <c r="V836" s="53"/>
      <c r="W836" s="53"/>
      <c r="X836" s="53"/>
      <c r="Y836" s="53"/>
      <c r="Z836" s="53"/>
      <c r="AA836" s="53"/>
      <c r="AB836" s="53"/>
      <c r="AC836" s="53"/>
      <c r="AD836" s="53"/>
      <c r="AE836" s="53"/>
    </row>
    <row r="837" hidden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69"/>
      <c r="L837" s="69"/>
      <c r="M837" s="70"/>
      <c r="N837" s="69"/>
      <c r="O837" s="69"/>
      <c r="P837" s="69"/>
      <c r="Q837" s="69"/>
      <c r="R837" s="69"/>
      <c r="S837" s="69"/>
      <c r="T837" s="69"/>
      <c r="U837" s="53"/>
      <c r="V837" s="53"/>
      <c r="W837" s="53"/>
      <c r="X837" s="53"/>
      <c r="Y837" s="53"/>
      <c r="Z837" s="53"/>
      <c r="AA837" s="53"/>
      <c r="AB837" s="53"/>
      <c r="AC837" s="53"/>
      <c r="AD837" s="53"/>
      <c r="AE837" s="53"/>
    </row>
    <row r="838" hidden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69"/>
      <c r="L838" s="69"/>
      <c r="M838" s="70"/>
      <c r="N838" s="69"/>
      <c r="O838" s="69"/>
      <c r="P838" s="69"/>
      <c r="Q838" s="69"/>
      <c r="R838" s="69"/>
      <c r="S838" s="69"/>
      <c r="T838" s="69"/>
      <c r="U838" s="53"/>
      <c r="V838" s="53"/>
      <c r="W838" s="53"/>
      <c r="X838" s="53"/>
      <c r="Y838" s="53"/>
      <c r="Z838" s="53"/>
      <c r="AA838" s="53"/>
      <c r="AB838" s="53"/>
      <c r="AC838" s="53"/>
      <c r="AD838" s="53"/>
      <c r="AE838" s="53"/>
    </row>
    <row r="839" hidden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69"/>
      <c r="L839" s="69"/>
      <c r="M839" s="70"/>
      <c r="N839" s="69"/>
      <c r="O839" s="69"/>
      <c r="P839" s="69"/>
      <c r="Q839" s="69"/>
      <c r="R839" s="69"/>
      <c r="S839" s="69"/>
      <c r="T839" s="69"/>
      <c r="U839" s="53"/>
      <c r="V839" s="53"/>
      <c r="W839" s="53"/>
      <c r="X839" s="53"/>
      <c r="Y839" s="53"/>
      <c r="Z839" s="53"/>
      <c r="AA839" s="53"/>
      <c r="AB839" s="53"/>
      <c r="AC839" s="53"/>
      <c r="AD839" s="53"/>
      <c r="AE839" s="53"/>
    </row>
    <row r="840" hidden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69"/>
      <c r="L840" s="69"/>
      <c r="M840" s="70"/>
      <c r="N840" s="69"/>
      <c r="O840" s="69"/>
      <c r="P840" s="69"/>
      <c r="Q840" s="69"/>
      <c r="R840" s="69"/>
      <c r="S840" s="69"/>
      <c r="T840" s="69"/>
      <c r="U840" s="53"/>
      <c r="V840" s="53"/>
      <c r="W840" s="53"/>
      <c r="X840" s="53"/>
      <c r="Y840" s="53"/>
      <c r="Z840" s="53"/>
      <c r="AA840" s="53"/>
      <c r="AB840" s="53"/>
      <c r="AC840" s="53"/>
      <c r="AD840" s="53"/>
      <c r="AE840" s="53"/>
    </row>
    <row r="841" hidden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69"/>
      <c r="L841" s="69"/>
      <c r="M841" s="70"/>
      <c r="N841" s="69"/>
      <c r="O841" s="69"/>
      <c r="P841" s="69"/>
      <c r="Q841" s="69"/>
      <c r="R841" s="69"/>
      <c r="S841" s="69"/>
      <c r="T841" s="69"/>
      <c r="U841" s="53"/>
      <c r="V841" s="53"/>
      <c r="W841" s="53"/>
      <c r="X841" s="53"/>
      <c r="Y841" s="53"/>
      <c r="Z841" s="53"/>
      <c r="AA841" s="53"/>
      <c r="AB841" s="53"/>
      <c r="AC841" s="53"/>
      <c r="AD841" s="53"/>
      <c r="AE841" s="53"/>
    </row>
    <row r="842" hidden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69"/>
      <c r="L842" s="69"/>
      <c r="M842" s="70"/>
      <c r="N842" s="69"/>
      <c r="O842" s="69"/>
      <c r="P842" s="69"/>
      <c r="Q842" s="69"/>
      <c r="R842" s="69"/>
      <c r="S842" s="69"/>
      <c r="T842" s="69"/>
      <c r="U842" s="53"/>
      <c r="V842" s="53"/>
      <c r="W842" s="53"/>
      <c r="X842" s="53"/>
      <c r="Y842" s="53"/>
      <c r="Z842" s="53"/>
      <c r="AA842" s="53"/>
      <c r="AB842" s="53"/>
      <c r="AC842" s="53"/>
      <c r="AD842" s="53"/>
      <c r="AE842" s="53"/>
    </row>
    <row r="843" hidden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69"/>
      <c r="L843" s="69"/>
      <c r="M843" s="70"/>
      <c r="N843" s="69"/>
      <c r="O843" s="69"/>
      <c r="P843" s="69"/>
      <c r="Q843" s="69"/>
      <c r="R843" s="69"/>
      <c r="S843" s="69"/>
      <c r="T843" s="69"/>
      <c r="U843" s="53"/>
      <c r="V843" s="53"/>
      <c r="W843" s="53"/>
      <c r="X843" s="53"/>
      <c r="Y843" s="53"/>
      <c r="Z843" s="53"/>
      <c r="AA843" s="53"/>
      <c r="AB843" s="53"/>
      <c r="AC843" s="53"/>
      <c r="AD843" s="53"/>
      <c r="AE843" s="53"/>
    </row>
    <row r="844" hidden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69"/>
      <c r="L844" s="69"/>
      <c r="M844" s="70"/>
      <c r="N844" s="69"/>
      <c r="O844" s="69"/>
      <c r="P844" s="69"/>
      <c r="Q844" s="69"/>
      <c r="R844" s="69"/>
      <c r="S844" s="69"/>
      <c r="T844" s="69"/>
      <c r="U844" s="53"/>
      <c r="V844" s="53"/>
      <c r="W844" s="53"/>
      <c r="X844" s="53"/>
      <c r="Y844" s="53"/>
      <c r="Z844" s="53"/>
      <c r="AA844" s="53"/>
      <c r="AB844" s="53"/>
      <c r="AC844" s="53"/>
      <c r="AD844" s="53"/>
      <c r="AE844" s="53"/>
    </row>
    <row r="845" hidden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69"/>
      <c r="L845" s="69"/>
      <c r="M845" s="70"/>
      <c r="N845" s="69"/>
      <c r="O845" s="69"/>
      <c r="P845" s="69"/>
      <c r="Q845" s="69"/>
      <c r="R845" s="69"/>
      <c r="S845" s="69"/>
      <c r="T845" s="69"/>
      <c r="U845" s="53"/>
      <c r="V845" s="53"/>
      <c r="W845" s="53"/>
      <c r="X845" s="53"/>
      <c r="Y845" s="53"/>
      <c r="Z845" s="53"/>
      <c r="AA845" s="53"/>
      <c r="AB845" s="53"/>
      <c r="AC845" s="53"/>
      <c r="AD845" s="53"/>
      <c r="AE845" s="53"/>
    </row>
    <row r="846" hidden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69"/>
      <c r="L846" s="69"/>
      <c r="M846" s="70"/>
      <c r="N846" s="69"/>
      <c r="O846" s="69"/>
      <c r="P846" s="69"/>
      <c r="Q846" s="69"/>
      <c r="R846" s="69"/>
      <c r="S846" s="69"/>
      <c r="T846" s="69"/>
      <c r="U846" s="53"/>
      <c r="V846" s="53"/>
      <c r="W846" s="53"/>
      <c r="X846" s="53"/>
      <c r="Y846" s="53"/>
      <c r="Z846" s="53"/>
      <c r="AA846" s="53"/>
      <c r="AB846" s="53"/>
      <c r="AC846" s="53"/>
      <c r="AD846" s="53"/>
      <c r="AE846" s="53"/>
    </row>
    <row r="847" hidden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69"/>
      <c r="L847" s="69"/>
      <c r="M847" s="70"/>
      <c r="N847" s="69"/>
      <c r="O847" s="69"/>
      <c r="P847" s="69"/>
      <c r="Q847" s="69"/>
      <c r="R847" s="69"/>
      <c r="S847" s="69"/>
      <c r="T847" s="69"/>
      <c r="U847" s="53"/>
      <c r="V847" s="53"/>
      <c r="W847" s="53"/>
      <c r="X847" s="53"/>
      <c r="Y847" s="53"/>
      <c r="Z847" s="53"/>
      <c r="AA847" s="53"/>
      <c r="AB847" s="53"/>
      <c r="AC847" s="53"/>
      <c r="AD847" s="53"/>
      <c r="AE847" s="53"/>
    </row>
    <row r="848" hidden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69"/>
      <c r="L848" s="69"/>
      <c r="M848" s="70"/>
      <c r="N848" s="69"/>
      <c r="O848" s="69"/>
      <c r="P848" s="69"/>
      <c r="Q848" s="69"/>
      <c r="R848" s="69"/>
      <c r="S848" s="69"/>
      <c r="T848" s="69"/>
      <c r="U848" s="53"/>
      <c r="V848" s="53"/>
      <c r="W848" s="53"/>
      <c r="X848" s="53"/>
      <c r="Y848" s="53"/>
      <c r="Z848" s="53"/>
      <c r="AA848" s="53"/>
      <c r="AB848" s="53"/>
      <c r="AC848" s="53"/>
      <c r="AD848" s="53"/>
      <c r="AE848" s="53"/>
    </row>
    <row r="849" hidden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69"/>
      <c r="L849" s="69"/>
      <c r="M849" s="70"/>
      <c r="N849" s="69"/>
      <c r="O849" s="69"/>
      <c r="P849" s="69"/>
      <c r="Q849" s="69"/>
      <c r="R849" s="69"/>
      <c r="S849" s="69"/>
      <c r="T849" s="69"/>
      <c r="U849" s="53"/>
      <c r="V849" s="53"/>
      <c r="W849" s="53"/>
      <c r="X849" s="53"/>
      <c r="Y849" s="53"/>
      <c r="Z849" s="53"/>
      <c r="AA849" s="53"/>
      <c r="AB849" s="53"/>
      <c r="AC849" s="53"/>
      <c r="AD849" s="53"/>
      <c r="AE849" s="53"/>
    </row>
    <row r="850" hidden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69"/>
      <c r="L850" s="69"/>
      <c r="M850" s="70"/>
      <c r="N850" s="69"/>
      <c r="O850" s="69"/>
      <c r="P850" s="69"/>
      <c r="Q850" s="69"/>
      <c r="R850" s="69"/>
      <c r="S850" s="69"/>
      <c r="T850" s="69"/>
      <c r="U850" s="53"/>
      <c r="V850" s="53"/>
      <c r="W850" s="53"/>
      <c r="X850" s="53"/>
      <c r="Y850" s="53"/>
      <c r="Z850" s="53"/>
      <c r="AA850" s="53"/>
      <c r="AB850" s="53"/>
      <c r="AC850" s="53"/>
      <c r="AD850" s="53"/>
      <c r="AE850" s="53"/>
    </row>
    <row r="851" hidden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69"/>
      <c r="L851" s="69"/>
      <c r="M851" s="70"/>
      <c r="N851" s="69"/>
      <c r="O851" s="69"/>
      <c r="P851" s="69"/>
      <c r="Q851" s="69"/>
      <c r="R851" s="69"/>
      <c r="S851" s="69"/>
      <c r="T851" s="69"/>
      <c r="U851" s="53"/>
      <c r="V851" s="53"/>
      <c r="W851" s="53"/>
      <c r="X851" s="53"/>
      <c r="Y851" s="53"/>
      <c r="Z851" s="53"/>
      <c r="AA851" s="53"/>
      <c r="AB851" s="53"/>
      <c r="AC851" s="53"/>
      <c r="AD851" s="53"/>
      <c r="AE851" s="53"/>
    </row>
    <row r="852" hidden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69"/>
      <c r="L852" s="69"/>
      <c r="M852" s="70"/>
      <c r="N852" s="69"/>
      <c r="O852" s="69"/>
      <c r="P852" s="69"/>
      <c r="Q852" s="69"/>
      <c r="R852" s="69"/>
      <c r="S852" s="69"/>
      <c r="T852" s="69"/>
      <c r="U852" s="53"/>
      <c r="V852" s="53"/>
      <c r="W852" s="53"/>
      <c r="X852" s="53"/>
      <c r="Y852" s="53"/>
      <c r="Z852" s="53"/>
      <c r="AA852" s="53"/>
      <c r="AB852" s="53"/>
      <c r="AC852" s="53"/>
      <c r="AD852" s="53"/>
      <c r="AE852" s="53"/>
    </row>
    <row r="853" hidden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69"/>
      <c r="L853" s="69"/>
      <c r="M853" s="70"/>
      <c r="N853" s="69"/>
      <c r="O853" s="69"/>
      <c r="P853" s="69"/>
      <c r="Q853" s="69"/>
      <c r="R853" s="69"/>
      <c r="S853" s="69"/>
      <c r="T853" s="69"/>
      <c r="U853" s="53"/>
      <c r="V853" s="53"/>
      <c r="W853" s="53"/>
      <c r="X853" s="53"/>
      <c r="Y853" s="53"/>
      <c r="Z853" s="53"/>
      <c r="AA853" s="53"/>
      <c r="AB853" s="53"/>
      <c r="AC853" s="53"/>
      <c r="AD853" s="53"/>
      <c r="AE853" s="53"/>
    </row>
    <row r="854" hidden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69"/>
      <c r="L854" s="69"/>
      <c r="M854" s="70"/>
      <c r="N854" s="69"/>
      <c r="O854" s="69"/>
      <c r="P854" s="69"/>
      <c r="Q854" s="69"/>
      <c r="R854" s="69"/>
      <c r="S854" s="69"/>
      <c r="T854" s="69"/>
      <c r="U854" s="53"/>
      <c r="V854" s="53"/>
      <c r="W854" s="53"/>
      <c r="X854" s="53"/>
      <c r="Y854" s="53"/>
      <c r="Z854" s="53"/>
      <c r="AA854" s="53"/>
      <c r="AB854" s="53"/>
      <c r="AC854" s="53"/>
      <c r="AD854" s="53"/>
      <c r="AE854" s="53"/>
    </row>
    <row r="855" hidden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69"/>
      <c r="L855" s="69"/>
      <c r="M855" s="70"/>
      <c r="N855" s="69"/>
      <c r="O855" s="69"/>
      <c r="P855" s="69"/>
      <c r="Q855" s="69"/>
      <c r="R855" s="69"/>
      <c r="S855" s="69"/>
      <c r="T855" s="69"/>
      <c r="U855" s="53"/>
      <c r="V855" s="53"/>
      <c r="W855" s="53"/>
      <c r="X855" s="53"/>
      <c r="Y855" s="53"/>
      <c r="Z855" s="53"/>
      <c r="AA855" s="53"/>
      <c r="AB855" s="53"/>
      <c r="AC855" s="53"/>
      <c r="AD855" s="53"/>
      <c r="AE855" s="53"/>
    </row>
    <row r="856" hidden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69"/>
      <c r="L856" s="69"/>
      <c r="M856" s="70"/>
      <c r="N856" s="69"/>
      <c r="O856" s="69"/>
      <c r="P856" s="69"/>
      <c r="Q856" s="69"/>
      <c r="R856" s="69"/>
      <c r="S856" s="69"/>
      <c r="T856" s="69"/>
      <c r="U856" s="53"/>
      <c r="V856" s="53"/>
      <c r="W856" s="53"/>
      <c r="X856" s="53"/>
      <c r="Y856" s="53"/>
      <c r="Z856" s="53"/>
      <c r="AA856" s="53"/>
      <c r="AB856" s="53"/>
      <c r="AC856" s="53"/>
      <c r="AD856" s="53"/>
      <c r="AE856" s="53"/>
    </row>
    <row r="857" hidden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69"/>
      <c r="L857" s="69"/>
      <c r="M857" s="70"/>
      <c r="N857" s="69"/>
      <c r="O857" s="69"/>
      <c r="P857" s="69"/>
      <c r="Q857" s="69"/>
      <c r="R857" s="69"/>
      <c r="S857" s="69"/>
      <c r="T857" s="69"/>
      <c r="U857" s="53"/>
      <c r="V857" s="53"/>
      <c r="W857" s="53"/>
      <c r="X857" s="53"/>
      <c r="Y857" s="53"/>
      <c r="Z857" s="53"/>
      <c r="AA857" s="53"/>
      <c r="AB857" s="53"/>
      <c r="AC857" s="53"/>
      <c r="AD857" s="53"/>
      <c r="AE857" s="53"/>
    </row>
    <row r="858" hidden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69"/>
      <c r="L858" s="69"/>
      <c r="M858" s="70"/>
      <c r="N858" s="69"/>
      <c r="O858" s="69"/>
      <c r="P858" s="69"/>
      <c r="Q858" s="69"/>
      <c r="R858" s="69"/>
      <c r="S858" s="69"/>
      <c r="T858" s="69"/>
      <c r="U858" s="53"/>
      <c r="V858" s="53"/>
      <c r="W858" s="53"/>
      <c r="X858" s="53"/>
      <c r="Y858" s="53"/>
      <c r="Z858" s="53"/>
      <c r="AA858" s="53"/>
      <c r="AB858" s="53"/>
      <c r="AC858" s="53"/>
      <c r="AD858" s="53"/>
      <c r="AE858" s="53"/>
    </row>
    <row r="859" hidden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69"/>
      <c r="L859" s="69"/>
      <c r="M859" s="70"/>
      <c r="N859" s="69"/>
      <c r="O859" s="69"/>
      <c r="P859" s="69"/>
      <c r="Q859" s="69"/>
      <c r="R859" s="69"/>
      <c r="S859" s="69"/>
      <c r="T859" s="69"/>
      <c r="U859" s="53"/>
      <c r="V859" s="53"/>
      <c r="W859" s="53"/>
      <c r="X859" s="53"/>
      <c r="Y859" s="53"/>
      <c r="Z859" s="53"/>
      <c r="AA859" s="53"/>
      <c r="AB859" s="53"/>
      <c r="AC859" s="53"/>
      <c r="AD859" s="53"/>
      <c r="AE859" s="53"/>
    </row>
    <row r="860" hidden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69"/>
      <c r="L860" s="69"/>
      <c r="M860" s="70"/>
      <c r="N860" s="69"/>
      <c r="O860" s="69"/>
      <c r="P860" s="69"/>
      <c r="Q860" s="69"/>
      <c r="R860" s="69"/>
      <c r="S860" s="69"/>
      <c r="T860" s="69"/>
      <c r="U860" s="53"/>
      <c r="V860" s="53"/>
      <c r="W860" s="53"/>
      <c r="X860" s="53"/>
      <c r="Y860" s="53"/>
      <c r="Z860" s="53"/>
      <c r="AA860" s="53"/>
      <c r="AB860" s="53"/>
      <c r="AC860" s="53"/>
      <c r="AD860" s="53"/>
      <c r="AE860" s="53"/>
    </row>
    <row r="861" hidden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69"/>
      <c r="L861" s="69"/>
      <c r="M861" s="70"/>
      <c r="N861" s="69"/>
      <c r="O861" s="69"/>
      <c r="P861" s="69"/>
      <c r="Q861" s="69"/>
      <c r="R861" s="69"/>
      <c r="S861" s="69"/>
      <c r="T861" s="69"/>
      <c r="U861" s="53"/>
      <c r="V861" s="53"/>
      <c r="W861" s="53"/>
      <c r="X861" s="53"/>
      <c r="Y861" s="53"/>
      <c r="Z861" s="53"/>
      <c r="AA861" s="53"/>
      <c r="AB861" s="53"/>
      <c r="AC861" s="53"/>
      <c r="AD861" s="53"/>
      <c r="AE861" s="53"/>
    </row>
    <row r="862" hidden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69"/>
      <c r="L862" s="69"/>
      <c r="M862" s="70"/>
      <c r="N862" s="69"/>
      <c r="O862" s="69"/>
      <c r="P862" s="69"/>
      <c r="Q862" s="69"/>
      <c r="R862" s="69"/>
      <c r="S862" s="69"/>
      <c r="T862" s="69"/>
      <c r="U862" s="53"/>
      <c r="V862" s="53"/>
      <c r="W862" s="53"/>
      <c r="X862" s="53"/>
      <c r="Y862" s="53"/>
      <c r="Z862" s="53"/>
      <c r="AA862" s="53"/>
      <c r="AB862" s="53"/>
      <c r="AC862" s="53"/>
      <c r="AD862" s="53"/>
      <c r="AE862" s="53"/>
    </row>
    <row r="863" hidden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69"/>
      <c r="L863" s="69"/>
      <c r="M863" s="70"/>
      <c r="N863" s="69"/>
      <c r="O863" s="69"/>
      <c r="P863" s="69"/>
      <c r="Q863" s="69"/>
      <c r="R863" s="69"/>
      <c r="S863" s="69"/>
      <c r="T863" s="69"/>
      <c r="U863" s="53"/>
      <c r="V863" s="53"/>
      <c r="W863" s="53"/>
      <c r="X863" s="53"/>
      <c r="Y863" s="53"/>
      <c r="Z863" s="53"/>
      <c r="AA863" s="53"/>
      <c r="AB863" s="53"/>
      <c r="AC863" s="53"/>
      <c r="AD863" s="53"/>
      <c r="AE863" s="53"/>
    </row>
    <row r="864" hidden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69"/>
      <c r="L864" s="69"/>
      <c r="M864" s="70"/>
      <c r="N864" s="69"/>
      <c r="O864" s="69"/>
      <c r="P864" s="69"/>
      <c r="Q864" s="69"/>
      <c r="R864" s="69"/>
      <c r="S864" s="69"/>
      <c r="T864" s="69"/>
      <c r="U864" s="53"/>
      <c r="V864" s="53"/>
      <c r="W864" s="53"/>
      <c r="X864" s="53"/>
      <c r="Y864" s="53"/>
      <c r="Z864" s="53"/>
      <c r="AA864" s="53"/>
      <c r="AB864" s="53"/>
      <c r="AC864" s="53"/>
      <c r="AD864" s="53"/>
      <c r="AE864" s="53"/>
    </row>
    <row r="865" hidden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69"/>
      <c r="L865" s="69"/>
      <c r="M865" s="70"/>
      <c r="N865" s="69"/>
      <c r="O865" s="69"/>
      <c r="P865" s="69"/>
      <c r="Q865" s="69"/>
      <c r="R865" s="69"/>
      <c r="S865" s="69"/>
      <c r="T865" s="69"/>
      <c r="U865" s="53"/>
      <c r="V865" s="53"/>
      <c r="W865" s="53"/>
      <c r="X865" s="53"/>
      <c r="Y865" s="53"/>
      <c r="Z865" s="53"/>
      <c r="AA865" s="53"/>
      <c r="AB865" s="53"/>
      <c r="AC865" s="53"/>
      <c r="AD865" s="53"/>
      <c r="AE865" s="53"/>
    </row>
    <row r="866" hidden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69"/>
      <c r="L866" s="69"/>
      <c r="M866" s="70"/>
      <c r="N866" s="69"/>
      <c r="O866" s="69"/>
      <c r="P866" s="69"/>
      <c r="Q866" s="69"/>
      <c r="R866" s="69"/>
      <c r="S866" s="69"/>
      <c r="T866" s="69"/>
      <c r="U866" s="53"/>
      <c r="V866" s="53"/>
      <c r="W866" s="53"/>
      <c r="X866" s="53"/>
      <c r="Y866" s="53"/>
      <c r="Z866" s="53"/>
      <c r="AA866" s="53"/>
      <c r="AB866" s="53"/>
      <c r="AC866" s="53"/>
      <c r="AD866" s="53"/>
      <c r="AE866" s="53"/>
    </row>
    <row r="867" hidden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69"/>
      <c r="L867" s="69"/>
      <c r="M867" s="70"/>
      <c r="N867" s="69"/>
      <c r="O867" s="69"/>
      <c r="P867" s="69"/>
      <c r="Q867" s="69"/>
      <c r="R867" s="69"/>
      <c r="S867" s="69"/>
      <c r="T867" s="69"/>
      <c r="U867" s="53"/>
      <c r="V867" s="53"/>
      <c r="W867" s="53"/>
      <c r="X867" s="53"/>
      <c r="Y867" s="53"/>
      <c r="Z867" s="53"/>
      <c r="AA867" s="53"/>
      <c r="AB867" s="53"/>
      <c r="AC867" s="53"/>
      <c r="AD867" s="53"/>
      <c r="AE867" s="53"/>
    </row>
    <row r="868" hidden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69"/>
      <c r="L868" s="69"/>
      <c r="M868" s="70"/>
      <c r="N868" s="69"/>
      <c r="O868" s="69"/>
      <c r="P868" s="69"/>
      <c r="Q868" s="69"/>
      <c r="R868" s="69"/>
      <c r="S868" s="69"/>
      <c r="T868" s="69"/>
      <c r="U868" s="53"/>
      <c r="V868" s="53"/>
      <c r="W868" s="53"/>
      <c r="X868" s="53"/>
      <c r="Y868" s="53"/>
      <c r="Z868" s="53"/>
      <c r="AA868" s="53"/>
      <c r="AB868" s="53"/>
      <c r="AC868" s="53"/>
      <c r="AD868" s="53"/>
      <c r="AE868" s="53"/>
    </row>
    <row r="869" hidden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69"/>
      <c r="L869" s="69"/>
      <c r="M869" s="70"/>
      <c r="N869" s="69"/>
      <c r="O869" s="69"/>
      <c r="P869" s="69"/>
      <c r="Q869" s="69"/>
      <c r="R869" s="69"/>
      <c r="S869" s="69"/>
      <c r="T869" s="69"/>
      <c r="U869" s="53"/>
      <c r="V869" s="53"/>
      <c r="W869" s="53"/>
      <c r="X869" s="53"/>
      <c r="Y869" s="53"/>
      <c r="Z869" s="53"/>
      <c r="AA869" s="53"/>
      <c r="AB869" s="53"/>
      <c r="AC869" s="53"/>
      <c r="AD869" s="53"/>
      <c r="AE869" s="53"/>
    </row>
    <row r="870" hidden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69"/>
      <c r="L870" s="69"/>
      <c r="M870" s="70"/>
      <c r="N870" s="69"/>
      <c r="O870" s="69"/>
      <c r="P870" s="69"/>
      <c r="Q870" s="69"/>
      <c r="R870" s="69"/>
      <c r="S870" s="69"/>
      <c r="T870" s="69"/>
      <c r="U870" s="53"/>
      <c r="V870" s="53"/>
      <c r="W870" s="53"/>
      <c r="X870" s="53"/>
      <c r="Y870" s="53"/>
      <c r="Z870" s="53"/>
      <c r="AA870" s="53"/>
      <c r="AB870" s="53"/>
      <c r="AC870" s="53"/>
      <c r="AD870" s="53"/>
      <c r="AE870" s="53"/>
    </row>
    <row r="871" hidden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69"/>
      <c r="L871" s="69"/>
      <c r="M871" s="70"/>
      <c r="N871" s="69"/>
      <c r="O871" s="69"/>
      <c r="P871" s="69"/>
      <c r="Q871" s="69"/>
      <c r="R871" s="69"/>
      <c r="S871" s="69"/>
      <c r="T871" s="69"/>
      <c r="U871" s="53"/>
      <c r="V871" s="53"/>
      <c r="W871" s="53"/>
      <c r="X871" s="53"/>
      <c r="Y871" s="53"/>
      <c r="Z871" s="53"/>
      <c r="AA871" s="53"/>
      <c r="AB871" s="53"/>
      <c r="AC871" s="53"/>
      <c r="AD871" s="53"/>
      <c r="AE871" s="53"/>
    </row>
    <row r="872" hidden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69"/>
      <c r="L872" s="69"/>
      <c r="M872" s="70"/>
      <c r="N872" s="69"/>
      <c r="O872" s="69"/>
      <c r="P872" s="69"/>
      <c r="Q872" s="69"/>
      <c r="R872" s="69"/>
      <c r="S872" s="69"/>
      <c r="T872" s="69"/>
      <c r="U872" s="53"/>
      <c r="V872" s="53"/>
      <c r="W872" s="53"/>
      <c r="X872" s="53"/>
      <c r="Y872" s="53"/>
      <c r="Z872" s="53"/>
      <c r="AA872" s="53"/>
      <c r="AB872" s="53"/>
      <c r="AC872" s="53"/>
      <c r="AD872" s="53"/>
      <c r="AE872" s="53"/>
    </row>
    <row r="873" hidden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69"/>
      <c r="L873" s="69"/>
      <c r="M873" s="70"/>
      <c r="N873" s="69"/>
      <c r="O873" s="69"/>
      <c r="P873" s="69"/>
      <c r="Q873" s="69"/>
      <c r="R873" s="69"/>
      <c r="S873" s="69"/>
      <c r="T873" s="69"/>
      <c r="U873" s="53"/>
      <c r="V873" s="53"/>
      <c r="W873" s="53"/>
      <c r="X873" s="53"/>
      <c r="Y873" s="53"/>
      <c r="Z873" s="53"/>
      <c r="AA873" s="53"/>
      <c r="AB873" s="53"/>
      <c r="AC873" s="53"/>
      <c r="AD873" s="53"/>
      <c r="AE873" s="53"/>
    </row>
    <row r="874" hidden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69"/>
      <c r="L874" s="69"/>
      <c r="M874" s="70"/>
      <c r="N874" s="69"/>
      <c r="O874" s="69"/>
      <c r="P874" s="69"/>
      <c r="Q874" s="69"/>
      <c r="R874" s="69"/>
      <c r="S874" s="69"/>
      <c r="T874" s="69"/>
      <c r="U874" s="53"/>
      <c r="V874" s="53"/>
      <c r="W874" s="53"/>
      <c r="X874" s="53"/>
      <c r="Y874" s="53"/>
      <c r="Z874" s="53"/>
      <c r="AA874" s="53"/>
      <c r="AB874" s="53"/>
      <c r="AC874" s="53"/>
      <c r="AD874" s="53"/>
      <c r="AE874" s="53"/>
    </row>
    <row r="875" hidden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69"/>
      <c r="L875" s="69"/>
      <c r="M875" s="70"/>
      <c r="N875" s="69"/>
      <c r="O875" s="69"/>
      <c r="P875" s="69"/>
      <c r="Q875" s="69"/>
      <c r="R875" s="69"/>
      <c r="S875" s="69"/>
      <c r="T875" s="69"/>
      <c r="U875" s="53"/>
      <c r="V875" s="53"/>
      <c r="W875" s="53"/>
      <c r="X875" s="53"/>
      <c r="Y875" s="53"/>
      <c r="Z875" s="53"/>
      <c r="AA875" s="53"/>
      <c r="AB875" s="53"/>
      <c r="AC875" s="53"/>
      <c r="AD875" s="53"/>
      <c r="AE875" s="53"/>
    </row>
    <row r="876" hidden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69"/>
      <c r="L876" s="69"/>
      <c r="M876" s="70"/>
      <c r="N876" s="69"/>
      <c r="O876" s="69"/>
      <c r="P876" s="69"/>
      <c r="Q876" s="69"/>
      <c r="R876" s="69"/>
      <c r="S876" s="69"/>
      <c r="T876" s="69"/>
      <c r="U876" s="53"/>
      <c r="V876" s="53"/>
      <c r="W876" s="53"/>
      <c r="X876" s="53"/>
      <c r="Y876" s="53"/>
      <c r="Z876" s="53"/>
      <c r="AA876" s="53"/>
      <c r="AB876" s="53"/>
      <c r="AC876" s="53"/>
      <c r="AD876" s="53"/>
      <c r="AE876" s="53"/>
    </row>
    <row r="877" hidden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69"/>
      <c r="L877" s="69"/>
      <c r="M877" s="70"/>
      <c r="N877" s="69"/>
      <c r="O877" s="69"/>
      <c r="P877" s="69"/>
      <c r="Q877" s="69"/>
      <c r="R877" s="69"/>
      <c r="S877" s="69"/>
      <c r="T877" s="69"/>
      <c r="U877" s="53"/>
      <c r="V877" s="53"/>
      <c r="W877" s="53"/>
      <c r="X877" s="53"/>
      <c r="Y877" s="53"/>
      <c r="Z877" s="53"/>
      <c r="AA877" s="53"/>
      <c r="AB877" s="53"/>
      <c r="AC877" s="53"/>
      <c r="AD877" s="53"/>
      <c r="AE877" s="53"/>
    </row>
    <row r="878" hidden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69"/>
      <c r="L878" s="69"/>
      <c r="M878" s="70"/>
      <c r="N878" s="69"/>
      <c r="O878" s="69"/>
      <c r="P878" s="69"/>
      <c r="Q878" s="69"/>
      <c r="R878" s="69"/>
      <c r="S878" s="69"/>
      <c r="T878" s="69"/>
      <c r="U878" s="53"/>
      <c r="V878" s="53"/>
      <c r="W878" s="53"/>
      <c r="X878" s="53"/>
      <c r="Y878" s="53"/>
      <c r="Z878" s="53"/>
      <c r="AA878" s="53"/>
      <c r="AB878" s="53"/>
      <c r="AC878" s="53"/>
      <c r="AD878" s="53"/>
      <c r="AE878" s="53"/>
    </row>
    <row r="879" hidden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69"/>
      <c r="L879" s="69"/>
      <c r="M879" s="70"/>
      <c r="N879" s="69"/>
      <c r="O879" s="69"/>
      <c r="P879" s="69"/>
      <c r="Q879" s="69"/>
      <c r="R879" s="69"/>
      <c r="S879" s="69"/>
      <c r="T879" s="69"/>
      <c r="U879" s="53"/>
      <c r="V879" s="53"/>
      <c r="W879" s="53"/>
      <c r="X879" s="53"/>
      <c r="Y879" s="53"/>
      <c r="Z879" s="53"/>
      <c r="AA879" s="53"/>
      <c r="AB879" s="53"/>
      <c r="AC879" s="53"/>
      <c r="AD879" s="53"/>
      <c r="AE879" s="53"/>
    </row>
    <row r="880" hidden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69"/>
      <c r="L880" s="69"/>
      <c r="M880" s="70"/>
      <c r="N880" s="69"/>
      <c r="O880" s="69"/>
      <c r="P880" s="69"/>
      <c r="Q880" s="69"/>
      <c r="R880" s="69"/>
      <c r="S880" s="69"/>
      <c r="T880" s="69"/>
      <c r="U880" s="53"/>
      <c r="V880" s="53"/>
      <c r="W880" s="53"/>
      <c r="X880" s="53"/>
      <c r="Y880" s="53"/>
      <c r="Z880" s="53"/>
      <c r="AA880" s="53"/>
      <c r="AB880" s="53"/>
      <c r="AC880" s="53"/>
      <c r="AD880" s="53"/>
      <c r="AE880" s="53"/>
    </row>
    <row r="881" hidden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69"/>
      <c r="L881" s="69"/>
      <c r="M881" s="70"/>
      <c r="N881" s="69"/>
      <c r="O881" s="69"/>
      <c r="P881" s="69"/>
      <c r="Q881" s="69"/>
      <c r="R881" s="69"/>
      <c r="S881" s="69"/>
      <c r="T881" s="69"/>
      <c r="U881" s="53"/>
      <c r="V881" s="53"/>
      <c r="W881" s="53"/>
      <c r="X881" s="53"/>
      <c r="Y881" s="53"/>
      <c r="Z881" s="53"/>
      <c r="AA881" s="53"/>
      <c r="AB881" s="53"/>
      <c r="AC881" s="53"/>
      <c r="AD881" s="53"/>
      <c r="AE881" s="53"/>
    </row>
    <row r="882" hidden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69"/>
      <c r="L882" s="69"/>
      <c r="M882" s="70"/>
      <c r="N882" s="69"/>
      <c r="O882" s="69"/>
      <c r="P882" s="69"/>
      <c r="Q882" s="69"/>
      <c r="R882" s="69"/>
      <c r="S882" s="69"/>
      <c r="T882" s="69"/>
      <c r="U882" s="53"/>
      <c r="V882" s="53"/>
      <c r="W882" s="53"/>
      <c r="X882" s="53"/>
      <c r="Y882" s="53"/>
      <c r="Z882" s="53"/>
      <c r="AA882" s="53"/>
      <c r="AB882" s="53"/>
      <c r="AC882" s="53"/>
      <c r="AD882" s="53"/>
      <c r="AE882" s="53"/>
    </row>
    <row r="883" hidden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69"/>
      <c r="L883" s="69"/>
      <c r="M883" s="70"/>
      <c r="N883" s="69"/>
      <c r="O883" s="69"/>
      <c r="P883" s="69"/>
      <c r="Q883" s="69"/>
      <c r="R883" s="69"/>
      <c r="S883" s="69"/>
      <c r="T883" s="69"/>
      <c r="U883" s="53"/>
      <c r="V883" s="53"/>
      <c r="W883" s="53"/>
      <c r="X883" s="53"/>
      <c r="Y883" s="53"/>
      <c r="Z883" s="53"/>
      <c r="AA883" s="53"/>
      <c r="AB883" s="53"/>
      <c r="AC883" s="53"/>
      <c r="AD883" s="53"/>
      <c r="AE883" s="53"/>
    </row>
    <row r="884" hidden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69"/>
      <c r="L884" s="69"/>
      <c r="M884" s="70"/>
      <c r="N884" s="69"/>
      <c r="O884" s="69"/>
      <c r="P884" s="69"/>
      <c r="Q884" s="69"/>
      <c r="R884" s="69"/>
      <c r="S884" s="69"/>
      <c r="T884" s="69"/>
      <c r="U884" s="53"/>
      <c r="V884" s="53"/>
      <c r="W884" s="53"/>
      <c r="X884" s="53"/>
      <c r="Y884" s="53"/>
      <c r="Z884" s="53"/>
      <c r="AA884" s="53"/>
      <c r="AB884" s="53"/>
      <c r="AC884" s="53"/>
      <c r="AD884" s="53"/>
      <c r="AE884" s="53"/>
    </row>
    <row r="885" hidden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69"/>
      <c r="L885" s="69"/>
      <c r="M885" s="70"/>
      <c r="N885" s="69"/>
      <c r="O885" s="69"/>
      <c r="P885" s="69"/>
      <c r="Q885" s="69"/>
      <c r="R885" s="69"/>
      <c r="S885" s="69"/>
      <c r="T885" s="69"/>
      <c r="U885" s="53"/>
      <c r="V885" s="53"/>
      <c r="W885" s="53"/>
      <c r="X885" s="53"/>
      <c r="Y885" s="53"/>
      <c r="Z885" s="53"/>
      <c r="AA885" s="53"/>
      <c r="AB885" s="53"/>
      <c r="AC885" s="53"/>
      <c r="AD885" s="53"/>
      <c r="AE885" s="53"/>
    </row>
    <row r="886" hidden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69"/>
      <c r="L886" s="69"/>
      <c r="M886" s="70"/>
      <c r="N886" s="69"/>
      <c r="O886" s="69"/>
      <c r="P886" s="69"/>
      <c r="Q886" s="69"/>
      <c r="R886" s="69"/>
      <c r="S886" s="69"/>
      <c r="T886" s="69"/>
      <c r="U886" s="53"/>
      <c r="V886" s="53"/>
      <c r="W886" s="53"/>
      <c r="X886" s="53"/>
      <c r="Y886" s="53"/>
      <c r="Z886" s="53"/>
      <c r="AA886" s="53"/>
      <c r="AB886" s="53"/>
      <c r="AC886" s="53"/>
      <c r="AD886" s="53"/>
      <c r="AE886" s="53"/>
    </row>
    <row r="887" hidden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69"/>
      <c r="L887" s="69"/>
      <c r="M887" s="70"/>
      <c r="N887" s="69"/>
      <c r="O887" s="69"/>
      <c r="P887" s="69"/>
      <c r="Q887" s="69"/>
      <c r="R887" s="69"/>
      <c r="S887" s="69"/>
      <c r="T887" s="69"/>
      <c r="U887" s="53"/>
      <c r="V887" s="53"/>
      <c r="W887" s="53"/>
      <c r="X887" s="53"/>
      <c r="Y887" s="53"/>
      <c r="Z887" s="53"/>
      <c r="AA887" s="53"/>
      <c r="AB887" s="53"/>
      <c r="AC887" s="53"/>
      <c r="AD887" s="53"/>
      <c r="AE887" s="53"/>
    </row>
    <row r="888" hidden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69"/>
      <c r="L888" s="69"/>
      <c r="M888" s="70"/>
      <c r="N888" s="69"/>
      <c r="O888" s="69"/>
      <c r="P888" s="69"/>
      <c r="Q888" s="69"/>
      <c r="R888" s="69"/>
      <c r="S888" s="69"/>
      <c r="T888" s="69"/>
      <c r="U888" s="53"/>
      <c r="V888" s="53"/>
      <c r="W888" s="53"/>
      <c r="X888" s="53"/>
      <c r="Y888" s="53"/>
      <c r="Z888" s="53"/>
      <c r="AA888" s="53"/>
      <c r="AB888" s="53"/>
      <c r="AC888" s="53"/>
      <c r="AD888" s="53"/>
      <c r="AE888" s="53"/>
    </row>
    <row r="889" hidden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69"/>
      <c r="L889" s="69"/>
      <c r="M889" s="70"/>
      <c r="N889" s="69"/>
      <c r="O889" s="69"/>
      <c r="P889" s="69"/>
      <c r="Q889" s="69"/>
      <c r="R889" s="69"/>
      <c r="S889" s="69"/>
      <c r="T889" s="69"/>
      <c r="U889" s="53"/>
      <c r="V889" s="53"/>
      <c r="W889" s="53"/>
      <c r="X889" s="53"/>
      <c r="Y889" s="53"/>
      <c r="Z889" s="53"/>
      <c r="AA889" s="53"/>
      <c r="AB889" s="53"/>
      <c r="AC889" s="53"/>
      <c r="AD889" s="53"/>
      <c r="AE889" s="53"/>
    </row>
    <row r="890" hidden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69"/>
      <c r="L890" s="69"/>
      <c r="M890" s="70"/>
      <c r="N890" s="69"/>
      <c r="O890" s="69"/>
      <c r="P890" s="69"/>
      <c r="Q890" s="69"/>
      <c r="R890" s="69"/>
      <c r="S890" s="69"/>
      <c r="T890" s="69"/>
      <c r="U890" s="53"/>
      <c r="V890" s="53"/>
      <c r="W890" s="53"/>
      <c r="X890" s="53"/>
      <c r="Y890" s="53"/>
      <c r="Z890" s="53"/>
      <c r="AA890" s="53"/>
      <c r="AB890" s="53"/>
      <c r="AC890" s="53"/>
      <c r="AD890" s="53"/>
      <c r="AE890" s="53"/>
    </row>
    <row r="891" hidden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69"/>
      <c r="L891" s="69"/>
      <c r="M891" s="70"/>
      <c r="N891" s="69"/>
      <c r="O891" s="69"/>
      <c r="P891" s="69"/>
      <c r="Q891" s="69"/>
      <c r="R891" s="69"/>
      <c r="S891" s="69"/>
      <c r="T891" s="69"/>
      <c r="U891" s="53"/>
      <c r="V891" s="53"/>
      <c r="W891" s="53"/>
      <c r="X891" s="53"/>
      <c r="Y891" s="53"/>
      <c r="Z891" s="53"/>
      <c r="AA891" s="53"/>
      <c r="AB891" s="53"/>
      <c r="AC891" s="53"/>
      <c r="AD891" s="53"/>
      <c r="AE891" s="53"/>
    </row>
    <row r="892" hidden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69"/>
      <c r="L892" s="69"/>
      <c r="M892" s="70"/>
      <c r="N892" s="69"/>
      <c r="O892" s="69"/>
      <c r="P892" s="69"/>
      <c r="Q892" s="69"/>
      <c r="R892" s="69"/>
      <c r="S892" s="69"/>
      <c r="T892" s="69"/>
      <c r="U892" s="53"/>
      <c r="V892" s="53"/>
      <c r="W892" s="53"/>
      <c r="X892" s="53"/>
      <c r="Y892" s="53"/>
      <c r="Z892" s="53"/>
      <c r="AA892" s="53"/>
      <c r="AB892" s="53"/>
      <c r="AC892" s="53"/>
      <c r="AD892" s="53"/>
      <c r="AE892" s="53"/>
    </row>
    <row r="893" hidden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69"/>
      <c r="L893" s="69"/>
      <c r="M893" s="70"/>
      <c r="N893" s="69"/>
      <c r="O893" s="69"/>
      <c r="P893" s="69"/>
      <c r="Q893" s="69"/>
      <c r="R893" s="69"/>
      <c r="S893" s="69"/>
      <c r="T893" s="69"/>
      <c r="U893" s="53"/>
      <c r="V893" s="53"/>
      <c r="W893" s="53"/>
      <c r="X893" s="53"/>
      <c r="Y893" s="53"/>
      <c r="Z893" s="53"/>
      <c r="AA893" s="53"/>
      <c r="AB893" s="53"/>
      <c r="AC893" s="53"/>
      <c r="AD893" s="53"/>
      <c r="AE893" s="53"/>
    </row>
    <row r="894" hidden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69"/>
      <c r="L894" s="69"/>
      <c r="M894" s="70"/>
      <c r="N894" s="69"/>
      <c r="O894" s="69"/>
      <c r="P894" s="69"/>
      <c r="Q894" s="69"/>
      <c r="R894" s="69"/>
      <c r="S894" s="69"/>
      <c r="T894" s="69"/>
      <c r="U894" s="53"/>
      <c r="V894" s="53"/>
      <c r="W894" s="53"/>
      <c r="X894" s="53"/>
      <c r="Y894" s="53"/>
      <c r="Z894" s="53"/>
      <c r="AA894" s="53"/>
      <c r="AB894" s="53"/>
      <c r="AC894" s="53"/>
      <c r="AD894" s="53"/>
      <c r="AE894" s="53"/>
    </row>
    <row r="895" hidden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69"/>
      <c r="L895" s="69"/>
      <c r="M895" s="70"/>
      <c r="N895" s="69"/>
      <c r="O895" s="69"/>
      <c r="P895" s="69"/>
      <c r="Q895" s="69"/>
      <c r="R895" s="69"/>
      <c r="S895" s="69"/>
      <c r="T895" s="69"/>
      <c r="U895" s="53"/>
      <c r="V895" s="53"/>
      <c r="W895" s="53"/>
      <c r="X895" s="53"/>
      <c r="Y895" s="53"/>
      <c r="Z895" s="53"/>
      <c r="AA895" s="53"/>
      <c r="AB895" s="53"/>
      <c r="AC895" s="53"/>
      <c r="AD895" s="53"/>
      <c r="AE895" s="53"/>
    </row>
    <row r="896" hidden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69"/>
      <c r="L896" s="69"/>
      <c r="M896" s="70"/>
      <c r="N896" s="69"/>
      <c r="O896" s="69"/>
      <c r="P896" s="69"/>
      <c r="Q896" s="69"/>
      <c r="R896" s="69"/>
      <c r="S896" s="69"/>
      <c r="T896" s="69"/>
      <c r="U896" s="53"/>
      <c r="V896" s="53"/>
      <c r="W896" s="53"/>
      <c r="X896" s="53"/>
      <c r="Y896" s="53"/>
      <c r="Z896" s="53"/>
      <c r="AA896" s="53"/>
      <c r="AB896" s="53"/>
      <c r="AC896" s="53"/>
      <c r="AD896" s="53"/>
      <c r="AE896" s="53"/>
    </row>
    <row r="897" hidden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69"/>
      <c r="L897" s="69"/>
      <c r="M897" s="70"/>
      <c r="N897" s="69"/>
      <c r="O897" s="69"/>
      <c r="P897" s="69"/>
      <c r="Q897" s="69"/>
      <c r="R897" s="69"/>
      <c r="S897" s="69"/>
      <c r="T897" s="69"/>
      <c r="U897" s="53"/>
      <c r="V897" s="53"/>
      <c r="W897" s="53"/>
      <c r="X897" s="53"/>
      <c r="Y897" s="53"/>
      <c r="Z897" s="53"/>
      <c r="AA897" s="53"/>
      <c r="AB897" s="53"/>
      <c r="AC897" s="53"/>
      <c r="AD897" s="53"/>
      <c r="AE897" s="53"/>
    </row>
    <row r="898" hidden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69"/>
      <c r="L898" s="69"/>
      <c r="M898" s="70"/>
      <c r="N898" s="69"/>
      <c r="O898" s="69"/>
      <c r="P898" s="69"/>
      <c r="Q898" s="69"/>
      <c r="R898" s="69"/>
      <c r="S898" s="69"/>
      <c r="T898" s="69"/>
      <c r="U898" s="53"/>
      <c r="V898" s="53"/>
      <c r="W898" s="53"/>
      <c r="X898" s="53"/>
      <c r="Y898" s="53"/>
      <c r="Z898" s="53"/>
      <c r="AA898" s="53"/>
      <c r="AB898" s="53"/>
      <c r="AC898" s="53"/>
      <c r="AD898" s="53"/>
      <c r="AE898" s="53"/>
    </row>
    <row r="899" hidden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69"/>
      <c r="L899" s="69"/>
      <c r="M899" s="70"/>
      <c r="N899" s="69"/>
      <c r="O899" s="69"/>
      <c r="P899" s="69"/>
      <c r="Q899" s="69"/>
      <c r="R899" s="69"/>
      <c r="S899" s="69"/>
      <c r="T899" s="69"/>
      <c r="U899" s="53"/>
      <c r="V899" s="53"/>
      <c r="W899" s="53"/>
      <c r="X899" s="53"/>
      <c r="Y899" s="53"/>
      <c r="Z899" s="53"/>
      <c r="AA899" s="53"/>
      <c r="AB899" s="53"/>
      <c r="AC899" s="53"/>
      <c r="AD899" s="53"/>
      <c r="AE899" s="53"/>
    </row>
    <row r="900" hidden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69"/>
      <c r="L900" s="69"/>
      <c r="M900" s="70"/>
      <c r="N900" s="69"/>
      <c r="O900" s="69"/>
      <c r="P900" s="69"/>
      <c r="Q900" s="69"/>
      <c r="R900" s="69"/>
      <c r="S900" s="69"/>
      <c r="T900" s="69"/>
      <c r="U900" s="53"/>
      <c r="V900" s="53"/>
      <c r="W900" s="53"/>
      <c r="X900" s="53"/>
      <c r="Y900" s="53"/>
      <c r="Z900" s="53"/>
      <c r="AA900" s="53"/>
      <c r="AB900" s="53"/>
      <c r="AC900" s="53"/>
      <c r="AD900" s="53"/>
      <c r="AE900" s="53"/>
    </row>
    <row r="901" hidden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69"/>
      <c r="L901" s="69"/>
      <c r="M901" s="70"/>
      <c r="N901" s="69"/>
      <c r="O901" s="69"/>
      <c r="P901" s="69"/>
      <c r="Q901" s="69"/>
      <c r="R901" s="69"/>
      <c r="S901" s="69"/>
      <c r="T901" s="69"/>
      <c r="U901" s="53"/>
      <c r="V901" s="53"/>
      <c r="W901" s="53"/>
      <c r="X901" s="53"/>
      <c r="Y901" s="53"/>
      <c r="Z901" s="53"/>
      <c r="AA901" s="53"/>
      <c r="AB901" s="53"/>
      <c r="AC901" s="53"/>
      <c r="AD901" s="53"/>
      <c r="AE901" s="53"/>
    </row>
    <row r="902" hidden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69"/>
      <c r="L902" s="69"/>
      <c r="M902" s="70"/>
      <c r="N902" s="69"/>
      <c r="O902" s="69"/>
      <c r="P902" s="69"/>
      <c r="Q902" s="69"/>
      <c r="R902" s="69"/>
      <c r="S902" s="69"/>
      <c r="T902" s="69"/>
      <c r="U902" s="53"/>
      <c r="V902" s="53"/>
      <c r="W902" s="53"/>
      <c r="X902" s="53"/>
      <c r="Y902" s="53"/>
      <c r="Z902" s="53"/>
      <c r="AA902" s="53"/>
      <c r="AB902" s="53"/>
      <c r="AC902" s="53"/>
      <c r="AD902" s="53"/>
      <c r="AE902" s="53"/>
    </row>
    <row r="903" hidden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69"/>
      <c r="L903" s="69"/>
      <c r="M903" s="70"/>
      <c r="N903" s="69"/>
      <c r="O903" s="69"/>
      <c r="P903" s="69"/>
      <c r="Q903" s="69"/>
      <c r="R903" s="69"/>
      <c r="S903" s="69"/>
      <c r="T903" s="69"/>
      <c r="U903" s="53"/>
      <c r="V903" s="53"/>
      <c r="W903" s="53"/>
      <c r="X903" s="53"/>
      <c r="Y903" s="53"/>
      <c r="Z903" s="53"/>
      <c r="AA903" s="53"/>
      <c r="AB903" s="53"/>
      <c r="AC903" s="53"/>
      <c r="AD903" s="53"/>
      <c r="AE903" s="53"/>
    </row>
    <row r="904" hidden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69"/>
      <c r="L904" s="69"/>
      <c r="M904" s="70"/>
      <c r="N904" s="69"/>
      <c r="O904" s="69"/>
      <c r="P904" s="69"/>
      <c r="Q904" s="69"/>
      <c r="R904" s="69"/>
      <c r="S904" s="69"/>
      <c r="T904" s="69"/>
      <c r="U904" s="53"/>
      <c r="V904" s="53"/>
      <c r="W904" s="53"/>
      <c r="X904" s="53"/>
      <c r="Y904" s="53"/>
      <c r="Z904" s="53"/>
      <c r="AA904" s="53"/>
      <c r="AB904" s="53"/>
      <c r="AC904" s="53"/>
      <c r="AD904" s="53"/>
      <c r="AE904" s="53"/>
    </row>
    <row r="905" hidden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69"/>
      <c r="L905" s="69"/>
      <c r="M905" s="70"/>
      <c r="N905" s="69"/>
      <c r="O905" s="69"/>
      <c r="P905" s="69"/>
      <c r="Q905" s="69"/>
      <c r="R905" s="69"/>
      <c r="S905" s="69"/>
      <c r="T905" s="69"/>
      <c r="U905" s="53"/>
      <c r="V905" s="53"/>
      <c r="W905" s="53"/>
      <c r="X905" s="53"/>
      <c r="Y905" s="53"/>
      <c r="Z905" s="53"/>
      <c r="AA905" s="53"/>
      <c r="AB905" s="53"/>
      <c r="AC905" s="53"/>
      <c r="AD905" s="53"/>
      <c r="AE905" s="53"/>
    </row>
    <row r="906" hidden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69"/>
      <c r="L906" s="69"/>
      <c r="M906" s="70"/>
      <c r="N906" s="69"/>
      <c r="O906" s="69"/>
      <c r="P906" s="69"/>
      <c r="Q906" s="69"/>
      <c r="R906" s="69"/>
      <c r="S906" s="69"/>
      <c r="T906" s="69"/>
      <c r="U906" s="53"/>
      <c r="V906" s="53"/>
      <c r="W906" s="53"/>
      <c r="X906" s="53"/>
      <c r="Y906" s="53"/>
      <c r="Z906" s="53"/>
      <c r="AA906" s="53"/>
      <c r="AB906" s="53"/>
      <c r="AC906" s="53"/>
      <c r="AD906" s="53"/>
      <c r="AE906" s="53"/>
    </row>
    <row r="907" hidden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69"/>
      <c r="L907" s="69"/>
      <c r="M907" s="70"/>
      <c r="N907" s="69"/>
      <c r="O907" s="69"/>
      <c r="P907" s="69"/>
      <c r="Q907" s="69"/>
      <c r="R907" s="69"/>
      <c r="S907" s="69"/>
      <c r="T907" s="69"/>
      <c r="U907" s="53"/>
      <c r="V907" s="53"/>
      <c r="W907" s="53"/>
      <c r="X907" s="53"/>
      <c r="Y907" s="53"/>
      <c r="Z907" s="53"/>
      <c r="AA907" s="53"/>
      <c r="AB907" s="53"/>
      <c r="AC907" s="53"/>
      <c r="AD907" s="53"/>
      <c r="AE907" s="53"/>
    </row>
    <row r="908" hidden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69"/>
      <c r="L908" s="69"/>
      <c r="M908" s="70"/>
      <c r="N908" s="69"/>
      <c r="O908" s="69"/>
      <c r="P908" s="69"/>
      <c r="Q908" s="69"/>
      <c r="R908" s="69"/>
      <c r="S908" s="69"/>
      <c r="T908" s="69"/>
      <c r="U908" s="53"/>
      <c r="V908" s="53"/>
      <c r="W908" s="53"/>
      <c r="X908" s="53"/>
      <c r="Y908" s="53"/>
      <c r="Z908" s="53"/>
      <c r="AA908" s="53"/>
      <c r="AB908" s="53"/>
      <c r="AC908" s="53"/>
      <c r="AD908" s="53"/>
      <c r="AE908" s="53"/>
    </row>
    <row r="909" hidden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69"/>
      <c r="L909" s="69"/>
      <c r="M909" s="70"/>
      <c r="N909" s="69"/>
      <c r="O909" s="69"/>
      <c r="P909" s="69"/>
      <c r="Q909" s="69"/>
      <c r="R909" s="69"/>
      <c r="S909" s="69"/>
      <c r="T909" s="69"/>
      <c r="U909" s="53"/>
      <c r="V909" s="53"/>
      <c r="W909" s="53"/>
      <c r="X909" s="53"/>
      <c r="Y909" s="53"/>
      <c r="Z909" s="53"/>
      <c r="AA909" s="53"/>
      <c r="AB909" s="53"/>
      <c r="AC909" s="53"/>
      <c r="AD909" s="53"/>
      <c r="AE909" s="53"/>
    </row>
    <row r="910" hidden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69"/>
      <c r="L910" s="69"/>
      <c r="M910" s="70"/>
      <c r="N910" s="69"/>
      <c r="O910" s="69"/>
      <c r="P910" s="69"/>
      <c r="Q910" s="69"/>
      <c r="R910" s="69"/>
      <c r="S910" s="69"/>
      <c r="T910" s="69"/>
      <c r="U910" s="53"/>
      <c r="V910" s="53"/>
      <c r="W910" s="53"/>
      <c r="X910" s="53"/>
      <c r="Y910" s="53"/>
      <c r="Z910" s="53"/>
      <c r="AA910" s="53"/>
      <c r="AB910" s="53"/>
      <c r="AC910" s="53"/>
      <c r="AD910" s="53"/>
      <c r="AE910" s="53"/>
    </row>
    <row r="911" hidden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69"/>
      <c r="L911" s="69"/>
      <c r="M911" s="70"/>
      <c r="N911" s="69"/>
      <c r="O911" s="69"/>
      <c r="P911" s="69"/>
      <c r="Q911" s="69"/>
      <c r="R911" s="69"/>
      <c r="S911" s="69"/>
      <c r="T911" s="69"/>
      <c r="U911" s="53"/>
      <c r="V911" s="53"/>
      <c r="W911" s="53"/>
      <c r="X911" s="53"/>
      <c r="Y911" s="53"/>
      <c r="Z911" s="53"/>
      <c r="AA911" s="53"/>
      <c r="AB911" s="53"/>
      <c r="AC911" s="53"/>
      <c r="AD911" s="53"/>
      <c r="AE911" s="53"/>
    </row>
    <row r="912" hidden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69"/>
      <c r="L912" s="69"/>
      <c r="M912" s="70"/>
      <c r="N912" s="69"/>
      <c r="O912" s="69"/>
      <c r="P912" s="69"/>
      <c r="Q912" s="69"/>
      <c r="R912" s="69"/>
      <c r="S912" s="69"/>
      <c r="T912" s="69"/>
      <c r="U912" s="53"/>
      <c r="V912" s="53"/>
      <c r="W912" s="53"/>
      <c r="X912" s="53"/>
      <c r="Y912" s="53"/>
      <c r="Z912" s="53"/>
      <c r="AA912" s="53"/>
      <c r="AB912" s="53"/>
      <c r="AC912" s="53"/>
      <c r="AD912" s="53"/>
      <c r="AE912" s="53"/>
    </row>
    <row r="913" hidden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69"/>
      <c r="L913" s="69"/>
      <c r="M913" s="70"/>
      <c r="N913" s="69"/>
      <c r="O913" s="69"/>
      <c r="P913" s="69"/>
      <c r="Q913" s="69"/>
      <c r="R913" s="69"/>
      <c r="S913" s="69"/>
      <c r="T913" s="69"/>
      <c r="U913" s="53"/>
      <c r="V913" s="53"/>
      <c r="W913" s="53"/>
      <c r="X913" s="53"/>
      <c r="Y913" s="53"/>
      <c r="Z913" s="53"/>
      <c r="AA913" s="53"/>
      <c r="AB913" s="53"/>
      <c r="AC913" s="53"/>
      <c r="AD913" s="53"/>
      <c r="AE913" s="53"/>
    </row>
    <row r="914" hidden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69"/>
      <c r="L914" s="69"/>
      <c r="M914" s="70"/>
      <c r="N914" s="69"/>
      <c r="O914" s="69"/>
      <c r="P914" s="69"/>
      <c r="Q914" s="69"/>
      <c r="R914" s="69"/>
      <c r="S914" s="69"/>
      <c r="T914" s="69"/>
      <c r="U914" s="53"/>
      <c r="V914" s="53"/>
      <c r="W914" s="53"/>
      <c r="X914" s="53"/>
      <c r="Y914" s="53"/>
      <c r="Z914" s="53"/>
      <c r="AA914" s="53"/>
      <c r="AB914" s="53"/>
      <c r="AC914" s="53"/>
      <c r="AD914" s="53"/>
      <c r="AE914" s="53"/>
    </row>
    <row r="915" hidden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69"/>
      <c r="L915" s="69"/>
      <c r="M915" s="70"/>
      <c r="N915" s="69"/>
      <c r="O915" s="69"/>
      <c r="P915" s="69"/>
      <c r="Q915" s="69"/>
      <c r="R915" s="69"/>
      <c r="S915" s="69"/>
      <c r="T915" s="69"/>
      <c r="U915" s="53"/>
      <c r="V915" s="53"/>
      <c r="W915" s="53"/>
      <c r="X915" s="53"/>
      <c r="Y915" s="53"/>
      <c r="Z915" s="53"/>
      <c r="AA915" s="53"/>
      <c r="AB915" s="53"/>
      <c r="AC915" s="53"/>
      <c r="AD915" s="53"/>
      <c r="AE915" s="53"/>
    </row>
    <row r="916" hidden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69"/>
      <c r="L916" s="69"/>
      <c r="M916" s="70"/>
      <c r="N916" s="69"/>
      <c r="O916" s="69"/>
      <c r="P916" s="69"/>
      <c r="Q916" s="69"/>
      <c r="R916" s="69"/>
      <c r="S916" s="69"/>
      <c r="T916" s="69"/>
      <c r="U916" s="53"/>
      <c r="V916" s="53"/>
      <c r="W916" s="53"/>
      <c r="X916" s="53"/>
      <c r="Y916" s="53"/>
      <c r="Z916" s="53"/>
      <c r="AA916" s="53"/>
      <c r="AB916" s="53"/>
      <c r="AC916" s="53"/>
      <c r="AD916" s="53"/>
      <c r="AE916" s="53"/>
    </row>
    <row r="917" hidden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69"/>
      <c r="L917" s="69"/>
      <c r="M917" s="70"/>
      <c r="N917" s="69"/>
      <c r="O917" s="69"/>
      <c r="P917" s="69"/>
      <c r="Q917" s="69"/>
      <c r="R917" s="69"/>
      <c r="S917" s="69"/>
      <c r="T917" s="69"/>
      <c r="U917" s="53"/>
      <c r="V917" s="53"/>
      <c r="W917" s="53"/>
      <c r="X917" s="53"/>
      <c r="Y917" s="53"/>
      <c r="Z917" s="53"/>
      <c r="AA917" s="53"/>
      <c r="AB917" s="53"/>
      <c r="AC917" s="53"/>
      <c r="AD917" s="53"/>
      <c r="AE917" s="53"/>
    </row>
    <row r="918" hidden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69"/>
      <c r="L918" s="69"/>
      <c r="M918" s="70"/>
      <c r="N918" s="69"/>
      <c r="O918" s="69"/>
      <c r="P918" s="69"/>
      <c r="Q918" s="69"/>
      <c r="R918" s="69"/>
      <c r="S918" s="69"/>
      <c r="T918" s="69"/>
      <c r="U918" s="53"/>
      <c r="V918" s="53"/>
      <c r="W918" s="53"/>
      <c r="X918" s="53"/>
      <c r="Y918" s="53"/>
      <c r="Z918" s="53"/>
      <c r="AA918" s="53"/>
      <c r="AB918" s="53"/>
      <c r="AC918" s="53"/>
      <c r="AD918" s="53"/>
      <c r="AE918" s="53"/>
    </row>
    <row r="919" hidden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69"/>
      <c r="L919" s="69"/>
      <c r="M919" s="70"/>
      <c r="N919" s="69"/>
      <c r="O919" s="69"/>
      <c r="P919" s="69"/>
      <c r="Q919" s="69"/>
      <c r="R919" s="69"/>
      <c r="S919" s="69"/>
      <c r="T919" s="69"/>
      <c r="U919" s="53"/>
      <c r="V919" s="53"/>
      <c r="W919" s="53"/>
      <c r="X919" s="53"/>
      <c r="Y919" s="53"/>
      <c r="Z919" s="53"/>
      <c r="AA919" s="53"/>
      <c r="AB919" s="53"/>
      <c r="AC919" s="53"/>
      <c r="AD919" s="53"/>
      <c r="AE919" s="53"/>
    </row>
    <row r="920" hidden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69"/>
      <c r="L920" s="69"/>
      <c r="M920" s="70"/>
      <c r="N920" s="69"/>
      <c r="O920" s="69"/>
      <c r="P920" s="69"/>
      <c r="Q920" s="69"/>
      <c r="R920" s="69"/>
      <c r="S920" s="69"/>
      <c r="T920" s="69"/>
      <c r="U920" s="53"/>
      <c r="V920" s="53"/>
      <c r="W920" s="53"/>
      <c r="X920" s="53"/>
      <c r="Y920" s="53"/>
      <c r="Z920" s="53"/>
      <c r="AA920" s="53"/>
      <c r="AB920" s="53"/>
      <c r="AC920" s="53"/>
      <c r="AD920" s="53"/>
      <c r="AE920" s="53"/>
    </row>
    <row r="921" hidden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69"/>
      <c r="L921" s="69"/>
      <c r="M921" s="70"/>
      <c r="N921" s="69"/>
      <c r="O921" s="69"/>
      <c r="P921" s="69"/>
      <c r="Q921" s="69"/>
      <c r="R921" s="69"/>
      <c r="S921" s="69"/>
      <c r="T921" s="69"/>
      <c r="U921" s="53"/>
      <c r="V921" s="53"/>
      <c r="W921" s="53"/>
      <c r="X921" s="53"/>
      <c r="Y921" s="53"/>
      <c r="Z921" s="53"/>
      <c r="AA921" s="53"/>
      <c r="AB921" s="53"/>
      <c r="AC921" s="53"/>
      <c r="AD921" s="53"/>
      <c r="AE921" s="53"/>
    </row>
    <row r="922" hidden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69"/>
      <c r="L922" s="69"/>
      <c r="M922" s="70"/>
      <c r="N922" s="69"/>
      <c r="O922" s="69"/>
      <c r="P922" s="69"/>
      <c r="Q922" s="69"/>
      <c r="R922" s="69"/>
      <c r="S922" s="69"/>
      <c r="T922" s="69"/>
      <c r="U922" s="53"/>
      <c r="V922" s="53"/>
      <c r="W922" s="53"/>
      <c r="X922" s="53"/>
      <c r="Y922" s="53"/>
      <c r="Z922" s="53"/>
      <c r="AA922" s="53"/>
      <c r="AB922" s="53"/>
      <c r="AC922" s="53"/>
      <c r="AD922" s="53"/>
      <c r="AE922" s="53"/>
    </row>
    <row r="923" hidden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69"/>
      <c r="L923" s="69"/>
      <c r="M923" s="70"/>
      <c r="N923" s="69"/>
      <c r="O923" s="69"/>
      <c r="P923" s="69"/>
      <c r="Q923" s="69"/>
      <c r="R923" s="69"/>
      <c r="S923" s="69"/>
      <c r="T923" s="69"/>
      <c r="U923" s="53"/>
      <c r="V923" s="53"/>
      <c r="W923" s="53"/>
      <c r="X923" s="53"/>
      <c r="Y923" s="53"/>
      <c r="Z923" s="53"/>
      <c r="AA923" s="53"/>
      <c r="AB923" s="53"/>
      <c r="AC923" s="53"/>
      <c r="AD923" s="53"/>
      <c r="AE923" s="53"/>
    </row>
    <row r="924" hidden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69"/>
      <c r="L924" s="69"/>
      <c r="M924" s="70"/>
      <c r="N924" s="69"/>
      <c r="O924" s="69"/>
      <c r="P924" s="69"/>
      <c r="Q924" s="69"/>
      <c r="R924" s="69"/>
      <c r="S924" s="69"/>
      <c r="T924" s="69"/>
      <c r="U924" s="53"/>
      <c r="V924" s="53"/>
      <c r="W924" s="53"/>
      <c r="X924" s="53"/>
      <c r="Y924" s="53"/>
      <c r="Z924" s="53"/>
      <c r="AA924" s="53"/>
      <c r="AB924" s="53"/>
      <c r="AC924" s="53"/>
      <c r="AD924" s="53"/>
      <c r="AE924" s="53"/>
    </row>
    <row r="925" hidden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69"/>
      <c r="L925" s="69"/>
      <c r="M925" s="70"/>
      <c r="N925" s="69"/>
      <c r="O925" s="69"/>
      <c r="P925" s="69"/>
      <c r="Q925" s="69"/>
      <c r="R925" s="69"/>
      <c r="S925" s="69"/>
      <c r="T925" s="69"/>
      <c r="U925" s="53"/>
      <c r="V925" s="53"/>
      <c r="W925" s="53"/>
      <c r="X925" s="53"/>
      <c r="Y925" s="53"/>
      <c r="Z925" s="53"/>
      <c r="AA925" s="53"/>
      <c r="AB925" s="53"/>
      <c r="AC925" s="53"/>
      <c r="AD925" s="53"/>
      <c r="AE925" s="53"/>
    </row>
    <row r="926" hidden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69"/>
      <c r="L926" s="69"/>
      <c r="M926" s="70"/>
      <c r="N926" s="69"/>
      <c r="O926" s="69"/>
      <c r="P926" s="69"/>
      <c r="Q926" s="69"/>
      <c r="R926" s="69"/>
      <c r="S926" s="69"/>
      <c r="T926" s="69"/>
      <c r="U926" s="53"/>
      <c r="V926" s="53"/>
      <c r="W926" s="53"/>
      <c r="X926" s="53"/>
      <c r="Y926" s="53"/>
      <c r="Z926" s="53"/>
      <c r="AA926" s="53"/>
      <c r="AB926" s="53"/>
      <c r="AC926" s="53"/>
      <c r="AD926" s="53"/>
      <c r="AE926" s="53"/>
    </row>
    <row r="927" hidden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69"/>
      <c r="L927" s="69"/>
      <c r="M927" s="70"/>
      <c r="N927" s="69"/>
      <c r="O927" s="69"/>
      <c r="P927" s="69"/>
      <c r="Q927" s="69"/>
      <c r="R927" s="69"/>
      <c r="S927" s="69"/>
      <c r="T927" s="69"/>
      <c r="U927" s="53"/>
      <c r="V927" s="53"/>
      <c r="W927" s="53"/>
      <c r="X927" s="53"/>
      <c r="Y927" s="53"/>
      <c r="Z927" s="53"/>
      <c r="AA927" s="53"/>
      <c r="AB927" s="53"/>
      <c r="AC927" s="53"/>
      <c r="AD927" s="53"/>
      <c r="AE927" s="53"/>
    </row>
    <row r="928" hidden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69"/>
      <c r="L928" s="69"/>
      <c r="M928" s="70"/>
      <c r="N928" s="69"/>
      <c r="O928" s="69"/>
      <c r="P928" s="69"/>
      <c r="Q928" s="69"/>
      <c r="R928" s="69"/>
      <c r="S928" s="69"/>
      <c r="T928" s="69"/>
      <c r="U928" s="53"/>
      <c r="V928" s="53"/>
      <c r="W928" s="53"/>
      <c r="X928" s="53"/>
      <c r="Y928" s="53"/>
      <c r="Z928" s="53"/>
      <c r="AA928" s="53"/>
      <c r="AB928" s="53"/>
      <c r="AC928" s="53"/>
      <c r="AD928" s="53"/>
      <c r="AE928" s="53"/>
    </row>
    <row r="929" hidden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69"/>
      <c r="L929" s="69"/>
      <c r="M929" s="70"/>
      <c r="N929" s="69"/>
      <c r="O929" s="69"/>
      <c r="P929" s="69"/>
      <c r="Q929" s="69"/>
      <c r="R929" s="69"/>
      <c r="S929" s="69"/>
      <c r="T929" s="69"/>
      <c r="U929" s="53"/>
      <c r="V929" s="53"/>
      <c r="W929" s="53"/>
      <c r="X929" s="53"/>
      <c r="Y929" s="53"/>
      <c r="Z929" s="53"/>
      <c r="AA929" s="53"/>
      <c r="AB929" s="53"/>
      <c r="AC929" s="53"/>
      <c r="AD929" s="53"/>
      <c r="AE929" s="53"/>
    </row>
    <row r="930" hidden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69"/>
      <c r="L930" s="69"/>
      <c r="M930" s="70"/>
      <c r="N930" s="69"/>
      <c r="O930" s="69"/>
      <c r="P930" s="69"/>
      <c r="Q930" s="69"/>
      <c r="R930" s="69"/>
      <c r="S930" s="69"/>
      <c r="T930" s="69"/>
      <c r="U930" s="53"/>
      <c r="V930" s="53"/>
      <c r="W930" s="53"/>
      <c r="X930" s="53"/>
      <c r="Y930" s="53"/>
      <c r="Z930" s="53"/>
      <c r="AA930" s="53"/>
      <c r="AB930" s="53"/>
      <c r="AC930" s="53"/>
      <c r="AD930" s="53"/>
      <c r="AE930" s="53"/>
    </row>
    <row r="931" hidden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69"/>
      <c r="L931" s="69"/>
      <c r="M931" s="70"/>
      <c r="N931" s="69"/>
      <c r="O931" s="69"/>
      <c r="P931" s="69"/>
      <c r="Q931" s="69"/>
      <c r="R931" s="69"/>
      <c r="S931" s="69"/>
      <c r="T931" s="69"/>
      <c r="U931" s="53"/>
      <c r="V931" s="53"/>
      <c r="W931" s="53"/>
      <c r="X931" s="53"/>
      <c r="Y931" s="53"/>
      <c r="Z931" s="53"/>
      <c r="AA931" s="53"/>
      <c r="AB931" s="53"/>
      <c r="AC931" s="53"/>
      <c r="AD931" s="53"/>
      <c r="AE931" s="53"/>
    </row>
    <row r="932" hidden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69"/>
      <c r="L932" s="69"/>
      <c r="M932" s="70"/>
      <c r="N932" s="69"/>
      <c r="O932" s="69"/>
      <c r="P932" s="69"/>
      <c r="Q932" s="69"/>
      <c r="R932" s="69"/>
      <c r="S932" s="69"/>
      <c r="T932" s="69"/>
      <c r="U932" s="53"/>
      <c r="V932" s="53"/>
      <c r="W932" s="53"/>
      <c r="X932" s="53"/>
      <c r="Y932" s="53"/>
      <c r="Z932" s="53"/>
      <c r="AA932" s="53"/>
      <c r="AB932" s="53"/>
      <c r="AC932" s="53"/>
      <c r="AD932" s="53"/>
      <c r="AE932" s="53"/>
    </row>
    <row r="933" hidden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69"/>
      <c r="L933" s="69"/>
      <c r="M933" s="70"/>
      <c r="N933" s="69"/>
      <c r="O933" s="69"/>
      <c r="P933" s="69"/>
      <c r="Q933" s="69"/>
      <c r="R933" s="69"/>
      <c r="S933" s="69"/>
      <c r="T933" s="69"/>
      <c r="U933" s="53"/>
      <c r="V933" s="53"/>
      <c r="W933" s="53"/>
      <c r="X933" s="53"/>
      <c r="Y933" s="53"/>
      <c r="Z933" s="53"/>
      <c r="AA933" s="53"/>
      <c r="AB933" s="53"/>
      <c r="AC933" s="53"/>
      <c r="AD933" s="53"/>
      <c r="AE933" s="53"/>
    </row>
    <row r="934" hidden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69"/>
      <c r="L934" s="69"/>
      <c r="M934" s="70"/>
      <c r="N934" s="69"/>
      <c r="O934" s="69"/>
      <c r="P934" s="69"/>
      <c r="Q934" s="69"/>
      <c r="R934" s="69"/>
      <c r="S934" s="69"/>
      <c r="T934" s="69"/>
      <c r="U934" s="53"/>
      <c r="V934" s="53"/>
      <c r="W934" s="53"/>
      <c r="X934" s="53"/>
      <c r="Y934" s="53"/>
      <c r="Z934" s="53"/>
      <c r="AA934" s="53"/>
      <c r="AB934" s="53"/>
      <c r="AC934" s="53"/>
      <c r="AD934" s="53"/>
      <c r="AE934" s="53"/>
    </row>
    <row r="935" hidden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69"/>
      <c r="L935" s="69"/>
      <c r="M935" s="70"/>
      <c r="N935" s="69"/>
      <c r="O935" s="69"/>
      <c r="P935" s="69"/>
      <c r="Q935" s="69"/>
      <c r="R935" s="69"/>
      <c r="S935" s="69"/>
      <c r="T935" s="69"/>
      <c r="U935" s="53"/>
      <c r="V935" s="53"/>
      <c r="W935" s="53"/>
      <c r="X935" s="53"/>
      <c r="Y935" s="53"/>
      <c r="Z935" s="53"/>
      <c r="AA935" s="53"/>
      <c r="AB935" s="53"/>
      <c r="AC935" s="53"/>
      <c r="AD935" s="53"/>
      <c r="AE935" s="53"/>
    </row>
    <row r="936" hidden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69"/>
      <c r="L936" s="69"/>
      <c r="M936" s="70"/>
      <c r="N936" s="69"/>
      <c r="O936" s="69"/>
      <c r="P936" s="69"/>
      <c r="Q936" s="69"/>
      <c r="R936" s="69"/>
      <c r="S936" s="69"/>
      <c r="T936" s="69"/>
      <c r="U936" s="53"/>
      <c r="V936" s="53"/>
      <c r="W936" s="53"/>
      <c r="X936" s="53"/>
      <c r="Y936" s="53"/>
      <c r="Z936" s="53"/>
      <c r="AA936" s="53"/>
      <c r="AB936" s="53"/>
      <c r="AC936" s="53"/>
      <c r="AD936" s="53"/>
      <c r="AE936" s="53"/>
    </row>
    <row r="937" hidden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69"/>
      <c r="L937" s="69"/>
      <c r="M937" s="70"/>
      <c r="N937" s="69"/>
      <c r="O937" s="69"/>
      <c r="P937" s="69"/>
      <c r="Q937" s="69"/>
      <c r="R937" s="69"/>
      <c r="S937" s="69"/>
      <c r="T937" s="69"/>
      <c r="U937" s="53"/>
      <c r="V937" s="53"/>
      <c r="W937" s="53"/>
      <c r="X937" s="53"/>
      <c r="Y937" s="53"/>
      <c r="Z937" s="53"/>
      <c r="AA937" s="53"/>
      <c r="AB937" s="53"/>
      <c r="AC937" s="53"/>
      <c r="AD937" s="53"/>
      <c r="AE937" s="53"/>
    </row>
    <row r="938" hidden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69"/>
      <c r="L938" s="69"/>
      <c r="M938" s="70"/>
      <c r="N938" s="69"/>
      <c r="O938" s="69"/>
      <c r="P938" s="69"/>
      <c r="Q938" s="69"/>
      <c r="R938" s="69"/>
      <c r="S938" s="69"/>
      <c r="T938" s="69"/>
      <c r="U938" s="53"/>
      <c r="V938" s="53"/>
      <c r="W938" s="53"/>
      <c r="X938" s="53"/>
      <c r="Y938" s="53"/>
      <c r="Z938" s="53"/>
      <c r="AA938" s="53"/>
      <c r="AB938" s="53"/>
      <c r="AC938" s="53"/>
      <c r="AD938" s="53"/>
      <c r="AE938" s="53"/>
    </row>
    <row r="939" hidden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69"/>
      <c r="L939" s="69"/>
      <c r="M939" s="70"/>
      <c r="N939" s="69"/>
      <c r="O939" s="69"/>
      <c r="P939" s="69"/>
      <c r="Q939" s="69"/>
      <c r="R939" s="69"/>
      <c r="S939" s="69"/>
      <c r="T939" s="69"/>
      <c r="U939" s="53"/>
      <c r="V939" s="53"/>
      <c r="W939" s="53"/>
      <c r="X939" s="53"/>
      <c r="Y939" s="53"/>
      <c r="Z939" s="53"/>
      <c r="AA939" s="53"/>
      <c r="AB939" s="53"/>
      <c r="AC939" s="53"/>
      <c r="AD939" s="53"/>
      <c r="AE939" s="53"/>
    </row>
    <row r="940" hidden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69"/>
      <c r="L940" s="69"/>
      <c r="M940" s="70"/>
      <c r="N940" s="69"/>
      <c r="O940" s="69"/>
      <c r="P940" s="69"/>
      <c r="Q940" s="69"/>
      <c r="R940" s="69"/>
      <c r="S940" s="69"/>
      <c r="T940" s="69"/>
      <c r="U940" s="53"/>
      <c r="V940" s="53"/>
      <c r="W940" s="53"/>
      <c r="X940" s="53"/>
      <c r="Y940" s="53"/>
      <c r="Z940" s="53"/>
      <c r="AA940" s="53"/>
      <c r="AB940" s="53"/>
      <c r="AC940" s="53"/>
      <c r="AD940" s="53"/>
      <c r="AE940" s="53"/>
    </row>
    <row r="941" hidden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69"/>
      <c r="L941" s="69"/>
      <c r="M941" s="70"/>
      <c r="N941" s="69"/>
      <c r="O941" s="69"/>
      <c r="P941" s="69"/>
      <c r="Q941" s="69"/>
      <c r="R941" s="69"/>
      <c r="S941" s="69"/>
      <c r="T941" s="69"/>
      <c r="U941" s="53"/>
      <c r="V941" s="53"/>
      <c r="W941" s="53"/>
      <c r="X941" s="53"/>
      <c r="Y941" s="53"/>
      <c r="Z941" s="53"/>
      <c r="AA941" s="53"/>
      <c r="AB941" s="53"/>
      <c r="AC941" s="53"/>
      <c r="AD941" s="53"/>
      <c r="AE941" s="53"/>
    </row>
    <row r="942" hidden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69"/>
      <c r="L942" s="69"/>
      <c r="M942" s="70"/>
      <c r="N942" s="69"/>
      <c r="O942" s="69"/>
      <c r="P942" s="69"/>
      <c r="Q942" s="69"/>
      <c r="R942" s="69"/>
      <c r="S942" s="69"/>
      <c r="T942" s="69"/>
      <c r="U942" s="53"/>
      <c r="V942" s="53"/>
      <c r="W942" s="53"/>
      <c r="X942" s="53"/>
      <c r="Y942" s="53"/>
      <c r="Z942" s="53"/>
      <c r="AA942" s="53"/>
      <c r="AB942" s="53"/>
      <c r="AC942" s="53"/>
      <c r="AD942" s="53"/>
      <c r="AE942" s="53"/>
    </row>
    <row r="943" hidden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69"/>
      <c r="L943" s="69"/>
      <c r="M943" s="70"/>
      <c r="N943" s="69"/>
      <c r="O943" s="69"/>
      <c r="P943" s="69"/>
      <c r="Q943" s="69"/>
      <c r="R943" s="69"/>
      <c r="S943" s="69"/>
      <c r="T943" s="69"/>
      <c r="U943" s="53"/>
      <c r="V943" s="53"/>
      <c r="W943" s="53"/>
      <c r="X943" s="53"/>
      <c r="Y943" s="53"/>
      <c r="Z943" s="53"/>
      <c r="AA943" s="53"/>
      <c r="AB943" s="53"/>
      <c r="AC943" s="53"/>
      <c r="AD943" s="53"/>
      <c r="AE943" s="53"/>
    </row>
    <row r="944" hidden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69"/>
      <c r="L944" s="69"/>
      <c r="M944" s="70"/>
      <c r="N944" s="69"/>
      <c r="O944" s="69"/>
      <c r="P944" s="69"/>
      <c r="Q944" s="69"/>
      <c r="R944" s="69"/>
      <c r="S944" s="69"/>
      <c r="T944" s="69"/>
      <c r="U944" s="53"/>
      <c r="V944" s="53"/>
      <c r="W944" s="53"/>
      <c r="X944" s="53"/>
      <c r="Y944" s="53"/>
      <c r="Z944" s="53"/>
      <c r="AA944" s="53"/>
      <c r="AB944" s="53"/>
      <c r="AC944" s="53"/>
      <c r="AD944" s="53"/>
      <c r="AE944" s="53"/>
    </row>
    <row r="945" hidden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69"/>
      <c r="L945" s="69"/>
      <c r="M945" s="70"/>
      <c r="N945" s="69"/>
      <c r="O945" s="69"/>
      <c r="P945" s="69"/>
      <c r="Q945" s="69"/>
      <c r="R945" s="69"/>
      <c r="S945" s="69"/>
      <c r="T945" s="69"/>
      <c r="U945" s="53"/>
      <c r="V945" s="53"/>
      <c r="W945" s="53"/>
      <c r="X945" s="53"/>
      <c r="Y945" s="53"/>
      <c r="Z945" s="53"/>
      <c r="AA945" s="53"/>
      <c r="AB945" s="53"/>
      <c r="AC945" s="53"/>
      <c r="AD945" s="53"/>
      <c r="AE945" s="53"/>
    </row>
    <row r="946" hidden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69"/>
      <c r="L946" s="69"/>
      <c r="M946" s="70"/>
      <c r="N946" s="69"/>
      <c r="O946" s="69"/>
      <c r="P946" s="69"/>
      <c r="Q946" s="69"/>
      <c r="R946" s="69"/>
      <c r="S946" s="69"/>
      <c r="T946" s="69"/>
      <c r="U946" s="53"/>
      <c r="V946" s="53"/>
      <c r="W946" s="53"/>
      <c r="X946" s="53"/>
      <c r="Y946" s="53"/>
      <c r="Z946" s="53"/>
      <c r="AA946" s="53"/>
      <c r="AB946" s="53"/>
      <c r="AC946" s="53"/>
      <c r="AD946" s="53"/>
      <c r="AE946" s="53"/>
    </row>
    <row r="947" hidden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69"/>
      <c r="L947" s="69"/>
      <c r="M947" s="70"/>
      <c r="N947" s="69"/>
      <c r="O947" s="69"/>
      <c r="P947" s="69"/>
      <c r="Q947" s="69"/>
      <c r="R947" s="69"/>
      <c r="S947" s="69"/>
      <c r="T947" s="69"/>
      <c r="U947" s="53"/>
      <c r="V947" s="53"/>
      <c r="W947" s="53"/>
      <c r="X947" s="53"/>
      <c r="Y947" s="53"/>
      <c r="Z947" s="53"/>
      <c r="AA947" s="53"/>
      <c r="AB947" s="53"/>
      <c r="AC947" s="53"/>
      <c r="AD947" s="53"/>
      <c r="AE947" s="53"/>
    </row>
    <row r="948" hidden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69"/>
      <c r="L948" s="69"/>
      <c r="M948" s="70"/>
      <c r="N948" s="69"/>
      <c r="O948" s="69"/>
      <c r="P948" s="69"/>
      <c r="Q948" s="69"/>
      <c r="R948" s="69"/>
      <c r="S948" s="69"/>
      <c r="T948" s="69"/>
      <c r="U948" s="53"/>
      <c r="V948" s="53"/>
      <c r="W948" s="53"/>
      <c r="X948" s="53"/>
      <c r="Y948" s="53"/>
      <c r="Z948" s="53"/>
      <c r="AA948" s="53"/>
      <c r="AB948" s="53"/>
      <c r="AC948" s="53"/>
      <c r="AD948" s="53"/>
      <c r="AE948" s="53"/>
    </row>
    <row r="949" hidden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69"/>
      <c r="L949" s="69"/>
      <c r="M949" s="70"/>
      <c r="N949" s="69"/>
      <c r="O949" s="69"/>
      <c r="P949" s="69"/>
      <c r="Q949" s="69"/>
      <c r="R949" s="69"/>
      <c r="S949" s="69"/>
      <c r="T949" s="69"/>
      <c r="U949" s="53"/>
      <c r="V949" s="53"/>
      <c r="W949" s="53"/>
      <c r="X949" s="53"/>
      <c r="Y949" s="53"/>
      <c r="Z949" s="53"/>
      <c r="AA949" s="53"/>
      <c r="AB949" s="53"/>
      <c r="AC949" s="53"/>
      <c r="AD949" s="53"/>
      <c r="AE949" s="53"/>
    </row>
    <row r="950" hidden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69"/>
      <c r="L950" s="69"/>
      <c r="M950" s="70"/>
      <c r="N950" s="69"/>
      <c r="O950" s="69"/>
      <c r="P950" s="69"/>
      <c r="Q950" s="69"/>
      <c r="R950" s="69"/>
      <c r="S950" s="69"/>
      <c r="T950" s="69"/>
      <c r="U950" s="53"/>
      <c r="V950" s="53"/>
      <c r="W950" s="53"/>
      <c r="X950" s="53"/>
      <c r="Y950" s="53"/>
      <c r="Z950" s="53"/>
      <c r="AA950" s="53"/>
      <c r="AB950" s="53"/>
      <c r="AC950" s="53"/>
      <c r="AD950" s="53"/>
      <c r="AE950" s="53"/>
    </row>
    <row r="951" hidden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69"/>
      <c r="L951" s="69"/>
      <c r="M951" s="70"/>
      <c r="N951" s="69"/>
      <c r="O951" s="69"/>
      <c r="P951" s="69"/>
      <c r="Q951" s="69"/>
      <c r="R951" s="69"/>
      <c r="S951" s="69"/>
      <c r="T951" s="69"/>
      <c r="U951" s="53"/>
      <c r="V951" s="53"/>
      <c r="W951" s="53"/>
      <c r="X951" s="53"/>
      <c r="Y951" s="53"/>
      <c r="Z951" s="53"/>
      <c r="AA951" s="53"/>
      <c r="AB951" s="53"/>
      <c r="AC951" s="53"/>
      <c r="AD951" s="53"/>
      <c r="AE951" s="53"/>
    </row>
    <row r="952" hidden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69"/>
      <c r="L952" s="69"/>
      <c r="M952" s="70"/>
      <c r="N952" s="69"/>
      <c r="O952" s="69"/>
      <c r="P952" s="69"/>
      <c r="Q952" s="69"/>
      <c r="R952" s="69"/>
      <c r="S952" s="69"/>
      <c r="T952" s="69"/>
      <c r="U952" s="53"/>
      <c r="V952" s="53"/>
      <c r="W952" s="53"/>
      <c r="X952" s="53"/>
      <c r="Y952" s="53"/>
      <c r="Z952" s="53"/>
      <c r="AA952" s="53"/>
      <c r="AB952" s="53"/>
      <c r="AC952" s="53"/>
      <c r="AD952" s="53"/>
      <c r="AE952" s="53"/>
    </row>
    <row r="953" hidden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69"/>
      <c r="L953" s="69"/>
      <c r="M953" s="70"/>
      <c r="N953" s="69"/>
      <c r="O953" s="69"/>
      <c r="P953" s="69"/>
      <c r="Q953" s="69"/>
      <c r="R953" s="69"/>
      <c r="S953" s="69"/>
      <c r="T953" s="69"/>
      <c r="U953" s="53"/>
      <c r="V953" s="53"/>
      <c r="W953" s="53"/>
      <c r="X953" s="53"/>
      <c r="Y953" s="53"/>
      <c r="Z953" s="53"/>
      <c r="AA953" s="53"/>
      <c r="AB953" s="53"/>
      <c r="AC953" s="53"/>
      <c r="AD953" s="53"/>
      <c r="AE953" s="53"/>
    </row>
    <row r="954" hidden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69"/>
      <c r="L954" s="69"/>
      <c r="M954" s="70"/>
      <c r="N954" s="69"/>
      <c r="O954" s="69"/>
      <c r="P954" s="69"/>
      <c r="Q954" s="69"/>
      <c r="R954" s="69"/>
      <c r="S954" s="69"/>
      <c r="T954" s="69"/>
      <c r="U954" s="53"/>
      <c r="V954" s="53"/>
      <c r="W954" s="53"/>
      <c r="X954" s="53"/>
      <c r="Y954" s="53"/>
      <c r="Z954" s="53"/>
      <c r="AA954" s="53"/>
      <c r="AB954" s="53"/>
      <c r="AC954" s="53"/>
      <c r="AD954" s="53"/>
      <c r="AE954" s="53"/>
    </row>
    <row r="955" hidden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69"/>
      <c r="L955" s="69"/>
      <c r="M955" s="70"/>
      <c r="N955" s="69"/>
      <c r="O955" s="69"/>
      <c r="P955" s="69"/>
      <c r="Q955" s="69"/>
      <c r="R955" s="69"/>
      <c r="S955" s="69"/>
      <c r="T955" s="69"/>
      <c r="U955" s="53"/>
      <c r="V955" s="53"/>
      <c r="W955" s="53"/>
      <c r="X955" s="53"/>
      <c r="Y955" s="53"/>
      <c r="Z955" s="53"/>
      <c r="AA955" s="53"/>
      <c r="AB955" s="53"/>
      <c r="AC955" s="53"/>
      <c r="AD955" s="53"/>
      <c r="AE955" s="53"/>
    </row>
    <row r="956" hidden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69"/>
      <c r="L956" s="69"/>
      <c r="M956" s="70"/>
      <c r="N956" s="69"/>
      <c r="O956" s="69"/>
      <c r="P956" s="69"/>
      <c r="Q956" s="69"/>
      <c r="R956" s="69"/>
      <c r="S956" s="69"/>
      <c r="T956" s="69"/>
      <c r="U956" s="53"/>
      <c r="V956" s="53"/>
      <c r="W956" s="53"/>
      <c r="X956" s="53"/>
      <c r="Y956" s="53"/>
      <c r="Z956" s="53"/>
      <c r="AA956" s="53"/>
      <c r="AB956" s="53"/>
      <c r="AC956" s="53"/>
      <c r="AD956" s="53"/>
      <c r="AE956" s="53"/>
    </row>
    <row r="957" hidden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69"/>
      <c r="L957" s="69"/>
      <c r="M957" s="70"/>
      <c r="N957" s="69"/>
      <c r="O957" s="69"/>
      <c r="P957" s="69"/>
      <c r="Q957" s="69"/>
      <c r="R957" s="69"/>
      <c r="S957" s="69"/>
      <c r="T957" s="69"/>
      <c r="U957" s="53"/>
      <c r="V957" s="53"/>
      <c r="W957" s="53"/>
      <c r="X957" s="53"/>
      <c r="Y957" s="53"/>
      <c r="Z957" s="53"/>
      <c r="AA957" s="53"/>
      <c r="AB957" s="53"/>
      <c r="AC957" s="53"/>
      <c r="AD957" s="53"/>
      <c r="AE957" s="53"/>
    </row>
    <row r="958" hidden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69"/>
      <c r="L958" s="69"/>
      <c r="M958" s="70"/>
      <c r="N958" s="69"/>
      <c r="O958" s="69"/>
      <c r="P958" s="69"/>
      <c r="Q958" s="69"/>
      <c r="R958" s="69"/>
      <c r="S958" s="69"/>
      <c r="T958" s="69"/>
      <c r="U958" s="53"/>
      <c r="V958" s="53"/>
      <c r="W958" s="53"/>
      <c r="X958" s="53"/>
      <c r="Y958" s="53"/>
      <c r="Z958" s="53"/>
      <c r="AA958" s="53"/>
      <c r="AB958" s="53"/>
      <c r="AC958" s="53"/>
      <c r="AD958" s="53"/>
      <c r="AE958" s="53"/>
    </row>
    <row r="959" hidden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69"/>
      <c r="L959" s="69"/>
      <c r="M959" s="70"/>
      <c r="N959" s="69"/>
      <c r="O959" s="69"/>
      <c r="P959" s="69"/>
      <c r="Q959" s="69"/>
      <c r="R959" s="69"/>
      <c r="S959" s="69"/>
      <c r="T959" s="69"/>
      <c r="U959" s="53"/>
      <c r="V959" s="53"/>
      <c r="W959" s="53"/>
      <c r="X959" s="53"/>
      <c r="Y959" s="53"/>
      <c r="Z959" s="53"/>
      <c r="AA959" s="53"/>
      <c r="AB959" s="53"/>
      <c r="AC959" s="53"/>
      <c r="AD959" s="53"/>
      <c r="AE959" s="53"/>
    </row>
    <row r="960" hidden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69"/>
      <c r="L960" s="69"/>
      <c r="M960" s="70"/>
      <c r="N960" s="69"/>
      <c r="O960" s="69"/>
      <c r="P960" s="69"/>
      <c r="Q960" s="69"/>
      <c r="R960" s="69"/>
      <c r="S960" s="69"/>
      <c r="T960" s="69"/>
      <c r="U960" s="53"/>
      <c r="V960" s="53"/>
      <c r="W960" s="53"/>
      <c r="X960" s="53"/>
      <c r="Y960" s="53"/>
      <c r="Z960" s="53"/>
      <c r="AA960" s="53"/>
      <c r="AB960" s="53"/>
      <c r="AC960" s="53"/>
      <c r="AD960" s="53"/>
      <c r="AE960" s="53"/>
    </row>
    <row r="961" hidden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69"/>
      <c r="L961" s="69"/>
      <c r="M961" s="70"/>
      <c r="N961" s="69"/>
      <c r="O961" s="69"/>
      <c r="P961" s="69"/>
      <c r="Q961" s="69"/>
      <c r="R961" s="69"/>
      <c r="S961" s="69"/>
      <c r="T961" s="69"/>
      <c r="U961" s="53"/>
      <c r="V961" s="53"/>
      <c r="W961" s="53"/>
      <c r="X961" s="53"/>
      <c r="Y961" s="53"/>
      <c r="Z961" s="53"/>
      <c r="AA961" s="53"/>
      <c r="AB961" s="53"/>
      <c r="AC961" s="53"/>
      <c r="AD961" s="53"/>
      <c r="AE961" s="53"/>
    </row>
    <row r="962" hidden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69"/>
      <c r="L962" s="69"/>
      <c r="M962" s="70"/>
      <c r="N962" s="69"/>
      <c r="O962" s="69"/>
      <c r="P962" s="69"/>
      <c r="Q962" s="69"/>
      <c r="R962" s="69"/>
      <c r="S962" s="69"/>
      <c r="T962" s="69"/>
      <c r="U962" s="53"/>
      <c r="V962" s="53"/>
      <c r="W962" s="53"/>
      <c r="X962" s="53"/>
      <c r="Y962" s="53"/>
      <c r="Z962" s="53"/>
      <c r="AA962" s="53"/>
      <c r="AB962" s="53"/>
      <c r="AC962" s="53"/>
      <c r="AD962" s="53"/>
      <c r="AE962" s="53"/>
    </row>
    <row r="963" hidden="1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69"/>
      <c r="L963" s="69"/>
      <c r="M963" s="70"/>
      <c r="N963" s="69"/>
      <c r="O963" s="69"/>
      <c r="P963" s="69"/>
      <c r="Q963" s="69"/>
      <c r="R963" s="69"/>
      <c r="S963" s="69"/>
      <c r="T963" s="69"/>
      <c r="U963" s="53"/>
      <c r="V963" s="53"/>
      <c r="W963" s="53"/>
      <c r="X963" s="53"/>
      <c r="Y963" s="53"/>
      <c r="Z963" s="53"/>
      <c r="AA963" s="53"/>
      <c r="AB963" s="53"/>
      <c r="AC963" s="53"/>
      <c r="AD963" s="53"/>
      <c r="AE963" s="53"/>
    </row>
    <row r="964" hidden="1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69"/>
      <c r="L964" s="69"/>
      <c r="M964" s="70"/>
      <c r="N964" s="69"/>
      <c r="O964" s="69"/>
      <c r="P964" s="69"/>
      <c r="Q964" s="69"/>
      <c r="R964" s="69"/>
      <c r="S964" s="69"/>
      <c r="T964" s="69"/>
      <c r="U964" s="53"/>
      <c r="V964" s="53"/>
      <c r="W964" s="53"/>
      <c r="X964" s="53"/>
      <c r="Y964" s="53"/>
      <c r="Z964" s="53"/>
      <c r="AA964" s="53"/>
      <c r="AB964" s="53"/>
      <c r="AC964" s="53"/>
      <c r="AD964" s="53"/>
      <c r="AE964" s="53"/>
    </row>
    <row r="965" hidden="1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69"/>
      <c r="L965" s="69"/>
      <c r="M965" s="70"/>
      <c r="N965" s="69"/>
      <c r="O965" s="69"/>
      <c r="P965" s="69"/>
      <c r="Q965" s="69"/>
      <c r="R965" s="69"/>
      <c r="S965" s="69"/>
      <c r="T965" s="69"/>
      <c r="U965" s="53"/>
      <c r="V965" s="53"/>
      <c r="W965" s="53"/>
      <c r="X965" s="53"/>
      <c r="Y965" s="53"/>
      <c r="Z965" s="53"/>
      <c r="AA965" s="53"/>
      <c r="AB965" s="53"/>
      <c r="AC965" s="53"/>
      <c r="AD965" s="53"/>
      <c r="AE965" s="53"/>
    </row>
    <row r="966" hidden="1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69"/>
      <c r="L966" s="69"/>
      <c r="M966" s="70"/>
      <c r="N966" s="69"/>
      <c r="O966" s="69"/>
      <c r="P966" s="69"/>
      <c r="Q966" s="69"/>
      <c r="R966" s="69"/>
      <c r="S966" s="69"/>
      <c r="T966" s="69"/>
      <c r="U966" s="53"/>
      <c r="V966" s="53"/>
      <c r="W966" s="53"/>
      <c r="X966" s="53"/>
      <c r="Y966" s="53"/>
      <c r="Z966" s="53"/>
      <c r="AA966" s="53"/>
      <c r="AB966" s="53"/>
      <c r="AC966" s="53"/>
      <c r="AD966" s="53"/>
      <c r="AE966" s="53"/>
    </row>
    <row r="967" hidden="1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69"/>
      <c r="L967" s="69"/>
      <c r="M967" s="70"/>
      <c r="N967" s="69"/>
      <c r="O967" s="69"/>
      <c r="P967" s="69"/>
      <c r="Q967" s="69"/>
      <c r="R967" s="69"/>
      <c r="S967" s="69"/>
      <c r="T967" s="69"/>
      <c r="U967" s="53"/>
      <c r="V967" s="53"/>
      <c r="W967" s="53"/>
      <c r="X967" s="53"/>
      <c r="Y967" s="53"/>
      <c r="Z967" s="53"/>
      <c r="AA967" s="53"/>
      <c r="AB967" s="53"/>
      <c r="AC967" s="53"/>
      <c r="AD967" s="53"/>
      <c r="AE967" s="53"/>
    </row>
    <row r="968" hidden="1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69"/>
      <c r="L968" s="69"/>
      <c r="M968" s="70"/>
      <c r="N968" s="69"/>
      <c r="O968" s="69"/>
      <c r="P968" s="69"/>
      <c r="Q968" s="69"/>
      <c r="R968" s="69"/>
      <c r="S968" s="69"/>
      <c r="T968" s="69"/>
      <c r="U968" s="53"/>
      <c r="V968" s="53"/>
      <c r="W968" s="53"/>
      <c r="X968" s="53"/>
      <c r="Y968" s="53"/>
      <c r="Z968" s="53"/>
      <c r="AA968" s="53"/>
      <c r="AB968" s="53"/>
      <c r="AC968" s="53"/>
      <c r="AD968" s="53"/>
      <c r="AE968" s="53"/>
    </row>
    <row r="969" hidden="1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69"/>
      <c r="L969" s="69"/>
      <c r="M969" s="70"/>
      <c r="N969" s="69"/>
      <c r="O969" s="69"/>
      <c r="P969" s="69"/>
      <c r="Q969" s="69"/>
      <c r="R969" s="69"/>
      <c r="S969" s="69"/>
      <c r="T969" s="69"/>
      <c r="U969" s="53"/>
      <c r="V969" s="53"/>
      <c r="W969" s="53"/>
      <c r="X969" s="53"/>
      <c r="Y969" s="53"/>
      <c r="Z969" s="53"/>
      <c r="AA969" s="53"/>
      <c r="AB969" s="53"/>
      <c r="AC969" s="53"/>
      <c r="AD969" s="53"/>
      <c r="AE969" s="53"/>
    </row>
    <row r="970" hidden="1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69"/>
      <c r="L970" s="69"/>
      <c r="M970" s="70"/>
      <c r="N970" s="69"/>
      <c r="O970" s="69"/>
      <c r="P970" s="69"/>
      <c r="Q970" s="69"/>
      <c r="R970" s="69"/>
      <c r="S970" s="69"/>
      <c r="T970" s="69"/>
      <c r="U970" s="53"/>
      <c r="V970" s="53"/>
      <c r="W970" s="53"/>
      <c r="X970" s="53"/>
      <c r="Y970" s="53"/>
      <c r="Z970" s="53"/>
      <c r="AA970" s="53"/>
      <c r="AB970" s="53"/>
      <c r="AC970" s="53"/>
      <c r="AD970" s="53"/>
      <c r="AE970" s="53"/>
    </row>
    <row r="971" hidden="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69"/>
      <c r="L971" s="69"/>
      <c r="M971" s="70"/>
      <c r="N971" s="69"/>
      <c r="O971" s="69"/>
      <c r="P971" s="69"/>
      <c r="Q971" s="69"/>
      <c r="R971" s="69"/>
      <c r="S971" s="69"/>
      <c r="T971" s="69"/>
      <c r="U971" s="53"/>
      <c r="V971" s="53"/>
      <c r="W971" s="53"/>
      <c r="X971" s="53"/>
      <c r="Y971" s="53"/>
      <c r="Z971" s="53"/>
      <c r="AA971" s="53"/>
      <c r="AB971" s="53"/>
      <c r="AC971" s="53"/>
      <c r="AD971" s="53"/>
      <c r="AE971" s="53"/>
    </row>
    <row r="972" hidden="1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69"/>
      <c r="L972" s="69"/>
      <c r="M972" s="70"/>
      <c r="N972" s="69"/>
      <c r="O972" s="69"/>
      <c r="P972" s="69"/>
      <c r="Q972" s="69"/>
      <c r="R972" s="69"/>
      <c r="S972" s="69"/>
      <c r="T972" s="69"/>
      <c r="U972" s="53"/>
      <c r="V972" s="53"/>
      <c r="W972" s="53"/>
      <c r="X972" s="53"/>
      <c r="Y972" s="53"/>
      <c r="Z972" s="53"/>
      <c r="AA972" s="53"/>
      <c r="AB972" s="53"/>
      <c r="AC972" s="53"/>
      <c r="AD972" s="53"/>
      <c r="AE972" s="53"/>
    </row>
    <row r="973" hidden="1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69"/>
      <c r="L973" s="69"/>
      <c r="M973" s="70"/>
      <c r="N973" s="69"/>
      <c r="O973" s="69"/>
      <c r="P973" s="69"/>
      <c r="Q973" s="69"/>
      <c r="R973" s="69"/>
      <c r="S973" s="69"/>
      <c r="T973" s="69"/>
      <c r="U973" s="53"/>
      <c r="V973" s="53"/>
      <c r="W973" s="53"/>
      <c r="X973" s="53"/>
      <c r="Y973" s="53"/>
      <c r="Z973" s="53"/>
      <c r="AA973" s="53"/>
      <c r="AB973" s="53"/>
      <c r="AC973" s="53"/>
      <c r="AD973" s="53"/>
      <c r="AE973" s="53"/>
    </row>
    <row r="974" hidden="1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69"/>
      <c r="L974" s="69"/>
      <c r="M974" s="70"/>
      <c r="N974" s="69"/>
      <c r="O974" s="69"/>
      <c r="P974" s="69"/>
      <c r="Q974" s="69"/>
      <c r="R974" s="69"/>
      <c r="S974" s="69"/>
      <c r="T974" s="69"/>
      <c r="U974" s="53"/>
      <c r="V974" s="53"/>
      <c r="W974" s="53"/>
      <c r="X974" s="53"/>
      <c r="Y974" s="53"/>
      <c r="Z974" s="53"/>
      <c r="AA974" s="53"/>
      <c r="AB974" s="53"/>
      <c r="AC974" s="53"/>
      <c r="AD974" s="53"/>
      <c r="AE974" s="53"/>
    </row>
    <row r="975" hidden="1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69"/>
      <c r="L975" s="69"/>
      <c r="M975" s="70"/>
      <c r="N975" s="69"/>
      <c r="O975" s="69"/>
      <c r="P975" s="69"/>
      <c r="Q975" s="69"/>
      <c r="R975" s="69"/>
      <c r="S975" s="69"/>
      <c r="T975" s="69"/>
      <c r="U975" s="53"/>
      <c r="V975" s="53"/>
      <c r="W975" s="53"/>
      <c r="X975" s="53"/>
      <c r="Y975" s="53"/>
      <c r="Z975" s="53"/>
      <c r="AA975" s="53"/>
      <c r="AB975" s="53"/>
      <c r="AC975" s="53"/>
      <c r="AD975" s="53"/>
      <c r="AE975" s="53"/>
    </row>
    <row r="976" hidden="1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69"/>
      <c r="L976" s="69"/>
      <c r="M976" s="70"/>
      <c r="N976" s="69"/>
      <c r="O976" s="69"/>
      <c r="P976" s="69"/>
      <c r="Q976" s="69"/>
      <c r="R976" s="69"/>
      <c r="S976" s="69"/>
      <c r="T976" s="69"/>
      <c r="U976" s="53"/>
      <c r="V976" s="53"/>
      <c r="W976" s="53"/>
      <c r="X976" s="53"/>
      <c r="Y976" s="53"/>
      <c r="Z976" s="53"/>
      <c r="AA976" s="53"/>
      <c r="AB976" s="53"/>
      <c r="AC976" s="53"/>
      <c r="AD976" s="53"/>
      <c r="AE976" s="53"/>
    </row>
    <row r="977" hidden="1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69"/>
      <c r="L977" s="69"/>
      <c r="M977" s="70"/>
      <c r="N977" s="69"/>
      <c r="O977" s="69"/>
      <c r="P977" s="69"/>
      <c r="Q977" s="69"/>
      <c r="R977" s="69"/>
      <c r="S977" s="69"/>
      <c r="T977" s="69"/>
      <c r="U977" s="53"/>
      <c r="V977" s="53"/>
      <c r="W977" s="53"/>
      <c r="X977" s="53"/>
      <c r="Y977" s="53"/>
      <c r="Z977" s="53"/>
      <c r="AA977" s="53"/>
      <c r="AB977" s="53"/>
      <c r="AC977" s="53"/>
      <c r="AD977" s="53"/>
      <c r="AE977" s="53"/>
    </row>
    <row r="978" hidden="1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69"/>
      <c r="L978" s="69"/>
      <c r="M978" s="70"/>
      <c r="N978" s="69"/>
      <c r="O978" s="69"/>
      <c r="P978" s="69"/>
      <c r="Q978" s="69"/>
      <c r="R978" s="69"/>
      <c r="S978" s="69"/>
      <c r="T978" s="69"/>
      <c r="U978" s="53"/>
      <c r="V978" s="53"/>
      <c r="W978" s="53"/>
      <c r="X978" s="53"/>
      <c r="Y978" s="53"/>
      <c r="Z978" s="53"/>
      <c r="AA978" s="53"/>
      <c r="AB978" s="53"/>
      <c r="AC978" s="53"/>
      <c r="AD978" s="53"/>
      <c r="AE978" s="53"/>
    </row>
    <row r="979" hidden="1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69"/>
      <c r="L979" s="69"/>
      <c r="M979" s="70"/>
      <c r="N979" s="69"/>
      <c r="O979" s="69"/>
      <c r="P979" s="69"/>
      <c r="Q979" s="69"/>
      <c r="R979" s="69"/>
      <c r="S979" s="69"/>
      <c r="T979" s="69"/>
      <c r="U979" s="53"/>
      <c r="V979" s="53"/>
      <c r="W979" s="53"/>
      <c r="X979" s="53"/>
      <c r="Y979" s="53"/>
      <c r="Z979" s="53"/>
      <c r="AA979" s="53"/>
      <c r="AB979" s="53"/>
      <c r="AC979" s="53"/>
      <c r="AD979" s="53"/>
      <c r="AE979" s="53"/>
    </row>
    <row r="980" hidden="1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69"/>
      <c r="L980" s="69"/>
      <c r="M980" s="70"/>
      <c r="N980" s="69"/>
      <c r="O980" s="69"/>
      <c r="P980" s="69"/>
      <c r="Q980" s="69"/>
      <c r="R980" s="69"/>
      <c r="S980" s="69"/>
      <c r="T980" s="69"/>
      <c r="U980" s="53"/>
      <c r="V980" s="53"/>
      <c r="W980" s="53"/>
      <c r="X980" s="53"/>
      <c r="Y980" s="53"/>
      <c r="Z980" s="53"/>
      <c r="AA980" s="53"/>
      <c r="AB980" s="53"/>
      <c r="AC980" s="53"/>
      <c r="AD980" s="53"/>
      <c r="AE980" s="53"/>
    </row>
    <row r="981" hidden="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69"/>
      <c r="L981" s="69"/>
      <c r="M981" s="70"/>
      <c r="N981" s="69"/>
      <c r="O981" s="69"/>
      <c r="P981" s="69"/>
      <c r="Q981" s="69"/>
      <c r="R981" s="69"/>
      <c r="S981" s="69"/>
      <c r="T981" s="69"/>
      <c r="U981" s="53"/>
      <c r="V981" s="53"/>
      <c r="W981" s="53"/>
      <c r="X981" s="53"/>
      <c r="Y981" s="53"/>
      <c r="Z981" s="53"/>
      <c r="AA981" s="53"/>
      <c r="AB981" s="53"/>
      <c r="AC981" s="53"/>
      <c r="AD981" s="53"/>
      <c r="AE981" s="53"/>
    </row>
    <row r="982" hidden="1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69"/>
      <c r="L982" s="69"/>
      <c r="M982" s="70"/>
      <c r="N982" s="69"/>
      <c r="O982" s="69"/>
      <c r="P982" s="69"/>
      <c r="Q982" s="69"/>
      <c r="R982" s="69"/>
      <c r="S982" s="69"/>
      <c r="T982" s="69"/>
      <c r="U982" s="53"/>
      <c r="V982" s="53"/>
      <c r="W982" s="53"/>
      <c r="X982" s="53"/>
      <c r="Y982" s="53"/>
      <c r="Z982" s="53"/>
      <c r="AA982" s="53"/>
      <c r="AB982" s="53"/>
      <c r="AC982" s="53"/>
      <c r="AD982" s="53"/>
      <c r="AE982" s="53"/>
    </row>
    <row r="983" hidden="1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69"/>
      <c r="L983" s="69"/>
      <c r="M983" s="70"/>
      <c r="N983" s="69"/>
      <c r="O983" s="69"/>
      <c r="P983" s="69"/>
      <c r="Q983" s="69"/>
      <c r="R983" s="69"/>
      <c r="S983" s="69"/>
      <c r="T983" s="69"/>
      <c r="U983" s="53"/>
      <c r="V983" s="53"/>
      <c r="W983" s="53"/>
      <c r="X983" s="53"/>
      <c r="Y983" s="53"/>
      <c r="Z983" s="53"/>
      <c r="AA983" s="53"/>
      <c r="AB983" s="53"/>
      <c r="AC983" s="53"/>
      <c r="AD983" s="53"/>
      <c r="AE983" s="53"/>
    </row>
    <row r="984" hidden="1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69"/>
      <c r="L984" s="69"/>
      <c r="M984" s="70"/>
      <c r="N984" s="69"/>
      <c r="O984" s="69"/>
      <c r="P984" s="69"/>
      <c r="Q984" s="69"/>
      <c r="R984" s="69"/>
      <c r="S984" s="69"/>
      <c r="T984" s="69"/>
      <c r="U984" s="53"/>
      <c r="V984" s="53"/>
      <c r="W984" s="53"/>
      <c r="X984" s="53"/>
      <c r="Y984" s="53"/>
      <c r="Z984" s="53"/>
      <c r="AA984" s="53"/>
      <c r="AB984" s="53"/>
      <c r="AC984" s="53"/>
      <c r="AD984" s="53"/>
      <c r="AE984" s="53"/>
    </row>
    <row r="985" hidden="1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69"/>
      <c r="L985" s="69"/>
      <c r="M985" s="70"/>
      <c r="N985" s="69"/>
      <c r="O985" s="69"/>
      <c r="P985" s="69"/>
      <c r="Q985" s="69"/>
      <c r="R985" s="69"/>
      <c r="S985" s="69"/>
      <c r="T985" s="69"/>
      <c r="U985" s="53"/>
      <c r="V985" s="53"/>
      <c r="W985" s="53"/>
      <c r="X985" s="53"/>
      <c r="Y985" s="53"/>
      <c r="Z985" s="53"/>
      <c r="AA985" s="53"/>
      <c r="AB985" s="53"/>
      <c r="AC985" s="53"/>
      <c r="AD985" s="53"/>
      <c r="AE985" s="53"/>
    </row>
    <row r="986" hidden="1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69"/>
      <c r="L986" s="69"/>
      <c r="M986" s="70"/>
      <c r="N986" s="69"/>
      <c r="O986" s="69"/>
      <c r="P986" s="69"/>
      <c r="Q986" s="69"/>
      <c r="R986" s="69"/>
      <c r="S986" s="69"/>
      <c r="T986" s="69"/>
      <c r="U986" s="53"/>
      <c r="V986" s="53"/>
      <c r="W986" s="53"/>
      <c r="X986" s="53"/>
      <c r="Y986" s="53"/>
      <c r="Z986" s="53"/>
      <c r="AA986" s="53"/>
      <c r="AB986" s="53"/>
      <c r="AC986" s="53"/>
      <c r="AD986" s="53"/>
      <c r="AE986" s="53"/>
    </row>
    <row r="987" hidden="1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69"/>
      <c r="L987" s="69"/>
      <c r="M987" s="70"/>
      <c r="N987" s="69"/>
      <c r="O987" s="69"/>
      <c r="P987" s="69"/>
      <c r="Q987" s="69"/>
      <c r="R987" s="69"/>
      <c r="S987" s="69"/>
      <c r="T987" s="69"/>
      <c r="U987" s="53"/>
      <c r="V987" s="53"/>
      <c r="W987" s="53"/>
      <c r="X987" s="53"/>
      <c r="Y987" s="53"/>
      <c r="Z987" s="53"/>
      <c r="AA987" s="53"/>
      <c r="AB987" s="53"/>
      <c r="AC987" s="53"/>
      <c r="AD987" s="53"/>
      <c r="AE987" s="53"/>
    </row>
    <row r="988" hidden="1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69"/>
      <c r="L988" s="69"/>
      <c r="M988" s="70"/>
      <c r="N988" s="69"/>
      <c r="O988" s="69"/>
      <c r="P988" s="69"/>
      <c r="Q988" s="69"/>
      <c r="R988" s="69"/>
      <c r="S988" s="69"/>
      <c r="T988" s="69"/>
      <c r="U988" s="53"/>
      <c r="V988" s="53"/>
      <c r="W988" s="53"/>
      <c r="X988" s="53"/>
      <c r="Y988" s="53"/>
      <c r="Z988" s="53"/>
      <c r="AA988" s="53"/>
      <c r="AB988" s="53"/>
      <c r="AC988" s="53"/>
      <c r="AD988" s="53"/>
      <c r="AE988" s="53"/>
    </row>
  </sheetData>
  <autoFilter ref="$A$5:$M$988">
    <filterColumn colId="6">
      <filters>
        <filter val="Included"/>
        <filter val="Excluded"/>
      </filters>
    </filterColumn>
    <sortState ref="A5:M988">
      <sortCondition ref="A5:A988"/>
      <sortCondition ref="J5:J988"/>
      <sortCondition ref="H5:H988"/>
    </sortState>
  </autoFilter>
  <conditionalFormatting sqref="A6:AD513">
    <cfRule type="expression" dxfId="3" priority="1">
      <formula>$G6="Excluded"</formula>
    </cfRule>
  </conditionalFormatting>
  <conditionalFormatting sqref="E6:H988">
    <cfRule type="cellIs" dxfId="0" priority="2" operator="equal">
      <formula>"patellar"</formula>
    </cfRule>
  </conditionalFormatting>
  <conditionalFormatting sqref="E6:H988">
    <cfRule type="cellIs" dxfId="1" priority="3" operator="equal">
      <formula>"hamstring"</formula>
    </cfRule>
  </conditionalFormatting>
  <conditionalFormatting sqref="E6:H988">
    <cfRule type="cellIs" dxfId="2" priority="4" operator="equal">
      <formula>"quadriceps"</formula>
    </cfRule>
  </conditionalFormatting>
  <conditionalFormatting sqref="H2:H988">
    <cfRule type="cellIs" dxfId="5" priority="5" operator="equal">
      <formula>"tibialis"</formula>
    </cfRule>
  </conditionalFormatting>
  <dataValidations>
    <dataValidation type="list" allowBlank="1" showErrorMessage="1" sqref="G97">
      <formula1>"Included,Excluded,Maybe"</formula1>
    </dataValidation>
    <dataValidation type="list" allowBlank="1" showErrorMessage="1" sqref="G6:G96 G98:G513">
      <formula1>"Included,Excluded,?"</formula1>
    </dataValidation>
    <dataValidation type="list" allowBlank="1" showDropDown="1" showErrorMessage="1" sqref="C6:C513">
      <formula1>"☐,☑"</formula1>
    </dataValidation>
    <dataValidation type="list" allowBlank="1" showErrorMessage="1" sqref="J6:J513 I514:J988">
      <formula1>"graft rupture,ikdc,instrumental laxity,lachman,lysholm,pivot shift,tegner"</formula1>
    </dataValidation>
  </dataValidations>
  <hyperlinks>
    <hyperlink r:id="rId1" ref="G3"/>
    <hyperlink r:id="rId2" ref="E6"/>
    <hyperlink r:id="rId3" ref="F6"/>
    <hyperlink r:id="rId4" ref="E7"/>
    <hyperlink r:id="rId5" ref="F7"/>
    <hyperlink r:id="rId6" ref="E8"/>
    <hyperlink r:id="rId7" ref="F8"/>
    <hyperlink r:id="rId8" ref="E9"/>
    <hyperlink r:id="rId9" ref="F9"/>
    <hyperlink r:id="rId10" ref="E10"/>
    <hyperlink r:id="rId11" ref="F10"/>
    <hyperlink r:id="rId12" ref="E11"/>
    <hyperlink r:id="rId13" ref="F11"/>
    <hyperlink r:id="rId14" ref="E12"/>
    <hyperlink r:id="rId15" ref="F12"/>
    <hyperlink r:id="rId16" ref="E13"/>
    <hyperlink r:id="rId17" ref="F13"/>
    <hyperlink r:id="rId18" ref="E22"/>
    <hyperlink r:id="rId19" ref="F22"/>
    <hyperlink r:id="rId20" ref="E23"/>
    <hyperlink r:id="rId21" ref="F23"/>
    <hyperlink r:id="rId22" ref="E24"/>
    <hyperlink r:id="rId23" ref="F24"/>
    <hyperlink r:id="rId24" ref="E25"/>
    <hyperlink r:id="rId25" ref="F25"/>
    <hyperlink r:id="rId26" ref="E26"/>
    <hyperlink r:id="rId27" ref="F26"/>
    <hyperlink r:id="rId28" ref="E27"/>
    <hyperlink r:id="rId29" ref="F27"/>
    <hyperlink r:id="rId30" ref="E28"/>
    <hyperlink r:id="rId31" ref="F28"/>
    <hyperlink r:id="rId32" ref="E29"/>
    <hyperlink r:id="rId33" ref="F29"/>
    <hyperlink r:id="rId34" ref="E30"/>
    <hyperlink r:id="rId35" ref="F30"/>
    <hyperlink r:id="rId36" ref="E31"/>
    <hyperlink r:id="rId37" ref="F31"/>
    <hyperlink r:id="rId38" ref="E32"/>
    <hyperlink r:id="rId39" ref="F32"/>
    <hyperlink r:id="rId40" ref="E33"/>
    <hyperlink r:id="rId41" ref="F33"/>
    <hyperlink r:id="rId42" ref="E34"/>
    <hyperlink r:id="rId43" ref="F34"/>
    <hyperlink r:id="rId44" ref="E35"/>
    <hyperlink r:id="rId45" ref="F35"/>
    <hyperlink r:id="rId46" ref="E36"/>
    <hyperlink r:id="rId47" ref="F36"/>
    <hyperlink r:id="rId48" ref="E37"/>
    <hyperlink r:id="rId49" ref="F37"/>
    <hyperlink r:id="rId50" ref="E38"/>
    <hyperlink r:id="rId51" ref="F38"/>
    <hyperlink r:id="rId52" ref="E39"/>
    <hyperlink r:id="rId53" ref="F39"/>
    <hyperlink r:id="rId54" ref="E40"/>
    <hyperlink r:id="rId55" ref="F40"/>
    <hyperlink r:id="rId56" ref="E41"/>
    <hyperlink r:id="rId57" ref="F41"/>
    <hyperlink r:id="rId58" ref="E42"/>
    <hyperlink r:id="rId59" ref="F42"/>
    <hyperlink r:id="rId60" ref="E43"/>
    <hyperlink r:id="rId61" ref="F43"/>
    <hyperlink r:id="rId62" ref="E52"/>
    <hyperlink r:id="rId63" ref="F52"/>
    <hyperlink r:id="rId64" ref="E53"/>
    <hyperlink r:id="rId65" ref="F53"/>
    <hyperlink r:id="rId66" ref="E54"/>
    <hyperlink r:id="rId67" ref="F54"/>
    <hyperlink r:id="rId68" ref="E55"/>
    <hyperlink r:id="rId69" ref="F55"/>
    <hyperlink r:id="rId70" ref="E56"/>
    <hyperlink r:id="rId71" ref="F56"/>
    <hyperlink r:id="rId72" ref="E57"/>
    <hyperlink r:id="rId73" ref="F57"/>
    <hyperlink r:id="rId74" ref="E58"/>
    <hyperlink r:id="rId75" ref="F58"/>
    <hyperlink r:id="rId76" ref="E59"/>
    <hyperlink r:id="rId77" ref="F59"/>
    <hyperlink r:id="rId78" ref="E60"/>
    <hyperlink r:id="rId79" ref="F60"/>
    <hyperlink r:id="rId80" ref="E61"/>
    <hyperlink r:id="rId81" ref="F61"/>
    <hyperlink r:id="rId82" ref="E62"/>
    <hyperlink r:id="rId83" ref="F62"/>
    <hyperlink r:id="rId84" ref="E63"/>
    <hyperlink r:id="rId85" ref="F63"/>
    <hyperlink r:id="rId86" ref="E64"/>
    <hyperlink r:id="rId87" ref="F64"/>
    <hyperlink r:id="rId88" ref="E65"/>
    <hyperlink r:id="rId89" ref="F65"/>
    <hyperlink r:id="rId90" ref="E66"/>
    <hyperlink r:id="rId91" ref="F66"/>
    <hyperlink r:id="rId92" ref="E67"/>
    <hyperlink r:id="rId93" ref="F67"/>
    <hyperlink r:id="rId94" ref="E68"/>
    <hyperlink r:id="rId95" ref="F68"/>
    <hyperlink r:id="rId96" ref="E69"/>
    <hyperlink r:id="rId97" ref="F69"/>
    <hyperlink r:id="rId98" ref="E82"/>
    <hyperlink r:id="rId99" ref="F82"/>
    <hyperlink r:id="rId100" ref="E83"/>
    <hyperlink r:id="rId101" ref="F83"/>
    <hyperlink r:id="rId102" ref="E84"/>
    <hyperlink r:id="rId103" ref="F84"/>
    <hyperlink r:id="rId104" ref="E85"/>
    <hyperlink r:id="rId105" ref="F85"/>
    <hyperlink r:id="rId106" ref="E86"/>
    <hyperlink r:id="rId107" ref="F86"/>
    <hyperlink r:id="rId108" ref="E87"/>
    <hyperlink r:id="rId109" ref="F87"/>
    <hyperlink r:id="rId110" ref="E88"/>
    <hyperlink r:id="rId111" ref="F88"/>
    <hyperlink r:id="rId112" ref="E89"/>
    <hyperlink r:id="rId113" ref="F89"/>
    <hyperlink r:id="rId114" ref="E90"/>
    <hyperlink r:id="rId115" ref="F90"/>
    <hyperlink r:id="rId116" ref="E91"/>
    <hyperlink r:id="rId117" ref="F91"/>
    <hyperlink r:id="rId118" ref="E92"/>
    <hyperlink r:id="rId119" ref="F92"/>
    <hyperlink r:id="rId120" ref="E93"/>
    <hyperlink r:id="rId121" ref="F93"/>
    <hyperlink r:id="rId122" ref="E94"/>
    <hyperlink r:id="rId123" ref="F94"/>
    <hyperlink r:id="rId124" ref="E95"/>
    <hyperlink r:id="rId125" ref="F95"/>
    <hyperlink r:id="rId126" ref="E96"/>
    <hyperlink r:id="rId127" ref="F96"/>
    <hyperlink r:id="rId128" ref="E97"/>
    <hyperlink r:id="rId129" ref="F97"/>
    <hyperlink r:id="rId130" ref="E98"/>
    <hyperlink r:id="rId131" ref="F98"/>
    <hyperlink r:id="rId132" ref="E99"/>
    <hyperlink r:id="rId133" ref="F99"/>
    <hyperlink r:id="rId134" ref="E100"/>
    <hyperlink r:id="rId135" ref="F100"/>
    <hyperlink r:id="rId136" ref="E101"/>
    <hyperlink r:id="rId137" ref="F101"/>
    <hyperlink r:id="rId138" ref="E102"/>
    <hyperlink r:id="rId139" ref="F102"/>
    <hyperlink r:id="rId140" ref="E103"/>
    <hyperlink r:id="rId141" ref="F103"/>
    <hyperlink r:id="rId142" ref="E104"/>
    <hyperlink r:id="rId143" ref="F104"/>
    <hyperlink r:id="rId144" ref="E105"/>
    <hyperlink r:id="rId145" ref="F105"/>
    <hyperlink r:id="rId146" ref="E106"/>
    <hyperlink r:id="rId147" ref="F106"/>
    <hyperlink r:id="rId148" ref="E107"/>
    <hyperlink r:id="rId149" ref="F107"/>
    <hyperlink r:id="rId150" ref="E108"/>
    <hyperlink r:id="rId151" ref="F108"/>
    <hyperlink r:id="rId152" ref="E109"/>
    <hyperlink r:id="rId153" ref="F109"/>
    <hyperlink r:id="rId154" ref="E110"/>
    <hyperlink r:id="rId155" ref="F110"/>
    <hyperlink r:id="rId156" ref="E111"/>
    <hyperlink r:id="rId157" ref="F111"/>
    <hyperlink r:id="rId158" ref="E112"/>
    <hyperlink r:id="rId159" ref="F112"/>
    <hyperlink r:id="rId160" ref="E113"/>
    <hyperlink r:id="rId161" ref="F113"/>
    <hyperlink r:id="rId162" ref="E114"/>
    <hyperlink r:id="rId163" ref="F114"/>
    <hyperlink r:id="rId164" ref="E115"/>
    <hyperlink r:id="rId165" ref="F115"/>
    <hyperlink r:id="rId166" ref="E116"/>
    <hyperlink r:id="rId167" ref="F116"/>
    <hyperlink r:id="rId168" ref="E117"/>
    <hyperlink r:id="rId169" ref="F117"/>
    <hyperlink r:id="rId170" ref="E118"/>
    <hyperlink r:id="rId171" ref="F118"/>
    <hyperlink r:id="rId172" ref="E119"/>
    <hyperlink r:id="rId173" ref="F119"/>
    <hyperlink r:id="rId174" ref="E120"/>
    <hyperlink r:id="rId175" ref="F120"/>
    <hyperlink r:id="rId176" ref="E121"/>
    <hyperlink r:id="rId177" ref="F121"/>
    <hyperlink r:id="rId178" ref="E122"/>
    <hyperlink r:id="rId179" ref="F122"/>
    <hyperlink r:id="rId180" ref="E123"/>
    <hyperlink r:id="rId181" ref="F123"/>
    <hyperlink r:id="rId182" ref="E124"/>
    <hyperlink r:id="rId183" ref="F124"/>
    <hyperlink r:id="rId184" ref="E125"/>
    <hyperlink r:id="rId185" ref="F125"/>
    <hyperlink r:id="rId186" ref="E126"/>
    <hyperlink r:id="rId187" ref="F126"/>
    <hyperlink r:id="rId188" ref="E127"/>
    <hyperlink r:id="rId189" ref="F127"/>
    <hyperlink r:id="rId190" ref="E128"/>
    <hyperlink r:id="rId191" ref="F128"/>
    <hyperlink r:id="rId192" ref="E129"/>
    <hyperlink r:id="rId193" ref="F129"/>
    <hyperlink r:id="rId194" ref="E130"/>
    <hyperlink r:id="rId195" ref="F130"/>
    <hyperlink r:id="rId196" ref="E131"/>
    <hyperlink r:id="rId197" ref="F131"/>
    <hyperlink r:id="rId198" ref="E132"/>
    <hyperlink r:id="rId199" ref="F132"/>
    <hyperlink r:id="rId200" ref="E133"/>
    <hyperlink r:id="rId201" ref="F133"/>
    <hyperlink r:id="rId202" ref="E134"/>
    <hyperlink r:id="rId203" ref="F134"/>
    <hyperlink r:id="rId204" ref="E135"/>
    <hyperlink r:id="rId205" ref="F135"/>
    <hyperlink r:id="rId206" ref="E136"/>
    <hyperlink r:id="rId207" ref="F136"/>
    <hyperlink r:id="rId208" ref="E137"/>
    <hyperlink r:id="rId209" ref="F137"/>
    <hyperlink r:id="rId210" ref="E138"/>
    <hyperlink r:id="rId211" ref="F138"/>
    <hyperlink r:id="rId212" ref="E139"/>
    <hyperlink r:id="rId213" ref="F139"/>
    <hyperlink r:id="rId214" ref="E140"/>
    <hyperlink r:id="rId215" ref="F140"/>
    <hyperlink r:id="rId216" ref="E141"/>
    <hyperlink r:id="rId217" ref="F141"/>
    <hyperlink r:id="rId218" ref="E142"/>
    <hyperlink r:id="rId219" ref="F142"/>
    <hyperlink r:id="rId220" ref="E143"/>
    <hyperlink r:id="rId221" ref="F143"/>
    <hyperlink r:id="rId222" ref="E144"/>
    <hyperlink r:id="rId223" ref="F144"/>
    <hyperlink r:id="rId224" ref="E145"/>
    <hyperlink r:id="rId225" ref="F145"/>
    <hyperlink r:id="rId226" ref="E146"/>
    <hyperlink r:id="rId227" ref="F146"/>
    <hyperlink r:id="rId228" ref="E147"/>
    <hyperlink r:id="rId229" ref="F147"/>
    <hyperlink r:id="rId230" ref="E148"/>
    <hyperlink r:id="rId231" ref="F148"/>
    <hyperlink r:id="rId232" ref="E149"/>
    <hyperlink r:id="rId233" ref="F149"/>
    <hyperlink r:id="rId234" ref="E150"/>
    <hyperlink r:id="rId235" ref="F150"/>
    <hyperlink r:id="rId236" ref="E151"/>
    <hyperlink r:id="rId237" ref="F151"/>
    <hyperlink r:id="rId238" ref="E152"/>
    <hyperlink r:id="rId239" ref="F152"/>
    <hyperlink r:id="rId240" ref="E153"/>
    <hyperlink r:id="rId241" ref="F153"/>
    <hyperlink r:id="rId242" ref="E154"/>
    <hyperlink r:id="rId243" ref="F154"/>
    <hyperlink r:id="rId244" ref="E155"/>
    <hyperlink r:id="rId245" ref="F155"/>
    <hyperlink r:id="rId246" ref="E156"/>
    <hyperlink r:id="rId247" ref="F156"/>
    <hyperlink r:id="rId248" ref="E157"/>
    <hyperlink r:id="rId249" ref="F157"/>
    <hyperlink r:id="rId250" ref="E158"/>
    <hyperlink r:id="rId251" ref="F158"/>
    <hyperlink r:id="rId252" ref="E159"/>
    <hyperlink r:id="rId253" ref="F159"/>
    <hyperlink r:id="rId254" ref="E160"/>
    <hyperlink r:id="rId255" ref="F160"/>
    <hyperlink r:id="rId256" ref="E161"/>
    <hyperlink r:id="rId257" ref="F161"/>
    <hyperlink r:id="rId258" ref="E162"/>
    <hyperlink r:id="rId259" ref="F162"/>
    <hyperlink r:id="rId260" ref="E163"/>
    <hyperlink r:id="rId261" ref="F163"/>
    <hyperlink r:id="rId262" ref="E164"/>
    <hyperlink r:id="rId263" ref="F164"/>
    <hyperlink r:id="rId264" ref="E165"/>
    <hyperlink r:id="rId265" ref="F165"/>
    <hyperlink r:id="rId266" ref="E166"/>
    <hyperlink r:id="rId267" ref="F166"/>
    <hyperlink r:id="rId268" ref="E167"/>
    <hyperlink r:id="rId269" ref="F167"/>
    <hyperlink r:id="rId270" ref="E168"/>
    <hyperlink r:id="rId271" ref="F168"/>
    <hyperlink r:id="rId272" ref="E169"/>
    <hyperlink r:id="rId273" ref="F169"/>
    <hyperlink r:id="rId274" ref="E170"/>
    <hyperlink r:id="rId275" ref="F170"/>
    <hyperlink r:id="rId276" ref="E171"/>
    <hyperlink r:id="rId277" ref="F171"/>
    <hyperlink r:id="rId278" ref="E172"/>
    <hyperlink r:id="rId279" ref="F172"/>
    <hyperlink r:id="rId280" ref="E173"/>
    <hyperlink r:id="rId281" ref="F173"/>
    <hyperlink r:id="rId282" ref="E174"/>
    <hyperlink r:id="rId283" ref="F174"/>
    <hyperlink r:id="rId284" ref="E175"/>
    <hyperlink r:id="rId285" ref="F175"/>
    <hyperlink r:id="rId286" ref="E176"/>
    <hyperlink r:id="rId287" ref="F176"/>
    <hyperlink r:id="rId288" ref="E177"/>
    <hyperlink r:id="rId289" ref="F177"/>
    <hyperlink r:id="rId290" ref="E178"/>
    <hyperlink r:id="rId291" ref="F178"/>
    <hyperlink r:id="rId292" ref="E179"/>
    <hyperlink r:id="rId293" ref="F179"/>
    <hyperlink r:id="rId294" ref="E180"/>
    <hyperlink r:id="rId295" ref="F180"/>
    <hyperlink r:id="rId296" ref="E181"/>
    <hyperlink r:id="rId297" ref="F181"/>
    <hyperlink r:id="rId298" ref="E182"/>
    <hyperlink r:id="rId299" ref="F182"/>
    <hyperlink r:id="rId300" ref="E183"/>
    <hyperlink r:id="rId301" ref="F183"/>
    <hyperlink r:id="rId302" ref="E184"/>
    <hyperlink r:id="rId303" ref="F184"/>
    <hyperlink r:id="rId304" ref="E185"/>
    <hyperlink r:id="rId305" ref="F185"/>
    <hyperlink r:id="rId306" ref="E186"/>
    <hyperlink r:id="rId307" ref="F186"/>
    <hyperlink r:id="rId308" ref="E187"/>
    <hyperlink r:id="rId309" ref="F187"/>
    <hyperlink r:id="rId310" ref="E188"/>
    <hyperlink r:id="rId311" ref="F188"/>
    <hyperlink r:id="rId312" ref="E189"/>
    <hyperlink r:id="rId313" ref="F189"/>
    <hyperlink r:id="rId314" ref="E190"/>
    <hyperlink r:id="rId315" ref="F190"/>
    <hyperlink r:id="rId316" ref="E191"/>
    <hyperlink r:id="rId317" ref="F191"/>
    <hyperlink r:id="rId318" ref="E192"/>
    <hyperlink r:id="rId319" ref="F192"/>
    <hyperlink r:id="rId320" ref="E193"/>
    <hyperlink r:id="rId321" ref="F193"/>
    <hyperlink r:id="rId322" ref="E194"/>
    <hyperlink r:id="rId323" ref="F194"/>
    <hyperlink r:id="rId324" ref="E195"/>
    <hyperlink r:id="rId325" ref="F195"/>
    <hyperlink r:id="rId326" ref="E196"/>
    <hyperlink r:id="rId327" ref="F196"/>
    <hyperlink r:id="rId328" ref="E197"/>
    <hyperlink r:id="rId329" ref="F197"/>
    <hyperlink r:id="rId330" ref="E198"/>
    <hyperlink r:id="rId331" ref="F198"/>
    <hyperlink r:id="rId332" ref="E199"/>
    <hyperlink r:id="rId333" ref="F199"/>
    <hyperlink r:id="rId334" ref="E200"/>
    <hyperlink r:id="rId335" ref="F200"/>
    <hyperlink r:id="rId336" ref="E201"/>
    <hyperlink r:id="rId337" ref="F201"/>
    <hyperlink r:id="rId338" ref="E202"/>
    <hyperlink r:id="rId339" ref="F202"/>
    <hyperlink r:id="rId340" ref="E203"/>
    <hyperlink r:id="rId341" ref="F203"/>
    <hyperlink r:id="rId342" ref="E204"/>
    <hyperlink r:id="rId343" ref="F204"/>
    <hyperlink r:id="rId344" ref="E205"/>
    <hyperlink r:id="rId345" ref="F205"/>
    <hyperlink r:id="rId346" ref="E206"/>
    <hyperlink r:id="rId347" ref="F206"/>
    <hyperlink r:id="rId348" ref="E207"/>
    <hyperlink r:id="rId349" ref="F207"/>
    <hyperlink r:id="rId350" ref="E208"/>
    <hyperlink r:id="rId351" ref="F208"/>
    <hyperlink r:id="rId352" ref="E209"/>
    <hyperlink r:id="rId353" ref="F209"/>
    <hyperlink r:id="rId354" ref="E210"/>
    <hyperlink r:id="rId355" ref="F210"/>
    <hyperlink r:id="rId356" ref="E211"/>
    <hyperlink r:id="rId357" ref="F211"/>
    <hyperlink r:id="rId358" ref="E212"/>
    <hyperlink r:id="rId359" ref="F212"/>
    <hyperlink r:id="rId360" ref="E213"/>
    <hyperlink r:id="rId361" ref="F213"/>
    <hyperlink r:id="rId362" ref="E214"/>
    <hyperlink r:id="rId363" ref="F214"/>
    <hyperlink r:id="rId364" ref="E215"/>
    <hyperlink r:id="rId365" ref="F215"/>
    <hyperlink r:id="rId366" ref="E216"/>
    <hyperlink r:id="rId367" ref="F216"/>
    <hyperlink r:id="rId368" ref="E217"/>
    <hyperlink r:id="rId369" ref="F217"/>
    <hyperlink r:id="rId370" ref="E218"/>
    <hyperlink r:id="rId371" ref="F218"/>
    <hyperlink r:id="rId372" ref="E219"/>
    <hyperlink r:id="rId373" ref="F219"/>
    <hyperlink r:id="rId374" ref="E220"/>
    <hyperlink r:id="rId375" ref="F220"/>
    <hyperlink r:id="rId376" ref="E221"/>
    <hyperlink r:id="rId377" ref="F221"/>
    <hyperlink r:id="rId378" ref="E222"/>
    <hyperlink r:id="rId379" ref="F222"/>
    <hyperlink r:id="rId380" ref="E223"/>
    <hyperlink r:id="rId381" ref="F223"/>
    <hyperlink r:id="rId382" ref="E224"/>
    <hyperlink r:id="rId383" ref="F224"/>
    <hyperlink r:id="rId384" ref="E225"/>
    <hyperlink r:id="rId385" ref="F225"/>
    <hyperlink r:id="rId386" ref="E226"/>
    <hyperlink r:id="rId387" ref="F226"/>
    <hyperlink r:id="rId388" ref="E227"/>
    <hyperlink r:id="rId389" ref="F227"/>
    <hyperlink r:id="rId390" ref="E228"/>
    <hyperlink r:id="rId391" ref="F228"/>
    <hyperlink r:id="rId392" ref="E229"/>
    <hyperlink r:id="rId393" ref="F229"/>
    <hyperlink r:id="rId394" ref="E230"/>
    <hyperlink r:id="rId395" ref="F230"/>
    <hyperlink r:id="rId396" ref="E231"/>
    <hyperlink r:id="rId397" ref="F231"/>
    <hyperlink r:id="rId398" ref="E232"/>
    <hyperlink r:id="rId399" ref="F232"/>
    <hyperlink r:id="rId400" ref="E233"/>
    <hyperlink r:id="rId401" ref="F233"/>
    <hyperlink r:id="rId402" ref="E234"/>
    <hyperlink r:id="rId403" ref="F234"/>
    <hyperlink r:id="rId404" ref="E235"/>
    <hyperlink r:id="rId405" ref="F235"/>
    <hyperlink r:id="rId406" ref="E236"/>
    <hyperlink r:id="rId407" ref="F236"/>
    <hyperlink r:id="rId408" ref="E237"/>
    <hyperlink r:id="rId409" ref="F237"/>
    <hyperlink r:id="rId410" ref="E238"/>
    <hyperlink r:id="rId411" ref="F238"/>
    <hyperlink r:id="rId412" ref="E239"/>
    <hyperlink r:id="rId413" ref="F239"/>
    <hyperlink r:id="rId414" ref="E240"/>
    <hyperlink r:id="rId415" ref="F240"/>
    <hyperlink r:id="rId416" ref="E241"/>
    <hyperlink r:id="rId417" ref="F241"/>
    <hyperlink r:id="rId418" ref="E242"/>
    <hyperlink r:id="rId419" ref="F242"/>
    <hyperlink r:id="rId420" ref="E243"/>
    <hyperlink r:id="rId421" ref="F243"/>
    <hyperlink r:id="rId422" ref="E244"/>
    <hyperlink r:id="rId423" ref="F244"/>
    <hyperlink r:id="rId424" ref="E245"/>
    <hyperlink r:id="rId425" ref="F245"/>
    <hyperlink r:id="rId426" ref="E246"/>
    <hyperlink r:id="rId427" ref="F246"/>
    <hyperlink r:id="rId428" ref="E247"/>
    <hyperlink r:id="rId429" ref="F247"/>
    <hyperlink r:id="rId430" ref="E248"/>
    <hyperlink r:id="rId431" ref="F248"/>
    <hyperlink r:id="rId432" ref="E249"/>
    <hyperlink r:id="rId433" ref="F249"/>
    <hyperlink r:id="rId434" ref="E250"/>
    <hyperlink r:id="rId435" ref="F250"/>
    <hyperlink r:id="rId436" ref="E251"/>
    <hyperlink r:id="rId437" ref="F251"/>
    <hyperlink r:id="rId438" ref="E252"/>
    <hyperlink r:id="rId439" ref="F252"/>
    <hyperlink r:id="rId440" ref="E253"/>
    <hyperlink r:id="rId441" ref="F253"/>
    <hyperlink r:id="rId442" ref="E254"/>
    <hyperlink r:id="rId443" ref="F254"/>
    <hyperlink r:id="rId444" ref="E255"/>
    <hyperlink r:id="rId445" ref="F255"/>
    <hyperlink r:id="rId446" ref="E256"/>
    <hyperlink r:id="rId447" ref="F256"/>
    <hyperlink r:id="rId448" ref="E257"/>
    <hyperlink r:id="rId449" ref="F257"/>
    <hyperlink r:id="rId450" ref="E258"/>
    <hyperlink r:id="rId451" ref="F258"/>
    <hyperlink r:id="rId452" ref="E259"/>
    <hyperlink r:id="rId453" ref="F259"/>
    <hyperlink r:id="rId454" ref="E260"/>
    <hyperlink r:id="rId455" ref="F260"/>
    <hyperlink r:id="rId456" ref="E261"/>
    <hyperlink r:id="rId457" ref="F261"/>
    <hyperlink r:id="rId458" ref="E262"/>
    <hyperlink r:id="rId459" ref="F262"/>
    <hyperlink r:id="rId460" ref="E263"/>
    <hyperlink r:id="rId461" ref="F263"/>
    <hyperlink r:id="rId462" ref="E264"/>
    <hyperlink r:id="rId463" ref="F264"/>
    <hyperlink r:id="rId464" ref="E265"/>
    <hyperlink r:id="rId465" ref="F265"/>
    <hyperlink r:id="rId466" ref="E266"/>
    <hyperlink r:id="rId467" ref="F266"/>
    <hyperlink r:id="rId468" ref="E267"/>
    <hyperlink r:id="rId469" ref="F267"/>
    <hyperlink r:id="rId470" ref="E268"/>
    <hyperlink r:id="rId471" ref="F268"/>
    <hyperlink r:id="rId472" ref="E269"/>
    <hyperlink r:id="rId473" ref="F269"/>
    <hyperlink r:id="rId474" ref="E270"/>
    <hyperlink r:id="rId475" ref="F270"/>
    <hyperlink r:id="rId476" ref="E281"/>
    <hyperlink r:id="rId477" ref="F281"/>
    <hyperlink r:id="rId478" ref="E282"/>
    <hyperlink r:id="rId479" ref="F282"/>
    <hyperlink r:id="rId480" ref="E283"/>
    <hyperlink r:id="rId481" ref="F283"/>
    <hyperlink r:id="rId482" ref="E284"/>
    <hyperlink r:id="rId483" ref="F284"/>
    <hyperlink r:id="rId484" ref="E285"/>
    <hyperlink r:id="rId485" ref="F285"/>
    <hyperlink r:id="rId486" ref="E286"/>
    <hyperlink r:id="rId487" ref="F286"/>
    <hyperlink r:id="rId488" ref="E287"/>
    <hyperlink r:id="rId489" ref="F287"/>
    <hyperlink r:id="rId490" ref="E288"/>
    <hyperlink r:id="rId491" ref="F288"/>
    <hyperlink r:id="rId492" ref="E289"/>
    <hyperlink r:id="rId493" ref="F289"/>
    <hyperlink r:id="rId494" ref="E290"/>
    <hyperlink r:id="rId495" ref="F290"/>
    <hyperlink r:id="rId496" ref="E291"/>
    <hyperlink r:id="rId497" ref="F291"/>
    <hyperlink r:id="rId498" ref="E292"/>
    <hyperlink r:id="rId499" ref="F292"/>
    <hyperlink r:id="rId500" ref="E293"/>
    <hyperlink r:id="rId501" ref="F293"/>
    <hyperlink r:id="rId502" ref="E294"/>
    <hyperlink r:id="rId503" ref="F294"/>
    <hyperlink r:id="rId504" ref="E295"/>
    <hyperlink r:id="rId505" ref="F295"/>
    <hyperlink r:id="rId506" ref="E296"/>
    <hyperlink r:id="rId507" ref="F296"/>
    <hyperlink r:id="rId508" ref="E297"/>
    <hyperlink r:id="rId509" ref="F297"/>
    <hyperlink r:id="rId510" ref="E298"/>
    <hyperlink r:id="rId511" ref="F298"/>
    <hyperlink r:id="rId512" ref="E299"/>
    <hyperlink r:id="rId513" ref="F299"/>
    <hyperlink r:id="rId514" ref="E300"/>
    <hyperlink r:id="rId515" ref="F300"/>
    <hyperlink r:id="rId516" ref="E301"/>
    <hyperlink r:id="rId517" ref="F301"/>
    <hyperlink r:id="rId518" ref="E302"/>
    <hyperlink r:id="rId519" ref="F302"/>
    <hyperlink r:id="rId520" ref="E303"/>
    <hyperlink r:id="rId521" ref="F303"/>
    <hyperlink r:id="rId522" ref="E304"/>
    <hyperlink r:id="rId523" ref="F304"/>
    <hyperlink r:id="rId524" ref="E305"/>
    <hyperlink r:id="rId525" ref="F305"/>
    <hyperlink r:id="rId526" ref="E306"/>
    <hyperlink r:id="rId527" ref="F306"/>
    <hyperlink r:id="rId528" ref="E307"/>
    <hyperlink r:id="rId529" ref="F307"/>
    <hyperlink r:id="rId530" ref="E308"/>
    <hyperlink r:id="rId531" ref="F308"/>
    <hyperlink r:id="rId532" ref="E309"/>
    <hyperlink r:id="rId533" ref="F309"/>
    <hyperlink r:id="rId534" ref="E310"/>
    <hyperlink r:id="rId535" ref="F310"/>
    <hyperlink r:id="rId536" ref="E311"/>
    <hyperlink r:id="rId537" ref="F311"/>
    <hyperlink r:id="rId538" ref="E312"/>
    <hyperlink r:id="rId539" ref="F312"/>
    <hyperlink r:id="rId540" ref="E313"/>
    <hyperlink r:id="rId541" ref="F313"/>
    <hyperlink r:id="rId542" ref="E314"/>
    <hyperlink r:id="rId543" ref="F314"/>
    <hyperlink r:id="rId544" ref="E315"/>
    <hyperlink r:id="rId545" ref="F315"/>
    <hyperlink r:id="rId546" ref="E316"/>
    <hyperlink r:id="rId547" ref="F316"/>
    <hyperlink r:id="rId548" ref="E317"/>
    <hyperlink r:id="rId549" ref="F317"/>
    <hyperlink r:id="rId550" ref="E318"/>
    <hyperlink r:id="rId551" ref="F318"/>
    <hyperlink r:id="rId552" ref="E319"/>
    <hyperlink r:id="rId553" ref="F319"/>
    <hyperlink r:id="rId554" ref="E320"/>
    <hyperlink r:id="rId555" ref="F320"/>
    <hyperlink r:id="rId556" ref="E321"/>
    <hyperlink r:id="rId557" ref="F321"/>
    <hyperlink r:id="rId558" ref="E322"/>
    <hyperlink r:id="rId559" ref="F322"/>
    <hyperlink r:id="rId560" ref="E323"/>
    <hyperlink r:id="rId561" ref="F323"/>
    <hyperlink r:id="rId562" ref="E324"/>
    <hyperlink r:id="rId563" ref="F324"/>
    <hyperlink r:id="rId564" ref="E325"/>
    <hyperlink r:id="rId565" ref="F325"/>
    <hyperlink r:id="rId566" ref="E326"/>
    <hyperlink r:id="rId567" ref="F326"/>
    <hyperlink r:id="rId568" ref="E327"/>
    <hyperlink r:id="rId569" ref="F327"/>
    <hyperlink r:id="rId570" ref="E328"/>
    <hyperlink r:id="rId571" ref="F328"/>
    <hyperlink r:id="rId572" ref="E329"/>
    <hyperlink r:id="rId573" ref="F329"/>
    <hyperlink r:id="rId574" ref="E330"/>
    <hyperlink r:id="rId575" ref="F330"/>
    <hyperlink r:id="rId576" ref="E331"/>
    <hyperlink r:id="rId577" ref="F331"/>
    <hyperlink r:id="rId578" ref="E332"/>
    <hyperlink r:id="rId579" ref="F332"/>
    <hyperlink r:id="rId580" ref="E333"/>
    <hyperlink r:id="rId581" ref="F333"/>
    <hyperlink r:id="rId582" ref="E334"/>
    <hyperlink r:id="rId583" ref="F334"/>
    <hyperlink r:id="rId584" ref="E335"/>
    <hyperlink r:id="rId585" ref="F335"/>
    <hyperlink r:id="rId586" ref="E336"/>
    <hyperlink r:id="rId587" ref="F336"/>
    <hyperlink r:id="rId588" ref="E337"/>
    <hyperlink r:id="rId589" ref="F337"/>
    <hyperlink r:id="rId590" ref="E338"/>
    <hyperlink r:id="rId591" ref="F338"/>
    <hyperlink r:id="rId592" ref="E339"/>
    <hyperlink r:id="rId593" ref="F339"/>
    <hyperlink r:id="rId594" ref="E340"/>
    <hyperlink r:id="rId595" ref="F340"/>
    <hyperlink r:id="rId596" ref="E341"/>
    <hyperlink r:id="rId597" ref="F341"/>
    <hyperlink r:id="rId598" ref="E342"/>
    <hyperlink r:id="rId599" ref="F342"/>
    <hyperlink r:id="rId600" ref="E343"/>
    <hyperlink r:id="rId601" ref="F343"/>
    <hyperlink r:id="rId602" ref="E344"/>
    <hyperlink r:id="rId603" ref="F344"/>
    <hyperlink r:id="rId604" ref="E345"/>
    <hyperlink r:id="rId605" ref="F345"/>
    <hyperlink r:id="rId606" ref="E346"/>
    <hyperlink r:id="rId607" ref="F346"/>
    <hyperlink r:id="rId608" ref="E347"/>
    <hyperlink r:id="rId609" ref="F347"/>
    <hyperlink r:id="rId610" ref="E348"/>
    <hyperlink r:id="rId611" ref="F348"/>
    <hyperlink r:id="rId612" ref="E349"/>
    <hyperlink r:id="rId613" ref="F349"/>
    <hyperlink r:id="rId614" ref="E350"/>
    <hyperlink r:id="rId615" ref="F350"/>
    <hyperlink r:id="rId616" ref="E351"/>
    <hyperlink r:id="rId617" ref="F351"/>
    <hyperlink r:id="rId618" ref="E352"/>
    <hyperlink r:id="rId619" ref="F352"/>
    <hyperlink r:id="rId620" ref="E353"/>
    <hyperlink r:id="rId621" ref="F353"/>
    <hyperlink r:id="rId622" ref="E354"/>
    <hyperlink r:id="rId623" ref="F354"/>
    <hyperlink r:id="rId624" ref="E355"/>
    <hyperlink r:id="rId625" ref="F355"/>
    <hyperlink r:id="rId626" ref="E356"/>
    <hyperlink r:id="rId627" ref="F356"/>
    <hyperlink r:id="rId628" ref="E357"/>
    <hyperlink r:id="rId629" ref="F357"/>
    <hyperlink r:id="rId630" ref="E358"/>
    <hyperlink r:id="rId631" ref="F358"/>
    <hyperlink r:id="rId632" ref="E359"/>
    <hyperlink r:id="rId633" ref="F359"/>
    <hyperlink r:id="rId634" ref="E360"/>
    <hyperlink r:id="rId635" ref="F360"/>
    <hyperlink r:id="rId636" ref="E361"/>
    <hyperlink r:id="rId637" ref="F361"/>
    <hyperlink r:id="rId638" ref="E362"/>
    <hyperlink r:id="rId639" ref="F362"/>
    <hyperlink r:id="rId640" ref="E363"/>
    <hyperlink r:id="rId641" ref="F363"/>
    <hyperlink r:id="rId642" ref="E364"/>
    <hyperlink r:id="rId643" ref="F364"/>
    <hyperlink r:id="rId644" ref="E365"/>
    <hyperlink r:id="rId645" ref="F365"/>
    <hyperlink r:id="rId646" ref="E366"/>
    <hyperlink r:id="rId647" ref="F366"/>
    <hyperlink r:id="rId648" ref="E367"/>
    <hyperlink r:id="rId649" ref="F367"/>
    <hyperlink r:id="rId650" ref="E368"/>
    <hyperlink r:id="rId651" ref="F368"/>
    <hyperlink r:id="rId652" ref="E369"/>
    <hyperlink r:id="rId653" ref="F369"/>
    <hyperlink r:id="rId654" ref="E370"/>
    <hyperlink r:id="rId655" ref="F370"/>
    <hyperlink r:id="rId656" ref="E371"/>
    <hyperlink r:id="rId657" ref="F371"/>
    <hyperlink r:id="rId658" ref="E372"/>
    <hyperlink r:id="rId659" ref="F372"/>
    <hyperlink r:id="rId660" ref="E373"/>
    <hyperlink r:id="rId661" ref="F373"/>
    <hyperlink r:id="rId662" ref="E374"/>
    <hyperlink r:id="rId663" ref="F374"/>
    <hyperlink r:id="rId664" ref="E375"/>
    <hyperlink r:id="rId665" ref="F375"/>
    <hyperlink r:id="rId666" ref="E376"/>
    <hyperlink r:id="rId667" ref="F376"/>
    <hyperlink r:id="rId668" ref="E377"/>
    <hyperlink r:id="rId669" ref="F377"/>
    <hyperlink r:id="rId670" ref="E378"/>
    <hyperlink r:id="rId671" ref="F378"/>
    <hyperlink r:id="rId672" ref="E379"/>
    <hyperlink r:id="rId673" ref="F379"/>
    <hyperlink r:id="rId674" ref="E380"/>
    <hyperlink r:id="rId675" ref="F380"/>
    <hyperlink r:id="rId676" ref="E381"/>
    <hyperlink r:id="rId677" ref="F381"/>
    <hyperlink r:id="rId678" ref="E382"/>
    <hyperlink r:id="rId679" ref="F382"/>
    <hyperlink r:id="rId680" ref="E383"/>
    <hyperlink r:id="rId681" ref="F383"/>
    <hyperlink r:id="rId682" ref="E384"/>
    <hyperlink r:id="rId683" ref="F384"/>
    <hyperlink r:id="rId684" ref="E385"/>
    <hyperlink r:id="rId685" ref="F385"/>
    <hyperlink r:id="rId686" ref="E386"/>
    <hyperlink r:id="rId687" ref="F386"/>
    <hyperlink r:id="rId688" ref="E387"/>
    <hyperlink r:id="rId689" ref="F387"/>
    <hyperlink r:id="rId690" ref="E388"/>
    <hyperlink r:id="rId691" ref="F388"/>
    <hyperlink r:id="rId692" ref="E389"/>
    <hyperlink r:id="rId693" ref="F389"/>
    <hyperlink r:id="rId694" ref="E390"/>
    <hyperlink r:id="rId695" ref="F390"/>
    <hyperlink r:id="rId696" ref="E391"/>
    <hyperlink r:id="rId697" ref="F391"/>
    <hyperlink r:id="rId698" ref="E392"/>
    <hyperlink r:id="rId699" ref="F392"/>
    <hyperlink r:id="rId700" ref="E393"/>
    <hyperlink r:id="rId701" ref="F393"/>
    <hyperlink r:id="rId702" ref="E394"/>
    <hyperlink r:id="rId703" ref="F394"/>
    <hyperlink r:id="rId704" ref="E395"/>
    <hyperlink r:id="rId705" ref="F395"/>
    <hyperlink r:id="rId706" ref="E396"/>
    <hyperlink r:id="rId707" ref="F396"/>
    <hyperlink r:id="rId708" ref="E397"/>
    <hyperlink r:id="rId709" ref="F397"/>
    <hyperlink r:id="rId710" ref="E398"/>
    <hyperlink r:id="rId711" ref="F398"/>
    <hyperlink r:id="rId712" ref="E399"/>
    <hyperlink r:id="rId713" ref="F399"/>
    <hyperlink r:id="rId714" ref="E400"/>
    <hyperlink r:id="rId715" ref="F400"/>
    <hyperlink r:id="rId716" ref="E401"/>
    <hyperlink r:id="rId717" ref="F401"/>
    <hyperlink r:id="rId718" ref="E402"/>
    <hyperlink r:id="rId719" ref="F402"/>
    <hyperlink r:id="rId720" ref="E403"/>
    <hyperlink r:id="rId721" ref="F403"/>
    <hyperlink r:id="rId722" ref="E404"/>
    <hyperlink r:id="rId723" ref="F404"/>
    <hyperlink r:id="rId724" ref="E405"/>
    <hyperlink r:id="rId725" ref="F405"/>
    <hyperlink r:id="rId726" ref="E406"/>
    <hyperlink r:id="rId727" ref="F406"/>
    <hyperlink r:id="rId728" ref="E407"/>
    <hyperlink r:id="rId729" ref="F407"/>
    <hyperlink r:id="rId730" ref="E408"/>
    <hyperlink r:id="rId731" ref="F408"/>
    <hyperlink r:id="rId732" ref="E409"/>
    <hyperlink r:id="rId733" ref="F409"/>
    <hyperlink r:id="rId734" ref="E410"/>
    <hyperlink r:id="rId735" ref="F410"/>
    <hyperlink r:id="rId736" ref="E411"/>
    <hyperlink r:id="rId737" ref="F411"/>
    <hyperlink r:id="rId738" ref="E412"/>
    <hyperlink r:id="rId739" ref="F412"/>
    <hyperlink r:id="rId740" ref="E413"/>
    <hyperlink r:id="rId741" ref="F413"/>
    <hyperlink r:id="rId742" ref="E414"/>
    <hyperlink r:id="rId743" ref="F414"/>
    <hyperlink r:id="rId744" ref="E415"/>
    <hyperlink r:id="rId745" ref="F415"/>
    <hyperlink r:id="rId746" ref="E416"/>
    <hyperlink r:id="rId747" ref="F416"/>
    <hyperlink r:id="rId748" ref="E417"/>
    <hyperlink r:id="rId749" ref="F417"/>
    <hyperlink r:id="rId750" ref="E418"/>
    <hyperlink r:id="rId751" ref="F418"/>
    <hyperlink r:id="rId752" ref="E419"/>
    <hyperlink r:id="rId753" ref="F419"/>
    <hyperlink r:id="rId754" ref="E420"/>
    <hyperlink r:id="rId755" ref="F420"/>
    <hyperlink r:id="rId756" ref="E421"/>
    <hyperlink r:id="rId757" ref="F421"/>
    <hyperlink r:id="rId758" ref="E422"/>
    <hyperlink r:id="rId759" ref="F422"/>
    <hyperlink r:id="rId760" ref="E423"/>
    <hyperlink r:id="rId761" ref="F423"/>
    <hyperlink r:id="rId762" ref="E424"/>
    <hyperlink r:id="rId763" ref="F424"/>
    <hyperlink r:id="rId764" ref="E425"/>
    <hyperlink r:id="rId765" ref="F425"/>
    <hyperlink r:id="rId766" ref="E426"/>
    <hyperlink r:id="rId767" ref="F426"/>
    <hyperlink r:id="rId768" ref="E427"/>
    <hyperlink r:id="rId769" ref="F427"/>
    <hyperlink r:id="rId770" ref="E428"/>
    <hyperlink r:id="rId771" ref="F428"/>
    <hyperlink r:id="rId772" ref="E429"/>
    <hyperlink r:id="rId773" ref="F429"/>
    <hyperlink r:id="rId774" ref="E430"/>
    <hyperlink r:id="rId775" ref="F430"/>
    <hyperlink r:id="rId776" ref="E431"/>
    <hyperlink r:id="rId777" ref="F431"/>
    <hyperlink r:id="rId778" ref="E432"/>
    <hyperlink r:id="rId779" ref="F432"/>
    <hyperlink r:id="rId780" ref="E433"/>
    <hyperlink r:id="rId781" ref="F433"/>
    <hyperlink r:id="rId782" ref="E434"/>
    <hyperlink r:id="rId783" ref="F434"/>
    <hyperlink r:id="rId784" ref="E435"/>
    <hyperlink r:id="rId785" ref="F435"/>
    <hyperlink r:id="rId786" ref="E436"/>
    <hyperlink r:id="rId787" ref="F436"/>
    <hyperlink r:id="rId788" ref="E437"/>
    <hyperlink r:id="rId789" ref="F437"/>
    <hyperlink r:id="rId790" ref="E438"/>
    <hyperlink r:id="rId791" ref="F438"/>
    <hyperlink r:id="rId792" ref="E439"/>
    <hyperlink r:id="rId793" ref="F439"/>
    <hyperlink r:id="rId794" ref="E440"/>
    <hyperlink r:id="rId795" ref="F440"/>
    <hyperlink r:id="rId796" ref="E441"/>
    <hyperlink r:id="rId797" ref="F441"/>
    <hyperlink r:id="rId798" ref="E442"/>
    <hyperlink r:id="rId799" ref="F442"/>
    <hyperlink r:id="rId800" ref="E443"/>
    <hyperlink r:id="rId801" ref="F443"/>
    <hyperlink r:id="rId802" ref="E444"/>
    <hyperlink r:id="rId803" ref="F444"/>
    <hyperlink r:id="rId804" ref="E445"/>
    <hyperlink r:id="rId805" ref="F445"/>
    <hyperlink r:id="rId806" ref="E446"/>
    <hyperlink r:id="rId807" ref="F446"/>
    <hyperlink r:id="rId808" ref="E447"/>
    <hyperlink r:id="rId809" ref="F447"/>
    <hyperlink r:id="rId810" ref="E448"/>
    <hyperlink r:id="rId811" ref="F448"/>
    <hyperlink r:id="rId812" ref="E449"/>
    <hyperlink r:id="rId813" ref="F449"/>
    <hyperlink r:id="rId814" ref="E450"/>
    <hyperlink r:id="rId815" ref="F450"/>
    <hyperlink r:id="rId816" ref="E451"/>
    <hyperlink r:id="rId817" ref="F451"/>
    <hyperlink r:id="rId818" ref="E452"/>
    <hyperlink r:id="rId819" ref="F452"/>
    <hyperlink r:id="rId820" ref="E453"/>
    <hyperlink r:id="rId821" ref="F453"/>
    <hyperlink r:id="rId822" ref="E454"/>
    <hyperlink r:id="rId823" ref="F454"/>
    <hyperlink r:id="rId824" ref="E455"/>
    <hyperlink r:id="rId825" ref="F455"/>
    <hyperlink r:id="rId826" ref="E456"/>
    <hyperlink r:id="rId827" ref="F456"/>
    <hyperlink r:id="rId828" ref="E457"/>
    <hyperlink r:id="rId829" ref="F457"/>
    <hyperlink r:id="rId830" ref="E458"/>
    <hyperlink r:id="rId831" ref="F458"/>
    <hyperlink r:id="rId832" ref="E459"/>
    <hyperlink r:id="rId833" ref="F459"/>
    <hyperlink r:id="rId834" ref="E460"/>
    <hyperlink r:id="rId835" ref="F460"/>
    <hyperlink r:id="rId836" ref="E461"/>
    <hyperlink r:id="rId837" ref="F461"/>
    <hyperlink r:id="rId838" ref="E462"/>
    <hyperlink r:id="rId839" ref="F462"/>
    <hyperlink r:id="rId840" ref="E463"/>
    <hyperlink r:id="rId841" ref="F463"/>
    <hyperlink r:id="rId842" ref="E464"/>
    <hyperlink r:id="rId843" ref="F464"/>
    <hyperlink r:id="rId844" ref="E465"/>
    <hyperlink r:id="rId845" ref="F465"/>
    <hyperlink r:id="rId846" ref="E466"/>
    <hyperlink r:id="rId847" ref="F466"/>
    <hyperlink r:id="rId848" ref="E467"/>
    <hyperlink r:id="rId849" ref="F467"/>
    <hyperlink r:id="rId850" ref="E468"/>
    <hyperlink r:id="rId851" ref="F468"/>
    <hyperlink r:id="rId852" ref="E469"/>
    <hyperlink r:id="rId853" ref="F469"/>
    <hyperlink r:id="rId854" ref="E470"/>
    <hyperlink r:id="rId855" ref="F470"/>
    <hyperlink r:id="rId856" ref="E471"/>
    <hyperlink r:id="rId857" ref="F471"/>
    <hyperlink r:id="rId858" ref="E472"/>
    <hyperlink r:id="rId859" ref="F472"/>
    <hyperlink r:id="rId860" ref="E473"/>
    <hyperlink r:id="rId861" ref="F473"/>
    <hyperlink r:id="rId862" ref="E474"/>
    <hyperlink r:id="rId863" ref="F474"/>
    <hyperlink r:id="rId864" ref="E475"/>
    <hyperlink r:id="rId865" ref="F475"/>
    <hyperlink r:id="rId866" ref="E476"/>
    <hyperlink r:id="rId867" ref="F476"/>
    <hyperlink r:id="rId868" ref="E477"/>
    <hyperlink r:id="rId869" ref="F477"/>
    <hyperlink r:id="rId870" ref="E478"/>
    <hyperlink r:id="rId871" ref="F478"/>
    <hyperlink r:id="rId872" ref="E479"/>
    <hyperlink r:id="rId873" ref="F479"/>
    <hyperlink r:id="rId874" ref="E480"/>
    <hyperlink r:id="rId875" ref="F480"/>
    <hyperlink r:id="rId876" ref="E481"/>
    <hyperlink r:id="rId877" ref="F481"/>
    <hyperlink r:id="rId878" ref="E482"/>
    <hyperlink r:id="rId879" ref="F482"/>
    <hyperlink r:id="rId880" ref="E483"/>
    <hyperlink r:id="rId881" ref="F483"/>
    <hyperlink r:id="rId882" ref="E484"/>
    <hyperlink r:id="rId883" ref="F484"/>
    <hyperlink r:id="rId884" ref="E485"/>
    <hyperlink r:id="rId885" ref="F485"/>
    <hyperlink r:id="rId886" ref="E486"/>
    <hyperlink r:id="rId887" ref="F486"/>
    <hyperlink r:id="rId888" ref="E487"/>
    <hyperlink r:id="rId889" ref="F487"/>
    <hyperlink r:id="rId890" ref="E488"/>
    <hyperlink r:id="rId891" ref="F488"/>
    <hyperlink r:id="rId892" ref="E489"/>
    <hyperlink r:id="rId893" ref="F489"/>
    <hyperlink r:id="rId894" ref="E490"/>
    <hyperlink r:id="rId895" ref="F490"/>
    <hyperlink r:id="rId896" ref="E491"/>
    <hyperlink r:id="rId897" ref="F491"/>
    <hyperlink r:id="rId898" ref="E492"/>
    <hyperlink r:id="rId899" ref="F492"/>
    <hyperlink r:id="rId900" ref="E493"/>
    <hyperlink r:id="rId901" ref="F493"/>
    <hyperlink r:id="rId902" ref="E494"/>
    <hyperlink r:id="rId903" ref="F494"/>
    <hyperlink r:id="rId904" ref="E495"/>
    <hyperlink r:id="rId905" ref="F495"/>
    <hyperlink r:id="rId906" ref="E496"/>
    <hyperlink r:id="rId907" ref="F496"/>
    <hyperlink r:id="rId908" ref="E497"/>
    <hyperlink r:id="rId909" ref="F497"/>
    <hyperlink r:id="rId910" ref="E498"/>
    <hyperlink r:id="rId911" ref="F498"/>
    <hyperlink r:id="rId912" ref="E499"/>
    <hyperlink r:id="rId913" ref="F499"/>
    <hyperlink r:id="rId914" ref="E500"/>
    <hyperlink r:id="rId915" ref="F500"/>
    <hyperlink r:id="rId916" ref="E501"/>
    <hyperlink r:id="rId917" ref="F501"/>
    <hyperlink r:id="rId918" ref="E502"/>
    <hyperlink r:id="rId919" ref="F502"/>
    <hyperlink r:id="rId920" ref="E503"/>
    <hyperlink r:id="rId921" ref="F503"/>
    <hyperlink r:id="rId922" ref="E504"/>
    <hyperlink r:id="rId923" ref="F504"/>
    <hyperlink r:id="rId924" ref="E505"/>
    <hyperlink r:id="rId925" ref="F505"/>
    <hyperlink r:id="rId926" ref="E506"/>
    <hyperlink r:id="rId927" ref="F506"/>
    <hyperlink r:id="rId928" ref="E507"/>
    <hyperlink r:id="rId929" ref="F507"/>
    <hyperlink r:id="rId930" ref="E508"/>
    <hyperlink r:id="rId931" ref="F508"/>
    <hyperlink r:id="rId932" ref="E509"/>
    <hyperlink r:id="rId933" ref="F509"/>
    <hyperlink r:id="rId934" ref="E510"/>
    <hyperlink r:id="rId935" ref="F510"/>
    <hyperlink r:id="rId936" ref="E511"/>
    <hyperlink r:id="rId937" ref="F511"/>
    <hyperlink r:id="rId938" ref="E512"/>
    <hyperlink r:id="rId939" ref="F512"/>
    <hyperlink r:id="rId940" ref="E513"/>
    <hyperlink r:id="rId941" ref="F513"/>
  </hyperlinks>
  <printOptions/>
  <pageMargins bottom="0.75" footer="0.0" header="0.0" left="0.7" right="0.7" top="0.75"/>
  <pageSetup orientation="landscape"/>
  <drawing r:id="rId94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 outlineLevelRow="1"/>
  <cols>
    <col customWidth="1" min="1" max="1" width="4.13"/>
    <col customWidth="1" min="2" max="3" width="20.63"/>
    <col customWidth="1" min="4" max="4" width="21.0"/>
    <col customWidth="1" min="5" max="5" width="13.63"/>
    <col customWidth="1" min="6" max="6" width="33.88"/>
    <col customWidth="1" min="7" max="7" width="76.63"/>
    <col customWidth="1" min="8" max="8" width="5.5"/>
    <col customWidth="1" min="9" max="21" width="5.75"/>
  </cols>
  <sheetData>
    <row r="1">
      <c r="A1" s="1"/>
      <c r="B1" s="1"/>
      <c r="C1" s="5" t="s">
        <v>0</v>
      </c>
      <c r="D1" s="5" t="s">
        <v>3</v>
      </c>
      <c r="E1" s="5" t="s">
        <v>5</v>
      </c>
      <c r="F1" s="5" t="s">
        <v>6</v>
      </c>
      <c r="G1" s="5" t="s">
        <v>8</v>
      </c>
      <c r="H1" s="13" t="s">
        <v>2</v>
      </c>
      <c r="I1" s="13" t="s">
        <v>9</v>
      </c>
      <c r="J1" s="13" t="s">
        <v>10</v>
      </c>
      <c r="K1" s="13" t="s">
        <v>11</v>
      </c>
      <c r="L1" s="13" t="s">
        <v>12</v>
      </c>
      <c r="M1" s="13" t="s">
        <v>13</v>
      </c>
      <c r="N1" s="13" t="s">
        <v>14</v>
      </c>
      <c r="O1" s="13" t="s">
        <v>15</v>
      </c>
      <c r="P1" s="13" t="s">
        <v>4</v>
      </c>
      <c r="Q1" s="13" t="s">
        <v>16</v>
      </c>
      <c r="R1" s="13" t="s">
        <v>17</v>
      </c>
      <c r="S1" s="13" t="s">
        <v>19</v>
      </c>
      <c r="T1" s="13" t="s">
        <v>20</v>
      </c>
      <c r="U1" s="17"/>
      <c r="V1" s="17"/>
      <c r="W1" s="17"/>
      <c r="X1" s="17"/>
      <c r="Y1" s="17"/>
      <c r="Z1" s="17"/>
      <c r="AA1" s="17"/>
      <c r="AB1" s="17"/>
      <c r="AC1" s="17"/>
    </row>
    <row r="2">
      <c r="A2" s="20">
        <f>ID(A2:A1001, D2:D1001)</f>
        <v>1</v>
      </c>
      <c r="B2" s="21"/>
      <c r="C2" s="16" t="str">
        <f t="shared" ref="C2:C8" si="1">hyperlink("https://github.com/d-wkim/phd/blob/main/data/pdf/"&amp;D2&amp;".pdf",PROPER(SUBSTITUTE(D2,"_"," (")&amp;")"))</f>
        <v>Ageberg (2009)</v>
      </c>
      <c r="D2" s="19" t="s">
        <v>22</v>
      </c>
      <c r="E2" s="15" t="s">
        <v>32</v>
      </c>
      <c r="F2" s="15" t="s">
        <v>33</v>
      </c>
      <c r="G2" s="15" t="s">
        <v>4</v>
      </c>
      <c r="H2" s="23" t="str">
        <f>IFERROR(__xludf.DUMMYFUNCTION("if(REGEXMATCH(join("", "",$F2:$G2),H$1)=TRUE,""✓"",""✗"")"),"✓")</f>
        <v>✓</v>
      </c>
      <c r="I2" s="23" t="str">
        <f>IFERROR(__xludf.DUMMYFUNCTION("if(REGEXMATCH(join("", "",$F2:$G2),I$1)=TRUE,""✓"",""✗"")"),"✓")</f>
        <v>✓</v>
      </c>
      <c r="J2" s="23" t="str">
        <f>IFERROR(__xludf.DUMMYFUNCTION("if(REGEXMATCH(join("", "",$F2:$G2),J$1)=TRUE,""✓"",""✗"")"),"✗")</f>
        <v>✗</v>
      </c>
      <c r="K2" s="23" t="str">
        <f>IFERROR(__xludf.DUMMYFUNCTION("if(REGEXMATCH(join("", "",$F2:$G2),K$1)=TRUE,""✓"",""✗"")"),"✗")</f>
        <v>✗</v>
      </c>
      <c r="L2" s="23" t="str">
        <f>IFERROR(__xludf.DUMMYFUNCTION("if(REGEXMATCH(join("", "",$F2:$G2),L$1)=TRUE,""✓"",""✗"")"),"✗")</f>
        <v>✗</v>
      </c>
      <c r="M2" s="23" t="str">
        <f>IFERROR(__xludf.DUMMYFUNCTION("if(REGEXMATCH(join("", "",$F2:$G2),M$1)=TRUE,""✓"",""✗"")"),"✗")</f>
        <v>✗</v>
      </c>
      <c r="N2" s="23" t="str">
        <f>IFERROR(__xludf.DUMMYFUNCTION("if(REGEXMATCH(join("", "",$F2:$G2),N$1)=TRUE,""✓"",""✗"")"),"✗")</f>
        <v>✗</v>
      </c>
      <c r="O2" s="23" t="str">
        <f>IFERROR(__xludf.DUMMYFUNCTION("if(REGEXMATCH(join("", "",$F2:$G2),O$1)=TRUE,""✓"",""✗"")"),"✗")</f>
        <v>✗</v>
      </c>
      <c r="P2" s="23" t="str">
        <f>IFERROR(__xludf.DUMMYFUNCTION("if(REGEXMATCH(join("", "",$F2:$G2),P$1)=TRUE,""✓"",""✗"")"),"✓")</f>
        <v>✓</v>
      </c>
      <c r="Q2" s="23" t="str">
        <f>IFERROR(__xludf.DUMMYFUNCTION("if(REGEXMATCH(join("", "",$F2:$G2),Q$1)=TRUE,""✓"",""✗"")"),"✗")</f>
        <v>✗</v>
      </c>
      <c r="R2" s="23" t="str">
        <f>IFERROR(__xludf.DUMMYFUNCTION("if(REGEXMATCH(join("", "",$F2:$G2),R$1)=TRUE,""✓"",""✗"")"),"✗")</f>
        <v>✗</v>
      </c>
      <c r="S2" s="23" t="str">
        <f>IFERROR(__xludf.DUMMYFUNCTION("if(REGEXMATCH(join("", "",$F2:$G2),S$1)=TRUE,""✓"",""✗"")"),"✗")</f>
        <v>✗</v>
      </c>
      <c r="T2" s="23" t="str">
        <f>IFERROR(__xludf.DUMMYFUNCTION("if(REGEXMATCH(join("", "",$F2:$G2),T$1)=TRUE,""✓"",""✗"")"),"✗")</f>
        <v>✗</v>
      </c>
      <c r="U2" s="33"/>
      <c r="V2" s="33"/>
      <c r="W2" s="33"/>
      <c r="X2" s="33"/>
      <c r="Y2" s="33"/>
      <c r="Z2" s="33"/>
      <c r="AA2" s="33"/>
      <c r="AB2" s="33"/>
      <c r="AC2" s="33"/>
    </row>
    <row r="3">
      <c r="A3" s="20">
        <v>2.0</v>
      </c>
      <c r="B3" s="21"/>
      <c r="C3" s="16" t="str">
        <f t="shared" si="1"/>
        <v>Aglietti (2004)</v>
      </c>
      <c r="D3" s="30" t="s">
        <v>80</v>
      </c>
      <c r="E3" s="15" t="s">
        <v>32</v>
      </c>
      <c r="F3" s="15" t="s">
        <v>33</v>
      </c>
      <c r="G3" s="37" t="s">
        <v>26</v>
      </c>
      <c r="H3" s="23" t="str">
        <f>IFERROR(__xludf.DUMMYFUNCTION("if(REGEXMATCH(join("", "",$F3:$G3),H$1)=TRUE,""✓"",""✗"")"),"✓")</f>
        <v>✓</v>
      </c>
      <c r="I3" s="23" t="str">
        <f>IFERROR(__xludf.DUMMYFUNCTION("if(REGEXMATCH(join("", "",$F3:$G3),I$1)=TRUE,""✓"",""✗"")"),"✓")</f>
        <v>✓</v>
      </c>
      <c r="J3" s="23" t="str">
        <f>IFERROR(__xludf.DUMMYFUNCTION("if(REGEXMATCH(join("", "",$F3:$G3),J$1)=TRUE,""✓"",""✗"")"),"✗")</f>
        <v>✗</v>
      </c>
      <c r="K3" s="23" t="str">
        <f>IFERROR(__xludf.DUMMYFUNCTION("if(REGEXMATCH(join("", "",$F3:$G3),K$1)=TRUE,""✓"",""✗"")"),"✗")</f>
        <v>✗</v>
      </c>
      <c r="L3" s="23" t="str">
        <f>IFERROR(__xludf.DUMMYFUNCTION("if(REGEXMATCH(join("", "",$F3:$G3),L$1)=TRUE,""✓"",""✗"")"),"✗")</f>
        <v>✗</v>
      </c>
      <c r="M3" s="23" t="str">
        <f>IFERROR(__xludf.DUMMYFUNCTION("if(REGEXMATCH(join("", "",$F3:$G3),M$1)=TRUE,""✓"",""✗"")"),"✗")</f>
        <v>✗</v>
      </c>
      <c r="N3" s="23" t="str">
        <f>IFERROR(__xludf.DUMMYFUNCTION("if(REGEXMATCH(join("", "",$F3:$G3),N$1)=TRUE,""✓"",""✗"")"),"✗")</f>
        <v>✗</v>
      </c>
      <c r="O3" s="23" t="str">
        <f>IFERROR(__xludf.DUMMYFUNCTION("if(REGEXMATCH(join("", "",$F3:$G3),O$1)=TRUE,""✓"",""✗"")"),"✗")</f>
        <v>✗</v>
      </c>
      <c r="P3" s="23" t="str">
        <f>IFERROR(__xludf.DUMMYFUNCTION("if(REGEXMATCH(join("", "",$F3:$G3),P$1)=TRUE,""✓"",""✗"")"),"✗")</f>
        <v>✗</v>
      </c>
      <c r="Q3" s="23" t="str">
        <f>IFERROR(__xludf.DUMMYFUNCTION("if(REGEXMATCH(join("", "",$F3:$G3),Q$1)=TRUE,""✓"",""✗"")"),"✓")</f>
        <v>✓</v>
      </c>
      <c r="R3" s="23" t="str">
        <f>IFERROR(__xludf.DUMMYFUNCTION("if(REGEXMATCH(join("", "",$F3:$G3),R$1)=TRUE,""✓"",""✗"")"),"✓")</f>
        <v>✓</v>
      </c>
      <c r="S3" s="23" t="str">
        <f>IFERROR(__xludf.DUMMYFUNCTION("if(REGEXMATCH(join("", "",$F3:$G3),S$1)=TRUE,""✓"",""✗"")"),"✓")</f>
        <v>✓</v>
      </c>
      <c r="T3" s="23" t="str">
        <f>IFERROR(__xludf.DUMMYFUNCTION("if(REGEXMATCH(join("", "",$F3:$G3),T$1)=TRUE,""✓"",""✗"")"),"✗")</f>
        <v>✗</v>
      </c>
      <c r="U3" s="33"/>
      <c r="V3" s="33"/>
      <c r="W3" s="33"/>
      <c r="X3" s="33"/>
      <c r="Y3" s="33"/>
      <c r="Z3" s="33"/>
      <c r="AA3" s="33"/>
      <c r="AB3" s="33"/>
      <c r="AC3" s="33"/>
    </row>
    <row r="4">
      <c r="A4" s="20">
        <v>3.0</v>
      </c>
      <c r="B4" s="21"/>
      <c r="C4" s="16" t="str">
        <f t="shared" si="1"/>
        <v>Ahldén (2009)</v>
      </c>
      <c r="D4" s="30" t="s">
        <v>109</v>
      </c>
      <c r="E4" s="15" t="s">
        <v>32</v>
      </c>
      <c r="F4" s="15" t="s">
        <v>33</v>
      </c>
      <c r="G4" s="37" t="s">
        <v>30</v>
      </c>
      <c r="H4" s="23" t="str">
        <f>IFERROR(__xludf.DUMMYFUNCTION("if(REGEXMATCH(join("", "",$F4:$G4),H$1)=TRUE,""✓"",""✗"")"),"✓")</f>
        <v>✓</v>
      </c>
      <c r="I4" s="23" t="str">
        <f>IFERROR(__xludf.DUMMYFUNCTION("if(REGEXMATCH(join("", "",$F4:$G4),I$1)=TRUE,""✓"",""✗"")"),"✓")</f>
        <v>✓</v>
      </c>
      <c r="J4" s="23" t="str">
        <f>IFERROR(__xludf.DUMMYFUNCTION("if(REGEXMATCH(join("", "",$F4:$G4),J$1)=TRUE,""✓"",""✗"")"),"✗")</f>
        <v>✗</v>
      </c>
      <c r="K4" s="23" t="str">
        <f>IFERROR(__xludf.DUMMYFUNCTION("if(REGEXMATCH(join("", "",$F4:$G4),K$1)=TRUE,""✓"",""✗"")"),"✗")</f>
        <v>✗</v>
      </c>
      <c r="L4" s="23" t="str">
        <f>IFERROR(__xludf.DUMMYFUNCTION("if(REGEXMATCH(join("", "",$F4:$G4),L$1)=TRUE,""✓"",""✗"")"),"✗")</f>
        <v>✗</v>
      </c>
      <c r="M4" s="23" t="str">
        <f>IFERROR(__xludf.DUMMYFUNCTION("if(REGEXMATCH(join("", "",$F4:$G4),M$1)=TRUE,""✓"",""✗"")"),"✗")</f>
        <v>✗</v>
      </c>
      <c r="N4" s="23" t="str">
        <f>IFERROR(__xludf.DUMMYFUNCTION("if(REGEXMATCH(join("", "",$F4:$G4),N$1)=TRUE,""✓"",""✗"")"),"✗")</f>
        <v>✗</v>
      </c>
      <c r="O4" s="23" t="str">
        <f>IFERROR(__xludf.DUMMYFUNCTION("if(REGEXMATCH(join("", "",$F4:$G4),O$1)=TRUE,""✓"",""✗"")"),"✓")</f>
        <v>✓</v>
      </c>
      <c r="P4" s="23" t="str">
        <f>IFERROR(__xludf.DUMMYFUNCTION("if(REGEXMATCH(join("", "",$F4:$G4),P$1)=TRUE,""✓"",""✗"")"),"✓")</f>
        <v>✓</v>
      </c>
      <c r="Q4" s="23" t="str">
        <f>IFERROR(__xludf.DUMMYFUNCTION("if(REGEXMATCH(join("", "",$F4:$G4),Q$1)=TRUE,""✓"",""✗"")"),"✓")</f>
        <v>✓</v>
      </c>
      <c r="R4" s="23" t="str">
        <f>IFERROR(__xludf.DUMMYFUNCTION("if(REGEXMATCH(join("", "",$F4:$G4),R$1)=TRUE,""✓"",""✗"")"),"✗")</f>
        <v>✗</v>
      </c>
      <c r="S4" s="23" t="str">
        <f>IFERROR(__xludf.DUMMYFUNCTION("if(REGEXMATCH(join("", "",$F4:$G4),S$1)=TRUE,""✓"",""✗"")"),"✓")</f>
        <v>✓</v>
      </c>
      <c r="T4" s="23" t="str">
        <f>IFERROR(__xludf.DUMMYFUNCTION("if(REGEXMATCH(join("", "",$F4:$G4),T$1)=TRUE,""✓"",""✗"")"),"✗")</f>
        <v>✗</v>
      </c>
      <c r="U4" s="33"/>
      <c r="V4" s="33"/>
      <c r="W4" s="33"/>
      <c r="X4" s="33"/>
      <c r="Y4" s="33"/>
      <c r="Z4" s="33"/>
      <c r="AA4" s="33"/>
      <c r="AB4" s="33"/>
      <c r="AC4" s="33"/>
    </row>
    <row r="5">
      <c r="A5" s="20">
        <v>4.0</v>
      </c>
      <c r="B5" s="21"/>
      <c r="C5" s="16" t="str">
        <f t="shared" si="1"/>
        <v>Akelman (2016)</v>
      </c>
      <c r="D5" s="30" t="s">
        <v>137</v>
      </c>
      <c r="E5" s="15" t="s">
        <v>102</v>
      </c>
      <c r="F5" s="15" t="s">
        <v>33</v>
      </c>
      <c r="G5" s="37" t="s">
        <v>16</v>
      </c>
      <c r="H5" s="23" t="str">
        <f>IFERROR(__xludf.DUMMYFUNCTION("if(REGEXMATCH(join("", "",$F5:$G5),H$1)=TRUE,""✓"",""✗"")"),"✓")</f>
        <v>✓</v>
      </c>
      <c r="I5" s="23" t="str">
        <f>IFERROR(__xludf.DUMMYFUNCTION("if(REGEXMATCH(join("", "",$F5:$G5),I$1)=TRUE,""✓"",""✗"")"),"✓")</f>
        <v>✓</v>
      </c>
      <c r="J5" s="23" t="str">
        <f>IFERROR(__xludf.DUMMYFUNCTION("if(REGEXMATCH(join("", "",$F5:$G5),J$1)=TRUE,""✓"",""✗"")"),"✗")</f>
        <v>✗</v>
      </c>
      <c r="K5" s="23" t="str">
        <f>IFERROR(__xludf.DUMMYFUNCTION("if(REGEXMATCH(join("", "",$F5:$G5),K$1)=TRUE,""✓"",""✗"")"),"✗")</f>
        <v>✗</v>
      </c>
      <c r="L5" s="23" t="str">
        <f>IFERROR(__xludf.DUMMYFUNCTION("if(REGEXMATCH(join("", "",$F5:$G5),L$1)=TRUE,""✓"",""✗"")"),"✗")</f>
        <v>✗</v>
      </c>
      <c r="M5" s="23" t="str">
        <f>IFERROR(__xludf.DUMMYFUNCTION("if(REGEXMATCH(join("", "",$F5:$G5),M$1)=TRUE,""✓"",""✗"")"),"✗")</f>
        <v>✗</v>
      </c>
      <c r="N5" s="23" t="str">
        <f>IFERROR(__xludf.DUMMYFUNCTION("if(REGEXMATCH(join("", "",$F5:$G5),N$1)=TRUE,""✓"",""✗"")"),"✗")</f>
        <v>✗</v>
      </c>
      <c r="O5" s="23" t="str">
        <f>IFERROR(__xludf.DUMMYFUNCTION("if(REGEXMATCH(join("", "",$F5:$G5),O$1)=TRUE,""✓"",""✗"")"),"✗")</f>
        <v>✗</v>
      </c>
      <c r="P5" s="23" t="str">
        <f>IFERROR(__xludf.DUMMYFUNCTION("if(REGEXMATCH(join("", "",$F5:$G5),P$1)=TRUE,""✓"",""✗"")"),"✗")</f>
        <v>✗</v>
      </c>
      <c r="Q5" s="23" t="str">
        <f>IFERROR(__xludf.DUMMYFUNCTION("if(REGEXMATCH(join("", "",$F5:$G5),Q$1)=TRUE,""✓"",""✗"")"),"✓")</f>
        <v>✓</v>
      </c>
      <c r="R5" s="23" t="str">
        <f>IFERROR(__xludf.DUMMYFUNCTION("if(REGEXMATCH(join("", "",$F5:$G5),R$1)=TRUE,""✓"",""✗"")"),"✗")</f>
        <v>✗</v>
      </c>
      <c r="S5" s="23" t="str">
        <f>IFERROR(__xludf.DUMMYFUNCTION("if(REGEXMATCH(join("", "",$F5:$G5),S$1)=TRUE,""✓"",""✗"")"),"✗")</f>
        <v>✗</v>
      </c>
      <c r="T5" s="23" t="str">
        <f>IFERROR(__xludf.DUMMYFUNCTION("if(REGEXMATCH(join("", "",$F5:$G5),T$1)=TRUE,""✓"",""✗"")"),"✗")</f>
        <v>✗</v>
      </c>
      <c r="U5" s="33"/>
      <c r="V5" s="33"/>
      <c r="W5" s="33"/>
      <c r="X5" s="33"/>
      <c r="Y5" s="33"/>
      <c r="Z5" s="33"/>
      <c r="AA5" s="33"/>
      <c r="AB5" s="33"/>
      <c r="AC5" s="33"/>
    </row>
    <row r="6">
      <c r="A6" s="20">
        <v>5.0</v>
      </c>
      <c r="B6" s="21"/>
      <c r="C6" s="16" t="str">
        <f t="shared" si="1"/>
        <v>Anderson (2001)</v>
      </c>
      <c r="D6" s="30" t="s">
        <v>168</v>
      </c>
      <c r="E6" s="15" t="s">
        <v>32</v>
      </c>
      <c r="F6" s="15" t="s">
        <v>33</v>
      </c>
      <c r="G6" s="37" t="s">
        <v>35</v>
      </c>
      <c r="H6" s="23" t="str">
        <f>IFERROR(__xludf.DUMMYFUNCTION("if(REGEXMATCH(join("", "",$F6:$G6),H$1)=TRUE,""✓"",""✗"")"),"✓")</f>
        <v>✓</v>
      </c>
      <c r="I6" s="23" t="str">
        <f>IFERROR(__xludf.DUMMYFUNCTION("if(REGEXMATCH(join("", "",$F6:$G6),I$1)=TRUE,""✓"",""✗"")"),"✓")</f>
        <v>✓</v>
      </c>
      <c r="J6" s="23" t="str">
        <f>IFERROR(__xludf.DUMMYFUNCTION("if(REGEXMATCH(join("", "",$F6:$G6),J$1)=TRUE,""✓"",""✗"")"),"✗")</f>
        <v>✗</v>
      </c>
      <c r="K6" s="23" t="str">
        <f>IFERROR(__xludf.DUMMYFUNCTION("if(REGEXMATCH(join("", "",$F6:$G6),K$1)=TRUE,""✓"",""✗"")"),"✗")</f>
        <v>✗</v>
      </c>
      <c r="L6" s="23" t="str">
        <f>IFERROR(__xludf.DUMMYFUNCTION("if(REGEXMATCH(join("", "",$F6:$G6),L$1)=TRUE,""✓"",""✗"")"),"✗")</f>
        <v>✗</v>
      </c>
      <c r="M6" s="23" t="str">
        <f>IFERROR(__xludf.DUMMYFUNCTION("if(REGEXMATCH(join("", "",$F6:$G6),M$1)=TRUE,""✓"",""✗"")"),"✗")</f>
        <v>✗</v>
      </c>
      <c r="N6" s="23" t="str">
        <f>IFERROR(__xludf.DUMMYFUNCTION("if(REGEXMATCH(join("", "",$F6:$G6),N$1)=TRUE,""✓"",""✗"")"),"✓")</f>
        <v>✓</v>
      </c>
      <c r="O6" s="23" t="str">
        <f>IFERROR(__xludf.DUMMYFUNCTION("if(REGEXMATCH(join("", "",$F6:$G6),O$1)=TRUE,""✓"",""✗"")"),"✗")</f>
        <v>✗</v>
      </c>
      <c r="P6" s="23" t="str">
        <f>IFERROR(__xludf.DUMMYFUNCTION("if(REGEXMATCH(join("", "",$F6:$G6),P$1)=TRUE,""✓"",""✗"")"),"✗")</f>
        <v>✗</v>
      </c>
      <c r="Q6" s="23" t="str">
        <f>IFERROR(__xludf.DUMMYFUNCTION("if(REGEXMATCH(join("", "",$F6:$G6),Q$1)=TRUE,""✓"",""✗"")"),"✓")</f>
        <v>✓</v>
      </c>
      <c r="R6" s="23" t="str">
        <f>IFERROR(__xludf.DUMMYFUNCTION("if(REGEXMATCH(join("", "",$F6:$G6),R$1)=TRUE,""✓"",""✗"")"),"✓")</f>
        <v>✓</v>
      </c>
      <c r="S6" s="23" t="str">
        <f>IFERROR(__xludf.DUMMYFUNCTION("if(REGEXMATCH(join("", "",$F6:$G6),S$1)=TRUE,""✓"",""✗"")"),"✗")</f>
        <v>✗</v>
      </c>
      <c r="T6" s="23" t="str">
        <f>IFERROR(__xludf.DUMMYFUNCTION("if(REGEXMATCH(join("", "",$F6:$G6),T$1)=TRUE,""✓"",""✗"")"),"✗")</f>
        <v>✗</v>
      </c>
      <c r="U6" s="33"/>
      <c r="V6" s="33"/>
      <c r="W6" s="33"/>
      <c r="X6" s="33"/>
      <c r="Y6" s="33"/>
      <c r="Z6" s="33"/>
      <c r="AA6" s="33"/>
      <c r="AB6" s="33"/>
      <c r="AC6" s="33"/>
    </row>
    <row r="7">
      <c r="A7" s="20">
        <v>6.0</v>
      </c>
      <c r="B7" s="21"/>
      <c r="C7" s="16" t="str">
        <f t="shared" si="1"/>
        <v>Anz (2023)</v>
      </c>
      <c r="D7" s="30" t="s">
        <v>195</v>
      </c>
      <c r="E7" s="15" t="s">
        <v>32</v>
      </c>
      <c r="F7" s="15" t="s">
        <v>33</v>
      </c>
      <c r="G7" s="37" t="s">
        <v>20</v>
      </c>
      <c r="H7" s="23" t="str">
        <f>IFERROR(__xludf.DUMMYFUNCTION("if(REGEXMATCH(join("", "",$F7:$G7),H$1)=TRUE,""✓"",""✗"")"),"✓")</f>
        <v>✓</v>
      </c>
      <c r="I7" s="23" t="str">
        <f>IFERROR(__xludf.DUMMYFUNCTION("if(REGEXMATCH(join("", "",$F7:$G7),I$1)=TRUE,""✓"",""✗"")"),"✓")</f>
        <v>✓</v>
      </c>
      <c r="J7" s="23" t="str">
        <f>IFERROR(__xludf.DUMMYFUNCTION("if(REGEXMATCH(join("", "",$F7:$G7),J$1)=TRUE,""✓"",""✗"")"),"✗")</f>
        <v>✗</v>
      </c>
      <c r="K7" s="23" t="str">
        <f>IFERROR(__xludf.DUMMYFUNCTION("if(REGEXMATCH(join("", "",$F7:$G7),K$1)=TRUE,""✓"",""✗"")"),"✗")</f>
        <v>✗</v>
      </c>
      <c r="L7" s="23" t="str">
        <f>IFERROR(__xludf.DUMMYFUNCTION("if(REGEXMATCH(join("", "",$F7:$G7),L$1)=TRUE,""✓"",""✗"")"),"✗")</f>
        <v>✗</v>
      </c>
      <c r="M7" s="23" t="str">
        <f>IFERROR(__xludf.DUMMYFUNCTION("if(REGEXMATCH(join("", "",$F7:$G7),M$1)=TRUE,""✓"",""✗"")"),"✗")</f>
        <v>✗</v>
      </c>
      <c r="N7" s="23" t="str">
        <f>IFERROR(__xludf.DUMMYFUNCTION("if(REGEXMATCH(join("", "",$F7:$G7),N$1)=TRUE,""✓"",""✗"")"),"✗")</f>
        <v>✗</v>
      </c>
      <c r="O7" s="23" t="str">
        <f>IFERROR(__xludf.DUMMYFUNCTION("if(REGEXMATCH(join("", "",$F7:$G7),O$1)=TRUE,""✓"",""✗"")"),"✗")</f>
        <v>✗</v>
      </c>
      <c r="P7" s="23" t="str">
        <f>IFERROR(__xludf.DUMMYFUNCTION("if(REGEXMATCH(join("", "",$F7:$G7),P$1)=TRUE,""✓"",""✗"")"),"✗")</f>
        <v>✗</v>
      </c>
      <c r="Q7" s="23" t="str">
        <f>IFERROR(__xludf.DUMMYFUNCTION("if(REGEXMATCH(join("", "",$F7:$G7),Q$1)=TRUE,""✓"",""✗"")"),"✗")</f>
        <v>✗</v>
      </c>
      <c r="R7" s="23" t="str">
        <f>IFERROR(__xludf.DUMMYFUNCTION("if(REGEXMATCH(join("", "",$F7:$G7),R$1)=TRUE,""✓"",""✗"")"),"✗")</f>
        <v>✗</v>
      </c>
      <c r="S7" s="23" t="str">
        <f>IFERROR(__xludf.DUMMYFUNCTION("if(REGEXMATCH(join("", "",$F7:$G7),S$1)=TRUE,""✓"",""✗"")"),"✗")</f>
        <v>✗</v>
      </c>
      <c r="T7" s="23" t="str">
        <f>IFERROR(__xludf.DUMMYFUNCTION("if(REGEXMATCH(join("", "",$F7:$G7),T$1)=TRUE,""✓"",""✗"")"),"✓")</f>
        <v>✓</v>
      </c>
      <c r="U7" s="33"/>
      <c r="V7" s="33"/>
      <c r="W7" s="33"/>
      <c r="X7" s="33"/>
      <c r="Y7" s="33"/>
      <c r="Z7" s="33"/>
      <c r="AA7" s="33"/>
      <c r="AB7" s="33"/>
      <c r="AC7" s="33"/>
    </row>
    <row r="8">
      <c r="A8" s="20">
        <v>7.0</v>
      </c>
      <c r="B8" s="21"/>
      <c r="C8" s="16" t="str">
        <f t="shared" si="1"/>
        <v>Aune (2001)</v>
      </c>
      <c r="D8" s="30" t="s">
        <v>210</v>
      </c>
      <c r="E8" s="15" t="s">
        <v>32</v>
      </c>
      <c r="F8" s="15" t="s">
        <v>33</v>
      </c>
      <c r="G8" s="37" t="s">
        <v>16</v>
      </c>
      <c r="H8" s="23" t="str">
        <f>IFERROR(__xludf.DUMMYFUNCTION("if(REGEXMATCH(join("", "",$F8:$G8),H$1)=TRUE,""✓"",""✗"")"),"✓")</f>
        <v>✓</v>
      </c>
      <c r="I8" s="23" t="str">
        <f>IFERROR(__xludf.DUMMYFUNCTION("if(REGEXMATCH(join("", "",$F8:$G8),I$1)=TRUE,""✓"",""✗"")"),"✓")</f>
        <v>✓</v>
      </c>
      <c r="J8" s="23" t="str">
        <f>IFERROR(__xludf.DUMMYFUNCTION("if(REGEXMATCH(join("", "",$F8:$G8),J$1)=TRUE,""✓"",""✗"")"),"✗")</f>
        <v>✗</v>
      </c>
      <c r="K8" s="23" t="str">
        <f>IFERROR(__xludf.DUMMYFUNCTION("if(REGEXMATCH(join("", "",$F8:$G8),K$1)=TRUE,""✓"",""✗"")"),"✗")</f>
        <v>✗</v>
      </c>
      <c r="L8" s="23" t="str">
        <f>IFERROR(__xludf.DUMMYFUNCTION("if(REGEXMATCH(join("", "",$F8:$G8),L$1)=TRUE,""✓"",""✗"")"),"✗")</f>
        <v>✗</v>
      </c>
      <c r="M8" s="23" t="str">
        <f>IFERROR(__xludf.DUMMYFUNCTION("if(REGEXMATCH(join("", "",$F8:$G8),M$1)=TRUE,""✓"",""✗"")"),"✗")</f>
        <v>✗</v>
      </c>
      <c r="N8" s="23" t="str">
        <f>IFERROR(__xludf.DUMMYFUNCTION("if(REGEXMATCH(join("", "",$F8:$G8),N$1)=TRUE,""✓"",""✗"")"),"✗")</f>
        <v>✗</v>
      </c>
      <c r="O8" s="23" t="str">
        <f>IFERROR(__xludf.DUMMYFUNCTION("if(REGEXMATCH(join("", "",$F8:$G8),O$1)=TRUE,""✓"",""✗"")"),"✗")</f>
        <v>✗</v>
      </c>
      <c r="P8" s="23" t="str">
        <f>IFERROR(__xludf.DUMMYFUNCTION("if(REGEXMATCH(join("", "",$F8:$G8),P$1)=TRUE,""✓"",""✗"")"),"✗")</f>
        <v>✗</v>
      </c>
      <c r="Q8" s="23" t="str">
        <f>IFERROR(__xludf.DUMMYFUNCTION("if(REGEXMATCH(join("", "",$F8:$G8),Q$1)=TRUE,""✓"",""✗"")"),"✓")</f>
        <v>✓</v>
      </c>
      <c r="R8" s="23" t="str">
        <f>IFERROR(__xludf.DUMMYFUNCTION("if(REGEXMATCH(join("", "",$F8:$G8),R$1)=TRUE,""✓"",""✗"")"),"✗")</f>
        <v>✗</v>
      </c>
      <c r="S8" s="23" t="str">
        <f>IFERROR(__xludf.DUMMYFUNCTION("if(REGEXMATCH(join("", "",$F8:$G8),S$1)=TRUE,""✓"",""✗"")"),"✗")</f>
        <v>✗</v>
      </c>
      <c r="T8" s="23" t="str">
        <f>IFERROR(__xludf.DUMMYFUNCTION("if(REGEXMATCH(join("", "",$F8:$G8),T$1)=TRUE,""✓"",""✗"")"),"✗")</f>
        <v>✗</v>
      </c>
      <c r="U8" s="33"/>
      <c r="V8" s="33"/>
      <c r="W8" s="33"/>
      <c r="X8" s="33"/>
      <c r="Y8" s="33"/>
      <c r="Z8" s="33"/>
      <c r="AA8" s="33"/>
      <c r="AB8" s="33"/>
      <c r="AC8" s="33"/>
    </row>
    <row r="9" hidden="1" outlineLevel="1">
      <c r="A9" s="20">
        <v>8.0</v>
      </c>
      <c r="B9" s="21"/>
      <c r="C9" s="15"/>
      <c r="D9" s="30" t="s">
        <v>221</v>
      </c>
      <c r="E9" s="15" t="s">
        <v>102</v>
      </c>
      <c r="F9" s="37"/>
      <c r="G9" s="15" t="s">
        <v>228</v>
      </c>
      <c r="H9" s="23" t="str">
        <f>IFERROR(__xludf.DUMMYFUNCTION("if(REGEXMATCH(join("", "",$F9:$G9),H$1)=TRUE,""✓"",""✗"")"),"✗")</f>
        <v>✗</v>
      </c>
      <c r="I9" s="23" t="str">
        <f>IFERROR(__xludf.DUMMYFUNCTION("if(REGEXMATCH(join("", "",$F9:$G9),I$1)=TRUE,""✓"",""✗"")"),"✗")</f>
        <v>✗</v>
      </c>
      <c r="J9" s="23" t="str">
        <f>IFERROR(__xludf.DUMMYFUNCTION("if(REGEXMATCH(join("", "",$F9:$G9),J$1)=TRUE,""✓"",""✗"")"),"✗")</f>
        <v>✗</v>
      </c>
      <c r="K9" s="23" t="str">
        <f>IFERROR(__xludf.DUMMYFUNCTION("if(REGEXMATCH(join("", "",$F9:$G9),K$1)=TRUE,""✓"",""✗"")"),"✗")</f>
        <v>✗</v>
      </c>
      <c r="L9" s="23" t="str">
        <f>IFERROR(__xludf.DUMMYFUNCTION("if(REGEXMATCH(join("", "",$F9:$G9),L$1)=TRUE,""✓"",""✗"")"),"✗")</f>
        <v>✗</v>
      </c>
      <c r="M9" s="23" t="str">
        <f>IFERROR(__xludf.DUMMYFUNCTION("if(REGEXMATCH(join("", "",$F9:$G9),M$1)=TRUE,""✓"",""✗"")"),"✗")</f>
        <v>✗</v>
      </c>
      <c r="N9" s="23" t="str">
        <f>IFERROR(__xludf.DUMMYFUNCTION("if(REGEXMATCH(join("", "",$F9:$G9),N$1)=TRUE,""✓"",""✗"")"),"✗")</f>
        <v>✗</v>
      </c>
      <c r="O9" s="23" t="str">
        <f>IFERROR(__xludf.DUMMYFUNCTION("if(REGEXMATCH(join("", "",$F9:$G9),O$1)=TRUE,""✓"",""✗"")"),"✗")</f>
        <v>✗</v>
      </c>
      <c r="P9" s="23" t="str">
        <f>IFERROR(__xludf.DUMMYFUNCTION("if(REGEXMATCH(join("", "",$F9:$G9),P$1)=TRUE,""✓"",""✗"")"),"✗")</f>
        <v>✗</v>
      </c>
      <c r="Q9" s="23" t="str">
        <f>IFERROR(__xludf.DUMMYFUNCTION("if(REGEXMATCH(join("", "",$F9:$G9),Q$1)=TRUE,""✓"",""✗"")"),"✗")</f>
        <v>✗</v>
      </c>
      <c r="R9" s="23" t="str">
        <f>IFERROR(__xludf.DUMMYFUNCTION("if(REGEXMATCH(join("", "",$F9:$G9),R$1)=TRUE,""✓"",""✗"")"),"✗")</f>
        <v>✗</v>
      </c>
      <c r="S9" s="23" t="str">
        <f>IFERROR(__xludf.DUMMYFUNCTION("if(REGEXMATCH(join("", "",$F9:$G9),S$1)=TRUE,""✓"",""✗"")"),"✗")</f>
        <v>✗</v>
      </c>
      <c r="T9" s="23" t="str">
        <f>IFERROR(__xludf.DUMMYFUNCTION("if(REGEXMATCH(join("", "",$F9:$G9),T$1)=TRUE,""✓"",""✗"")"),"✗")</f>
        <v>✗</v>
      </c>
      <c r="U9" s="33"/>
      <c r="V9" s="33"/>
      <c r="W9" s="33"/>
      <c r="X9" s="33"/>
      <c r="Y9" s="33"/>
      <c r="Z9" s="33"/>
      <c r="AA9" s="33"/>
      <c r="AB9" s="33"/>
      <c r="AC9" s="33"/>
    </row>
    <row r="10">
      <c r="A10" s="20">
        <v>9.0</v>
      </c>
      <c r="B10" s="21"/>
      <c r="C10" s="16" t="str">
        <f t="shared" ref="C10:C15" si="2">hyperlink("https://github.com/d-wkim/phd/blob/main/data/pdf/"&amp;D10&amp;".pdf",PROPER(SUBSTITUTE(D10,"_"," (")&amp;")"))</f>
        <v>Barenius (2014)</v>
      </c>
      <c r="D10" s="30" t="s">
        <v>235</v>
      </c>
      <c r="E10" s="15" t="s">
        <v>32</v>
      </c>
      <c r="F10" s="15" t="s">
        <v>33</v>
      </c>
      <c r="G10" s="37" t="s">
        <v>41</v>
      </c>
      <c r="H10" s="23" t="str">
        <f>IFERROR(__xludf.DUMMYFUNCTION("if(REGEXMATCH(join("", "",$F10:$G10),H$1)=TRUE,""✓"",""✗"")"),"✓")</f>
        <v>✓</v>
      </c>
      <c r="I10" s="23" t="str">
        <f>IFERROR(__xludf.DUMMYFUNCTION("if(REGEXMATCH(join("", "",$F10:$G10),I$1)=TRUE,""✓"",""✗"")"),"✓")</f>
        <v>✓</v>
      </c>
      <c r="J10" s="23" t="str">
        <f>IFERROR(__xludf.DUMMYFUNCTION("if(REGEXMATCH(join("", "",$F10:$G10),J$1)=TRUE,""✓"",""✗"")"),"✗")</f>
        <v>✗</v>
      </c>
      <c r="K10" s="23" t="str">
        <f>IFERROR(__xludf.DUMMYFUNCTION("if(REGEXMATCH(join("", "",$F10:$G10),K$1)=TRUE,""✓"",""✗"")"),"✗")</f>
        <v>✗</v>
      </c>
      <c r="L10" s="23" t="str">
        <f>IFERROR(__xludf.DUMMYFUNCTION("if(REGEXMATCH(join("", "",$F10:$G10),L$1)=TRUE,""✓"",""✗"")"),"✗")</f>
        <v>✗</v>
      </c>
      <c r="M10" s="23" t="str">
        <f>IFERROR(__xludf.DUMMYFUNCTION("if(REGEXMATCH(join("", "",$F10:$G10),M$1)=TRUE,""✓"",""✗"")"),"✗")</f>
        <v>✗</v>
      </c>
      <c r="N10" s="23" t="str">
        <f>IFERROR(__xludf.DUMMYFUNCTION("if(REGEXMATCH(join("", "",$F10:$G10),N$1)=TRUE,""✓"",""✗"")"),"✓")</f>
        <v>✓</v>
      </c>
      <c r="O10" s="23" t="str">
        <f>IFERROR(__xludf.DUMMYFUNCTION("if(REGEXMATCH(join("", "",$F10:$G10),O$1)=TRUE,""✓"",""✗"")"),"✓")</f>
        <v>✓</v>
      </c>
      <c r="P10" s="23" t="str">
        <f>IFERROR(__xludf.DUMMYFUNCTION("if(REGEXMATCH(join("", "",$F10:$G10),P$1)=TRUE,""✓"",""✗"")"),"✗")</f>
        <v>✗</v>
      </c>
      <c r="Q10" s="23" t="str">
        <f>IFERROR(__xludf.DUMMYFUNCTION("if(REGEXMATCH(join("", "",$F10:$G10),Q$1)=TRUE,""✓"",""✗"")"),"✓")</f>
        <v>✓</v>
      </c>
      <c r="R10" s="23" t="str">
        <f>IFERROR(__xludf.DUMMYFUNCTION("if(REGEXMATCH(join("", "",$F10:$G10),R$1)=TRUE,""✓"",""✗"")"),"✓")</f>
        <v>✓</v>
      </c>
      <c r="S10" s="23" t="str">
        <f>IFERROR(__xludf.DUMMYFUNCTION("if(REGEXMATCH(join("", "",$F10:$G10),S$1)=TRUE,""✓"",""✗"")"),"✓")</f>
        <v>✓</v>
      </c>
      <c r="T10" s="23" t="str">
        <f>IFERROR(__xludf.DUMMYFUNCTION("if(REGEXMATCH(join("", "",$F10:$G10),T$1)=TRUE,""✓"",""✗"")"),"✗")</f>
        <v>✗</v>
      </c>
      <c r="U10" s="33"/>
      <c r="V10" s="33"/>
      <c r="W10" s="33"/>
      <c r="X10" s="33"/>
      <c r="Y10" s="33"/>
      <c r="Z10" s="33"/>
      <c r="AA10" s="33"/>
      <c r="AB10" s="33"/>
      <c r="AC10" s="33"/>
    </row>
    <row r="11">
      <c r="A11" s="20">
        <v>10.0</v>
      </c>
      <c r="B11" s="21"/>
      <c r="C11" s="16" t="str">
        <f t="shared" si="2"/>
        <v>Barié (2020)</v>
      </c>
      <c r="D11" s="30" t="s">
        <v>246</v>
      </c>
      <c r="E11" s="15" t="s">
        <v>32</v>
      </c>
      <c r="F11" s="37" t="s">
        <v>191</v>
      </c>
      <c r="G11" s="37" t="s">
        <v>43</v>
      </c>
      <c r="H11" s="23" t="str">
        <f>IFERROR(__xludf.DUMMYFUNCTION("if(REGEXMATCH(join("", "",$F11:$G11),H$1)=TRUE,""✓"",""✗"")"),"✓")</f>
        <v>✓</v>
      </c>
      <c r="I11" s="23" t="str">
        <f>IFERROR(__xludf.DUMMYFUNCTION("if(REGEXMATCH(join("", "",$F11:$G11),I$1)=TRUE,""✓"",""✗"")"),"✗")</f>
        <v>✗</v>
      </c>
      <c r="J11" s="23" t="str">
        <f>IFERROR(__xludf.DUMMYFUNCTION("if(REGEXMATCH(join("", "",$F11:$G11),J$1)=TRUE,""✓"",""✗"")"),"✓")</f>
        <v>✓</v>
      </c>
      <c r="K11" s="23" t="str">
        <f>IFERROR(__xludf.DUMMYFUNCTION("if(REGEXMATCH(join("", "",$F11:$G11),K$1)=TRUE,""✓"",""✗"")"),"✗")</f>
        <v>✗</v>
      </c>
      <c r="L11" s="23" t="str">
        <f>IFERROR(__xludf.DUMMYFUNCTION("if(REGEXMATCH(join("", "",$F11:$G11),L$1)=TRUE,""✓"",""✗"")"),"✗")</f>
        <v>✗</v>
      </c>
      <c r="M11" s="23" t="str">
        <f>IFERROR(__xludf.DUMMYFUNCTION("if(REGEXMATCH(join("", "",$F11:$G11),M$1)=TRUE,""✓"",""✗"")"),"✗")</f>
        <v>✗</v>
      </c>
      <c r="N11" s="23" t="str">
        <f>IFERROR(__xludf.DUMMYFUNCTION("if(REGEXMATCH(join("", "",$F11:$G11),N$1)=TRUE,""✓"",""✗"")"),"✓")</f>
        <v>✓</v>
      </c>
      <c r="O11" s="23" t="str">
        <f>IFERROR(__xludf.DUMMYFUNCTION("if(REGEXMATCH(join("", "",$F11:$G11),O$1)=TRUE,""✓"",""✗"")"),"✓")</f>
        <v>✓</v>
      </c>
      <c r="P11" s="23" t="str">
        <f>IFERROR(__xludf.DUMMYFUNCTION("if(REGEXMATCH(join("", "",$F11:$G11),P$1)=TRUE,""✓"",""✗"")"),"✓")</f>
        <v>✓</v>
      </c>
      <c r="Q11" s="23" t="str">
        <f>IFERROR(__xludf.DUMMYFUNCTION("if(REGEXMATCH(join("", "",$F11:$G11),Q$1)=TRUE,""✓"",""✗"")"),"✓")</f>
        <v>✓</v>
      </c>
      <c r="R11" s="23" t="str">
        <f>IFERROR(__xludf.DUMMYFUNCTION("if(REGEXMATCH(join("", "",$F11:$G11),R$1)=TRUE,""✓"",""✗"")"),"✗")</f>
        <v>✗</v>
      </c>
      <c r="S11" s="23" t="str">
        <f>IFERROR(__xludf.DUMMYFUNCTION("if(REGEXMATCH(join("", "",$F11:$G11),S$1)=TRUE,""✓"",""✗"")"),"✗")</f>
        <v>✗</v>
      </c>
      <c r="T11" s="23" t="str">
        <f>IFERROR(__xludf.DUMMYFUNCTION("if(REGEXMATCH(join("", "",$F11:$G11),T$1)=TRUE,""✓"",""✗"")"),"✓")</f>
        <v>✓</v>
      </c>
      <c r="U11" s="33"/>
      <c r="V11" s="33"/>
      <c r="W11" s="33"/>
      <c r="X11" s="33"/>
      <c r="Y11" s="33"/>
      <c r="Z11" s="33"/>
      <c r="AA11" s="33"/>
      <c r="AB11" s="33"/>
      <c r="AC11" s="33"/>
    </row>
    <row r="12">
      <c r="A12" s="20">
        <v>11.0</v>
      </c>
      <c r="B12" s="21"/>
      <c r="C12" s="16" t="str">
        <f t="shared" si="2"/>
        <v>Beynnon (2002)</v>
      </c>
      <c r="D12" s="30" t="s">
        <v>257</v>
      </c>
      <c r="E12" s="15" t="s">
        <v>32</v>
      </c>
      <c r="F12" s="15" t="s">
        <v>33</v>
      </c>
      <c r="G12" s="37" t="s">
        <v>48</v>
      </c>
      <c r="H12" s="23" t="str">
        <f>IFERROR(__xludf.DUMMYFUNCTION("if(REGEXMATCH(join("", "",$F12:$G12),H$1)=TRUE,""✓"",""✗"")"),"✓")</f>
        <v>✓</v>
      </c>
      <c r="I12" s="23" t="str">
        <f>IFERROR(__xludf.DUMMYFUNCTION("if(REGEXMATCH(join("", "",$F12:$G12),I$1)=TRUE,""✓"",""✗"")"),"✓")</f>
        <v>✓</v>
      </c>
      <c r="J12" s="23" t="str">
        <f>IFERROR(__xludf.DUMMYFUNCTION("if(REGEXMATCH(join("", "",$F12:$G12),J$1)=TRUE,""✓"",""✗"")"),"✗")</f>
        <v>✗</v>
      </c>
      <c r="K12" s="23" t="str">
        <f>IFERROR(__xludf.DUMMYFUNCTION("if(REGEXMATCH(join("", "",$F12:$G12),K$1)=TRUE,""✓"",""✗"")"),"✗")</f>
        <v>✗</v>
      </c>
      <c r="L12" s="23" t="str">
        <f>IFERROR(__xludf.DUMMYFUNCTION("if(REGEXMATCH(join("", "",$F12:$G12),L$1)=TRUE,""✓"",""✗"")"),"✗")</f>
        <v>✗</v>
      </c>
      <c r="M12" s="23" t="str">
        <f>IFERROR(__xludf.DUMMYFUNCTION("if(REGEXMATCH(join("", "",$F12:$G12),M$1)=TRUE,""✓"",""✗"")"),"✗")</f>
        <v>✗</v>
      </c>
      <c r="N12" s="23" t="str">
        <f>IFERROR(__xludf.DUMMYFUNCTION("if(REGEXMATCH(join("", "",$F12:$G12),N$1)=TRUE,""✓"",""✗"")"),"✓")</f>
        <v>✓</v>
      </c>
      <c r="O12" s="23" t="str">
        <f>IFERROR(__xludf.DUMMYFUNCTION("if(REGEXMATCH(join("", "",$F12:$G12),O$1)=TRUE,""✓"",""✗"")"),"✗")</f>
        <v>✗</v>
      </c>
      <c r="P12" s="23" t="str">
        <f>IFERROR(__xludf.DUMMYFUNCTION("if(REGEXMATCH(join("", "",$F12:$G12),P$1)=TRUE,""✓"",""✗"")"),"✓")</f>
        <v>✓</v>
      </c>
      <c r="Q12" s="23" t="str">
        <f>IFERROR(__xludf.DUMMYFUNCTION("if(REGEXMATCH(join("", "",$F12:$G12),Q$1)=TRUE,""✓"",""✗"")"),"✓")</f>
        <v>✓</v>
      </c>
      <c r="R12" s="23" t="str">
        <f>IFERROR(__xludf.DUMMYFUNCTION("if(REGEXMATCH(join("", "",$F12:$G12),R$1)=TRUE,""✓"",""✗"")"),"✓")</f>
        <v>✓</v>
      </c>
      <c r="S12" s="23" t="str">
        <f>IFERROR(__xludf.DUMMYFUNCTION("if(REGEXMATCH(join("", "",$F12:$G12),S$1)=TRUE,""✓"",""✗"")"),"✓")</f>
        <v>✓</v>
      </c>
      <c r="T12" s="23" t="str">
        <f>IFERROR(__xludf.DUMMYFUNCTION("if(REGEXMATCH(join("", "",$F12:$G12),T$1)=TRUE,""✓"",""✗"")"),"✗")</f>
        <v>✗</v>
      </c>
      <c r="U12" s="33"/>
      <c r="V12" s="33"/>
      <c r="W12" s="33"/>
      <c r="X12" s="33"/>
      <c r="Y12" s="33"/>
      <c r="Z12" s="33"/>
      <c r="AA12" s="33"/>
      <c r="AB12" s="33"/>
      <c r="AC12" s="33"/>
    </row>
    <row r="13">
      <c r="A13" s="20">
        <v>12.0</v>
      </c>
      <c r="B13" s="21"/>
      <c r="C13" s="16" t="str">
        <f t="shared" si="2"/>
        <v>Bi (2018)</v>
      </c>
      <c r="D13" s="30" t="s">
        <v>267</v>
      </c>
      <c r="E13" s="15" t="s">
        <v>32</v>
      </c>
      <c r="F13" s="37" t="s">
        <v>209</v>
      </c>
      <c r="G13" s="37" t="s">
        <v>53</v>
      </c>
      <c r="H13" s="23" t="str">
        <f>IFERROR(__xludf.DUMMYFUNCTION("if(REGEXMATCH(join("", "",$F13:$G13),H$1)=TRUE,""✓"",""✗"")"),"✗")</f>
        <v>✗</v>
      </c>
      <c r="I13" s="23" t="str">
        <f>IFERROR(__xludf.DUMMYFUNCTION("if(REGEXMATCH(join("", "",$F13:$G13),I$1)=TRUE,""✓"",""✗"")"),"✓")</f>
        <v>✓</v>
      </c>
      <c r="J13" s="23" t="str">
        <f>IFERROR(__xludf.DUMMYFUNCTION("if(REGEXMATCH(join("", "",$F13:$G13),J$1)=TRUE,""✓"",""✗"")"),"✗")</f>
        <v>✗</v>
      </c>
      <c r="K13" s="23" t="str">
        <f>IFERROR(__xludf.DUMMYFUNCTION("if(REGEXMATCH(join("", "",$F13:$G13),K$1)=TRUE,""✓"",""✗"")"),"✓")</f>
        <v>✓</v>
      </c>
      <c r="L13" s="23" t="str">
        <f>IFERROR(__xludf.DUMMYFUNCTION("if(REGEXMATCH(join("", "",$F13:$G13),L$1)=TRUE,""✓"",""✗"")"),"✗")</f>
        <v>✗</v>
      </c>
      <c r="M13" s="23" t="str">
        <f>IFERROR(__xludf.DUMMYFUNCTION("if(REGEXMATCH(join("", "",$F13:$G13),M$1)=TRUE,""✓"",""✗"")"),"✗")</f>
        <v>✗</v>
      </c>
      <c r="N13" s="23" t="str">
        <f>IFERROR(__xludf.DUMMYFUNCTION("if(REGEXMATCH(join("", "",$F13:$G13),N$1)=TRUE,""✓"",""✗"")"),"✓")</f>
        <v>✓</v>
      </c>
      <c r="O13" s="23" t="str">
        <f>IFERROR(__xludf.DUMMYFUNCTION("if(REGEXMATCH(join("", "",$F13:$G13),O$1)=TRUE,""✓"",""✗"")"),"✗")</f>
        <v>✗</v>
      </c>
      <c r="P13" s="23" t="str">
        <f>IFERROR(__xludf.DUMMYFUNCTION("if(REGEXMATCH(join("", "",$F13:$G13),P$1)=TRUE,""✓"",""✗"")"),"✗")</f>
        <v>✗</v>
      </c>
      <c r="Q13" s="23" t="str">
        <f>IFERROR(__xludf.DUMMYFUNCTION("if(REGEXMATCH(join("", "",$F13:$G13),Q$1)=TRUE,""✓"",""✗"")"),"✓")</f>
        <v>✓</v>
      </c>
      <c r="R13" s="23" t="str">
        <f>IFERROR(__xludf.DUMMYFUNCTION("if(REGEXMATCH(join("", "",$F13:$G13),R$1)=TRUE,""✓"",""✗"")"),"✓")</f>
        <v>✓</v>
      </c>
      <c r="S13" s="23" t="str">
        <f>IFERROR(__xludf.DUMMYFUNCTION("if(REGEXMATCH(join("", "",$F13:$G13),S$1)=TRUE,""✓"",""✗"")"),"✗")</f>
        <v>✗</v>
      </c>
      <c r="T13" s="23" t="str">
        <f>IFERROR(__xludf.DUMMYFUNCTION("if(REGEXMATCH(join("", "",$F13:$G13),T$1)=TRUE,""✓"",""✗"")"),"✓")</f>
        <v>✓</v>
      </c>
      <c r="U13" s="33"/>
      <c r="V13" s="33"/>
      <c r="W13" s="33"/>
      <c r="X13" s="33"/>
      <c r="Y13" s="33"/>
      <c r="Z13" s="33"/>
      <c r="AA13" s="33"/>
      <c r="AB13" s="33"/>
      <c r="AC13" s="33"/>
    </row>
    <row r="14">
      <c r="A14" s="20">
        <v>13.0</v>
      </c>
      <c r="B14" s="21"/>
      <c r="C14" s="16" t="str">
        <f t="shared" si="2"/>
        <v>Björnsson (2016)</v>
      </c>
      <c r="D14" s="30" t="s">
        <v>277</v>
      </c>
      <c r="E14" s="15" t="s">
        <v>32</v>
      </c>
      <c r="F14" s="15" t="s">
        <v>33</v>
      </c>
      <c r="G14" s="37" t="s">
        <v>58</v>
      </c>
      <c r="H14" s="23" t="str">
        <f>IFERROR(__xludf.DUMMYFUNCTION("if(REGEXMATCH(join("", "",$F14:$G14),H$1)=TRUE,""✓"",""✗"")"),"✓")</f>
        <v>✓</v>
      </c>
      <c r="I14" s="23" t="str">
        <f>IFERROR(__xludf.DUMMYFUNCTION("if(REGEXMATCH(join("", "",$F14:$G14),I$1)=TRUE,""✓"",""✗"")"),"✓")</f>
        <v>✓</v>
      </c>
      <c r="J14" s="23" t="str">
        <f>IFERROR(__xludf.DUMMYFUNCTION("if(REGEXMATCH(join("", "",$F14:$G14),J$1)=TRUE,""✓"",""✗"")"),"✗")</f>
        <v>✗</v>
      </c>
      <c r="K14" s="23" t="str">
        <f>IFERROR(__xludf.DUMMYFUNCTION("if(REGEXMATCH(join("", "",$F14:$G14),K$1)=TRUE,""✓"",""✗"")"),"✗")</f>
        <v>✗</v>
      </c>
      <c r="L14" s="23" t="str">
        <f>IFERROR(__xludf.DUMMYFUNCTION("if(REGEXMATCH(join("", "",$F14:$G14),L$1)=TRUE,""✓"",""✗"")"),"✗")</f>
        <v>✗</v>
      </c>
      <c r="M14" s="23" t="str">
        <f>IFERROR(__xludf.DUMMYFUNCTION("if(REGEXMATCH(join("", "",$F14:$G14),M$1)=TRUE,""✓"",""✗"")"),"✗")</f>
        <v>✗</v>
      </c>
      <c r="N14" s="23" t="str">
        <f>IFERROR(__xludf.DUMMYFUNCTION("if(REGEXMATCH(join("", "",$F14:$G14),N$1)=TRUE,""✓"",""✗"")"),"✓")</f>
        <v>✓</v>
      </c>
      <c r="O14" s="23" t="str">
        <f>IFERROR(__xludf.DUMMYFUNCTION("if(REGEXMATCH(join("", "",$F14:$G14),O$1)=TRUE,""✓"",""✗"")"),"✓")</f>
        <v>✓</v>
      </c>
      <c r="P14" s="23" t="str">
        <f>IFERROR(__xludf.DUMMYFUNCTION("if(REGEXMATCH(join("", "",$F14:$G14),P$1)=TRUE,""✓"",""✗"")"),"✓")</f>
        <v>✓</v>
      </c>
      <c r="Q14" s="23" t="str">
        <f>IFERROR(__xludf.DUMMYFUNCTION("if(REGEXMATCH(join("", "",$F14:$G14),Q$1)=TRUE,""✓"",""✗"")"),"✓")</f>
        <v>✓</v>
      </c>
      <c r="R14" s="23" t="str">
        <f>IFERROR(__xludf.DUMMYFUNCTION("if(REGEXMATCH(join("", "",$F14:$G14),R$1)=TRUE,""✓"",""✗"")"),"✗")</f>
        <v>✗</v>
      </c>
      <c r="S14" s="23" t="str">
        <f>IFERROR(__xludf.DUMMYFUNCTION("if(REGEXMATCH(join("", "",$F14:$G14),S$1)=TRUE,""✓"",""✗"")"),"✗")</f>
        <v>✗</v>
      </c>
      <c r="T14" s="23" t="str">
        <f>IFERROR(__xludf.DUMMYFUNCTION("if(REGEXMATCH(join("", "",$F14:$G14),T$1)=TRUE,""✓"",""✗"")"),"✗")</f>
        <v>✗</v>
      </c>
      <c r="U14" s="33"/>
      <c r="V14" s="33"/>
      <c r="W14" s="33"/>
      <c r="X14" s="33"/>
      <c r="Y14" s="33"/>
      <c r="Z14" s="33"/>
      <c r="AA14" s="33"/>
      <c r="AB14" s="33"/>
      <c r="AC14" s="33"/>
    </row>
    <row r="15">
      <c r="A15" s="20">
        <v>14.0</v>
      </c>
      <c r="B15" s="21"/>
      <c r="C15" s="16" t="str">
        <f t="shared" si="2"/>
        <v>Bottoni (2015)</v>
      </c>
      <c r="D15" s="30" t="s">
        <v>290</v>
      </c>
      <c r="E15" s="15" t="s">
        <v>32</v>
      </c>
      <c r="F15" s="37" t="s">
        <v>223</v>
      </c>
      <c r="G15" s="37" t="s">
        <v>65</v>
      </c>
      <c r="H15" s="23" t="str">
        <f>IFERROR(__xludf.DUMMYFUNCTION("if(REGEXMATCH(join("", "",$F15:$G15),H$1)=TRUE,""✓"",""✗"")"),"✗")</f>
        <v>✗</v>
      </c>
      <c r="I15" s="23" t="str">
        <f>IFERROR(__xludf.DUMMYFUNCTION("if(REGEXMATCH(join("", "",$F15:$G15),I$1)=TRUE,""✓"",""✗"")"),"✓")</f>
        <v>✓</v>
      </c>
      <c r="J15" s="23" t="str">
        <f>IFERROR(__xludf.DUMMYFUNCTION("if(REGEXMATCH(join("", "",$F15:$G15),J$1)=TRUE,""✓"",""✗"")"),"✗")</f>
        <v>✗</v>
      </c>
      <c r="K15" s="23" t="str">
        <f>IFERROR(__xludf.DUMMYFUNCTION("if(REGEXMATCH(join("", "",$F15:$G15),K$1)=TRUE,""✓"",""✗"")"),"✗")</f>
        <v>✗</v>
      </c>
      <c r="L15" s="23" t="str">
        <f>IFERROR(__xludf.DUMMYFUNCTION("if(REGEXMATCH(join("", "",$F15:$G15),L$1)=TRUE,""✓"",""✗"")"),"✗")</f>
        <v>✗</v>
      </c>
      <c r="M15" s="23" t="str">
        <f>IFERROR(__xludf.DUMMYFUNCTION("if(REGEXMATCH(join("", "",$F15:$G15),M$1)=TRUE,""✓"",""✗"")"),"✓")</f>
        <v>✓</v>
      </c>
      <c r="N15" s="23" t="str">
        <f>IFERROR(__xludf.DUMMYFUNCTION("if(REGEXMATCH(join("", "",$F15:$G15),N$1)=TRUE,""✓"",""✗"")"),"✓")</f>
        <v>✓</v>
      </c>
      <c r="O15" s="23" t="str">
        <f>IFERROR(__xludf.DUMMYFUNCTION("if(REGEXMATCH(join("", "",$F15:$G15),O$1)=TRUE,""✓"",""✗"")"),"✗")</f>
        <v>✗</v>
      </c>
      <c r="P15" s="23" t="str">
        <f>IFERROR(__xludf.DUMMYFUNCTION("if(REGEXMATCH(join("", "",$F15:$G15),P$1)=TRUE,""✓"",""✗"")"),"✓")</f>
        <v>✓</v>
      </c>
      <c r="Q15" s="23" t="str">
        <f>IFERROR(__xludf.DUMMYFUNCTION("if(REGEXMATCH(join("", "",$F15:$G15),Q$1)=TRUE,""✓"",""✗"")"),"✗")</f>
        <v>✗</v>
      </c>
      <c r="R15" s="23" t="str">
        <f>IFERROR(__xludf.DUMMYFUNCTION("if(REGEXMATCH(join("", "",$F15:$G15),R$1)=TRUE,""✓"",""✗"")"),"✗")</f>
        <v>✗</v>
      </c>
      <c r="S15" s="23" t="str">
        <f>IFERROR(__xludf.DUMMYFUNCTION("if(REGEXMATCH(join("", "",$F15:$G15),S$1)=TRUE,""✓"",""✗"")"),"✗")</f>
        <v>✗</v>
      </c>
      <c r="T15" s="23" t="str">
        <f>IFERROR(__xludf.DUMMYFUNCTION("if(REGEXMATCH(join("", "",$F15:$G15),T$1)=TRUE,""✓"",""✗"")"),"✗")</f>
        <v>✗</v>
      </c>
      <c r="U15" s="33"/>
      <c r="V15" s="33"/>
      <c r="W15" s="33"/>
      <c r="X15" s="33"/>
      <c r="Y15" s="33"/>
      <c r="Z15" s="33"/>
      <c r="AA15" s="33"/>
      <c r="AB15" s="33"/>
      <c r="AC15" s="33"/>
    </row>
    <row r="16" hidden="1" outlineLevel="1">
      <c r="A16" s="20">
        <v>15.0</v>
      </c>
      <c r="B16" s="21"/>
      <c r="C16" s="15"/>
      <c r="D16" s="30" t="s">
        <v>297</v>
      </c>
      <c r="E16" s="15" t="s">
        <v>102</v>
      </c>
      <c r="F16" s="37"/>
      <c r="G16" s="15" t="s">
        <v>230</v>
      </c>
      <c r="H16" s="23" t="str">
        <f>IFERROR(__xludf.DUMMYFUNCTION("if(REGEXMATCH(join("", "",$F16:$G16),H$1)=TRUE,""✓"",""✗"")"),"✗")</f>
        <v>✗</v>
      </c>
      <c r="I16" s="23" t="str">
        <f>IFERROR(__xludf.DUMMYFUNCTION("if(REGEXMATCH(join("", "",$F16:$G16),I$1)=TRUE,""✓"",""✗"")"),"✗")</f>
        <v>✗</v>
      </c>
      <c r="J16" s="23" t="str">
        <f>IFERROR(__xludf.DUMMYFUNCTION("if(REGEXMATCH(join("", "",$F16:$G16),J$1)=TRUE,""✓"",""✗"")"),"✗")</f>
        <v>✗</v>
      </c>
      <c r="K16" s="23" t="str">
        <f>IFERROR(__xludf.DUMMYFUNCTION("if(REGEXMATCH(join("", "",$F16:$G16),K$1)=TRUE,""✓"",""✗"")"),"✗")</f>
        <v>✗</v>
      </c>
      <c r="L16" s="23" t="str">
        <f>IFERROR(__xludf.DUMMYFUNCTION("if(REGEXMATCH(join("", "",$F16:$G16),L$1)=TRUE,""✓"",""✗"")"),"✗")</f>
        <v>✗</v>
      </c>
      <c r="M16" s="23" t="str">
        <f>IFERROR(__xludf.DUMMYFUNCTION("if(REGEXMATCH(join("", "",$F16:$G16),M$1)=TRUE,""✓"",""✗"")"),"✗")</f>
        <v>✗</v>
      </c>
      <c r="N16" s="23" t="str">
        <f>IFERROR(__xludf.DUMMYFUNCTION("if(REGEXMATCH(join("", "",$F16:$G16),N$1)=TRUE,""✓"",""✗"")"),"✗")</f>
        <v>✗</v>
      </c>
      <c r="O16" s="23" t="str">
        <f>IFERROR(__xludf.DUMMYFUNCTION("if(REGEXMATCH(join("", "",$F16:$G16),O$1)=TRUE,""✓"",""✗"")"),"✗")</f>
        <v>✗</v>
      </c>
      <c r="P16" s="23" t="str">
        <f>IFERROR(__xludf.DUMMYFUNCTION("if(REGEXMATCH(join("", "",$F16:$G16),P$1)=TRUE,""✓"",""✗"")"),"✗")</f>
        <v>✗</v>
      </c>
      <c r="Q16" s="23" t="str">
        <f>IFERROR(__xludf.DUMMYFUNCTION("if(REGEXMATCH(join("", "",$F16:$G16),Q$1)=TRUE,""✓"",""✗"")"),"✗")</f>
        <v>✗</v>
      </c>
      <c r="R16" s="23" t="str">
        <f>IFERROR(__xludf.DUMMYFUNCTION("if(REGEXMATCH(join("", "",$F16:$G16),R$1)=TRUE,""✓"",""✗"")"),"✗")</f>
        <v>✗</v>
      </c>
      <c r="S16" s="23" t="str">
        <f>IFERROR(__xludf.DUMMYFUNCTION("if(REGEXMATCH(join("", "",$F16:$G16),S$1)=TRUE,""✓"",""✗"")"),"✗")</f>
        <v>✗</v>
      </c>
      <c r="T16" s="23" t="str">
        <f>IFERROR(__xludf.DUMMYFUNCTION("if(REGEXMATCH(join("", "",$F16:$G16),T$1)=TRUE,""✓"",""✗"")"),"✗")</f>
        <v>✗</v>
      </c>
      <c r="U16" s="33"/>
      <c r="V16" s="33"/>
      <c r="W16" s="33"/>
      <c r="X16" s="33"/>
      <c r="Y16" s="33"/>
      <c r="Z16" s="33"/>
      <c r="AA16" s="33"/>
      <c r="AB16" s="33"/>
      <c r="AC16" s="33"/>
    </row>
    <row r="17">
      <c r="A17" s="20">
        <v>16.0</v>
      </c>
      <c r="B17" s="21"/>
      <c r="C17" s="16" t="str">
        <f>hyperlink("https://github.com/d-wkim/phd/blob/main/data/pdf/"&amp;D17&amp;".pdf",PROPER(SUBSTITUTE(D17,"_"," (")&amp;")"))</f>
        <v>Breker (2025)</v>
      </c>
      <c r="D17" s="30" t="s">
        <v>304</v>
      </c>
      <c r="E17" s="15" t="s">
        <v>32</v>
      </c>
      <c r="F17" s="15" t="s">
        <v>33</v>
      </c>
      <c r="G17" s="37" t="s">
        <v>16</v>
      </c>
      <c r="H17" s="23" t="str">
        <f>IFERROR(__xludf.DUMMYFUNCTION("if(REGEXMATCH(join("", "",$F17:$G17),H$1)=TRUE,""✓"",""✗"")"),"✓")</f>
        <v>✓</v>
      </c>
      <c r="I17" s="23" t="str">
        <f>IFERROR(__xludf.DUMMYFUNCTION("if(REGEXMATCH(join("", "",$F17:$G17),I$1)=TRUE,""✓"",""✗"")"),"✓")</f>
        <v>✓</v>
      </c>
      <c r="J17" s="23" t="str">
        <f>IFERROR(__xludf.DUMMYFUNCTION("if(REGEXMATCH(join("", "",$F17:$G17),J$1)=TRUE,""✓"",""✗"")"),"✗")</f>
        <v>✗</v>
      </c>
      <c r="K17" s="23" t="str">
        <f>IFERROR(__xludf.DUMMYFUNCTION("if(REGEXMATCH(join("", "",$F17:$G17),K$1)=TRUE,""✓"",""✗"")"),"✗")</f>
        <v>✗</v>
      </c>
      <c r="L17" s="23" t="str">
        <f>IFERROR(__xludf.DUMMYFUNCTION("if(REGEXMATCH(join("", "",$F17:$G17),L$1)=TRUE,""✓"",""✗"")"),"✗")</f>
        <v>✗</v>
      </c>
      <c r="M17" s="23" t="str">
        <f>IFERROR(__xludf.DUMMYFUNCTION("if(REGEXMATCH(join("", "",$F17:$G17),M$1)=TRUE,""✓"",""✗"")"),"✗")</f>
        <v>✗</v>
      </c>
      <c r="N17" s="23" t="str">
        <f>IFERROR(__xludf.DUMMYFUNCTION("if(REGEXMATCH(join("", "",$F17:$G17),N$1)=TRUE,""✓"",""✗"")"),"✗")</f>
        <v>✗</v>
      </c>
      <c r="O17" s="23" t="str">
        <f>IFERROR(__xludf.DUMMYFUNCTION("if(REGEXMATCH(join("", "",$F17:$G17),O$1)=TRUE,""✓"",""✗"")"),"✗")</f>
        <v>✗</v>
      </c>
      <c r="P17" s="23" t="str">
        <f>IFERROR(__xludf.DUMMYFUNCTION("if(REGEXMATCH(join("", "",$F17:$G17),P$1)=TRUE,""✓"",""✗"")"),"✗")</f>
        <v>✗</v>
      </c>
      <c r="Q17" s="23" t="str">
        <f>IFERROR(__xludf.DUMMYFUNCTION("if(REGEXMATCH(join("", "",$F17:$G17),Q$1)=TRUE,""✓"",""✗"")"),"✓")</f>
        <v>✓</v>
      </c>
      <c r="R17" s="23" t="str">
        <f>IFERROR(__xludf.DUMMYFUNCTION("if(REGEXMATCH(join("", "",$F17:$G17),R$1)=TRUE,""✓"",""✗"")"),"✗")</f>
        <v>✗</v>
      </c>
      <c r="S17" s="23" t="str">
        <f>IFERROR(__xludf.DUMMYFUNCTION("if(REGEXMATCH(join("", "",$F17:$G17),S$1)=TRUE,""✓"",""✗"")"),"✗")</f>
        <v>✗</v>
      </c>
      <c r="T17" s="23" t="str">
        <f>IFERROR(__xludf.DUMMYFUNCTION("if(REGEXMATCH(join("", "",$F17:$G17),T$1)=TRUE,""✓"",""✗"")"),"✗")</f>
        <v>✗</v>
      </c>
      <c r="U17" s="33"/>
      <c r="V17" s="33"/>
      <c r="W17" s="33"/>
      <c r="X17" s="33"/>
      <c r="Y17" s="33"/>
      <c r="Z17" s="33"/>
      <c r="AA17" s="33"/>
      <c r="AB17" s="33"/>
      <c r="AC17" s="33"/>
    </row>
    <row r="18" hidden="1">
      <c r="A18" s="20">
        <v>17.0</v>
      </c>
      <c r="B18" s="21"/>
      <c r="C18" s="15"/>
      <c r="D18" s="30" t="s">
        <v>310</v>
      </c>
      <c r="E18" s="15" t="s">
        <v>102</v>
      </c>
      <c r="F18" s="37"/>
      <c r="G18" s="15" t="s">
        <v>230</v>
      </c>
      <c r="H18" s="23" t="str">
        <f>IFERROR(__xludf.DUMMYFUNCTION("if(REGEXMATCH(join("", "",$F18:$G18),H$1)=TRUE,""✓"",""✗"")"),"✗")</f>
        <v>✗</v>
      </c>
      <c r="I18" s="23" t="str">
        <f>IFERROR(__xludf.DUMMYFUNCTION("if(REGEXMATCH(join("", "",$F18:$G18),I$1)=TRUE,""✓"",""✗"")"),"✗")</f>
        <v>✗</v>
      </c>
      <c r="J18" s="23" t="str">
        <f>IFERROR(__xludf.DUMMYFUNCTION("if(REGEXMATCH(join("", "",$F18:$G18),J$1)=TRUE,""✓"",""✗"")"),"✗")</f>
        <v>✗</v>
      </c>
      <c r="K18" s="23" t="str">
        <f>IFERROR(__xludf.DUMMYFUNCTION("if(REGEXMATCH(join("", "",$F18:$G18),K$1)=TRUE,""✓"",""✗"")"),"✗")</f>
        <v>✗</v>
      </c>
      <c r="L18" s="23" t="str">
        <f>IFERROR(__xludf.DUMMYFUNCTION("if(REGEXMATCH(join("", "",$F18:$G18),L$1)=TRUE,""✓"",""✗"")"),"✗")</f>
        <v>✗</v>
      </c>
      <c r="M18" s="23" t="str">
        <f>IFERROR(__xludf.DUMMYFUNCTION("if(REGEXMATCH(join("", "",$F18:$G18),M$1)=TRUE,""✓"",""✗"")"),"✗")</f>
        <v>✗</v>
      </c>
      <c r="N18" s="23" t="str">
        <f>IFERROR(__xludf.DUMMYFUNCTION("if(REGEXMATCH(join("", "",$F18:$G18),N$1)=TRUE,""✓"",""✗"")"),"✗")</f>
        <v>✗</v>
      </c>
      <c r="O18" s="23" t="str">
        <f>IFERROR(__xludf.DUMMYFUNCTION("if(REGEXMATCH(join("", "",$F18:$G18),O$1)=TRUE,""✓"",""✗"")"),"✗")</f>
        <v>✗</v>
      </c>
      <c r="P18" s="23" t="str">
        <f>IFERROR(__xludf.DUMMYFUNCTION("if(REGEXMATCH(join("", "",$F18:$G18),P$1)=TRUE,""✓"",""✗"")"),"✗")</f>
        <v>✗</v>
      </c>
      <c r="Q18" s="23" t="str">
        <f>IFERROR(__xludf.DUMMYFUNCTION("if(REGEXMATCH(join("", "",$F18:$G18),Q$1)=TRUE,""✓"",""✗"")"),"✗")</f>
        <v>✗</v>
      </c>
      <c r="R18" s="23" t="str">
        <f>IFERROR(__xludf.DUMMYFUNCTION("if(REGEXMATCH(join("", "",$F18:$G18),R$1)=TRUE,""✓"",""✗"")"),"✗")</f>
        <v>✗</v>
      </c>
      <c r="S18" s="23" t="str">
        <f>IFERROR(__xludf.DUMMYFUNCTION("if(REGEXMATCH(join("", "",$F18:$G18),S$1)=TRUE,""✓"",""✗"")"),"✗")</f>
        <v>✗</v>
      </c>
      <c r="T18" s="23" t="str">
        <f>IFERROR(__xludf.DUMMYFUNCTION("if(REGEXMATCH(join("", "",$F18:$G18),T$1)=TRUE,""✓"",""✗"")"),"✗")</f>
        <v>✗</v>
      </c>
      <c r="U18" s="33"/>
      <c r="V18" s="33"/>
      <c r="W18" s="33"/>
      <c r="X18" s="33"/>
      <c r="Y18" s="33"/>
      <c r="Z18" s="33"/>
      <c r="AA18" s="33"/>
      <c r="AB18" s="33"/>
      <c r="AC18" s="33"/>
    </row>
    <row r="19">
      <c r="A19" s="20">
        <v>18.0</v>
      </c>
      <c r="B19" s="21"/>
      <c r="C19" s="16" t="str">
        <f t="shared" ref="C19:C20" si="3">hyperlink("https://github.com/d-wkim/phd/blob/main/data/pdf/"&amp;D19&amp;".pdf",PROPER(SUBSTITUTE(D19,"_"," (")&amp;")"))</f>
        <v>Butt (2024)</v>
      </c>
      <c r="D19" s="30" t="s">
        <v>314</v>
      </c>
      <c r="E19" s="15" t="s">
        <v>32</v>
      </c>
      <c r="F19" s="37" t="s">
        <v>209</v>
      </c>
      <c r="G19" s="37" t="s">
        <v>73</v>
      </c>
      <c r="H19" s="23" t="str">
        <f>IFERROR(__xludf.DUMMYFUNCTION("if(REGEXMATCH(join("", "",$F19:$G19),H$1)=TRUE,""✓"",""✗"")"),"✗")</f>
        <v>✗</v>
      </c>
      <c r="I19" s="23" t="str">
        <f>IFERROR(__xludf.DUMMYFUNCTION("if(REGEXMATCH(join("", "",$F19:$G19),I$1)=TRUE,""✓"",""✗"")"),"✓")</f>
        <v>✓</v>
      </c>
      <c r="J19" s="23" t="str">
        <f>IFERROR(__xludf.DUMMYFUNCTION("if(REGEXMATCH(join("", "",$F19:$G19),J$1)=TRUE,""✓"",""✗"")"),"✗")</f>
        <v>✗</v>
      </c>
      <c r="K19" s="23" t="str">
        <f>IFERROR(__xludf.DUMMYFUNCTION("if(REGEXMATCH(join("", "",$F19:$G19),K$1)=TRUE,""✓"",""✗"")"),"✓")</f>
        <v>✓</v>
      </c>
      <c r="L19" s="23" t="str">
        <f>IFERROR(__xludf.DUMMYFUNCTION("if(REGEXMATCH(join("", "",$F19:$G19),L$1)=TRUE,""✓"",""✗"")"),"✗")</f>
        <v>✗</v>
      </c>
      <c r="M19" s="23" t="str">
        <f>IFERROR(__xludf.DUMMYFUNCTION("if(REGEXMATCH(join("", "",$F19:$G19),M$1)=TRUE,""✓"",""✗"")"),"✗")</f>
        <v>✗</v>
      </c>
      <c r="N19" s="23" t="str">
        <f>IFERROR(__xludf.DUMMYFUNCTION("if(REGEXMATCH(join("", "",$F19:$G19),N$1)=TRUE,""✓"",""✗"")"),"✓")</f>
        <v>✓</v>
      </c>
      <c r="O19" s="23" t="str">
        <f>IFERROR(__xludf.DUMMYFUNCTION("if(REGEXMATCH(join("", "",$F19:$G19),O$1)=TRUE,""✓"",""✗"")"),"✓")</f>
        <v>✓</v>
      </c>
      <c r="P19" s="23" t="str">
        <f>IFERROR(__xludf.DUMMYFUNCTION("if(REGEXMATCH(join("", "",$F19:$G19),P$1)=TRUE,""✓"",""✗"")"),"✗")</f>
        <v>✗</v>
      </c>
      <c r="Q19" s="23" t="str">
        <f>IFERROR(__xludf.DUMMYFUNCTION("if(REGEXMATCH(join("", "",$F19:$G19),Q$1)=TRUE,""✓"",""✗"")"),"✗")</f>
        <v>✗</v>
      </c>
      <c r="R19" s="23" t="str">
        <f>IFERROR(__xludf.DUMMYFUNCTION("if(REGEXMATCH(join("", "",$F19:$G19),R$1)=TRUE,""✓"",""✗"")"),"✓")</f>
        <v>✓</v>
      </c>
      <c r="S19" s="23" t="str">
        <f>IFERROR(__xludf.DUMMYFUNCTION("if(REGEXMATCH(join("", "",$F19:$G19),S$1)=TRUE,""✓"",""✗"")"),"✓")</f>
        <v>✓</v>
      </c>
      <c r="T19" s="23" t="str">
        <f>IFERROR(__xludf.DUMMYFUNCTION("if(REGEXMATCH(join("", "",$F19:$G19),T$1)=TRUE,""✓"",""✗"")"),"✗")</f>
        <v>✗</v>
      </c>
      <c r="U19" s="33"/>
      <c r="V19" s="33"/>
      <c r="W19" s="33"/>
      <c r="X19" s="33"/>
      <c r="Y19" s="33"/>
      <c r="Z19" s="33"/>
      <c r="AA19" s="33"/>
      <c r="AB19" s="33"/>
      <c r="AC19" s="33"/>
    </row>
    <row r="20">
      <c r="A20" s="20">
        <v>19.0</v>
      </c>
      <c r="B20" s="21"/>
      <c r="C20" s="16" t="str">
        <f t="shared" si="3"/>
        <v>Calvert (2025)</v>
      </c>
      <c r="D20" s="30" t="s">
        <v>317</v>
      </c>
      <c r="E20" s="15" t="s">
        <v>32</v>
      </c>
      <c r="F20" s="37" t="s">
        <v>245</v>
      </c>
      <c r="G20" s="37" t="s">
        <v>76</v>
      </c>
      <c r="H20" s="23" t="str">
        <f>IFERROR(__xludf.DUMMYFUNCTION("if(REGEXMATCH(join("", "",$F20:$G20),H$1)=TRUE,""✓"",""✗"")"),"✗")</f>
        <v>✗</v>
      </c>
      <c r="I20" s="23" t="str">
        <f>IFERROR(__xludf.DUMMYFUNCTION("if(REGEXMATCH(join("", "",$F20:$G20),I$1)=TRUE,""✓"",""✗"")"),"✓")</f>
        <v>✓</v>
      </c>
      <c r="J20" s="23" t="str">
        <f>IFERROR(__xludf.DUMMYFUNCTION("if(REGEXMATCH(join("", "",$F20:$G20),J$1)=TRUE,""✓"",""✗"")"),"✓")</f>
        <v>✓</v>
      </c>
      <c r="K20" s="23" t="str">
        <f>IFERROR(__xludf.DUMMYFUNCTION("if(REGEXMATCH(join("", "",$F20:$G20),K$1)=TRUE,""✓"",""✗"")"),"✗")</f>
        <v>✗</v>
      </c>
      <c r="L20" s="23" t="str">
        <f>IFERROR(__xludf.DUMMYFUNCTION("if(REGEXMATCH(join("", "",$F20:$G20),L$1)=TRUE,""✓"",""✗"")"),"✗")</f>
        <v>✗</v>
      </c>
      <c r="M20" s="23" t="str">
        <f>IFERROR(__xludf.DUMMYFUNCTION("if(REGEXMATCH(join("", "",$F20:$G20),M$1)=TRUE,""✓"",""✗"")"),"✗")</f>
        <v>✗</v>
      </c>
      <c r="N20" s="23" t="str">
        <f>IFERROR(__xludf.DUMMYFUNCTION("if(REGEXMATCH(join("", "",$F20:$G20),N$1)=TRUE,""✓"",""✗"")"),"✓")</f>
        <v>✓</v>
      </c>
      <c r="O20" s="23" t="str">
        <f>IFERROR(__xludf.DUMMYFUNCTION("if(REGEXMATCH(join("", "",$F20:$G20),O$1)=TRUE,""✓"",""✗"")"),"✗")</f>
        <v>✗</v>
      </c>
      <c r="P20" s="23" t="str">
        <f>IFERROR(__xludf.DUMMYFUNCTION("if(REGEXMATCH(join("", "",$F20:$G20),P$1)=TRUE,""✓"",""✗"")"),"✗")</f>
        <v>✗</v>
      </c>
      <c r="Q20" s="23" t="str">
        <f>IFERROR(__xludf.DUMMYFUNCTION("if(REGEXMATCH(join("", "",$F20:$G20),Q$1)=TRUE,""✓"",""✗"")"),"✓")</f>
        <v>✓</v>
      </c>
      <c r="R20" s="23" t="str">
        <f>IFERROR(__xludf.DUMMYFUNCTION("if(REGEXMATCH(join("", "",$F20:$G20),R$1)=TRUE,""✓"",""✗"")"),"✗")</f>
        <v>✗</v>
      </c>
      <c r="S20" s="23" t="str">
        <f>IFERROR(__xludf.DUMMYFUNCTION("if(REGEXMATCH(join("", "",$F20:$G20),S$1)=TRUE,""✓"",""✗"")"),"✗")</f>
        <v>✗</v>
      </c>
      <c r="T20" s="23" t="str">
        <f>IFERROR(__xludf.DUMMYFUNCTION("if(REGEXMATCH(join("", "",$F20:$G20),T$1)=TRUE,""✓"",""✗"")"),"✗")</f>
        <v>✗</v>
      </c>
      <c r="U20" s="33"/>
      <c r="V20" s="33"/>
      <c r="W20" s="33"/>
      <c r="X20" s="33"/>
      <c r="Y20" s="33"/>
      <c r="Z20" s="33"/>
      <c r="AA20" s="33"/>
      <c r="AB20" s="33"/>
      <c r="AC20" s="33"/>
    </row>
    <row r="21" hidden="1">
      <c r="A21" s="20">
        <v>20.0</v>
      </c>
      <c r="B21" s="21"/>
      <c r="C21" s="15"/>
      <c r="D21" s="30" t="s">
        <v>324</v>
      </c>
      <c r="E21" s="15" t="s">
        <v>102</v>
      </c>
      <c r="F21" s="15"/>
      <c r="G21" s="15" t="s">
        <v>230</v>
      </c>
      <c r="H21" s="23" t="str">
        <f>IFERROR(__xludf.DUMMYFUNCTION("if(REGEXMATCH(join("", "",$F21:$G21),H$1)=TRUE,""✓"",""✗"")"),"✗")</f>
        <v>✗</v>
      </c>
      <c r="I21" s="23" t="str">
        <f>IFERROR(__xludf.DUMMYFUNCTION("if(REGEXMATCH(join("", "",$F21:$G21),I$1)=TRUE,""✓"",""✗"")"),"✗")</f>
        <v>✗</v>
      </c>
      <c r="J21" s="23" t="str">
        <f>IFERROR(__xludf.DUMMYFUNCTION("if(REGEXMATCH(join("", "",$F21:$G21),J$1)=TRUE,""✓"",""✗"")"),"✗")</f>
        <v>✗</v>
      </c>
      <c r="K21" s="23" t="str">
        <f>IFERROR(__xludf.DUMMYFUNCTION("if(REGEXMATCH(join("", "",$F21:$G21),K$1)=TRUE,""✓"",""✗"")"),"✗")</f>
        <v>✗</v>
      </c>
      <c r="L21" s="23" t="str">
        <f>IFERROR(__xludf.DUMMYFUNCTION("if(REGEXMATCH(join("", "",$F21:$G21),L$1)=TRUE,""✓"",""✗"")"),"✗")</f>
        <v>✗</v>
      </c>
      <c r="M21" s="23" t="str">
        <f>IFERROR(__xludf.DUMMYFUNCTION("if(REGEXMATCH(join("", "",$F21:$G21),M$1)=TRUE,""✓"",""✗"")"),"✗")</f>
        <v>✗</v>
      </c>
      <c r="N21" s="23" t="str">
        <f>IFERROR(__xludf.DUMMYFUNCTION("if(REGEXMATCH(join("", "",$F21:$G21),N$1)=TRUE,""✓"",""✗"")"),"✗")</f>
        <v>✗</v>
      </c>
      <c r="O21" s="23" t="str">
        <f>IFERROR(__xludf.DUMMYFUNCTION("if(REGEXMATCH(join("", "",$F21:$G21),O$1)=TRUE,""✓"",""✗"")"),"✗")</f>
        <v>✗</v>
      </c>
      <c r="P21" s="23" t="str">
        <f>IFERROR(__xludf.DUMMYFUNCTION("if(REGEXMATCH(join("", "",$F21:$G21),P$1)=TRUE,""✓"",""✗"")"),"✗")</f>
        <v>✗</v>
      </c>
      <c r="Q21" s="23" t="str">
        <f>IFERROR(__xludf.DUMMYFUNCTION("if(REGEXMATCH(join("", "",$F21:$G21),Q$1)=TRUE,""✓"",""✗"")"),"✗")</f>
        <v>✗</v>
      </c>
      <c r="R21" s="23" t="str">
        <f>IFERROR(__xludf.DUMMYFUNCTION("if(REGEXMATCH(join("", "",$F21:$G21),R$1)=TRUE,""✓"",""✗"")"),"✗")</f>
        <v>✗</v>
      </c>
      <c r="S21" s="23" t="str">
        <f>IFERROR(__xludf.DUMMYFUNCTION("if(REGEXMATCH(join("", "",$F21:$G21),S$1)=TRUE,""✓"",""✗"")"),"✗")</f>
        <v>✗</v>
      </c>
      <c r="T21" s="23" t="str">
        <f>IFERROR(__xludf.DUMMYFUNCTION("if(REGEXMATCH(join("", "",$F21:$G21),T$1)=TRUE,""✓"",""✗"")"),"✗")</f>
        <v>✗</v>
      </c>
      <c r="U21" s="33"/>
      <c r="V21" s="33"/>
      <c r="W21" s="33"/>
      <c r="X21" s="33"/>
      <c r="Y21" s="33"/>
      <c r="Z21" s="33"/>
      <c r="AA21" s="33"/>
      <c r="AB21" s="33"/>
      <c r="AC21" s="33"/>
    </row>
    <row r="22" hidden="1">
      <c r="A22" s="20">
        <v>21.0</v>
      </c>
      <c r="B22" s="21"/>
      <c r="C22" s="15"/>
      <c r="D22" s="30" t="s">
        <v>327</v>
      </c>
      <c r="E22" s="15" t="s">
        <v>102</v>
      </c>
      <c r="F22" s="15"/>
      <c r="G22" s="15" t="s">
        <v>230</v>
      </c>
      <c r="H22" s="23" t="str">
        <f>IFERROR(__xludf.DUMMYFUNCTION("if(REGEXMATCH(join("", "",$F22:$G22),H$1)=TRUE,""✓"",""✗"")"),"✗")</f>
        <v>✗</v>
      </c>
      <c r="I22" s="23" t="str">
        <f>IFERROR(__xludf.DUMMYFUNCTION("if(REGEXMATCH(join("", "",$F22:$G22),I$1)=TRUE,""✓"",""✗"")"),"✗")</f>
        <v>✗</v>
      </c>
      <c r="J22" s="23" t="str">
        <f>IFERROR(__xludf.DUMMYFUNCTION("if(REGEXMATCH(join("", "",$F22:$G22),J$1)=TRUE,""✓"",""✗"")"),"✗")</f>
        <v>✗</v>
      </c>
      <c r="K22" s="23" t="str">
        <f>IFERROR(__xludf.DUMMYFUNCTION("if(REGEXMATCH(join("", "",$F22:$G22),K$1)=TRUE,""✓"",""✗"")"),"✗")</f>
        <v>✗</v>
      </c>
      <c r="L22" s="23" t="str">
        <f>IFERROR(__xludf.DUMMYFUNCTION("if(REGEXMATCH(join("", "",$F22:$G22),L$1)=TRUE,""✓"",""✗"")"),"✗")</f>
        <v>✗</v>
      </c>
      <c r="M22" s="23" t="str">
        <f>IFERROR(__xludf.DUMMYFUNCTION("if(REGEXMATCH(join("", "",$F22:$G22),M$1)=TRUE,""✓"",""✗"")"),"✗")</f>
        <v>✗</v>
      </c>
      <c r="N22" s="23" t="str">
        <f>IFERROR(__xludf.DUMMYFUNCTION("if(REGEXMATCH(join("", "",$F22:$G22),N$1)=TRUE,""✓"",""✗"")"),"✗")</f>
        <v>✗</v>
      </c>
      <c r="O22" s="23" t="str">
        <f>IFERROR(__xludf.DUMMYFUNCTION("if(REGEXMATCH(join("", "",$F22:$G22),O$1)=TRUE,""✓"",""✗"")"),"✗")</f>
        <v>✗</v>
      </c>
      <c r="P22" s="23" t="str">
        <f>IFERROR(__xludf.DUMMYFUNCTION("if(REGEXMATCH(join("", "",$F22:$G22),P$1)=TRUE,""✓"",""✗"")"),"✗")</f>
        <v>✗</v>
      </c>
      <c r="Q22" s="23" t="str">
        <f>IFERROR(__xludf.DUMMYFUNCTION("if(REGEXMATCH(join("", "",$F22:$G22),Q$1)=TRUE,""✓"",""✗"")"),"✗")</f>
        <v>✗</v>
      </c>
      <c r="R22" s="23" t="str">
        <f>IFERROR(__xludf.DUMMYFUNCTION("if(REGEXMATCH(join("", "",$F22:$G22),R$1)=TRUE,""✓"",""✗"")"),"✗")</f>
        <v>✗</v>
      </c>
      <c r="S22" s="23" t="str">
        <f>IFERROR(__xludf.DUMMYFUNCTION("if(REGEXMATCH(join("", "",$F22:$G22),S$1)=TRUE,""✓"",""✗"")"),"✗")</f>
        <v>✗</v>
      </c>
      <c r="T22" s="23" t="str">
        <f>IFERROR(__xludf.DUMMYFUNCTION("if(REGEXMATCH(join("", "",$F22:$G22),T$1)=TRUE,""✓"",""✗"")"),"✗")</f>
        <v>✗</v>
      </c>
      <c r="U22" s="33"/>
      <c r="V22" s="33"/>
      <c r="W22" s="33"/>
      <c r="X22" s="33"/>
      <c r="Y22" s="33"/>
      <c r="Z22" s="33"/>
      <c r="AA22" s="33"/>
      <c r="AB22" s="33"/>
      <c r="AC22" s="33"/>
    </row>
    <row r="23">
      <c r="A23" s="20">
        <v>22.0</v>
      </c>
      <c r="B23" s="21"/>
      <c r="C23" s="16" t="str">
        <f t="shared" ref="C23:C24" si="4">hyperlink("https://github.com/d-wkim/phd/blob/main/data/pdf/"&amp;D23&amp;".pdf",PROPER(SUBSTITUTE(D23,"_"," (")&amp;")"))</f>
        <v>Cruz (2022)</v>
      </c>
      <c r="D23" s="30" t="s">
        <v>342</v>
      </c>
      <c r="E23" s="15" t="s">
        <v>32</v>
      </c>
      <c r="F23" s="37" t="s">
        <v>223</v>
      </c>
      <c r="G23" s="37" t="s">
        <v>20</v>
      </c>
      <c r="H23" s="23" t="str">
        <f>IFERROR(__xludf.DUMMYFUNCTION("if(REGEXMATCH(join("", "",$F23:$G23),H$1)=TRUE,""✓"",""✗"")"),"✗")</f>
        <v>✗</v>
      </c>
      <c r="I23" s="23" t="str">
        <f>IFERROR(__xludf.DUMMYFUNCTION("if(REGEXMATCH(join("", "",$F23:$G23),I$1)=TRUE,""✓"",""✗"")"),"✓")</f>
        <v>✓</v>
      </c>
      <c r="J23" s="23" t="str">
        <f>IFERROR(__xludf.DUMMYFUNCTION("if(REGEXMATCH(join("", "",$F23:$G23),J$1)=TRUE,""✓"",""✗"")"),"✗")</f>
        <v>✗</v>
      </c>
      <c r="K23" s="23" t="str">
        <f>IFERROR(__xludf.DUMMYFUNCTION("if(REGEXMATCH(join("", "",$F23:$G23),K$1)=TRUE,""✓"",""✗"")"),"✗")</f>
        <v>✗</v>
      </c>
      <c r="L23" s="23" t="str">
        <f>IFERROR(__xludf.DUMMYFUNCTION("if(REGEXMATCH(join("", "",$F23:$G23),L$1)=TRUE,""✓"",""✗"")"),"✗")</f>
        <v>✗</v>
      </c>
      <c r="M23" s="23" t="str">
        <f>IFERROR(__xludf.DUMMYFUNCTION("if(REGEXMATCH(join("", "",$F23:$G23),M$1)=TRUE,""✓"",""✗"")"),"✓")</f>
        <v>✓</v>
      </c>
      <c r="N23" s="23" t="str">
        <f>IFERROR(__xludf.DUMMYFUNCTION("if(REGEXMATCH(join("", "",$F23:$G23),N$1)=TRUE,""✓"",""✗"")"),"✗")</f>
        <v>✗</v>
      </c>
      <c r="O23" s="23" t="str">
        <f>IFERROR(__xludf.DUMMYFUNCTION("if(REGEXMATCH(join("", "",$F23:$G23),O$1)=TRUE,""✓"",""✗"")"),"✗")</f>
        <v>✗</v>
      </c>
      <c r="P23" s="23" t="str">
        <f>IFERROR(__xludf.DUMMYFUNCTION("if(REGEXMATCH(join("", "",$F23:$G23),P$1)=TRUE,""✓"",""✗"")"),"✗")</f>
        <v>✗</v>
      </c>
      <c r="Q23" s="23" t="str">
        <f>IFERROR(__xludf.DUMMYFUNCTION("if(REGEXMATCH(join("", "",$F23:$G23),Q$1)=TRUE,""✓"",""✗"")"),"✗")</f>
        <v>✗</v>
      </c>
      <c r="R23" s="23" t="str">
        <f>IFERROR(__xludf.DUMMYFUNCTION("if(REGEXMATCH(join("", "",$F23:$G23),R$1)=TRUE,""✓"",""✗"")"),"✗")</f>
        <v>✗</v>
      </c>
      <c r="S23" s="23" t="str">
        <f>IFERROR(__xludf.DUMMYFUNCTION("if(REGEXMATCH(join("", "",$F23:$G23),S$1)=TRUE,""✓"",""✗"")"),"✗")</f>
        <v>✗</v>
      </c>
      <c r="T23" s="23" t="str">
        <f>IFERROR(__xludf.DUMMYFUNCTION("if(REGEXMATCH(join("", "",$F23:$G23),T$1)=TRUE,""✓"",""✗"")"),"✓")</f>
        <v>✓</v>
      </c>
      <c r="U23" s="33"/>
      <c r="V23" s="33"/>
      <c r="W23" s="33"/>
      <c r="X23" s="33"/>
      <c r="Y23" s="33"/>
      <c r="Z23" s="33"/>
      <c r="AA23" s="33"/>
      <c r="AB23" s="33"/>
      <c r="AC23" s="33"/>
    </row>
    <row r="24">
      <c r="A24" s="20">
        <v>23.0</v>
      </c>
      <c r="B24" s="21"/>
      <c r="C24" s="16" t="str">
        <f t="shared" si="4"/>
        <v>Ejerhed (2003)</v>
      </c>
      <c r="D24" s="30" t="s">
        <v>345</v>
      </c>
      <c r="E24" s="15" t="s">
        <v>32</v>
      </c>
      <c r="F24" s="37" t="s">
        <v>33</v>
      </c>
      <c r="G24" s="37" t="s">
        <v>82</v>
      </c>
      <c r="H24" s="23" t="str">
        <f>IFERROR(__xludf.DUMMYFUNCTION("if(REGEXMATCH(join("", "",$F24:$G24),H$1)=TRUE,""✓"",""✗"")"),"✓")</f>
        <v>✓</v>
      </c>
      <c r="I24" s="23" t="str">
        <f>IFERROR(__xludf.DUMMYFUNCTION("if(REGEXMATCH(join("", "",$F24:$G24),I$1)=TRUE,""✓"",""✗"")"),"✓")</f>
        <v>✓</v>
      </c>
      <c r="J24" s="23" t="str">
        <f>IFERROR(__xludf.DUMMYFUNCTION("if(REGEXMATCH(join("", "",$F24:$G24),J$1)=TRUE,""✓"",""✗"")"),"✗")</f>
        <v>✗</v>
      </c>
      <c r="K24" s="23" t="str">
        <f>IFERROR(__xludf.DUMMYFUNCTION("if(REGEXMATCH(join("", "",$F24:$G24),K$1)=TRUE,""✓"",""✗"")"),"✗")</f>
        <v>✗</v>
      </c>
      <c r="L24" s="23" t="str">
        <f>IFERROR(__xludf.DUMMYFUNCTION("if(REGEXMATCH(join("", "",$F24:$G24),L$1)=TRUE,""✓"",""✗"")"),"✗")</f>
        <v>✗</v>
      </c>
      <c r="M24" s="23" t="str">
        <f>IFERROR(__xludf.DUMMYFUNCTION("if(REGEXMATCH(join("", "",$F24:$G24),M$1)=TRUE,""✓"",""✗"")"),"✗")</f>
        <v>✗</v>
      </c>
      <c r="N24" s="23" t="str">
        <f>IFERROR(__xludf.DUMMYFUNCTION("if(REGEXMATCH(join("", "",$F24:$G24),N$1)=TRUE,""✓"",""✗"")"),"✗")</f>
        <v>✗</v>
      </c>
      <c r="O24" s="23" t="str">
        <f>IFERROR(__xludf.DUMMYFUNCTION("if(REGEXMATCH(join("", "",$F24:$G24),O$1)=TRUE,""✓"",""✗"")"),"✓")</f>
        <v>✓</v>
      </c>
      <c r="P24" s="23" t="str">
        <f>IFERROR(__xludf.DUMMYFUNCTION("if(REGEXMATCH(join("", "",$F24:$G24),P$1)=TRUE,""✓"",""✗"")"),"✓")</f>
        <v>✓</v>
      </c>
      <c r="Q24" s="23" t="str">
        <f>IFERROR(__xludf.DUMMYFUNCTION("if(REGEXMATCH(join("", "",$F24:$G24),Q$1)=TRUE,""✓"",""✗"")"),"✓")</f>
        <v>✓</v>
      </c>
      <c r="R24" s="23" t="str">
        <f>IFERROR(__xludf.DUMMYFUNCTION("if(REGEXMATCH(join("", "",$F24:$G24),R$1)=TRUE,""✓"",""✗"")"),"✗")</f>
        <v>✗</v>
      </c>
      <c r="S24" s="23" t="str">
        <f>IFERROR(__xludf.DUMMYFUNCTION("if(REGEXMATCH(join("", "",$F24:$G24),S$1)=TRUE,""✓"",""✗"")"),"✓")</f>
        <v>✓</v>
      </c>
      <c r="T24" s="23" t="str">
        <f>IFERROR(__xludf.DUMMYFUNCTION("if(REGEXMATCH(join("", "",$F24:$G24),T$1)=TRUE,""✓"",""✗"")"),"✗")</f>
        <v>✗</v>
      </c>
      <c r="U24" s="33"/>
      <c r="V24" s="33"/>
      <c r="W24" s="33"/>
      <c r="X24" s="33"/>
      <c r="Y24" s="33"/>
      <c r="Z24" s="33"/>
      <c r="AA24" s="33"/>
      <c r="AB24" s="33"/>
      <c r="AC24" s="33"/>
    </row>
    <row r="25" hidden="1" outlineLevel="1">
      <c r="A25" s="20">
        <v>24.0</v>
      </c>
      <c r="B25" s="21"/>
      <c r="C25" s="15"/>
      <c r="D25" s="30" t="s">
        <v>348</v>
      </c>
      <c r="E25" s="15" t="s">
        <v>102</v>
      </c>
      <c r="F25" s="37"/>
      <c r="G25" s="15" t="s">
        <v>228</v>
      </c>
      <c r="H25" s="23" t="str">
        <f>IFERROR(__xludf.DUMMYFUNCTION("if(REGEXMATCH(join("", "",$F25:$G25),H$1)=TRUE,""✓"",""✗"")"),"✗")</f>
        <v>✗</v>
      </c>
      <c r="I25" s="23" t="str">
        <f>IFERROR(__xludf.DUMMYFUNCTION("if(REGEXMATCH(join("", "",$F25:$G25),I$1)=TRUE,""✓"",""✗"")"),"✗")</f>
        <v>✗</v>
      </c>
      <c r="J25" s="23" t="str">
        <f>IFERROR(__xludf.DUMMYFUNCTION("if(REGEXMATCH(join("", "",$F25:$G25),J$1)=TRUE,""✓"",""✗"")"),"✗")</f>
        <v>✗</v>
      </c>
      <c r="K25" s="23" t="str">
        <f>IFERROR(__xludf.DUMMYFUNCTION("if(REGEXMATCH(join("", "",$F25:$G25),K$1)=TRUE,""✓"",""✗"")"),"✗")</f>
        <v>✗</v>
      </c>
      <c r="L25" s="23" t="str">
        <f>IFERROR(__xludf.DUMMYFUNCTION("if(REGEXMATCH(join("", "",$F25:$G25),L$1)=TRUE,""✓"",""✗"")"),"✗")</f>
        <v>✗</v>
      </c>
      <c r="M25" s="23" t="str">
        <f>IFERROR(__xludf.DUMMYFUNCTION("if(REGEXMATCH(join("", "",$F25:$G25),M$1)=TRUE,""✓"",""✗"")"),"✗")</f>
        <v>✗</v>
      </c>
      <c r="N25" s="23" t="str">
        <f>IFERROR(__xludf.DUMMYFUNCTION("if(REGEXMATCH(join("", "",$F25:$G25),N$1)=TRUE,""✓"",""✗"")"),"✗")</f>
        <v>✗</v>
      </c>
      <c r="O25" s="23" t="str">
        <f>IFERROR(__xludf.DUMMYFUNCTION("if(REGEXMATCH(join("", "",$F25:$G25),O$1)=TRUE,""✓"",""✗"")"),"✗")</f>
        <v>✗</v>
      </c>
      <c r="P25" s="23" t="str">
        <f>IFERROR(__xludf.DUMMYFUNCTION("if(REGEXMATCH(join("", "",$F25:$G25),P$1)=TRUE,""✓"",""✗"")"),"✗")</f>
        <v>✗</v>
      </c>
      <c r="Q25" s="23" t="str">
        <f>IFERROR(__xludf.DUMMYFUNCTION("if(REGEXMATCH(join("", "",$F25:$G25),Q$1)=TRUE,""✓"",""✗"")"),"✗")</f>
        <v>✗</v>
      </c>
      <c r="R25" s="23" t="str">
        <f>IFERROR(__xludf.DUMMYFUNCTION("if(REGEXMATCH(join("", "",$F25:$G25),R$1)=TRUE,""✓"",""✗"")"),"✗")</f>
        <v>✗</v>
      </c>
      <c r="S25" s="23" t="str">
        <f>IFERROR(__xludf.DUMMYFUNCTION("if(REGEXMATCH(join("", "",$F25:$G25),S$1)=TRUE,""✓"",""✗"")"),"✗")</f>
        <v>✗</v>
      </c>
      <c r="T25" s="23" t="str">
        <f>IFERROR(__xludf.DUMMYFUNCTION("if(REGEXMATCH(join("", "",$F25:$G25),T$1)=TRUE,""✓"",""✗"")"),"✗")</f>
        <v>✗</v>
      </c>
      <c r="U25" s="33"/>
      <c r="V25" s="33"/>
      <c r="W25" s="33"/>
      <c r="X25" s="33"/>
      <c r="Y25" s="33"/>
      <c r="Z25" s="33"/>
      <c r="AA25" s="33"/>
      <c r="AB25" s="33"/>
      <c r="AC25" s="33"/>
    </row>
    <row r="26">
      <c r="A26" s="20">
        <v>25.0</v>
      </c>
      <c r="B26" s="21"/>
      <c r="C26" s="16" t="str">
        <f t="shared" ref="C26:C27" si="5">hyperlink("https://github.com/d-wkim/phd/blob/main/data/pdf/"&amp;D26&amp;".pdf",PROPER(SUBSTITUTE(D26,"_"," (")&amp;")"))</f>
        <v>Eriksson (2006)</v>
      </c>
      <c r="D26" s="30" t="s">
        <v>352</v>
      </c>
      <c r="E26" s="15" t="s">
        <v>32</v>
      </c>
      <c r="F26" s="15" t="s">
        <v>33</v>
      </c>
      <c r="G26" s="37" t="s">
        <v>85</v>
      </c>
      <c r="H26" s="23" t="str">
        <f>IFERROR(__xludf.DUMMYFUNCTION("if(REGEXMATCH(join("", "",$F26:$G26),H$1)=TRUE,""✓"",""✗"")"),"✓")</f>
        <v>✓</v>
      </c>
      <c r="I26" s="23" t="str">
        <f>IFERROR(__xludf.DUMMYFUNCTION("if(REGEXMATCH(join("", "",$F26:$G26),I$1)=TRUE,""✓"",""✗"")"),"✓")</f>
        <v>✓</v>
      </c>
      <c r="J26" s="23" t="str">
        <f>IFERROR(__xludf.DUMMYFUNCTION("if(REGEXMATCH(join("", "",$F26:$G26),J$1)=TRUE,""✓"",""✗"")"),"✗")</f>
        <v>✗</v>
      </c>
      <c r="K26" s="23" t="str">
        <f>IFERROR(__xludf.DUMMYFUNCTION("if(REGEXMATCH(join("", "",$F26:$G26),K$1)=TRUE,""✓"",""✗"")"),"✗")</f>
        <v>✗</v>
      </c>
      <c r="L26" s="23" t="str">
        <f>IFERROR(__xludf.DUMMYFUNCTION("if(REGEXMATCH(join("", "",$F26:$G26),L$1)=TRUE,""✓"",""✗"")"),"✗")</f>
        <v>✗</v>
      </c>
      <c r="M26" s="23" t="str">
        <f>IFERROR(__xludf.DUMMYFUNCTION("if(REGEXMATCH(join("", "",$F26:$G26),M$1)=TRUE,""✓"",""✗"")"),"✗")</f>
        <v>✗</v>
      </c>
      <c r="N26" s="23" t="str">
        <f>IFERROR(__xludf.DUMMYFUNCTION("if(REGEXMATCH(join("", "",$F26:$G26),N$1)=TRUE,""✓"",""✗"")"),"✗")</f>
        <v>✗</v>
      </c>
      <c r="O26" s="23" t="str">
        <f>IFERROR(__xludf.DUMMYFUNCTION("if(REGEXMATCH(join("", "",$F26:$G26),O$1)=TRUE,""✓"",""✗"")"),"✗")</f>
        <v>✗</v>
      </c>
      <c r="P26" s="23" t="str">
        <f>IFERROR(__xludf.DUMMYFUNCTION("if(REGEXMATCH(join("", "",$F26:$G26),P$1)=TRUE,""✓"",""✗"")"),"✗")</f>
        <v>✗</v>
      </c>
      <c r="Q26" s="23" t="str">
        <f>IFERROR(__xludf.DUMMYFUNCTION("if(REGEXMATCH(join("", "",$F26:$G26),Q$1)=TRUE,""✓"",""✗"")"),"✓")</f>
        <v>✓</v>
      </c>
      <c r="R26" s="23" t="str">
        <f>IFERROR(__xludf.DUMMYFUNCTION("if(REGEXMATCH(join("", "",$F26:$G26),R$1)=TRUE,""✓"",""✗"")"),"✓")</f>
        <v>✓</v>
      </c>
      <c r="S26" s="23" t="str">
        <f>IFERROR(__xludf.DUMMYFUNCTION("if(REGEXMATCH(join("", "",$F26:$G26),S$1)=TRUE,""✓"",""✗"")"),"✗")</f>
        <v>✗</v>
      </c>
      <c r="T26" s="23" t="str">
        <f>IFERROR(__xludf.DUMMYFUNCTION("if(REGEXMATCH(join("", "",$F26:$G26),T$1)=TRUE,""✓"",""✗"")"),"✗")</f>
        <v>✗</v>
      </c>
      <c r="U26" s="33"/>
      <c r="V26" s="33"/>
      <c r="W26" s="33"/>
      <c r="X26" s="33"/>
      <c r="Y26" s="33"/>
      <c r="Z26" s="33"/>
      <c r="AA26" s="33"/>
      <c r="AB26" s="33"/>
      <c r="AC26" s="33"/>
    </row>
    <row r="27">
      <c r="A27" s="20">
        <v>26.0</v>
      </c>
      <c r="B27" s="21"/>
      <c r="C27" s="16" t="str">
        <f t="shared" si="5"/>
        <v>Feller (Webster (2003)</v>
      </c>
      <c r="D27" s="30" t="s">
        <v>357</v>
      </c>
      <c r="E27" s="15" t="s">
        <v>32</v>
      </c>
      <c r="F27" s="15" t="s">
        <v>33</v>
      </c>
      <c r="G27" s="37" t="s">
        <v>87</v>
      </c>
      <c r="H27" s="23" t="str">
        <f>IFERROR(__xludf.DUMMYFUNCTION("if(REGEXMATCH(join("", "",$F27:$G27),H$1)=TRUE,""✓"",""✗"")"),"✓")</f>
        <v>✓</v>
      </c>
      <c r="I27" s="23" t="str">
        <f>IFERROR(__xludf.DUMMYFUNCTION("if(REGEXMATCH(join("", "",$F27:$G27),I$1)=TRUE,""✓"",""✗"")"),"✓")</f>
        <v>✓</v>
      </c>
      <c r="J27" s="23" t="str">
        <f>IFERROR(__xludf.DUMMYFUNCTION("if(REGEXMATCH(join("", "",$F27:$G27),J$1)=TRUE,""✓"",""✗"")"),"✗")</f>
        <v>✗</v>
      </c>
      <c r="K27" s="23" t="str">
        <f>IFERROR(__xludf.DUMMYFUNCTION("if(REGEXMATCH(join("", "",$F27:$G27),K$1)=TRUE,""✓"",""✗"")"),"✗")</f>
        <v>✗</v>
      </c>
      <c r="L27" s="23" t="str">
        <f>IFERROR(__xludf.DUMMYFUNCTION("if(REGEXMATCH(join("", "",$F27:$G27),L$1)=TRUE,""✓"",""✗"")"),"✗")</f>
        <v>✗</v>
      </c>
      <c r="M27" s="23" t="str">
        <f>IFERROR(__xludf.DUMMYFUNCTION("if(REGEXMATCH(join("", "",$F27:$G27),M$1)=TRUE,""✓"",""✗"")"),"✗")</f>
        <v>✗</v>
      </c>
      <c r="N27" s="23" t="str">
        <f>IFERROR(__xludf.DUMMYFUNCTION("if(REGEXMATCH(join("", "",$F27:$G27),N$1)=TRUE,""✓"",""✗"")"),"✓")</f>
        <v>✓</v>
      </c>
      <c r="O27" s="23" t="str">
        <f>IFERROR(__xludf.DUMMYFUNCTION("if(REGEXMATCH(join("", "",$F27:$G27),O$1)=TRUE,""✓"",""✗"")"),"✗")</f>
        <v>✗</v>
      </c>
      <c r="P27" s="23" t="str">
        <f>IFERROR(__xludf.DUMMYFUNCTION("if(REGEXMATCH(join("", "",$F27:$G27),P$1)=TRUE,""✓"",""✗"")"),"✗")</f>
        <v>✗</v>
      </c>
      <c r="Q27" s="23" t="str">
        <f>IFERROR(__xludf.DUMMYFUNCTION("if(REGEXMATCH(join("", "",$F27:$G27),Q$1)=TRUE,""✓"",""✗"")"),"✓")</f>
        <v>✓</v>
      </c>
      <c r="R27" s="23" t="str">
        <f>IFERROR(__xludf.DUMMYFUNCTION("if(REGEXMATCH(join("", "",$F27:$G27),R$1)=TRUE,""✓"",""✗"")"),"✓")</f>
        <v>✓</v>
      </c>
      <c r="S27" s="23" t="str">
        <f>IFERROR(__xludf.DUMMYFUNCTION("if(REGEXMATCH(join("", "",$F27:$G27),S$1)=TRUE,""✓"",""✗"")"),"✓")</f>
        <v>✓</v>
      </c>
      <c r="T27" s="23" t="str">
        <f>IFERROR(__xludf.DUMMYFUNCTION("if(REGEXMATCH(join("", "",$F27:$G27),T$1)=TRUE,""✓"",""✗"")"),"✗")</f>
        <v>✗</v>
      </c>
      <c r="U27" s="33"/>
      <c r="V27" s="33"/>
      <c r="W27" s="33"/>
      <c r="X27" s="33"/>
      <c r="Y27" s="33"/>
      <c r="Z27" s="33"/>
      <c r="AA27" s="33"/>
      <c r="AB27" s="33"/>
      <c r="AC27" s="33"/>
    </row>
    <row r="28" hidden="1">
      <c r="A28" s="20">
        <v>27.0</v>
      </c>
      <c r="B28" s="21"/>
      <c r="C28" s="15"/>
      <c r="D28" s="30" t="s">
        <v>360</v>
      </c>
      <c r="E28" s="15" t="s">
        <v>102</v>
      </c>
      <c r="F28" s="37"/>
      <c r="G28" s="15" t="s">
        <v>281</v>
      </c>
      <c r="H28" s="23" t="str">
        <f>IFERROR(__xludf.DUMMYFUNCTION("if(REGEXMATCH(join("", "",$F28:$G28),H$1)=TRUE,""✓"",""✗"")"),"✗")</f>
        <v>✗</v>
      </c>
      <c r="I28" s="23" t="str">
        <f>IFERROR(__xludf.DUMMYFUNCTION("if(REGEXMATCH(join("", "",$F28:$G28),I$1)=TRUE,""✓"",""✗"")"),"✗")</f>
        <v>✗</v>
      </c>
      <c r="J28" s="23" t="str">
        <f>IFERROR(__xludf.DUMMYFUNCTION("if(REGEXMATCH(join("", "",$F28:$G28),J$1)=TRUE,""✓"",""✗"")"),"✗")</f>
        <v>✗</v>
      </c>
      <c r="K28" s="23" t="str">
        <f>IFERROR(__xludf.DUMMYFUNCTION("if(REGEXMATCH(join("", "",$F28:$G28),K$1)=TRUE,""✓"",""✗"")"),"✗")</f>
        <v>✗</v>
      </c>
      <c r="L28" s="23" t="str">
        <f>IFERROR(__xludf.DUMMYFUNCTION("if(REGEXMATCH(join("", "",$F28:$G28),L$1)=TRUE,""✓"",""✗"")"),"✗")</f>
        <v>✗</v>
      </c>
      <c r="M28" s="23" t="str">
        <f>IFERROR(__xludf.DUMMYFUNCTION("if(REGEXMATCH(join("", "",$F28:$G28),M$1)=TRUE,""✓"",""✗"")"),"✗")</f>
        <v>✗</v>
      </c>
      <c r="N28" s="23" t="str">
        <f>IFERROR(__xludf.DUMMYFUNCTION("if(REGEXMATCH(join("", "",$F28:$G28),N$1)=TRUE,""✓"",""✗"")"),"✗")</f>
        <v>✗</v>
      </c>
      <c r="O28" s="23" t="str">
        <f>IFERROR(__xludf.DUMMYFUNCTION("if(REGEXMATCH(join("", "",$F28:$G28),O$1)=TRUE,""✓"",""✗"")"),"✗")</f>
        <v>✗</v>
      </c>
      <c r="P28" s="23" t="str">
        <f>IFERROR(__xludf.DUMMYFUNCTION("if(REGEXMATCH(join("", "",$F28:$G28),P$1)=TRUE,""✓"",""✗"")"),"✗")</f>
        <v>✗</v>
      </c>
      <c r="Q28" s="23" t="str">
        <f>IFERROR(__xludf.DUMMYFUNCTION("if(REGEXMATCH(join("", "",$F28:$G28),Q$1)=TRUE,""✓"",""✗"")"),"✗")</f>
        <v>✗</v>
      </c>
      <c r="R28" s="23" t="str">
        <f>IFERROR(__xludf.DUMMYFUNCTION("if(REGEXMATCH(join("", "",$F28:$G28),R$1)=TRUE,""✓"",""✗"")"),"✗")</f>
        <v>✗</v>
      </c>
      <c r="S28" s="23" t="str">
        <f>IFERROR(__xludf.DUMMYFUNCTION("if(REGEXMATCH(join("", "",$F28:$G28),S$1)=TRUE,""✓"",""✗"")"),"✗")</f>
        <v>✗</v>
      </c>
      <c r="T28" s="23" t="str">
        <f>IFERROR(__xludf.DUMMYFUNCTION("if(REGEXMATCH(join("", "",$F28:$G28),T$1)=TRUE,""✓"",""✗"")"),"✗")</f>
        <v>✗</v>
      </c>
      <c r="U28" s="33"/>
      <c r="V28" s="33"/>
      <c r="W28" s="33"/>
      <c r="X28" s="33"/>
      <c r="Y28" s="33"/>
      <c r="Z28" s="33"/>
      <c r="AA28" s="33"/>
      <c r="AB28" s="33"/>
      <c r="AC28" s="33"/>
    </row>
    <row r="29">
      <c r="A29" s="20">
        <v>28.0</v>
      </c>
      <c r="B29" s="21"/>
      <c r="C29" s="16" t="str">
        <f>hyperlink("https://github.com/d-wkim/phd/blob/main/data/pdf/"&amp;D29&amp;".pdf",PROPER(SUBSTITUTE(D29,"_"," (")&amp;")"))</f>
        <v>Gerber (2007)</v>
      </c>
      <c r="D29" s="30" t="s">
        <v>363</v>
      </c>
      <c r="E29" s="15" t="s">
        <v>32</v>
      </c>
      <c r="F29" s="15" t="s">
        <v>33</v>
      </c>
      <c r="G29" s="37" t="s">
        <v>16</v>
      </c>
      <c r="H29" s="23" t="str">
        <f>IFERROR(__xludf.DUMMYFUNCTION("if(REGEXMATCH(join("", "",$F29:$G29),H$1)=TRUE,""✓"",""✗"")"),"✓")</f>
        <v>✓</v>
      </c>
      <c r="I29" s="23" t="str">
        <f>IFERROR(__xludf.DUMMYFUNCTION("if(REGEXMATCH(join("", "",$F29:$G29),I$1)=TRUE,""✓"",""✗"")"),"✓")</f>
        <v>✓</v>
      </c>
      <c r="J29" s="23" t="str">
        <f>IFERROR(__xludf.DUMMYFUNCTION("if(REGEXMATCH(join("", "",$F29:$G29),J$1)=TRUE,""✓"",""✗"")"),"✗")</f>
        <v>✗</v>
      </c>
      <c r="K29" s="23" t="str">
        <f>IFERROR(__xludf.DUMMYFUNCTION("if(REGEXMATCH(join("", "",$F29:$G29),K$1)=TRUE,""✓"",""✗"")"),"✗")</f>
        <v>✗</v>
      </c>
      <c r="L29" s="23" t="str">
        <f>IFERROR(__xludf.DUMMYFUNCTION("if(REGEXMATCH(join("", "",$F29:$G29),L$1)=TRUE,""✓"",""✗"")"),"✗")</f>
        <v>✗</v>
      </c>
      <c r="M29" s="23" t="str">
        <f>IFERROR(__xludf.DUMMYFUNCTION("if(REGEXMATCH(join("", "",$F29:$G29),M$1)=TRUE,""✓"",""✗"")"),"✗")</f>
        <v>✗</v>
      </c>
      <c r="N29" s="23" t="str">
        <f>IFERROR(__xludf.DUMMYFUNCTION("if(REGEXMATCH(join("", "",$F29:$G29),N$1)=TRUE,""✓"",""✗"")"),"✗")</f>
        <v>✗</v>
      </c>
      <c r="O29" s="23" t="str">
        <f>IFERROR(__xludf.DUMMYFUNCTION("if(REGEXMATCH(join("", "",$F29:$G29),O$1)=TRUE,""✓"",""✗"")"),"✗")</f>
        <v>✗</v>
      </c>
      <c r="P29" s="23" t="str">
        <f>IFERROR(__xludf.DUMMYFUNCTION("if(REGEXMATCH(join("", "",$F29:$G29),P$1)=TRUE,""✓"",""✗"")"),"✗")</f>
        <v>✗</v>
      </c>
      <c r="Q29" s="23" t="str">
        <f>IFERROR(__xludf.DUMMYFUNCTION("if(REGEXMATCH(join("", "",$F29:$G29),Q$1)=TRUE,""✓"",""✗"")"),"✓")</f>
        <v>✓</v>
      </c>
      <c r="R29" s="23" t="str">
        <f>IFERROR(__xludf.DUMMYFUNCTION("if(REGEXMATCH(join("", "",$F29:$G29),R$1)=TRUE,""✓"",""✗"")"),"✗")</f>
        <v>✗</v>
      </c>
      <c r="S29" s="23" t="str">
        <f>IFERROR(__xludf.DUMMYFUNCTION("if(REGEXMATCH(join("", "",$F29:$G29),S$1)=TRUE,""✓"",""✗"")"),"✗")</f>
        <v>✗</v>
      </c>
      <c r="T29" s="23" t="str">
        <f>IFERROR(__xludf.DUMMYFUNCTION("if(REGEXMATCH(join("", "",$F29:$G29),T$1)=TRUE,""✓"",""✗"")"),"✗")</f>
        <v>✗</v>
      </c>
      <c r="U29" s="33"/>
      <c r="V29" s="33"/>
      <c r="W29" s="33"/>
      <c r="X29" s="33"/>
      <c r="Y29" s="33"/>
      <c r="Z29" s="33"/>
      <c r="AA29" s="33"/>
      <c r="AB29" s="33"/>
      <c r="AC29" s="33"/>
    </row>
    <row r="30" hidden="1" outlineLevel="1">
      <c r="A30" s="20">
        <v>29.0</v>
      </c>
      <c r="B30" s="21"/>
      <c r="C30" s="15"/>
      <c r="D30" s="30" t="s">
        <v>366</v>
      </c>
      <c r="E30" s="15" t="s">
        <v>102</v>
      </c>
      <c r="F30" s="37"/>
      <c r="G30" s="15" t="s">
        <v>289</v>
      </c>
      <c r="H30" s="23" t="str">
        <f>IFERROR(__xludf.DUMMYFUNCTION("if(REGEXMATCH(join("", "",$F30:$G30),H$1)=TRUE,""✓"",""✗"")"),"✗")</f>
        <v>✗</v>
      </c>
      <c r="I30" s="23" t="str">
        <f>IFERROR(__xludf.DUMMYFUNCTION("if(REGEXMATCH(join("", "",$F30:$G30),I$1)=TRUE,""✓"",""✗"")"),"✗")</f>
        <v>✗</v>
      </c>
      <c r="J30" s="23" t="str">
        <f>IFERROR(__xludf.DUMMYFUNCTION("if(REGEXMATCH(join("", "",$F30:$G30),J$1)=TRUE,""✓"",""✗"")"),"✗")</f>
        <v>✗</v>
      </c>
      <c r="K30" s="23" t="str">
        <f>IFERROR(__xludf.DUMMYFUNCTION("if(REGEXMATCH(join("", "",$F30:$G30),K$1)=TRUE,""✓"",""✗"")"),"✗")</f>
        <v>✗</v>
      </c>
      <c r="L30" s="23" t="str">
        <f>IFERROR(__xludf.DUMMYFUNCTION("if(REGEXMATCH(join("", "",$F30:$G30),L$1)=TRUE,""✓"",""✗"")"),"✗")</f>
        <v>✗</v>
      </c>
      <c r="M30" s="23" t="str">
        <f>IFERROR(__xludf.DUMMYFUNCTION("if(REGEXMATCH(join("", "",$F30:$G30),M$1)=TRUE,""✓"",""✗"")"),"✗")</f>
        <v>✗</v>
      </c>
      <c r="N30" s="23" t="str">
        <f>IFERROR(__xludf.DUMMYFUNCTION("if(REGEXMATCH(join("", "",$F30:$G30),N$1)=TRUE,""✓"",""✗"")"),"✗")</f>
        <v>✗</v>
      </c>
      <c r="O30" s="23" t="str">
        <f>IFERROR(__xludf.DUMMYFUNCTION("if(REGEXMATCH(join("", "",$F30:$G30),O$1)=TRUE,""✓"",""✗"")"),"✗")</f>
        <v>✗</v>
      </c>
      <c r="P30" s="23" t="str">
        <f>IFERROR(__xludf.DUMMYFUNCTION("if(REGEXMATCH(join("", "",$F30:$G30),P$1)=TRUE,""✓"",""✗"")"),"✗")</f>
        <v>✗</v>
      </c>
      <c r="Q30" s="23" t="str">
        <f>IFERROR(__xludf.DUMMYFUNCTION("if(REGEXMATCH(join("", "",$F30:$G30),Q$1)=TRUE,""✓"",""✗"")"),"✗")</f>
        <v>✗</v>
      </c>
      <c r="R30" s="23" t="str">
        <f>IFERROR(__xludf.DUMMYFUNCTION("if(REGEXMATCH(join("", "",$F30:$G30),R$1)=TRUE,""✓"",""✗"")"),"✗")</f>
        <v>✗</v>
      </c>
      <c r="S30" s="23" t="str">
        <f>IFERROR(__xludf.DUMMYFUNCTION("if(REGEXMATCH(join("", "",$F30:$G30),S$1)=TRUE,""✓"",""✗"")"),"✗")</f>
        <v>✗</v>
      </c>
      <c r="T30" s="23" t="str">
        <f>IFERROR(__xludf.DUMMYFUNCTION("if(REGEXMATCH(join("", "",$F30:$G30),T$1)=TRUE,""✓"",""✗"")"),"✗")</f>
        <v>✗</v>
      </c>
      <c r="U30" s="33"/>
      <c r="V30" s="33"/>
      <c r="W30" s="33"/>
      <c r="X30" s="33"/>
      <c r="Y30" s="33"/>
      <c r="Z30" s="33"/>
      <c r="AA30" s="33"/>
      <c r="AB30" s="33"/>
      <c r="AC30" s="33"/>
    </row>
    <row r="31">
      <c r="A31" s="20">
        <v>30.0</v>
      </c>
      <c r="B31" s="21"/>
      <c r="C31" s="16" t="str">
        <f t="shared" ref="C31:C39" si="6">hyperlink("https://github.com/d-wkim/phd/blob/main/data/pdf/"&amp;D31&amp;".pdf",PROPER(SUBSTITUTE(D31,"_"," (")&amp;")"))</f>
        <v>Gifstad (2013)</v>
      </c>
      <c r="D31" s="30" t="s">
        <v>372</v>
      </c>
      <c r="E31" s="15" t="s">
        <v>32</v>
      </c>
      <c r="F31" s="15" t="s">
        <v>33</v>
      </c>
      <c r="G31" s="37" t="s">
        <v>82</v>
      </c>
      <c r="H31" s="23" t="str">
        <f>IFERROR(__xludf.DUMMYFUNCTION("if(REGEXMATCH(join("", "",$F31:$G31),H$1)=TRUE,""✓"",""✗"")"),"✓")</f>
        <v>✓</v>
      </c>
      <c r="I31" s="23" t="str">
        <f>IFERROR(__xludf.DUMMYFUNCTION("if(REGEXMATCH(join("", "",$F31:$G31),I$1)=TRUE,""✓"",""✗"")"),"✓")</f>
        <v>✓</v>
      </c>
      <c r="J31" s="23" t="str">
        <f>IFERROR(__xludf.DUMMYFUNCTION("if(REGEXMATCH(join("", "",$F31:$G31),J$1)=TRUE,""✓"",""✗"")"),"✗")</f>
        <v>✗</v>
      </c>
      <c r="K31" s="23" t="str">
        <f>IFERROR(__xludf.DUMMYFUNCTION("if(REGEXMATCH(join("", "",$F31:$G31),K$1)=TRUE,""✓"",""✗"")"),"✗")</f>
        <v>✗</v>
      </c>
      <c r="L31" s="23" t="str">
        <f>IFERROR(__xludf.DUMMYFUNCTION("if(REGEXMATCH(join("", "",$F31:$G31),L$1)=TRUE,""✓"",""✗"")"),"✗")</f>
        <v>✗</v>
      </c>
      <c r="M31" s="23" t="str">
        <f>IFERROR(__xludf.DUMMYFUNCTION("if(REGEXMATCH(join("", "",$F31:$G31),M$1)=TRUE,""✓"",""✗"")"),"✗")</f>
        <v>✗</v>
      </c>
      <c r="N31" s="23" t="str">
        <f>IFERROR(__xludf.DUMMYFUNCTION("if(REGEXMATCH(join("", "",$F31:$G31),N$1)=TRUE,""✓"",""✗"")"),"✗")</f>
        <v>✗</v>
      </c>
      <c r="O31" s="23" t="str">
        <f>IFERROR(__xludf.DUMMYFUNCTION("if(REGEXMATCH(join("", "",$F31:$G31),O$1)=TRUE,""✓"",""✗"")"),"✓")</f>
        <v>✓</v>
      </c>
      <c r="P31" s="23" t="str">
        <f>IFERROR(__xludf.DUMMYFUNCTION("if(REGEXMATCH(join("", "",$F31:$G31),P$1)=TRUE,""✓"",""✗"")"),"✓")</f>
        <v>✓</v>
      </c>
      <c r="Q31" s="23" t="str">
        <f>IFERROR(__xludf.DUMMYFUNCTION("if(REGEXMATCH(join("", "",$F31:$G31),Q$1)=TRUE,""✓"",""✗"")"),"✓")</f>
        <v>✓</v>
      </c>
      <c r="R31" s="23" t="str">
        <f>IFERROR(__xludf.DUMMYFUNCTION("if(REGEXMATCH(join("", "",$F31:$G31),R$1)=TRUE,""✓"",""✗"")"),"✗")</f>
        <v>✗</v>
      </c>
      <c r="S31" s="23" t="str">
        <f>IFERROR(__xludf.DUMMYFUNCTION("if(REGEXMATCH(join("", "",$F31:$G31),S$1)=TRUE,""✓"",""✗"")"),"✓")</f>
        <v>✓</v>
      </c>
      <c r="T31" s="23" t="str">
        <f>IFERROR(__xludf.DUMMYFUNCTION("if(REGEXMATCH(join("", "",$F31:$G31),T$1)=TRUE,""✓"",""✗"")"),"✗")</f>
        <v>✗</v>
      </c>
      <c r="U31" s="33"/>
      <c r="V31" s="33"/>
      <c r="W31" s="33"/>
      <c r="X31" s="33"/>
      <c r="Y31" s="33"/>
      <c r="Z31" s="33"/>
      <c r="AA31" s="33"/>
      <c r="AB31" s="33"/>
      <c r="AC31" s="33"/>
    </row>
    <row r="32">
      <c r="A32" s="50">
        <v>31.0</v>
      </c>
      <c r="B32" s="21"/>
      <c r="C32" s="16" t="str">
        <f t="shared" si="6"/>
        <v>Gobbi (Francisco (2006)</v>
      </c>
      <c r="D32" s="19" t="s">
        <v>296</v>
      </c>
      <c r="E32" s="15" t="s">
        <v>32</v>
      </c>
      <c r="F32" s="15" t="s">
        <v>33</v>
      </c>
      <c r="G32" s="37" t="s">
        <v>94</v>
      </c>
      <c r="H32" s="23" t="str">
        <f>IFERROR(__xludf.DUMMYFUNCTION("if(REGEXMATCH(join("", "",$F32:$G32),H$1)=TRUE,""✓"",""✗"")"),"✓")</f>
        <v>✓</v>
      </c>
      <c r="I32" s="23" t="str">
        <f>IFERROR(__xludf.DUMMYFUNCTION("if(REGEXMATCH(join("", "",$F32:$G32),I$1)=TRUE,""✓"",""✗"")"),"✓")</f>
        <v>✓</v>
      </c>
      <c r="J32" s="23" t="str">
        <f>IFERROR(__xludf.DUMMYFUNCTION("if(REGEXMATCH(join("", "",$F32:$G32),J$1)=TRUE,""✓"",""✗"")"),"✗")</f>
        <v>✗</v>
      </c>
      <c r="K32" s="23" t="str">
        <f>IFERROR(__xludf.DUMMYFUNCTION("if(REGEXMATCH(join("", "",$F32:$G32),K$1)=TRUE,""✓"",""✗"")"),"✗")</f>
        <v>✗</v>
      </c>
      <c r="L32" s="23" t="str">
        <f>IFERROR(__xludf.DUMMYFUNCTION("if(REGEXMATCH(join("", "",$F32:$G32),L$1)=TRUE,""✓"",""✗"")"),"✗")</f>
        <v>✗</v>
      </c>
      <c r="M32" s="23" t="str">
        <f>IFERROR(__xludf.DUMMYFUNCTION("if(REGEXMATCH(join("", "",$F32:$G32),M$1)=TRUE,""✓"",""✗"")"),"✗")</f>
        <v>✗</v>
      </c>
      <c r="N32" s="23" t="str">
        <f>IFERROR(__xludf.DUMMYFUNCTION("if(REGEXMATCH(join("", "",$F32:$G32),N$1)=TRUE,""✓"",""✗"")"),"✓")</f>
        <v>✓</v>
      </c>
      <c r="O32" s="23" t="str">
        <f>IFERROR(__xludf.DUMMYFUNCTION("if(REGEXMATCH(join("", "",$F32:$G32),O$1)=TRUE,""✓"",""✗"")"),"✓")</f>
        <v>✓</v>
      </c>
      <c r="P32" s="23" t="str">
        <f>IFERROR(__xludf.DUMMYFUNCTION("if(REGEXMATCH(join("", "",$F32:$G32),P$1)=TRUE,""✓"",""✗"")"),"✓")</f>
        <v>✓</v>
      </c>
      <c r="Q32" s="23" t="str">
        <f>IFERROR(__xludf.DUMMYFUNCTION("if(REGEXMATCH(join("", "",$F32:$G32),Q$1)=TRUE,""✓"",""✗"")"),"✓")</f>
        <v>✓</v>
      </c>
      <c r="R32" s="23" t="str">
        <f>IFERROR(__xludf.DUMMYFUNCTION("if(REGEXMATCH(join("", "",$F32:$G32),R$1)=TRUE,""✓"",""✗"")"),"✗")</f>
        <v>✗</v>
      </c>
      <c r="S32" s="23" t="str">
        <f>IFERROR(__xludf.DUMMYFUNCTION("if(REGEXMATCH(join("", "",$F32:$G32),S$1)=TRUE,""✓"",""✗"")"),"✗")</f>
        <v>✗</v>
      </c>
      <c r="T32" s="23" t="str">
        <f>IFERROR(__xludf.DUMMYFUNCTION("if(REGEXMATCH(join("", "",$F32:$G32),T$1)=TRUE,""✓"",""✗"")"),"✗")</f>
        <v>✗</v>
      </c>
      <c r="U32" s="33"/>
      <c r="V32" s="33"/>
      <c r="W32" s="33"/>
      <c r="X32" s="33"/>
      <c r="Y32" s="33"/>
      <c r="Z32" s="33"/>
      <c r="AA32" s="33"/>
      <c r="AB32" s="33"/>
      <c r="AC32" s="33"/>
    </row>
    <row r="33">
      <c r="A33" s="20">
        <v>32.0</v>
      </c>
      <c r="B33" s="21"/>
      <c r="C33" s="16" t="str">
        <f t="shared" si="6"/>
        <v>Guglielmetti (2021)</v>
      </c>
      <c r="D33" s="30" t="s">
        <v>382</v>
      </c>
      <c r="E33" s="15" t="s">
        <v>32</v>
      </c>
      <c r="F33" s="15" t="s">
        <v>33</v>
      </c>
      <c r="G33" s="37" t="s">
        <v>98</v>
      </c>
      <c r="H33" s="23" t="str">
        <f>IFERROR(__xludf.DUMMYFUNCTION("if(REGEXMATCH(join("", "",$F33:$G33),H$1)=TRUE,""✓"",""✗"")"),"✓")</f>
        <v>✓</v>
      </c>
      <c r="I33" s="23" t="str">
        <f>IFERROR(__xludf.DUMMYFUNCTION("if(REGEXMATCH(join("", "",$F33:$G33),I$1)=TRUE,""✓"",""✗"")"),"✓")</f>
        <v>✓</v>
      </c>
      <c r="J33" s="23" t="str">
        <f>IFERROR(__xludf.DUMMYFUNCTION("if(REGEXMATCH(join("", "",$F33:$G33),J$1)=TRUE,""✓"",""✗"")"),"✗")</f>
        <v>✗</v>
      </c>
      <c r="K33" s="23" t="str">
        <f>IFERROR(__xludf.DUMMYFUNCTION("if(REGEXMATCH(join("", "",$F33:$G33),K$1)=TRUE,""✓"",""✗"")"),"✗")</f>
        <v>✗</v>
      </c>
      <c r="L33" s="23" t="str">
        <f>IFERROR(__xludf.DUMMYFUNCTION("if(REGEXMATCH(join("", "",$F33:$G33),L$1)=TRUE,""✓"",""✗"")"),"✗")</f>
        <v>✗</v>
      </c>
      <c r="M33" s="23" t="str">
        <f>IFERROR(__xludf.DUMMYFUNCTION("if(REGEXMATCH(join("", "",$F33:$G33),M$1)=TRUE,""✓"",""✗"")"),"✗")</f>
        <v>✗</v>
      </c>
      <c r="N33" s="23" t="str">
        <f>IFERROR(__xludf.DUMMYFUNCTION("if(REGEXMATCH(join("", "",$F33:$G33),N$1)=TRUE,""✓"",""✗"")"),"✓")</f>
        <v>✓</v>
      </c>
      <c r="O33" s="23" t="str">
        <f>IFERROR(__xludf.DUMMYFUNCTION("if(REGEXMATCH(join("", "",$F33:$G33),O$1)=TRUE,""✓"",""✗"")"),"✓")</f>
        <v>✓</v>
      </c>
      <c r="P33" s="23" t="str">
        <f>IFERROR(__xludf.DUMMYFUNCTION("if(REGEXMATCH(join("", "",$F33:$G33),P$1)=TRUE,""✓"",""✗"")"),"✗")</f>
        <v>✗</v>
      </c>
      <c r="Q33" s="23" t="str">
        <f>IFERROR(__xludf.DUMMYFUNCTION("if(REGEXMATCH(join("", "",$F33:$G33),Q$1)=TRUE,""✓"",""✗"")"),"✗")</f>
        <v>✗</v>
      </c>
      <c r="R33" s="23" t="str">
        <f>IFERROR(__xludf.DUMMYFUNCTION("if(REGEXMATCH(join("", "",$F33:$G33),R$1)=TRUE,""✓"",""✗"")"),"✓")</f>
        <v>✓</v>
      </c>
      <c r="S33" s="23" t="str">
        <f>IFERROR(__xludf.DUMMYFUNCTION("if(REGEXMATCH(join("", "",$F33:$G33),S$1)=TRUE,""✓"",""✗"")"),"✓")</f>
        <v>✓</v>
      </c>
      <c r="T33" s="23" t="str">
        <f>IFERROR(__xludf.DUMMYFUNCTION("if(REGEXMATCH(join("", "",$F33:$G33),T$1)=TRUE,""✓"",""✗"")"),"✗")</f>
        <v>✗</v>
      </c>
      <c r="U33" s="33"/>
      <c r="V33" s="33"/>
      <c r="W33" s="33"/>
      <c r="X33" s="33"/>
      <c r="Y33" s="33"/>
      <c r="Z33" s="33"/>
      <c r="AA33" s="33"/>
      <c r="AB33" s="33"/>
      <c r="AC33" s="33"/>
    </row>
    <row r="34">
      <c r="A34" s="20">
        <v>33.0</v>
      </c>
      <c r="B34" s="21"/>
      <c r="C34" s="16" t="str">
        <f t="shared" si="6"/>
        <v>Harilainen (2006)</v>
      </c>
      <c r="D34" s="30" t="s">
        <v>386</v>
      </c>
      <c r="E34" s="15" t="s">
        <v>32</v>
      </c>
      <c r="F34" s="15" t="s">
        <v>33</v>
      </c>
      <c r="G34" s="37" t="s">
        <v>100</v>
      </c>
      <c r="H34" s="23" t="str">
        <f>IFERROR(__xludf.DUMMYFUNCTION("if(REGEXMATCH(join("", "",$F34:$G34),H$1)=TRUE,""✓"",""✗"")"),"✓")</f>
        <v>✓</v>
      </c>
      <c r="I34" s="23" t="str">
        <f>IFERROR(__xludf.DUMMYFUNCTION("if(REGEXMATCH(join("", "",$F34:$G34),I$1)=TRUE,""✓"",""✗"")"),"✓")</f>
        <v>✓</v>
      </c>
      <c r="J34" s="23" t="str">
        <f>IFERROR(__xludf.DUMMYFUNCTION("if(REGEXMATCH(join("", "",$F34:$G34),J$1)=TRUE,""✓"",""✗"")"),"✗")</f>
        <v>✗</v>
      </c>
      <c r="K34" s="23" t="str">
        <f>IFERROR(__xludf.DUMMYFUNCTION("if(REGEXMATCH(join("", "",$F34:$G34),K$1)=TRUE,""✓"",""✗"")"),"✗")</f>
        <v>✗</v>
      </c>
      <c r="L34" s="23" t="str">
        <f>IFERROR(__xludf.DUMMYFUNCTION("if(REGEXMATCH(join("", "",$F34:$G34),L$1)=TRUE,""✓"",""✗"")"),"✗")</f>
        <v>✗</v>
      </c>
      <c r="M34" s="23" t="str">
        <f>IFERROR(__xludf.DUMMYFUNCTION("if(REGEXMATCH(join("", "",$F34:$G34),M$1)=TRUE,""✓"",""✗"")"),"✗")</f>
        <v>✗</v>
      </c>
      <c r="N34" s="23" t="str">
        <f>IFERROR(__xludf.DUMMYFUNCTION("if(REGEXMATCH(join("", "",$F34:$G34),N$1)=TRUE,""✓"",""✗"")"),"✓")</f>
        <v>✓</v>
      </c>
      <c r="O34" s="23" t="str">
        <f>IFERROR(__xludf.DUMMYFUNCTION("if(REGEXMATCH(join("", "",$F34:$G34),O$1)=TRUE,""✓"",""✗"")"),"✓")</f>
        <v>✓</v>
      </c>
      <c r="P34" s="23" t="str">
        <f>IFERROR(__xludf.DUMMYFUNCTION("if(REGEXMATCH(join("", "",$F34:$G34),P$1)=TRUE,""✓"",""✗"")"),"✓")</f>
        <v>✓</v>
      </c>
      <c r="Q34" s="23" t="str">
        <f>IFERROR(__xludf.DUMMYFUNCTION("if(REGEXMATCH(join("", "",$F34:$G34),Q$1)=TRUE,""✓"",""✗"")"),"✓")</f>
        <v>✓</v>
      </c>
      <c r="R34" s="23" t="str">
        <f>IFERROR(__xludf.DUMMYFUNCTION("if(REGEXMATCH(join("", "",$F34:$G34),R$1)=TRUE,""✓"",""✗"")"),"✓")</f>
        <v>✓</v>
      </c>
      <c r="S34" s="23" t="str">
        <f>IFERROR(__xludf.DUMMYFUNCTION("if(REGEXMATCH(join("", "",$F34:$G34),S$1)=TRUE,""✓"",""✗"")"),"✗")</f>
        <v>✗</v>
      </c>
      <c r="T34" s="23" t="str">
        <f>IFERROR(__xludf.DUMMYFUNCTION("if(REGEXMATCH(join("", "",$F34:$G34),T$1)=TRUE,""✓"",""✗"")"),"✗")</f>
        <v>✗</v>
      </c>
      <c r="U34" s="33"/>
      <c r="V34" s="33"/>
      <c r="W34" s="33"/>
      <c r="X34" s="33"/>
      <c r="Y34" s="33"/>
      <c r="Z34" s="33"/>
      <c r="AA34" s="33"/>
      <c r="AB34" s="33"/>
      <c r="AC34" s="33"/>
    </row>
    <row r="35">
      <c r="A35" s="20">
        <v>34.0</v>
      </c>
      <c r="B35" s="21"/>
      <c r="C35" s="16" t="str">
        <f t="shared" si="6"/>
        <v>Heijne (Werner (2010)</v>
      </c>
      <c r="D35" s="30" t="s">
        <v>389</v>
      </c>
      <c r="E35" s="15" t="s">
        <v>32</v>
      </c>
      <c r="F35" s="15" t="s">
        <v>33</v>
      </c>
      <c r="G35" s="37" t="s">
        <v>104</v>
      </c>
      <c r="H35" s="23" t="str">
        <f>IFERROR(__xludf.DUMMYFUNCTION("if(REGEXMATCH(join("", "",$F35:$G35),H$1)=TRUE,""✓"",""✗"")"),"✓")</f>
        <v>✓</v>
      </c>
      <c r="I35" s="23" t="str">
        <f>IFERROR(__xludf.DUMMYFUNCTION("if(REGEXMATCH(join("", "",$F35:$G35),I$1)=TRUE,""✓"",""✗"")"),"✓")</f>
        <v>✓</v>
      </c>
      <c r="J35" s="23" t="str">
        <f>IFERROR(__xludf.DUMMYFUNCTION("if(REGEXMATCH(join("", "",$F35:$G35),J$1)=TRUE,""✓"",""✗"")"),"✗")</f>
        <v>✗</v>
      </c>
      <c r="K35" s="23" t="str">
        <f>IFERROR(__xludf.DUMMYFUNCTION("if(REGEXMATCH(join("", "",$F35:$G35),K$1)=TRUE,""✓"",""✗"")"),"✗")</f>
        <v>✗</v>
      </c>
      <c r="L35" s="23" t="str">
        <f>IFERROR(__xludf.DUMMYFUNCTION("if(REGEXMATCH(join("", "",$F35:$G35),L$1)=TRUE,""✓"",""✗"")"),"✗")</f>
        <v>✗</v>
      </c>
      <c r="M35" s="23" t="str">
        <f>IFERROR(__xludf.DUMMYFUNCTION("if(REGEXMATCH(join("", "",$F35:$G35),M$1)=TRUE,""✓"",""✗"")"),"✗")</f>
        <v>✗</v>
      </c>
      <c r="N35" s="23" t="str">
        <f>IFERROR(__xludf.DUMMYFUNCTION("if(REGEXMATCH(join("", "",$F35:$G35),N$1)=TRUE,""✓"",""✗"")"),"✗")</f>
        <v>✗</v>
      </c>
      <c r="O35" s="23" t="str">
        <f>IFERROR(__xludf.DUMMYFUNCTION("if(REGEXMATCH(join("", "",$F35:$G35),O$1)=TRUE,""✓"",""✗"")"),"✗")</f>
        <v>✗</v>
      </c>
      <c r="P35" s="23" t="str">
        <f>IFERROR(__xludf.DUMMYFUNCTION("if(REGEXMATCH(join("", "",$F35:$G35),P$1)=TRUE,""✓"",""✗"")"),"✓")</f>
        <v>✓</v>
      </c>
      <c r="Q35" s="23" t="str">
        <f>IFERROR(__xludf.DUMMYFUNCTION("if(REGEXMATCH(join("", "",$F35:$G35),Q$1)=TRUE,""✓"",""✗"")"),"✓")</f>
        <v>✓</v>
      </c>
      <c r="R35" s="23" t="str">
        <f>IFERROR(__xludf.DUMMYFUNCTION("if(REGEXMATCH(join("", "",$F35:$G35),R$1)=TRUE,""✓"",""✗"")"),"✓")</f>
        <v>✓</v>
      </c>
      <c r="S35" s="23" t="str">
        <f>IFERROR(__xludf.DUMMYFUNCTION("if(REGEXMATCH(join("", "",$F35:$G35),S$1)=TRUE,""✓"",""✗"")"),"✗")</f>
        <v>✗</v>
      </c>
      <c r="T35" s="23" t="str">
        <f>IFERROR(__xludf.DUMMYFUNCTION("if(REGEXMATCH(join("", "",$F35:$G35),T$1)=TRUE,""✓"",""✗"")"),"✗")</f>
        <v>✗</v>
      </c>
      <c r="U35" s="33"/>
      <c r="V35" s="33"/>
      <c r="W35" s="33"/>
      <c r="X35" s="33"/>
      <c r="Y35" s="33"/>
      <c r="Z35" s="33"/>
      <c r="AA35" s="33"/>
      <c r="AB35" s="33"/>
      <c r="AC35" s="33"/>
    </row>
    <row r="36">
      <c r="A36" s="20">
        <v>35.0</v>
      </c>
      <c r="B36" s="21"/>
      <c r="C36" s="16" t="str">
        <f t="shared" si="6"/>
        <v>Holm (2010)</v>
      </c>
      <c r="D36" s="30" t="s">
        <v>396</v>
      </c>
      <c r="E36" s="15" t="s">
        <v>32</v>
      </c>
      <c r="F36" s="15" t="s">
        <v>33</v>
      </c>
      <c r="G36" s="37" t="s">
        <v>106</v>
      </c>
      <c r="H36" s="23" t="str">
        <f>IFERROR(__xludf.DUMMYFUNCTION("if(REGEXMATCH(join("", "",$F36:$G36),H$1)=TRUE,""✓"",""✗"")"),"✓")</f>
        <v>✓</v>
      </c>
      <c r="I36" s="23" t="str">
        <f>IFERROR(__xludf.DUMMYFUNCTION("if(REGEXMATCH(join("", "",$F36:$G36),I$1)=TRUE,""✓"",""✗"")"),"✓")</f>
        <v>✓</v>
      </c>
      <c r="J36" s="23" t="str">
        <f>IFERROR(__xludf.DUMMYFUNCTION("if(REGEXMATCH(join("", "",$F36:$G36),J$1)=TRUE,""✓"",""✗"")"),"✗")</f>
        <v>✗</v>
      </c>
      <c r="K36" s="23" t="str">
        <f>IFERROR(__xludf.DUMMYFUNCTION("if(REGEXMATCH(join("", "",$F36:$G36),K$1)=TRUE,""✓"",""✗"")"),"✗")</f>
        <v>✗</v>
      </c>
      <c r="L36" s="23" t="str">
        <f>IFERROR(__xludf.DUMMYFUNCTION("if(REGEXMATCH(join("", "",$F36:$G36),L$1)=TRUE,""✓"",""✗"")"),"✗")</f>
        <v>✗</v>
      </c>
      <c r="M36" s="23" t="str">
        <f>IFERROR(__xludf.DUMMYFUNCTION("if(REGEXMATCH(join("", "",$F36:$G36),M$1)=TRUE,""✓"",""✗"")"),"✗")</f>
        <v>✗</v>
      </c>
      <c r="N36" s="23" t="str">
        <f>IFERROR(__xludf.DUMMYFUNCTION("if(REGEXMATCH(join("", "",$F36:$G36),N$1)=TRUE,""✓"",""✗"")"),"✗")</f>
        <v>✗</v>
      </c>
      <c r="O36" s="23" t="str">
        <f>IFERROR(__xludf.DUMMYFUNCTION("if(REGEXMATCH(join("", "",$F36:$G36),O$1)=TRUE,""✓"",""✗"")"),"✗")</f>
        <v>✗</v>
      </c>
      <c r="P36" s="23" t="str">
        <f>IFERROR(__xludf.DUMMYFUNCTION("if(REGEXMATCH(join("", "",$F36:$G36),P$1)=TRUE,""✓"",""✗"")"),"✓")</f>
        <v>✓</v>
      </c>
      <c r="Q36" s="23" t="str">
        <f>IFERROR(__xludf.DUMMYFUNCTION("if(REGEXMATCH(join("", "",$F36:$G36),Q$1)=TRUE,""✓"",""✗"")"),"✓")</f>
        <v>✓</v>
      </c>
      <c r="R36" s="23" t="str">
        <f>IFERROR(__xludf.DUMMYFUNCTION("if(REGEXMATCH(join("", "",$F36:$G36),R$1)=TRUE,""✓"",""✗"")"),"✗")</f>
        <v>✗</v>
      </c>
      <c r="S36" s="23" t="str">
        <f>IFERROR(__xludf.DUMMYFUNCTION("if(REGEXMATCH(join("", "",$F36:$G36),S$1)=TRUE,""✓"",""✗"")"),"✗")</f>
        <v>✗</v>
      </c>
      <c r="T36" s="23" t="str">
        <f>IFERROR(__xludf.DUMMYFUNCTION("if(REGEXMATCH(join("", "",$F36:$G36),T$1)=TRUE,""✓"",""✗"")"),"✗")</f>
        <v>✗</v>
      </c>
      <c r="U36" s="33"/>
      <c r="V36" s="33"/>
      <c r="W36" s="33"/>
      <c r="X36" s="33"/>
      <c r="Y36" s="33"/>
      <c r="Z36" s="33"/>
      <c r="AA36" s="33"/>
      <c r="AB36" s="33"/>
      <c r="AC36" s="33"/>
    </row>
    <row r="37">
      <c r="A37" s="20">
        <v>36.0</v>
      </c>
      <c r="B37" s="21"/>
      <c r="C37" s="16" t="str">
        <f t="shared" si="6"/>
        <v>Horstmann (2022)</v>
      </c>
      <c r="D37" s="30" t="s">
        <v>400</v>
      </c>
      <c r="E37" s="15" t="s">
        <v>32</v>
      </c>
      <c r="F37" s="37" t="s">
        <v>245</v>
      </c>
      <c r="G37" s="37" t="s">
        <v>108</v>
      </c>
      <c r="H37" s="23" t="str">
        <f>IFERROR(__xludf.DUMMYFUNCTION("if(REGEXMATCH(join("", "",$F37:$G37),H$1)=TRUE,""✓"",""✗"")"),"✗")</f>
        <v>✗</v>
      </c>
      <c r="I37" s="23" t="str">
        <f>IFERROR(__xludf.DUMMYFUNCTION("if(REGEXMATCH(join("", "",$F37:$G37),I$1)=TRUE,""✓"",""✗"")"),"✓")</f>
        <v>✓</v>
      </c>
      <c r="J37" s="23" t="str">
        <f>IFERROR(__xludf.DUMMYFUNCTION("if(REGEXMATCH(join("", "",$F37:$G37),J$1)=TRUE,""✓"",""✗"")"),"✓")</f>
        <v>✓</v>
      </c>
      <c r="K37" s="23" t="str">
        <f>IFERROR(__xludf.DUMMYFUNCTION("if(REGEXMATCH(join("", "",$F37:$G37),K$1)=TRUE,""✓"",""✗"")"),"✗")</f>
        <v>✗</v>
      </c>
      <c r="L37" s="23" t="str">
        <f>IFERROR(__xludf.DUMMYFUNCTION("if(REGEXMATCH(join("", "",$F37:$G37),L$1)=TRUE,""✓"",""✗"")"),"✗")</f>
        <v>✗</v>
      </c>
      <c r="M37" s="23" t="str">
        <f>IFERROR(__xludf.DUMMYFUNCTION("if(REGEXMATCH(join("", "",$F37:$G37),M$1)=TRUE,""✓"",""✗"")"),"✗")</f>
        <v>✗</v>
      </c>
      <c r="N37" s="23" t="str">
        <f>IFERROR(__xludf.DUMMYFUNCTION("if(REGEXMATCH(join("", "",$F37:$G37),N$1)=TRUE,""✓"",""✗"")"),"✓")</f>
        <v>✓</v>
      </c>
      <c r="O37" s="23" t="str">
        <f>IFERROR(__xludf.DUMMYFUNCTION("if(REGEXMATCH(join("", "",$F37:$G37),O$1)=TRUE,""✓"",""✗"")"),"✓")</f>
        <v>✓</v>
      </c>
      <c r="P37" s="23" t="str">
        <f>IFERROR(__xludf.DUMMYFUNCTION("if(REGEXMATCH(join("", "",$F37:$G37),P$1)=TRUE,""✓"",""✗"")"),"✗")</f>
        <v>✗</v>
      </c>
      <c r="Q37" s="23" t="str">
        <f>IFERROR(__xludf.DUMMYFUNCTION("if(REGEXMATCH(join("", "",$F37:$G37),Q$1)=TRUE,""✓"",""✗"")"),"✓")</f>
        <v>✓</v>
      </c>
      <c r="R37" s="23" t="str">
        <f>IFERROR(__xludf.DUMMYFUNCTION("if(REGEXMATCH(join("", "",$F37:$G37),R$1)=TRUE,""✓"",""✗"")"),"✗")</f>
        <v>✗</v>
      </c>
      <c r="S37" s="23" t="str">
        <f>IFERROR(__xludf.DUMMYFUNCTION("if(REGEXMATCH(join("", "",$F37:$G37),S$1)=TRUE,""✓"",""✗"")"),"✗")</f>
        <v>✗</v>
      </c>
      <c r="T37" s="23" t="str">
        <f>IFERROR(__xludf.DUMMYFUNCTION("if(REGEXMATCH(join("", "",$F37:$G37),T$1)=TRUE,""✓"",""✗"")"),"✗")</f>
        <v>✗</v>
      </c>
      <c r="U37" s="33"/>
      <c r="V37" s="33"/>
      <c r="W37" s="33"/>
      <c r="X37" s="33"/>
      <c r="Y37" s="33"/>
      <c r="Z37" s="33"/>
      <c r="AA37" s="33"/>
      <c r="AB37" s="33"/>
      <c r="AC37" s="33"/>
    </row>
    <row r="38">
      <c r="A38" s="20">
        <v>37.0</v>
      </c>
      <c r="B38" s="21"/>
      <c r="C38" s="16" t="str">
        <f t="shared" si="6"/>
        <v>Ibrahim (2005)</v>
      </c>
      <c r="D38" s="30" t="s">
        <v>404</v>
      </c>
      <c r="E38" s="15" t="s">
        <v>32</v>
      </c>
      <c r="F38" s="15" t="s">
        <v>33</v>
      </c>
      <c r="G38" s="37" t="s">
        <v>111</v>
      </c>
      <c r="H38" s="23" t="str">
        <f>IFERROR(__xludf.DUMMYFUNCTION("if(REGEXMATCH(join("", "",$F38:$G38),H$1)=TRUE,""✓"",""✗"")"),"✓")</f>
        <v>✓</v>
      </c>
      <c r="I38" s="23" t="str">
        <f>IFERROR(__xludf.DUMMYFUNCTION("if(REGEXMATCH(join("", "",$F38:$G38),I$1)=TRUE,""✓"",""✗"")"),"✓")</f>
        <v>✓</v>
      </c>
      <c r="J38" s="23" t="str">
        <f>IFERROR(__xludf.DUMMYFUNCTION("if(REGEXMATCH(join("", "",$F38:$G38),J$1)=TRUE,""✓"",""✗"")"),"✗")</f>
        <v>✗</v>
      </c>
      <c r="K38" s="23" t="str">
        <f>IFERROR(__xludf.DUMMYFUNCTION("if(REGEXMATCH(join("", "",$F38:$G38),K$1)=TRUE,""✓"",""✗"")"),"✗")</f>
        <v>✗</v>
      </c>
      <c r="L38" s="23" t="str">
        <f>IFERROR(__xludf.DUMMYFUNCTION("if(REGEXMATCH(join("", "",$F38:$G38),L$1)=TRUE,""✓"",""✗"")"),"✗")</f>
        <v>✗</v>
      </c>
      <c r="M38" s="23" t="str">
        <f>IFERROR(__xludf.DUMMYFUNCTION("if(REGEXMATCH(join("", "",$F38:$G38),M$1)=TRUE,""✓"",""✗"")"),"✗")</f>
        <v>✗</v>
      </c>
      <c r="N38" s="23" t="str">
        <f>IFERROR(__xludf.DUMMYFUNCTION("if(REGEXMATCH(join("", "",$F38:$G38),N$1)=TRUE,""✓"",""✗"")"),"✗")</f>
        <v>✗</v>
      </c>
      <c r="O38" s="23" t="str">
        <f>IFERROR(__xludf.DUMMYFUNCTION("if(REGEXMATCH(join("", "",$F38:$G38),O$1)=TRUE,""✓"",""✗"")"),"✓")</f>
        <v>✓</v>
      </c>
      <c r="P38" s="23" t="str">
        <f>IFERROR(__xludf.DUMMYFUNCTION("if(REGEXMATCH(join("", "",$F38:$G38),P$1)=TRUE,""✓"",""✗"")"),"✗")</f>
        <v>✗</v>
      </c>
      <c r="Q38" s="23" t="str">
        <f>IFERROR(__xludf.DUMMYFUNCTION("if(REGEXMATCH(join("", "",$F38:$G38),Q$1)=TRUE,""✓"",""✗"")"),"✓")</f>
        <v>✓</v>
      </c>
      <c r="R38" s="23" t="str">
        <f>IFERROR(__xludf.DUMMYFUNCTION("if(REGEXMATCH(join("", "",$F38:$G38),R$1)=TRUE,""✓"",""✗"")"),"✓")</f>
        <v>✓</v>
      </c>
      <c r="S38" s="23" t="str">
        <f>IFERROR(__xludf.DUMMYFUNCTION("if(REGEXMATCH(join("", "",$F38:$G38),S$1)=TRUE,""✓"",""✗"")"),"✓")</f>
        <v>✓</v>
      </c>
      <c r="T38" s="23" t="str">
        <f>IFERROR(__xludf.DUMMYFUNCTION("if(REGEXMATCH(join("", "",$F38:$G38),T$1)=TRUE,""✓"",""✗"")"),"✗")</f>
        <v>✗</v>
      </c>
      <c r="U38" s="33"/>
      <c r="V38" s="33"/>
      <c r="W38" s="33"/>
      <c r="X38" s="33"/>
      <c r="Y38" s="33"/>
      <c r="Z38" s="33"/>
      <c r="AA38" s="33"/>
      <c r="AB38" s="33"/>
      <c r="AC38" s="33"/>
    </row>
    <row r="39">
      <c r="A39" s="20">
        <v>38.0</v>
      </c>
      <c r="B39" s="21"/>
      <c r="C39" s="16" t="str">
        <f t="shared" si="6"/>
        <v>Iliopoulos (2017)</v>
      </c>
      <c r="D39" s="30" t="s">
        <v>408</v>
      </c>
      <c r="E39" s="15" t="s">
        <v>32</v>
      </c>
      <c r="F39" s="15" t="s">
        <v>33</v>
      </c>
      <c r="G39" s="37" t="s">
        <v>98</v>
      </c>
      <c r="H39" s="23" t="str">
        <f>IFERROR(__xludf.DUMMYFUNCTION("if(REGEXMATCH(join("", "",$F39:$G39),H$1)=TRUE,""✓"",""✗"")"),"✓")</f>
        <v>✓</v>
      </c>
      <c r="I39" s="23" t="str">
        <f>IFERROR(__xludf.DUMMYFUNCTION("if(REGEXMATCH(join("", "",$F39:$G39),I$1)=TRUE,""✓"",""✗"")"),"✓")</f>
        <v>✓</v>
      </c>
      <c r="J39" s="23" t="str">
        <f>IFERROR(__xludf.DUMMYFUNCTION("if(REGEXMATCH(join("", "",$F39:$G39),J$1)=TRUE,""✓"",""✗"")"),"✗")</f>
        <v>✗</v>
      </c>
      <c r="K39" s="23" t="str">
        <f>IFERROR(__xludf.DUMMYFUNCTION("if(REGEXMATCH(join("", "",$F39:$G39),K$1)=TRUE,""✓"",""✗"")"),"✗")</f>
        <v>✗</v>
      </c>
      <c r="L39" s="23" t="str">
        <f>IFERROR(__xludf.DUMMYFUNCTION("if(REGEXMATCH(join("", "",$F39:$G39),L$1)=TRUE,""✓"",""✗"")"),"✗")</f>
        <v>✗</v>
      </c>
      <c r="M39" s="23" t="str">
        <f>IFERROR(__xludf.DUMMYFUNCTION("if(REGEXMATCH(join("", "",$F39:$G39),M$1)=TRUE,""✓"",""✗"")"),"✗")</f>
        <v>✗</v>
      </c>
      <c r="N39" s="23" t="str">
        <f>IFERROR(__xludf.DUMMYFUNCTION("if(REGEXMATCH(join("", "",$F39:$G39),N$1)=TRUE,""✓"",""✗"")"),"✓")</f>
        <v>✓</v>
      </c>
      <c r="O39" s="23" t="str">
        <f>IFERROR(__xludf.DUMMYFUNCTION("if(REGEXMATCH(join("", "",$F39:$G39),O$1)=TRUE,""✓"",""✗"")"),"✓")</f>
        <v>✓</v>
      </c>
      <c r="P39" s="23" t="str">
        <f>IFERROR(__xludf.DUMMYFUNCTION("if(REGEXMATCH(join("", "",$F39:$G39),P$1)=TRUE,""✓"",""✗"")"),"✗")</f>
        <v>✗</v>
      </c>
      <c r="Q39" s="23" t="str">
        <f>IFERROR(__xludf.DUMMYFUNCTION("if(REGEXMATCH(join("", "",$F39:$G39),Q$1)=TRUE,""✓"",""✗"")"),"✗")</f>
        <v>✗</v>
      </c>
      <c r="R39" s="23" t="str">
        <f>IFERROR(__xludf.DUMMYFUNCTION("if(REGEXMATCH(join("", "",$F39:$G39),R$1)=TRUE,""✓"",""✗"")"),"✓")</f>
        <v>✓</v>
      </c>
      <c r="S39" s="23" t="str">
        <f>IFERROR(__xludf.DUMMYFUNCTION("if(REGEXMATCH(join("", "",$F39:$G39),S$1)=TRUE,""✓"",""✗"")"),"✓")</f>
        <v>✓</v>
      </c>
      <c r="T39" s="23" t="str">
        <f>IFERROR(__xludf.DUMMYFUNCTION("if(REGEXMATCH(join("", "",$F39:$G39),T$1)=TRUE,""✓"",""✗"")"),"✗")</f>
        <v>✗</v>
      </c>
      <c r="U39" s="33"/>
      <c r="V39" s="33"/>
      <c r="W39" s="33"/>
      <c r="X39" s="33"/>
      <c r="Y39" s="33"/>
      <c r="Z39" s="33"/>
      <c r="AA39" s="33"/>
      <c r="AB39" s="33"/>
      <c r="AC39" s="33"/>
    </row>
    <row r="40" hidden="1" outlineLevel="1">
      <c r="A40" s="20">
        <v>39.0</v>
      </c>
      <c r="B40" s="21"/>
      <c r="C40" s="15"/>
      <c r="D40" s="30" t="s">
        <v>410</v>
      </c>
      <c r="E40" s="15" t="s">
        <v>102</v>
      </c>
      <c r="F40" s="37"/>
      <c r="G40" s="15" t="s">
        <v>289</v>
      </c>
      <c r="H40" s="23" t="str">
        <f>IFERROR(__xludf.DUMMYFUNCTION("if(REGEXMATCH(join("", "",$F40:$G40),H$1)=TRUE,""✓"",""✗"")"),"✗")</f>
        <v>✗</v>
      </c>
      <c r="I40" s="23" t="str">
        <f>IFERROR(__xludf.DUMMYFUNCTION("if(REGEXMATCH(join("", "",$F40:$G40),I$1)=TRUE,""✓"",""✗"")"),"✗")</f>
        <v>✗</v>
      </c>
      <c r="J40" s="23" t="str">
        <f>IFERROR(__xludf.DUMMYFUNCTION("if(REGEXMATCH(join("", "",$F40:$G40),J$1)=TRUE,""✓"",""✗"")"),"✗")</f>
        <v>✗</v>
      </c>
      <c r="K40" s="23" t="str">
        <f>IFERROR(__xludf.DUMMYFUNCTION("if(REGEXMATCH(join("", "",$F40:$G40),K$1)=TRUE,""✓"",""✗"")"),"✗")</f>
        <v>✗</v>
      </c>
      <c r="L40" s="23" t="str">
        <f>IFERROR(__xludf.DUMMYFUNCTION("if(REGEXMATCH(join("", "",$F40:$G40),L$1)=TRUE,""✓"",""✗"")"),"✗")</f>
        <v>✗</v>
      </c>
      <c r="M40" s="23" t="str">
        <f>IFERROR(__xludf.DUMMYFUNCTION("if(REGEXMATCH(join("", "",$F40:$G40),M$1)=TRUE,""✓"",""✗"")"),"✗")</f>
        <v>✗</v>
      </c>
      <c r="N40" s="23" t="str">
        <f>IFERROR(__xludf.DUMMYFUNCTION("if(REGEXMATCH(join("", "",$F40:$G40),N$1)=TRUE,""✓"",""✗"")"),"✗")</f>
        <v>✗</v>
      </c>
      <c r="O40" s="23" t="str">
        <f>IFERROR(__xludf.DUMMYFUNCTION("if(REGEXMATCH(join("", "",$F40:$G40),O$1)=TRUE,""✓"",""✗"")"),"✗")</f>
        <v>✗</v>
      </c>
      <c r="P40" s="23" t="str">
        <f>IFERROR(__xludf.DUMMYFUNCTION("if(REGEXMATCH(join("", "",$F40:$G40),P$1)=TRUE,""✓"",""✗"")"),"✗")</f>
        <v>✗</v>
      </c>
      <c r="Q40" s="23" t="str">
        <f>IFERROR(__xludf.DUMMYFUNCTION("if(REGEXMATCH(join("", "",$F40:$G40),Q$1)=TRUE,""✓"",""✗"")"),"✗")</f>
        <v>✗</v>
      </c>
      <c r="R40" s="23" t="str">
        <f>IFERROR(__xludf.DUMMYFUNCTION("if(REGEXMATCH(join("", "",$F40:$G40),R$1)=TRUE,""✓"",""✗"")"),"✗")</f>
        <v>✗</v>
      </c>
      <c r="S40" s="23" t="str">
        <f>IFERROR(__xludf.DUMMYFUNCTION("if(REGEXMATCH(join("", "",$F40:$G40),S$1)=TRUE,""✓"",""✗"")"),"✗")</f>
        <v>✗</v>
      </c>
      <c r="T40" s="23" t="str">
        <f>IFERROR(__xludf.DUMMYFUNCTION("if(REGEXMATCH(join("", "",$F40:$G40),T$1)=TRUE,""✓"",""✗"")"),"✗")</f>
        <v>✗</v>
      </c>
      <c r="U40" s="33"/>
      <c r="V40" s="33"/>
      <c r="W40" s="33"/>
      <c r="X40" s="33"/>
      <c r="Y40" s="33"/>
      <c r="Z40" s="33"/>
      <c r="AA40" s="33"/>
      <c r="AB40" s="33"/>
      <c r="AC40" s="33"/>
    </row>
    <row r="41" hidden="1" outlineLevel="1">
      <c r="A41" s="20">
        <v>40.0</v>
      </c>
      <c r="B41" s="21"/>
      <c r="C41" s="15"/>
      <c r="D41" s="30" t="s">
        <v>417</v>
      </c>
      <c r="E41" s="15" t="s">
        <v>102</v>
      </c>
      <c r="F41" s="15"/>
      <c r="G41" s="15" t="s">
        <v>228</v>
      </c>
      <c r="H41" s="23" t="str">
        <f>IFERROR(__xludf.DUMMYFUNCTION("if(REGEXMATCH(join("", "",$F41:$G41),H$1)=TRUE,""✓"",""✗"")"),"✗")</f>
        <v>✗</v>
      </c>
      <c r="I41" s="23" t="str">
        <f>IFERROR(__xludf.DUMMYFUNCTION("if(REGEXMATCH(join("", "",$F41:$G41),I$1)=TRUE,""✓"",""✗"")"),"✗")</f>
        <v>✗</v>
      </c>
      <c r="J41" s="23" t="str">
        <f>IFERROR(__xludf.DUMMYFUNCTION("if(REGEXMATCH(join("", "",$F41:$G41),J$1)=TRUE,""✓"",""✗"")"),"✗")</f>
        <v>✗</v>
      </c>
      <c r="K41" s="23" t="str">
        <f>IFERROR(__xludf.DUMMYFUNCTION("if(REGEXMATCH(join("", "",$F41:$G41),K$1)=TRUE,""✓"",""✗"")"),"✗")</f>
        <v>✗</v>
      </c>
      <c r="L41" s="23" t="str">
        <f>IFERROR(__xludf.DUMMYFUNCTION("if(REGEXMATCH(join("", "",$F41:$G41),L$1)=TRUE,""✓"",""✗"")"),"✗")</f>
        <v>✗</v>
      </c>
      <c r="M41" s="23" t="str">
        <f>IFERROR(__xludf.DUMMYFUNCTION("if(REGEXMATCH(join("", "",$F41:$G41),M$1)=TRUE,""✓"",""✗"")"),"✗")</f>
        <v>✗</v>
      </c>
      <c r="N41" s="23" t="str">
        <f>IFERROR(__xludf.DUMMYFUNCTION("if(REGEXMATCH(join("", "",$F41:$G41),N$1)=TRUE,""✓"",""✗"")"),"✗")</f>
        <v>✗</v>
      </c>
      <c r="O41" s="23" t="str">
        <f>IFERROR(__xludf.DUMMYFUNCTION("if(REGEXMATCH(join("", "",$F41:$G41),O$1)=TRUE,""✓"",""✗"")"),"✗")</f>
        <v>✗</v>
      </c>
      <c r="P41" s="23" t="str">
        <f>IFERROR(__xludf.DUMMYFUNCTION("if(REGEXMATCH(join("", "",$F41:$G41),P$1)=TRUE,""✓"",""✗"")"),"✗")</f>
        <v>✗</v>
      </c>
      <c r="Q41" s="23" t="str">
        <f>IFERROR(__xludf.DUMMYFUNCTION("if(REGEXMATCH(join("", "",$F41:$G41),Q$1)=TRUE,""✓"",""✗"")"),"✗")</f>
        <v>✗</v>
      </c>
      <c r="R41" s="23" t="str">
        <f>IFERROR(__xludf.DUMMYFUNCTION("if(REGEXMATCH(join("", "",$F41:$G41),R$1)=TRUE,""✓"",""✗"")"),"✗")</f>
        <v>✗</v>
      </c>
      <c r="S41" s="23" t="str">
        <f>IFERROR(__xludf.DUMMYFUNCTION("if(REGEXMATCH(join("", "",$F41:$G41),S$1)=TRUE,""✓"",""✗"")"),"✗")</f>
        <v>✗</v>
      </c>
      <c r="T41" s="23" t="str">
        <f>IFERROR(__xludf.DUMMYFUNCTION("if(REGEXMATCH(join("", "",$F41:$G41),T$1)=TRUE,""✓"",""✗"")"),"✗")</f>
        <v>✗</v>
      </c>
      <c r="U41" s="33"/>
      <c r="V41" s="33"/>
      <c r="W41" s="33"/>
      <c r="X41" s="33"/>
      <c r="Y41" s="33"/>
      <c r="Z41" s="33"/>
      <c r="AA41" s="33"/>
      <c r="AB41" s="33"/>
      <c r="AC41" s="33"/>
    </row>
    <row r="42">
      <c r="A42" s="20">
        <v>41.0</v>
      </c>
      <c r="B42" s="21"/>
      <c r="C42" s="16" t="str">
        <f>hyperlink("https://github.com/d-wkim/phd/blob/main/data/pdf/"&amp;D42&amp;".pdf",PROPER(SUBSTITUTE(D42,"_"," (")&amp;")"))</f>
        <v>Jansson (2003)</v>
      </c>
      <c r="D42" s="30" t="s">
        <v>423</v>
      </c>
      <c r="E42" s="15" t="s">
        <v>32</v>
      </c>
      <c r="F42" s="15" t="s">
        <v>33</v>
      </c>
      <c r="G42" s="37" t="s">
        <v>116</v>
      </c>
      <c r="H42" s="23" t="str">
        <f>IFERROR(__xludf.DUMMYFUNCTION("if(REGEXMATCH(join("", "",$F42:$G42),H$1)=TRUE,""✓"",""✗"")"),"✓")</f>
        <v>✓</v>
      </c>
      <c r="I42" s="23" t="str">
        <f>IFERROR(__xludf.DUMMYFUNCTION("if(REGEXMATCH(join("", "",$F42:$G42),I$1)=TRUE,""✓"",""✗"")"),"✓")</f>
        <v>✓</v>
      </c>
      <c r="J42" s="23" t="str">
        <f>IFERROR(__xludf.DUMMYFUNCTION("if(REGEXMATCH(join("", "",$F42:$G42),J$1)=TRUE,""✓"",""✗"")"),"✗")</f>
        <v>✗</v>
      </c>
      <c r="K42" s="23" t="str">
        <f>IFERROR(__xludf.DUMMYFUNCTION("if(REGEXMATCH(join("", "",$F42:$G42),K$1)=TRUE,""✓"",""✗"")"),"✗")</f>
        <v>✗</v>
      </c>
      <c r="L42" s="23" t="str">
        <f>IFERROR(__xludf.DUMMYFUNCTION("if(REGEXMATCH(join("", "",$F42:$G42),L$1)=TRUE,""✓"",""✗"")"),"✗")</f>
        <v>✗</v>
      </c>
      <c r="M42" s="23" t="str">
        <f>IFERROR(__xludf.DUMMYFUNCTION("if(REGEXMATCH(join("", "",$F42:$G42),M$1)=TRUE,""✓"",""✗"")"),"✗")</f>
        <v>✗</v>
      </c>
      <c r="N42" s="23" t="str">
        <f>IFERROR(__xludf.DUMMYFUNCTION("if(REGEXMATCH(join("", "",$F42:$G42),N$1)=TRUE,""✓"",""✗"")"),"✗")</f>
        <v>✗</v>
      </c>
      <c r="O42" s="23" t="str">
        <f>IFERROR(__xludf.DUMMYFUNCTION("if(REGEXMATCH(join("", "",$F42:$G42),O$1)=TRUE,""✓"",""✗"")"),"✓")</f>
        <v>✓</v>
      </c>
      <c r="P42" s="23" t="str">
        <f>IFERROR(__xludf.DUMMYFUNCTION("if(REGEXMATCH(join("", "",$F42:$G42),P$1)=TRUE,""✓"",""✗"")"),"✓")</f>
        <v>✓</v>
      </c>
      <c r="Q42" s="23" t="str">
        <f>IFERROR(__xludf.DUMMYFUNCTION("if(REGEXMATCH(join("", "",$F42:$G42),Q$1)=TRUE,""✓"",""✗"")"),"✓")</f>
        <v>✓</v>
      </c>
      <c r="R42" s="23" t="str">
        <f>IFERROR(__xludf.DUMMYFUNCTION("if(REGEXMATCH(join("", "",$F42:$G42),R$1)=TRUE,""✓"",""✗"")"),"✓")</f>
        <v>✓</v>
      </c>
      <c r="S42" s="23" t="str">
        <f>IFERROR(__xludf.DUMMYFUNCTION("if(REGEXMATCH(join("", "",$F42:$G42),S$1)=TRUE,""✓"",""✗"")"),"✓")</f>
        <v>✓</v>
      </c>
      <c r="T42" s="23" t="str">
        <f>IFERROR(__xludf.DUMMYFUNCTION("if(REGEXMATCH(join("", "",$F42:$G42),T$1)=TRUE,""✓"",""✗"")"),"✗")</f>
        <v>✗</v>
      </c>
      <c r="U42" s="33"/>
      <c r="V42" s="33"/>
      <c r="W42" s="33"/>
      <c r="X42" s="33"/>
      <c r="Y42" s="33"/>
      <c r="Z42" s="33"/>
      <c r="AA42" s="33"/>
      <c r="AB42" s="33"/>
      <c r="AC42" s="33"/>
    </row>
    <row r="43" hidden="1">
      <c r="A43" s="20">
        <v>42.0</v>
      </c>
      <c r="B43" s="21"/>
      <c r="C43" s="15"/>
      <c r="D43" s="30" t="s">
        <v>426</v>
      </c>
      <c r="E43" s="15" t="s">
        <v>102</v>
      </c>
      <c r="F43" s="37"/>
      <c r="G43" s="15" t="s">
        <v>230</v>
      </c>
      <c r="H43" s="23" t="str">
        <f>IFERROR(__xludf.DUMMYFUNCTION("if(REGEXMATCH(join("", "",$F43:$G43),H$1)=TRUE,""✓"",""✗"")"),"✗")</f>
        <v>✗</v>
      </c>
      <c r="I43" s="23" t="str">
        <f>IFERROR(__xludf.DUMMYFUNCTION("if(REGEXMATCH(join("", "",$F43:$G43),I$1)=TRUE,""✓"",""✗"")"),"✗")</f>
        <v>✗</v>
      </c>
      <c r="J43" s="23" t="str">
        <f>IFERROR(__xludf.DUMMYFUNCTION("if(REGEXMATCH(join("", "",$F43:$G43),J$1)=TRUE,""✓"",""✗"")"),"✗")</f>
        <v>✗</v>
      </c>
      <c r="K43" s="23" t="str">
        <f>IFERROR(__xludf.DUMMYFUNCTION("if(REGEXMATCH(join("", "",$F43:$G43),K$1)=TRUE,""✓"",""✗"")"),"✗")</f>
        <v>✗</v>
      </c>
      <c r="L43" s="23" t="str">
        <f>IFERROR(__xludf.DUMMYFUNCTION("if(REGEXMATCH(join("", "",$F43:$G43),L$1)=TRUE,""✓"",""✗"")"),"✗")</f>
        <v>✗</v>
      </c>
      <c r="M43" s="23" t="str">
        <f>IFERROR(__xludf.DUMMYFUNCTION("if(REGEXMATCH(join("", "",$F43:$G43),M$1)=TRUE,""✓"",""✗"")"),"✗")</f>
        <v>✗</v>
      </c>
      <c r="N43" s="23" t="str">
        <f>IFERROR(__xludf.DUMMYFUNCTION("if(REGEXMATCH(join("", "",$F43:$G43),N$1)=TRUE,""✓"",""✗"")"),"✗")</f>
        <v>✗</v>
      </c>
      <c r="O43" s="23" t="str">
        <f>IFERROR(__xludf.DUMMYFUNCTION("if(REGEXMATCH(join("", "",$F43:$G43),O$1)=TRUE,""✓"",""✗"")"),"✗")</f>
        <v>✗</v>
      </c>
      <c r="P43" s="23" t="str">
        <f>IFERROR(__xludf.DUMMYFUNCTION("if(REGEXMATCH(join("", "",$F43:$G43),P$1)=TRUE,""✓"",""✗"")"),"✗")</f>
        <v>✗</v>
      </c>
      <c r="Q43" s="23" t="str">
        <f>IFERROR(__xludf.DUMMYFUNCTION("if(REGEXMATCH(join("", "",$F43:$G43),Q$1)=TRUE,""✓"",""✗"")"),"✗")</f>
        <v>✗</v>
      </c>
      <c r="R43" s="23" t="str">
        <f>IFERROR(__xludf.DUMMYFUNCTION("if(REGEXMATCH(join("", "",$F43:$G43),R$1)=TRUE,""✓"",""✗"")"),"✗")</f>
        <v>✗</v>
      </c>
      <c r="S43" s="23" t="str">
        <f>IFERROR(__xludf.DUMMYFUNCTION("if(REGEXMATCH(join("", "",$F43:$G43),S$1)=TRUE,""✓"",""✗"")"),"✗")</f>
        <v>✗</v>
      </c>
      <c r="T43" s="23" t="str">
        <f>IFERROR(__xludf.DUMMYFUNCTION("if(REGEXMATCH(join("", "",$F43:$G43),T$1)=TRUE,""✓"",""✗"")"),"✗")</f>
        <v>✗</v>
      </c>
      <c r="U43" s="33"/>
      <c r="V43" s="33"/>
      <c r="W43" s="33"/>
      <c r="X43" s="33"/>
      <c r="Y43" s="33"/>
      <c r="Z43" s="33"/>
      <c r="AA43" s="33"/>
      <c r="AB43" s="33"/>
      <c r="AC43" s="33"/>
    </row>
    <row r="44">
      <c r="A44" s="20">
        <v>43.0</v>
      </c>
      <c r="B44" s="21"/>
      <c r="C44" s="16" t="str">
        <f t="shared" ref="C44:C48" si="7">hyperlink("https://github.com/d-wkim/phd/blob/main/data/pdf/"&amp;D44&amp;".pdf",PROPER(SUBSTITUTE(D44,"_"," (")&amp;")"))</f>
        <v>Kautzner (2015)</v>
      </c>
      <c r="D44" s="30" t="s">
        <v>430</v>
      </c>
      <c r="E44" s="15" t="s">
        <v>32</v>
      </c>
      <c r="F44" s="15" t="s">
        <v>33</v>
      </c>
      <c r="G44" s="37" t="s">
        <v>118</v>
      </c>
      <c r="H44" s="23" t="str">
        <f>IFERROR(__xludf.DUMMYFUNCTION("if(REGEXMATCH(join("", "",$F44:$G44),H$1)=TRUE,""✓"",""✗"")"),"✓")</f>
        <v>✓</v>
      </c>
      <c r="I44" s="23" t="str">
        <f>IFERROR(__xludf.DUMMYFUNCTION("if(REGEXMATCH(join("", "",$F44:$G44),I$1)=TRUE,""✓"",""✗"")"),"✓")</f>
        <v>✓</v>
      </c>
      <c r="J44" s="23" t="str">
        <f>IFERROR(__xludf.DUMMYFUNCTION("if(REGEXMATCH(join("", "",$F44:$G44),J$1)=TRUE,""✓"",""✗"")"),"✗")</f>
        <v>✗</v>
      </c>
      <c r="K44" s="23" t="str">
        <f>IFERROR(__xludf.DUMMYFUNCTION("if(REGEXMATCH(join("", "",$F44:$G44),K$1)=TRUE,""✓"",""✗"")"),"✗")</f>
        <v>✗</v>
      </c>
      <c r="L44" s="23" t="str">
        <f>IFERROR(__xludf.DUMMYFUNCTION("if(REGEXMATCH(join("", "",$F44:$G44),L$1)=TRUE,""✓"",""✗"")"),"✗")</f>
        <v>✗</v>
      </c>
      <c r="M44" s="23" t="str">
        <f>IFERROR(__xludf.DUMMYFUNCTION("if(REGEXMATCH(join("", "",$F44:$G44),M$1)=TRUE,""✓"",""✗"")"),"✗")</f>
        <v>✗</v>
      </c>
      <c r="N44" s="23" t="str">
        <f>IFERROR(__xludf.DUMMYFUNCTION("if(REGEXMATCH(join("", "",$F44:$G44),N$1)=TRUE,""✓"",""✗"")"),"✗")</f>
        <v>✗</v>
      </c>
      <c r="O44" s="23" t="str">
        <f>IFERROR(__xludf.DUMMYFUNCTION("if(REGEXMATCH(join("", "",$F44:$G44),O$1)=TRUE,""✓"",""✗"")"),"✓")</f>
        <v>✓</v>
      </c>
      <c r="P44" s="23" t="str">
        <f>IFERROR(__xludf.DUMMYFUNCTION("if(REGEXMATCH(join("", "",$F44:$G44),P$1)=TRUE,""✓"",""✗"")"),"✗")</f>
        <v>✗</v>
      </c>
      <c r="Q44" s="23" t="str">
        <f>IFERROR(__xludf.DUMMYFUNCTION("if(REGEXMATCH(join("", "",$F44:$G44),Q$1)=TRUE,""✓"",""✗"")"),"✓")</f>
        <v>✓</v>
      </c>
      <c r="R44" s="23" t="str">
        <f>IFERROR(__xludf.DUMMYFUNCTION("if(REGEXMATCH(join("", "",$F44:$G44),R$1)=TRUE,""✓"",""✗"")"),"✗")</f>
        <v>✗</v>
      </c>
      <c r="S44" s="23" t="str">
        <f>IFERROR(__xludf.DUMMYFUNCTION("if(REGEXMATCH(join("", "",$F44:$G44),S$1)=TRUE,""✓"",""✗"")"),"✗")</f>
        <v>✗</v>
      </c>
      <c r="T44" s="23" t="str">
        <f>IFERROR(__xludf.DUMMYFUNCTION("if(REGEXMATCH(join("", "",$F44:$G44),T$1)=TRUE,""✓"",""✗"")"),"✗")</f>
        <v>✗</v>
      </c>
      <c r="U44" s="33"/>
      <c r="V44" s="33"/>
      <c r="W44" s="33"/>
      <c r="X44" s="33"/>
      <c r="Y44" s="33"/>
      <c r="Z44" s="33"/>
      <c r="AA44" s="33"/>
      <c r="AB44" s="33"/>
      <c r="AC44" s="33"/>
    </row>
    <row r="45">
      <c r="A45" s="20">
        <v>44.0</v>
      </c>
      <c r="B45" s="21"/>
      <c r="C45" s="16" t="str">
        <f t="shared" si="7"/>
        <v>Komzak (2022)</v>
      </c>
      <c r="D45" s="30" t="s">
        <v>433</v>
      </c>
      <c r="E45" s="15" t="s">
        <v>32</v>
      </c>
      <c r="F45" s="37" t="s">
        <v>191</v>
      </c>
      <c r="G45" s="37" t="s">
        <v>120</v>
      </c>
      <c r="H45" s="23" t="str">
        <f>IFERROR(__xludf.DUMMYFUNCTION("if(REGEXMATCH(join("", "",$F45:$G45),H$1)=TRUE,""✓"",""✗"")"),"✓")</f>
        <v>✓</v>
      </c>
      <c r="I45" s="23" t="str">
        <f>IFERROR(__xludf.DUMMYFUNCTION("if(REGEXMATCH(join("", "",$F45:$G45),I$1)=TRUE,""✓"",""✗"")"),"✗")</f>
        <v>✗</v>
      </c>
      <c r="J45" s="23" t="str">
        <f>IFERROR(__xludf.DUMMYFUNCTION("if(REGEXMATCH(join("", "",$F45:$G45),J$1)=TRUE,""✓"",""✗"")"),"✓")</f>
        <v>✓</v>
      </c>
      <c r="K45" s="23" t="str">
        <f>IFERROR(__xludf.DUMMYFUNCTION("if(REGEXMATCH(join("", "",$F45:$G45),K$1)=TRUE,""✓"",""✗"")"),"✗")</f>
        <v>✗</v>
      </c>
      <c r="L45" s="23" t="str">
        <f>IFERROR(__xludf.DUMMYFUNCTION("if(REGEXMATCH(join("", "",$F45:$G45),L$1)=TRUE,""✓"",""✗"")"),"✗")</f>
        <v>✗</v>
      </c>
      <c r="M45" s="23" t="str">
        <f>IFERROR(__xludf.DUMMYFUNCTION("if(REGEXMATCH(join("", "",$F45:$G45),M$1)=TRUE,""✓"",""✗"")"),"✗")</f>
        <v>✗</v>
      </c>
      <c r="N45" s="23" t="str">
        <f>IFERROR(__xludf.DUMMYFUNCTION("if(REGEXMATCH(join("", "",$F45:$G45),N$1)=TRUE,""✓"",""✗"")"),"✓")</f>
        <v>✓</v>
      </c>
      <c r="O45" s="23" t="str">
        <f>IFERROR(__xludf.DUMMYFUNCTION("if(REGEXMATCH(join("", "",$F45:$G45),O$1)=TRUE,""✓"",""✗"")"),"✓")</f>
        <v>✓</v>
      </c>
      <c r="P45" s="23" t="str">
        <f>IFERROR(__xludf.DUMMYFUNCTION("if(REGEXMATCH(join("", "",$F45:$G45),P$1)=TRUE,""✓"",""✗"")"),"✗")</f>
        <v>✗</v>
      </c>
      <c r="Q45" s="23" t="str">
        <f>IFERROR(__xludf.DUMMYFUNCTION("if(REGEXMATCH(join("", "",$F45:$G45),Q$1)=TRUE,""✓"",""✗"")"),"✗")</f>
        <v>✗</v>
      </c>
      <c r="R45" s="23" t="str">
        <f>IFERROR(__xludf.DUMMYFUNCTION("if(REGEXMATCH(join("", "",$F45:$G45),R$1)=TRUE,""✓"",""✗"")"),"✗")</f>
        <v>✗</v>
      </c>
      <c r="S45" s="23" t="str">
        <f>IFERROR(__xludf.DUMMYFUNCTION("if(REGEXMATCH(join("", "",$F45:$G45),S$1)=TRUE,""✓"",""✗"")"),"✗")</f>
        <v>✗</v>
      </c>
      <c r="T45" s="23" t="str">
        <f>IFERROR(__xludf.DUMMYFUNCTION("if(REGEXMATCH(join("", "",$F45:$G45),T$1)=TRUE,""✓"",""✗"")"),"✗")</f>
        <v>✗</v>
      </c>
      <c r="U45" s="33"/>
      <c r="V45" s="33"/>
      <c r="W45" s="33"/>
      <c r="X45" s="33"/>
      <c r="Y45" s="33"/>
      <c r="Z45" s="33"/>
      <c r="AA45" s="33"/>
      <c r="AB45" s="33"/>
      <c r="AC45" s="33"/>
    </row>
    <row r="46">
      <c r="A46" s="20">
        <v>45.0</v>
      </c>
      <c r="B46" s="21"/>
      <c r="C46" s="16" t="str">
        <f t="shared" si="7"/>
        <v>Konrads (2016)</v>
      </c>
      <c r="D46" s="30" t="s">
        <v>437</v>
      </c>
      <c r="E46" s="15" t="s">
        <v>32</v>
      </c>
      <c r="F46" s="15" t="s">
        <v>33</v>
      </c>
      <c r="G46" s="37" t="s">
        <v>122</v>
      </c>
      <c r="H46" s="23" t="str">
        <f>IFERROR(__xludf.DUMMYFUNCTION("if(REGEXMATCH(join("", "",$F46:$G46),H$1)=TRUE,""✓"",""✗"")"),"✓")</f>
        <v>✓</v>
      </c>
      <c r="I46" s="23" t="str">
        <f>IFERROR(__xludf.DUMMYFUNCTION("if(REGEXMATCH(join("", "",$F46:$G46),I$1)=TRUE,""✓"",""✗"")"),"✓")</f>
        <v>✓</v>
      </c>
      <c r="J46" s="23" t="str">
        <f>IFERROR(__xludf.DUMMYFUNCTION("if(REGEXMATCH(join("", "",$F46:$G46),J$1)=TRUE,""✓"",""✗"")"),"✗")</f>
        <v>✗</v>
      </c>
      <c r="K46" s="23" t="str">
        <f>IFERROR(__xludf.DUMMYFUNCTION("if(REGEXMATCH(join("", "",$F46:$G46),K$1)=TRUE,""✓"",""✗"")"),"✗")</f>
        <v>✗</v>
      </c>
      <c r="L46" s="23" t="str">
        <f>IFERROR(__xludf.DUMMYFUNCTION("if(REGEXMATCH(join("", "",$F46:$G46),L$1)=TRUE,""✓"",""✗"")"),"✗")</f>
        <v>✗</v>
      </c>
      <c r="M46" s="23" t="str">
        <f>IFERROR(__xludf.DUMMYFUNCTION("if(REGEXMATCH(join("", "",$F46:$G46),M$1)=TRUE,""✓"",""✗"")"),"✗")</f>
        <v>✗</v>
      </c>
      <c r="N46" s="23" t="str">
        <f>IFERROR(__xludf.DUMMYFUNCTION("if(REGEXMATCH(join("", "",$F46:$G46),N$1)=TRUE,""✓"",""✗"")"),"✓")</f>
        <v>✓</v>
      </c>
      <c r="O46" s="23" t="str">
        <f>IFERROR(__xludf.DUMMYFUNCTION("if(REGEXMATCH(join("", "",$F46:$G46),O$1)=TRUE,""✓"",""✗"")"),"✓")</f>
        <v>✓</v>
      </c>
      <c r="P46" s="23" t="str">
        <f>IFERROR(__xludf.DUMMYFUNCTION("if(REGEXMATCH(join("", "",$F46:$G46),P$1)=TRUE,""✓"",""✗"")"),"✓")</f>
        <v>✓</v>
      </c>
      <c r="Q46" s="23" t="str">
        <f>IFERROR(__xludf.DUMMYFUNCTION("if(REGEXMATCH(join("", "",$F46:$G46),Q$1)=TRUE,""✓"",""✗"")"),"✓")</f>
        <v>✓</v>
      </c>
      <c r="R46" s="23" t="str">
        <f>IFERROR(__xludf.DUMMYFUNCTION("if(REGEXMATCH(join("", "",$F46:$G46),R$1)=TRUE,""✓"",""✗"")"),"✓")</f>
        <v>✓</v>
      </c>
      <c r="S46" s="23" t="str">
        <f>IFERROR(__xludf.DUMMYFUNCTION("if(REGEXMATCH(join("", "",$F46:$G46),S$1)=TRUE,""✓"",""✗"")"),"✓")</f>
        <v>✓</v>
      </c>
      <c r="T46" s="23" t="str">
        <f>IFERROR(__xludf.DUMMYFUNCTION("if(REGEXMATCH(join("", "",$F46:$G46),T$1)=TRUE,""✓"",""✗"")"),"✗")</f>
        <v>✗</v>
      </c>
      <c r="U46" s="33"/>
      <c r="V46" s="33"/>
      <c r="W46" s="33"/>
      <c r="X46" s="33"/>
      <c r="Y46" s="33"/>
      <c r="Z46" s="33"/>
      <c r="AA46" s="33"/>
      <c r="AB46" s="33"/>
      <c r="AC46" s="33"/>
    </row>
    <row r="47">
      <c r="A47" s="20">
        <v>46.0</v>
      </c>
      <c r="B47" s="21"/>
      <c r="C47" s="16" t="str">
        <f t="shared" si="7"/>
        <v>Laoruengthana (2009)</v>
      </c>
      <c r="D47" s="30" t="s">
        <v>439</v>
      </c>
      <c r="E47" s="15" t="s">
        <v>32</v>
      </c>
      <c r="F47" s="15" t="s">
        <v>33</v>
      </c>
      <c r="G47" s="37" t="s">
        <v>125</v>
      </c>
      <c r="H47" s="23" t="str">
        <f>IFERROR(__xludf.DUMMYFUNCTION("if(REGEXMATCH(join("", "",$F47:$G47),H$1)=TRUE,""✓"",""✗"")"),"✓")</f>
        <v>✓</v>
      </c>
      <c r="I47" s="23" t="str">
        <f>IFERROR(__xludf.DUMMYFUNCTION("if(REGEXMATCH(join("", "",$F47:$G47),I$1)=TRUE,""✓"",""✗"")"),"✓")</f>
        <v>✓</v>
      </c>
      <c r="J47" s="23" t="str">
        <f>IFERROR(__xludf.DUMMYFUNCTION("if(REGEXMATCH(join("", "",$F47:$G47),J$1)=TRUE,""✓"",""✗"")"),"✗")</f>
        <v>✗</v>
      </c>
      <c r="K47" s="23" t="str">
        <f>IFERROR(__xludf.DUMMYFUNCTION("if(REGEXMATCH(join("", "",$F47:$G47),K$1)=TRUE,""✓"",""✗"")"),"✗")</f>
        <v>✗</v>
      </c>
      <c r="L47" s="23" t="str">
        <f>IFERROR(__xludf.DUMMYFUNCTION("if(REGEXMATCH(join("", "",$F47:$G47),L$1)=TRUE,""✓"",""✗"")"),"✗")</f>
        <v>✗</v>
      </c>
      <c r="M47" s="23" t="str">
        <f>IFERROR(__xludf.DUMMYFUNCTION("if(REGEXMATCH(join("", "",$F47:$G47),M$1)=TRUE,""✓"",""✗"")"),"✗")</f>
        <v>✗</v>
      </c>
      <c r="N47" s="23" t="str">
        <f>IFERROR(__xludf.DUMMYFUNCTION("if(REGEXMATCH(join("", "",$F47:$G47),N$1)=TRUE,""✓"",""✗"")"),"✓")</f>
        <v>✓</v>
      </c>
      <c r="O47" s="23" t="str">
        <f>IFERROR(__xludf.DUMMYFUNCTION("if(REGEXMATCH(join("", "",$F47:$G47),O$1)=TRUE,""✓"",""✗"")"),"✓")</f>
        <v>✓</v>
      </c>
      <c r="P47" s="23" t="str">
        <f>IFERROR(__xludf.DUMMYFUNCTION("if(REGEXMATCH(join("", "",$F47:$G47),P$1)=TRUE,""✓"",""✗"")"),"✗")</f>
        <v>✗</v>
      </c>
      <c r="Q47" s="23" t="str">
        <f>IFERROR(__xludf.DUMMYFUNCTION("if(REGEXMATCH(join("", "",$F47:$G47),Q$1)=TRUE,""✓"",""✗"")"),"✓")</f>
        <v>✓</v>
      </c>
      <c r="R47" s="23" t="str">
        <f>IFERROR(__xludf.DUMMYFUNCTION("if(REGEXMATCH(join("", "",$F47:$G47),R$1)=TRUE,""✓"",""✗"")"),"✓")</f>
        <v>✓</v>
      </c>
      <c r="S47" s="23" t="str">
        <f>IFERROR(__xludf.DUMMYFUNCTION("if(REGEXMATCH(join("", "",$F47:$G47),S$1)=TRUE,""✓"",""✗"")"),"✗")</f>
        <v>✗</v>
      </c>
      <c r="T47" s="23" t="str">
        <f>IFERROR(__xludf.DUMMYFUNCTION("if(REGEXMATCH(join("", "",$F47:$G47),T$1)=TRUE,""✓"",""✗"")"),"✗")</f>
        <v>✗</v>
      </c>
      <c r="U47" s="33"/>
      <c r="V47" s="33"/>
      <c r="W47" s="33"/>
      <c r="X47" s="33"/>
      <c r="Y47" s="33"/>
      <c r="Z47" s="33"/>
      <c r="AA47" s="33"/>
      <c r="AB47" s="33"/>
      <c r="AC47" s="33"/>
    </row>
    <row r="48">
      <c r="A48" s="20">
        <v>47.0</v>
      </c>
      <c r="B48" s="21"/>
      <c r="C48" s="16" t="str">
        <f t="shared" si="7"/>
        <v>Lawhorn (2012)</v>
      </c>
      <c r="D48" s="30" t="s">
        <v>444</v>
      </c>
      <c r="E48" s="15" t="s">
        <v>32</v>
      </c>
      <c r="F48" s="37" t="s">
        <v>223</v>
      </c>
      <c r="G48" s="37" t="s">
        <v>35</v>
      </c>
      <c r="H48" s="23" t="str">
        <f>IFERROR(__xludf.DUMMYFUNCTION("if(REGEXMATCH(join("", "",$F48:$G48),H$1)=TRUE,""✓"",""✗"")"),"✗")</f>
        <v>✗</v>
      </c>
      <c r="I48" s="23" t="str">
        <f>IFERROR(__xludf.DUMMYFUNCTION("if(REGEXMATCH(join("", "",$F48:$G48),I$1)=TRUE,""✓"",""✗"")"),"✓")</f>
        <v>✓</v>
      </c>
      <c r="J48" s="23" t="str">
        <f>IFERROR(__xludf.DUMMYFUNCTION("if(REGEXMATCH(join("", "",$F48:$G48),J$1)=TRUE,""✓"",""✗"")"),"✗")</f>
        <v>✗</v>
      </c>
      <c r="K48" s="23" t="str">
        <f>IFERROR(__xludf.DUMMYFUNCTION("if(REGEXMATCH(join("", "",$F48:$G48),K$1)=TRUE,""✓"",""✗"")"),"✗")</f>
        <v>✗</v>
      </c>
      <c r="L48" s="23" t="str">
        <f>IFERROR(__xludf.DUMMYFUNCTION("if(REGEXMATCH(join("", "",$F48:$G48),L$1)=TRUE,""✓"",""✗"")"),"✗")</f>
        <v>✗</v>
      </c>
      <c r="M48" s="23" t="str">
        <f>IFERROR(__xludf.DUMMYFUNCTION("if(REGEXMATCH(join("", "",$F48:$G48),M$1)=TRUE,""✓"",""✗"")"),"✓")</f>
        <v>✓</v>
      </c>
      <c r="N48" s="23" t="str">
        <f>IFERROR(__xludf.DUMMYFUNCTION("if(REGEXMATCH(join("", "",$F48:$G48),N$1)=TRUE,""✓"",""✗"")"),"✓")</f>
        <v>✓</v>
      </c>
      <c r="O48" s="23" t="str">
        <f>IFERROR(__xludf.DUMMYFUNCTION("if(REGEXMATCH(join("", "",$F48:$G48),O$1)=TRUE,""✓"",""✗"")"),"✗")</f>
        <v>✗</v>
      </c>
      <c r="P48" s="23" t="str">
        <f>IFERROR(__xludf.DUMMYFUNCTION("if(REGEXMATCH(join("", "",$F48:$G48),P$1)=TRUE,""✓"",""✗"")"),"✗")</f>
        <v>✗</v>
      </c>
      <c r="Q48" s="23" t="str">
        <f>IFERROR(__xludf.DUMMYFUNCTION("if(REGEXMATCH(join("", "",$F48:$G48),Q$1)=TRUE,""✓"",""✗"")"),"✓")</f>
        <v>✓</v>
      </c>
      <c r="R48" s="23" t="str">
        <f>IFERROR(__xludf.DUMMYFUNCTION("if(REGEXMATCH(join("", "",$F48:$G48),R$1)=TRUE,""✓"",""✗"")"),"✓")</f>
        <v>✓</v>
      </c>
      <c r="S48" s="23" t="str">
        <f>IFERROR(__xludf.DUMMYFUNCTION("if(REGEXMATCH(join("", "",$F48:$G48),S$1)=TRUE,""✓"",""✗"")"),"✗")</f>
        <v>✗</v>
      </c>
      <c r="T48" s="23" t="str">
        <f>IFERROR(__xludf.DUMMYFUNCTION("if(REGEXMATCH(join("", "",$F48:$G48),T$1)=TRUE,""✓"",""✗"")"),"✗")</f>
        <v>✗</v>
      </c>
      <c r="U48" s="33"/>
      <c r="V48" s="33"/>
      <c r="W48" s="33"/>
      <c r="X48" s="33"/>
      <c r="Y48" s="33"/>
      <c r="Z48" s="33"/>
      <c r="AA48" s="33"/>
      <c r="AB48" s="33"/>
      <c r="AC48" s="33"/>
    </row>
    <row r="49" hidden="1" outlineLevel="1">
      <c r="A49" s="20">
        <v>48.0</v>
      </c>
      <c r="B49" s="21"/>
      <c r="C49" s="15"/>
      <c r="D49" s="30" t="s">
        <v>448</v>
      </c>
      <c r="E49" s="15" t="s">
        <v>102</v>
      </c>
      <c r="F49" s="15"/>
      <c r="G49" s="15" t="s">
        <v>228</v>
      </c>
      <c r="H49" s="23" t="str">
        <f>IFERROR(__xludf.DUMMYFUNCTION("if(REGEXMATCH(join("", "",$F49:$G49),H$1)=TRUE,""✓"",""✗"")"),"✗")</f>
        <v>✗</v>
      </c>
      <c r="I49" s="23" t="str">
        <f>IFERROR(__xludf.DUMMYFUNCTION("if(REGEXMATCH(join("", "",$F49:$G49),I$1)=TRUE,""✓"",""✗"")"),"✗")</f>
        <v>✗</v>
      </c>
      <c r="J49" s="23" t="str">
        <f>IFERROR(__xludf.DUMMYFUNCTION("if(REGEXMATCH(join("", "",$F49:$G49),J$1)=TRUE,""✓"",""✗"")"),"✗")</f>
        <v>✗</v>
      </c>
      <c r="K49" s="23" t="str">
        <f>IFERROR(__xludf.DUMMYFUNCTION("if(REGEXMATCH(join("", "",$F49:$G49),K$1)=TRUE,""✓"",""✗"")"),"✗")</f>
        <v>✗</v>
      </c>
      <c r="L49" s="23" t="str">
        <f>IFERROR(__xludf.DUMMYFUNCTION("if(REGEXMATCH(join("", "",$F49:$G49),L$1)=TRUE,""✓"",""✗"")"),"✗")</f>
        <v>✗</v>
      </c>
      <c r="M49" s="23" t="str">
        <f>IFERROR(__xludf.DUMMYFUNCTION("if(REGEXMATCH(join("", "",$F49:$G49),M$1)=TRUE,""✓"",""✗"")"),"✗")</f>
        <v>✗</v>
      </c>
      <c r="N49" s="23" t="str">
        <f>IFERROR(__xludf.DUMMYFUNCTION("if(REGEXMATCH(join("", "",$F49:$G49),N$1)=TRUE,""✓"",""✗"")"),"✗")</f>
        <v>✗</v>
      </c>
      <c r="O49" s="23" t="str">
        <f>IFERROR(__xludf.DUMMYFUNCTION("if(REGEXMATCH(join("", "",$F49:$G49),O$1)=TRUE,""✓"",""✗"")"),"✗")</f>
        <v>✗</v>
      </c>
      <c r="P49" s="23" t="str">
        <f>IFERROR(__xludf.DUMMYFUNCTION("if(REGEXMATCH(join("", "",$F49:$G49),P$1)=TRUE,""✓"",""✗"")"),"✗")</f>
        <v>✗</v>
      </c>
      <c r="Q49" s="23" t="str">
        <f>IFERROR(__xludf.DUMMYFUNCTION("if(REGEXMATCH(join("", "",$F49:$G49),Q$1)=TRUE,""✓"",""✗"")"),"✗")</f>
        <v>✗</v>
      </c>
      <c r="R49" s="23" t="str">
        <f>IFERROR(__xludf.DUMMYFUNCTION("if(REGEXMATCH(join("", "",$F49:$G49),R$1)=TRUE,""✓"",""✗"")"),"✗")</f>
        <v>✗</v>
      </c>
      <c r="S49" s="23" t="str">
        <f>IFERROR(__xludf.DUMMYFUNCTION("if(REGEXMATCH(join("", "",$F49:$G49),S$1)=TRUE,""✓"",""✗"")"),"✗")</f>
        <v>✗</v>
      </c>
      <c r="T49" s="23" t="str">
        <f>IFERROR(__xludf.DUMMYFUNCTION("if(REGEXMATCH(join("", "",$F49:$G49),T$1)=TRUE,""✓"",""✗"")"),"✗")</f>
        <v>✗</v>
      </c>
      <c r="U49" s="33"/>
      <c r="V49" s="33"/>
      <c r="W49" s="33"/>
      <c r="X49" s="33"/>
      <c r="Y49" s="33"/>
      <c r="Z49" s="33"/>
      <c r="AA49" s="33"/>
      <c r="AB49" s="33"/>
      <c r="AC49" s="33"/>
    </row>
    <row r="50">
      <c r="A50" s="20">
        <v>49.0</v>
      </c>
      <c r="B50" s="21"/>
      <c r="C50" s="16" t="str">
        <f t="shared" ref="C50:C59" si="8">hyperlink("https://github.com/d-wkim/phd/blob/main/data/pdf/"&amp;D50&amp;".pdf",PROPER(SUBSTITUTE(D50,"_"," (")&amp;")"))</f>
        <v>Laxdal (2005)</v>
      </c>
      <c r="D50" s="30" t="s">
        <v>450</v>
      </c>
      <c r="E50" s="15" t="s">
        <v>32</v>
      </c>
      <c r="F50" s="15" t="s">
        <v>33</v>
      </c>
      <c r="G50" s="37" t="s">
        <v>94</v>
      </c>
      <c r="H50" s="23" t="str">
        <f>IFERROR(__xludf.DUMMYFUNCTION("if(REGEXMATCH(join("", "",$F50:$G50),H$1)=TRUE,""✓"",""✗"")"),"✓")</f>
        <v>✓</v>
      </c>
      <c r="I50" s="23" t="str">
        <f>IFERROR(__xludf.DUMMYFUNCTION("if(REGEXMATCH(join("", "",$F50:$G50),I$1)=TRUE,""✓"",""✗"")"),"✓")</f>
        <v>✓</v>
      </c>
      <c r="J50" s="23" t="str">
        <f>IFERROR(__xludf.DUMMYFUNCTION("if(REGEXMATCH(join("", "",$F50:$G50),J$1)=TRUE,""✓"",""✗"")"),"✗")</f>
        <v>✗</v>
      </c>
      <c r="K50" s="23" t="str">
        <f>IFERROR(__xludf.DUMMYFUNCTION("if(REGEXMATCH(join("", "",$F50:$G50),K$1)=TRUE,""✓"",""✗"")"),"✗")</f>
        <v>✗</v>
      </c>
      <c r="L50" s="23" t="str">
        <f>IFERROR(__xludf.DUMMYFUNCTION("if(REGEXMATCH(join("", "",$F50:$G50),L$1)=TRUE,""✓"",""✗"")"),"✗")</f>
        <v>✗</v>
      </c>
      <c r="M50" s="23" t="str">
        <f>IFERROR(__xludf.DUMMYFUNCTION("if(REGEXMATCH(join("", "",$F50:$G50),M$1)=TRUE,""✓"",""✗"")"),"✗")</f>
        <v>✗</v>
      </c>
      <c r="N50" s="23" t="str">
        <f>IFERROR(__xludf.DUMMYFUNCTION("if(REGEXMATCH(join("", "",$F50:$G50),N$1)=TRUE,""✓"",""✗"")"),"✓")</f>
        <v>✓</v>
      </c>
      <c r="O50" s="23" t="str">
        <f>IFERROR(__xludf.DUMMYFUNCTION("if(REGEXMATCH(join("", "",$F50:$G50),O$1)=TRUE,""✓"",""✗"")"),"✓")</f>
        <v>✓</v>
      </c>
      <c r="P50" s="23" t="str">
        <f>IFERROR(__xludf.DUMMYFUNCTION("if(REGEXMATCH(join("", "",$F50:$G50),P$1)=TRUE,""✓"",""✗"")"),"✓")</f>
        <v>✓</v>
      </c>
      <c r="Q50" s="23" t="str">
        <f>IFERROR(__xludf.DUMMYFUNCTION("if(REGEXMATCH(join("", "",$F50:$G50),Q$1)=TRUE,""✓"",""✗"")"),"✓")</f>
        <v>✓</v>
      </c>
      <c r="R50" s="23" t="str">
        <f>IFERROR(__xludf.DUMMYFUNCTION("if(REGEXMATCH(join("", "",$F50:$G50),R$1)=TRUE,""✓"",""✗"")"),"✗")</f>
        <v>✗</v>
      </c>
      <c r="S50" s="23" t="str">
        <f>IFERROR(__xludf.DUMMYFUNCTION("if(REGEXMATCH(join("", "",$F50:$G50),S$1)=TRUE,""✓"",""✗"")"),"✗")</f>
        <v>✗</v>
      </c>
      <c r="T50" s="23" t="str">
        <f>IFERROR(__xludf.DUMMYFUNCTION("if(REGEXMATCH(join("", "",$F50:$G50),T$1)=TRUE,""✓"",""✗"")"),"✗")</f>
        <v>✗</v>
      </c>
      <c r="U50" s="33"/>
      <c r="V50" s="33"/>
      <c r="W50" s="33"/>
      <c r="X50" s="33"/>
      <c r="Y50" s="33"/>
      <c r="Z50" s="33"/>
      <c r="AA50" s="33"/>
      <c r="AB50" s="33"/>
      <c r="AC50" s="33"/>
    </row>
    <row r="51">
      <c r="A51" s="20">
        <v>50.0</v>
      </c>
      <c r="B51" s="21"/>
      <c r="C51" s="16" t="str">
        <f t="shared" si="8"/>
        <v>Leitgeb (2014)</v>
      </c>
      <c r="D51" s="30" t="s">
        <v>455</v>
      </c>
      <c r="E51" s="15" t="s">
        <v>32</v>
      </c>
      <c r="F51" s="15" t="s">
        <v>33</v>
      </c>
      <c r="G51" s="37" t="s">
        <v>130</v>
      </c>
      <c r="H51" s="23" t="str">
        <f>IFERROR(__xludf.DUMMYFUNCTION("if(REGEXMATCH(join("", "",$F51:$G51),H$1)=TRUE,""✓"",""✗"")"),"✓")</f>
        <v>✓</v>
      </c>
      <c r="I51" s="23" t="str">
        <f>IFERROR(__xludf.DUMMYFUNCTION("if(REGEXMATCH(join("", "",$F51:$G51),I$1)=TRUE,""✓"",""✗"")"),"✓")</f>
        <v>✓</v>
      </c>
      <c r="J51" s="23" t="str">
        <f>IFERROR(__xludf.DUMMYFUNCTION("if(REGEXMATCH(join("", "",$F51:$G51),J$1)=TRUE,""✓"",""✗"")"),"✗")</f>
        <v>✗</v>
      </c>
      <c r="K51" s="23" t="str">
        <f>IFERROR(__xludf.DUMMYFUNCTION("if(REGEXMATCH(join("", "",$F51:$G51),K$1)=TRUE,""✓"",""✗"")"),"✗")</f>
        <v>✗</v>
      </c>
      <c r="L51" s="23" t="str">
        <f>IFERROR(__xludf.DUMMYFUNCTION("if(REGEXMATCH(join("", "",$F51:$G51),L$1)=TRUE,""✓"",""✗"")"),"✗")</f>
        <v>✗</v>
      </c>
      <c r="M51" s="23" t="str">
        <f>IFERROR(__xludf.DUMMYFUNCTION("if(REGEXMATCH(join("", "",$F51:$G51),M$1)=TRUE,""✓"",""✗"")"),"✗")</f>
        <v>✗</v>
      </c>
      <c r="N51" s="23" t="str">
        <f>IFERROR(__xludf.DUMMYFUNCTION("if(REGEXMATCH(join("", "",$F51:$G51),N$1)=TRUE,""✓"",""✗"")"),"✗")</f>
        <v>✗</v>
      </c>
      <c r="O51" s="23" t="str">
        <f>IFERROR(__xludf.DUMMYFUNCTION("if(REGEXMATCH(join("", "",$F51:$G51),O$1)=TRUE,""✓"",""✗"")"),"✗")</f>
        <v>✗</v>
      </c>
      <c r="P51" s="23" t="str">
        <f>IFERROR(__xludf.DUMMYFUNCTION("if(REGEXMATCH(join("", "",$F51:$G51),P$1)=TRUE,""✓"",""✗"")"),"✗")</f>
        <v>✗</v>
      </c>
      <c r="Q51" s="23" t="str">
        <f>IFERROR(__xludf.DUMMYFUNCTION("if(REGEXMATCH(join("", "",$F51:$G51),Q$1)=TRUE,""✓"",""✗"")"),"✓")</f>
        <v>✓</v>
      </c>
      <c r="R51" s="23" t="str">
        <f>IFERROR(__xludf.DUMMYFUNCTION("if(REGEXMATCH(join("", "",$F51:$G51),R$1)=TRUE,""✓"",""✗"")"),"✗")</f>
        <v>✗</v>
      </c>
      <c r="S51" s="23" t="str">
        <f>IFERROR(__xludf.DUMMYFUNCTION("if(REGEXMATCH(join("", "",$F51:$G51),S$1)=TRUE,""✓"",""✗"")"),"✓")</f>
        <v>✓</v>
      </c>
      <c r="T51" s="23" t="str">
        <f>IFERROR(__xludf.DUMMYFUNCTION("if(REGEXMATCH(join("", "",$F51:$G51),T$1)=TRUE,""✓"",""✗"")"),"✗")</f>
        <v>✗</v>
      </c>
      <c r="U51" s="33"/>
      <c r="V51" s="33"/>
      <c r="W51" s="33"/>
      <c r="X51" s="33"/>
      <c r="Y51" s="33"/>
      <c r="Z51" s="33"/>
      <c r="AA51" s="33"/>
      <c r="AB51" s="33"/>
      <c r="AC51" s="33"/>
    </row>
    <row r="52">
      <c r="A52" s="20">
        <v>51.0</v>
      </c>
      <c r="B52" s="21"/>
      <c r="C52" s="16" t="str">
        <f t="shared" si="8"/>
        <v>Li (2015)</v>
      </c>
      <c r="D52" s="30" t="s">
        <v>460</v>
      </c>
      <c r="E52" s="15" t="s">
        <v>32</v>
      </c>
      <c r="F52" s="37" t="s">
        <v>223</v>
      </c>
      <c r="G52" s="37" t="s">
        <v>122</v>
      </c>
      <c r="H52" s="23" t="str">
        <f>IFERROR(__xludf.DUMMYFUNCTION("if(REGEXMATCH(join("", "",$F52:$G52),H$1)=TRUE,""✓"",""✗"")"),"✗")</f>
        <v>✗</v>
      </c>
      <c r="I52" s="23" t="str">
        <f>IFERROR(__xludf.DUMMYFUNCTION("if(REGEXMATCH(join("", "",$F52:$G52),I$1)=TRUE,""✓"",""✗"")"),"✓")</f>
        <v>✓</v>
      </c>
      <c r="J52" s="23" t="str">
        <f>IFERROR(__xludf.DUMMYFUNCTION("if(REGEXMATCH(join("", "",$F52:$G52),J$1)=TRUE,""✓"",""✗"")"),"✗")</f>
        <v>✗</v>
      </c>
      <c r="K52" s="23" t="str">
        <f>IFERROR(__xludf.DUMMYFUNCTION("if(REGEXMATCH(join("", "",$F52:$G52),K$1)=TRUE,""✓"",""✗"")"),"✗")</f>
        <v>✗</v>
      </c>
      <c r="L52" s="23" t="str">
        <f>IFERROR(__xludf.DUMMYFUNCTION("if(REGEXMATCH(join("", "",$F52:$G52),L$1)=TRUE,""✓"",""✗"")"),"✗")</f>
        <v>✗</v>
      </c>
      <c r="M52" s="23" t="str">
        <f>IFERROR(__xludf.DUMMYFUNCTION("if(REGEXMATCH(join("", "",$F52:$G52),M$1)=TRUE,""✓"",""✗"")"),"✓")</f>
        <v>✓</v>
      </c>
      <c r="N52" s="23" t="str">
        <f>IFERROR(__xludf.DUMMYFUNCTION("if(REGEXMATCH(join("", "",$F52:$G52),N$1)=TRUE,""✓"",""✗"")"),"✓")</f>
        <v>✓</v>
      </c>
      <c r="O52" s="23" t="str">
        <f>IFERROR(__xludf.DUMMYFUNCTION("if(REGEXMATCH(join("", "",$F52:$G52),O$1)=TRUE,""✓"",""✗"")"),"✓")</f>
        <v>✓</v>
      </c>
      <c r="P52" s="23" t="str">
        <f>IFERROR(__xludf.DUMMYFUNCTION("if(REGEXMATCH(join("", "",$F52:$G52),P$1)=TRUE,""✓"",""✗"")"),"✓")</f>
        <v>✓</v>
      </c>
      <c r="Q52" s="23" t="str">
        <f>IFERROR(__xludf.DUMMYFUNCTION("if(REGEXMATCH(join("", "",$F52:$G52),Q$1)=TRUE,""✓"",""✗"")"),"✓")</f>
        <v>✓</v>
      </c>
      <c r="R52" s="23" t="str">
        <f>IFERROR(__xludf.DUMMYFUNCTION("if(REGEXMATCH(join("", "",$F52:$G52),R$1)=TRUE,""✓"",""✗"")"),"✓")</f>
        <v>✓</v>
      </c>
      <c r="S52" s="23" t="str">
        <f>IFERROR(__xludf.DUMMYFUNCTION("if(REGEXMATCH(join("", "",$F52:$G52),S$1)=TRUE,""✓"",""✗"")"),"✓")</f>
        <v>✓</v>
      </c>
      <c r="T52" s="23" t="str">
        <f>IFERROR(__xludf.DUMMYFUNCTION("if(REGEXMATCH(join("", "",$F52:$G52),T$1)=TRUE,""✓"",""✗"")"),"✗")</f>
        <v>✗</v>
      </c>
      <c r="U52" s="33"/>
      <c r="V52" s="33"/>
      <c r="W52" s="33"/>
      <c r="X52" s="33"/>
      <c r="Y52" s="33"/>
      <c r="Z52" s="33"/>
      <c r="AA52" s="33"/>
      <c r="AB52" s="33"/>
      <c r="AC52" s="33"/>
    </row>
    <row r="53">
      <c r="A53" s="20">
        <v>52.0</v>
      </c>
      <c r="B53" s="21"/>
      <c r="C53" s="16" t="str">
        <f t="shared" si="8"/>
        <v>Lidén (2007)</v>
      </c>
      <c r="D53" s="30" t="s">
        <v>466</v>
      </c>
      <c r="E53" s="15" t="s">
        <v>32</v>
      </c>
      <c r="F53" s="15" t="s">
        <v>33</v>
      </c>
      <c r="G53" s="37" t="s">
        <v>134</v>
      </c>
      <c r="H53" s="23" t="str">
        <f>IFERROR(__xludf.DUMMYFUNCTION("if(REGEXMATCH(join("", "",$F53:$G53),H$1)=TRUE,""✓"",""✗"")"),"✓")</f>
        <v>✓</v>
      </c>
      <c r="I53" s="23" t="str">
        <f>IFERROR(__xludf.DUMMYFUNCTION("if(REGEXMATCH(join("", "",$F53:$G53),I$1)=TRUE,""✓"",""✗"")"),"✓")</f>
        <v>✓</v>
      </c>
      <c r="J53" s="23" t="str">
        <f>IFERROR(__xludf.DUMMYFUNCTION("if(REGEXMATCH(join("", "",$F53:$G53),J$1)=TRUE,""✓"",""✗"")"),"✗")</f>
        <v>✗</v>
      </c>
      <c r="K53" s="23" t="str">
        <f>IFERROR(__xludf.DUMMYFUNCTION("if(REGEXMATCH(join("", "",$F53:$G53),K$1)=TRUE,""✓"",""✗"")"),"✗")</f>
        <v>✗</v>
      </c>
      <c r="L53" s="23" t="str">
        <f>IFERROR(__xludf.DUMMYFUNCTION("if(REGEXMATCH(join("", "",$F53:$G53),L$1)=TRUE,""✓"",""✗"")"),"✗")</f>
        <v>✗</v>
      </c>
      <c r="M53" s="23" t="str">
        <f>IFERROR(__xludf.DUMMYFUNCTION("if(REGEXMATCH(join("", "",$F53:$G53),M$1)=TRUE,""✓"",""✗"")"),"✗")</f>
        <v>✗</v>
      </c>
      <c r="N53" s="23" t="str">
        <f>IFERROR(__xludf.DUMMYFUNCTION("if(REGEXMATCH(join("", "",$F53:$G53),N$1)=TRUE,""✓"",""✗"")"),"✓")</f>
        <v>✓</v>
      </c>
      <c r="O53" s="23" t="str">
        <f>IFERROR(__xludf.DUMMYFUNCTION("if(REGEXMATCH(join("", "",$F53:$G53),O$1)=TRUE,""✓"",""✗"")"),"✓")</f>
        <v>✓</v>
      </c>
      <c r="P53" s="23" t="str">
        <f>IFERROR(__xludf.DUMMYFUNCTION("if(REGEXMATCH(join("", "",$F53:$G53),P$1)=TRUE,""✓"",""✗"")"),"✓")</f>
        <v>✓</v>
      </c>
      <c r="Q53" s="23" t="str">
        <f>IFERROR(__xludf.DUMMYFUNCTION("if(REGEXMATCH(join("", "",$F53:$G53),Q$1)=TRUE,""✓"",""✗"")"),"✓")</f>
        <v>✓</v>
      </c>
      <c r="R53" s="23" t="str">
        <f>IFERROR(__xludf.DUMMYFUNCTION("if(REGEXMATCH(join("", "",$F53:$G53),R$1)=TRUE,""✓"",""✗"")"),"✗")</f>
        <v>✗</v>
      </c>
      <c r="S53" s="23" t="str">
        <f>IFERROR(__xludf.DUMMYFUNCTION("if(REGEXMATCH(join("", "",$F53:$G53),S$1)=TRUE,""✓"",""✗"")"),"✓")</f>
        <v>✓</v>
      </c>
      <c r="T53" s="23" t="str">
        <f>IFERROR(__xludf.DUMMYFUNCTION("if(REGEXMATCH(join("", "",$F53:$G53),T$1)=TRUE,""✓"",""✗"")"),"✗")</f>
        <v>✗</v>
      </c>
      <c r="U53" s="33"/>
      <c r="V53" s="33"/>
      <c r="W53" s="33"/>
      <c r="X53" s="33"/>
      <c r="Y53" s="33"/>
      <c r="Z53" s="33"/>
      <c r="AA53" s="33"/>
      <c r="AB53" s="33"/>
      <c r="AC53" s="33"/>
    </row>
    <row r="54">
      <c r="A54" s="20">
        <v>53.0</v>
      </c>
      <c r="B54" s="21"/>
      <c r="C54" s="16" t="str">
        <f t="shared" si="8"/>
        <v>Lind (2020)</v>
      </c>
      <c r="D54" s="30" t="s">
        <v>471</v>
      </c>
      <c r="E54" s="15" t="s">
        <v>32</v>
      </c>
      <c r="F54" s="37" t="s">
        <v>245</v>
      </c>
      <c r="G54" s="37" t="s">
        <v>139</v>
      </c>
      <c r="H54" s="23" t="str">
        <f>IFERROR(__xludf.DUMMYFUNCTION("if(REGEXMATCH(join("", "",$F54:$G54),H$1)=TRUE,""✓"",""✗"")"),"✗")</f>
        <v>✗</v>
      </c>
      <c r="I54" s="23" t="str">
        <f>IFERROR(__xludf.DUMMYFUNCTION("if(REGEXMATCH(join("", "",$F54:$G54),I$1)=TRUE,""✓"",""✗"")"),"✓")</f>
        <v>✓</v>
      </c>
      <c r="J54" s="23" t="str">
        <f>IFERROR(__xludf.DUMMYFUNCTION("if(REGEXMATCH(join("", "",$F54:$G54),J$1)=TRUE,""✓"",""✗"")"),"✓")</f>
        <v>✓</v>
      </c>
      <c r="K54" s="23" t="str">
        <f>IFERROR(__xludf.DUMMYFUNCTION("if(REGEXMATCH(join("", "",$F54:$G54),K$1)=TRUE,""✓"",""✗"")"),"✗")</f>
        <v>✗</v>
      </c>
      <c r="L54" s="23" t="str">
        <f>IFERROR(__xludf.DUMMYFUNCTION("if(REGEXMATCH(join("", "",$F54:$G54),L$1)=TRUE,""✓"",""✗"")"),"✗")</f>
        <v>✗</v>
      </c>
      <c r="M54" s="23" t="str">
        <f>IFERROR(__xludf.DUMMYFUNCTION("if(REGEXMATCH(join("", "",$F54:$G54),M$1)=TRUE,""✓"",""✗"")"),"✗")</f>
        <v>✗</v>
      </c>
      <c r="N54" s="23" t="str">
        <f>IFERROR(__xludf.DUMMYFUNCTION("if(REGEXMATCH(join("", "",$F54:$G54),N$1)=TRUE,""✓"",""✗"")"),"✓")</f>
        <v>✓</v>
      </c>
      <c r="O54" s="23" t="str">
        <f>IFERROR(__xludf.DUMMYFUNCTION("if(REGEXMATCH(join("", "",$F54:$G54),O$1)=TRUE,""✓"",""✗"")"),"✗")</f>
        <v>✗</v>
      </c>
      <c r="P54" s="23" t="str">
        <f>IFERROR(__xludf.DUMMYFUNCTION("if(REGEXMATCH(join("", "",$F54:$G54),P$1)=TRUE,""✓"",""✗"")"),"✓")</f>
        <v>✓</v>
      </c>
      <c r="Q54" s="23" t="str">
        <f>IFERROR(__xludf.DUMMYFUNCTION("if(REGEXMATCH(join("", "",$F54:$G54),Q$1)=TRUE,""✓"",""✗"")"),"✓")</f>
        <v>✓</v>
      </c>
      <c r="R54" s="23" t="str">
        <f>IFERROR(__xludf.DUMMYFUNCTION("if(REGEXMATCH(join("", "",$F54:$G54),R$1)=TRUE,""✓"",""✗"")"),"✓")</f>
        <v>✓</v>
      </c>
      <c r="S54" s="23" t="str">
        <f>IFERROR(__xludf.DUMMYFUNCTION("if(REGEXMATCH(join("", "",$F54:$G54),S$1)=TRUE,""✓"",""✗"")"),"✗")</f>
        <v>✗</v>
      </c>
      <c r="T54" s="23" t="str">
        <f>IFERROR(__xludf.DUMMYFUNCTION("if(REGEXMATCH(join("", "",$F54:$G54),T$1)=TRUE,""✓"",""✗"")"),"✗")</f>
        <v>✗</v>
      </c>
      <c r="U54" s="33"/>
      <c r="V54" s="33"/>
      <c r="W54" s="33"/>
      <c r="X54" s="33"/>
      <c r="Y54" s="33"/>
      <c r="Z54" s="33"/>
      <c r="AA54" s="33"/>
      <c r="AB54" s="33"/>
      <c r="AC54" s="33"/>
    </row>
    <row r="55">
      <c r="A55" s="20">
        <v>54.0</v>
      </c>
      <c r="B55" s="21"/>
      <c r="C55" s="16" t="str">
        <f t="shared" si="8"/>
        <v>Lucidi (2025)</v>
      </c>
      <c r="D55" s="30" t="s">
        <v>478</v>
      </c>
      <c r="E55" s="15" t="s">
        <v>32</v>
      </c>
      <c r="F55" s="15" t="s">
        <v>33</v>
      </c>
      <c r="G55" s="37" t="s">
        <v>143</v>
      </c>
      <c r="H55" s="23" t="str">
        <f>IFERROR(__xludf.DUMMYFUNCTION("if(REGEXMATCH(join("", "",$F55:$G55),H$1)=TRUE,""✓"",""✗"")"),"✓")</f>
        <v>✓</v>
      </c>
      <c r="I55" s="23" t="str">
        <f>IFERROR(__xludf.DUMMYFUNCTION("if(REGEXMATCH(join("", "",$F55:$G55),I$1)=TRUE,""✓"",""✗"")"),"✓")</f>
        <v>✓</v>
      </c>
      <c r="J55" s="23" t="str">
        <f>IFERROR(__xludf.DUMMYFUNCTION("if(REGEXMATCH(join("", "",$F55:$G55),J$1)=TRUE,""✓"",""✗"")"),"✗")</f>
        <v>✗</v>
      </c>
      <c r="K55" s="23" t="str">
        <f>IFERROR(__xludf.DUMMYFUNCTION("if(REGEXMATCH(join("", "",$F55:$G55),K$1)=TRUE,""✓"",""✗"")"),"✗")</f>
        <v>✗</v>
      </c>
      <c r="L55" s="23" t="str">
        <f>IFERROR(__xludf.DUMMYFUNCTION("if(REGEXMATCH(join("", "",$F55:$G55),L$1)=TRUE,""✓"",""✗"")"),"✗")</f>
        <v>✗</v>
      </c>
      <c r="M55" s="23" t="str">
        <f>IFERROR(__xludf.DUMMYFUNCTION("if(REGEXMATCH(join("", "",$F55:$G55),M$1)=TRUE,""✓"",""✗"")"),"✗")</f>
        <v>✗</v>
      </c>
      <c r="N55" s="23" t="str">
        <f>IFERROR(__xludf.DUMMYFUNCTION("if(REGEXMATCH(join("", "",$F55:$G55),N$1)=TRUE,""✓"",""✗"")"),"✓")</f>
        <v>✓</v>
      </c>
      <c r="O55" s="23" t="str">
        <f>IFERROR(__xludf.DUMMYFUNCTION("if(REGEXMATCH(join("", "",$F55:$G55),O$1)=TRUE,""✓"",""✗"")"),"✓")</f>
        <v>✓</v>
      </c>
      <c r="P55" s="23" t="str">
        <f>IFERROR(__xludf.DUMMYFUNCTION("if(REGEXMATCH(join("", "",$F55:$G55),P$1)=TRUE,""✓"",""✗"")"),"✓")</f>
        <v>✓</v>
      </c>
      <c r="Q55" s="23" t="str">
        <f>IFERROR(__xludf.DUMMYFUNCTION("if(REGEXMATCH(join("", "",$F55:$G55),Q$1)=TRUE,""✓"",""✗"")"),"✓")</f>
        <v>✓</v>
      </c>
      <c r="R55" s="23" t="str">
        <f>IFERROR(__xludf.DUMMYFUNCTION("if(REGEXMATCH(join("", "",$F55:$G55),R$1)=TRUE,""✓"",""✗"")"),"✓")</f>
        <v>✓</v>
      </c>
      <c r="S55" s="23" t="str">
        <f>IFERROR(__xludf.DUMMYFUNCTION("if(REGEXMATCH(join("", "",$F55:$G55),S$1)=TRUE,""✓"",""✗"")"),"✗")</f>
        <v>✗</v>
      </c>
      <c r="T55" s="23" t="str">
        <f>IFERROR(__xludf.DUMMYFUNCTION("if(REGEXMATCH(join("", "",$F55:$G55),T$1)=TRUE,""✓"",""✗"")"),"✓")</f>
        <v>✓</v>
      </c>
      <c r="U55" s="33"/>
      <c r="V55" s="33"/>
      <c r="W55" s="33"/>
      <c r="X55" s="33"/>
      <c r="Y55" s="33"/>
      <c r="Z55" s="33"/>
      <c r="AA55" s="33"/>
      <c r="AB55" s="33"/>
      <c r="AC55" s="33"/>
    </row>
    <row r="56">
      <c r="A56" s="20">
        <v>55.0</v>
      </c>
      <c r="B56" s="21"/>
      <c r="C56" s="16" t="str">
        <f t="shared" si="8"/>
        <v>Lui (2012)</v>
      </c>
      <c r="D56" s="30" t="s">
        <v>483</v>
      </c>
      <c r="E56" s="15" t="s">
        <v>32</v>
      </c>
      <c r="F56" s="15" t="s">
        <v>33</v>
      </c>
      <c r="G56" s="37" t="s">
        <v>146</v>
      </c>
      <c r="H56" s="23" t="str">
        <f>IFERROR(__xludf.DUMMYFUNCTION("if(REGEXMATCH(join("", "",$F56:$G56),H$1)=TRUE,""✓"",""✗"")"),"✓")</f>
        <v>✓</v>
      </c>
      <c r="I56" s="23" t="str">
        <f>IFERROR(__xludf.DUMMYFUNCTION("if(REGEXMATCH(join("", "",$F56:$G56),I$1)=TRUE,""✓"",""✗"")"),"✓")</f>
        <v>✓</v>
      </c>
      <c r="J56" s="23" t="str">
        <f>IFERROR(__xludf.DUMMYFUNCTION("if(REGEXMATCH(join("", "",$F56:$G56),J$1)=TRUE,""✓"",""✗"")"),"✗")</f>
        <v>✗</v>
      </c>
      <c r="K56" s="23" t="str">
        <f>IFERROR(__xludf.DUMMYFUNCTION("if(REGEXMATCH(join("", "",$F56:$G56),K$1)=TRUE,""✓"",""✗"")"),"✗")</f>
        <v>✗</v>
      </c>
      <c r="L56" s="23" t="str">
        <f>IFERROR(__xludf.DUMMYFUNCTION("if(REGEXMATCH(join("", "",$F56:$G56),L$1)=TRUE,""✓"",""✗"")"),"✗")</f>
        <v>✗</v>
      </c>
      <c r="M56" s="23" t="str">
        <f>IFERROR(__xludf.DUMMYFUNCTION("if(REGEXMATCH(join("", "",$F56:$G56),M$1)=TRUE,""✓"",""✗"")"),"✗")</f>
        <v>✗</v>
      </c>
      <c r="N56" s="23" t="str">
        <f>IFERROR(__xludf.DUMMYFUNCTION("if(REGEXMATCH(join("", "",$F56:$G56),N$1)=TRUE,""✓"",""✗"")"),"✓")</f>
        <v>✓</v>
      </c>
      <c r="O56" s="23" t="str">
        <f>IFERROR(__xludf.DUMMYFUNCTION("if(REGEXMATCH(join("", "",$F56:$G56),O$1)=TRUE,""✓"",""✗"")"),"✓")</f>
        <v>✓</v>
      </c>
      <c r="P56" s="23" t="str">
        <f>IFERROR(__xludf.DUMMYFUNCTION("if(REGEXMATCH(join("", "",$F56:$G56),P$1)=TRUE,""✓"",""✗"")"),"✗")</f>
        <v>✗</v>
      </c>
      <c r="Q56" s="23" t="str">
        <f>IFERROR(__xludf.DUMMYFUNCTION("if(REGEXMATCH(join("", "",$F56:$G56),Q$1)=TRUE,""✓"",""✗"")"),"✓")</f>
        <v>✓</v>
      </c>
      <c r="R56" s="23" t="str">
        <f>IFERROR(__xludf.DUMMYFUNCTION("if(REGEXMATCH(join("", "",$F56:$G56),R$1)=TRUE,""✓"",""✗"")"),"✗")</f>
        <v>✗</v>
      </c>
      <c r="S56" s="23" t="str">
        <f>IFERROR(__xludf.DUMMYFUNCTION("if(REGEXMATCH(join("", "",$F56:$G56),S$1)=TRUE,""✓"",""✗"")"),"✓")</f>
        <v>✓</v>
      </c>
      <c r="T56" s="23" t="str">
        <f>IFERROR(__xludf.DUMMYFUNCTION("if(REGEXMATCH(join("", "",$F56:$G56),T$1)=TRUE,""✓"",""✗"")"),"✗")</f>
        <v>✗</v>
      </c>
      <c r="U56" s="33"/>
      <c r="V56" s="33"/>
      <c r="W56" s="33"/>
      <c r="X56" s="33"/>
      <c r="Y56" s="33"/>
      <c r="Z56" s="33"/>
      <c r="AA56" s="33"/>
      <c r="AB56" s="33"/>
      <c r="AC56" s="33"/>
    </row>
    <row r="57">
      <c r="A57" s="20">
        <v>56.0</v>
      </c>
      <c r="B57" s="21"/>
      <c r="C57" s="16" t="str">
        <f t="shared" si="8"/>
        <v>Lund (2014)</v>
      </c>
      <c r="D57" s="30" t="s">
        <v>485</v>
      </c>
      <c r="E57" s="15" t="s">
        <v>32</v>
      </c>
      <c r="F57" s="37" t="s">
        <v>191</v>
      </c>
      <c r="G57" s="37" t="s">
        <v>148</v>
      </c>
      <c r="H57" s="23" t="str">
        <f>IFERROR(__xludf.DUMMYFUNCTION("if(REGEXMATCH(join("", "",$F57:$G57),H$1)=TRUE,""✓"",""✗"")"),"✓")</f>
        <v>✓</v>
      </c>
      <c r="I57" s="23" t="str">
        <f>IFERROR(__xludf.DUMMYFUNCTION("if(REGEXMATCH(join("", "",$F57:$G57),I$1)=TRUE,""✓"",""✗"")"),"✗")</f>
        <v>✗</v>
      </c>
      <c r="J57" s="23" t="str">
        <f>IFERROR(__xludf.DUMMYFUNCTION("if(REGEXMATCH(join("", "",$F57:$G57),J$1)=TRUE,""✓"",""✗"")"),"✓")</f>
        <v>✓</v>
      </c>
      <c r="K57" s="23" t="str">
        <f>IFERROR(__xludf.DUMMYFUNCTION("if(REGEXMATCH(join("", "",$F57:$G57),K$1)=TRUE,""✓"",""✗"")"),"✗")</f>
        <v>✗</v>
      </c>
      <c r="L57" s="23" t="str">
        <f>IFERROR(__xludf.DUMMYFUNCTION("if(REGEXMATCH(join("", "",$F57:$G57),L$1)=TRUE,""✓"",""✗"")"),"✗")</f>
        <v>✗</v>
      </c>
      <c r="M57" s="23" t="str">
        <f>IFERROR(__xludf.DUMMYFUNCTION("if(REGEXMATCH(join("", "",$F57:$G57),M$1)=TRUE,""✓"",""✗"")"),"✗")</f>
        <v>✗</v>
      </c>
      <c r="N57" s="23" t="str">
        <f>IFERROR(__xludf.DUMMYFUNCTION("if(REGEXMATCH(join("", "",$F57:$G57),N$1)=TRUE,""✓"",""✗"")"),"✓")</f>
        <v>✓</v>
      </c>
      <c r="O57" s="23" t="str">
        <f>IFERROR(__xludf.DUMMYFUNCTION("if(REGEXMATCH(join("", "",$F57:$G57),O$1)=TRUE,""✓"",""✗"")"),"✗")</f>
        <v>✗</v>
      </c>
      <c r="P57" s="23" t="str">
        <f>IFERROR(__xludf.DUMMYFUNCTION("if(REGEXMATCH(join("", "",$F57:$G57),P$1)=TRUE,""✓"",""✗"")"),"✗")</f>
        <v>✗</v>
      </c>
      <c r="Q57" s="23" t="str">
        <f>IFERROR(__xludf.DUMMYFUNCTION("if(REGEXMATCH(join("", "",$F57:$G57),Q$1)=TRUE,""✓"",""✗"")"),"✓")</f>
        <v>✓</v>
      </c>
      <c r="R57" s="23" t="str">
        <f>IFERROR(__xludf.DUMMYFUNCTION("if(REGEXMATCH(join("", "",$F57:$G57),R$1)=TRUE,""✓"",""✗"")"),"✗")</f>
        <v>✗</v>
      </c>
      <c r="S57" s="23" t="str">
        <f>IFERROR(__xludf.DUMMYFUNCTION("if(REGEXMATCH(join("", "",$F57:$G57),S$1)=TRUE,""✓"",""✗"")"),"✗")</f>
        <v>✗</v>
      </c>
      <c r="T57" s="23" t="str">
        <f>IFERROR(__xludf.DUMMYFUNCTION("if(REGEXMATCH(join("", "",$F57:$G57),T$1)=TRUE,""✓"",""✗"")"),"✗")</f>
        <v>✗</v>
      </c>
      <c r="U57" s="33"/>
      <c r="V57" s="33"/>
      <c r="W57" s="33"/>
      <c r="X57" s="33"/>
      <c r="Y57" s="33"/>
      <c r="Z57" s="33"/>
      <c r="AA57" s="33"/>
      <c r="AB57" s="33"/>
      <c r="AC57" s="33"/>
    </row>
    <row r="58">
      <c r="A58" s="20">
        <v>57.0</v>
      </c>
      <c r="B58" s="21"/>
      <c r="C58" s="16" t="str">
        <f t="shared" si="8"/>
        <v>Maletis (2007)</v>
      </c>
      <c r="D58" s="30" t="s">
        <v>487</v>
      </c>
      <c r="E58" s="15" t="s">
        <v>32</v>
      </c>
      <c r="F58" s="15" t="s">
        <v>33</v>
      </c>
      <c r="G58" s="37" t="s">
        <v>94</v>
      </c>
      <c r="H58" s="23" t="str">
        <f>IFERROR(__xludf.DUMMYFUNCTION("if(REGEXMATCH(join("", "",$F58:$G58),H$1)=TRUE,""✓"",""✗"")"),"✓")</f>
        <v>✓</v>
      </c>
      <c r="I58" s="23" t="str">
        <f>IFERROR(__xludf.DUMMYFUNCTION("if(REGEXMATCH(join("", "",$F58:$G58),I$1)=TRUE,""✓"",""✗"")"),"✓")</f>
        <v>✓</v>
      </c>
      <c r="J58" s="23" t="str">
        <f>IFERROR(__xludf.DUMMYFUNCTION("if(REGEXMATCH(join("", "",$F58:$G58),J$1)=TRUE,""✓"",""✗"")"),"✗")</f>
        <v>✗</v>
      </c>
      <c r="K58" s="23" t="str">
        <f>IFERROR(__xludf.DUMMYFUNCTION("if(REGEXMATCH(join("", "",$F58:$G58),K$1)=TRUE,""✓"",""✗"")"),"✗")</f>
        <v>✗</v>
      </c>
      <c r="L58" s="23" t="str">
        <f>IFERROR(__xludf.DUMMYFUNCTION("if(REGEXMATCH(join("", "",$F58:$G58),L$1)=TRUE,""✓"",""✗"")"),"✗")</f>
        <v>✗</v>
      </c>
      <c r="M58" s="23" t="str">
        <f>IFERROR(__xludf.DUMMYFUNCTION("if(REGEXMATCH(join("", "",$F58:$G58),M$1)=TRUE,""✓"",""✗"")"),"✗")</f>
        <v>✗</v>
      </c>
      <c r="N58" s="23" t="str">
        <f>IFERROR(__xludf.DUMMYFUNCTION("if(REGEXMATCH(join("", "",$F58:$G58),N$1)=TRUE,""✓"",""✗"")"),"✓")</f>
        <v>✓</v>
      </c>
      <c r="O58" s="23" t="str">
        <f>IFERROR(__xludf.DUMMYFUNCTION("if(REGEXMATCH(join("", "",$F58:$G58),O$1)=TRUE,""✓"",""✗"")"),"✓")</f>
        <v>✓</v>
      </c>
      <c r="P58" s="23" t="str">
        <f>IFERROR(__xludf.DUMMYFUNCTION("if(REGEXMATCH(join("", "",$F58:$G58),P$1)=TRUE,""✓"",""✗"")"),"✓")</f>
        <v>✓</v>
      </c>
      <c r="Q58" s="23" t="str">
        <f>IFERROR(__xludf.DUMMYFUNCTION("if(REGEXMATCH(join("", "",$F58:$G58),Q$1)=TRUE,""✓"",""✗"")"),"✓")</f>
        <v>✓</v>
      </c>
      <c r="R58" s="23" t="str">
        <f>IFERROR(__xludf.DUMMYFUNCTION("if(REGEXMATCH(join("", "",$F58:$G58),R$1)=TRUE,""✓"",""✗"")"),"✗")</f>
        <v>✗</v>
      </c>
      <c r="S58" s="23" t="str">
        <f>IFERROR(__xludf.DUMMYFUNCTION("if(REGEXMATCH(join("", "",$F58:$G58),S$1)=TRUE,""✓"",""✗"")"),"✗")</f>
        <v>✗</v>
      </c>
      <c r="T58" s="23" t="str">
        <f>IFERROR(__xludf.DUMMYFUNCTION("if(REGEXMATCH(join("", "",$F58:$G58),T$1)=TRUE,""✓"",""✗"")"),"✗")</f>
        <v>✗</v>
      </c>
      <c r="U58" s="33"/>
      <c r="V58" s="33"/>
      <c r="W58" s="33"/>
      <c r="X58" s="33"/>
      <c r="Y58" s="33"/>
      <c r="Z58" s="33"/>
      <c r="AA58" s="33"/>
      <c r="AB58" s="33"/>
      <c r="AC58" s="33"/>
    </row>
    <row r="59">
      <c r="A59" s="20">
        <v>58.0</v>
      </c>
      <c r="B59" s="21"/>
      <c r="C59" s="16" t="str">
        <f t="shared" si="8"/>
        <v>Malik (2026)</v>
      </c>
      <c r="D59" s="30" t="s">
        <v>488</v>
      </c>
      <c r="E59" s="15" t="s">
        <v>32</v>
      </c>
      <c r="F59" s="37" t="s">
        <v>209</v>
      </c>
      <c r="G59" s="37" t="s">
        <v>154</v>
      </c>
      <c r="H59" s="23" t="str">
        <f>IFERROR(__xludf.DUMMYFUNCTION("if(REGEXMATCH(join("", "",$F59:$G59),H$1)=TRUE,""✓"",""✗"")"),"✗")</f>
        <v>✗</v>
      </c>
      <c r="I59" s="23" t="str">
        <f>IFERROR(__xludf.DUMMYFUNCTION("if(REGEXMATCH(join("", "",$F59:$G59),I$1)=TRUE,""✓"",""✗"")"),"✓")</f>
        <v>✓</v>
      </c>
      <c r="J59" s="23" t="str">
        <f>IFERROR(__xludf.DUMMYFUNCTION("if(REGEXMATCH(join("", "",$F59:$G59),J$1)=TRUE,""✓"",""✗"")"),"✗")</f>
        <v>✗</v>
      </c>
      <c r="K59" s="23" t="str">
        <f>IFERROR(__xludf.DUMMYFUNCTION("if(REGEXMATCH(join("", "",$F59:$G59),K$1)=TRUE,""✓"",""✗"")"),"✓")</f>
        <v>✓</v>
      </c>
      <c r="L59" s="23" t="str">
        <f>IFERROR(__xludf.DUMMYFUNCTION("if(REGEXMATCH(join("", "",$F59:$G59),L$1)=TRUE,""✓"",""✗"")"),"✗")</f>
        <v>✗</v>
      </c>
      <c r="M59" s="23" t="str">
        <f>IFERROR(__xludf.DUMMYFUNCTION("if(REGEXMATCH(join("", "",$F59:$G59),M$1)=TRUE,""✓"",""✗"")"),"✗")</f>
        <v>✗</v>
      </c>
      <c r="N59" s="23" t="str">
        <f>IFERROR(__xludf.DUMMYFUNCTION("if(REGEXMATCH(join("", "",$F59:$G59),N$1)=TRUE,""✓"",""✗"")"),"✓")</f>
        <v>✓</v>
      </c>
      <c r="O59" s="23" t="str">
        <f>IFERROR(__xludf.DUMMYFUNCTION("if(REGEXMATCH(join("", "",$F59:$G59),O$1)=TRUE,""✓"",""✗"")"),"✓")</f>
        <v>✓</v>
      </c>
      <c r="P59" s="23" t="str">
        <f>IFERROR(__xludf.DUMMYFUNCTION("if(REGEXMATCH(join("", "",$F59:$G59),P$1)=TRUE,""✓"",""✗"")"),"✓")</f>
        <v>✓</v>
      </c>
      <c r="Q59" s="23" t="str">
        <f>IFERROR(__xludf.DUMMYFUNCTION("if(REGEXMATCH(join("", "",$F59:$G59),Q$1)=TRUE,""✓"",""✗"")"),"✓")</f>
        <v>✓</v>
      </c>
      <c r="R59" s="23" t="str">
        <f>IFERROR(__xludf.DUMMYFUNCTION("if(REGEXMATCH(join("", "",$F59:$G59),R$1)=TRUE,""✓"",""✗"")"),"✓")</f>
        <v>✓</v>
      </c>
      <c r="S59" s="23" t="str">
        <f>IFERROR(__xludf.DUMMYFUNCTION("if(REGEXMATCH(join("", "",$F59:$G59),S$1)=TRUE,""✓"",""✗"")"),"✓")</f>
        <v>✓</v>
      </c>
      <c r="T59" s="23" t="str">
        <f>IFERROR(__xludf.DUMMYFUNCTION("if(REGEXMATCH(join("", "",$F59:$G59),T$1)=TRUE,""✓"",""✗"")"),"✗")</f>
        <v>✗</v>
      </c>
      <c r="U59" s="33"/>
      <c r="V59" s="33"/>
      <c r="W59" s="33"/>
      <c r="X59" s="33"/>
      <c r="Y59" s="33"/>
      <c r="Z59" s="33"/>
      <c r="AA59" s="33"/>
      <c r="AB59" s="33"/>
      <c r="AC59" s="33"/>
    </row>
    <row r="60" hidden="1">
      <c r="A60" s="20">
        <v>59.0</v>
      </c>
      <c r="B60" s="21"/>
      <c r="C60" s="15"/>
      <c r="D60" s="30" t="s">
        <v>491</v>
      </c>
      <c r="E60" s="15" t="s">
        <v>102</v>
      </c>
      <c r="F60" s="15"/>
      <c r="G60" s="15" t="s">
        <v>230</v>
      </c>
      <c r="H60" s="23" t="str">
        <f>IFERROR(__xludf.DUMMYFUNCTION("if(REGEXMATCH(join("", "",$F60:$G60),H$1)=TRUE,""✓"",""✗"")"),"✗")</f>
        <v>✗</v>
      </c>
      <c r="I60" s="23" t="str">
        <f>IFERROR(__xludf.DUMMYFUNCTION("if(REGEXMATCH(join("", "",$F60:$G60),I$1)=TRUE,""✓"",""✗"")"),"✗")</f>
        <v>✗</v>
      </c>
      <c r="J60" s="23" t="str">
        <f>IFERROR(__xludf.DUMMYFUNCTION("if(REGEXMATCH(join("", "",$F60:$G60),J$1)=TRUE,""✓"",""✗"")"),"✗")</f>
        <v>✗</v>
      </c>
      <c r="K60" s="23" t="str">
        <f>IFERROR(__xludf.DUMMYFUNCTION("if(REGEXMATCH(join("", "",$F60:$G60),K$1)=TRUE,""✓"",""✗"")"),"✗")</f>
        <v>✗</v>
      </c>
      <c r="L60" s="23" t="str">
        <f>IFERROR(__xludf.DUMMYFUNCTION("if(REGEXMATCH(join("", "",$F60:$G60),L$1)=TRUE,""✓"",""✗"")"),"✗")</f>
        <v>✗</v>
      </c>
      <c r="M60" s="23" t="str">
        <f>IFERROR(__xludf.DUMMYFUNCTION("if(REGEXMATCH(join("", "",$F60:$G60),M$1)=TRUE,""✓"",""✗"")"),"✗")</f>
        <v>✗</v>
      </c>
      <c r="N60" s="23" t="str">
        <f>IFERROR(__xludf.DUMMYFUNCTION("if(REGEXMATCH(join("", "",$F60:$G60),N$1)=TRUE,""✓"",""✗"")"),"✗")</f>
        <v>✗</v>
      </c>
      <c r="O60" s="23" t="str">
        <f>IFERROR(__xludf.DUMMYFUNCTION("if(REGEXMATCH(join("", "",$F60:$G60),O$1)=TRUE,""✓"",""✗"")"),"✗")</f>
        <v>✗</v>
      </c>
      <c r="P60" s="23" t="str">
        <f>IFERROR(__xludf.DUMMYFUNCTION("if(REGEXMATCH(join("", "",$F60:$G60),P$1)=TRUE,""✓"",""✗"")"),"✗")</f>
        <v>✗</v>
      </c>
      <c r="Q60" s="23" t="str">
        <f>IFERROR(__xludf.DUMMYFUNCTION("if(REGEXMATCH(join("", "",$F60:$G60),Q$1)=TRUE,""✓"",""✗"")"),"✗")</f>
        <v>✗</v>
      </c>
      <c r="R60" s="23" t="str">
        <f>IFERROR(__xludf.DUMMYFUNCTION("if(REGEXMATCH(join("", "",$F60:$G60),R$1)=TRUE,""✓"",""✗"")"),"✗")</f>
        <v>✗</v>
      </c>
      <c r="S60" s="23" t="str">
        <f>IFERROR(__xludf.DUMMYFUNCTION("if(REGEXMATCH(join("", "",$F60:$G60),S$1)=TRUE,""✓"",""✗"")"),"✗")</f>
        <v>✗</v>
      </c>
      <c r="T60" s="23" t="str">
        <f>IFERROR(__xludf.DUMMYFUNCTION("if(REGEXMATCH(join("", "",$F60:$G60),T$1)=TRUE,""✓"",""✗"")"),"✗")</f>
        <v>✗</v>
      </c>
      <c r="U60" s="33"/>
      <c r="V60" s="33"/>
      <c r="W60" s="33"/>
      <c r="X60" s="33"/>
      <c r="Y60" s="33"/>
      <c r="Z60" s="33"/>
      <c r="AA60" s="33"/>
      <c r="AB60" s="33"/>
      <c r="AC60" s="33"/>
    </row>
    <row r="61" hidden="1" outlineLevel="1">
      <c r="A61" s="50">
        <v>60.0</v>
      </c>
      <c r="B61" s="21"/>
      <c r="C61" s="15"/>
      <c r="D61" s="19" t="s">
        <v>374</v>
      </c>
      <c r="E61" s="15" t="s">
        <v>102</v>
      </c>
      <c r="F61" s="37"/>
      <c r="G61" s="15" t="s">
        <v>228</v>
      </c>
      <c r="H61" s="23" t="str">
        <f>IFERROR(__xludf.DUMMYFUNCTION("if(REGEXMATCH(join("", "",$F61:$G61),H$1)=TRUE,""✓"",""✗"")"),"✗")</f>
        <v>✗</v>
      </c>
      <c r="I61" s="23" t="str">
        <f>IFERROR(__xludf.DUMMYFUNCTION("if(REGEXMATCH(join("", "",$F61:$G61),I$1)=TRUE,""✓"",""✗"")"),"✗")</f>
        <v>✗</v>
      </c>
      <c r="J61" s="23" t="str">
        <f>IFERROR(__xludf.DUMMYFUNCTION("if(REGEXMATCH(join("", "",$F61:$G61),J$1)=TRUE,""✓"",""✗"")"),"✗")</f>
        <v>✗</v>
      </c>
      <c r="K61" s="23" t="str">
        <f>IFERROR(__xludf.DUMMYFUNCTION("if(REGEXMATCH(join("", "",$F61:$G61),K$1)=TRUE,""✓"",""✗"")"),"✗")</f>
        <v>✗</v>
      </c>
      <c r="L61" s="23" t="str">
        <f>IFERROR(__xludf.DUMMYFUNCTION("if(REGEXMATCH(join("", "",$F61:$G61),L$1)=TRUE,""✓"",""✗"")"),"✗")</f>
        <v>✗</v>
      </c>
      <c r="M61" s="23" t="str">
        <f>IFERROR(__xludf.DUMMYFUNCTION("if(REGEXMATCH(join("", "",$F61:$G61),M$1)=TRUE,""✓"",""✗"")"),"✗")</f>
        <v>✗</v>
      </c>
      <c r="N61" s="23" t="str">
        <f>IFERROR(__xludf.DUMMYFUNCTION("if(REGEXMATCH(join("", "",$F61:$G61),N$1)=TRUE,""✓"",""✗"")"),"✗")</f>
        <v>✗</v>
      </c>
      <c r="O61" s="23" t="str">
        <f>IFERROR(__xludf.DUMMYFUNCTION("if(REGEXMATCH(join("", "",$F61:$G61),O$1)=TRUE,""✓"",""✗"")"),"✗")</f>
        <v>✗</v>
      </c>
      <c r="P61" s="23" t="str">
        <f>IFERROR(__xludf.DUMMYFUNCTION("if(REGEXMATCH(join("", "",$F61:$G61),P$1)=TRUE,""✓"",""✗"")"),"✗")</f>
        <v>✗</v>
      </c>
      <c r="Q61" s="23" t="str">
        <f>IFERROR(__xludf.DUMMYFUNCTION("if(REGEXMATCH(join("", "",$F61:$G61),Q$1)=TRUE,""✓"",""✗"")"),"✗")</f>
        <v>✗</v>
      </c>
      <c r="R61" s="23" t="str">
        <f>IFERROR(__xludf.DUMMYFUNCTION("if(REGEXMATCH(join("", "",$F61:$G61),R$1)=TRUE,""✓"",""✗"")"),"✗")</f>
        <v>✗</v>
      </c>
      <c r="S61" s="23" t="str">
        <f>IFERROR(__xludf.DUMMYFUNCTION("if(REGEXMATCH(join("", "",$F61:$G61),S$1)=TRUE,""✓"",""✗"")"),"✗")</f>
        <v>✗</v>
      </c>
      <c r="T61" s="23" t="str">
        <f>IFERROR(__xludf.DUMMYFUNCTION("if(REGEXMATCH(join("", "",$F61:$G61),T$1)=TRUE,""✓"",""✗"")"),"✗")</f>
        <v>✗</v>
      </c>
      <c r="U61" s="33"/>
      <c r="V61" s="33"/>
      <c r="W61" s="33"/>
      <c r="X61" s="33"/>
      <c r="Y61" s="33"/>
      <c r="Z61" s="33"/>
      <c r="AA61" s="33"/>
      <c r="AB61" s="33"/>
      <c r="AC61" s="33"/>
    </row>
    <row r="62" hidden="1">
      <c r="A62" s="50">
        <v>61.0</v>
      </c>
      <c r="B62" s="21"/>
      <c r="C62" s="15"/>
      <c r="D62" s="19" t="s">
        <v>376</v>
      </c>
      <c r="E62" s="15" t="s">
        <v>102</v>
      </c>
      <c r="F62" s="37"/>
      <c r="G62" s="15" t="s">
        <v>230</v>
      </c>
      <c r="H62" s="23" t="str">
        <f>IFERROR(__xludf.DUMMYFUNCTION("if(REGEXMATCH(join("", "",$F62:$G62),H$1)=TRUE,""✓"",""✗"")"),"✗")</f>
        <v>✗</v>
      </c>
      <c r="I62" s="23" t="str">
        <f>IFERROR(__xludf.DUMMYFUNCTION("if(REGEXMATCH(join("", "",$F62:$G62),I$1)=TRUE,""✓"",""✗"")"),"✗")</f>
        <v>✗</v>
      </c>
      <c r="J62" s="23" t="str">
        <f>IFERROR(__xludf.DUMMYFUNCTION("if(REGEXMATCH(join("", "",$F62:$G62),J$1)=TRUE,""✓"",""✗"")"),"✗")</f>
        <v>✗</v>
      </c>
      <c r="K62" s="23" t="str">
        <f>IFERROR(__xludf.DUMMYFUNCTION("if(REGEXMATCH(join("", "",$F62:$G62),K$1)=TRUE,""✓"",""✗"")"),"✗")</f>
        <v>✗</v>
      </c>
      <c r="L62" s="23" t="str">
        <f>IFERROR(__xludf.DUMMYFUNCTION("if(REGEXMATCH(join("", "",$F62:$G62),L$1)=TRUE,""✓"",""✗"")"),"✗")</f>
        <v>✗</v>
      </c>
      <c r="M62" s="23" t="str">
        <f>IFERROR(__xludf.DUMMYFUNCTION("if(REGEXMATCH(join("", "",$F62:$G62),M$1)=TRUE,""✓"",""✗"")"),"✗")</f>
        <v>✗</v>
      </c>
      <c r="N62" s="23" t="str">
        <f>IFERROR(__xludf.DUMMYFUNCTION("if(REGEXMATCH(join("", "",$F62:$G62),N$1)=TRUE,""✓"",""✗"")"),"✗")</f>
        <v>✗</v>
      </c>
      <c r="O62" s="23" t="str">
        <f>IFERROR(__xludf.DUMMYFUNCTION("if(REGEXMATCH(join("", "",$F62:$G62),O$1)=TRUE,""✓"",""✗"")"),"✗")</f>
        <v>✗</v>
      </c>
      <c r="P62" s="23" t="str">
        <f>IFERROR(__xludf.DUMMYFUNCTION("if(REGEXMATCH(join("", "",$F62:$G62),P$1)=TRUE,""✓"",""✗"")"),"✗")</f>
        <v>✗</v>
      </c>
      <c r="Q62" s="23" t="str">
        <f>IFERROR(__xludf.DUMMYFUNCTION("if(REGEXMATCH(join("", "",$F62:$G62),Q$1)=TRUE,""✓"",""✗"")"),"✗")</f>
        <v>✗</v>
      </c>
      <c r="R62" s="23" t="str">
        <f>IFERROR(__xludf.DUMMYFUNCTION("if(REGEXMATCH(join("", "",$F62:$G62),R$1)=TRUE,""✓"",""✗"")"),"✗")</f>
        <v>✗</v>
      </c>
      <c r="S62" s="23" t="str">
        <f>IFERROR(__xludf.DUMMYFUNCTION("if(REGEXMATCH(join("", "",$F62:$G62),S$1)=TRUE,""✓"",""✗"")"),"✗")</f>
        <v>✗</v>
      </c>
      <c r="T62" s="23" t="str">
        <f>IFERROR(__xludf.DUMMYFUNCTION("if(REGEXMATCH(join("", "",$F62:$G62),T$1)=TRUE,""✓"",""✗"")"),"✗")</f>
        <v>✗</v>
      </c>
      <c r="U62" s="33"/>
      <c r="V62" s="33"/>
      <c r="W62" s="33"/>
      <c r="X62" s="33"/>
      <c r="Y62" s="33"/>
      <c r="Z62" s="33"/>
      <c r="AA62" s="33"/>
      <c r="AB62" s="33"/>
      <c r="AC62" s="33"/>
    </row>
    <row r="63">
      <c r="A63" s="20">
        <v>62.0</v>
      </c>
      <c r="B63" s="21"/>
      <c r="C63" s="16" t="str">
        <f>hyperlink("https://github.com/d-wkim/phd/blob/main/data/pdf/"&amp;D63&amp;".pdf",PROPER(SUBSTITUTE(D63,"_"," (")&amp;")"))</f>
        <v>Matsumoto (2006)</v>
      </c>
      <c r="D63" s="30" t="s">
        <v>494</v>
      </c>
      <c r="E63" s="15" t="s">
        <v>32</v>
      </c>
      <c r="F63" s="15" t="s">
        <v>33</v>
      </c>
      <c r="G63" s="37" t="s">
        <v>76</v>
      </c>
      <c r="H63" s="23" t="str">
        <f>IFERROR(__xludf.DUMMYFUNCTION("if(REGEXMATCH(join("", "",$F63:$G63),H$1)=TRUE,""✓"",""✗"")"),"✓")</f>
        <v>✓</v>
      </c>
      <c r="I63" s="23" t="str">
        <f>IFERROR(__xludf.DUMMYFUNCTION("if(REGEXMATCH(join("", "",$F63:$G63),I$1)=TRUE,""✓"",""✗"")"),"✓")</f>
        <v>✓</v>
      </c>
      <c r="J63" s="23" t="str">
        <f>IFERROR(__xludf.DUMMYFUNCTION("if(REGEXMATCH(join("", "",$F63:$G63),J$1)=TRUE,""✓"",""✗"")"),"✗")</f>
        <v>✗</v>
      </c>
      <c r="K63" s="23" t="str">
        <f>IFERROR(__xludf.DUMMYFUNCTION("if(REGEXMATCH(join("", "",$F63:$G63),K$1)=TRUE,""✓"",""✗"")"),"✗")</f>
        <v>✗</v>
      </c>
      <c r="L63" s="23" t="str">
        <f>IFERROR(__xludf.DUMMYFUNCTION("if(REGEXMATCH(join("", "",$F63:$G63),L$1)=TRUE,""✓"",""✗"")"),"✗")</f>
        <v>✗</v>
      </c>
      <c r="M63" s="23" t="str">
        <f>IFERROR(__xludf.DUMMYFUNCTION("if(REGEXMATCH(join("", "",$F63:$G63),M$1)=TRUE,""✓"",""✗"")"),"✗")</f>
        <v>✗</v>
      </c>
      <c r="N63" s="23" t="str">
        <f>IFERROR(__xludf.DUMMYFUNCTION("if(REGEXMATCH(join("", "",$F63:$G63),N$1)=TRUE,""✓"",""✗"")"),"✓")</f>
        <v>✓</v>
      </c>
      <c r="O63" s="23" t="str">
        <f>IFERROR(__xludf.DUMMYFUNCTION("if(REGEXMATCH(join("", "",$F63:$G63),O$1)=TRUE,""✓"",""✗"")"),"✗")</f>
        <v>✗</v>
      </c>
      <c r="P63" s="23" t="str">
        <f>IFERROR(__xludf.DUMMYFUNCTION("if(REGEXMATCH(join("", "",$F63:$G63),P$1)=TRUE,""✓"",""✗"")"),"✗")</f>
        <v>✗</v>
      </c>
      <c r="Q63" s="23" t="str">
        <f>IFERROR(__xludf.DUMMYFUNCTION("if(REGEXMATCH(join("", "",$F63:$G63),Q$1)=TRUE,""✓"",""✗"")"),"✓")</f>
        <v>✓</v>
      </c>
      <c r="R63" s="23" t="str">
        <f>IFERROR(__xludf.DUMMYFUNCTION("if(REGEXMATCH(join("", "",$F63:$G63),R$1)=TRUE,""✓"",""✗"")"),"✗")</f>
        <v>✗</v>
      </c>
      <c r="S63" s="23" t="str">
        <f>IFERROR(__xludf.DUMMYFUNCTION("if(REGEXMATCH(join("", "",$F63:$G63),S$1)=TRUE,""✓"",""✗"")"),"✗")</f>
        <v>✗</v>
      </c>
      <c r="T63" s="23" t="str">
        <f>IFERROR(__xludf.DUMMYFUNCTION("if(REGEXMATCH(join("", "",$F63:$G63),T$1)=TRUE,""✓"",""✗"")"),"✗")</f>
        <v>✗</v>
      </c>
      <c r="U63" s="33"/>
      <c r="V63" s="33"/>
      <c r="W63" s="33"/>
      <c r="X63" s="33"/>
      <c r="Y63" s="33"/>
      <c r="Z63" s="33"/>
      <c r="AA63" s="33"/>
      <c r="AB63" s="33"/>
      <c r="AC63" s="33"/>
    </row>
    <row r="64" hidden="1">
      <c r="A64" s="20">
        <v>63.0</v>
      </c>
      <c r="B64" s="21"/>
      <c r="C64" s="15"/>
      <c r="D64" s="30" t="s">
        <v>495</v>
      </c>
      <c r="E64" s="15" t="s">
        <v>102</v>
      </c>
      <c r="F64" s="54"/>
      <c r="G64" s="15" t="s">
        <v>230</v>
      </c>
      <c r="H64" s="23" t="str">
        <f>IFERROR(__xludf.DUMMYFUNCTION("if(REGEXMATCH(join("", "",$F64:$G64),H$1)=TRUE,""✓"",""✗"")"),"✗")</f>
        <v>✗</v>
      </c>
      <c r="I64" s="23" t="str">
        <f>IFERROR(__xludf.DUMMYFUNCTION("if(REGEXMATCH(join("", "",$F64:$G64),I$1)=TRUE,""✓"",""✗"")"),"✗")</f>
        <v>✗</v>
      </c>
      <c r="J64" s="23" t="str">
        <f>IFERROR(__xludf.DUMMYFUNCTION("if(REGEXMATCH(join("", "",$F64:$G64),J$1)=TRUE,""✓"",""✗"")"),"✗")</f>
        <v>✗</v>
      </c>
      <c r="K64" s="23" t="str">
        <f>IFERROR(__xludf.DUMMYFUNCTION("if(REGEXMATCH(join("", "",$F64:$G64),K$1)=TRUE,""✓"",""✗"")"),"✗")</f>
        <v>✗</v>
      </c>
      <c r="L64" s="23" t="str">
        <f>IFERROR(__xludf.DUMMYFUNCTION("if(REGEXMATCH(join("", "",$F64:$G64),L$1)=TRUE,""✓"",""✗"")"),"✗")</f>
        <v>✗</v>
      </c>
      <c r="M64" s="23" t="str">
        <f>IFERROR(__xludf.DUMMYFUNCTION("if(REGEXMATCH(join("", "",$F64:$G64),M$1)=TRUE,""✓"",""✗"")"),"✗")</f>
        <v>✗</v>
      </c>
      <c r="N64" s="23" t="str">
        <f>IFERROR(__xludf.DUMMYFUNCTION("if(REGEXMATCH(join("", "",$F64:$G64),N$1)=TRUE,""✓"",""✗"")"),"✗")</f>
        <v>✗</v>
      </c>
      <c r="O64" s="23" t="str">
        <f>IFERROR(__xludf.DUMMYFUNCTION("if(REGEXMATCH(join("", "",$F64:$G64),O$1)=TRUE,""✓"",""✗"")"),"✗")</f>
        <v>✗</v>
      </c>
      <c r="P64" s="23" t="str">
        <f>IFERROR(__xludf.DUMMYFUNCTION("if(REGEXMATCH(join("", "",$F64:$G64),P$1)=TRUE,""✓"",""✗"")"),"✗")</f>
        <v>✗</v>
      </c>
      <c r="Q64" s="23" t="str">
        <f>IFERROR(__xludf.DUMMYFUNCTION("if(REGEXMATCH(join("", "",$F64:$G64),Q$1)=TRUE,""✓"",""✗"")"),"✗")</f>
        <v>✗</v>
      </c>
      <c r="R64" s="23" t="str">
        <f>IFERROR(__xludf.DUMMYFUNCTION("if(REGEXMATCH(join("", "",$F64:$G64),R$1)=TRUE,""✓"",""✗"")"),"✗")</f>
        <v>✗</v>
      </c>
      <c r="S64" s="23" t="str">
        <f>IFERROR(__xludf.DUMMYFUNCTION("if(REGEXMATCH(join("", "",$F64:$G64),S$1)=TRUE,""✓"",""✗"")"),"✗")</f>
        <v>✗</v>
      </c>
      <c r="T64" s="23" t="str">
        <f>IFERROR(__xludf.DUMMYFUNCTION("if(REGEXMATCH(join("", "",$F64:$G64),T$1)=TRUE,""✓"",""✗"")"),"✗")</f>
        <v>✗</v>
      </c>
      <c r="U64" s="33"/>
      <c r="V64" s="33"/>
      <c r="W64" s="33"/>
      <c r="X64" s="33"/>
      <c r="Y64" s="33"/>
      <c r="Z64" s="33"/>
      <c r="AA64" s="33"/>
      <c r="AB64" s="33"/>
      <c r="AC64" s="33"/>
    </row>
    <row r="65" hidden="1">
      <c r="A65" s="20">
        <v>64.0</v>
      </c>
      <c r="B65" s="21"/>
      <c r="C65" s="15"/>
      <c r="D65" s="30" t="s">
        <v>496</v>
      </c>
      <c r="E65" s="15" t="s">
        <v>102</v>
      </c>
      <c r="F65" s="15"/>
      <c r="G65" s="15" t="s">
        <v>230</v>
      </c>
      <c r="H65" s="23" t="str">
        <f>IFERROR(__xludf.DUMMYFUNCTION("if(REGEXMATCH(join("", "",$F65:$G65),H$1)=TRUE,""✓"",""✗"")"),"✗")</f>
        <v>✗</v>
      </c>
      <c r="I65" s="23" t="str">
        <f>IFERROR(__xludf.DUMMYFUNCTION("if(REGEXMATCH(join("", "",$F65:$G65),I$1)=TRUE,""✓"",""✗"")"),"✗")</f>
        <v>✗</v>
      </c>
      <c r="J65" s="23" t="str">
        <f>IFERROR(__xludf.DUMMYFUNCTION("if(REGEXMATCH(join("", "",$F65:$G65),J$1)=TRUE,""✓"",""✗"")"),"✗")</f>
        <v>✗</v>
      </c>
      <c r="K65" s="23" t="str">
        <f>IFERROR(__xludf.DUMMYFUNCTION("if(REGEXMATCH(join("", "",$F65:$G65),K$1)=TRUE,""✓"",""✗"")"),"✗")</f>
        <v>✗</v>
      </c>
      <c r="L65" s="23" t="str">
        <f>IFERROR(__xludf.DUMMYFUNCTION("if(REGEXMATCH(join("", "",$F65:$G65),L$1)=TRUE,""✓"",""✗"")"),"✗")</f>
        <v>✗</v>
      </c>
      <c r="M65" s="23" t="str">
        <f>IFERROR(__xludf.DUMMYFUNCTION("if(REGEXMATCH(join("", "",$F65:$G65),M$1)=TRUE,""✓"",""✗"")"),"✗")</f>
        <v>✗</v>
      </c>
      <c r="N65" s="23" t="str">
        <f>IFERROR(__xludf.DUMMYFUNCTION("if(REGEXMATCH(join("", "",$F65:$G65),N$1)=TRUE,""✓"",""✗"")"),"✗")</f>
        <v>✗</v>
      </c>
      <c r="O65" s="23" t="str">
        <f>IFERROR(__xludf.DUMMYFUNCTION("if(REGEXMATCH(join("", "",$F65:$G65),O$1)=TRUE,""✓"",""✗"")"),"✗")</f>
        <v>✗</v>
      </c>
      <c r="P65" s="23" t="str">
        <f>IFERROR(__xludf.DUMMYFUNCTION("if(REGEXMATCH(join("", "",$F65:$G65),P$1)=TRUE,""✓"",""✗"")"),"✗")</f>
        <v>✗</v>
      </c>
      <c r="Q65" s="23" t="str">
        <f>IFERROR(__xludf.DUMMYFUNCTION("if(REGEXMATCH(join("", "",$F65:$G65),Q$1)=TRUE,""✓"",""✗"")"),"✗")</f>
        <v>✗</v>
      </c>
      <c r="R65" s="23" t="str">
        <f>IFERROR(__xludf.DUMMYFUNCTION("if(REGEXMATCH(join("", "",$F65:$G65),R$1)=TRUE,""✓"",""✗"")"),"✗")</f>
        <v>✗</v>
      </c>
      <c r="S65" s="23" t="str">
        <f>IFERROR(__xludf.DUMMYFUNCTION("if(REGEXMATCH(join("", "",$F65:$G65),S$1)=TRUE,""✓"",""✗"")"),"✗")</f>
        <v>✗</v>
      </c>
      <c r="T65" s="23" t="str">
        <f>IFERROR(__xludf.DUMMYFUNCTION("if(REGEXMATCH(join("", "",$F65:$G65),T$1)=TRUE,""✓"",""✗"")"),"✗")</f>
        <v>✗</v>
      </c>
      <c r="U65" s="33"/>
      <c r="V65" s="33"/>
      <c r="W65" s="33"/>
      <c r="X65" s="33"/>
      <c r="Y65" s="33"/>
      <c r="Z65" s="33"/>
      <c r="AA65" s="33"/>
      <c r="AB65" s="33"/>
      <c r="AC65" s="33"/>
    </row>
    <row r="66" hidden="1">
      <c r="A66" s="20">
        <v>65.0</v>
      </c>
      <c r="B66" s="21"/>
      <c r="C66" s="15"/>
      <c r="D66" s="30" t="s">
        <v>497</v>
      </c>
      <c r="E66" s="15" t="s">
        <v>102</v>
      </c>
      <c r="F66" s="15"/>
      <c r="G66" s="15" t="s">
        <v>228</v>
      </c>
      <c r="H66" s="23" t="str">
        <f>IFERROR(__xludf.DUMMYFUNCTION("if(REGEXMATCH(join("", "",$F66:$G66),H$1)=TRUE,""✓"",""✗"")"),"✗")</f>
        <v>✗</v>
      </c>
      <c r="I66" s="23" t="str">
        <f>IFERROR(__xludf.DUMMYFUNCTION("if(REGEXMATCH(join("", "",$F66:$G66),I$1)=TRUE,""✓"",""✗"")"),"✗")</f>
        <v>✗</v>
      </c>
      <c r="J66" s="23" t="str">
        <f>IFERROR(__xludf.DUMMYFUNCTION("if(REGEXMATCH(join("", "",$F66:$G66),J$1)=TRUE,""✓"",""✗"")"),"✗")</f>
        <v>✗</v>
      </c>
      <c r="K66" s="23" t="str">
        <f>IFERROR(__xludf.DUMMYFUNCTION("if(REGEXMATCH(join("", "",$F66:$G66),K$1)=TRUE,""✓"",""✗"")"),"✗")</f>
        <v>✗</v>
      </c>
      <c r="L66" s="23" t="str">
        <f>IFERROR(__xludf.DUMMYFUNCTION("if(REGEXMATCH(join("", "",$F66:$G66),L$1)=TRUE,""✓"",""✗"")"),"✗")</f>
        <v>✗</v>
      </c>
      <c r="M66" s="23" t="str">
        <f>IFERROR(__xludf.DUMMYFUNCTION("if(REGEXMATCH(join("", "",$F66:$G66),M$1)=TRUE,""✓"",""✗"")"),"✗")</f>
        <v>✗</v>
      </c>
      <c r="N66" s="23" t="str">
        <f>IFERROR(__xludf.DUMMYFUNCTION("if(REGEXMATCH(join("", "",$F66:$G66),N$1)=TRUE,""✓"",""✗"")"),"✗")</f>
        <v>✗</v>
      </c>
      <c r="O66" s="23" t="str">
        <f>IFERROR(__xludf.DUMMYFUNCTION("if(REGEXMATCH(join("", "",$F66:$G66),O$1)=TRUE,""✓"",""✗"")"),"✗")</f>
        <v>✗</v>
      </c>
      <c r="P66" s="23" t="str">
        <f>IFERROR(__xludf.DUMMYFUNCTION("if(REGEXMATCH(join("", "",$F66:$G66),P$1)=TRUE,""✓"",""✗"")"),"✗")</f>
        <v>✗</v>
      </c>
      <c r="Q66" s="23" t="str">
        <f>IFERROR(__xludf.DUMMYFUNCTION("if(REGEXMATCH(join("", "",$F66:$G66),Q$1)=TRUE,""✓"",""✗"")"),"✗")</f>
        <v>✗</v>
      </c>
      <c r="R66" s="23" t="str">
        <f>IFERROR(__xludf.DUMMYFUNCTION("if(REGEXMATCH(join("", "",$F66:$G66),R$1)=TRUE,""✓"",""✗"")"),"✗")</f>
        <v>✗</v>
      </c>
      <c r="S66" s="23" t="str">
        <f>IFERROR(__xludf.DUMMYFUNCTION("if(REGEXMATCH(join("", "",$F66:$G66),S$1)=TRUE,""✓"",""✗"")"),"✗")</f>
        <v>✗</v>
      </c>
      <c r="T66" s="23" t="str">
        <f>IFERROR(__xludf.DUMMYFUNCTION("if(REGEXMATCH(join("", "",$F66:$G66),T$1)=TRUE,""✓"",""✗"")"),"✗")</f>
        <v>✗</v>
      </c>
      <c r="U66" s="33"/>
      <c r="V66" s="33"/>
      <c r="W66" s="33"/>
      <c r="X66" s="33"/>
      <c r="Y66" s="33"/>
      <c r="Z66" s="33"/>
      <c r="AA66" s="33"/>
      <c r="AB66" s="33"/>
      <c r="AC66" s="33"/>
    </row>
    <row r="67">
      <c r="A67" s="20">
        <v>66.0</v>
      </c>
      <c r="B67" s="21"/>
      <c r="C67" s="16" t="str">
        <f t="shared" ref="C67:C69" si="9">hyperlink("https://github.com/d-wkim/phd/blob/main/data/pdf/"&amp;D67&amp;".pdf",PROPER(SUBSTITUTE(D67,"_"," (")&amp;")"))</f>
        <v>Mohtadi (2016B)</v>
      </c>
      <c r="D67" s="30" t="s">
        <v>498</v>
      </c>
      <c r="E67" s="15" t="s">
        <v>32</v>
      </c>
      <c r="F67" s="15" t="s">
        <v>33</v>
      </c>
      <c r="G67" s="37" t="s">
        <v>158</v>
      </c>
      <c r="H67" s="23" t="str">
        <f>IFERROR(__xludf.DUMMYFUNCTION("if(REGEXMATCH(join("", "",$F67:$G67),H$1)=TRUE,""✓"",""✗"")"),"✓")</f>
        <v>✓</v>
      </c>
      <c r="I67" s="23" t="str">
        <f>IFERROR(__xludf.DUMMYFUNCTION("if(REGEXMATCH(join("", "",$F67:$G67),I$1)=TRUE,""✓"",""✗"")"),"✓")</f>
        <v>✓</v>
      </c>
      <c r="J67" s="23" t="str">
        <f>IFERROR(__xludf.DUMMYFUNCTION("if(REGEXMATCH(join("", "",$F67:$G67),J$1)=TRUE,""✓"",""✗"")"),"✗")</f>
        <v>✗</v>
      </c>
      <c r="K67" s="23" t="str">
        <f>IFERROR(__xludf.DUMMYFUNCTION("if(REGEXMATCH(join("", "",$F67:$G67),K$1)=TRUE,""✓"",""✗"")"),"✗")</f>
        <v>✗</v>
      </c>
      <c r="L67" s="23" t="str">
        <f>IFERROR(__xludf.DUMMYFUNCTION("if(REGEXMATCH(join("", "",$F67:$G67),L$1)=TRUE,""✓"",""✗"")"),"✗")</f>
        <v>✗</v>
      </c>
      <c r="M67" s="23" t="str">
        <f>IFERROR(__xludf.DUMMYFUNCTION("if(REGEXMATCH(join("", "",$F67:$G67),M$1)=TRUE,""✓"",""✗"")"),"✗")</f>
        <v>✗</v>
      </c>
      <c r="N67" s="23" t="str">
        <f>IFERROR(__xludf.DUMMYFUNCTION("if(REGEXMATCH(join("", "",$F67:$G67),N$1)=TRUE,""✓"",""✗"")"),"✗")</f>
        <v>✗</v>
      </c>
      <c r="O67" s="23" t="str">
        <f>IFERROR(__xludf.DUMMYFUNCTION("if(REGEXMATCH(join("", "",$F67:$G67),O$1)=TRUE,""✓"",""✗"")"),"✗")</f>
        <v>✗</v>
      </c>
      <c r="P67" s="23" t="str">
        <f>IFERROR(__xludf.DUMMYFUNCTION("if(REGEXMATCH(join("", "",$F67:$G67),P$1)=TRUE,""✓"",""✗"")"),"✗")</f>
        <v>✗</v>
      </c>
      <c r="Q67" s="23" t="str">
        <f>IFERROR(__xludf.DUMMYFUNCTION("if(REGEXMATCH(join("", "",$F67:$G67),Q$1)=TRUE,""✓"",""✗"")"),"✓")</f>
        <v>✓</v>
      </c>
      <c r="R67" s="23" t="str">
        <f>IFERROR(__xludf.DUMMYFUNCTION("if(REGEXMATCH(join("", "",$F67:$G67),R$1)=TRUE,""✓"",""✗"")"),"✗")</f>
        <v>✗</v>
      </c>
      <c r="S67" s="23" t="str">
        <f>IFERROR(__xludf.DUMMYFUNCTION("if(REGEXMATCH(join("", "",$F67:$G67),S$1)=TRUE,""✓"",""✗"")"),"✓")</f>
        <v>✓</v>
      </c>
      <c r="T67" s="23" t="str">
        <f>IFERROR(__xludf.DUMMYFUNCTION("if(REGEXMATCH(join("", "",$F67:$G67),T$1)=TRUE,""✓"",""✗"")"),"✓")</f>
        <v>✓</v>
      </c>
      <c r="U67" s="33"/>
      <c r="V67" s="33"/>
      <c r="W67" s="33"/>
      <c r="X67" s="33"/>
      <c r="Y67" s="33"/>
      <c r="Z67" s="33"/>
      <c r="AA67" s="33"/>
      <c r="AB67" s="33"/>
      <c r="AC67" s="33"/>
    </row>
    <row r="68">
      <c r="A68" s="20">
        <v>67.0</v>
      </c>
      <c r="B68" s="21"/>
      <c r="C68" s="16" t="str">
        <f t="shared" si="9"/>
        <v>Mohtadi (Chan (2019)</v>
      </c>
      <c r="D68" s="30" t="s">
        <v>500</v>
      </c>
      <c r="E68" s="15" t="s">
        <v>32</v>
      </c>
      <c r="F68" s="15" t="s">
        <v>33</v>
      </c>
      <c r="G68" s="37" t="s">
        <v>162</v>
      </c>
      <c r="H68" s="23" t="str">
        <f>IFERROR(__xludf.DUMMYFUNCTION("if(REGEXMATCH(join("", "",$F68:$G68),H$1)=TRUE,""✓"",""✗"")"),"✓")</f>
        <v>✓</v>
      </c>
      <c r="I68" s="23" t="str">
        <f>IFERROR(__xludf.DUMMYFUNCTION("if(REGEXMATCH(join("", "",$F68:$G68),I$1)=TRUE,""✓"",""✗"")"),"✓")</f>
        <v>✓</v>
      </c>
      <c r="J68" s="23" t="str">
        <f>IFERROR(__xludf.DUMMYFUNCTION("if(REGEXMATCH(join("", "",$F68:$G68),J$1)=TRUE,""✓"",""✗"")"),"✗")</f>
        <v>✗</v>
      </c>
      <c r="K68" s="23" t="str">
        <f>IFERROR(__xludf.DUMMYFUNCTION("if(REGEXMATCH(join("", "",$F68:$G68),K$1)=TRUE,""✓"",""✗"")"),"✗")</f>
        <v>✗</v>
      </c>
      <c r="L68" s="23" t="str">
        <f>IFERROR(__xludf.DUMMYFUNCTION("if(REGEXMATCH(join("", "",$F68:$G68),L$1)=TRUE,""✓"",""✗"")"),"✗")</f>
        <v>✗</v>
      </c>
      <c r="M68" s="23" t="str">
        <f>IFERROR(__xludf.DUMMYFUNCTION("if(REGEXMATCH(join("", "",$F68:$G68),M$1)=TRUE,""✓"",""✗"")"),"✗")</f>
        <v>✗</v>
      </c>
      <c r="N68" s="23" t="str">
        <f>IFERROR(__xludf.DUMMYFUNCTION("if(REGEXMATCH(join("", "",$F68:$G68),N$1)=TRUE,""✓"",""✗"")"),"✓")</f>
        <v>✓</v>
      </c>
      <c r="O68" s="23" t="str">
        <f>IFERROR(__xludf.DUMMYFUNCTION("if(REGEXMATCH(join("", "",$F68:$G68),O$1)=TRUE,""✓"",""✗"")"),"✗")</f>
        <v>✗</v>
      </c>
      <c r="P68" s="23" t="str">
        <f>IFERROR(__xludf.DUMMYFUNCTION("if(REGEXMATCH(join("", "",$F68:$G68),P$1)=TRUE,""✓"",""✗"")"),"✗")</f>
        <v>✗</v>
      </c>
      <c r="Q68" s="23" t="str">
        <f>IFERROR(__xludf.DUMMYFUNCTION("if(REGEXMATCH(join("", "",$F68:$G68),Q$1)=TRUE,""✓"",""✗"")"),"✓")</f>
        <v>✓</v>
      </c>
      <c r="R68" s="23" t="str">
        <f>IFERROR(__xludf.DUMMYFUNCTION("if(REGEXMATCH(join("", "",$F68:$G68),R$1)=TRUE,""✓"",""✗"")"),"✓")</f>
        <v>✓</v>
      </c>
      <c r="S68" s="23" t="str">
        <f>IFERROR(__xludf.DUMMYFUNCTION("if(REGEXMATCH(join("", "",$F68:$G68),S$1)=TRUE,""✓"",""✗"")"),"✓")</f>
        <v>✓</v>
      </c>
      <c r="T68" s="23" t="str">
        <f>IFERROR(__xludf.DUMMYFUNCTION("if(REGEXMATCH(join("", "",$F68:$G68),T$1)=TRUE,""✓"",""✗"")"),"✓")</f>
        <v>✓</v>
      </c>
      <c r="U68" s="33"/>
      <c r="V68" s="33"/>
      <c r="W68" s="33"/>
      <c r="X68" s="33"/>
      <c r="Y68" s="33"/>
      <c r="Z68" s="33"/>
      <c r="AA68" s="33"/>
      <c r="AB68" s="33"/>
      <c r="AC68" s="33"/>
    </row>
    <row r="69">
      <c r="A69" s="20">
        <v>68.0</v>
      </c>
      <c r="B69" s="21"/>
      <c r="C69" s="16" t="str">
        <f t="shared" si="9"/>
        <v>Moraiti (2010)</v>
      </c>
      <c r="D69" s="30" t="s">
        <v>504</v>
      </c>
      <c r="E69" s="15" t="s">
        <v>32</v>
      </c>
      <c r="F69" s="15" t="s">
        <v>33</v>
      </c>
      <c r="G69" s="37" t="s">
        <v>165</v>
      </c>
      <c r="H69" s="23" t="str">
        <f>IFERROR(__xludf.DUMMYFUNCTION("if(REGEXMATCH(join("", "",$F69:$G69),H$1)=TRUE,""✓"",""✗"")"),"✓")</f>
        <v>✓</v>
      </c>
      <c r="I69" s="23" t="str">
        <f>IFERROR(__xludf.DUMMYFUNCTION("if(REGEXMATCH(join("", "",$F69:$G69),I$1)=TRUE,""✓"",""✗"")"),"✓")</f>
        <v>✓</v>
      </c>
      <c r="J69" s="23" t="str">
        <f>IFERROR(__xludf.DUMMYFUNCTION("if(REGEXMATCH(join("", "",$F69:$G69),J$1)=TRUE,""✓"",""✗"")"),"✗")</f>
        <v>✗</v>
      </c>
      <c r="K69" s="23" t="str">
        <f>IFERROR(__xludf.DUMMYFUNCTION("if(REGEXMATCH(join("", "",$F69:$G69),K$1)=TRUE,""✓"",""✗"")"),"✗")</f>
        <v>✗</v>
      </c>
      <c r="L69" s="23" t="str">
        <f>IFERROR(__xludf.DUMMYFUNCTION("if(REGEXMATCH(join("", "",$F69:$G69),L$1)=TRUE,""✓"",""✗"")"),"✗")</f>
        <v>✗</v>
      </c>
      <c r="M69" s="23" t="str">
        <f>IFERROR(__xludf.DUMMYFUNCTION("if(REGEXMATCH(join("", "",$F69:$G69),M$1)=TRUE,""✓"",""✗"")"),"✗")</f>
        <v>✗</v>
      </c>
      <c r="N69" s="23" t="str">
        <f>IFERROR(__xludf.DUMMYFUNCTION("if(REGEXMATCH(join("", "",$F69:$G69),N$1)=TRUE,""✓"",""✗"")"),"✓")</f>
        <v>✓</v>
      </c>
      <c r="O69" s="23" t="str">
        <f>IFERROR(__xludf.DUMMYFUNCTION("if(REGEXMATCH(join("", "",$F69:$G69),O$1)=TRUE,""✓"",""✗"")"),"✓")</f>
        <v>✓</v>
      </c>
      <c r="P69" s="23" t="str">
        <f>IFERROR(__xludf.DUMMYFUNCTION("if(REGEXMATCH(join("", "",$F69:$G69),P$1)=TRUE,""✓"",""✗"")"),"✓")</f>
        <v>✓</v>
      </c>
      <c r="Q69" s="23" t="str">
        <f>IFERROR(__xludf.DUMMYFUNCTION("if(REGEXMATCH(join("", "",$F69:$G69),Q$1)=TRUE,""✓"",""✗"")"),"✓")</f>
        <v>✓</v>
      </c>
      <c r="R69" s="23" t="str">
        <f>IFERROR(__xludf.DUMMYFUNCTION("if(REGEXMATCH(join("", "",$F69:$G69),R$1)=TRUE,""✓"",""✗"")"),"✗")</f>
        <v>✗</v>
      </c>
      <c r="S69" s="23" t="str">
        <f>IFERROR(__xludf.DUMMYFUNCTION("if(REGEXMATCH(join("", "",$F69:$G69),S$1)=TRUE,""✓"",""✗"")"),"✓")</f>
        <v>✓</v>
      </c>
      <c r="T69" s="23" t="str">
        <f>IFERROR(__xludf.DUMMYFUNCTION("if(REGEXMATCH(join("", "",$F69:$G69),T$1)=TRUE,""✓"",""✗"")"),"✓")</f>
        <v>✓</v>
      </c>
      <c r="U69" s="33"/>
      <c r="V69" s="33"/>
      <c r="W69" s="33"/>
      <c r="X69" s="33"/>
      <c r="Y69" s="33"/>
      <c r="Z69" s="33"/>
      <c r="AA69" s="33"/>
      <c r="AB69" s="33"/>
      <c r="AC69" s="33"/>
    </row>
    <row r="70" hidden="1">
      <c r="A70" s="20">
        <v>69.0</v>
      </c>
      <c r="B70" s="21"/>
      <c r="C70" s="15"/>
      <c r="D70" s="30" t="s">
        <v>505</v>
      </c>
      <c r="E70" s="15" t="s">
        <v>102</v>
      </c>
      <c r="F70" s="15"/>
      <c r="G70" s="15" t="s">
        <v>230</v>
      </c>
      <c r="H70" s="23" t="str">
        <f>IFERROR(__xludf.DUMMYFUNCTION("if(REGEXMATCH(join("", "",$F70:$G70),H$1)=TRUE,""✓"",""✗"")"),"✗")</f>
        <v>✗</v>
      </c>
      <c r="I70" s="23" t="str">
        <f>IFERROR(__xludf.DUMMYFUNCTION("if(REGEXMATCH(join("", "",$F70:$G70),I$1)=TRUE,""✓"",""✗"")"),"✗")</f>
        <v>✗</v>
      </c>
      <c r="J70" s="23" t="str">
        <f>IFERROR(__xludf.DUMMYFUNCTION("if(REGEXMATCH(join("", "",$F70:$G70),J$1)=TRUE,""✓"",""✗"")"),"✗")</f>
        <v>✗</v>
      </c>
      <c r="K70" s="23" t="str">
        <f>IFERROR(__xludf.DUMMYFUNCTION("if(REGEXMATCH(join("", "",$F70:$G70),K$1)=TRUE,""✓"",""✗"")"),"✗")</f>
        <v>✗</v>
      </c>
      <c r="L70" s="23" t="str">
        <f>IFERROR(__xludf.DUMMYFUNCTION("if(REGEXMATCH(join("", "",$F70:$G70),L$1)=TRUE,""✓"",""✗"")"),"✗")</f>
        <v>✗</v>
      </c>
      <c r="M70" s="23" t="str">
        <f>IFERROR(__xludf.DUMMYFUNCTION("if(REGEXMATCH(join("", "",$F70:$G70),M$1)=TRUE,""✓"",""✗"")"),"✗")</f>
        <v>✗</v>
      </c>
      <c r="N70" s="23" t="str">
        <f>IFERROR(__xludf.DUMMYFUNCTION("if(REGEXMATCH(join("", "",$F70:$G70),N$1)=TRUE,""✓"",""✗"")"),"✗")</f>
        <v>✗</v>
      </c>
      <c r="O70" s="23" t="str">
        <f>IFERROR(__xludf.DUMMYFUNCTION("if(REGEXMATCH(join("", "",$F70:$G70),O$1)=TRUE,""✓"",""✗"")"),"✗")</f>
        <v>✗</v>
      </c>
      <c r="P70" s="23" t="str">
        <f>IFERROR(__xludf.DUMMYFUNCTION("if(REGEXMATCH(join("", "",$F70:$G70),P$1)=TRUE,""✓"",""✗"")"),"✗")</f>
        <v>✗</v>
      </c>
      <c r="Q70" s="23" t="str">
        <f>IFERROR(__xludf.DUMMYFUNCTION("if(REGEXMATCH(join("", "",$F70:$G70),Q$1)=TRUE,""✓"",""✗"")"),"✗")</f>
        <v>✗</v>
      </c>
      <c r="R70" s="23" t="str">
        <f>IFERROR(__xludf.DUMMYFUNCTION("if(REGEXMATCH(join("", "",$F70:$G70),R$1)=TRUE,""✓"",""✗"")"),"✗")</f>
        <v>✗</v>
      </c>
      <c r="S70" s="23" t="str">
        <f>IFERROR(__xludf.DUMMYFUNCTION("if(REGEXMATCH(join("", "",$F70:$G70),S$1)=TRUE,""✓"",""✗"")"),"✗")</f>
        <v>✗</v>
      </c>
      <c r="T70" s="23" t="str">
        <f>IFERROR(__xludf.DUMMYFUNCTION("if(REGEXMATCH(join("", "",$F70:$G70),T$1)=TRUE,""✓"",""✗"")"),"✗")</f>
        <v>✗</v>
      </c>
      <c r="U70" s="33"/>
      <c r="V70" s="33"/>
      <c r="W70" s="33"/>
      <c r="X70" s="33"/>
      <c r="Y70" s="33"/>
      <c r="Z70" s="33"/>
      <c r="AA70" s="33"/>
      <c r="AB70" s="33"/>
      <c r="AC70" s="33"/>
    </row>
    <row r="71">
      <c r="A71" s="20">
        <v>70.0</v>
      </c>
      <c r="B71" s="21"/>
      <c r="C71" s="16" t="str">
        <f>hyperlink("https://github.com/d-wkim/phd/blob/main/data/pdf/"&amp;D71&amp;".pdf",PROPER(SUBSTITUTE(D71,"_"," (")&amp;")"))</f>
        <v>Noh (2011)</v>
      </c>
      <c r="D71" s="30" t="s">
        <v>506</v>
      </c>
      <c r="E71" s="15" t="s">
        <v>32</v>
      </c>
      <c r="F71" s="37" t="s">
        <v>395</v>
      </c>
      <c r="G71" s="37" t="s">
        <v>167</v>
      </c>
      <c r="H71" s="23" t="str">
        <f>IFERROR(__xludf.DUMMYFUNCTION("if(REGEXMATCH(join("", "",$F71:$G71),H$1)=TRUE,""✓"",""✗"")"),"✗")</f>
        <v>✗</v>
      </c>
      <c r="I71" s="23" t="str">
        <f>IFERROR(__xludf.DUMMYFUNCTION("if(REGEXMATCH(join("", "",$F71:$G71),I$1)=TRUE,""✓"",""✗"")"),"✓")</f>
        <v>✓</v>
      </c>
      <c r="J71" s="23" t="str">
        <f>IFERROR(__xludf.DUMMYFUNCTION("if(REGEXMATCH(join("", "",$F71:$G71),J$1)=TRUE,""✓"",""✗"")"),"✗")</f>
        <v>✗</v>
      </c>
      <c r="K71" s="23" t="str">
        <f>IFERROR(__xludf.DUMMYFUNCTION("if(REGEXMATCH(join("", "",$F71:$G71),K$1)=TRUE,""✓"",""✗"")"),"✗")</f>
        <v>✗</v>
      </c>
      <c r="L71" s="23" t="str">
        <f>IFERROR(__xludf.DUMMYFUNCTION("if(REGEXMATCH(join("", "",$F71:$G71),L$1)=TRUE,""✓"",""✗"")"),"✓")</f>
        <v>✓</v>
      </c>
      <c r="M71" s="23" t="str">
        <f>IFERROR(__xludf.DUMMYFUNCTION("if(REGEXMATCH(join("", "",$F71:$G71),M$1)=TRUE,""✓"",""✗"")"),"✗")</f>
        <v>✗</v>
      </c>
      <c r="N71" s="23" t="str">
        <f>IFERROR(__xludf.DUMMYFUNCTION("if(REGEXMATCH(join("", "",$F71:$G71),N$1)=TRUE,""✓"",""✗"")"),"✓")</f>
        <v>✓</v>
      </c>
      <c r="O71" s="23" t="str">
        <f>IFERROR(__xludf.DUMMYFUNCTION("if(REGEXMATCH(join("", "",$F71:$G71),O$1)=TRUE,""✓"",""✗"")"),"✓")</f>
        <v>✓</v>
      </c>
      <c r="P71" s="23" t="str">
        <f>IFERROR(__xludf.DUMMYFUNCTION("if(REGEXMATCH(join("", "",$F71:$G71),P$1)=TRUE,""✓"",""✗"")"),"✓")</f>
        <v>✓</v>
      </c>
      <c r="Q71" s="23" t="str">
        <f>IFERROR(__xludf.DUMMYFUNCTION("if(REGEXMATCH(join("", "",$F71:$G71),Q$1)=TRUE,""✓"",""✗"")"),"✓")</f>
        <v>✓</v>
      </c>
      <c r="R71" s="23" t="str">
        <f>IFERROR(__xludf.DUMMYFUNCTION("if(REGEXMATCH(join("", "",$F71:$G71),R$1)=TRUE,""✓"",""✗"")"),"✓")</f>
        <v>✓</v>
      </c>
      <c r="S71" s="23" t="str">
        <f>IFERROR(__xludf.DUMMYFUNCTION("if(REGEXMATCH(join("", "",$F71:$G71),S$1)=TRUE,""✓"",""✗"")"),"✓")</f>
        <v>✓</v>
      </c>
      <c r="T71" s="23" t="str">
        <f>IFERROR(__xludf.DUMMYFUNCTION("if(REGEXMATCH(join("", "",$F71:$G71),T$1)=TRUE,""✓"",""✗"")"),"✓")</f>
        <v>✓</v>
      </c>
      <c r="U71" s="33"/>
      <c r="V71" s="33"/>
      <c r="W71" s="33"/>
      <c r="X71" s="33"/>
      <c r="Y71" s="33"/>
      <c r="Z71" s="33"/>
      <c r="AA71" s="33"/>
      <c r="AB71" s="33"/>
      <c r="AC71" s="33"/>
    </row>
    <row r="72" hidden="1">
      <c r="A72" s="20">
        <v>71.0</v>
      </c>
      <c r="B72" s="21"/>
      <c r="C72" s="15"/>
      <c r="D72" s="30" t="s">
        <v>508</v>
      </c>
      <c r="E72" s="15" t="s">
        <v>102</v>
      </c>
      <c r="F72" s="37"/>
      <c r="G72" s="15" t="s">
        <v>230</v>
      </c>
      <c r="H72" s="23" t="str">
        <f>IFERROR(__xludf.DUMMYFUNCTION("if(REGEXMATCH(join("", "",$F72:$G72),H$1)=TRUE,""✓"",""✗"")"),"✗")</f>
        <v>✗</v>
      </c>
      <c r="I72" s="23" t="str">
        <f>IFERROR(__xludf.DUMMYFUNCTION("if(REGEXMATCH(join("", "",$F72:$G72),I$1)=TRUE,""✓"",""✗"")"),"✗")</f>
        <v>✗</v>
      </c>
      <c r="J72" s="23" t="str">
        <f>IFERROR(__xludf.DUMMYFUNCTION("if(REGEXMATCH(join("", "",$F72:$G72),J$1)=TRUE,""✓"",""✗"")"),"✗")</f>
        <v>✗</v>
      </c>
      <c r="K72" s="23" t="str">
        <f>IFERROR(__xludf.DUMMYFUNCTION("if(REGEXMATCH(join("", "",$F72:$G72),K$1)=TRUE,""✓"",""✗"")"),"✗")</f>
        <v>✗</v>
      </c>
      <c r="L72" s="23" t="str">
        <f>IFERROR(__xludf.DUMMYFUNCTION("if(REGEXMATCH(join("", "",$F72:$G72),L$1)=TRUE,""✓"",""✗"")"),"✗")</f>
        <v>✗</v>
      </c>
      <c r="M72" s="23" t="str">
        <f>IFERROR(__xludf.DUMMYFUNCTION("if(REGEXMATCH(join("", "",$F72:$G72),M$1)=TRUE,""✓"",""✗"")"),"✗")</f>
        <v>✗</v>
      </c>
      <c r="N72" s="23" t="str">
        <f>IFERROR(__xludf.DUMMYFUNCTION("if(REGEXMATCH(join("", "",$F72:$G72),N$1)=TRUE,""✓"",""✗"")"),"✗")</f>
        <v>✗</v>
      </c>
      <c r="O72" s="23" t="str">
        <f>IFERROR(__xludf.DUMMYFUNCTION("if(REGEXMATCH(join("", "",$F72:$G72),O$1)=TRUE,""✓"",""✗"")"),"✗")</f>
        <v>✗</v>
      </c>
      <c r="P72" s="23" t="str">
        <f>IFERROR(__xludf.DUMMYFUNCTION("if(REGEXMATCH(join("", "",$F72:$G72),P$1)=TRUE,""✓"",""✗"")"),"✗")</f>
        <v>✗</v>
      </c>
      <c r="Q72" s="23" t="str">
        <f>IFERROR(__xludf.DUMMYFUNCTION("if(REGEXMATCH(join("", "",$F72:$G72),Q$1)=TRUE,""✓"",""✗"")"),"✗")</f>
        <v>✗</v>
      </c>
      <c r="R72" s="23" t="str">
        <f>IFERROR(__xludf.DUMMYFUNCTION("if(REGEXMATCH(join("", "",$F72:$G72),R$1)=TRUE,""✓"",""✗"")"),"✗")</f>
        <v>✗</v>
      </c>
      <c r="S72" s="23" t="str">
        <f>IFERROR(__xludf.DUMMYFUNCTION("if(REGEXMATCH(join("", "",$F72:$G72),S$1)=TRUE,""✓"",""✗"")"),"✗")</f>
        <v>✗</v>
      </c>
      <c r="T72" s="23" t="str">
        <f>IFERROR(__xludf.DUMMYFUNCTION("if(REGEXMATCH(join("", "",$F72:$G72),T$1)=TRUE,""✓"",""✗"")"),"✗")</f>
        <v>✗</v>
      </c>
      <c r="U72" s="33"/>
      <c r="V72" s="33"/>
      <c r="W72" s="33"/>
      <c r="X72" s="33"/>
      <c r="Y72" s="33"/>
      <c r="Z72" s="33"/>
      <c r="AA72" s="33"/>
      <c r="AB72" s="33"/>
      <c r="AC72" s="33"/>
    </row>
    <row r="73">
      <c r="A73" s="20">
        <v>72.0</v>
      </c>
      <c r="B73" s="21"/>
      <c r="C73" s="16" t="str">
        <f t="shared" ref="C73:C74" si="10">hyperlink("https://github.com/d-wkim/phd/blob/main/data/pdf/"&amp;D73&amp;".pdf",PROPER(SUBSTITUTE(D73,"_"," (")&amp;")"))</f>
        <v>Oneill (1996)</v>
      </c>
      <c r="D73" s="30" t="s">
        <v>511</v>
      </c>
      <c r="E73" s="15" t="s">
        <v>32</v>
      </c>
      <c r="F73" s="15" t="s">
        <v>33</v>
      </c>
      <c r="G73" s="37" t="s">
        <v>108</v>
      </c>
      <c r="H73" s="23" t="str">
        <f>IFERROR(__xludf.DUMMYFUNCTION("if(REGEXMATCH(join("", "",$F73:$G73),H$1)=TRUE,""✓"",""✗"")"),"✓")</f>
        <v>✓</v>
      </c>
      <c r="I73" s="23" t="str">
        <f>IFERROR(__xludf.DUMMYFUNCTION("if(REGEXMATCH(join("", "",$F73:$G73),I$1)=TRUE,""✓"",""✗"")"),"✓")</f>
        <v>✓</v>
      </c>
      <c r="J73" s="23" t="str">
        <f>IFERROR(__xludf.DUMMYFUNCTION("if(REGEXMATCH(join("", "",$F73:$G73),J$1)=TRUE,""✓"",""✗"")"),"✗")</f>
        <v>✗</v>
      </c>
      <c r="K73" s="23" t="str">
        <f>IFERROR(__xludf.DUMMYFUNCTION("if(REGEXMATCH(join("", "",$F73:$G73),K$1)=TRUE,""✓"",""✗"")"),"✗")</f>
        <v>✗</v>
      </c>
      <c r="L73" s="23" t="str">
        <f>IFERROR(__xludf.DUMMYFUNCTION("if(REGEXMATCH(join("", "",$F73:$G73),L$1)=TRUE,""✓"",""✗"")"),"✗")</f>
        <v>✗</v>
      </c>
      <c r="M73" s="23" t="str">
        <f>IFERROR(__xludf.DUMMYFUNCTION("if(REGEXMATCH(join("", "",$F73:$G73),M$1)=TRUE,""✓"",""✗"")"),"✗")</f>
        <v>✗</v>
      </c>
      <c r="N73" s="23" t="str">
        <f>IFERROR(__xludf.DUMMYFUNCTION("if(REGEXMATCH(join("", "",$F73:$G73),N$1)=TRUE,""✓"",""✗"")"),"✓")</f>
        <v>✓</v>
      </c>
      <c r="O73" s="23" t="str">
        <f>IFERROR(__xludf.DUMMYFUNCTION("if(REGEXMATCH(join("", "",$F73:$G73),O$1)=TRUE,""✓"",""✗"")"),"✓")</f>
        <v>✓</v>
      </c>
      <c r="P73" s="23" t="str">
        <f>IFERROR(__xludf.DUMMYFUNCTION("if(REGEXMATCH(join("", "",$F73:$G73),P$1)=TRUE,""✓"",""✗"")"),"✗")</f>
        <v>✗</v>
      </c>
      <c r="Q73" s="23" t="str">
        <f>IFERROR(__xludf.DUMMYFUNCTION("if(REGEXMATCH(join("", "",$F73:$G73),Q$1)=TRUE,""✓"",""✗"")"),"✓")</f>
        <v>✓</v>
      </c>
      <c r="R73" s="23" t="str">
        <f>IFERROR(__xludf.DUMMYFUNCTION("if(REGEXMATCH(join("", "",$F73:$G73),R$1)=TRUE,""✓"",""✗"")"),"✗")</f>
        <v>✗</v>
      </c>
      <c r="S73" s="23" t="str">
        <f>IFERROR(__xludf.DUMMYFUNCTION("if(REGEXMATCH(join("", "",$F73:$G73),S$1)=TRUE,""✓"",""✗"")"),"✗")</f>
        <v>✗</v>
      </c>
      <c r="T73" s="23" t="str">
        <f>IFERROR(__xludf.DUMMYFUNCTION("if(REGEXMATCH(join("", "",$F73:$G73),T$1)=TRUE,""✓"",""✗"")"),"✗")</f>
        <v>✗</v>
      </c>
      <c r="U73" s="33"/>
      <c r="V73" s="33"/>
      <c r="W73" s="33"/>
      <c r="X73" s="33"/>
      <c r="Y73" s="33"/>
      <c r="Z73" s="33"/>
      <c r="AA73" s="33"/>
      <c r="AB73" s="33"/>
      <c r="AC73" s="33"/>
    </row>
    <row r="74">
      <c r="A74" s="20">
        <v>73.0</v>
      </c>
      <c r="B74" s="21"/>
      <c r="C74" s="16" t="str">
        <f t="shared" si="10"/>
        <v>Papalia (2015)</v>
      </c>
      <c r="D74" s="30" t="s">
        <v>513</v>
      </c>
      <c r="E74" s="15" t="s">
        <v>32</v>
      </c>
      <c r="F74" s="15" t="s">
        <v>33</v>
      </c>
      <c r="G74" s="37" t="s">
        <v>120</v>
      </c>
      <c r="H74" s="23" t="str">
        <f>IFERROR(__xludf.DUMMYFUNCTION("if(REGEXMATCH(join("", "",$F74:$G74),H$1)=TRUE,""✓"",""✗"")"),"✓")</f>
        <v>✓</v>
      </c>
      <c r="I74" s="23" t="str">
        <f>IFERROR(__xludf.DUMMYFUNCTION("if(REGEXMATCH(join("", "",$F74:$G74),I$1)=TRUE,""✓"",""✗"")"),"✓")</f>
        <v>✓</v>
      </c>
      <c r="J74" s="23" t="str">
        <f>IFERROR(__xludf.DUMMYFUNCTION("if(REGEXMATCH(join("", "",$F74:$G74),J$1)=TRUE,""✓"",""✗"")"),"✗")</f>
        <v>✗</v>
      </c>
      <c r="K74" s="23" t="str">
        <f>IFERROR(__xludf.DUMMYFUNCTION("if(REGEXMATCH(join("", "",$F74:$G74),K$1)=TRUE,""✓"",""✗"")"),"✗")</f>
        <v>✗</v>
      </c>
      <c r="L74" s="23" t="str">
        <f>IFERROR(__xludf.DUMMYFUNCTION("if(REGEXMATCH(join("", "",$F74:$G74),L$1)=TRUE,""✓"",""✗"")"),"✗")</f>
        <v>✗</v>
      </c>
      <c r="M74" s="23" t="str">
        <f>IFERROR(__xludf.DUMMYFUNCTION("if(REGEXMATCH(join("", "",$F74:$G74),M$1)=TRUE,""✓"",""✗"")"),"✗")</f>
        <v>✗</v>
      </c>
      <c r="N74" s="23" t="str">
        <f>IFERROR(__xludf.DUMMYFUNCTION("if(REGEXMATCH(join("", "",$F74:$G74),N$1)=TRUE,""✓"",""✗"")"),"✓")</f>
        <v>✓</v>
      </c>
      <c r="O74" s="23" t="str">
        <f>IFERROR(__xludf.DUMMYFUNCTION("if(REGEXMATCH(join("", "",$F74:$G74),O$1)=TRUE,""✓"",""✗"")"),"✓")</f>
        <v>✓</v>
      </c>
      <c r="P74" s="23" t="str">
        <f>IFERROR(__xludf.DUMMYFUNCTION("if(REGEXMATCH(join("", "",$F74:$G74),P$1)=TRUE,""✓"",""✗"")"),"✗")</f>
        <v>✗</v>
      </c>
      <c r="Q74" s="23" t="str">
        <f>IFERROR(__xludf.DUMMYFUNCTION("if(REGEXMATCH(join("", "",$F74:$G74),Q$1)=TRUE,""✓"",""✗"")"),"✗")</f>
        <v>✗</v>
      </c>
      <c r="R74" s="23" t="str">
        <f>IFERROR(__xludf.DUMMYFUNCTION("if(REGEXMATCH(join("", "",$F74:$G74),R$1)=TRUE,""✓"",""✗"")"),"✗")</f>
        <v>✗</v>
      </c>
      <c r="S74" s="23" t="str">
        <f>IFERROR(__xludf.DUMMYFUNCTION("if(REGEXMATCH(join("", "",$F74:$G74),S$1)=TRUE,""✓"",""✗"")"),"✗")</f>
        <v>✗</v>
      </c>
      <c r="T74" s="23" t="str">
        <f>IFERROR(__xludf.DUMMYFUNCTION("if(REGEXMATCH(join("", "",$F74:$G74),T$1)=TRUE,""✓"",""✗"")"),"✗")</f>
        <v>✗</v>
      </c>
      <c r="U74" s="33"/>
      <c r="V74" s="33"/>
      <c r="W74" s="33"/>
      <c r="X74" s="33"/>
      <c r="Y74" s="33"/>
      <c r="Z74" s="33"/>
      <c r="AA74" s="33"/>
      <c r="AB74" s="33"/>
      <c r="AC74" s="33"/>
    </row>
    <row r="75" hidden="1">
      <c r="A75" s="20">
        <v>74.0</v>
      </c>
      <c r="B75" s="21"/>
      <c r="C75" s="15"/>
      <c r="D75" s="30" t="s">
        <v>514</v>
      </c>
      <c r="E75" s="15" t="s">
        <v>102</v>
      </c>
      <c r="F75" s="15"/>
      <c r="G75" s="15" t="s">
        <v>281</v>
      </c>
      <c r="H75" s="23" t="str">
        <f>IFERROR(__xludf.DUMMYFUNCTION("if(REGEXMATCH(join("", "",$F75:$G75),H$1)=TRUE,""✓"",""✗"")"),"✗")</f>
        <v>✗</v>
      </c>
      <c r="I75" s="23" t="str">
        <f>IFERROR(__xludf.DUMMYFUNCTION("if(REGEXMATCH(join("", "",$F75:$G75),I$1)=TRUE,""✓"",""✗"")"),"✗")</f>
        <v>✗</v>
      </c>
      <c r="J75" s="23" t="str">
        <f>IFERROR(__xludf.DUMMYFUNCTION("if(REGEXMATCH(join("", "",$F75:$G75),J$1)=TRUE,""✓"",""✗"")"),"✗")</f>
        <v>✗</v>
      </c>
      <c r="K75" s="23" t="str">
        <f>IFERROR(__xludf.DUMMYFUNCTION("if(REGEXMATCH(join("", "",$F75:$G75),K$1)=TRUE,""✓"",""✗"")"),"✗")</f>
        <v>✗</v>
      </c>
      <c r="L75" s="23" t="str">
        <f>IFERROR(__xludf.DUMMYFUNCTION("if(REGEXMATCH(join("", "",$F75:$G75),L$1)=TRUE,""✓"",""✗"")"),"✗")</f>
        <v>✗</v>
      </c>
      <c r="M75" s="23" t="str">
        <f>IFERROR(__xludf.DUMMYFUNCTION("if(REGEXMATCH(join("", "",$F75:$G75),M$1)=TRUE,""✓"",""✗"")"),"✗")</f>
        <v>✗</v>
      </c>
      <c r="N75" s="23" t="str">
        <f>IFERROR(__xludf.DUMMYFUNCTION("if(REGEXMATCH(join("", "",$F75:$G75),N$1)=TRUE,""✓"",""✗"")"),"✗")</f>
        <v>✗</v>
      </c>
      <c r="O75" s="23" t="str">
        <f>IFERROR(__xludf.DUMMYFUNCTION("if(REGEXMATCH(join("", "",$F75:$G75),O$1)=TRUE,""✓"",""✗"")"),"✗")</f>
        <v>✗</v>
      </c>
      <c r="P75" s="23" t="str">
        <f>IFERROR(__xludf.DUMMYFUNCTION("if(REGEXMATCH(join("", "",$F75:$G75),P$1)=TRUE,""✓"",""✗"")"),"✗")</f>
        <v>✗</v>
      </c>
      <c r="Q75" s="23" t="str">
        <f>IFERROR(__xludf.DUMMYFUNCTION("if(REGEXMATCH(join("", "",$F75:$G75),Q$1)=TRUE,""✓"",""✗"")"),"✗")</f>
        <v>✗</v>
      </c>
      <c r="R75" s="23" t="str">
        <f>IFERROR(__xludf.DUMMYFUNCTION("if(REGEXMATCH(join("", "",$F75:$G75),R$1)=TRUE,""✓"",""✗"")"),"✗")</f>
        <v>✗</v>
      </c>
      <c r="S75" s="23" t="str">
        <f>IFERROR(__xludf.DUMMYFUNCTION("if(REGEXMATCH(join("", "",$F75:$G75),S$1)=TRUE,""✓"",""✗"")"),"✗")</f>
        <v>✗</v>
      </c>
      <c r="T75" s="23" t="str">
        <f>IFERROR(__xludf.DUMMYFUNCTION("if(REGEXMATCH(join("", "",$F75:$G75),T$1)=TRUE,""✓"",""✗"")"),"✗")</f>
        <v>✗</v>
      </c>
      <c r="U75" s="33"/>
      <c r="V75" s="33"/>
      <c r="W75" s="33"/>
      <c r="X75" s="33"/>
      <c r="Y75" s="33"/>
      <c r="Z75" s="33"/>
      <c r="AA75" s="33"/>
      <c r="AB75" s="33"/>
      <c r="AC75" s="33"/>
    </row>
    <row r="76" hidden="1">
      <c r="A76" s="20">
        <v>75.0</v>
      </c>
      <c r="B76" s="21"/>
      <c r="C76" s="15"/>
      <c r="D76" s="30" t="s">
        <v>515</v>
      </c>
      <c r="E76" s="15" t="s">
        <v>102</v>
      </c>
      <c r="F76" s="37"/>
      <c r="G76" s="15" t="s">
        <v>230</v>
      </c>
      <c r="H76" s="23" t="str">
        <f>IFERROR(__xludf.DUMMYFUNCTION("if(REGEXMATCH(join("", "",$F76:$G76),H$1)=TRUE,""✓"",""✗"")"),"✗")</f>
        <v>✗</v>
      </c>
      <c r="I76" s="23" t="str">
        <f>IFERROR(__xludf.DUMMYFUNCTION("if(REGEXMATCH(join("", "",$F76:$G76),I$1)=TRUE,""✓"",""✗"")"),"✗")</f>
        <v>✗</v>
      </c>
      <c r="J76" s="23" t="str">
        <f>IFERROR(__xludf.DUMMYFUNCTION("if(REGEXMATCH(join("", "",$F76:$G76),J$1)=TRUE,""✓"",""✗"")"),"✗")</f>
        <v>✗</v>
      </c>
      <c r="K76" s="23" t="str">
        <f>IFERROR(__xludf.DUMMYFUNCTION("if(REGEXMATCH(join("", "",$F76:$G76),K$1)=TRUE,""✓"",""✗"")"),"✗")</f>
        <v>✗</v>
      </c>
      <c r="L76" s="23" t="str">
        <f>IFERROR(__xludf.DUMMYFUNCTION("if(REGEXMATCH(join("", "",$F76:$G76),L$1)=TRUE,""✓"",""✗"")"),"✗")</f>
        <v>✗</v>
      </c>
      <c r="M76" s="23" t="str">
        <f>IFERROR(__xludf.DUMMYFUNCTION("if(REGEXMATCH(join("", "",$F76:$G76),M$1)=TRUE,""✓"",""✗"")"),"✗")</f>
        <v>✗</v>
      </c>
      <c r="N76" s="23" t="str">
        <f>IFERROR(__xludf.DUMMYFUNCTION("if(REGEXMATCH(join("", "",$F76:$G76),N$1)=TRUE,""✓"",""✗"")"),"✗")</f>
        <v>✗</v>
      </c>
      <c r="O76" s="23" t="str">
        <f>IFERROR(__xludf.DUMMYFUNCTION("if(REGEXMATCH(join("", "",$F76:$G76),O$1)=TRUE,""✓"",""✗"")"),"✗")</f>
        <v>✗</v>
      </c>
      <c r="P76" s="23" t="str">
        <f>IFERROR(__xludf.DUMMYFUNCTION("if(REGEXMATCH(join("", "",$F76:$G76),P$1)=TRUE,""✓"",""✗"")"),"✗")</f>
        <v>✗</v>
      </c>
      <c r="Q76" s="23" t="str">
        <f>IFERROR(__xludf.DUMMYFUNCTION("if(REGEXMATCH(join("", "",$F76:$G76),Q$1)=TRUE,""✓"",""✗"")"),"✗")</f>
        <v>✗</v>
      </c>
      <c r="R76" s="23" t="str">
        <f>IFERROR(__xludf.DUMMYFUNCTION("if(REGEXMATCH(join("", "",$F76:$G76),R$1)=TRUE,""✓"",""✗"")"),"✗")</f>
        <v>✗</v>
      </c>
      <c r="S76" s="23" t="str">
        <f>IFERROR(__xludf.DUMMYFUNCTION("if(REGEXMATCH(join("", "",$F76:$G76),S$1)=TRUE,""✓"",""✗"")"),"✗")</f>
        <v>✗</v>
      </c>
      <c r="T76" s="23" t="str">
        <f>IFERROR(__xludf.DUMMYFUNCTION("if(REGEXMATCH(join("", "",$F76:$G76),T$1)=TRUE,""✓"",""✗"")"),"✗")</f>
        <v>✗</v>
      </c>
      <c r="U76" s="33"/>
      <c r="V76" s="33"/>
      <c r="W76" s="33"/>
      <c r="X76" s="33"/>
      <c r="Y76" s="33"/>
      <c r="Z76" s="33"/>
      <c r="AA76" s="33"/>
      <c r="AB76" s="33"/>
      <c r="AC76" s="33"/>
    </row>
    <row r="77">
      <c r="A77" s="20">
        <v>76.0</v>
      </c>
      <c r="B77" s="21"/>
      <c r="C77" s="16" t="str">
        <f t="shared" ref="C77:C78" si="11">hyperlink("https://github.com/d-wkim/phd/blob/main/data/pdf/"&amp;D77&amp;".pdf",PROPER(SUBSTITUTE(D77,"_"," (")&amp;")"))</f>
        <v>Pinczewski (2007)</v>
      </c>
      <c r="D77" s="30" t="s">
        <v>517</v>
      </c>
      <c r="E77" s="15" t="s">
        <v>32</v>
      </c>
      <c r="F77" s="15" t="s">
        <v>33</v>
      </c>
      <c r="G77" s="37" t="s">
        <v>41</v>
      </c>
      <c r="H77" s="23" t="str">
        <f>IFERROR(__xludf.DUMMYFUNCTION("if(REGEXMATCH(join("", "",$F77:$G77),H$1)=TRUE,""✓"",""✗"")"),"✓")</f>
        <v>✓</v>
      </c>
      <c r="I77" s="23" t="str">
        <f>IFERROR(__xludf.DUMMYFUNCTION("if(REGEXMATCH(join("", "",$F77:$G77),I$1)=TRUE,""✓"",""✗"")"),"✓")</f>
        <v>✓</v>
      </c>
      <c r="J77" s="23" t="str">
        <f>IFERROR(__xludf.DUMMYFUNCTION("if(REGEXMATCH(join("", "",$F77:$G77),J$1)=TRUE,""✓"",""✗"")"),"✗")</f>
        <v>✗</v>
      </c>
      <c r="K77" s="23" t="str">
        <f>IFERROR(__xludf.DUMMYFUNCTION("if(REGEXMATCH(join("", "",$F77:$G77),K$1)=TRUE,""✓"",""✗"")"),"✗")</f>
        <v>✗</v>
      </c>
      <c r="L77" s="23" t="str">
        <f>IFERROR(__xludf.DUMMYFUNCTION("if(REGEXMATCH(join("", "",$F77:$G77),L$1)=TRUE,""✓"",""✗"")"),"✗")</f>
        <v>✗</v>
      </c>
      <c r="M77" s="23" t="str">
        <f>IFERROR(__xludf.DUMMYFUNCTION("if(REGEXMATCH(join("", "",$F77:$G77),M$1)=TRUE,""✓"",""✗"")"),"✗")</f>
        <v>✗</v>
      </c>
      <c r="N77" s="23" t="str">
        <f>IFERROR(__xludf.DUMMYFUNCTION("if(REGEXMATCH(join("", "",$F77:$G77),N$1)=TRUE,""✓"",""✗"")"),"✓")</f>
        <v>✓</v>
      </c>
      <c r="O77" s="23" t="str">
        <f>IFERROR(__xludf.DUMMYFUNCTION("if(REGEXMATCH(join("", "",$F77:$G77),O$1)=TRUE,""✓"",""✗"")"),"✓")</f>
        <v>✓</v>
      </c>
      <c r="P77" s="23" t="str">
        <f>IFERROR(__xludf.DUMMYFUNCTION("if(REGEXMATCH(join("", "",$F77:$G77),P$1)=TRUE,""✓"",""✗"")"),"✗")</f>
        <v>✗</v>
      </c>
      <c r="Q77" s="23" t="str">
        <f>IFERROR(__xludf.DUMMYFUNCTION("if(REGEXMATCH(join("", "",$F77:$G77),Q$1)=TRUE,""✓"",""✗"")"),"✓")</f>
        <v>✓</v>
      </c>
      <c r="R77" s="23" t="str">
        <f>IFERROR(__xludf.DUMMYFUNCTION("if(REGEXMATCH(join("", "",$F77:$G77),R$1)=TRUE,""✓"",""✗"")"),"✓")</f>
        <v>✓</v>
      </c>
      <c r="S77" s="23" t="str">
        <f>IFERROR(__xludf.DUMMYFUNCTION("if(REGEXMATCH(join("", "",$F77:$G77),S$1)=TRUE,""✓"",""✗"")"),"✓")</f>
        <v>✓</v>
      </c>
      <c r="T77" s="23" t="str">
        <f>IFERROR(__xludf.DUMMYFUNCTION("if(REGEXMATCH(join("", "",$F77:$G77),T$1)=TRUE,""✓"",""✗"")"),"✗")</f>
        <v>✗</v>
      </c>
      <c r="U77" s="33"/>
      <c r="V77" s="33"/>
      <c r="W77" s="33"/>
      <c r="X77" s="33"/>
      <c r="Y77" s="33"/>
      <c r="Z77" s="33"/>
      <c r="AA77" s="33"/>
      <c r="AB77" s="33"/>
      <c r="AC77" s="33"/>
    </row>
    <row r="78">
      <c r="A78" s="20">
        <v>77.0</v>
      </c>
      <c r="B78" s="21"/>
      <c r="C78" s="16" t="str">
        <f t="shared" si="11"/>
        <v>Popovic (2024)</v>
      </c>
      <c r="D78" s="30" t="s">
        <v>519</v>
      </c>
      <c r="E78" s="15" t="s">
        <v>32</v>
      </c>
      <c r="F78" s="15" t="s">
        <v>33</v>
      </c>
      <c r="G78" s="37" t="s">
        <v>177</v>
      </c>
      <c r="H78" s="23" t="str">
        <f>IFERROR(__xludf.DUMMYFUNCTION("if(REGEXMATCH(join("", "",$F78:$G78),H$1)=TRUE,""✓"",""✗"")"),"✓")</f>
        <v>✓</v>
      </c>
      <c r="I78" s="23" t="str">
        <f>IFERROR(__xludf.DUMMYFUNCTION("if(REGEXMATCH(join("", "",$F78:$G78),I$1)=TRUE,""✓"",""✗"")"),"✓")</f>
        <v>✓</v>
      </c>
      <c r="J78" s="23" t="str">
        <f>IFERROR(__xludf.DUMMYFUNCTION("if(REGEXMATCH(join("", "",$F78:$G78),J$1)=TRUE,""✓"",""✗"")"),"✗")</f>
        <v>✗</v>
      </c>
      <c r="K78" s="23" t="str">
        <f>IFERROR(__xludf.DUMMYFUNCTION("if(REGEXMATCH(join("", "",$F78:$G78),K$1)=TRUE,""✓"",""✗"")"),"✗")</f>
        <v>✗</v>
      </c>
      <c r="L78" s="23" t="str">
        <f>IFERROR(__xludf.DUMMYFUNCTION("if(REGEXMATCH(join("", "",$F78:$G78),L$1)=TRUE,""✓"",""✗"")"),"✗")</f>
        <v>✗</v>
      </c>
      <c r="M78" s="23" t="str">
        <f>IFERROR(__xludf.DUMMYFUNCTION("if(REGEXMATCH(join("", "",$F78:$G78),M$1)=TRUE,""✓"",""✗"")"),"✗")</f>
        <v>✗</v>
      </c>
      <c r="N78" s="23" t="str">
        <f>IFERROR(__xludf.DUMMYFUNCTION("if(REGEXMATCH(join("", "",$F78:$G78),N$1)=TRUE,""✓"",""✗"")"),"✗")</f>
        <v>✗</v>
      </c>
      <c r="O78" s="23" t="str">
        <f>IFERROR(__xludf.DUMMYFUNCTION("if(REGEXMATCH(join("", "",$F78:$G78),O$1)=TRUE,""✓"",""✗"")"),"✓")</f>
        <v>✓</v>
      </c>
      <c r="P78" s="23" t="str">
        <f>IFERROR(__xludf.DUMMYFUNCTION("if(REGEXMATCH(join("", "",$F78:$G78),P$1)=TRUE,""✓"",""✗"")"),"✓")</f>
        <v>✓</v>
      </c>
      <c r="Q78" s="23" t="str">
        <f>IFERROR(__xludf.DUMMYFUNCTION("if(REGEXMATCH(join("", "",$F78:$G78),Q$1)=TRUE,""✓"",""✗"")"),"✓")</f>
        <v>✓</v>
      </c>
      <c r="R78" s="23" t="str">
        <f>IFERROR(__xludf.DUMMYFUNCTION("if(REGEXMATCH(join("", "",$F78:$G78),R$1)=TRUE,""✓"",""✗"")"),"✓")</f>
        <v>✓</v>
      </c>
      <c r="S78" s="23" t="str">
        <f>IFERROR(__xludf.DUMMYFUNCTION("if(REGEXMATCH(join("", "",$F78:$G78),S$1)=TRUE,""✓"",""✗"")"),"✓")</f>
        <v>✓</v>
      </c>
      <c r="T78" s="23" t="str">
        <f>IFERROR(__xludf.DUMMYFUNCTION("if(REGEXMATCH(join("", "",$F78:$G78),T$1)=TRUE,""✓"",""✗"")"),"✗")</f>
        <v>✗</v>
      </c>
      <c r="U78" s="33"/>
      <c r="V78" s="33"/>
      <c r="W78" s="33"/>
      <c r="X78" s="33"/>
      <c r="Y78" s="33"/>
      <c r="Z78" s="33"/>
      <c r="AA78" s="33"/>
      <c r="AB78" s="33"/>
      <c r="AC78" s="33"/>
    </row>
    <row r="79" hidden="1">
      <c r="A79" s="20">
        <v>78.0</v>
      </c>
      <c r="B79" s="21"/>
      <c r="C79" s="15"/>
      <c r="D79" s="30" t="s">
        <v>520</v>
      </c>
      <c r="E79" s="15" t="s">
        <v>102</v>
      </c>
      <c r="F79" s="15"/>
      <c r="G79" s="15" t="s">
        <v>281</v>
      </c>
      <c r="H79" s="23" t="str">
        <f>IFERROR(__xludf.DUMMYFUNCTION("if(REGEXMATCH(join("", "",$F79:$G79),H$1)=TRUE,""✓"",""✗"")"),"✗")</f>
        <v>✗</v>
      </c>
      <c r="I79" s="23" t="str">
        <f>IFERROR(__xludf.DUMMYFUNCTION("if(REGEXMATCH(join("", "",$F79:$G79),I$1)=TRUE,""✓"",""✗"")"),"✗")</f>
        <v>✗</v>
      </c>
      <c r="J79" s="23" t="str">
        <f>IFERROR(__xludf.DUMMYFUNCTION("if(REGEXMATCH(join("", "",$F79:$G79),J$1)=TRUE,""✓"",""✗"")"),"✗")</f>
        <v>✗</v>
      </c>
      <c r="K79" s="23" t="str">
        <f>IFERROR(__xludf.DUMMYFUNCTION("if(REGEXMATCH(join("", "",$F79:$G79),K$1)=TRUE,""✓"",""✗"")"),"✗")</f>
        <v>✗</v>
      </c>
      <c r="L79" s="23" t="str">
        <f>IFERROR(__xludf.DUMMYFUNCTION("if(REGEXMATCH(join("", "",$F79:$G79),L$1)=TRUE,""✓"",""✗"")"),"✗")</f>
        <v>✗</v>
      </c>
      <c r="M79" s="23" t="str">
        <f>IFERROR(__xludf.DUMMYFUNCTION("if(REGEXMATCH(join("", "",$F79:$G79),M$1)=TRUE,""✓"",""✗"")"),"✗")</f>
        <v>✗</v>
      </c>
      <c r="N79" s="23" t="str">
        <f>IFERROR(__xludf.DUMMYFUNCTION("if(REGEXMATCH(join("", "",$F79:$G79),N$1)=TRUE,""✓"",""✗"")"),"✗")</f>
        <v>✗</v>
      </c>
      <c r="O79" s="23" t="str">
        <f>IFERROR(__xludf.DUMMYFUNCTION("if(REGEXMATCH(join("", "",$F79:$G79),O$1)=TRUE,""✓"",""✗"")"),"✗")</f>
        <v>✗</v>
      </c>
      <c r="P79" s="23" t="str">
        <f>IFERROR(__xludf.DUMMYFUNCTION("if(REGEXMATCH(join("", "",$F79:$G79),P$1)=TRUE,""✓"",""✗"")"),"✗")</f>
        <v>✗</v>
      </c>
      <c r="Q79" s="23" t="str">
        <f>IFERROR(__xludf.DUMMYFUNCTION("if(REGEXMATCH(join("", "",$F79:$G79),Q$1)=TRUE,""✓"",""✗"")"),"✗")</f>
        <v>✗</v>
      </c>
      <c r="R79" s="23" t="str">
        <f>IFERROR(__xludf.DUMMYFUNCTION("if(REGEXMATCH(join("", "",$F79:$G79),R$1)=TRUE,""✓"",""✗"")"),"✗")</f>
        <v>✗</v>
      </c>
      <c r="S79" s="23" t="str">
        <f>IFERROR(__xludf.DUMMYFUNCTION("if(REGEXMATCH(join("", "",$F79:$G79),S$1)=TRUE,""✓"",""✗"")"),"✗")</f>
        <v>✗</v>
      </c>
      <c r="T79" s="23" t="str">
        <f>IFERROR(__xludf.DUMMYFUNCTION("if(REGEXMATCH(join("", "",$F79:$G79),T$1)=TRUE,""✓"",""✗"")"),"✗")</f>
        <v>✗</v>
      </c>
      <c r="U79" s="33"/>
      <c r="V79" s="33"/>
      <c r="W79" s="33"/>
      <c r="X79" s="33"/>
      <c r="Y79" s="33"/>
      <c r="Z79" s="33"/>
      <c r="AA79" s="33"/>
      <c r="AB79" s="33"/>
      <c r="AC79" s="33"/>
    </row>
    <row r="80" hidden="1" outlineLevel="1">
      <c r="A80" s="20">
        <v>79.0</v>
      </c>
      <c r="B80" s="21"/>
      <c r="C80" s="15"/>
      <c r="D80" s="30" t="s">
        <v>521</v>
      </c>
      <c r="E80" s="15" t="s">
        <v>102</v>
      </c>
      <c r="F80" s="15"/>
      <c r="G80" s="15" t="s">
        <v>228</v>
      </c>
      <c r="H80" s="23" t="str">
        <f>IFERROR(__xludf.DUMMYFUNCTION("if(REGEXMATCH(join("", "",$F80:$G80),H$1)=TRUE,""✓"",""✗"")"),"✗")</f>
        <v>✗</v>
      </c>
      <c r="I80" s="23" t="str">
        <f>IFERROR(__xludf.DUMMYFUNCTION("if(REGEXMATCH(join("", "",$F80:$G80),I$1)=TRUE,""✓"",""✗"")"),"✗")</f>
        <v>✗</v>
      </c>
      <c r="J80" s="23" t="str">
        <f>IFERROR(__xludf.DUMMYFUNCTION("if(REGEXMATCH(join("", "",$F80:$G80),J$1)=TRUE,""✓"",""✗"")"),"✗")</f>
        <v>✗</v>
      </c>
      <c r="K80" s="23" t="str">
        <f>IFERROR(__xludf.DUMMYFUNCTION("if(REGEXMATCH(join("", "",$F80:$G80),K$1)=TRUE,""✓"",""✗"")"),"✗")</f>
        <v>✗</v>
      </c>
      <c r="L80" s="23" t="str">
        <f>IFERROR(__xludf.DUMMYFUNCTION("if(REGEXMATCH(join("", "",$F80:$G80),L$1)=TRUE,""✓"",""✗"")"),"✗")</f>
        <v>✗</v>
      </c>
      <c r="M80" s="23" t="str">
        <f>IFERROR(__xludf.DUMMYFUNCTION("if(REGEXMATCH(join("", "",$F80:$G80),M$1)=TRUE,""✓"",""✗"")"),"✗")</f>
        <v>✗</v>
      </c>
      <c r="N80" s="23" t="str">
        <f>IFERROR(__xludf.DUMMYFUNCTION("if(REGEXMATCH(join("", "",$F80:$G80),N$1)=TRUE,""✓"",""✗"")"),"✗")</f>
        <v>✗</v>
      </c>
      <c r="O80" s="23" t="str">
        <f>IFERROR(__xludf.DUMMYFUNCTION("if(REGEXMATCH(join("", "",$F80:$G80),O$1)=TRUE,""✓"",""✗"")"),"✗")</f>
        <v>✗</v>
      </c>
      <c r="P80" s="23" t="str">
        <f>IFERROR(__xludf.DUMMYFUNCTION("if(REGEXMATCH(join("", "",$F80:$G80),P$1)=TRUE,""✓"",""✗"")"),"✗")</f>
        <v>✗</v>
      </c>
      <c r="Q80" s="23" t="str">
        <f>IFERROR(__xludf.DUMMYFUNCTION("if(REGEXMATCH(join("", "",$F80:$G80),Q$1)=TRUE,""✓"",""✗"")"),"✗")</f>
        <v>✗</v>
      </c>
      <c r="R80" s="23" t="str">
        <f>IFERROR(__xludf.DUMMYFUNCTION("if(REGEXMATCH(join("", "",$F80:$G80),R$1)=TRUE,""✓"",""✗"")"),"✗")</f>
        <v>✗</v>
      </c>
      <c r="S80" s="23" t="str">
        <f>IFERROR(__xludf.DUMMYFUNCTION("if(REGEXMATCH(join("", "",$F80:$G80),S$1)=TRUE,""✓"",""✗"")"),"✗")</f>
        <v>✗</v>
      </c>
      <c r="T80" s="23" t="str">
        <f>IFERROR(__xludf.DUMMYFUNCTION("if(REGEXMATCH(join("", "",$F80:$G80),T$1)=TRUE,""✓"",""✗"")"),"✗")</f>
        <v>✗</v>
      </c>
      <c r="U80" s="33"/>
      <c r="V80" s="33"/>
      <c r="W80" s="33"/>
      <c r="X80" s="33"/>
      <c r="Y80" s="33"/>
      <c r="Z80" s="33"/>
      <c r="AA80" s="33"/>
      <c r="AB80" s="33"/>
      <c r="AC80" s="33"/>
    </row>
    <row r="81" hidden="1" outlineLevel="1">
      <c r="A81" s="20">
        <v>80.0</v>
      </c>
      <c r="B81" s="21"/>
      <c r="C81" s="15"/>
      <c r="D81" s="30" t="s">
        <v>523</v>
      </c>
      <c r="E81" s="15" t="s">
        <v>102</v>
      </c>
      <c r="F81" s="15"/>
      <c r="G81" s="15" t="s">
        <v>228</v>
      </c>
      <c r="H81" s="23" t="str">
        <f>IFERROR(__xludf.DUMMYFUNCTION("if(REGEXMATCH(join("", "",$F81:$G81),H$1)=TRUE,""✓"",""✗"")"),"✗")</f>
        <v>✗</v>
      </c>
      <c r="I81" s="23" t="str">
        <f>IFERROR(__xludf.DUMMYFUNCTION("if(REGEXMATCH(join("", "",$F81:$G81),I$1)=TRUE,""✓"",""✗"")"),"✗")</f>
        <v>✗</v>
      </c>
      <c r="J81" s="23" t="str">
        <f>IFERROR(__xludf.DUMMYFUNCTION("if(REGEXMATCH(join("", "",$F81:$G81),J$1)=TRUE,""✓"",""✗"")"),"✗")</f>
        <v>✗</v>
      </c>
      <c r="K81" s="23" t="str">
        <f>IFERROR(__xludf.DUMMYFUNCTION("if(REGEXMATCH(join("", "",$F81:$G81),K$1)=TRUE,""✓"",""✗"")"),"✗")</f>
        <v>✗</v>
      </c>
      <c r="L81" s="23" t="str">
        <f>IFERROR(__xludf.DUMMYFUNCTION("if(REGEXMATCH(join("", "",$F81:$G81),L$1)=TRUE,""✓"",""✗"")"),"✗")</f>
        <v>✗</v>
      </c>
      <c r="M81" s="23" t="str">
        <f>IFERROR(__xludf.DUMMYFUNCTION("if(REGEXMATCH(join("", "",$F81:$G81),M$1)=TRUE,""✓"",""✗"")"),"✗")</f>
        <v>✗</v>
      </c>
      <c r="N81" s="23" t="str">
        <f>IFERROR(__xludf.DUMMYFUNCTION("if(REGEXMATCH(join("", "",$F81:$G81),N$1)=TRUE,""✓"",""✗"")"),"✗")</f>
        <v>✗</v>
      </c>
      <c r="O81" s="23" t="str">
        <f>IFERROR(__xludf.DUMMYFUNCTION("if(REGEXMATCH(join("", "",$F81:$G81),O$1)=TRUE,""✓"",""✗"")"),"✗")</f>
        <v>✗</v>
      </c>
      <c r="P81" s="23" t="str">
        <f>IFERROR(__xludf.DUMMYFUNCTION("if(REGEXMATCH(join("", "",$F81:$G81),P$1)=TRUE,""✓"",""✗"")"),"✗")</f>
        <v>✗</v>
      </c>
      <c r="Q81" s="23" t="str">
        <f>IFERROR(__xludf.DUMMYFUNCTION("if(REGEXMATCH(join("", "",$F81:$G81),Q$1)=TRUE,""✓"",""✗"")"),"✗")</f>
        <v>✗</v>
      </c>
      <c r="R81" s="23" t="str">
        <f>IFERROR(__xludf.DUMMYFUNCTION("if(REGEXMATCH(join("", "",$F81:$G81),R$1)=TRUE,""✓"",""✗"")"),"✗")</f>
        <v>✗</v>
      </c>
      <c r="S81" s="23" t="str">
        <f>IFERROR(__xludf.DUMMYFUNCTION("if(REGEXMATCH(join("", "",$F81:$G81),S$1)=TRUE,""✓"",""✗"")"),"✗")</f>
        <v>✗</v>
      </c>
      <c r="T81" s="23" t="str">
        <f>IFERROR(__xludf.DUMMYFUNCTION("if(REGEXMATCH(join("", "",$F81:$G81),T$1)=TRUE,""✓"",""✗"")"),"✗")</f>
        <v>✗</v>
      </c>
      <c r="U81" s="33"/>
      <c r="V81" s="33"/>
      <c r="W81" s="33"/>
      <c r="X81" s="33"/>
      <c r="Y81" s="33"/>
      <c r="Z81" s="33"/>
      <c r="AA81" s="33"/>
      <c r="AB81" s="33"/>
      <c r="AC81" s="33"/>
    </row>
    <row r="82" hidden="1" outlineLevel="1">
      <c r="A82" s="20">
        <v>81.0</v>
      </c>
      <c r="B82" s="21"/>
      <c r="C82" s="15"/>
      <c r="D82" s="30" t="s">
        <v>525</v>
      </c>
      <c r="E82" s="15" t="s">
        <v>102</v>
      </c>
      <c r="F82" s="15"/>
      <c r="G82" s="15" t="s">
        <v>228</v>
      </c>
      <c r="H82" s="23" t="str">
        <f>IFERROR(__xludf.DUMMYFUNCTION("if(REGEXMATCH(join("", "",$F82:$G82),H$1)=TRUE,""✓"",""✗"")"),"✗")</f>
        <v>✗</v>
      </c>
      <c r="I82" s="23" t="str">
        <f>IFERROR(__xludf.DUMMYFUNCTION("if(REGEXMATCH(join("", "",$F82:$G82),I$1)=TRUE,""✓"",""✗"")"),"✗")</f>
        <v>✗</v>
      </c>
      <c r="J82" s="23" t="str">
        <f>IFERROR(__xludf.DUMMYFUNCTION("if(REGEXMATCH(join("", "",$F82:$G82),J$1)=TRUE,""✓"",""✗"")"),"✗")</f>
        <v>✗</v>
      </c>
      <c r="K82" s="23" t="str">
        <f>IFERROR(__xludf.DUMMYFUNCTION("if(REGEXMATCH(join("", "",$F82:$G82),K$1)=TRUE,""✓"",""✗"")"),"✗")</f>
        <v>✗</v>
      </c>
      <c r="L82" s="23" t="str">
        <f>IFERROR(__xludf.DUMMYFUNCTION("if(REGEXMATCH(join("", "",$F82:$G82),L$1)=TRUE,""✓"",""✗"")"),"✗")</f>
        <v>✗</v>
      </c>
      <c r="M82" s="23" t="str">
        <f>IFERROR(__xludf.DUMMYFUNCTION("if(REGEXMATCH(join("", "",$F82:$G82),M$1)=TRUE,""✓"",""✗"")"),"✗")</f>
        <v>✗</v>
      </c>
      <c r="N82" s="23" t="str">
        <f>IFERROR(__xludf.DUMMYFUNCTION("if(REGEXMATCH(join("", "",$F82:$G82),N$1)=TRUE,""✓"",""✗"")"),"✗")</f>
        <v>✗</v>
      </c>
      <c r="O82" s="23" t="str">
        <f>IFERROR(__xludf.DUMMYFUNCTION("if(REGEXMATCH(join("", "",$F82:$G82),O$1)=TRUE,""✓"",""✗"")"),"✗")</f>
        <v>✗</v>
      </c>
      <c r="P82" s="23" t="str">
        <f>IFERROR(__xludf.DUMMYFUNCTION("if(REGEXMATCH(join("", "",$F82:$G82),P$1)=TRUE,""✓"",""✗"")"),"✗")</f>
        <v>✗</v>
      </c>
      <c r="Q82" s="23" t="str">
        <f>IFERROR(__xludf.DUMMYFUNCTION("if(REGEXMATCH(join("", "",$F82:$G82),Q$1)=TRUE,""✓"",""✗"")"),"✗")</f>
        <v>✗</v>
      </c>
      <c r="R82" s="23" t="str">
        <f>IFERROR(__xludf.DUMMYFUNCTION("if(REGEXMATCH(join("", "",$F82:$G82),R$1)=TRUE,""✓"",""✗"")"),"✗")</f>
        <v>✗</v>
      </c>
      <c r="S82" s="23" t="str">
        <f>IFERROR(__xludf.DUMMYFUNCTION("if(REGEXMATCH(join("", "",$F82:$G82),S$1)=TRUE,""✓"",""✗"")"),"✗")</f>
        <v>✗</v>
      </c>
      <c r="T82" s="23" t="str">
        <f>IFERROR(__xludf.DUMMYFUNCTION("if(REGEXMATCH(join("", "",$F82:$G82),T$1)=TRUE,""✓"",""✗"")"),"✗")</f>
        <v>✗</v>
      </c>
      <c r="U82" s="33"/>
      <c r="V82" s="33"/>
      <c r="W82" s="33"/>
      <c r="X82" s="33"/>
      <c r="Y82" s="33"/>
      <c r="Z82" s="33"/>
      <c r="AA82" s="33"/>
      <c r="AB82" s="33"/>
      <c r="AC82" s="33"/>
    </row>
    <row r="83">
      <c r="A83" s="20">
        <v>82.0</v>
      </c>
      <c r="B83" s="21"/>
      <c r="C83" s="16" t="str">
        <f>hyperlink("https://github.com/d-wkim/phd/blob/main/data/pdf/"&amp;D83&amp;".pdf",PROPER(SUBSTITUTE(D83,"_"," (")&amp;")"))</f>
        <v>Sajovic (2018)</v>
      </c>
      <c r="D83" s="30" t="s">
        <v>526</v>
      </c>
      <c r="E83" s="15" t="s">
        <v>32</v>
      </c>
      <c r="F83" s="15" t="s">
        <v>33</v>
      </c>
      <c r="G83" s="37" t="s">
        <v>179</v>
      </c>
      <c r="H83" s="23" t="str">
        <f>IFERROR(__xludf.DUMMYFUNCTION("if(REGEXMATCH(join("", "",$F83:$G83),H$1)=TRUE,""✓"",""✗"")"),"✓")</f>
        <v>✓</v>
      </c>
      <c r="I83" s="23" t="str">
        <f>IFERROR(__xludf.DUMMYFUNCTION("if(REGEXMATCH(join("", "",$F83:$G83),I$1)=TRUE,""✓"",""✗"")"),"✓")</f>
        <v>✓</v>
      </c>
      <c r="J83" s="23" t="str">
        <f>IFERROR(__xludf.DUMMYFUNCTION("if(REGEXMATCH(join("", "",$F83:$G83),J$1)=TRUE,""✓"",""✗"")"),"✗")</f>
        <v>✗</v>
      </c>
      <c r="K83" s="23" t="str">
        <f>IFERROR(__xludf.DUMMYFUNCTION("if(REGEXMATCH(join("", "",$F83:$G83),K$1)=TRUE,""✓"",""✗"")"),"✗")</f>
        <v>✗</v>
      </c>
      <c r="L83" s="23" t="str">
        <f>IFERROR(__xludf.DUMMYFUNCTION("if(REGEXMATCH(join("", "",$F83:$G83),L$1)=TRUE,""✓"",""✗"")"),"✗")</f>
        <v>✗</v>
      </c>
      <c r="M83" s="23" t="str">
        <f>IFERROR(__xludf.DUMMYFUNCTION("if(REGEXMATCH(join("", "",$F83:$G83),M$1)=TRUE,""✓"",""✗"")"),"✗")</f>
        <v>✗</v>
      </c>
      <c r="N83" s="23" t="str">
        <f>IFERROR(__xludf.DUMMYFUNCTION("if(REGEXMATCH(join("", "",$F83:$G83),N$1)=TRUE,""✓"",""✗"")"),"✓")</f>
        <v>✓</v>
      </c>
      <c r="O83" s="23" t="str">
        <f>IFERROR(__xludf.DUMMYFUNCTION("if(REGEXMATCH(join("", "",$F83:$G83),O$1)=TRUE,""✓"",""✗"")"),"✓")</f>
        <v>✓</v>
      </c>
      <c r="P83" s="23" t="str">
        <f>IFERROR(__xludf.DUMMYFUNCTION("if(REGEXMATCH(join("", "",$F83:$G83),P$1)=TRUE,""✓"",""✗"")"),"✗")</f>
        <v>✗</v>
      </c>
      <c r="Q83" s="23" t="str">
        <f>IFERROR(__xludf.DUMMYFUNCTION("if(REGEXMATCH(join("", "",$F83:$G83),Q$1)=TRUE,""✓"",""✗"")"),"✓")</f>
        <v>✓</v>
      </c>
      <c r="R83" s="23" t="str">
        <f>IFERROR(__xludf.DUMMYFUNCTION("if(REGEXMATCH(join("", "",$F83:$G83),R$1)=TRUE,""✓"",""✗"")"),"✓")</f>
        <v>✓</v>
      </c>
      <c r="S83" s="23" t="str">
        <f>IFERROR(__xludf.DUMMYFUNCTION("if(REGEXMATCH(join("", "",$F83:$G83),S$1)=TRUE,""✓"",""✗"")"),"✓")</f>
        <v>✓</v>
      </c>
      <c r="T83" s="23" t="str">
        <f>IFERROR(__xludf.DUMMYFUNCTION("if(REGEXMATCH(join("", "",$F83:$G83),T$1)=TRUE,""✓"",""✗"")"),"✗")</f>
        <v>✗</v>
      </c>
      <c r="U83" s="33"/>
      <c r="V83" s="33"/>
      <c r="W83" s="33"/>
      <c r="X83" s="33"/>
      <c r="Y83" s="33"/>
      <c r="Z83" s="33"/>
      <c r="AA83" s="33"/>
      <c r="AB83" s="33"/>
      <c r="AC83" s="33"/>
    </row>
    <row r="84" hidden="1">
      <c r="A84" s="20">
        <v>83.0</v>
      </c>
      <c r="B84" s="21"/>
      <c r="C84" s="15"/>
      <c r="D84" s="30" t="s">
        <v>527</v>
      </c>
      <c r="E84" s="15" t="s">
        <v>102</v>
      </c>
      <c r="F84" s="15"/>
      <c r="G84" s="15" t="s">
        <v>230</v>
      </c>
      <c r="H84" s="23" t="str">
        <f>IFERROR(__xludf.DUMMYFUNCTION("if(REGEXMATCH(join("", "",$F84:$G84),H$1)=TRUE,""✓"",""✗"")"),"✗")</f>
        <v>✗</v>
      </c>
      <c r="I84" s="23" t="str">
        <f>IFERROR(__xludf.DUMMYFUNCTION("if(REGEXMATCH(join("", "",$F84:$G84),I$1)=TRUE,""✓"",""✗"")"),"✗")</f>
        <v>✗</v>
      </c>
      <c r="J84" s="23" t="str">
        <f>IFERROR(__xludf.DUMMYFUNCTION("if(REGEXMATCH(join("", "",$F84:$G84),J$1)=TRUE,""✓"",""✗"")"),"✗")</f>
        <v>✗</v>
      </c>
      <c r="K84" s="23" t="str">
        <f>IFERROR(__xludf.DUMMYFUNCTION("if(REGEXMATCH(join("", "",$F84:$G84),K$1)=TRUE,""✓"",""✗"")"),"✗")</f>
        <v>✗</v>
      </c>
      <c r="L84" s="23" t="str">
        <f>IFERROR(__xludf.DUMMYFUNCTION("if(REGEXMATCH(join("", "",$F84:$G84),L$1)=TRUE,""✓"",""✗"")"),"✗")</f>
        <v>✗</v>
      </c>
      <c r="M84" s="23" t="str">
        <f>IFERROR(__xludf.DUMMYFUNCTION("if(REGEXMATCH(join("", "",$F84:$G84),M$1)=TRUE,""✓"",""✗"")"),"✗")</f>
        <v>✗</v>
      </c>
      <c r="N84" s="23" t="str">
        <f>IFERROR(__xludf.DUMMYFUNCTION("if(REGEXMATCH(join("", "",$F84:$G84),N$1)=TRUE,""✓"",""✗"")"),"✗")</f>
        <v>✗</v>
      </c>
      <c r="O84" s="23" t="str">
        <f>IFERROR(__xludf.DUMMYFUNCTION("if(REGEXMATCH(join("", "",$F84:$G84),O$1)=TRUE,""✓"",""✗"")"),"✗")</f>
        <v>✗</v>
      </c>
      <c r="P84" s="23" t="str">
        <f>IFERROR(__xludf.DUMMYFUNCTION("if(REGEXMATCH(join("", "",$F84:$G84),P$1)=TRUE,""✓"",""✗"")"),"✗")</f>
        <v>✗</v>
      </c>
      <c r="Q84" s="23" t="str">
        <f>IFERROR(__xludf.DUMMYFUNCTION("if(REGEXMATCH(join("", "",$F84:$G84),Q$1)=TRUE,""✓"",""✗"")"),"✗")</f>
        <v>✗</v>
      </c>
      <c r="R84" s="23" t="str">
        <f>IFERROR(__xludf.DUMMYFUNCTION("if(REGEXMATCH(join("", "",$F84:$G84),R$1)=TRUE,""✓"",""✗"")"),"✗")</f>
        <v>✗</v>
      </c>
      <c r="S84" s="23" t="str">
        <f>IFERROR(__xludf.DUMMYFUNCTION("if(REGEXMATCH(join("", "",$F84:$G84),S$1)=TRUE,""✓"",""✗"")"),"✗")</f>
        <v>✗</v>
      </c>
      <c r="T84" s="23" t="str">
        <f>IFERROR(__xludf.DUMMYFUNCTION("if(REGEXMATCH(join("", "",$F84:$G84),T$1)=TRUE,""✓"",""✗"")"),"✗")</f>
        <v>✗</v>
      </c>
      <c r="U84" s="33"/>
      <c r="V84" s="33"/>
      <c r="W84" s="33"/>
      <c r="X84" s="33"/>
      <c r="Y84" s="33"/>
      <c r="Z84" s="33"/>
      <c r="AA84" s="33"/>
      <c r="AB84" s="33"/>
      <c r="AC84" s="33"/>
    </row>
    <row r="85">
      <c r="A85" s="20">
        <v>84.0</v>
      </c>
      <c r="B85" s="21"/>
      <c r="C85" s="16" t="str">
        <f t="shared" ref="C85:C88" si="12">hyperlink("https://github.com/d-wkim/phd/blob/main/data/pdf/"&amp;D85&amp;".pdf",PROPER(SUBSTITUTE(D85,"_"," (")&amp;")"))</f>
        <v>Sinding (2020)</v>
      </c>
      <c r="D85" s="30" t="s">
        <v>529</v>
      </c>
      <c r="E85" s="15" t="s">
        <v>32</v>
      </c>
      <c r="F85" s="37" t="s">
        <v>245</v>
      </c>
      <c r="G85" s="37" t="s">
        <v>14</v>
      </c>
      <c r="H85" s="23" t="str">
        <f>IFERROR(__xludf.DUMMYFUNCTION("if(REGEXMATCH(join("", "",$F85:$G85),H$1)=TRUE,""✓"",""✗"")"),"✗")</f>
        <v>✗</v>
      </c>
      <c r="I85" s="23" t="str">
        <f>IFERROR(__xludf.DUMMYFUNCTION("if(REGEXMATCH(join("", "",$F85:$G85),I$1)=TRUE,""✓"",""✗"")"),"✓")</f>
        <v>✓</v>
      </c>
      <c r="J85" s="23" t="str">
        <f>IFERROR(__xludf.DUMMYFUNCTION("if(REGEXMATCH(join("", "",$F85:$G85),J$1)=TRUE,""✓"",""✗"")"),"✓")</f>
        <v>✓</v>
      </c>
      <c r="K85" s="23" t="str">
        <f>IFERROR(__xludf.DUMMYFUNCTION("if(REGEXMATCH(join("", "",$F85:$G85),K$1)=TRUE,""✓"",""✗"")"),"✗")</f>
        <v>✗</v>
      </c>
      <c r="L85" s="23" t="str">
        <f>IFERROR(__xludf.DUMMYFUNCTION("if(REGEXMATCH(join("", "",$F85:$G85),L$1)=TRUE,""✓"",""✗"")"),"✗")</f>
        <v>✗</v>
      </c>
      <c r="M85" s="23" t="str">
        <f>IFERROR(__xludf.DUMMYFUNCTION("if(REGEXMATCH(join("", "",$F85:$G85),M$1)=TRUE,""✓"",""✗"")"),"✗")</f>
        <v>✗</v>
      </c>
      <c r="N85" s="23" t="str">
        <f>IFERROR(__xludf.DUMMYFUNCTION("if(REGEXMATCH(join("", "",$F85:$G85),N$1)=TRUE,""✓"",""✗"")"),"✓")</f>
        <v>✓</v>
      </c>
      <c r="O85" s="23" t="str">
        <f>IFERROR(__xludf.DUMMYFUNCTION("if(REGEXMATCH(join("", "",$F85:$G85),O$1)=TRUE,""✓"",""✗"")"),"✗")</f>
        <v>✗</v>
      </c>
      <c r="P85" s="23" t="str">
        <f>IFERROR(__xludf.DUMMYFUNCTION("if(REGEXMATCH(join("", "",$F85:$G85),P$1)=TRUE,""✓"",""✗"")"),"✗")</f>
        <v>✗</v>
      </c>
      <c r="Q85" s="23" t="str">
        <f>IFERROR(__xludf.DUMMYFUNCTION("if(REGEXMATCH(join("", "",$F85:$G85),Q$1)=TRUE,""✓"",""✗"")"),"✗")</f>
        <v>✗</v>
      </c>
      <c r="R85" s="23" t="str">
        <f>IFERROR(__xludf.DUMMYFUNCTION("if(REGEXMATCH(join("", "",$F85:$G85),R$1)=TRUE,""✓"",""✗"")"),"✗")</f>
        <v>✗</v>
      </c>
      <c r="S85" s="23" t="str">
        <f>IFERROR(__xludf.DUMMYFUNCTION("if(REGEXMATCH(join("", "",$F85:$G85),S$1)=TRUE,""✓"",""✗"")"),"✗")</f>
        <v>✗</v>
      </c>
      <c r="T85" s="23" t="str">
        <f>IFERROR(__xludf.DUMMYFUNCTION("if(REGEXMATCH(join("", "",$F85:$G85),T$1)=TRUE,""✓"",""✗"")"),"✗")</f>
        <v>✗</v>
      </c>
      <c r="U85" s="33"/>
      <c r="V85" s="33"/>
      <c r="W85" s="33"/>
      <c r="X85" s="33"/>
      <c r="Y85" s="33"/>
      <c r="Z85" s="33"/>
      <c r="AA85" s="33"/>
      <c r="AB85" s="33"/>
      <c r="AC85" s="33"/>
    </row>
    <row r="86">
      <c r="A86" s="20">
        <v>85.0</v>
      </c>
      <c r="B86" s="21"/>
      <c r="C86" s="16" t="str">
        <f t="shared" si="12"/>
        <v>Smith (2020)</v>
      </c>
      <c r="D86" s="30" t="s">
        <v>531</v>
      </c>
      <c r="E86" s="15" t="s">
        <v>32</v>
      </c>
      <c r="F86" s="37" t="s">
        <v>429</v>
      </c>
      <c r="G86" s="37" t="s">
        <v>182</v>
      </c>
      <c r="H86" s="23" t="str">
        <f>IFERROR(__xludf.DUMMYFUNCTION("if(REGEXMATCH(join("", "",$F86:$G86),H$1)=TRUE,""✓"",""✗"")"),"✓")</f>
        <v>✓</v>
      </c>
      <c r="I86" s="23" t="str">
        <f>IFERROR(__xludf.DUMMYFUNCTION("if(REGEXMATCH(join("", "",$F86:$G86),I$1)=TRUE,""✓"",""✗"")"),"✓")</f>
        <v>✓</v>
      </c>
      <c r="J86" s="23" t="str">
        <f>IFERROR(__xludf.DUMMYFUNCTION("if(REGEXMATCH(join("", "",$F86:$G86),J$1)=TRUE,""✓"",""✗"")"),"✓")</f>
        <v>✓</v>
      </c>
      <c r="K86" s="23" t="str">
        <f>IFERROR(__xludf.DUMMYFUNCTION("if(REGEXMATCH(join("", "",$F86:$G86),K$1)=TRUE,""✓"",""✗"")"),"✗")</f>
        <v>✗</v>
      </c>
      <c r="L86" s="23" t="str">
        <f>IFERROR(__xludf.DUMMYFUNCTION("if(REGEXMATCH(join("", "",$F86:$G86),L$1)=TRUE,""✓"",""✗"")"),"✗")</f>
        <v>✗</v>
      </c>
      <c r="M86" s="23" t="str">
        <f>IFERROR(__xludf.DUMMYFUNCTION("if(REGEXMATCH(join("", "",$F86:$G86),M$1)=TRUE,""✓"",""✗"")"),"✗")</f>
        <v>✗</v>
      </c>
      <c r="N86" s="23" t="str">
        <f>IFERROR(__xludf.DUMMYFUNCTION("if(REGEXMATCH(join("", "",$F86:$G86),N$1)=TRUE,""✓"",""✗"")"),"✓")</f>
        <v>✓</v>
      </c>
      <c r="O86" s="23" t="str">
        <f>IFERROR(__xludf.DUMMYFUNCTION("if(REGEXMATCH(join("", "",$F86:$G86),O$1)=TRUE,""✓"",""✗"")"),"✗")</f>
        <v>✗</v>
      </c>
      <c r="P86" s="23" t="str">
        <f>IFERROR(__xludf.DUMMYFUNCTION("if(REGEXMATCH(join("", "",$F86:$G86),P$1)=TRUE,""✓"",""✗"")"),"✗")</f>
        <v>✗</v>
      </c>
      <c r="Q86" s="23" t="str">
        <f>IFERROR(__xludf.DUMMYFUNCTION("if(REGEXMATCH(join("", "",$F86:$G86),Q$1)=TRUE,""✓"",""✗"")"),"✓")</f>
        <v>✓</v>
      </c>
      <c r="R86" s="23" t="str">
        <f>IFERROR(__xludf.DUMMYFUNCTION("if(REGEXMATCH(join("", "",$F86:$G86),R$1)=TRUE,""✓"",""✗"")"),"✗")</f>
        <v>✗</v>
      </c>
      <c r="S86" s="23" t="str">
        <f>IFERROR(__xludf.DUMMYFUNCTION("if(REGEXMATCH(join("", "",$F86:$G86),S$1)=TRUE,""✓"",""✗"")"),"✗")</f>
        <v>✗</v>
      </c>
      <c r="T86" s="23" t="str">
        <f>IFERROR(__xludf.DUMMYFUNCTION("if(REGEXMATCH(join("", "",$F86:$G86),T$1)=TRUE,""✓"",""✗"")"),"✓")</f>
        <v>✓</v>
      </c>
      <c r="U86" s="33"/>
      <c r="V86" s="33"/>
      <c r="W86" s="33"/>
      <c r="X86" s="33"/>
      <c r="Y86" s="33"/>
      <c r="Z86" s="33"/>
      <c r="AA86" s="33"/>
      <c r="AB86" s="33"/>
      <c r="AC86" s="33"/>
    </row>
    <row r="87">
      <c r="A87" s="20">
        <v>86.0</v>
      </c>
      <c r="B87" s="21"/>
      <c r="C87" s="16" t="str">
        <f t="shared" si="12"/>
        <v>Sonnery-Cottet (2020)</v>
      </c>
      <c r="D87" s="30" t="s">
        <v>532</v>
      </c>
      <c r="E87" s="15" t="s">
        <v>32</v>
      </c>
      <c r="F87" s="37" t="s">
        <v>33</v>
      </c>
      <c r="G87" s="37" t="s">
        <v>187</v>
      </c>
      <c r="H87" s="23" t="str">
        <f>IFERROR(__xludf.DUMMYFUNCTION("if(REGEXMATCH(join("", "",$F87:$G87),H$1)=TRUE,""✓"",""✗"")"),"✓")</f>
        <v>✓</v>
      </c>
      <c r="I87" s="23" t="str">
        <f>IFERROR(__xludf.DUMMYFUNCTION("if(REGEXMATCH(join("", "",$F87:$G87),I$1)=TRUE,""✓"",""✗"")"),"✓")</f>
        <v>✓</v>
      </c>
      <c r="J87" s="23" t="str">
        <f>IFERROR(__xludf.DUMMYFUNCTION("if(REGEXMATCH(join("", "",$F87:$G87),J$1)=TRUE,""✓"",""✗"")"),"✗")</f>
        <v>✗</v>
      </c>
      <c r="K87" s="23" t="str">
        <f>IFERROR(__xludf.DUMMYFUNCTION("if(REGEXMATCH(join("", "",$F87:$G87),K$1)=TRUE,""✓"",""✗"")"),"✗")</f>
        <v>✗</v>
      </c>
      <c r="L87" s="23" t="str">
        <f>IFERROR(__xludf.DUMMYFUNCTION("if(REGEXMATCH(join("", "",$F87:$G87),L$1)=TRUE,""✓"",""✗"")"),"✗")</f>
        <v>✗</v>
      </c>
      <c r="M87" s="23" t="str">
        <f>IFERROR(__xludf.DUMMYFUNCTION("if(REGEXMATCH(join("", "",$F87:$G87),M$1)=TRUE,""✓"",""✗"")"),"✗")</f>
        <v>✗</v>
      </c>
      <c r="N87" s="23" t="str">
        <f>IFERROR(__xludf.DUMMYFUNCTION("if(REGEXMATCH(join("", "",$F87:$G87),N$1)=TRUE,""✓"",""✗"")"),"✓")</f>
        <v>✓</v>
      </c>
      <c r="O87" s="23" t="str">
        <f>IFERROR(__xludf.DUMMYFUNCTION("if(REGEXMATCH(join("", "",$F87:$G87),O$1)=TRUE,""✓"",""✗"")"),"✓")</f>
        <v>✓</v>
      </c>
      <c r="P87" s="23" t="str">
        <f>IFERROR(__xludf.DUMMYFUNCTION("if(REGEXMATCH(join("", "",$F87:$G87),P$1)=TRUE,""✓"",""✗"")"),"✓")</f>
        <v>✓</v>
      </c>
      <c r="Q87" s="23" t="str">
        <f>IFERROR(__xludf.DUMMYFUNCTION("if(REGEXMATCH(join("", "",$F87:$G87),Q$1)=TRUE,""✓"",""✗"")"),"✓")</f>
        <v>✓</v>
      </c>
      <c r="R87" s="23" t="str">
        <f>IFERROR(__xludf.DUMMYFUNCTION("if(REGEXMATCH(join("", "",$F87:$G87),R$1)=TRUE,""✓"",""✗"")"),"✓")</f>
        <v>✓</v>
      </c>
      <c r="S87" s="23" t="str">
        <f>IFERROR(__xludf.DUMMYFUNCTION("if(REGEXMATCH(join("", "",$F87:$G87),S$1)=TRUE,""✓"",""✗"")"),"✓")</f>
        <v>✓</v>
      </c>
      <c r="T87" s="23" t="str">
        <f>IFERROR(__xludf.DUMMYFUNCTION("if(REGEXMATCH(join("", "",$F87:$G87),T$1)=TRUE,""✓"",""✗"")"),"✗")</f>
        <v>✗</v>
      </c>
      <c r="U87" s="33"/>
      <c r="V87" s="33"/>
      <c r="W87" s="33"/>
      <c r="X87" s="33"/>
      <c r="Y87" s="33"/>
      <c r="Z87" s="33"/>
      <c r="AA87" s="33"/>
      <c r="AB87" s="33"/>
      <c r="AC87" s="33"/>
    </row>
    <row r="88">
      <c r="A88" s="20">
        <v>87.0</v>
      </c>
      <c r="B88" s="21"/>
      <c r="C88" s="16" t="str">
        <f t="shared" si="12"/>
        <v>Sonnery-Cottet (2026)</v>
      </c>
      <c r="D88" s="30" t="s">
        <v>533</v>
      </c>
      <c r="E88" s="15" t="s">
        <v>32</v>
      </c>
      <c r="F88" s="37" t="s">
        <v>33</v>
      </c>
      <c r="G88" s="37" t="s">
        <v>143</v>
      </c>
      <c r="H88" s="23" t="str">
        <f>IFERROR(__xludf.DUMMYFUNCTION("if(REGEXMATCH(join("", "",$F88:$G88),H$1)=TRUE,""✓"",""✗"")"),"✓")</f>
        <v>✓</v>
      </c>
      <c r="I88" s="23" t="str">
        <f>IFERROR(__xludf.DUMMYFUNCTION("if(REGEXMATCH(join("", "",$F88:$G88),I$1)=TRUE,""✓"",""✗"")"),"✓")</f>
        <v>✓</v>
      </c>
      <c r="J88" s="23" t="str">
        <f>IFERROR(__xludf.DUMMYFUNCTION("if(REGEXMATCH(join("", "",$F88:$G88),J$1)=TRUE,""✓"",""✗"")"),"✗")</f>
        <v>✗</v>
      </c>
      <c r="K88" s="23" t="str">
        <f>IFERROR(__xludf.DUMMYFUNCTION("if(REGEXMATCH(join("", "",$F88:$G88),K$1)=TRUE,""✓"",""✗"")"),"✗")</f>
        <v>✗</v>
      </c>
      <c r="L88" s="23" t="str">
        <f>IFERROR(__xludf.DUMMYFUNCTION("if(REGEXMATCH(join("", "",$F88:$G88),L$1)=TRUE,""✓"",""✗"")"),"✗")</f>
        <v>✗</v>
      </c>
      <c r="M88" s="23" t="str">
        <f>IFERROR(__xludf.DUMMYFUNCTION("if(REGEXMATCH(join("", "",$F88:$G88),M$1)=TRUE,""✓"",""✗"")"),"✗")</f>
        <v>✗</v>
      </c>
      <c r="N88" s="23" t="str">
        <f>IFERROR(__xludf.DUMMYFUNCTION("if(REGEXMATCH(join("", "",$F88:$G88),N$1)=TRUE,""✓"",""✗"")"),"✓")</f>
        <v>✓</v>
      </c>
      <c r="O88" s="23" t="str">
        <f>IFERROR(__xludf.DUMMYFUNCTION("if(REGEXMATCH(join("", "",$F88:$G88),O$1)=TRUE,""✓"",""✗"")"),"✓")</f>
        <v>✓</v>
      </c>
      <c r="P88" s="23" t="str">
        <f>IFERROR(__xludf.DUMMYFUNCTION("if(REGEXMATCH(join("", "",$F88:$G88),P$1)=TRUE,""✓"",""✗"")"),"✓")</f>
        <v>✓</v>
      </c>
      <c r="Q88" s="23" t="str">
        <f>IFERROR(__xludf.DUMMYFUNCTION("if(REGEXMATCH(join("", "",$F88:$G88),Q$1)=TRUE,""✓"",""✗"")"),"✓")</f>
        <v>✓</v>
      </c>
      <c r="R88" s="23" t="str">
        <f>IFERROR(__xludf.DUMMYFUNCTION("if(REGEXMATCH(join("", "",$F88:$G88),R$1)=TRUE,""✓"",""✗"")"),"✓")</f>
        <v>✓</v>
      </c>
      <c r="S88" s="23" t="str">
        <f>IFERROR(__xludf.DUMMYFUNCTION("if(REGEXMATCH(join("", "",$F88:$G88),S$1)=TRUE,""✓"",""✗"")"),"✗")</f>
        <v>✗</v>
      </c>
      <c r="T88" s="23" t="str">
        <f>IFERROR(__xludf.DUMMYFUNCTION("if(REGEXMATCH(join("", "",$F88:$G88),T$1)=TRUE,""✓"",""✗"")"),"✓")</f>
        <v>✓</v>
      </c>
      <c r="U88" s="33"/>
      <c r="V88" s="33"/>
      <c r="W88" s="33"/>
      <c r="X88" s="33"/>
      <c r="Y88" s="33"/>
      <c r="Z88" s="33"/>
      <c r="AA88" s="33"/>
      <c r="AB88" s="33"/>
      <c r="AC88" s="33"/>
    </row>
    <row r="89" hidden="1">
      <c r="A89" s="20">
        <v>88.0</v>
      </c>
      <c r="B89" s="21"/>
      <c r="C89" s="15"/>
      <c r="D89" s="30" t="s">
        <v>534</v>
      </c>
      <c r="E89" s="15" t="s">
        <v>102</v>
      </c>
      <c r="F89" s="37"/>
      <c r="G89" s="15" t="s">
        <v>230</v>
      </c>
      <c r="H89" s="23" t="str">
        <f>IFERROR(__xludf.DUMMYFUNCTION("if(REGEXMATCH(join("", "",$F89:$G89),H$1)=TRUE,""✓"",""✗"")"),"✗")</f>
        <v>✗</v>
      </c>
      <c r="I89" s="23" t="str">
        <f>IFERROR(__xludf.DUMMYFUNCTION("if(REGEXMATCH(join("", "",$F89:$G89),I$1)=TRUE,""✓"",""✗"")"),"✗")</f>
        <v>✗</v>
      </c>
      <c r="J89" s="23" t="str">
        <f>IFERROR(__xludf.DUMMYFUNCTION("if(REGEXMATCH(join("", "",$F89:$G89),J$1)=TRUE,""✓"",""✗"")"),"✗")</f>
        <v>✗</v>
      </c>
      <c r="K89" s="23" t="str">
        <f>IFERROR(__xludf.DUMMYFUNCTION("if(REGEXMATCH(join("", "",$F89:$G89),K$1)=TRUE,""✓"",""✗"")"),"✗")</f>
        <v>✗</v>
      </c>
      <c r="L89" s="23" t="str">
        <f>IFERROR(__xludf.DUMMYFUNCTION("if(REGEXMATCH(join("", "",$F89:$G89),L$1)=TRUE,""✓"",""✗"")"),"✗")</f>
        <v>✗</v>
      </c>
      <c r="M89" s="23" t="str">
        <f>IFERROR(__xludf.DUMMYFUNCTION("if(REGEXMATCH(join("", "",$F89:$G89),M$1)=TRUE,""✓"",""✗"")"),"✗")</f>
        <v>✗</v>
      </c>
      <c r="N89" s="23" t="str">
        <f>IFERROR(__xludf.DUMMYFUNCTION("if(REGEXMATCH(join("", "",$F89:$G89),N$1)=TRUE,""✓"",""✗"")"),"✗")</f>
        <v>✗</v>
      </c>
      <c r="O89" s="23" t="str">
        <f>IFERROR(__xludf.DUMMYFUNCTION("if(REGEXMATCH(join("", "",$F89:$G89),O$1)=TRUE,""✓"",""✗"")"),"✗")</f>
        <v>✗</v>
      </c>
      <c r="P89" s="23" t="str">
        <f>IFERROR(__xludf.DUMMYFUNCTION("if(REGEXMATCH(join("", "",$F89:$G89),P$1)=TRUE,""✓"",""✗"")"),"✗")</f>
        <v>✗</v>
      </c>
      <c r="Q89" s="23" t="str">
        <f>IFERROR(__xludf.DUMMYFUNCTION("if(REGEXMATCH(join("", "",$F89:$G89),Q$1)=TRUE,""✓"",""✗"")"),"✗")</f>
        <v>✗</v>
      </c>
      <c r="R89" s="23" t="str">
        <f>IFERROR(__xludf.DUMMYFUNCTION("if(REGEXMATCH(join("", "",$F89:$G89),R$1)=TRUE,""✓"",""✗"")"),"✗")</f>
        <v>✗</v>
      </c>
      <c r="S89" s="23" t="str">
        <f>IFERROR(__xludf.DUMMYFUNCTION("if(REGEXMATCH(join("", "",$F89:$G89),S$1)=TRUE,""✓"",""✗"")"),"✗")</f>
        <v>✗</v>
      </c>
      <c r="T89" s="23" t="str">
        <f>IFERROR(__xludf.DUMMYFUNCTION("if(REGEXMATCH(join("", "",$F89:$G89),T$1)=TRUE,""✓"",""✗"")"),"✗")</f>
        <v>✗</v>
      </c>
      <c r="U89" s="33"/>
      <c r="V89" s="33"/>
      <c r="W89" s="33"/>
      <c r="X89" s="33"/>
      <c r="Y89" s="33"/>
      <c r="Z89" s="33"/>
      <c r="AA89" s="33"/>
      <c r="AB89" s="33"/>
      <c r="AC89" s="33"/>
    </row>
    <row r="90">
      <c r="A90" s="20">
        <v>89.0</v>
      </c>
      <c r="B90" s="21"/>
      <c r="C90" s="16" t="str">
        <f t="shared" ref="C90:C91" si="13">hyperlink("https://github.com/d-wkim/phd/blob/main/data/pdf/"&amp;D90&amp;".pdf",PROPER(SUBSTITUTE(D90,"_"," (")&amp;")"))</f>
        <v>Tang (2023)</v>
      </c>
      <c r="D90" s="30" t="s">
        <v>535</v>
      </c>
      <c r="E90" s="15" t="s">
        <v>32</v>
      </c>
      <c r="F90" s="37" t="s">
        <v>245</v>
      </c>
      <c r="G90" s="37" t="s">
        <v>14</v>
      </c>
      <c r="H90" s="23" t="str">
        <f>IFERROR(__xludf.DUMMYFUNCTION("if(REGEXMATCH(join("", "",$F90:$G90),H$1)=TRUE,""✓"",""✗"")"),"✗")</f>
        <v>✗</v>
      </c>
      <c r="I90" s="23" t="str">
        <f>IFERROR(__xludf.DUMMYFUNCTION("if(REGEXMATCH(join("", "",$F90:$G90),I$1)=TRUE,""✓"",""✗"")"),"✓")</f>
        <v>✓</v>
      </c>
      <c r="J90" s="23" t="str">
        <f>IFERROR(__xludf.DUMMYFUNCTION("if(REGEXMATCH(join("", "",$F90:$G90),J$1)=TRUE,""✓"",""✗"")"),"✓")</f>
        <v>✓</v>
      </c>
      <c r="K90" s="23" t="str">
        <f>IFERROR(__xludf.DUMMYFUNCTION("if(REGEXMATCH(join("", "",$F90:$G90),K$1)=TRUE,""✓"",""✗"")"),"✗")</f>
        <v>✗</v>
      </c>
      <c r="L90" s="23" t="str">
        <f>IFERROR(__xludf.DUMMYFUNCTION("if(REGEXMATCH(join("", "",$F90:$G90),L$1)=TRUE,""✓"",""✗"")"),"✗")</f>
        <v>✗</v>
      </c>
      <c r="M90" s="23" t="str">
        <f>IFERROR(__xludf.DUMMYFUNCTION("if(REGEXMATCH(join("", "",$F90:$G90),M$1)=TRUE,""✓"",""✗"")"),"✗")</f>
        <v>✗</v>
      </c>
      <c r="N90" s="23" t="str">
        <f>IFERROR(__xludf.DUMMYFUNCTION("if(REGEXMATCH(join("", "",$F90:$G90),N$1)=TRUE,""✓"",""✗"")"),"✓")</f>
        <v>✓</v>
      </c>
      <c r="O90" s="23" t="str">
        <f>IFERROR(__xludf.DUMMYFUNCTION("if(REGEXMATCH(join("", "",$F90:$G90),O$1)=TRUE,""✓"",""✗"")"),"✗")</f>
        <v>✗</v>
      </c>
      <c r="P90" s="23" t="str">
        <f>IFERROR(__xludf.DUMMYFUNCTION("if(REGEXMATCH(join("", "",$F90:$G90),P$1)=TRUE,""✓"",""✗"")"),"✗")</f>
        <v>✗</v>
      </c>
      <c r="Q90" s="23" t="str">
        <f>IFERROR(__xludf.DUMMYFUNCTION("if(REGEXMATCH(join("", "",$F90:$G90),Q$1)=TRUE,""✓"",""✗"")"),"✗")</f>
        <v>✗</v>
      </c>
      <c r="R90" s="23" t="str">
        <f>IFERROR(__xludf.DUMMYFUNCTION("if(REGEXMATCH(join("", "",$F90:$G90),R$1)=TRUE,""✓"",""✗"")"),"✗")</f>
        <v>✗</v>
      </c>
      <c r="S90" s="23" t="str">
        <f>IFERROR(__xludf.DUMMYFUNCTION("if(REGEXMATCH(join("", "",$F90:$G90),S$1)=TRUE,""✓"",""✗"")"),"✗")</f>
        <v>✗</v>
      </c>
      <c r="T90" s="23" t="str">
        <f>IFERROR(__xludf.DUMMYFUNCTION("if(REGEXMATCH(join("", "",$F90:$G90),T$1)=TRUE,""✓"",""✗"")"),"✗")</f>
        <v>✗</v>
      </c>
      <c r="U90" s="33"/>
      <c r="V90" s="33"/>
      <c r="W90" s="33"/>
      <c r="X90" s="33"/>
      <c r="Y90" s="33"/>
      <c r="Z90" s="33"/>
      <c r="AA90" s="33"/>
      <c r="AB90" s="33"/>
      <c r="AC90" s="33"/>
    </row>
    <row r="91">
      <c r="A91" s="20">
        <v>90.0</v>
      </c>
      <c r="B91" s="21"/>
      <c r="C91" s="16" t="str">
        <f t="shared" si="13"/>
        <v>Taylor (2009)</v>
      </c>
      <c r="D91" s="30" t="s">
        <v>536</v>
      </c>
      <c r="E91" s="15" t="s">
        <v>32</v>
      </c>
      <c r="F91" s="37" t="s">
        <v>33</v>
      </c>
      <c r="G91" s="37" t="s">
        <v>100</v>
      </c>
      <c r="H91" s="23" t="str">
        <f>IFERROR(__xludf.DUMMYFUNCTION("if(REGEXMATCH(join("", "",$F91:$G91),H$1)=TRUE,""✓"",""✗"")"),"✓")</f>
        <v>✓</v>
      </c>
      <c r="I91" s="23" t="str">
        <f>IFERROR(__xludf.DUMMYFUNCTION("if(REGEXMATCH(join("", "",$F91:$G91),I$1)=TRUE,""✓"",""✗"")"),"✓")</f>
        <v>✓</v>
      </c>
      <c r="J91" s="23" t="str">
        <f>IFERROR(__xludf.DUMMYFUNCTION("if(REGEXMATCH(join("", "",$F91:$G91),J$1)=TRUE,""✓"",""✗"")"),"✗")</f>
        <v>✗</v>
      </c>
      <c r="K91" s="23" t="str">
        <f>IFERROR(__xludf.DUMMYFUNCTION("if(REGEXMATCH(join("", "",$F91:$G91),K$1)=TRUE,""✓"",""✗"")"),"✗")</f>
        <v>✗</v>
      </c>
      <c r="L91" s="23" t="str">
        <f>IFERROR(__xludf.DUMMYFUNCTION("if(REGEXMATCH(join("", "",$F91:$G91),L$1)=TRUE,""✓"",""✗"")"),"✗")</f>
        <v>✗</v>
      </c>
      <c r="M91" s="23" t="str">
        <f>IFERROR(__xludf.DUMMYFUNCTION("if(REGEXMATCH(join("", "",$F91:$G91),M$1)=TRUE,""✓"",""✗"")"),"✗")</f>
        <v>✗</v>
      </c>
      <c r="N91" s="23" t="str">
        <f>IFERROR(__xludf.DUMMYFUNCTION("if(REGEXMATCH(join("", "",$F91:$G91),N$1)=TRUE,""✓"",""✗"")"),"✓")</f>
        <v>✓</v>
      </c>
      <c r="O91" s="23" t="str">
        <f>IFERROR(__xludf.DUMMYFUNCTION("if(REGEXMATCH(join("", "",$F91:$G91),O$1)=TRUE,""✓"",""✗"")"),"✓")</f>
        <v>✓</v>
      </c>
      <c r="P91" s="23" t="str">
        <f>IFERROR(__xludf.DUMMYFUNCTION("if(REGEXMATCH(join("", "",$F91:$G91),P$1)=TRUE,""✓"",""✗"")"),"✓")</f>
        <v>✓</v>
      </c>
      <c r="Q91" s="23" t="str">
        <f>IFERROR(__xludf.DUMMYFUNCTION("if(REGEXMATCH(join("", "",$F91:$G91),Q$1)=TRUE,""✓"",""✗"")"),"✓")</f>
        <v>✓</v>
      </c>
      <c r="R91" s="23" t="str">
        <f>IFERROR(__xludf.DUMMYFUNCTION("if(REGEXMATCH(join("", "",$F91:$G91),R$1)=TRUE,""✓"",""✗"")"),"✓")</f>
        <v>✓</v>
      </c>
      <c r="S91" s="23" t="str">
        <f>IFERROR(__xludf.DUMMYFUNCTION("if(REGEXMATCH(join("", "",$F91:$G91),S$1)=TRUE,""✓"",""✗"")"),"✗")</f>
        <v>✗</v>
      </c>
      <c r="T91" s="23" t="str">
        <f>IFERROR(__xludf.DUMMYFUNCTION("if(REGEXMATCH(join("", "",$F91:$G91),T$1)=TRUE,""✓"",""✗"")"),"✗")</f>
        <v>✗</v>
      </c>
      <c r="U91" s="33"/>
      <c r="V91" s="33"/>
      <c r="W91" s="33"/>
      <c r="X91" s="33"/>
      <c r="Y91" s="33"/>
      <c r="Z91" s="33"/>
      <c r="AA91" s="33"/>
      <c r="AB91" s="33"/>
      <c r="AC91" s="33"/>
    </row>
    <row r="92" hidden="1">
      <c r="A92" s="20">
        <v>91.0</v>
      </c>
      <c r="B92" s="21"/>
      <c r="C92" s="15"/>
      <c r="D92" s="30" t="s">
        <v>538</v>
      </c>
      <c r="E92" s="15" t="s">
        <v>102</v>
      </c>
      <c r="F92" s="37"/>
      <c r="G92" s="15" t="s">
        <v>281</v>
      </c>
      <c r="H92" s="23" t="str">
        <f>IFERROR(__xludf.DUMMYFUNCTION("if(REGEXMATCH(join("", "",$F92:$G92),H$1)=TRUE,""✓"",""✗"")"),"✗")</f>
        <v>✗</v>
      </c>
      <c r="I92" s="23" t="str">
        <f>IFERROR(__xludf.DUMMYFUNCTION("if(REGEXMATCH(join("", "",$F92:$G92),I$1)=TRUE,""✓"",""✗"")"),"✗")</f>
        <v>✗</v>
      </c>
      <c r="J92" s="23" t="str">
        <f>IFERROR(__xludf.DUMMYFUNCTION("if(REGEXMATCH(join("", "",$F92:$G92),J$1)=TRUE,""✓"",""✗"")"),"✗")</f>
        <v>✗</v>
      </c>
      <c r="K92" s="23" t="str">
        <f>IFERROR(__xludf.DUMMYFUNCTION("if(REGEXMATCH(join("", "",$F92:$G92),K$1)=TRUE,""✓"",""✗"")"),"✗")</f>
        <v>✗</v>
      </c>
      <c r="L92" s="23" t="str">
        <f>IFERROR(__xludf.DUMMYFUNCTION("if(REGEXMATCH(join("", "",$F92:$G92),L$1)=TRUE,""✓"",""✗"")"),"✗")</f>
        <v>✗</v>
      </c>
      <c r="M92" s="23" t="str">
        <f>IFERROR(__xludf.DUMMYFUNCTION("if(REGEXMATCH(join("", "",$F92:$G92),M$1)=TRUE,""✓"",""✗"")"),"✗")</f>
        <v>✗</v>
      </c>
      <c r="N92" s="23" t="str">
        <f>IFERROR(__xludf.DUMMYFUNCTION("if(REGEXMATCH(join("", "",$F92:$G92),N$1)=TRUE,""✓"",""✗"")"),"✗")</f>
        <v>✗</v>
      </c>
      <c r="O92" s="23" t="str">
        <f>IFERROR(__xludf.DUMMYFUNCTION("if(REGEXMATCH(join("", "",$F92:$G92),O$1)=TRUE,""✓"",""✗"")"),"✗")</f>
        <v>✗</v>
      </c>
      <c r="P92" s="23" t="str">
        <f>IFERROR(__xludf.DUMMYFUNCTION("if(REGEXMATCH(join("", "",$F92:$G92),P$1)=TRUE,""✓"",""✗"")"),"✗")</f>
        <v>✗</v>
      </c>
      <c r="Q92" s="23" t="str">
        <f>IFERROR(__xludf.DUMMYFUNCTION("if(REGEXMATCH(join("", "",$F92:$G92),Q$1)=TRUE,""✓"",""✗"")"),"✗")</f>
        <v>✗</v>
      </c>
      <c r="R92" s="23" t="str">
        <f>IFERROR(__xludf.DUMMYFUNCTION("if(REGEXMATCH(join("", "",$F92:$G92),R$1)=TRUE,""✓"",""✗"")"),"✗")</f>
        <v>✗</v>
      </c>
      <c r="S92" s="23" t="str">
        <f>IFERROR(__xludf.DUMMYFUNCTION("if(REGEXMATCH(join("", "",$F92:$G92),S$1)=TRUE,""✓"",""✗"")"),"✗")</f>
        <v>✗</v>
      </c>
      <c r="T92" s="23" t="str">
        <f>IFERROR(__xludf.DUMMYFUNCTION("if(REGEXMATCH(join("", "",$F92:$G92),T$1)=TRUE,""✓"",""✗"")"),"✗")</f>
        <v>✗</v>
      </c>
      <c r="U92" s="33"/>
      <c r="V92" s="33"/>
      <c r="W92" s="33"/>
      <c r="X92" s="33"/>
      <c r="Y92" s="33"/>
      <c r="Z92" s="33"/>
      <c r="AA92" s="33"/>
      <c r="AB92" s="33"/>
      <c r="AC92" s="33"/>
    </row>
    <row r="93" hidden="1">
      <c r="A93" s="20">
        <v>92.0</v>
      </c>
      <c r="B93" s="21"/>
      <c r="C93" s="15"/>
      <c r="D93" s="19" t="s">
        <v>540</v>
      </c>
      <c r="E93" s="15" t="s">
        <v>102</v>
      </c>
      <c r="F93" s="37"/>
      <c r="G93" s="15" t="s">
        <v>230</v>
      </c>
      <c r="H93" s="23" t="str">
        <f>IFERROR(__xludf.DUMMYFUNCTION("if(REGEXMATCH(join("", "",$F93:$G93),H$1)=TRUE,""✓"",""✗"")"),"✗")</f>
        <v>✗</v>
      </c>
      <c r="I93" s="23" t="str">
        <f>IFERROR(__xludf.DUMMYFUNCTION("if(REGEXMATCH(join("", "",$F93:$G93),I$1)=TRUE,""✓"",""✗"")"),"✗")</f>
        <v>✗</v>
      </c>
      <c r="J93" s="23" t="str">
        <f>IFERROR(__xludf.DUMMYFUNCTION("if(REGEXMATCH(join("", "",$F93:$G93),J$1)=TRUE,""✓"",""✗"")"),"✗")</f>
        <v>✗</v>
      </c>
      <c r="K93" s="23" t="str">
        <f>IFERROR(__xludf.DUMMYFUNCTION("if(REGEXMATCH(join("", "",$F93:$G93),K$1)=TRUE,""✓"",""✗"")"),"✗")</f>
        <v>✗</v>
      </c>
      <c r="L93" s="23" t="str">
        <f>IFERROR(__xludf.DUMMYFUNCTION("if(REGEXMATCH(join("", "",$F93:$G93),L$1)=TRUE,""✓"",""✗"")"),"✗")</f>
        <v>✗</v>
      </c>
      <c r="M93" s="23" t="str">
        <f>IFERROR(__xludf.DUMMYFUNCTION("if(REGEXMATCH(join("", "",$F93:$G93),M$1)=TRUE,""✓"",""✗"")"),"✗")</f>
        <v>✗</v>
      </c>
      <c r="N93" s="23" t="str">
        <f>IFERROR(__xludf.DUMMYFUNCTION("if(REGEXMATCH(join("", "",$F93:$G93),N$1)=TRUE,""✓"",""✗"")"),"✗")</f>
        <v>✗</v>
      </c>
      <c r="O93" s="23" t="str">
        <f>IFERROR(__xludf.DUMMYFUNCTION("if(REGEXMATCH(join("", "",$F93:$G93),O$1)=TRUE,""✓"",""✗"")"),"✗")</f>
        <v>✗</v>
      </c>
      <c r="P93" s="23" t="str">
        <f>IFERROR(__xludf.DUMMYFUNCTION("if(REGEXMATCH(join("", "",$F93:$G93),P$1)=TRUE,""✓"",""✗"")"),"✗")</f>
        <v>✗</v>
      </c>
      <c r="Q93" s="23" t="str">
        <f>IFERROR(__xludf.DUMMYFUNCTION("if(REGEXMATCH(join("", "",$F93:$G93),Q$1)=TRUE,""✓"",""✗"")"),"✗")</f>
        <v>✗</v>
      </c>
      <c r="R93" s="23" t="str">
        <f>IFERROR(__xludf.DUMMYFUNCTION("if(REGEXMATCH(join("", "",$F93:$G93),R$1)=TRUE,""✓"",""✗"")"),"✗")</f>
        <v>✗</v>
      </c>
      <c r="S93" s="23" t="str">
        <f>IFERROR(__xludf.DUMMYFUNCTION("if(REGEXMATCH(join("", "",$F93:$G93),S$1)=TRUE,""✓"",""✗"")"),"✗")</f>
        <v>✗</v>
      </c>
      <c r="T93" s="23" t="str">
        <f>IFERROR(__xludf.DUMMYFUNCTION("if(REGEXMATCH(join("", "",$F93:$G93),T$1)=TRUE,""✓"",""✗"")"),"✗")</f>
        <v>✗</v>
      </c>
      <c r="U93" s="33"/>
      <c r="V93" s="33"/>
      <c r="W93" s="33"/>
      <c r="X93" s="33"/>
      <c r="Y93" s="33"/>
      <c r="Z93" s="33"/>
      <c r="AA93" s="33"/>
      <c r="AB93" s="33"/>
      <c r="AC93" s="33"/>
    </row>
    <row r="94">
      <c r="A94" s="20">
        <v>93.0</v>
      </c>
      <c r="B94" s="21"/>
      <c r="C94" s="16" t="str">
        <f>hyperlink("https://github.com/d-wkim/phd/blob/main/data/pdf/"&amp;D94&amp;".pdf",PROPER(SUBSTITUTE(D94,"_"," (")&amp;")"))</f>
        <v>Vilchez-Cavazos (2020)</v>
      </c>
      <c r="D94" s="19" t="s">
        <v>442</v>
      </c>
      <c r="E94" s="15" t="s">
        <v>32</v>
      </c>
      <c r="F94" s="37" t="s">
        <v>191</v>
      </c>
      <c r="G94" s="37" t="s">
        <v>94</v>
      </c>
      <c r="H94" s="23" t="str">
        <f>IFERROR(__xludf.DUMMYFUNCTION("if(REGEXMATCH(join("", "",$F94:$G94),H$1)=TRUE,""✓"",""✗"")"),"✓")</f>
        <v>✓</v>
      </c>
      <c r="I94" s="23" t="str">
        <f>IFERROR(__xludf.DUMMYFUNCTION("if(REGEXMATCH(join("", "",$F94:$G94),I$1)=TRUE,""✓"",""✗"")"),"✗")</f>
        <v>✗</v>
      </c>
      <c r="J94" s="23" t="str">
        <f>IFERROR(__xludf.DUMMYFUNCTION("if(REGEXMATCH(join("", "",$F94:$G94),J$1)=TRUE,""✓"",""✗"")"),"✓")</f>
        <v>✓</v>
      </c>
      <c r="K94" s="23" t="str">
        <f>IFERROR(__xludf.DUMMYFUNCTION("if(REGEXMATCH(join("", "",$F94:$G94),K$1)=TRUE,""✓"",""✗"")"),"✗")</f>
        <v>✗</v>
      </c>
      <c r="L94" s="23" t="str">
        <f>IFERROR(__xludf.DUMMYFUNCTION("if(REGEXMATCH(join("", "",$F94:$G94),L$1)=TRUE,""✓"",""✗"")"),"✗")</f>
        <v>✗</v>
      </c>
      <c r="M94" s="23" t="str">
        <f>IFERROR(__xludf.DUMMYFUNCTION("if(REGEXMATCH(join("", "",$F94:$G94),M$1)=TRUE,""✓"",""✗"")"),"✗")</f>
        <v>✗</v>
      </c>
      <c r="N94" s="23" t="str">
        <f>IFERROR(__xludf.DUMMYFUNCTION("if(REGEXMATCH(join("", "",$F94:$G94),N$1)=TRUE,""✓"",""✗"")"),"✓")</f>
        <v>✓</v>
      </c>
      <c r="O94" s="23" t="str">
        <f>IFERROR(__xludf.DUMMYFUNCTION("if(REGEXMATCH(join("", "",$F94:$G94),O$1)=TRUE,""✓"",""✗"")"),"✓")</f>
        <v>✓</v>
      </c>
      <c r="P94" s="23" t="str">
        <f>IFERROR(__xludf.DUMMYFUNCTION("if(REGEXMATCH(join("", "",$F94:$G94),P$1)=TRUE,""✓"",""✗"")"),"✓")</f>
        <v>✓</v>
      </c>
      <c r="Q94" s="23" t="str">
        <f>IFERROR(__xludf.DUMMYFUNCTION("if(REGEXMATCH(join("", "",$F94:$G94),Q$1)=TRUE,""✓"",""✗"")"),"✓")</f>
        <v>✓</v>
      </c>
      <c r="R94" s="23" t="str">
        <f>IFERROR(__xludf.DUMMYFUNCTION("if(REGEXMATCH(join("", "",$F94:$G94),R$1)=TRUE,""✓"",""✗"")"),"✗")</f>
        <v>✗</v>
      </c>
      <c r="S94" s="23" t="str">
        <f>IFERROR(__xludf.DUMMYFUNCTION("if(REGEXMATCH(join("", "",$F94:$G94),S$1)=TRUE,""✓"",""✗"")"),"✗")</f>
        <v>✗</v>
      </c>
      <c r="T94" s="23" t="str">
        <f>IFERROR(__xludf.DUMMYFUNCTION("if(REGEXMATCH(join("", "",$F94:$G94),T$1)=TRUE,""✓"",""✗"")"),"✗")</f>
        <v>✗</v>
      </c>
      <c r="U94" s="33"/>
      <c r="V94" s="33"/>
      <c r="W94" s="33"/>
      <c r="X94" s="33"/>
      <c r="Y94" s="33"/>
      <c r="Z94" s="33"/>
      <c r="AA94" s="33"/>
      <c r="AB94" s="33"/>
      <c r="AC94" s="33"/>
    </row>
    <row r="95" hidden="1">
      <c r="A95" s="20">
        <v>94.0</v>
      </c>
      <c r="B95" s="21"/>
      <c r="C95" s="15"/>
      <c r="D95" s="30" t="s">
        <v>541</v>
      </c>
      <c r="E95" s="15" t="s">
        <v>102</v>
      </c>
      <c r="F95" s="37"/>
      <c r="G95" s="15" t="s">
        <v>230</v>
      </c>
      <c r="H95" s="23" t="str">
        <f>IFERROR(__xludf.DUMMYFUNCTION("if(REGEXMATCH(join("", "",$F95:$G95),H$1)=TRUE,""✓"",""✗"")"),"✗")</f>
        <v>✗</v>
      </c>
      <c r="I95" s="23" t="str">
        <f>IFERROR(__xludf.DUMMYFUNCTION("if(REGEXMATCH(join("", "",$F95:$G95),I$1)=TRUE,""✓"",""✗"")"),"✗")</f>
        <v>✗</v>
      </c>
      <c r="J95" s="23" t="str">
        <f>IFERROR(__xludf.DUMMYFUNCTION("if(REGEXMATCH(join("", "",$F95:$G95),J$1)=TRUE,""✓"",""✗"")"),"✗")</f>
        <v>✗</v>
      </c>
      <c r="K95" s="23" t="str">
        <f>IFERROR(__xludf.DUMMYFUNCTION("if(REGEXMATCH(join("", "",$F95:$G95),K$1)=TRUE,""✓"",""✗"")"),"✗")</f>
        <v>✗</v>
      </c>
      <c r="L95" s="23" t="str">
        <f>IFERROR(__xludf.DUMMYFUNCTION("if(REGEXMATCH(join("", "",$F95:$G95),L$1)=TRUE,""✓"",""✗"")"),"✗")</f>
        <v>✗</v>
      </c>
      <c r="M95" s="23" t="str">
        <f>IFERROR(__xludf.DUMMYFUNCTION("if(REGEXMATCH(join("", "",$F95:$G95),M$1)=TRUE,""✓"",""✗"")"),"✗")</f>
        <v>✗</v>
      </c>
      <c r="N95" s="23" t="str">
        <f>IFERROR(__xludf.DUMMYFUNCTION("if(REGEXMATCH(join("", "",$F95:$G95),N$1)=TRUE,""✓"",""✗"")"),"✗")</f>
        <v>✗</v>
      </c>
      <c r="O95" s="23" t="str">
        <f>IFERROR(__xludf.DUMMYFUNCTION("if(REGEXMATCH(join("", "",$F95:$G95),O$1)=TRUE,""✓"",""✗"")"),"✗")</f>
        <v>✗</v>
      </c>
      <c r="P95" s="23" t="str">
        <f>IFERROR(__xludf.DUMMYFUNCTION("if(REGEXMATCH(join("", "",$F95:$G95),P$1)=TRUE,""✓"",""✗"")"),"✗")</f>
        <v>✗</v>
      </c>
      <c r="Q95" s="23" t="str">
        <f>IFERROR(__xludf.DUMMYFUNCTION("if(REGEXMATCH(join("", "",$F95:$G95),Q$1)=TRUE,""✓"",""✗"")"),"✗")</f>
        <v>✗</v>
      </c>
      <c r="R95" s="23" t="str">
        <f>IFERROR(__xludf.DUMMYFUNCTION("if(REGEXMATCH(join("", "",$F95:$G95),R$1)=TRUE,""✓"",""✗"")"),"✗")</f>
        <v>✗</v>
      </c>
      <c r="S95" s="23" t="str">
        <f>IFERROR(__xludf.DUMMYFUNCTION("if(REGEXMATCH(join("", "",$F95:$G95),S$1)=TRUE,""✓"",""✗"")"),"✗")</f>
        <v>✗</v>
      </c>
      <c r="T95" s="23" t="str">
        <f>IFERROR(__xludf.DUMMYFUNCTION("if(REGEXMATCH(join("", "",$F95:$G95),T$1)=TRUE,""✓"",""✗"")"),"✗")</f>
        <v>✗</v>
      </c>
      <c r="U95" s="33"/>
      <c r="V95" s="33"/>
      <c r="W95" s="33"/>
      <c r="X95" s="33"/>
      <c r="Y95" s="33"/>
      <c r="Z95" s="33"/>
      <c r="AA95" s="33"/>
      <c r="AB95" s="33"/>
      <c r="AC95" s="33"/>
    </row>
    <row r="96">
      <c r="A96" s="20">
        <v>95.0</v>
      </c>
      <c r="B96" s="21"/>
      <c r="C96" s="16" t="str">
        <f t="shared" ref="C96:C99" si="14">hyperlink("https://github.com/d-wkim/phd/blob/main/data/pdf/"&amp;D96&amp;".pdf",PROPER(SUBSTITUTE(D96,"_"," (")&amp;")"))</f>
        <v>Webster (2001)</v>
      </c>
      <c r="D96" s="30" t="s">
        <v>544</v>
      </c>
      <c r="E96" s="15" t="s">
        <v>32</v>
      </c>
      <c r="F96" s="37" t="s">
        <v>33</v>
      </c>
      <c r="G96" s="37" t="s">
        <v>76</v>
      </c>
      <c r="H96" s="23" t="str">
        <f>IFERROR(__xludf.DUMMYFUNCTION("if(REGEXMATCH(join("", "",$F96:$G96),H$1)=TRUE,""✓"",""✗"")"),"✓")</f>
        <v>✓</v>
      </c>
      <c r="I96" s="23" t="str">
        <f>IFERROR(__xludf.DUMMYFUNCTION("if(REGEXMATCH(join("", "",$F96:$G96),I$1)=TRUE,""✓"",""✗"")"),"✓")</f>
        <v>✓</v>
      </c>
      <c r="J96" s="23" t="str">
        <f>IFERROR(__xludf.DUMMYFUNCTION("if(REGEXMATCH(join("", "",$F96:$G96),J$1)=TRUE,""✓"",""✗"")"),"✗")</f>
        <v>✗</v>
      </c>
      <c r="K96" s="23" t="str">
        <f>IFERROR(__xludf.DUMMYFUNCTION("if(REGEXMATCH(join("", "",$F96:$G96),K$1)=TRUE,""✓"",""✗"")"),"✗")</f>
        <v>✗</v>
      </c>
      <c r="L96" s="23" t="str">
        <f>IFERROR(__xludf.DUMMYFUNCTION("if(REGEXMATCH(join("", "",$F96:$G96),L$1)=TRUE,""✓"",""✗"")"),"✗")</f>
        <v>✗</v>
      </c>
      <c r="M96" s="23" t="str">
        <f>IFERROR(__xludf.DUMMYFUNCTION("if(REGEXMATCH(join("", "",$F96:$G96),M$1)=TRUE,""✓"",""✗"")"),"✗")</f>
        <v>✗</v>
      </c>
      <c r="N96" s="23" t="str">
        <f>IFERROR(__xludf.DUMMYFUNCTION("if(REGEXMATCH(join("", "",$F96:$G96),N$1)=TRUE,""✓"",""✗"")"),"✓")</f>
        <v>✓</v>
      </c>
      <c r="O96" s="23" t="str">
        <f>IFERROR(__xludf.DUMMYFUNCTION("if(REGEXMATCH(join("", "",$F96:$G96),O$1)=TRUE,""✓"",""✗"")"),"✗")</f>
        <v>✗</v>
      </c>
      <c r="P96" s="23" t="str">
        <f>IFERROR(__xludf.DUMMYFUNCTION("if(REGEXMATCH(join("", "",$F96:$G96),P$1)=TRUE,""✓"",""✗"")"),"✗")</f>
        <v>✗</v>
      </c>
      <c r="Q96" s="23" t="str">
        <f>IFERROR(__xludf.DUMMYFUNCTION("if(REGEXMATCH(join("", "",$F96:$G96),Q$1)=TRUE,""✓"",""✗"")"),"✓")</f>
        <v>✓</v>
      </c>
      <c r="R96" s="23" t="str">
        <f>IFERROR(__xludf.DUMMYFUNCTION("if(REGEXMATCH(join("", "",$F96:$G96),R$1)=TRUE,""✓"",""✗"")"),"✗")</f>
        <v>✗</v>
      </c>
      <c r="S96" s="23" t="str">
        <f>IFERROR(__xludf.DUMMYFUNCTION("if(REGEXMATCH(join("", "",$F96:$G96),S$1)=TRUE,""✓"",""✗"")"),"✗")</f>
        <v>✗</v>
      </c>
      <c r="T96" s="23" t="str">
        <f>IFERROR(__xludf.DUMMYFUNCTION("if(REGEXMATCH(join("", "",$F96:$G96),T$1)=TRUE,""✓"",""✗"")"),"✗")</f>
        <v>✗</v>
      </c>
      <c r="U96" s="33"/>
      <c r="V96" s="33"/>
      <c r="W96" s="33"/>
      <c r="X96" s="33"/>
      <c r="Y96" s="33"/>
      <c r="Z96" s="33"/>
      <c r="AA96" s="33"/>
      <c r="AB96" s="33"/>
      <c r="AC96" s="33"/>
    </row>
    <row r="97">
      <c r="A97" s="20">
        <v>96.0</v>
      </c>
      <c r="B97" s="21"/>
      <c r="C97" s="16" t="str">
        <f t="shared" si="14"/>
        <v>Wipfler (2011)</v>
      </c>
      <c r="D97" s="30" t="s">
        <v>545</v>
      </c>
      <c r="E97" s="15" t="s">
        <v>32</v>
      </c>
      <c r="F97" s="37" t="s">
        <v>33</v>
      </c>
      <c r="G97" s="37" t="s">
        <v>198</v>
      </c>
      <c r="H97" s="23" t="str">
        <f>IFERROR(__xludf.DUMMYFUNCTION("if(REGEXMATCH(join("", "",$F97:$G97),H$1)=TRUE,""✓"",""✗"")"),"✓")</f>
        <v>✓</v>
      </c>
      <c r="I97" s="23" t="str">
        <f>IFERROR(__xludf.DUMMYFUNCTION("if(REGEXMATCH(join("", "",$F97:$G97),I$1)=TRUE,""✓"",""✗"")"),"✓")</f>
        <v>✓</v>
      </c>
      <c r="J97" s="23" t="str">
        <f>IFERROR(__xludf.DUMMYFUNCTION("if(REGEXMATCH(join("", "",$F97:$G97),J$1)=TRUE,""✓"",""✗"")"),"✗")</f>
        <v>✗</v>
      </c>
      <c r="K97" s="23" t="str">
        <f>IFERROR(__xludf.DUMMYFUNCTION("if(REGEXMATCH(join("", "",$F97:$G97),K$1)=TRUE,""✓"",""✗"")"),"✗")</f>
        <v>✗</v>
      </c>
      <c r="L97" s="23" t="str">
        <f>IFERROR(__xludf.DUMMYFUNCTION("if(REGEXMATCH(join("", "",$F97:$G97),L$1)=TRUE,""✓"",""✗"")"),"✗")</f>
        <v>✗</v>
      </c>
      <c r="M97" s="23" t="str">
        <f>IFERROR(__xludf.DUMMYFUNCTION("if(REGEXMATCH(join("", "",$F97:$G97),M$1)=TRUE,""✓"",""✗"")"),"✗")</f>
        <v>✗</v>
      </c>
      <c r="N97" s="23" t="str">
        <f>IFERROR(__xludf.DUMMYFUNCTION("if(REGEXMATCH(join("", "",$F97:$G97),N$1)=TRUE,""✓"",""✗"")"),"✓")</f>
        <v>✓</v>
      </c>
      <c r="O97" s="23" t="str">
        <f>IFERROR(__xludf.DUMMYFUNCTION("if(REGEXMATCH(join("", "",$F97:$G97),O$1)=TRUE,""✓"",""✗"")"),"✓")</f>
        <v>✓</v>
      </c>
      <c r="P97" s="23" t="str">
        <f>IFERROR(__xludf.DUMMYFUNCTION("if(REGEXMATCH(join("", "",$F97:$G97),P$1)=TRUE,""✓"",""✗"")"),"✓")</f>
        <v>✓</v>
      </c>
      <c r="Q97" s="23" t="str">
        <f>IFERROR(__xludf.DUMMYFUNCTION("if(REGEXMATCH(join("", "",$F97:$G97),Q$1)=TRUE,""✓"",""✗"")"),"✓")</f>
        <v>✓</v>
      </c>
      <c r="R97" s="23" t="str">
        <f>IFERROR(__xludf.DUMMYFUNCTION("if(REGEXMATCH(join("", "",$F97:$G97),R$1)=TRUE,""✓"",""✗"")"),"✓")</f>
        <v>✓</v>
      </c>
      <c r="S97" s="23" t="str">
        <f>IFERROR(__xludf.DUMMYFUNCTION("if(REGEXMATCH(join("", "",$F97:$G97),S$1)=TRUE,""✓"",""✗"")"),"✓")</f>
        <v>✓</v>
      </c>
      <c r="T97" s="23" t="str">
        <f>IFERROR(__xludf.DUMMYFUNCTION("if(REGEXMATCH(join("", "",$F97:$G97),T$1)=TRUE,""✓"",""✗"")"),"✓")</f>
        <v>✓</v>
      </c>
      <c r="U97" s="33"/>
      <c r="V97" s="33"/>
      <c r="W97" s="33"/>
      <c r="X97" s="33"/>
      <c r="Y97" s="33"/>
      <c r="Z97" s="33"/>
      <c r="AA97" s="33"/>
      <c r="AB97" s="33"/>
      <c r="AC97" s="33"/>
    </row>
    <row r="98">
      <c r="A98" s="20">
        <v>97.0</v>
      </c>
      <c r="B98" s="21"/>
      <c r="C98" s="16" t="str">
        <f t="shared" si="14"/>
        <v>Yadav (2025)</v>
      </c>
      <c r="D98" s="30" t="s">
        <v>548</v>
      </c>
      <c r="E98" s="15" t="s">
        <v>32</v>
      </c>
      <c r="F98" s="37" t="s">
        <v>245</v>
      </c>
      <c r="G98" s="37" t="s">
        <v>201</v>
      </c>
      <c r="H98" s="23" t="str">
        <f>IFERROR(__xludf.DUMMYFUNCTION("if(REGEXMATCH(join("", "",$F98:$G98),H$1)=TRUE,""✓"",""✗"")"),"✗")</f>
        <v>✗</v>
      </c>
      <c r="I98" s="23" t="str">
        <f>IFERROR(__xludf.DUMMYFUNCTION("if(REGEXMATCH(join("", "",$F98:$G98),I$1)=TRUE,""✓"",""✗"")"),"✓")</f>
        <v>✓</v>
      </c>
      <c r="J98" s="23" t="str">
        <f>IFERROR(__xludf.DUMMYFUNCTION("if(REGEXMATCH(join("", "",$F98:$G98),J$1)=TRUE,""✓"",""✗"")"),"✓")</f>
        <v>✓</v>
      </c>
      <c r="K98" s="23" t="str">
        <f>IFERROR(__xludf.DUMMYFUNCTION("if(REGEXMATCH(join("", "",$F98:$G98),K$1)=TRUE,""✓"",""✗"")"),"✗")</f>
        <v>✗</v>
      </c>
      <c r="L98" s="23" t="str">
        <f>IFERROR(__xludf.DUMMYFUNCTION("if(REGEXMATCH(join("", "",$F98:$G98),L$1)=TRUE,""✓"",""✗"")"),"✗")</f>
        <v>✗</v>
      </c>
      <c r="M98" s="23" t="str">
        <f>IFERROR(__xludf.DUMMYFUNCTION("if(REGEXMATCH(join("", "",$F98:$G98),M$1)=TRUE,""✓"",""✗"")"),"✗")</f>
        <v>✗</v>
      </c>
      <c r="N98" s="23" t="str">
        <f>IFERROR(__xludf.DUMMYFUNCTION("if(REGEXMATCH(join("", "",$F98:$G98),N$1)=TRUE,""✓"",""✗"")"),"✗")</f>
        <v>✗</v>
      </c>
      <c r="O98" s="23" t="str">
        <f>IFERROR(__xludf.DUMMYFUNCTION("if(REGEXMATCH(join("", "",$F98:$G98),O$1)=TRUE,""✓"",""✗"")"),"✓")</f>
        <v>✓</v>
      </c>
      <c r="P98" s="23" t="str">
        <f>IFERROR(__xludf.DUMMYFUNCTION("if(REGEXMATCH(join("", "",$F98:$G98),P$1)=TRUE,""✓"",""✗"")"),"✗")</f>
        <v>✗</v>
      </c>
      <c r="Q98" s="23" t="str">
        <f>IFERROR(__xludf.DUMMYFUNCTION("if(REGEXMATCH(join("", "",$F98:$G98),Q$1)=TRUE,""✓"",""✗"")"),"✓")</f>
        <v>✓</v>
      </c>
      <c r="R98" s="23" t="str">
        <f>IFERROR(__xludf.DUMMYFUNCTION("if(REGEXMATCH(join("", "",$F98:$G98),R$1)=TRUE,""✓"",""✗"")"),"✓")</f>
        <v>✓</v>
      </c>
      <c r="S98" s="23" t="str">
        <f>IFERROR(__xludf.DUMMYFUNCTION("if(REGEXMATCH(join("", "",$F98:$G98),S$1)=TRUE,""✓"",""✗"")"),"✓")</f>
        <v>✓</v>
      </c>
      <c r="T98" s="23" t="str">
        <f>IFERROR(__xludf.DUMMYFUNCTION("if(REGEXMATCH(join("", "",$F98:$G98),T$1)=TRUE,""✓"",""✗"")"),"✗")</f>
        <v>✗</v>
      </c>
      <c r="U98" s="33"/>
      <c r="V98" s="33"/>
      <c r="W98" s="33"/>
      <c r="X98" s="33"/>
      <c r="Y98" s="33"/>
      <c r="Z98" s="33"/>
      <c r="AA98" s="33"/>
      <c r="AB98" s="33"/>
      <c r="AC98" s="33"/>
    </row>
    <row r="99">
      <c r="A99" s="20">
        <v>98.0</v>
      </c>
      <c r="B99" s="21"/>
      <c r="C99" s="16" t="str">
        <f t="shared" si="14"/>
        <v>Yoo (2017)</v>
      </c>
      <c r="D99" s="30" t="s">
        <v>549</v>
      </c>
      <c r="E99" s="15" t="s">
        <v>32</v>
      </c>
      <c r="F99" s="37" t="s">
        <v>223</v>
      </c>
      <c r="G99" s="37" t="s">
        <v>204</v>
      </c>
      <c r="H99" s="23" t="str">
        <f>IFERROR(__xludf.DUMMYFUNCTION("if(REGEXMATCH(join("", "",$F99:$G99),H$1)=TRUE,""✓"",""✗"")"),"✗")</f>
        <v>✗</v>
      </c>
      <c r="I99" s="23" t="str">
        <f>IFERROR(__xludf.DUMMYFUNCTION("if(REGEXMATCH(join("", "",$F99:$G99),I$1)=TRUE,""✓"",""✗"")"),"✓")</f>
        <v>✓</v>
      </c>
      <c r="J99" s="23" t="str">
        <f>IFERROR(__xludf.DUMMYFUNCTION("if(REGEXMATCH(join("", "",$F99:$G99),J$1)=TRUE,""✓"",""✗"")"),"✗")</f>
        <v>✗</v>
      </c>
      <c r="K99" s="23" t="str">
        <f>IFERROR(__xludf.DUMMYFUNCTION("if(REGEXMATCH(join("", "",$F99:$G99),K$1)=TRUE,""✓"",""✗"")"),"✗")</f>
        <v>✗</v>
      </c>
      <c r="L99" s="23" t="str">
        <f>IFERROR(__xludf.DUMMYFUNCTION("if(REGEXMATCH(join("", "",$F99:$G99),L$1)=TRUE,""✓"",""✗"")"),"✗")</f>
        <v>✗</v>
      </c>
      <c r="M99" s="23" t="str">
        <f>IFERROR(__xludf.DUMMYFUNCTION("if(REGEXMATCH(join("", "",$F99:$G99),M$1)=TRUE,""✓"",""✗"")"),"✓")</f>
        <v>✓</v>
      </c>
      <c r="N99" s="23" t="str">
        <f>IFERROR(__xludf.DUMMYFUNCTION("if(REGEXMATCH(join("", "",$F99:$G99),N$1)=TRUE,""✓"",""✗"")"),"✗")</f>
        <v>✗</v>
      </c>
      <c r="O99" s="23" t="str">
        <f>IFERROR(__xludf.DUMMYFUNCTION("if(REGEXMATCH(join("", "",$F99:$G99),O$1)=TRUE,""✓"",""✗"")"),"✓")</f>
        <v>✓</v>
      </c>
      <c r="P99" s="23" t="str">
        <f>IFERROR(__xludf.DUMMYFUNCTION("if(REGEXMATCH(join("", "",$F99:$G99),P$1)=TRUE,""✓"",""✗"")"),"✓")</f>
        <v>✓</v>
      </c>
      <c r="Q99" s="23" t="str">
        <f>IFERROR(__xludf.DUMMYFUNCTION("if(REGEXMATCH(join("", "",$F99:$G99),Q$1)=TRUE,""✓"",""✗"")"),"✓")</f>
        <v>✓</v>
      </c>
      <c r="R99" s="23" t="str">
        <f>IFERROR(__xludf.DUMMYFUNCTION("if(REGEXMATCH(join("", "",$F99:$G99),R$1)=TRUE,""✓"",""✗"")"),"✓")</f>
        <v>✓</v>
      </c>
      <c r="S99" s="23" t="str">
        <f>IFERROR(__xludf.DUMMYFUNCTION("if(REGEXMATCH(join("", "",$F99:$G99),S$1)=TRUE,""✓"",""✗"")"),"✓")</f>
        <v>✓</v>
      </c>
      <c r="T99" s="23" t="str">
        <f>IFERROR(__xludf.DUMMYFUNCTION("if(REGEXMATCH(join("", "",$F99:$G99),T$1)=TRUE,""✓"",""✗"")"),"✗")</f>
        <v>✗</v>
      </c>
      <c r="U99" s="33"/>
      <c r="V99" s="33"/>
      <c r="W99" s="33"/>
      <c r="X99" s="33"/>
      <c r="Y99" s="33"/>
      <c r="Z99" s="33"/>
      <c r="AA99" s="33"/>
      <c r="AB99" s="33"/>
      <c r="AC99" s="33"/>
    </row>
    <row r="100" hidden="1">
      <c r="A100" s="20">
        <v>99.0</v>
      </c>
      <c r="B100" s="21"/>
      <c r="C100" s="15"/>
      <c r="D100" s="30" t="s">
        <v>550</v>
      </c>
      <c r="E100" s="15" t="s">
        <v>102</v>
      </c>
      <c r="F100" s="37"/>
      <c r="G100" s="15" t="s">
        <v>228</v>
      </c>
      <c r="H100" s="23" t="str">
        <f>IFERROR(__xludf.DUMMYFUNCTION("if(REGEXMATCH(join("", "",$F100:$G100),H$1)=TRUE,""✓"",""✗"")"),"✗")</f>
        <v>✗</v>
      </c>
      <c r="I100" s="23" t="str">
        <f>IFERROR(__xludf.DUMMYFUNCTION("if(REGEXMATCH(join("", "",$F100:$G100),I$1)=TRUE,""✓"",""✗"")"),"✗")</f>
        <v>✗</v>
      </c>
      <c r="J100" s="23" t="str">
        <f>IFERROR(__xludf.DUMMYFUNCTION("if(REGEXMATCH(join("", "",$F100:$G100),J$1)=TRUE,""✓"",""✗"")"),"✗")</f>
        <v>✗</v>
      </c>
      <c r="K100" s="23" t="str">
        <f>IFERROR(__xludf.DUMMYFUNCTION("if(REGEXMATCH(join("", "",$F100:$G100),K$1)=TRUE,""✓"",""✗"")"),"✗")</f>
        <v>✗</v>
      </c>
      <c r="L100" s="23" t="str">
        <f>IFERROR(__xludf.DUMMYFUNCTION("if(REGEXMATCH(join("", "",$F100:$G100),L$1)=TRUE,""✓"",""✗"")"),"✗")</f>
        <v>✗</v>
      </c>
      <c r="M100" s="23" t="str">
        <f>IFERROR(__xludf.DUMMYFUNCTION("if(REGEXMATCH(join("", "",$F100:$G100),M$1)=TRUE,""✓"",""✗"")"),"✗")</f>
        <v>✗</v>
      </c>
      <c r="N100" s="23" t="str">
        <f>IFERROR(__xludf.DUMMYFUNCTION("if(REGEXMATCH(join("", "",$F100:$G100),N$1)=TRUE,""✓"",""✗"")"),"✗")</f>
        <v>✗</v>
      </c>
      <c r="O100" s="23" t="str">
        <f>IFERROR(__xludf.DUMMYFUNCTION("if(REGEXMATCH(join("", "",$F100:$G100),O$1)=TRUE,""✓"",""✗"")"),"✗")</f>
        <v>✗</v>
      </c>
      <c r="P100" s="23" t="str">
        <f>IFERROR(__xludf.DUMMYFUNCTION("if(REGEXMATCH(join("", "",$F100:$G100),P$1)=TRUE,""✓"",""✗"")"),"✗")</f>
        <v>✗</v>
      </c>
      <c r="Q100" s="23" t="str">
        <f>IFERROR(__xludf.DUMMYFUNCTION("if(REGEXMATCH(join("", "",$F100:$G100),Q$1)=TRUE,""✓"",""✗"")"),"✗")</f>
        <v>✗</v>
      </c>
      <c r="R100" s="23" t="str">
        <f>IFERROR(__xludf.DUMMYFUNCTION("if(REGEXMATCH(join("", "",$F100:$G100),R$1)=TRUE,""✓"",""✗"")"),"✗")</f>
        <v>✗</v>
      </c>
      <c r="S100" s="23" t="str">
        <f>IFERROR(__xludf.DUMMYFUNCTION("if(REGEXMATCH(join("", "",$F100:$G100),S$1)=TRUE,""✓"",""✗"")"),"✗")</f>
        <v>✗</v>
      </c>
      <c r="T100" s="23" t="str">
        <f>IFERROR(__xludf.DUMMYFUNCTION("if(REGEXMATCH(join("", "",$F100:$G100),T$1)=TRUE,""✓"",""✗"")"),"✗")</f>
        <v>✗</v>
      </c>
      <c r="U100" s="33"/>
      <c r="V100" s="33"/>
      <c r="W100" s="33"/>
      <c r="X100" s="33"/>
      <c r="Y100" s="33"/>
      <c r="Z100" s="33"/>
      <c r="AA100" s="33"/>
      <c r="AB100" s="33"/>
      <c r="AC100" s="33"/>
    </row>
    <row r="101">
      <c r="A101" s="20">
        <v>100.0</v>
      </c>
      <c r="B101" s="21"/>
      <c r="C101" s="16" t="str">
        <f>hyperlink("https://github.com/d-wkim/phd/blob/main/data/pdf/"&amp;D101&amp;".pdf",PROPER(SUBSTITUTE(D101,"_"," (")&amp;")"))</f>
        <v>Zaffagnini (2011)</v>
      </c>
      <c r="D101" s="30" t="s">
        <v>551</v>
      </c>
      <c r="E101" s="15" t="s">
        <v>32</v>
      </c>
      <c r="F101" s="37" t="s">
        <v>33</v>
      </c>
      <c r="G101" s="37" t="s">
        <v>76</v>
      </c>
      <c r="H101" s="23" t="str">
        <f>IFERROR(__xludf.DUMMYFUNCTION("if(REGEXMATCH(join("", "",$F101:$G101),H$1)=TRUE,""✓"",""✗"")"),"✓")</f>
        <v>✓</v>
      </c>
      <c r="I101" s="23" t="str">
        <f>IFERROR(__xludf.DUMMYFUNCTION("if(REGEXMATCH(join("", "",$F101:$G101),I$1)=TRUE,""✓"",""✗"")"),"✓")</f>
        <v>✓</v>
      </c>
      <c r="J101" s="23" t="str">
        <f>IFERROR(__xludf.DUMMYFUNCTION("if(REGEXMATCH(join("", "",$F101:$G101),J$1)=TRUE,""✓"",""✗"")"),"✗")</f>
        <v>✗</v>
      </c>
      <c r="K101" s="23" t="str">
        <f>IFERROR(__xludf.DUMMYFUNCTION("if(REGEXMATCH(join("", "",$F101:$G101),K$1)=TRUE,""✓"",""✗"")"),"✗")</f>
        <v>✗</v>
      </c>
      <c r="L101" s="23" t="str">
        <f>IFERROR(__xludf.DUMMYFUNCTION("if(REGEXMATCH(join("", "",$F101:$G101),L$1)=TRUE,""✓"",""✗"")"),"✗")</f>
        <v>✗</v>
      </c>
      <c r="M101" s="23" t="str">
        <f>IFERROR(__xludf.DUMMYFUNCTION("if(REGEXMATCH(join("", "",$F101:$G101),M$1)=TRUE,""✓"",""✗"")"),"✗")</f>
        <v>✗</v>
      </c>
      <c r="N101" s="23" t="str">
        <f>IFERROR(__xludf.DUMMYFUNCTION("if(REGEXMATCH(join("", "",$F101:$G101),N$1)=TRUE,""✓"",""✗"")"),"✓")</f>
        <v>✓</v>
      </c>
      <c r="O101" s="23" t="str">
        <f>IFERROR(__xludf.DUMMYFUNCTION("if(REGEXMATCH(join("", "",$F101:$G101),O$1)=TRUE,""✓"",""✗"")"),"✗")</f>
        <v>✗</v>
      </c>
      <c r="P101" s="23" t="str">
        <f>IFERROR(__xludf.DUMMYFUNCTION("if(REGEXMATCH(join("", "",$F101:$G101),P$1)=TRUE,""✓"",""✗"")"),"✗")</f>
        <v>✗</v>
      </c>
      <c r="Q101" s="23" t="str">
        <f>IFERROR(__xludf.DUMMYFUNCTION("if(REGEXMATCH(join("", "",$F101:$G101),Q$1)=TRUE,""✓"",""✗"")"),"✓")</f>
        <v>✓</v>
      </c>
      <c r="R101" s="23" t="str">
        <f>IFERROR(__xludf.DUMMYFUNCTION("if(REGEXMATCH(join("", "",$F101:$G101),R$1)=TRUE,""✓"",""✗"")"),"✗")</f>
        <v>✗</v>
      </c>
      <c r="S101" s="23" t="str">
        <f>IFERROR(__xludf.DUMMYFUNCTION("if(REGEXMATCH(join("", "",$F101:$G101),S$1)=TRUE,""✓"",""✗"")"),"✗")</f>
        <v>✗</v>
      </c>
      <c r="T101" s="23" t="str">
        <f>IFERROR(__xludf.DUMMYFUNCTION("if(REGEXMATCH(join("", "",$F101:$G101),T$1)=TRUE,""✓"",""✗"")"),"✗")</f>
        <v>✗</v>
      </c>
      <c r="U101" s="33"/>
      <c r="V101" s="33"/>
      <c r="W101" s="33"/>
      <c r="X101" s="33"/>
      <c r="Y101" s="33"/>
      <c r="Z101" s="33"/>
      <c r="AA101" s="33"/>
      <c r="AB101" s="33"/>
      <c r="AC101" s="33"/>
    </row>
    <row r="102" hidden="1">
      <c r="A102" s="1">
        <v>101.0</v>
      </c>
      <c r="B102" s="33"/>
      <c r="C102" s="33"/>
      <c r="D102" s="56" t="s">
        <v>462</v>
      </c>
      <c r="E102" s="33"/>
      <c r="F102" s="33"/>
      <c r="G102" s="33">
        <v>1.0</v>
      </c>
      <c r="H102" s="23" t="str">
        <f>IFERROR(__xludf.DUMMYFUNCTION("if(REGEXMATCH(join("", "",$F102:$G102),H$1)=TRUE,""✓"",""✗"")"),"✗")</f>
        <v>✗</v>
      </c>
      <c r="I102" s="23" t="str">
        <f>IFERROR(__xludf.DUMMYFUNCTION("if(REGEXMATCH(join("", "",$F102:$G102),I$1)=TRUE,""✓"",""✗"")"),"✗")</f>
        <v>✗</v>
      </c>
      <c r="J102" s="23" t="str">
        <f>IFERROR(__xludf.DUMMYFUNCTION("if(REGEXMATCH(join("", "",$F102:$G102),J$1)=TRUE,""✓"",""✗"")"),"✗")</f>
        <v>✗</v>
      </c>
      <c r="K102" s="23" t="str">
        <f>IFERROR(__xludf.DUMMYFUNCTION("if(REGEXMATCH(join("", "",$F102:$G102),K$1)=TRUE,""✓"",""✗"")"),"✗")</f>
        <v>✗</v>
      </c>
      <c r="L102" s="23" t="str">
        <f>IFERROR(__xludf.DUMMYFUNCTION("if(REGEXMATCH(join("", "",$F102:$G102),L$1)=TRUE,""✓"",""✗"")"),"✗")</f>
        <v>✗</v>
      </c>
      <c r="M102" s="23" t="str">
        <f>IFERROR(__xludf.DUMMYFUNCTION("if(REGEXMATCH(join("", "",$F102:$G102),M$1)=TRUE,""✓"",""✗"")"),"✗")</f>
        <v>✗</v>
      </c>
      <c r="N102" s="23" t="str">
        <f>IFERROR(__xludf.DUMMYFUNCTION("if(REGEXMATCH(join("", "",$F102:$G102),N$1)=TRUE,""✓"",""✗"")"),"✗")</f>
        <v>✗</v>
      </c>
      <c r="O102" s="23" t="str">
        <f>IFERROR(__xludf.DUMMYFUNCTION("if(REGEXMATCH(join("", "",$F102:$G102),O$1)=TRUE,""✓"",""✗"")"),"✗")</f>
        <v>✗</v>
      </c>
      <c r="P102" s="23" t="str">
        <f>IFERROR(__xludf.DUMMYFUNCTION("if(REGEXMATCH(join("", "",$F102:$G102),P$1)=TRUE,""✓"",""✗"")"),"✗")</f>
        <v>✗</v>
      </c>
      <c r="Q102" s="23" t="str">
        <f>IFERROR(__xludf.DUMMYFUNCTION("if(REGEXMATCH(join("", "",$F102:$G102),Q$1)=TRUE,""✓"",""✗"")"),"✗")</f>
        <v>✗</v>
      </c>
      <c r="R102" s="23" t="str">
        <f>IFERROR(__xludf.DUMMYFUNCTION("if(REGEXMATCH(join("", "",$F102:$G102),R$1)=TRUE,""✓"",""✗"")"),"✗")</f>
        <v>✗</v>
      </c>
      <c r="S102" s="23" t="str">
        <f>IFERROR(__xludf.DUMMYFUNCTION("if(REGEXMATCH(join("", "",$F102:$G102),S$1)=TRUE,""✓"",""✗"")"),"✗")</f>
        <v>✗</v>
      </c>
      <c r="T102" s="23" t="str">
        <f>IFERROR(__xludf.DUMMYFUNCTION("if(REGEXMATCH(join("", "",$F102:$G102),T$1)=TRUE,""✓"",""✗"")"),"✗")</f>
        <v>✗</v>
      </c>
      <c r="U102" s="33"/>
      <c r="V102" s="33"/>
      <c r="W102" s="33"/>
      <c r="X102" s="33"/>
      <c r="Y102" s="33"/>
      <c r="Z102" s="33"/>
      <c r="AA102" s="33"/>
      <c r="AB102" s="33"/>
      <c r="AC102" s="33"/>
    </row>
    <row r="103" hidden="1">
      <c r="A103" s="57">
        <v>102.0</v>
      </c>
      <c r="B103" s="33"/>
      <c r="C103" s="33"/>
      <c r="D103" s="21" t="s">
        <v>465</v>
      </c>
      <c r="E103" s="33"/>
      <c r="F103" s="33"/>
      <c r="G103" s="33">
        <v>2.0</v>
      </c>
      <c r="H103" s="23" t="str">
        <f>IFERROR(__xludf.DUMMYFUNCTION("if(REGEXMATCH(join("", "",$F103:$G103),H$1)=TRUE,""✓"",""✗"")"),"✗")</f>
        <v>✗</v>
      </c>
      <c r="I103" s="23" t="str">
        <f>IFERROR(__xludf.DUMMYFUNCTION("if(REGEXMATCH(join("", "",$F103:$G103),I$1)=TRUE,""✓"",""✗"")"),"✗")</f>
        <v>✗</v>
      </c>
      <c r="J103" s="23" t="str">
        <f>IFERROR(__xludf.DUMMYFUNCTION("if(REGEXMATCH(join("", "",$F103:$G103),J$1)=TRUE,""✓"",""✗"")"),"✗")</f>
        <v>✗</v>
      </c>
      <c r="K103" s="23" t="str">
        <f>IFERROR(__xludf.DUMMYFUNCTION("if(REGEXMATCH(join("", "",$F103:$G103),K$1)=TRUE,""✓"",""✗"")"),"✗")</f>
        <v>✗</v>
      </c>
      <c r="L103" s="23" t="str">
        <f>IFERROR(__xludf.DUMMYFUNCTION("if(REGEXMATCH(join("", "",$F103:$G103),L$1)=TRUE,""✓"",""✗"")"),"✗")</f>
        <v>✗</v>
      </c>
      <c r="M103" s="23" t="str">
        <f>IFERROR(__xludf.DUMMYFUNCTION("if(REGEXMATCH(join("", "",$F103:$G103),M$1)=TRUE,""✓"",""✗"")"),"✗")</f>
        <v>✗</v>
      </c>
      <c r="N103" s="23" t="str">
        <f>IFERROR(__xludf.DUMMYFUNCTION("if(REGEXMATCH(join("", "",$F103:$G103),N$1)=TRUE,""✓"",""✗"")"),"✗")</f>
        <v>✗</v>
      </c>
      <c r="O103" s="23" t="str">
        <f>IFERROR(__xludf.DUMMYFUNCTION("if(REGEXMATCH(join("", "",$F103:$G103),O$1)=TRUE,""✓"",""✗"")"),"✗")</f>
        <v>✗</v>
      </c>
      <c r="P103" s="23" t="str">
        <f>IFERROR(__xludf.DUMMYFUNCTION("if(REGEXMATCH(join("", "",$F103:$G103),P$1)=TRUE,""✓"",""✗"")"),"✗")</f>
        <v>✗</v>
      </c>
      <c r="Q103" s="23" t="str">
        <f>IFERROR(__xludf.DUMMYFUNCTION("if(REGEXMATCH(join("", "",$F103:$G103),Q$1)=TRUE,""✓"",""✗"")"),"✗")</f>
        <v>✗</v>
      </c>
      <c r="R103" s="23" t="str">
        <f>IFERROR(__xludf.DUMMYFUNCTION("if(REGEXMATCH(join("", "",$F103:$G103),R$1)=TRUE,""✓"",""✗"")"),"✗")</f>
        <v>✗</v>
      </c>
      <c r="S103" s="23" t="str">
        <f>IFERROR(__xludf.DUMMYFUNCTION("if(REGEXMATCH(join("", "",$F103:$G103),S$1)=TRUE,""✓"",""✗"")"),"✗")</f>
        <v>✗</v>
      </c>
      <c r="T103" s="23" t="str">
        <f>IFERROR(__xludf.DUMMYFUNCTION("if(REGEXMATCH(join("", "",$F103:$G103),T$1)=TRUE,""✓"",""✗"")"),"✗")</f>
        <v>✗</v>
      </c>
      <c r="U103" s="33"/>
      <c r="V103" s="33"/>
      <c r="W103" s="33"/>
      <c r="X103" s="33"/>
      <c r="Y103" s="33"/>
      <c r="Z103" s="33"/>
      <c r="AA103" s="33"/>
      <c r="AB103" s="33"/>
      <c r="AC103" s="33"/>
    </row>
    <row r="104" hidden="1">
      <c r="A104" s="57">
        <v>103.0</v>
      </c>
      <c r="B104" s="33"/>
      <c r="C104" s="33"/>
      <c r="D104" s="21" t="s">
        <v>468</v>
      </c>
      <c r="E104" s="33"/>
      <c r="F104" s="33"/>
      <c r="G104" s="33">
        <v>3.0</v>
      </c>
      <c r="H104" s="23" t="str">
        <f>IFERROR(__xludf.DUMMYFUNCTION("if(REGEXMATCH(join("", "",$F104:$G104),H$1)=TRUE,""✓"",""✗"")"),"✗")</f>
        <v>✗</v>
      </c>
      <c r="I104" s="23" t="str">
        <f>IFERROR(__xludf.DUMMYFUNCTION("if(REGEXMATCH(join("", "",$F104:$G104),I$1)=TRUE,""✓"",""✗"")"),"✗")</f>
        <v>✗</v>
      </c>
      <c r="J104" s="23" t="str">
        <f>IFERROR(__xludf.DUMMYFUNCTION("if(REGEXMATCH(join("", "",$F104:$G104),J$1)=TRUE,""✓"",""✗"")"),"✗")</f>
        <v>✗</v>
      </c>
      <c r="K104" s="23" t="str">
        <f>IFERROR(__xludf.DUMMYFUNCTION("if(REGEXMATCH(join("", "",$F104:$G104),K$1)=TRUE,""✓"",""✗"")"),"✗")</f>
        <v>✗</v>
      </c>
      <c r="L104" s="23" t="str">
        <f>IFERROR(__xludf.DUMMYFUNCTION("if(REGEXMATCH(join("", "",$F104:$G104),L$1)=TRUE,""✓"",""✗"")"),"✗")</f>
        <v>✗</v>
      </c>
      <c r="M104" s="23" t="str">
        <f>IFERROR(__xludf.DUMMYFUNCTION("if(REGEXMATCH(join("", "",$F104:$G104),M$1)=TRUE,""✓"",""✗"")"),"✗")</f>
        <v>✗</v>
      </c>
      <c r="N104" s="23" t="str">
        <f>IFERROR(__xludf.DUMMYFUNCTION("if(REGEXMATCH(join("", "",$F104:$G104),N$1)=TRUE,""✓"",""✗"")"),"✗")</f>
        <v>✗</v>
      </c>
      <c r="O104" s="23" t="str">
        <f>IFERROR(__xludf.DUMMYFUNCTION("if(REGEXMATCH(join("", "",$F104:$G104),O$1)=TRUE,""✓"",""✗"")"),"✗")</f>
        <v>✗</v>
      </c>
      <c r="P104" s="23" t="str">
        <f>IFERROR(__xludf.DUMMYFUNCTION("if(REGEXMATCH(join("", "",$F104:$G104),P$1)=TRUE,""✓"",""✗"")"),"✗")</f>
        <v>✗</v>
      </c>
      <c r="Q104" s="23" t="str">
        <f>IFERROR(__xludf.DUMMYFUNCTION("if(REGEXMATCH(join("", "",$F104:$G104),Q$1)=TRUE,""✓"",""✗"")"),"✗")</f>
        <v>✗</v>
      </c>
      <c r="R104" s="23" t="str">
        <f>IFERROR(__xludf.DUMMYFUNCTION("if(REGEXMATCH(join("", "",$F104:$G104),R$1)=TRUE,""✓"",""✗"")"),"✗")</f>
        <v>✗</v>
      </c>
      <c r="S104" s="23" t="str">
        <f>IFERROR(__xludf.DUMMYFUNCTION("if(REGEXMATCH(join("", "",$F104:$G104),S$1)=TRUE,""✓"",""✗"")"),"✗")</f>
        <v>✗</v>
      </c>
      <c r="T104" s="23" t="str">
        <f>IFERROR(__xludf.DUMMYFUNCTION("if(REGEXMATCH(join("", "",$F104:$G104),T$1)=TRUE,""✓"",""✗"")"),"✗")</f>
        <v>✗</v>
      </c>
      <c r="U104" s="33"/>
      <c r="V104" s="33"/>
      <c r="W104" s="33"/>
      <c r="X104" s="33"/>
      <c r="Y104" s="33"/>
      <c r="Z104" s="33"/>
      <c r="AA104" s="33"/>
      <c r="AB104" s="33"/>
      <c r="AC104" s="33"/>
    </row>
    <row r="105" hidden="1">
      <c r="A105" s="57">
        <v>104.0</v>
      </c>
      <c r="B105" s="33"/>
      <c r="C105" s="33"/>
      <c r="D105" s="21" t="s">
        <v>470</v>
      </c>
      <c r="E105" s="33"/>
      <c r="F105" s="33"/>
      <c r="G105" s="33">
        <v>4.0</v>
      </c>
      <c r="H105" s="23" t="str">
        <f>IFERROR(__xludf.DUMMYFUNCTION("if(REGEXMATCH(join("", "",$F105:$G105),H$1)=TRUE,""✓"",""✗"")"),"✗")</f>
        <v>✗</v>
      </c>
      <c r="I105" s="23" t="str">
        <f>IFERROR(__xludf.DUMMYFUNCTION("if(REGEXMATCH(join("", "",$F105:$G105),I$1)=TRUE,""✓"",""✗"")"),"✗")</f>
        <v>✗</v>
      </c>
      <c r="J105" s="23" t="str">
        <f>IFERROR(__xludf.DUMMYFUNCTION("if(REGEXMATCH(join("", "",$F105:$G105),J$1)=TRUE,""✓"",""✗"")"),"✗")</f>
        <v>✗</v>
      </c>
      <c r="K105" s="23" t="str">
        <f>IFERROR(__xludf.DUMMYFUNCTION("if(REGEXMATCH(join("", "",$F105:$G105),K$1)=TRUE,""✓"",""✗"")"),"✗")</f>
        <v>✗</v>
      </c>
      <c r="L105" s="23" t="str">
        <f>IFERROR(__xludf.DUMMYFUNCTION("if(REGEXMATCH(join("", "",$F105:$G105),L$1)=TRUE,""✓"",""✗"")"),"✗")</f>
        <v>✗</v>
      </c>
      <c r="M105" s="23" t="str">
        <f>IFERROR(__xludf.DUMMYFUNCTION("if(REGEXMATCH(join("", "",$F105:$G105),M$1)=TRUE,""✓"",""✗"")"),"✗")</f>
        <v>✗</v>
      </c>
      <c r="N105" s="23" t="str">
        <f>IFERROR(__xludf.DUMMYFUNCTION("if(REGEXMATCH(join("", "",$F105:$G105),N$1)=TRUE,""✓"",""✗"")"),"✗")</f>
        <v>✗</v>
      </c>
      <c r="O105" s="23" t="str">
        <f>IFERROR(__xludf.DUMMYFUNCTION("if(REGEXMATCH(join("", "",$F105:$G105),O$1)=TRUE,""✓"",""✗"")"),"✗")</f>
        <v>✗</v>
      </c>
      <c r="P105" s="23" t="str">
        <f>IFERROR(__xludf.DUMMYFUNCTION("if(REGEXMATCH(join("", "",$F105:$G105),P$1)=TRUE,""✓"",""✗"")"),"✗")</f>
        <v>✗</v>
      </c>
      <c r="Q105" s="23" t="str">
        <f>IFERROR(__xludf.DUMMYFUNCTION("if(REGEXMATCH(join("", "",$F105:$G105),Q$1)=TRUE,""✓"",""✗"")"),"✗")</f>
        <v>✗</v>
      </c>
      <c r="R105" s="23" t="str">
        <f>IFERROR(__xludf.DUMMYFUNCTION("if(REGEXMATCH(join("", "",$F105:$G105),R$1)=TRUE,""✓"",""✗"")"),"✗")</f>
        <v>✗</v>
      </c>
      <c r="S105" s="23" t="str">
        <f>IFERROR(__xludf.DUMMYFUNCTION("if(REGEXMATCH(join("", "",$F105:$G105),S$1)=TRUE,""✓"",""✗"")"),"✗")</f>
        <v>✗</v>
      </c>
      <c r="T105" s="23" t="str">
        <f>IFERROR(__xludf.DUMMYFUNCTION("if(REGEXMATCH(join("", "",$F105:$G105),T$1)=TRUE,""✓"",""✗"")"),"✗")</f>
        <v>✗</v>
      </c>
      <c r="U105" s="33"/>
      <c r="V105" s="33"/>
      <c r="W105" s="33"/>
      <c r="X105" s="33"/>
      <c r="Y105" s="33"/>
      <c r="Z105" s="33"/>
      <c r="AA105" s="33"/>
      <c r="AB105" s="33"/>
      <c r="AC105" s="33"/>
    </row>
    <row r="106" hidden="1">
      <c r="A106" s="57">
        <v>105.0</v>
      </c>
      <c r="B106" s="33"/>
      <c r="C106" s="33"/>
      <c r="D106" s="21" t="s">
        <v>473</v>
      </c>
      <c r="E106" s="33"/>
      <c r="F106" s="33"/>
      <c r="G106" s="33"/>
      <c r="H106" s="23" t="str">
        <f>IFERROR(__xludf.DUMMYFUNCTION("if(REGEXMATCH(join("", "",$F106:$G106),H$1)=TRUE,""✓"",""✗"")"),"✗")</f>
        <v>✗</v>
      </c>
      <c r="I106" s="23" t="str">
        <f>IFERROR(__xludf.DUMMYFUNCTION("if(REGEXMATCH(join("", "",$F106:$G106),I$1)=TRUE,""✓"",""✗"")"),"✗")</f>
        <v>✗</v>
      </c>
      <c r="J106" s="23" t="str">
        <f>IFERROR(__xludf.DUMMYFUNCTION("if(REGEXMATCH(join("", "",$F106:$G106),J$1)=TRUE,""✓"",""✗"")"),"✗")</f>
        <v>✗</v>
      </c>
      <c r="K106" s="23" t="str">
        <f>IFERROR(__xludf.DUMMYFUNCTION("if(REGEXMATCH(join("", "",$F106:$G106),K$1)=TRUE,""✓"",""✗"")"),"✗")</f>
        <v>✗</v>
      </c>
      <c r="L106" s="23" t="str">
        <f>IFERROR(__xludf.DUMMYFUNCTION("if(REGEXMATCH(join("", "",$F106:$G106),L$1)=TRUE,""✓"",""✗"")"),"✗")</f>
        <v>✗</v>
      </c>
      <c r="M106" s="23" t="str">
        <f>IFERROR(__xludf.DUMMYFUNCTION("if(REGEXMATCH(join("", "",$F106:$G106),M$1)=TRUE,""✓"",""✗"")"),"✗")</f>
        <v>✗</v>
      </c>
      <c r="N106" s="23" t="str">
        <f>IFERROR(__xludf.DUMMYFUNCTION("if(REGEXMATCH(join("", "",$F106:$G106),N$1)=TRUE,""✓"",""✗"")"),"✗")</f>
        <v>✗</v>
      </c>
      <c r="O106" s="23" t="str">
        <f>IFERROR(__xludf.DUMMYFUNCTION("if(REGEXMATCH(join("", "",$F106:$G106),O$1)=TRUE,""✓"",""✗"")"),"✗")</f>
        <v>✗</v>
      </c>
      <c r="P106" s="23" t="str">
        <f>IFERROR(__xludf.DUMMYFUNCTION("if(REGEXMATCH(join("", "",$F106:$G106),P$1)=TRUE,""✓"",""✗"")"),"✗")</f>
        <v>✗</v>
      </c>
      <c r="Q106" s="23" t="str">
        <f>IFERROR(__xludf.DUMMYFUNCTION("if(REGEXMATCH(join("", "",$F106:$G106),Q$1)=TRUE,""✓"",""✗"")"),"✗")</f>
        <v>✗</v>
      </c>
      <c r="R106" s="23" t="str">
        <f>IFERROR(__xludf.DUMMYFUNCTION("if(REGEXMATCH(join("", "",$F106:$G106),R$1)=TRUE,""✓"",""✗"")"),"✗")</f>
        <v>✗</v>
      </c>
      <c r="S106" s="23" t="str">
        <f>IFERROR(__xludf.DUMMYFUNCTION("if(REGEXMATCH(join("", "",$F106:$G106),S$1)=TRUE,""✓"",""✗"")"),"✗")</f>
        <v>✗</v>
      </c>
      <c r="T106" s="23" t="str">
        <f>IFERROR(__xludf.DUMMYFUNCTION("if(REGEXMATCH(join("", "",$F106:$G106),T$1)=TRUE,""✓"",""✗"")"),"✗")</f>
        <v>✗</v>
      </c>
      <c r="U106" s="33"/>
      <c r="V106" s="33"/>
      <c r="W106" s="33"/>
      <c r="X106" s="33"/>
      <c r="Y106" s="33"/>
      <c r="Z106" s="33"/>
      <c r="AA106" s="33"/>
      <c r="AB106" s="33"/>
      <c r="AC106" s="33"/>
    </row>
    <row r="107" hidden="1">
      <c r="A107" s="57">
        <v>106.0</v>
      </c>
      <c r="B107" s="33"/>
      <c r="C107" s="33"/>
      <c r="D107" s="21" t="s">
        <v>475</v>
      </c>
      <c r="E107" s="33"/>
      <c r="F107" s="33"/>
      <c r="G107" s="33">
        <v>1.0</v>
      </c>
      <c r="H107" s="23" t="str">
        <f>IFERROR(__xludf.DUMMYFUNCTION("if(REGEXMATCH(join("", "",$F107:$G107),H$1)=TRUE,""✓"",""✗"")"),"✗")</f>
        <v>✗</v>
      </c>
      <c r="I107" s="23" t="str">
        <f>IFERROR(__xludf.DUMMYFUNCTION("if(REGEXMATCH(join("", "",$F107:$G107),I$1)=TRUE,""✓"",""✗"")"),"✗")</f>
        <v>✗</v>
      </c>
      <c r="J107" s="23" t="str">
        <f>IFERROR(__xludf.DUMMYFUNCTION("if(REGEXMATCH(join("", "",$F107:$G107),J$1)=TRUE,""✓"",""✗"")"),"✗")</f>
        <v>✗</v>
      </c>
      <c r="K107" s="23" t="str">
        <f>IFERROR(__xludf.DUMMYFUNCTION("if(REGEXMATCH(join("", "",$F107:$G107),K$1)=TRUE,""✓"",""✗"")"),"✗")</f>
        <v>✗</v>
      </c>
      <c r="L107" s="23" t="str">
        <f>IFERROR(__xludf.DUMMYFUNCTION("if(REGEXMATCH(join("", "",$F107:$G107),L$1)=TRUE,""✓"",""✗"")"),"✗")</f>
        <v>✗</v>
      </c>
      <c r="M107" s="23" t="str">
        <f>IFERROR(__xludf.DUMMYFUNCTION("if(REGEXMATCH(join("", "",$F107:$G107),M$1)=TRUE,""✓"",""✗"")"),"✗")</f>
        <v>✗</v>
      </c>
      <c r="N107" s="23" t="str">
        <f>IFERROR(__xludf.DUMMYFUNCTION("if(REGEXMATCH(join("", "",$F107:$G107),N$1)=TRUE,""✓"",""✗"")"),"✗")</f>
        <v>✗</v>
      </c>
      <c r="O107" s="23" t="str">
        <f>IFERROR(__xludf.DUMMYFUNCTION("if(REGEXMATCH(join("", "",$F107:$G107),O$1)=TRUE,""✓"",""✗"")"),"✗")</f>
        <v>✗</v>
      </c>
      <c r="P107" s="23" t="str">
        <f>IFERROR(__xludf.DUMMYFUNCTION("if(REGEXMATCH(join("", "",$F107:$G107),P$1)=TRUE,""✓"",""✗"")"),"✗")</f>
        <v>✗</v>
      </c>
      <c r="Q107" s="23" t="str">
        <f>IFERROR(__xludf.DUMMYFUNCTION("if(REGEXMATCH(join("", "",$F107:$G107),Q$1)=TRUE,""✓"",""✗"")"),"✗")</f>
        <v>✗</v>
      </c>
      <c r="R107" s="23" t="str">
        <f>IFERROR(__xludf.DUMMYFUNCTION("if(REGEXMATCH(join("", "",$F107:$G107),R$1)=TRUE,""✓"",""✗"")"),"✗")</f>
        <v>✗</v>
      </c>
      <c r="S107" s="23" t="str">
        <f>IFERROR(__xludf.DUMMYFUNCTION("if(REGEXMATCH(join("", "",$F107:$G107),S$1)=TRUE,""✓"",""✗"")"),"✗")</f>
        <v>✗</v>
      </c>
      <c r="T107" s="23" t="str">
        <f>IFERROR(__xludf.DUMMYFUNCTION("if(REGEXMATCH(join("", "",$F107:$G107),T$1)=TRUE,""✓"",""✗"")"),"✗")</f>
        <v>✗</v>
      </c>
      <c r="U107" s="33"/>
      <c r="V107" s="33"/>
      <c r="W107" s="33"/>
      <c r="X107" s="33"/>
      <c r="Y107" s="33"/>
      <c r="Z107" s="33"/>
      <c r="AA107" s="33"/>
      <c r="AB107" s="33"/>
      <c r="AC107" s="33"/>
    </row>
    <row r="108" hidden="1">
      <c r="A108" s="57">
        <v>107.0</v>
      </c>
      <c r="B108" s="33"/>
      <c r="C108" s="33"/>
      <c r="D108" s="21" t="s">
        <v>477</v>
      </c>
      <c r="E108" s="33"/>
      <c r="F108" s="33"/>
      <c r="G108" s="33">
        <v>2.0</v>
      </c>
      <c r="H108" s="23" t="str">
        <f>IFERROR(__xludf.DUMMYFUNCTION("if(REGEXMATCH(join("", "",$F108:$G108),H$1)=TRUE,""✓"",""✗"")"),"✗")</f>
        <v>✗</v>
      </c>
      <c r="I108" s="23" t="str">
        <f>IFERROR(__xludf.DUMMYFUNCTION("if(REGEXMATCH(join("", "",$F108:$G108),I$1)=TRUE,""✓"",""✗"")"),"✗")</f>
        <v>✗</v>
      </c>
      <c r="J108" s="23" t="str">
        <f>IFERROR(__xludf.DUMMYFUNCTION("if(REGEXMATCH(join("", "",$F108:$G108),J$1)=TRUE,""✓"",""✗"")"),"✗")</f>
        <v>✗</v>
      </c>
      <c r="K108" s="23" t="str">
        <f>IFERROR(__xludf.DUMMYFUNCTION("if(REGEXMATCH(join("", "",$F108:$G108),K$1)=TRUE,""✓"",""✗"")"),"✗")</f>
        <v>✗</v>
      </c>
      <c r="L108" s="23" t="str">
        <f>IFERROR(__xludf.DUMMYFUNCTION("if(REGEXMATCH(join("", "",$F108:$G108),L$1)=TRUE,""✓"",""✗"")"),"✗")</f>
        <v>✗</v>
      </c>
      <c r="M108" s="23" t="str">
        <f>IFERROR(__xludf.DUMMYFUNCTION("if(REGEXMATCH(join("", "",$F108:$G108),M$1)=TRUE,""✓"",""✗"")"),"✗")</f>
        <v>✗</v>
      </c>
      <c r="N108" s="23" t="str">
        <f>IFERROR(__xludf.DUMMYFUNCTION("if(REGEXMATCH(join("", "",$F108:$G108),N$1)=TRUE,""✓"",""✗"")"),"✗")</f>
        <v>✗</v>
      </c>
      <c r="O108" s="23" t="str">
        <f>IFERROR(__xludf.DUMMYFUNCTION("if(REGEXMATCH(join("", "",$F108:$G108),O$1)=TRUE,""✓"",""✗"")"),"✗")</f>
        <v>✗</v>
      </c>
      <c r="P108" s="23" t="str">
        <f>IFERROR(__xludf.DUMMYFUNCTION("if(REGEXMATCH(join("", "",$F108:$G108),P$1)=TRUE,""✓"",""✗"")"),"✗")</f>
        <v>✗</v>
      </c>
      <c r="Q108" s="23" t="str">
        <f>IFERROR(__xludf.DUMMYFUNCTION("if(REGEXMATCH(join("", "",$F108:$G108),Q$1)=TRUE,""✓"",""✗"")"),"✗")</f>
        <v>✗</v>
      </c>
      <c r="R108" s="23" t="str">
        <f>IFERROR(__xludf.DUMMYFUNCTION("if(REGEXMATCH(join("", "",$F108:$G108),R$1)=TRUE,""✓"",""✗"")"),"✗")</f>
        <v>✗</v>
      </c>
      <c r="S108" s="23" t="str">
        <f>IFERROR(__xludf.DUMMYFUNCTION("if(REGEXMATCH(join("", "",$F108:$G108),S$1)=TRUE,""✓"",""✗"")"),"✗")</f>
        <v>✗</v>
      </c>
      <c r="T108" s="23" t="str">
        <f>IFERROR(__xludf.DUMMYFUNCTION("if(REGEXMATCH(join("", "",$F108:$G108),T$1)=TRUE,""✓"",""✗"")"),"✗")</f>
        <v>✗</v>
      </c>
      <c r="U108" s="33"/>
      <c r="V108" s="33"/>
      <c r="W108" s="33"/>
      <c r="X108" s="33"/>
      <c r="Y108" s="33"/>
      <c r="Z108" s="33"/>
      <c r="AA108" s="33"/>
      <c r="AB108" s="33"/>
      <c r="AC108" s="33"/>
    </row>
    <row r="109" hidden="1">
      <c r="A109" s="57">
        <v>108.0</v>
      </c>
      <c r="B109" s="33"/>
      <c r="C109" s="33"/>
      <c r="D109" s="21" t="s">
        <v>480</v>
      </c>
      <c r="E109" s="33"/>
      <c r="F109" s="33"/>
      <c r="G109" s="33">
        <v>3.0</v>
      </c>
      <c r="H109" s="23" t="str">
        <f>IFERROR(__xludf.DUMMYFUNCTION("if(REGEXMATCH(join("", "",$F109:$G109),H$1)=TRUE,""✓"",""✗"")"),"✗")</f>
        <v>✗</v>
      </c>
      <c r="I109" s="23" t="str">
        <f>IFERROR(__xludf.DUMMYFUNCTION("if(REGEXMATCH(join("", "",$F109:$G109),I$1)=TRUE,""✓"",""✗"")"),"✗")</f>
        <v>✗</v>
      </c>
      <c r="J109" s="23" t="str">
        <f>IFERROR(__xludf.DUMMYFUNCTION("if(REGEXMATCH(join("", "",$F109:$G109),J$1)=TRUE,""✓"",""✗"")"),"✗")</f>
        <v>✗</v>
      </c>
      <c r="K109" s="23" t="str">
        <f>IFERROR(__xludf.DUMMYFUNCTION("if(REGEXMATCH(join("", "",$F109:$G109),K$1)=TRUE,""✓"",""✗"")"),"✗")</f>
        <v>✗</v>
      </c>
      <c r="L109" s="23" t="str">
        <f>IFERROR(__xludf.DUMMYFUNCTION("if(REGEXMATCH(join("", "",$F109:$G109),L$1)=TRUE,""✓"",""✗"")"),"✗")</f>
        <v>✗</v>
      </c>
      <c r="M109" s="23" t="str">
        <f>IFERROR(__xludf.DUMMYFUNCTION("if(REGEXMATCH(join("", "",$F109:$G109),M$1)=TRUE,""✓"",""✗"")"),"✗")</f>
        <v>✗</v>
      </c>
      <c r="N109" s="23" t="str">
        <f>IFERROR(__xludf.DUMMYFUNCTION("if(REGEXMATCH(join("", "",$F109:$G109),N$1)=TRUE,""✓"",""✗"")"),"✗")</f>
        <v>✗</v>
      </c>
      <c r="O109" s="23" t="str">
        <f>IFERROR(__xludf.DUMMYFUNCTION("if(REGEXMATCH(join("", "",$F109:$G109),O$1)=TRUE,""✓"",""✗"")"),"✗")</f>
        <v>✗</v>
      </c>
      <c r="P109" s="23" t="str">
        <f>IFERROR(__xludf.DUMMYFUNCTION("if(REGEXMATCH(join("", "",$F109:$G109),P$1)=TRUE,""✓"",""✗"")"),"✗")</f>
        <v>✗</v>
      </c>
      <c r="Q109" s="23" t="str">
        <f>IFERROR(__xludf.DUMMYFUNCTION("if(REGEXMATCH(join("", "",$F109:$G109),Q$1)=TRUE,""✓"",""✗"")"),"✗")</f>
        <v>✗</v>
      </c>
      <c r="R109" s="23" t="str">
        <f>IFERROR(__xludf.DUMMYFUNCTION("if(REGEXMATCH(join("", "",$F109:$G109),R$1)=TRUE,""✓"",""✗"")"),"✗")</f>
        <v>✗</v>
      </c>
      <c r="S109" s="23" t="str">
        <f>IFERROR(__xludf.DUMMYFUNCTION("if(REGEXMATCH(join("", "",$F109:$G109),S$1)=TRUE,""✓"",""✗"")"),"✗")</f>
        <v>✗</v>
      </c>
      <c r="T109" s="23" t="str">
        <f>IFERROR(__xludf.DUMMYFUNCTION("if(REGEXMATCH(join("", "",$F109:$G109),T$1)=TRUE,""✓"",""✗"")"),"✗")</f>
        <v>✗</v>
      </c>
      <c r="U109" s="33"/>
      <c r="V109" s="33"/>
      <c r="W109" s="33"/>
      <c r="X109" s="33"/>
      <c r="Y109" s="33"/>
      <c r="Z109" s="33"/>
      <c r="AA109" s="33"/>
      <c r="AB109" s="33"/>
      <c r="AC109" s="33"/>
    </row>
    <row r="110" hidden="1">
      <c r="A110" s="57">
        <v>109.0</v>
      </c>
      <c r="B110" s="33"/>
      <c r="C110" s="33"/>
      <c r="D110" s="21" t="s">
        <v>482</v>
      </c>
      <c r="E110" s="33"/>
      <c r="F110" s="33"/>
      <c r="G110" s="33">
        <v>4.0</v>
      </c>
      <c r="H110" s="51">
        <f t="shared" ref="H110:T110" si="15">countif(H2:H109,"✓")</f>
        <v>53</v>
      </c>
      <c r="I110" s="51">
        <f t="shared" si="15"/>
        <v>64</v>
      </c>
      <c r="J110" s="51">
        <f t="shared" si="15"/>
        <v>11</v>
      </c>
      <c r="K110" s="51">
        <f t="shared" si="15"/>
        <v>3</v>
      </c>
      <c r="L110" s="51">
        <f t="shared" si="15"/>
        <v>1</v>
      </c>
      <c r="M110" s="51">
        <f t="shared" si="15"/>
        <v>5</v>
      </c>
      <c r="N110" s="51">
        <f t="shared" si="15"/>
        <v>46</v>
      </c>
      <c r="O110" s="51">
        <f t="shared" si="15"/>
        <v>39</v>
      </c>
      <c r="P110" s="51">
        <f t="shared" si="15"/>
        <v>30</v>
      </c>
      <c r="Q110" s="51">
        <f t="shared" si="15"/>
        <v>57</v>
      </c>
      <c r="R110" s="51">
        <f t="shared" si="15"/>
        <v>32</v>
      </c>
      <c r="S110" s="51">
        <f t="shared" si="15"/>
        <v>29</v>
      </c>
      <c r="T110" s="51">
        <f t="shared" si="15"/>
        <v>12</v>
      </c>
      <c r="U110" s="33"/>
      <c r="V110" s="33"/>
      <c r="W110" s="33"/>
      <c r="X110" s="33"/>
      <c r="Y110" s="33"/>
      <c r="Z110" s="33"/>
      <c r="AA110" s="33"/>
      <c r="AB110" s="33"/>
      <c r="AC110" s="33"/>
    </row>
    <row r="111" hidden="1">
      <c r="A111" s="17" t="s">
        <v>302</v>
      </c>
      <c r="B111" s="33"/>
      <c r="C111" s="33"/>
      <c r="D111" s="33"/>
      <c r="E111" s="33"/>
      <c r="F111" s="33"/>
      <c r="G111" s="33">
        <v>5.0</v>
      </c>
      <c r="H111" s="13" t="s">
        <v>2</v>
      </c>
      <c r="I111" s="13" t="s">
        <v>9</v>
      </c>
      <c r="J111" s="13" t="s">
        <v>10</v>
      </c>
      <c r="K111" s="13" t="s">
        <v>11</v>
      </c>
      <c r="L111" s="13" t="s">
        <v>12</v>
      </c>
      <c r="M111" s="13" t="s">
        <v>13</v>
      </c>
      <c r="N111" s="13" t="s">
        <v>14</v>
      </c>
      <c r="O111" s="13" t="s">
        <v>15</v>
      </c>
      <c r="P111" s="13" t="s">
        <v>4</v>
      </c>
      <c r="Q111" s="13" t="s">
        <v>16</v>
      </c>
      <c r="R111" s="13" t="s">
        <v>17</v>
      </c>
      <c r="S111" s="13" t="s">
        <v>19</v>
      </c>
      <c r="T111" s="13" t="s">
        <v>20</v>
      </c>
      <c r="U111" s="33"/>
      <c r="V111" s="33"/>
      <c r="W111" s="33"/>
      <c r="X111" s="33"/>
      <c r="Y111" s="33"/>
      <c r="Z111" s="33"/>
      <c r="AA111" s="33"/>
      <c r="AB111" s="33"/>
      <c r="AC111" s="33"/>
    </row>
    <row r="112" hidden="1">
      <c r="A112" s="17" t="s">
        <v>302</v>
      </c>
      <c r="B112" s="33"/>
      <c r="C112" s="33"/>
      <c r="D112" s="33"/>
      <c r="E112" s="33"/>
      <c r="F112" s="33"/>
      <c r="G112" s="33">
        <v>6.0</v>
      </c>
      <c r="H112" s="23" t="str">
        <f>IFERROR(__xludf.DUMMYFUNCTION("if(REGEXMATCH(join("", "",$F112:$G112),H$1)=TRUE,""✓"",""✗"")"),"✗")</f>
        <v>✗</v>
      </c>
      <c r="I112" s="23" t="str">
        <f>IFERROR(__xludf.DUMMYFUNCTION("if(REGEXMATCH(join("", "",$F112:$G112),I$1)=TRUE,""✓"",""✗"")"),"✗")</f>
        <v>✗</v>
      </c>
      <c r="J112" s="23" t="str">
        <f>IFERROR(__xludf.DUMMYFUNCTION("if(REGEXMATCH(join("", "",$F112:$G112),J$1)=TRUE,""✓"",""✗"")"),"✗")</f>
        <v>✗</v>
      </c>
      <c r="K112" s="23" t="str">
        <f>IFERROR(__xludf.DUMMYFUNCTION("if(REGEXMATCH(join("", "",$F112:$G112),K$1)=TRUE,""✓"",""✗"")"),"✗")</f>
        <v>✗</v>
      </c>
      <c r="L112" s="23" t="str">
        <f>IFERROR(__xludf.DUMMYFUNCTION("if(REGEXMATCH(join("", "",$F112:$G112),L$1)=TRUE,""✓"",""✗"")"),"✗")</f>
        <v>✗</v>
      </c>
      <c r="M112" s="23" t="str">
        <f>IFERROR(__xludf.DUMMYFUNCTION("if(REGEXMATCH(join("", "",$F112:$G112),M$1)=TRUE,""✓"",""✗"")"),"✗")</f>
        <v>✗</v>
      </c>
      <c r="N112" s="23" t="str">
        <f>IFERROR(__xludf.DUMMYFUNCTION("if(REGEXMATCH(join("", "",$F112:$G112),N$1)=TRUE,""✓"",""✗"")"),"✗")</f>
        <v>✗</v>
      </c>
      <c r="O112" s="23" t="str">
        <f>IFERROR(__xludf.DUMMYFUNCTION("if(REGEXMATCH(join("", "",$F112:$G112),O$1)=TRUE,""✓"",""✗"")"),"✗")</f>
        <v>✗</v>
      </c>
      <c r="P112" s="23" t="str">
        <f>IFERROR(__xludf.DUMMYFUNCTION("if(REGEXMATCH(join("", "",$F112:$G112),P$1)=TRUE,""✓"",""✗"")"),"✗")</f>
        <v>✗</v>
      </c>
      <c r="Q112" s="23" t="str">
        <f>IFERROR(__xludf.DUMMYFUNCTION("if(REGEXMATCH(join("", "",$F112:$G112),Q$1)=TRUE,""✓"",""✗"")"),"✗")</f>
        <v>✗</v>
      </c>
      <c r="R112" s="23" t="str">
        <f>IFERROR(__xludf.DUMMYFUNCTION("if(REGEXMATCH(join("", "",$F112:$G112),R$1)=TRUE,""✓"",""✗"")"),"✗")</f>
        <v>✗</v>
      </c>
      <c r="S112" s="23" t="str">
        <f>IFERROR(__xludf.DUMMYFUNCTION("if(REGEXMATCH(join("", "",$F112:$G112),S$1)=TRUE,""✓"",""✗"")"),"✗")</f>
        <v>✗</v>
      </c>
      <c r="T112" s="23" t="str">
        <f>IFERROR(__xludf.DUMMYFUNCTION("if(REGEXMATCH(join("", "",$F112:$G112),T$1)=TRUE,""✓"",""✗"")"),"✗")</f>
        <v>✗</v>
      </c>
      <c r="U112" s="33"/>
      <c r="V112" s="33"/>
      <c r="W112" s="33"/>
      <c r="X112" s="33"/>
      <c r="Y112" s="33"/>
      <c r="Z112" s="33"/>
      <c r="AA112" s="33"/>
      <c r="AB112" s="33"/>
      <c r="AC112" s="33"/>
    </row>
    <row r="113" hidden="1">
      <c r="A113" s="17" t="s">
        <v>302</v>
      </c>
      <c r="B113" s="33"/>
      <c r="C113" s="33"/>
      <c r="D113" s="33"/>
      <c r="E113" s="33"/>
      <c r="F113" s="33"/>
      <c r="G113" s="33">
        <v>7.0</v>
      </c>
      <c r="H113" s="23" t="str">
        <f>IFERROR(__xludf.DUMMYFUNCTION("if(REGEXMATCH(join("", "",$F113:$G113),H$1)=TRUE,""✓"",""✗"")"),"✗")</f>
        <v>✗</v>
      </c>
      <c r="I113" s="23" t="str">
        <f>IFERROR(__xludf.DUMMYFUNCTION("if(REGEXMATCH(join("", "",$F113:$G113),I$1)=TRUE,""✓"",""✗"")"),"✗")</f>
        <v>✗</v>
      </c>
      <c r="J113" s="23" t="str">
        <f>IFERROR(__xludf.DUMMYFUNCTION("if(REGEXMATCH(join("", "",$F113:$G113),J$1)=TRUE,""✓"",""✗"")"),"✗")</f>
        <v>✗</v>
      </c>
      <c r="K113" s="23" t="str">
        <f>IFERROR(__xludf.DUMMYFUNCTION("if(REGEXMATCH(join("", "",$F113:$G113),K$1)=TRUE,""✓"",""✗"")"),"✗")</f>
        <v>✗</v>
      </c>
      <c r="L113" s="23" t="str">
        <f>IFERROR(__xludf.DUMMYFUNCTION("if(REGEXMATCH(join("", "",$F113:$G113),L$1)=TRUE,""✓"",""✗"")"),"✗")</f>
        <v>✗</v>
      </c>
      <c r="M113" s="23" t="str">
        <f>IFERROR(__xludf.DUMMYFUNCTION("if(REGEXMATCH(join("", "",$F113:$G113),M$1)=TRUE,""✓"",""✗"")"),"✗")</f>
        <v>✗</v>
      </c>
      <c r="N113" s="23" t="str">
        <f>IFERROR(__xludf.DUMMYFUNCTION("if(REGEXMATCH(join("", "",$F113:$G113),N$1)=TRUE,""✓"",""✗"")"),"✗")</f>
        <v>✗</v>
      </c>
      <c r="O113" s="23" t="str">
        <f>IFERROR(__xludf.DUMMYFUNCTION("if(REGEXMATCH(join("", "",$F113:$G113),O$1)=TRUE,""✓"",""✗"")"),"✗")</f>
        <v>✗</v>
      </c>
      <c r="P113" s="23" t="str">
        <f>IFERROR(__xludf.DUMMYFUNCTION("if(REGEXMATCH(join("", "",$F113:$G113),P$1)=TRUE,""✓"",""✗"")"),"✗")</f>
        <v>✗</v>
      </c>
      <c r="Q113" s="23" t="str">
        <f>IFERROR(__xludf.DUMMYFUNCTION("if(REGEXMATCH(join("", "",$F113:$G113),Q$1)=TRUE,""✓"",""✗"")"),"✗")</f>
        <v>✗</v>
      </c>
      <c r="R113" s="23" t="str">
        <f>IFERROR(__xludf.DUMMYFUNCTION("if(REGEXMATCH(join("", "",$F113:$G113),R$1)=TRUE,""✓"",""✗"")"),"✗")</f>
        <v>✗</v>
      </c>
      <c r="S113" s="23" t="str">
        <f>IFERROR(__xludf.DUMMYFUNCTION("if(REGEXMATCH(join("", "",$F113:$G113),S$1)=TRUE,""✓"",""✗"")"),"✗")</f>
        <v>✗</v>
      </c>
      <c r="T113" s="23" t="str">
        <f>IFERROR(__xludf.DUMMYFUNCTION("if(REGEXMATCH(join("", "",$F113:$G113),T$1)=TRUE,""✓"",""✗"")"),"✗")</f>
        <v>✗</v>
      </c>
      <c r="U113" s="33"/>
      <c r="V113" s="33"/>
      <c r="W113" s="33"/>
      <c r="X113" s="33"/>
      <c r="Y113" s="33"/>
      <c r="Z113" s="33"/>
      <c r="AA113" s="33"/>
      <c r="AB113" s="33"/>
      <c r="AC113" s="33"/>
    </row>
    <row r="114" hidden="1">
      <c r="A114" s="17" t="s">
        <v>302</v>
      </c>
      <c r="B114" s="33"/>
      <c r="C114" s="33"/>
      <c r="D114" s="33"/>
      <c r="E114" s="33"/>
      <c r="F114" s="33"/>
      <c r="G114" s="33">
        <v>8.0</v>
      </c>
      <c r="H114" s="23" t="str">
        <f>IFERROR(__xludf.DUMMYFUNCTION("if(REGEXMATCH(join("", "",$F114:$G114),H$1)=TRUE,""✓"",""✗"")"),"✗")</f>
        <v>✗</v>
      </c>
      <c r="I114" s="23" t="str">
        <f>IFERROR(__xludf.DUMMYFUNCTION("if(REGEXMATCH(join("", "",$F114:$G114),I$1)=TRUE,""✓"",""✗"")"),"✗")</f>
        <v>✗</v>
      </c>
      <c r="J114" s="23" t="str">
        <f>IFERROR(__xludf.DUMMYFUNCTION("if(REGEXMATCH(join("", "",$F114:$G114),J$1)=TRUE,""✓"",""✗"")"),"✗")</f>
        <v>✗</v>
      </c>
      <c r="K114" s="23" t="str">
        <f>IFERROR(__xludf.DUMMYFUNCTION("if(REGEXMATCH(join("", "",$F114:$G114),K$1)=TRUE,""✓"",""✗"")"),"✗")</f>
        <v>✗</v>
      </c>
      <c r="L114" s="23" t="str">
        <f>IFERROR(__xludf.DUMMYFUNCTION("if(REGEXMATCH(join("", "",$F114:$G114),L$1)=TRUE,""✓"",""✗"")"),"✗")</f>
        <v>✗</v>
      </c>
      <c r="M114" s="23" t="str">
        <f>IFERROR(__xludf.DUMMYFUNCTION("if(REGEXMATCH(join("", "",$F114:$G114),M$1)=TRUE,""✓"",""✗"")"),"✗")</f>
        <v>✗</v>
      </c>
      <c r="N114" s="23" t="str">
        <f>IFERROR(__xludf.DUMMYFUNCTION("if(REGEXMATCH(join("", "",$F114:$G114),N$1)=TRUE,""✓"",""✗"")"),"✗")</f>
        <v>✗</v>
      </c>
      <c r="O114" s="23" t="str">
        <f>IFERROR(__xludf.DUMMYFUNCTION("if(REGEXMATCH(join("", "",$F114:$G114),O$1)=TRUE,""✓"",""✗"")"),"✗")</f>
        <v>✗</v>
      </c>
      <c r="P114" s="23" t="str">
        <f>IFERROR(__xludf.DUMMYFUNCTION("if(REGEXMATCH(join("", "",$F114:$G114),P$1)=TRUE,""✓"",""✗"")"),"✗")</f>
        <v>✗</v>
      </c>
      <c r="Q114" s="23" t="str">
        <f>IFERROR(__xludf.DUMMYFUNCTION("if(REGEXMATCH(join("", "",$F114:$G114),Q$1)=TRUE,""✓"",""✗"")"),"✗")</f>
        <v>✗</v>
      </c>
      <c r="R114" s="23" t="str">
        <f>IFERROR(__xludf.DUMMYFUNCTION("if(REGEXMATCH(join("", "",$F114:$G114),R$1)=TRUE,""✓"",""✗"")"),"✗")</f>
        <v>✗</v>
      </c>
      <c r="S114" s="23" t="str">
        <f>IFERROR(__xludf.DUMMYFUNCTION("if(REGEXMATCH(join("", "",$F114:$G114),S$1)=TRUE,""✓"",""✗"")"),"✗")</f>
        <v>✗</v>
      </c>
      <c r="T114" s="23" t="str">
        <f>IFERROR(__xludf.DUMMYFUNCTION("if(REGEXMATCH(join("", "",$F114:$G114),T$1)=TRUE,""✓"",""✗"")"),"✗")</f>
        <v>✗</v>
      </c>
      <c r="U114" s="33"/>
      <c r="V114" s="33"/>
      <c r="W114" s="33"/>
      <c r="X114" s="33"/>
      <c r="Y114" s="33"/>
      <c r="Z114" s="33"/>
      <c r="AA114" s="33"/>
      <c r="AB114" s="33"/>
      <c r="AC114" s="33"/>
    </row>
    <row r="115" hidden="1">
      <c r="A115" s="17" t="s">
        <v>302</v>
      </c>
      <c r="B115" s="33"/>
      <c r="C115" s="33"/>
      <c r="D115" s="33"/>
      <c r="E115" s="33"/>
      <c r="F115" s="33"/>
      <c r="G115" s="33">
        <v>9.0</v>
      </c>
      <c r="H115" s="23" t="str">
        <f>IFERROR(__xludf.DUMMYFUNCTION("if(REGEXMATCH(join("", "",$F115:$G115),H$1)=TRUE,""✓"",""✗"")"),"✗")</f>
        <v>✗</v>
      </c>
      <c r="I115" s="23" t="str">
        <f>IFERROR(__xludf.DUMMYFUNCTION("if(REGEXMATCH(join("", "",$F115:$G115),I$1)=TRUE,""✓"",""✗"")"),"✗")</f>
        <v>✗</v>
      </c>
      <c r="J115" s="23" t="str">
        <f>IFERROR(__xludf.DUMMYFUNCTION("if(REGEXMATCH(join("", "",$F115:$G115),J$1)=TRUE,""✓"",""✗"")"),"✗")</f>
        <v>✗</v>
      </c>
      <c r="K115" s="23" t="str">
        <f>IFERROR(__xludf.DUMMYFUNCTION("if(REGEXMATCH(join("", "",$F115:$G115),K$1)=TRUE,""✓"",""✗"")"),"✗")</f>
        <v>✗</v>
      </c>
      <c r="L115" s="23" t="str">
        <f>IFERROR(__xludf.DUMMYFUNCTION("if(REGEXMATCH(join("", "",$F115:$G115),L$1)=TRUE,""✓"",""✗"")"),"✗")</f>
        <v>✗</v>
      </c>
      <c r="M115" s="23" t="str">
        <f>IFERROR(__xludf.DUMMYFUNCTION("if(REGEXMATCH(join("", "",$F115:$G115),M$1)=TRUE,""✓"",""✗"")"),"✗")</f>
        <v>✗</v>
      </c>
      <c r="N115" s="23" t="str">
        <f>IFERROR(__xludf.DUMMYFUNCTION("if(REGEXMATCH(join("", "",$F115:$G115),N$1)=TRUE,""✓"",""✗"")"),"✗")</f>
        <v>✗</v>
      </c>
      <c r="O115" s="23" t="str">
        <f>IFERROR(__xludf.DUMMYFUNCTION("if(REGEXMATCH(join("", "",$F115:$G115),O$1)=TRUE,""✓"",""✗"")"),"✗")</f>
        <v>✗</v>
      </c>
      <c r="P115" s="23" t="str">
        <f>IFERROR(__xludf.DUMMYFUNCTION("if(REGEXMATCH(join("", "",$F115:$G115),P$1)=TRUE,""✓"",""✗"")"),"✗")</f>
        <v>✗</v>
      </c>
      <c r="Q115" s="23" t="str">
        <f>IFERROR(__xludf.DUMMYFUNCTION("if(REGEXMATCH(join("", "",$F115:$G115),Q$1)=TRUE,""✓"",""✗"")"),"✗")</f>
        <v>✗</v>
      </c>
      <c r="R115" s="23" t="str">
        <f>IFERROR(__xludf.DUMMYFUNCTION("if(REGEXMATCH(join("", "",$F115:$G115),R$1)=TRUE,""✓"",""✗"")"),"✗")</f>
        <v>✗</v>
      </c>
      <c r="S115" s="23" t="str">
        <f>IFERROR(__xludf.DUMMYFUNCTION("if(REGEXMATCH(join("", "",$F115:$G115),S$1)=TRUE,""✓"",""✗"")"),"✗")</f>
        <v>✗</v>
      </c>
      <c r="T115" s="23" t="str">
        <f>IFERROR(__xludf.DUMMYFUNCTION("if(REGEXMATCH(join("", "",$F115:$G115),T$1)=TRUE,""✓"",""✗"")"),"✗")</f>
        <v>✗</v>
      </c>
      <c r="U115" s="33"/>
      <c r="V115" s="33"/>
      <c r="W115" s="33"/>
      <c r="X115" s="33"/>
      <c r="Y115" s="33"/>
      <c r="Z115" s="33"/>
      <c r="AA115" s="33"/>
      <c r="AB115" s="33"/>
      <c r="AC115" s="33"/>
    </row>
    <row r="116" hidden="1">
      <c r="A116" s="17" t="s">
        <v>302</v>
      </c>
      <c r="B116" s="33"/>
      <c r="C116" s="33"/>
      <c r="D116" s="33"/>
      <c r="E116" s="33"/>
      <c r="F116" s="33"/>
      <c r="G116" s="33">
        <v>10.0</v>
      </c>
      <c r="H116" s="23" t="str">
        <f>IFERROR(__xludf.DUMMYFUNCTION("if(REGEXMATCH(join("", "",$F116:$G116),H$1)=TRUE,""✓"",""✗"")"),"✗")</f>
        <v>✗</v>
      </c>
      <c r="I116" s="23" t="str">
        <f>IFERROR(__xludf.DUMMYFUNCTION("if(REGEXMATCH(join("", "",$F116:$G116),I$1)=TRUE,""✓"",""✗"")"),"✗")</f>
        <v>✗</v>
      </c>
      <c r="J116" s="23" t="str">
        <f>IFERROR(__xludf.DUMMYFUNCTION("if(REGEXMATCH(join("", "",$F116:$G116),J$1)=TRUE,""✓"",""✗"")"),"✗")</f>
        <v>✗</v>
      </c>
      <c r="K116" s="23" t="str">
        <f>IFERROR(__xludf.DUMMYFUNCTION("if(REGEXMATCH(join("", "",$F116:$G116),K$1)=TRUE,""✓"",""✗"")"),"✗")</f>
        <v>✗</v>
      </c>
      <c r="L116" s="23" t="str">
        <f>IFERROR(__xludf.DUMMYFUNCTION("if(REGEXMATCH(join("", "",$F116:$G116),L$1)=TRUE,""✓"",""✗"")"),"✗")</f>
        <v>✗</v>
      </c>
      <c r="M116" s="23" t="str">
        <f>IFERROR(__xludf.DUMMYFUNCTION("if(REGEXMATCH(join("", "",$F116:$G116),M$1)=TRUE,""✓"",""✗"")"),"✗")</f>
        <v>✗</v>
      </c>
      <c r="N116" s="23" t="str">
        <f>IFERROR(__xludf.DUMMYFUNCTION("if(REGEXMATCH(join("", "",$F116:$G116),N$1)=TRUE,""✓"",""✗"")"),"✗")</f>
        <v>✗</v>
      </c>
      <c r="O116" s="23" t="str">
        <f>IFERROR(__xludf.DUMMYFUNCTION("if(REGEXMATCH(join("", "",$F116:$G116),O$1)=TRUE,""✓"",""✗"")"),"✗")</f>
        <v>✗</v>
      </c>
      <c r="P116" s="23" t="str">
        <f>IFERROR(__xludf.DUMMYFUNCTION("if(REGEXMATCH(join("", "",$F116:$G116),P$1)=TRUE,""✓"",""✗"")"),"✗")</f>
        <v>✗</v>
      </c>
      <c r="Q116" s="23" t="str">
        <f>IFERROR(__xludf.DUMMYFUNCTION("if(REGEXMATCH(join("", "",$F116:$G116),Q$1)=TRUE,""✓"",""✗"")"),"✗")</f>
        <v>✗</v>
      </c>
      <c r="R116" s="23" t="str">
        <f>IFERROR(__xludf.DUMMYFUNCTION("if(REGEXMATCH(join("", "",$F116:$G116),R$1)=TRUE,""✓"",""✗"")"),"✗")</f>
        <v>✗</v>
      </c>
      <c r="S116" s="23" t="str">
        <f>IFERROR(__xludf.DUMMYFUNCTION("if(REGEXMATCH(join("", "",$F116:$G116),S$1)=TRUE,""✓"",""✗"")"),"✗")</f>
        <v>✗</v>
      </c>
      <c r="T116" s="23" t="str">
        <f>IFERROR(__xludf.DUMMYFUNCTION("if(REGEXMATCH(join("", "",$F116:$G116),T$1)=TRUE,""✓"",""✗"")"),"✗")</f>
        <v>✗</v>
      </c>
      <c r="U116" s="33"/>
      <c r="V116" s="33"/>
      <c r="W116" s="33"/>
      <c r="X116" s="33"/>
      <c r="Y116" s="33"/>
      <c r="Z116" s="33"/>
      <c r="AA116" s="33"/>
      <c r="AB116" s="33"/>
      <c r="AC116" s="33"/>
    </row>
    <row r="117" hidden="1">
      <c r="A117" s="17" t="s">
        <v>302</v>
      </c>
      <c r="B117" s="33"/>
      <c r="C117" s="33"/>
      <c r="D117" s="33"/>
      <c r="E117" s="33"/>
      <c r="F117" s="33"/>
      <c r="G117" s="33">
        <v>11.0</v>
      </c>
      <c r="H117" s="23" t="str">
        <f>IFERROR(__xludf.DUMMYFUNCTION("if(REGEXMATCH(join("", "",$F117:$G117),H$1)=TRUE,""✓"",""✗"")"),"✗")</f>
        <v>✗</v>
      </c>
      <c r="I117" s="23" t="str">
        <f>IFERROR(__xludf.DUMMYFUNCTION("if(REGEXMATCH(join("", "",$F117:$G117),I$1)=TRUE,""✓"",""✗"")"),"✗")</f>
        <v>✗</v>
      </c>
      <c r="J117" s="23" t="str">
        <f>IFERROR(__xludf.DUMMYFUNCTION("if(REGEXMATCH(join("", "",$F117:$G117),J$1)=TRUE,""✓"",""✗"")"),"✗")</f>
        <v>✗</v>
      </c>
      <c r="K117" s="23" t="str">
        <f>IFERROR(__xludf.DUMMYFUNCTION("if(REGEXMATCH(join("", "",$F117:$G117),K$1)=TRUE,""✓"",""✗"")"),"✗")</f>
        <v>✗</v>
      </c>
      <c r="L117" s="23" t="str">
        <f>IFERROR(__xludf.DUMMYFUNCTION("if(REGEXMATCH(join("", "",$F117:$G117),L$1)=TRUE,""✓"",""✗"")"),"✗")</f>
        <v>✗</v>
      </c>
      <c r="M117" s="23" t="str">
        <f>IFERROR(__xludf.DUMMYFUNCTION("if(REGEXMATCH(join("", "",$F117:$G117),M$1)=TRUE,""✓"",""✗"")"),"✗")</f>
        <v>✗</v>
      </c>
      <c r="N117" s="23" t="str">
        <f>IFERROR(__xludf.DUMMYFUNCTION("if(REGEXMATCH(join("", "",$F117:$G117),N$1)=TRUE,""✓"",""✗"")"),"✗")</f>
        <v>✗</v>
      </c>
      <c r="O117" s="23" t="str">
        <f>IFERROR(__xludf.DUMMYFUNCTION("if(REGEXMATCH(join("", "",$F117:$G117),O$1)=TRUE,""✓"",""✗"")"),"✗")</f>
        <v>✗</v>
      </c>
      <c r="P117" s="23" t="str">
        <f>IFERROR(__xludf.DUMMYFUNCTION("if(REGEXMATCH(join("", "",$F117:$G117),P$1)=TRUE,""✓"",""✗"")"),"✗")</f>
        <v>✗</v>
      </c>
      <c r="Q117" s="23" t="str">
        <f>IFERROR(__xludf.DUMMYFUNCTION("if(REGEXMATCH(join("", "",$F117:$G117),Q$1)=TRUE,""✓"",""✗"")"),"✗")</f>
        <v>✗</v>
      </c>
      <c r="R117" s="23" t="str">
        <f>IFERROR(__xludf.DUMMYFUNCTION("if(REGEXMATCH(join("", "",$F117:$G117),R$1)=TRUE,""✓"",""✗"")"),"✗")</f>
        <v>✗</v>
      </c>
      <c r="S117" s="23" t="str">
        <f>IFERROR(__xludf.DUMMYFUNCTION("if(REGEXMATCH(join("", "",$F117:$G117),S$1)=TRUE,""✓"",""✗"")"),"✗")</f>
        <v>✗</v>
      </c>
      <c r="T117" s="23" t="str">
        <f>IFERROR(__xludf.DUMMYFUNCTION("if(REGEXMATCH(join("", "",$F117:$G117),T$1)=TRUE,""✓"",""✗"")"),"✗")</f>
        <v>✗</v>
      </c>
      <c r="U117" s="33"/>
      <c r="V117" s="33"/>
      <c r="W117" s="33"/>
      <c r="X117" s="33"/>
      <c r="Y117" s="33"/>
      <c r="Z117" s="33"/>
      <c r="AA117" s="33"/>
      <c r="AB117" s="33"/>
      <c r="AC117" s="33"/>
    </row>
    <row r="118" hidden="1">
      <c r="A118" s="17" t="s">
        <v>302</v>
      </c>
      <c r="B118" s="33"/>
      <c r="C118" s="33"/>
      <c r="D118" s="33"/>
      <c r="E118" s="33"/>
      <c r="F118" s="33"/>
      <c r="G118" s="33">
        <v>12.0</v>
      </c>
      <c r="H118" s="23" t="str">
        <f>IFERROR(__xludf.DUMMYFUNCTION("if(REGEXMATCH(join("", "",$F118:$G118),H$1)=TRUE,""✓"",""✗"")"),"✗")</f>
        <v>✗</v>
      </c>
      <c r="I118" s="23" t="str">
        <f>IFERROR(__xludf.DUMMYFUNCTION("if(REGEXMATCH(join("", "",$F118:$G118),I$1)=TRUE,""✓"",""✗"")"),"✗")</f>
        <v>✗</v>
      </c>
      <c r="J118" s="23" t="str">
        <f>IFERROR(__xludf.DUMMYFUNCTION("if(REGEXMATCH(join("", "",$F118:$G118),J$1)=TRUE,""✓"",""✗"")"),"✗")</f>
        <v>✗</v>
      </c>
      <c r="K118" s="23" t="str">
        <f>IFERROR(__xludf.DUMMYFUNCTION("if(REGEXMATCH(join("", "",$F118:$G118),K$1)=TRUE,""✓"",""✗"")"),"✗")</f>
        <v>✗</v>
      </c>
      <c r="L118" s="23" t="str">
        <f>IFERROR(__xludf.DUMMYFUNCTION("if(REGEXMATCH(join("", "",$F118:$G118),L$1)=TRUE,""✓"",""✗"")"),"✗")</f>
        <v>✗</v>
      </c>
      <c r="M118" s="23" t="str">
        <f>IFERROR(__xludf.DUMMYFUNCTION("if(REGEXMATCH(join("", "",$F118:$G118),M$1)=TRUE,""✓"",""✗"")"),"✗")</f>
        <v>✗</v>
      </c>
      <c r="N118" s="23" t="str">
        <f>IFERROR(__xludf.DUMMYFUNCTION("if(REGEXMATCH(join("", "",$F118:$G118),N$1)=TRUE,""✓"",""✗"")"),"✗")</f>
        <v>✗</v>
      </c>
      <c r="O118" s="23" t="str">
        <f>IFERROR(__xludf.DUMMYFUNCTION("if(REGEXMATCH(join("", "",$F118:$G118),O$1)=TRUE,""✓"",""✗"")"),"✗")</f>
        <v>✗</v>
      </c>
      <c r="P118" s="23" t="str">
        <f>IFERROR(__xludf.DUMMYFUNCTION("if(REGEXMATCH(join("", "",$F118:$G118),P$1)=TRUE,""✓"",""✗"")"),"✗")</f>
        <v>✗</v>
      </c>
      <c r="Q118" s="23" t="str">
        <f>IFERROR(__xludf.DUMMYFUNCTION("if(REGEXMATCH(join("", "",$F118:$G118),Q$1)=TRUE,""✓"",""✗"")"),"✗")</f>
        <v>✗</v>
      </c>
      <c r="R118" s="23" t="str">
        <f>IFERROR(__xludf.DUMMYFUNCTION("if(REGEXMATCH(join("", "",$F118:$G118),R$1)=TRUE,""✓"",""✗"")"),"✗")</f>
        <v>✗</v>
      </c>
      <c r="S118" s="23" t="str">
        <f>IFERROR(__xludf.DUMMYFUNCTION("if(REGEXMATCH(join("", "",$F118:$G118),S$1)=TRUE,""✓"",""✗"")"),"✗")</f>
        <v>✗</v>
      </c>
      <c r="T118" s="23" t="str">
        <f>IFERROR(__xludf.DUMMYFUNCTION("if(REGEXMATCH(join("", "",$F118:$G118),T$1)=TRUE,""✓"",""✗"")"),"✗")</f>
        <v>✗</v>
      </c>
      <c r="U118" s="33"/>
      <c r="V118" s="33"/>
      <c r="W118" s="33"/>
      <c r="X118" s="33"/>
      <c r="Y118" s="33"/>
      <c r="Z118" s="33"/>
      <c r="AA118" s="33"/>
      <c r="AB118" s="33"/>
      <c r="AC118" s="33"/>
    </row>
    <row r="119" hidden="1">
      <c r="A119" s="17" t="s">
        <v>302</v>
      </c>
      <c r="B119" s="33"/>
      <c r="C119" s="33"/>
      <c r="D119" s="33"/>
      <c r="E119" s="33"/>
      <c r="F119" s="33"/>
      <c r="G119" s="33">
        <v>13.0</v>
      </c>
      <c r="H119" s="23" t="str">
        <f>IFERROR(__xludf.DUMMYFUNCTION("if(REGEXMATCH(join("", "",$F119:$G119),H$1)=TRUE,""✓"",""✗"")"),"✗")</f>
        <v>✗</v>
      </c>
      <c r="I119" s="23" t="str">
        <f>IFERROR(__xludf.DUMMYFUNCTION("if(REGEXMATCH(join("", "",$F119:$G119),I$1)=TRUE,""✓"",""✗"")"),"✗")</f>
        <v>✗</v>
      </c>
      <c r="J119" s="23" t="str">
        <f>IFERROR(__xludf.DUMMYFUNCTION("if(REGEXMATCH(join("", "",$F119:$G119),J$1)=TRUE,""✓"",""✗"")"),"✗")</f>
        <v>✗</v>
      </c>
      <c r="K119" s="23" t="str">
        <f>IFERROR(__xludf.DUMMYFUNCTION("if(REGEXMATCH(join("", "",$F119:$G119),K$1)=TRUE,""✓"",""✗"")"),"✗")</f>
        <v>✗</v>
      </c>
      <c r="L119" s="23" t="str">
        <f>IFERROR(__xludf.DUMMYFUNCTION("if(REGEXMATCH(join("", "",$F119:$G119),L$1)=TRUE,""✓"",""✗"")"),"✗")</f>
        <v>✗</v>
      </c>
      <c r="M119" s="23" t="str">
        <f>IFERROR(__xludf.DUMMYFUNCTION("if(REGEXMATCH(join("", "",$F119:$G119),M$1)=TRUE,""✓"",""✗"")"),"✗")</f>
        <v>✗</v>
      </c>
      <c r="N119" s="23" t="str">
        <f>IFERROR(__xludf.DUMMYFUNCTION("if(REGEXMATCH(join("", "",$F119:$G119),N$1)=TRUE,""✓"",""✗"")"),"✗")</f>
        <v>✗</v>
      </c>
      <c r="O119" s="23" t="str">
        <f>IFERROR(__xludf.DUMMYFUNCTION("if(REGEXMATCH(join("", "",$F119:$G119),O$1)=TRUE,""✓"",""✗"")"),"✗")</f>
        <v>✗</v>
      </c>
      <c r="P119" s="23" t="str">
        <f>IFERROR(__xludf.DUMMYFUNCTION("if(REGEXMATCH(join("", "",$F119:$G119),P$1)=TRUE,""✓"",""✗"")"),"✗")</f>
        <v>✗</v>
      </c>
      <c r="Q119" s="23" t="str">
        <f>IFERROR(__xludf.DUMMYFUNCTION("if(REGEXMATCH(join("", "",$F119:$G119),Q$1)=TRUE,""✓"",""✗"")"),"✗")</f>
        <v>✗</v>
      </c>
      <c r="R119" s="23" t="str">
        <f>IFERROR(__xludf.DUMMYFUNCTION("if(REGEXMATCH(join("", "",$F119:$G119),R$1)=TRUE,""✓"",""✗"")"),"✗")</f>
        <v>✗</v>
      </c>
      <c r="S119" s="23" t="str">
        <f>IFERROR(__xludf.DUMMYFUNCTION("if(REGEXMATCH(join("", "",$F119:$G119),S$1)=TRUE,""✓"",""✗"")"),"✗")</f>
        <v>✗</v>
      </c>
      <c r="T119" s="23" t="str">
        <f>IFERROR(__xludf.DUMMYFUNCTION("if(REGEXMATCH(join("", "",$F119:$G119),T$1)=TRUE,""✓"",""✗"")"),"✗")</f>
        <v>✗</v>
      </c>
      <c r="U119" s="33"/>
      <c r="V119" s="33"/>
      <c r="W119" s="33"/>
      <c r="X119" s="33"/>
      <c r="Y119" s="33"/>
      <c r="Z119" s="33"/>
      <c r="AA119" s="33"/>
      <c r="AB119" s="33"/>
      <c r="AC119" s="33"/>
    </row>
    <row r="120" hidden="1">
      <c r="A120" s="17" t="s">
        <v>302</v>
      </c>
      <c r="B120" s="33"/>
      <c r="C120" s="33"/>
      <c r="D120" s="33"/>
      <c r="E120" s="33"/>
      <c r="F120" s="33"/>
      <c r="G120" s="33">
        <v>14.0</v>
      </c>
      <c r="H120" s="23" t="str">
        <f>IFERROR(__xludf.DUMMYFUNCTION("if(REGEXMATCH(join("", "",$F120:$G120),H$1)=TRUE,""✓"",""✗"")"),"✗")</f>
        <v>✗</v>
      </c>
      <c r="I120" s="23" t="str">
        <f>IFERROR(__xludf.DUMMYFUNCTION("if(REGEXMATCH(join("", "",$F120:$G120),I$1)=TRUE,""✓"",""✗"")"),"✗")</f>
        <v>✗</v>
      </c>
      <c r="J120" s="23" t="str">
        <f>IFERROR(__xludf.DUMMYFUNCTION("if(REGEXMATCH(join("", "",$F120:$G120),J$1)=TRUE,""✓"",""✗"")"),"✗")</f>
        <v>✗</v>
      </c>
      <c r="K120" s="23" t="str">
        <f>IFERROR(__xludf.DUMMYFUNCTION("if(REGEXMATCH(join("", "",$F120:$G120),K$1)=TRUE,""✓"",""✗"")"),"✗")</f>
        <v>✗</v>
      </c>
      <c r="L120" s="23" t="str">
        <f>IFERROR(__xludf.DUMMYFUNCTION("if(REGEXMATCH(join("", "",$F120:$G120),L$1)=TRUE,""✓"",""✗"")"),"✗")</f>
        <v>✗</v>
      </c>
      <c r="M120" s="23" t="str">
        <f>IFERROR(__xludf.DUMMYFUNCTION("if(REGEXMATCH(join("", "",$F120:$G120),M$1)=TRUE,""✓"",""✗"")"),"✗")</f>
        <v>✗</v>
      </c>
      <c r="N120" s="23" t="str">
        <f>IFERROR(__xludf.DUMMYFUNCTION("if(REGEXMATCH(join("", "",$F120:$G120),N$1)=TRUE,""✓"",""✗"")"),"✗")</f>
        <v>✗</v>
      </c>
      <c r="O120" s="23" t="str">
        <f>IFERROR(__xludf.DUMMYFUNCTION("if(REGEXMATCH(join("", "",$F120:$G120),O$1)=TRUE,""✓"",""✗"")"),"✗")</f>
        <v>✗</v>
      </c>
      <c r="P120" s="23" t="str">
        <f>IFERROR(__xludf.DUMMYFUNCTION("if(REGEXMATCH(join("", "",$F120:$G120),P$1)=TRUE,""✓"",""✗"")"),"✗")</f>
        <v>✗</v>
      </c>
      <c r="Q120" s="23" t="str">
        <f>IFERROR(__xludf.DUMMYFUNCTION("if(REGEXMATCH(join("", "",$F120:$G120),Q$1)=TRUE,""✓"",""✗"")"),"✗")</f>
        <v>✗</v>
      </c>
      <c r="R120" s="23" t="str">
        <f>IFERROR(__xludf.DUMMYFUNCTION("if(REGEXMATCH(join("", "",$F120:$G120),R$1)=TRUE,""✓"",""✗"")"),"✗")</f>
        <v>✗</v>
      </c>
      <c r="S120" s="23" t="str">
        <f>IFERROR(__xludf.DUMMYFUNCTION("if(REGEXMATCH(join("", "",$F120:$G120),S$1)=TRUE,""✓"",""✗"")"),"✗")</f>
        <v>✗</v>
      </c>
      <c r="T120" s="23" t="str">
        <f>IFERROR(__xludf.DUMMYFUNCTION("if(REGEXMATCH(join("", "",$F120:$G120),T$1)=TRUE,""✓"",""✗"")"),"✗")</f>
        <v>✗</v>
      </c>
      <c r="U120" s="33"/>
      <c r="V120" s="33"/>
      <c r="W120" s="33"/>
      <c r="X120" s="33"/>
      <c r="Y120" s="33"/>
      <c r="Z120" s="33"/>
      <c r="AA120" s="33"/>
      <c r="AB120" s="33"/>
      <c r="AC120" s="33"/>
    </row>
    <row r="121" hidden="1">
      <c r="A121" s="17" t="s">
        <v>302</v>
      </c>
      <c r="B121" s="33"/>
      <c r="C121" s="33"/>
      <c r="D121" s="33"/>
      <c r="E121" s="33"/>
      <c r="F121" s="33"/>
      <c r="G121" s="33">
        <v>15.0</v>
      </c>
      <c r="H121" s="23" t="str">
        <f>IFERROR(__xludf.DUMMYFUNCTION("if(REGEXMATCH(join("", "",$F121:$G121),H$1)=TRUE,""✓"",""✗"")"),"✗")</f>
        <v>✗</v>
      </c>
      <c r="I121" s="23" t="str">
        <f>IFERROR(__xludf.DUMMYFUNCTION("if(REGEXMATCH(join("", "",$F121:$G121),I$1)=TRUE,""✓"",""✗"")"),"✗")</f>
        <v>✗</v>
      </c>
      <c r="J121" s="23" t="str">
        <f>IFERROR(__xludf.DUMMYFUNCTION("if(REGEXMATCH(join("", "",$F121:$G121),J$1)=TRUE,""✓"",""✗"")"),"✗")</f>
        <v>✗</v>
      </c>
      <c r="K121" s="23" t="str">
        <f>IFERROR(__xludf.DUMMYFUNCTION("if(REGEXMATCH(join("", "",$F121:$G121),K$1)=TRUE,""✓"",""✗"")"),"✗")</f>
        <v>✗</v>
      </c>
      <c r="L121" s="23" t="str">
        <f>IFERROR(__xludf.DUMMYFUNCTION("if(REGEXMATCH(join("", "",$F121:$G121),L$1)=TRUE,""✓"",""✗"")"),"✗")</f>
        <v>✗</v>
      </c>
      <c r="M121" s="23" t="str">
        <f>IFERROR(__xludf.DUMMYFUNCTION("if(REGEXMATCH(join("", "",$F121:$G121),M$1)=TRUE,""✓"",""✗"")"),"✗")</f>
        <v>✗</v>
      </c>
      <c r="N121" s="23" t="str">
        <f>IFERROR(__xludf.DUMMYFUNCTION("if(REGEXMATCH(join("", "",$F121:$G121),N$1)=TRUE,""✓"",""✗"")"),"✗")</f>
        <v>✗</v>
      </c>
      <c r="O121" s="23" t="str">
        <f>IFERROR(__xludf.DUMMYFUNCTION("if(REGEXMATCH(join("", "",$F121:$G121),O$1)=TRUE,""✓"",""✗"")"),"✗")</f>
        <v>✗</v>
      </c>
      <c r="P121" s="23" t="str">
        <f>IFERROR(__xludf.DUMMYFUNCTION("if(REGEXMATCH(join("", "",$F121:$G121),P$1)=TRUE,""✓"",""✗"")"),"✗")</f>
        <v>✗</v>
      </c>
      <c r="Q121" s="23" t="str">
        <f>IFERROR(__xludf.DUMMYFUNCTION("if(REGEXMATCH(join("", "",$F121:$G121),Q$1)=TRUE,""✓"",""✗"")"),"✗")</f>
        <v>✗</v>
      </c>
      <c r="R121" s="23" t="str">
        <f>IFERROR(__xludf.DUMMYFUNCTION("if(REGEXMATCH(join("", "",$F121:$G121),R$1)=TRUE,""✓"",""✗"")"),"✗")</f>
        <v>✗</v>
      </c>
      <c r="S121" s="23" t="str">
        <f>IFERROR(__xludf.DUMMYFUNCTION("if(REGEXMATCH(join("", "",$F121:$G121),S$1)=TRUE,""✓"",""✗"")"),"✗")</f>
        <v>✗</v>
      </c>
      <c r="T121" s="23" t="str">
        <f>IFERROR(__xludf.DUMMYFUNCTION("if(REGEXMATCH(join("", "",$F121:$G121),T$1)=TRUE,""✓"",""✗"")"),"✗")</f>
        <v>✗</v>
      </c>
      <c r="U121" s="33"/>
      <c r="V121" s="33"/>
      <c r="W121" s="33"/>
      <c r="X121" s="33"/>
      <c r="Y121" s="33"/>
      <c r="Z121" s="33"/>
      <c r="AA121" s="33"/>
      <c r="AB121" s="33"/>
      <c r="AC121" s="33"/>
    </row>
    <row r="122" hidden="1">
      <c r="A122" s="17" t="s">
        <v>302</v>
      </c>
      <c r="B122" s="33"/>
      <c r="C122" s="33"/>
      <c r="D122" s="33"/>
      <c r="E122" s="33"/>
      <c r="F122" s="33"/>
      <c r="G122" s="33">
        <v>16.0</v>
      </c>
      <c r="H122" s="23" t="str">
        <f>IFERROR(__xludf.DUMMYFUNCTION("if(REGEXMATCH(join("", "",$F122:$G122),H$1)=TRUE,""✓"",""✗"")"),"✗")</f>
        <v>✗</v>
      </c>
      <c r="I122" s="23" t="str">
        <f>IFERROR(__xludf.DUMMYFUNCTION("if(REGEXMATCH(join("", "",$F122:$G122),I$1)=TRUE,""✓"",""✗"")"),"✗")</f>
        <v>✗</v>
      </c>
      <c r="J122" s="23" t="str">
        <f>IFERROR(__xludf.DUMMYFUNCTION("if(REGEXMATCH(join("", "",$F122:$G122),J$1)=TRUE,""✓"",""✗"")"),"✗")</f>
        <v>✗</v>
      </c>
      <c r="K122" s="23" t="str">
        <f>IFERROR(__xludf.DUMMYFUNCTION("if(REGEXMATCH(join("", "",$F122:$G122),K$1)=TRUE,""✓"",""✗"")"),"✗")</f>
        <v>✗</v>
      </c>
      <c r="L122" s="23" t="str">
        <f>IFERROR(__xludf.DUMMYFUNCTION("if(REGEXMATCH(join("", "",$F122:$G122),L$1)=TRUE,""✓"",""✗"")"),"✗")</f>
        <v>✗</v>
      </c>
      <c r="M122" s="23" t="str">
        <f>IFERROR(__xludf.DUMMYFUNCTION("if(REGEXMATCH(join("", "",$F122:$G122),M$1)=TRUE,""✓"",""✗"")"),"✗")</f>
        <v>✗</v>
      </c>
      <c r="N122" s="23" t="str">
        <f>IFERROR(__xludf.DUMMYFUNCTION("if(REGEXMATCH(join("", "",$F122:$G122),N$1)=TRUE,""✓"",""✗"")"),"✗")</f>
        <v>✗</v>
      </c>
      <c r="O122" s="23" t="str">
        <f>IFERROR(__xludf.DUMMYFUNCTION("if(REGEXMATCH(join("", "",$F122:$G122),O$1)=TRUE,""✓"",""✗"")"),"✗")</f>
        <v>✗</v>
      </c>
      <c r="P122" s="23" t="str">
        <f>IFERROR(__xludf.DUMMYFUNCTION("if(REGEXMATCH(join("", "",$F122:$G122),P$1)=TRUE,""✓"",""✗"")"),"✗")</f>
        <v>✗</v>
      </c>
      <c r="Q122" s="23" t="str">
        <f>IFERROR(__xludf.DUMMYFUNCTION("if(REGEXMATCH(join("", "",$F122:$G122),Q$1)=TRUE,""✓"",""✗"")"),"✗")</f>
        <v>✗</v>
      </c>
      <c r="R122" s="23" t="str">
        <f>IFERROR(__xludf.DUMMYFUNCTION("if(REGEXMATCH(join("", "",$F122:$G122),R$1)=TRUE,""✓"",""✗"")"),"✗")</f>
        <v>✗</v>
      </c>
      <c r="S122" s="23" t="str">
        <f>IFERROR(__xludf.DUMMYFUNCTION("if(REGEXMATCH(join("", "",$F122:$G122),S$1)=TRUE,""✓"",""✗"")"),"✗")</f>
        <v>✗</v>
      </c>
      <c r="T122" s="23" t="str">
        <f>IFERROR(__xludf.DUMMYFUNCTION("if(REGEXMATCH(join("", "",$F122:$G122),T$1)=TRUE,""✓"",""✗"")"),"✗")</f>
        <v>✗</v>
      </c>
      <c r="U122" s="33"/>
      <c r="V122" s="33"/>
      <c r="W122" s="33"/>
      <c r="X122" s="33"/>
      <c r="Y122" s="33"/>
      <c r="Z122" s="33"/>
      <c r="AA122" s="33"/>
      <c r="AB122" s="33"/>
      <c r="AC122" s="33"/>
    </row>
    <row r="123" hidden="1">
      <c r="A123" s="17" t="s">
        <v>302</v>
      </c>
      <c r="B123" s="33"/>
      <c r="C123" s="33"/>
      <c r="D123" s="33"/>
      <c r="E123" s="33"/>
      <c r="F123" s="33"/>
      <c r="G123" s="33">
        <v>17.0</v>
      </c>
      <c r="H123" s="23" t="str">
        <f>IFERROR(__xludf.DUMMYFUNCTION("if(REGEXMATCH(join("", "",$F123:$G123),H$1)=TRUE,""✓"",""✗"")"),"✗")</f>
        <v>✗</v>
      </c>
      <c r="I123" s="23" t="str">
        <f>IFERROR(__xludf.DUMMYFUNCTION("if(REGEXMATCH(join("", "",$F123:$G123),I$1)=TRUE,""✓"",""✗"")"),"✗")</f>
        <v>✗</v>
      </c>
      <c r="J123" s="23" t="str">
        <f>IFERROR(__xludf.DUMMYFUNCTION("if(REGEXMATCH(join("", "",$F123:$G123),J$1)=TRUE,""✓"",""✗"")"),"✗")</f>
        <v>✗</v>
      </c>
      <c r="K123" s="23" t="str">
        <f>IFERROR(__xludf.DUMMYFUNCTION("if(REGEXMATCH(join("", "",$F123:$G123),K$1)=TRUE,""✓"",""✗"")"),"✗")</f>
        <v>✗</v>
      </c>
      <c r="L123" s="23" t="str">
        <f>IFERROR(__xludf.DUMMYFUNCTION("if(REGEXMATCH(join("", "",$F123:$G123),L$1)=TRUE,""✓"",""✗"")"),"✗")</f>
        <v>✗</v>
      </c>
      <c r="M123" s="23" t="str">
        <f>IFERROR(__xludf.DUMMYFUNCTION("if(REGEXMATCH(join("", "",$F123:$G123),M$1)=TRUE,""✓"",""✗"")"),"✗")</f>
        <v>✗</v>
      </c>
      <c r="N123" s="23" t="str">
        <f>IFERROR(__xludf.DUMMYFUNCTION("if(REGEXMATCH(join("", "",$F123:$G123),N$1)=TRUE,""✓"",""✗"")"),"✗")</f>
        <v>✗</v>
      </c>
      <c r="O123" s="23" t="str">
        <f>IFERROR(__xludf.DUMMYFUNCTION("if(REGEXMATCH(join("", "",$F123:$G123),O$1)=TRUE,""✓"",""✗"")"),"✗")</f>
        <v>✗</v>
      </c>
      <c r="P123" s="23" t="str">
        <f>IFERROR(__xludf.DUMMYFUNCTION("if(REGEXMATCH(join("", "",$F123:$G123),P$1)=TRUE,""✓"",""✗"")"),"✗")</f>
        <v>✗</v>
      </c>
      <c r="Q123" s="23" t="str">
        <f>IFERROR(__xludf.DUMMYFUNCTION("if(REGEXMATCH(join("", "",$F123:$G123),Q$1)=TRUE,""✓"",""✗"")"),"✗")</f>
        <v>✗</v>
      </c>
      <c r="R123" s="23" t="str">
        <f>IFERROR(__xludf.DUMMYFUNCTION("if(REGEXMATCH(join("", "",$F123:$G123),R$1)=TRUE,""✓"",""✗"")"),"✗")</f>
        <v>✗</v>
      </c>
      <c r="S123" s="23" t="str">
        <f>IFERROR(__xludf.DUMMYFUNCTION("if(REGEXMATCH(join("", "",$F123:$G123),S$1)=TRUE,""✓"",""✗"")"),"✗")</f>
        <v>✗</v>
      </c>
      <c r="T123" s="23" t="str">
        <f>IFERROR(__xludf.DUMMYFUNCTION("if(REGEXMATCH(join("", "",$F123:$G123),T$1)=TRUE,""✓"",""✗"")"),"✗")</f>
        <v>✗</v>
      </c>
      <c r="U123" s="33"/>
      <c r="V123" s="33"/>
      <c r="W123" s="33"/>
      <c r="X123" s="33"/>
      <c r="Y123" s="33"/>
      <c r="Z123" s="33"/>
      <c r="AA123" s="33"/>
      <c r="AB123" s="33"/>
      <c r="AC123" s="33"/>
    </row>
    <row r="124" hidden="1">
      <c r="A124" s="17" t="s">
        <v>302</v>
      </c>
      <c r="B124" s="33"/>
      <c r="C124" s="33"/>
      <c r="D124" s="33"/>
      <c r="E124" s="33"/>
      <c r="F124" s="33"/>
      <c r="G124" s="33">
        <v>18.0</v>
      </c>
      <c r="H124" s="23" t="str">
        <f>IFERROR(__xludf.DUMMYFUNCTION("if(REGEXMATCH(join("", "",$F124:$G124),H$1)=TRUE,""✓"",""✗"")"),"✗")</f>
        <v>✗</v>
      </c>
      <c r="I124" s="23" t="str">
        <f>IFERROR(__xludf.DUMMYFUNCTION("if(REGEXMATCH(join("", "",$F124:$G124),I$1)=TRUE,""✓"",""✗"")"),"✗")</f>
        <v>✗</v>
      </c>
      <c r="J124" s="23" t="str">
        <f>IFERROR(__xludf.DUMMYFUNCTION("if(REGEXMATCH(join("", "",$F124:$G124),J$1)=TRUE,""✓"",""✗"")"),"✗")</f>
        <v>✗</v>
      </c>
      <c r="K124" s="23" t="str">
        <f>IFERROR(__xludf.DUMMYFUNCTION("if(REGEXMATCH(join("", "",$F124:$G124),K$1)=TRUE,""✓"",""✗"")"),"✗")</f>
        <v>✗</v>
      </c>
      <c r="L124" s="23" t="str">
        <f>IFERROR(__xludf.DUMMYFUNCTION("if(REGEXMATCH(join("", "",$F124:$G124),L$1)=TRUE,""✓"",""✗"")"),"✗")</f>
        <v>✗</v>
      </c>
      <c r="M124" s="23" t="str">
        <f>IFERROR(__xludf.DUMMYFUNCTION("if(REGEXMATCH(join("", "",$F124:$G124),M$1)=TRUE,""✓"",""✗"")"),"✗")</f>
        <v>✗</v>
      </c>
      <c r="N124" s="23" t="str">
        <f>IFERROR(__xludf.DUMMYFUNCTION("if(REGEXMATCH(join("", "",$F124:$G124),N$1)=TRUE,""✓"",""✗"")"),"✗")</f>
        <v>✗</v>
      </c>
      <c r="O124" s="23" t="str">
        <f>IFERROR(__xludf.DUMMYFUNCTION("if(REGEXMATCH(join("", "",$F124:$G124),O$1)=TRUE,""✓"",""✗"")"),"✗")</f>
        <v>✗</v>
      </c>
      <c r="P124" s="23" t="str">
        <f>IFERROR(__xludf.DUMMYFUNCTION("if(REGEXMATCH(join("", "",$F124:$G124),P$1)=TRUE,""✓"",""✗"")"),"✗")</f>
        <v>✗</v>
      </c>
      <c r="Q124" s="23" t="str">
        <f>IFERROR(__xludf.DUMMYFUNCTION("if(REGEXMATCH(join("", "",$F124:$G124),Q$1)=TRUE,""✓"",""✗"")"),"✗")</f>
        <v>✗</v>
      </c>
      <c r="R124" s="23" t="str">
        <f>IFERROR(__xludf.DUMMYFUNCTION("if(REGEXMATCH(join("", "",$F124:$G124),R$1)=TRUE,""✓"",""✗"")"),"✗")</f>
        <v>✗</v>
      </c>
      <c r="S124" s="23" t="str">
        <f>IFERROR(__xludf.DUMMYFUNCTION("if(REGEXMATCH(join("", "",$F124:$G124),S$1)=TRUE,""✓"",""✗"")"),"✗")</f>
        <v>✗</v>
      </c>
      <c r="T124" s="23" t="str">
        <f>IFERROR(__xludf.DUMMYFUNCTION("if(REGEXMATCH(join("", "",$F124:$G124),T$1)=TRUE,""✓"",""✗"")"),"✗")</f>
        <v>✗</v>
      </c>
      <c r="U124" s="33"/>
      <c r="V124" s="33"/>
      <c r="W124" s="33"/>
      <c r="X124" s="33"/>
      <c r="Y124" s="33"/>
      <c r="Z124" s="33"/>
      <c r="AA124" s="33"/>
      <c r="AB124" s="33"/>
      <c r="AC124" s="33"/>
    </row>
    <row r="125" hidden="1">
      <c r="A125" s="17" t="s">
        <v>302</v>
      </c>
      <c r="B125" s="33"/>
      <c r="C125" s="33"/>
      <c r="D125" s="33"/>
      <c r="E125" s="33"/>
      <c r="F125" s="33"/>
      <c r="G125" s="33">
        <v>19.0</v>
      </c>
      <c r="H125" s="23" t="str">
        <f>IFERROR(__xludf.DUMMYFUNCTION("if(REGEXMATCH(join("", "",$F125:$G125),H$1)=TRUE,""✓"",""✗"")"),"✗")</f>
        <v>✗</v>
      </c>
      <c r="I125" s="23" t="str">
        <f>IFERROR(__xludf.DUMMYFUNCTION("if(REGEXMATCH(join("", "",$F125:$G125),I$1)=TRUE,""✓"",""✗"")"),"✗")</f>
        <v>✗</v>
      </c>
      <c r="J125" s="23" t="str">
        <f>IFERROR(__xludf.DUMMYFUNCTION("if(REGEXMATCH(join("", "",$F125:$G125),J$1)=TRUE,""✓"",""✗"")"),"✗")</f>
        <v>✗</v>
      </c>
      <c r="K125" s="23" t="str">
        <f>IFERROR(__xludf.DUMMYFUNCTION("if(REGEXMATCH(join("", "",$F125:$G125),K$1)=TRUE,""✓"",""✗"")"),"✗")</f>
        <v>✗</v>
      </c>
      <c r="L125" s="23" t="str">
        <f>IFERROR(__xludf.DUMMYFUNCTION("if(REGEXMATCH(join("", "",$F125:$G125),L$1)=TRUE,""✓"",""✗"")"),"✗")</f>
        <v>✗</v>
      </c>
      <c r="M125" s="23" t="str">
        <f>IFERROR(__xludf.DUMMYFUNCTION("if(REGEXMATCH(join("", "",$F125:$G125),M$1)=TRUE,""✓"",""✗"")"),"✗")</f>
        <v>✗</v>
      </c>
      <c r="N125" s="23" t="str">
        <f>IFERROR(__xludf.DUMMYFUNCTION("if(REGEXMATCH(join("", "",$F125:$G125),N$1)=TRUE,""✓"",""✗"")"),"✗")</f>
        <v>✗</v>
      </c>
      <c r="O125" s="23" t="str">
        <f>IFERROR(__xludf.DUMMYFUNCTION("if(REGEXMATCH(join("", "",$F125:$G125),O$1)=TRUE,""✓"",""✗"")"),"✗")</f>
        <v>✗</v>
      </c>
      <c r="P125" s="23" t="str">
        <f>IFERROR(__xludf.DUMMYFUNCTION("if(REGEXMATCH(join("", "",$F125:$G125),P$1)=TRUE,""✓"",""✗"")"),"✗")</f>
        <v>✗</v>
      </c>
      <c r="Q125" s="23" t="str">
        <f>IFERROR(__xludf.DUMMYFUNCTION("if(REGEXMATCH(join("", "",$F125:$G125),Q$1)=TRUE,""✓"",""✗"")"),"✗")</f>
        <v>✗</v>
      </c>
      <c r="R125" s="23" t="str">
        <f>IFERROR(__xludf.DUMMYFUNCTION("if(REGEXMATCH(join("", "",$F125:$G125),R$1)=TRUE,""✓"",""✗"")"),"✗")</f>
        <v>✗</v>
      </c>
      <c r="S125" s="23" t="str">
        <f>IFERROR(__xludf.DUMMYFUNCTION("if(REGEXMATCH(join("", "",$F125:$G125),S$1)=TRUE,""✓"",""✗"")"),"✗")</f>
        <v>✗</v>
      </c>
      <c r="T125" s="23" t="str">
        <f>IFERROR(__xludf.DUMMYFUNCTION("if(REGEXMATCH(join("", "",$F125:$G125),T$1)=TRUE,""✓"",""✗"")"),"✗")</f>
        <v>✗</v>
      </c>
      <c r="U125" s="33"/>
      <c r="V125" s="33"/>
      <c r="W125" s="33"/>
      <c r="X125" s="33"/>
      <c r="Y125" s="33"/>
      <c r="Z125" s="33"/>
      <c r="AA125" s="33"/>
      <c r="AB125" s="33"/>
      <c r="AC125" s="33"/>
    </row>
    <row r="126" hidden="1">
      <c r="A126" s="17" t="s">
        <v>302</v>
      </c>
      <c r="B126" s="33"/>
      <c r="C126" s="33"/>
      <c r="D126" s="33"/>
      <c r="E126" s="33"/>
      <c r="F126" s="33"/>
      <c r="G126" s="33">
        <v>20.0</v>
      </c>
      <c r="H126" s="23" t="str">
        <f>IFERROR(__xludf.DUMMYFUNCTION("if(REGEXMATCH(join("", "",$F126:$G126),H$1)=TRUE,""✓"",""✗"")"),"✗")</f>
        <v>✗</v>
      </c>
      <c r="I126" s="23" t="str">
        <f>IFERROR(__xludf.DUMMYFUNCTION("if(REGEXMATCH(join("", "",$F126:$G126),I$1)=TRUE,""✓"",""✗"")"),"✗")</f>
        <v>✗</v>
      </c>
      <c r="J126" s="23" t="str">
        <f>IFERROR(__xludf.DUMMYFUNCTION("if(REGEXMATCH(join("", "",$F126:$G126),J$1)=TRUE,""✓"",""✗"")"),"✗")</f>
        <v>✗</v>
      </c>
      <c r="K126" s="23" t="str">
        <f>IFERROR(__xludf.DUMMYFUNCTION("if(REGEXMATCH(join("", "",$F126:$G126),K$1)=TRUE,""✓"",""✗"")"),"✗")</f>
        <v>✗</v>
      </c>
      <c r="L126" s="23" t="str">
        <f>IFERROR(__xludf.DUMMYFUNCTION("if(REGEXMATCH(join("", "",$F126:$G126),L$1)=TRUE,""✓"",""✗"")"),"✗")</f>
        <v>✗</v>
      </c>
      <c r="M126" s="23" t="str">
        <f>IFERROR(__xludf.DUMMYFUNCTION("if(REGEXMATCH(join("", "",$F126:$G126),M$1)=TRUE,""✓"",""✗"")"),"✗")</f>
        <v>✗</v>
      </c>
      <c r="N126" s="23" t="str">
        <f>IFERROR(__xludf.DUMMYFUNCTION("if(REGEXMATCH(join("", "",$F126:$G126),N$1)=TRUE,""✓"",""✗"")"),"✗")</f>
        <v>✗</v>
      </c>
      <c r="O126" s="23" t="str">
        <f>IFERROR(__xludf.DUMMYFUNCTION("if(REGEXMATCH(join("", "",$F126:$G126),O$1)=TRUE,""✓"",""✗"")"),"✗")</f>
        <v>✗</v>
      </c>
      <c r="P126" s="23" t="str">
        <f>IFERROR(__xludf.DUMMYFUNCTION("if(REGEXMATCH(join("", "",$F126:$G126),P$1)=TRUE,""✓"",""✗"")"),"✗")</f>
        <v>✗</v>
      </c>
      <c r="Q126" s="23" t="str">
        <f>IFERROR(__xludf.DUMMYFUNCTION("if(REGEXMATCH(join("", "",$F126:$G126),Q$1)=TRUE,""✓"",""✗"")"),"✗")</f>
        <v>✗</v>
      </c>
      <c r="R126" s="23" t="str">
        <f>IFERROR(__xludf.DUMMYFUNCTION("if(REGEXMATCH(join("", "",$F126:$G126),R$1)=TRUE,""✓"",""✗"")"),"✗")</f>
        <v>✗</v>
      </c>
      <c r="S126" s="23" t="str">
        <f>IFERROR(__xludf.DUMMYFUNCTION("if(REGEXMATCH(join("", "",$F126:$G126),S$1)=TRUE,""✓"",""✗"")"),"✗")</f>
        <v>✗</v>
      </c>
      <c r="T126" s="23" t="str">
        <f>IFERROR(__xludf.DUMMYFUNCTION("if(REGEXMATCH(join("", "",$F126:$G126),T$1)=TRUE,""✓"",""✗"")"),"✗")</f>
        <v>✗</v>
      </c>
      <c r="U126" s="33"/>
      <c r="V126" s="33"/>
      <c r="W126" s="33"/>
      <c r="X126" s="33"/>
      <c r="Y126" s="33"/>
      <c r="Z126" s="33"/>
      <c r="AA126" s="33"/>
      <c r="AB126" s="33"/>
      <c r="AC126" s="33"/>
    </row>
    <row r="127" hidden="1">
      <c r="A127" s="17" t="s">
        <v>302</v>
      </c>
      <c r="B127" s="33"/>
      <c r="C127" s="33"/>
      <c r="D127" s="33"/>
      <c r="E127" s="33"/>
      <c r="F127" s="33"/>
      <c r="G127" s="33">
        <v>21.0</v>
      </c>
      <c r="H127" s="23" t="str">
        <f>IFERROR(__xludf.DUMMYFUNCTION("if(REGEXMATCH(join("", "",$F127:$G127),H$1)=TRUE,""✓"",""✗"")"),"✗")</f>
        <v>✗</v>
      </c>
      <c r="I127" s="23" t="str">
        <f>IFERROR(__xludf.DUMMYFUNCTION("if(REGEXMATCH(join("", "",$F127:$G127),I$1)=TRUE,""✓"",""✗"")"),"✗")</f>
        <v>✗</v>
      </c>
      <c r="J127" s="23" t="str">
        <f>IFERROR(__xludf.DUMMYFUNCTION("if(REGEXMATCH(join("", "",$F127:$G127),J$1)=TRUE,""✓"",""✗"")"),"✗")</f>
        <v>✗</v>
      </c>
      <c r="K127" s="23" t="str">
        <f>IFERROR(__xludf.DUMMYFUNCTION("if(REGEXMATCH(join("", "",$F127:$G127),K$1)=TRUE,""✓"",""✗"")"),"✗")</f>
        <v>✗</v>
      </c>
      <c r="L127" s="23" t="str">
        <f>IFERROR(__xludf.DUMMYFUNCTION("if(REGEXMATCH(join("", "",$F127:$G127),L$1)=TRUE,""✓"",""✗"")"),"✗")</f>
        <v>✗</v>
      </c>
      <c r="M127" s="23" t="str">
        <f>IFERROR(__xludf.DUMMYFUNCTION("if(REGEXMATCH(join("", "",$F127:$G127),M$1)=TRUE,""✓"",""✗"")"),"✗")</f>
        <v>✗</v>
      </c>
      <c r="N127" s="23" t="str">
        <f>IFERROR(__xludf.DUMMYFUNCTION("if(REGEXMATCH(join("", "",$F127:$G127),N$1)=TRUE,""✓"",""✗"")"),"✗")</f>
        <v>✗</v>
      </c>
      <c r="O127" s="23" t="str">
        <f>IFERROR(__xludf.DUMMYFUNCTION("if(REGEXMATCH(join("", "",$F127:$G127),O$1)=TRUE,""✓"",""✗"")"),"✗")</f>
        <v>✗</v>
      </c>
      <c r="P127" s="23" t="str">
        <f>IFERROR(__xludf.DUMMYFUNCTION("if(REGEXMATCH(join("", "",$F127:$G127),P$1)=TRUE,""✓"",""✗"")"),"✗")</f>
        <v>✗</v>
      </c>
      <c r="Q127" s="23" t="str">
        <f>IFERROR(__xludf.DUMMYFUNCTION("if(REGEXMATCH(join("", "",$F127:$G127),Q$1)=TRUE,""✓"",""✗"")"),"✗")</f>
        <v>✗</v>
      </c>
      <c r="R127" s="23" t="str">
        <f>IFERROR(__xludf.DUMMYFUNCTION("if(REGEXMATCH(join("", "",$F127:$G127),R$1)=TRUE,""✓"",""✗"")"),"✗")</f>
        <v>✗</v>
      </c>
      <c r="S127" s="23" t="str">
        <f>IFERROR(__xludf.DUMMYFUNCTION("if(REGEXMATCH(join("", "",$F127:$G127),S$1)=TRUE,""✓"",""✗"")"),"✗")</f>
        <v>✗</v>
      </c>
      <c r="T127" s="23" t="str">
        <f>IFERROR(__xludf.DUMMYFUNCTION("if(REGEXMATCH(join("", "",$F127:$G127),T$1)=TRUE,""✓"",""✗"")"),"✗")</f>
        <v>✗</v>
      </c>
      <c r="U127" s="33"/>
      <c r="V127" s="33"/>
      <c r="W127" s="33"/>
      <c r="X127" s="33"/>
      <c r="Y127" s="33"/>
      <c r="Z127" s="33"/>
      <c r="AA127" s="33"/>
      <c r="AB127" s="33"/>
      <c r="AC127" s="33"/>
    </row>
    <row r="128" hidden="1">
      <c r="A128" s="17" t="s">
        <v>302</v>
      </c>
      <c r="B128" s="33"/>
      <c r="C128" s="33"/>
      <c r="D128" s="33"/>
      <c r="E128" s="33"/>
      <c r="F128" s="33"/>
      <c r="G128" s="33">
        <v>22.0</v>
      </c>
      <c r="H128" s="23" t="str">
        <f>IFERROR(__xludf.DUMMYFUNCTION("if(REGEXMATCH(join("", "",$F128:$G128),H$1)=TRUE,""✓"",""✗"")"),"✗")</f>
        <v>✗</v>
      </c>
      <c r="I128" s="23" t="str">
        <f>IFERROR(__xludf.DUMMYFUNCTION("if(REGEXMATCH(join("", "",$F128:$G128),I$1)=TRUE,""✓"",""✗"")"),"✗")</f>
        <v>✗</v>
      </c>
      <c r="J128" s="23" t="str">
        <f>IFERROR(__xludf.DUMMYFUNCTION("if(REGEXMATCH(join("", "",$F128:$G128),J$1)=TRUE,""✓"",""✗"")"),"✗")</f>
        <v>✗</v>
      </c>
      <c r="K128" s="23" t="str">
        <f>IFERROR(__xludf.DUMMYFUNCTION("if(REGEXMATCH(join("", "",$F128:$G128),K$1)=TRUE,""✓"",""✗"")"),"✗")</f>
        <v>✗</v>
      </c>
      <c r="L128" s="23" t="str">
        <f>IFERROR(__xludf.DUMMYFUNCTION("if(REGEXMATCH(join("", "",$F128:$G128),L$1)=TRUE,""✓"",""✗"")"),"✗")</f>
        <v>✗</v>
      </c>
      <c r="M128" s="23" t="str">
        <f>IFERROR(__xludf.DUMMYFUNCTION("if(REGEXMATCH(join("", "",$F128:$G128),M$1)=TRUE,""✓"",""✗"")"),"✗")</f>
        <v>✗</v>
      </c>
      <c r="N128" s="23" t="str">
        <f>IFERROR(__xludf.DUMMYFUNCTION("if(REGEXMATCH(join("", "",$F128:$G128),N$1)=TRUE,""✓"",""✗"")"),"✗")</f>
        <v>✗</v>
      </c>
      <c r="O128" s="23" t="str">
        <f>IFERROR(__xludf.DUMMYFUNCTION("if(REGEXMATCH(join("", "",$F128:$G128),O$1)=TRUE,""✓"",""✗"")"),"✗")</f>
        <v>✗</v>
      </c>
      <c r="P128" s="23" t="str">
        <f>IFERROR(__xludf.DUMMYFUNCTION("if(REGEXMATCH(join("", "",$F128:$G128),P$1)=TRUE,""✓"",""✗"")"),"✗")</f>
        <v>✗</v>
      </c>
      <c r="Q128" s="23" t="str">
        <f>IFERROR(__xludf.DUMMYFUNCTION("if(REGEXMATCH(join("", "",$F128:$G128),Q$1)=TRUE,""✓"",""✗"")"),"✗")</f>
        <v>✗</v>
      </c>
      <c r="R128" s="23" t="str">
        <f>IFERROR(__xludf.DUMMYFUNCTION("if(REGEXMATCH(join("", "",$F128:$G128),R$1)=TRUE,""✓"",""✗"")"),"✗")</f>
        <v>✗</v>
      </c>
      <c r="S128" s="23" t="str">
        <f>IFERROR(__xludf.DUMMYFUNCTION("if(REGEXMATCH(join("", "",$F128:$G128),S$1)=TRUE,""✓"",""✗"")"),"✗")</f>
        <v>✗</v>
      </c>
      <c r="T128" s="23" t="str">
        <f>IFERROR(__xludf.DUMMYFUNCTION("if(REGEXMATCH(join("", "",$F128:$G128),T$1)=TRUE,""✓"",""✗"")"),"✗")</f>
        <v>✗</v>
      </c>
      <c r="U128" s="33"/>
      <c r="V128" s="33"/>
      <c r="W128" s="33"/>
      <c r="X128" s="33"/>
      <c r="Y128" s="33"/>
      <c r="Z128" s="33"/>
      <c r="AA128" s="33"/>
      <c r="AB128" s="33"/>
      <c r="AC128" s="33"/>
    </row>
    <row r="129" hidden="1">
      <c r="A129" s="17" t="s">
        <v>302</v>
      </c>
      <c r="B129" s="33"/>
      <c r="C129" s="33"/>
      <c r="D129" s="33"/>
      <c r="E129" s="33"/>
      <c r="F129" s="33"/>
      <c r="G129" s="33">
        <v>23.0</v>
      </c>
      <c r="H129" s="23" t="str">
        <f>IFERROR(__xludf.DUMMYFUNCTION("if(REGEXMATCH(join("", "",$F129:$G129),H$1)=TRUE,""✓"",""✗"")"),"✗")</f>
        <v>✗</v>
      </c>
      <c r="I129" s="23" t="str">
        <f>IFERROR(__xludf.DUMMYFUNCTION("if(REGEXMATCH(join("", "",$F129:$G129),I$1)=TRUE,""✓"",""✗"")"),"✗")</f>
        <v>✗</v>
      </c>
      <c r="J129" s="23" t="str">
        <f>IFERROR(__xludf.DUMMYFUNCTION("if(REGEXMATCH(join("", "",$F129:$G129),J$1)=TRUE,""✓"",""✗"")"),"✗")</f>
        <v>✗</v>
      </c>
      <c r="K129" s="23" t="str">
        <f>IFERROR(__xludf.DUMMYFUNCTION("if(REGEXMATCH(join("", "",$F129:$G129),K$1)=TRUE,""✓"",""✗"")"),"✗")</f>
        <v>✗</v>
      </c>
      <c r="L129" s="23" t="str">
        <f>IFERROR(__xludf.DUMMYFUNCTION("if(REGEXMATCH(join("", "",$F129:$G129),L$1)=TRUE,""✓"",""✗"")"),"✗")</f>
        <v>✗</v>
      </c>
      <c r="M129" s="23" t="str">
        <f>IFERROR(__xludf.DUMMYFUNCTION("if(REGEXMATCH(join("", "",$F129:$G129),M$1)=TRUE,""✓"",""✗"")"),"✗")</f>
        <v>✗</v>
      </c>
      <c r="N129" s="23" t="str">
        <f>IFERROR(__xludf.DUMMYFUNCTION("if(REGEXMATCH(join("", "",$F129:$G129),N$1)=TRUE,""✓"",""✗"")"),"✗")</f>
        <v>✗</v>
      </c>
      <c r="O129" s="23" t="str">
        <f>IFERROR(__xludf.DUMMYFUNCTION("if(REGEXMATCH(join("", "",$F129:$G129),O$1)=TRUE,""✓"",""✗"")"),"✗")</f>
        <v>✗</v>
      </c>
      <c r="P129" s="23" t="str">
        <f>IFERROR(__xludf.DUMMYFUNCTION("if(REGEXMATCH(join("", "",$F129:$G129),P$1)=TRUE,""✓"",""✗"")"),"✗")</f>
        <v>✗</v>
      </c>
      <c r="Q129" s="23" t="str">
        <f>IFERROR(__xludf.DUMMYFUNCTION("if(REGEXMATCH(join("", "",$F129:$G129),Q$1)=TRUE,""✓"",""✗"")"),"✗")</f>
        <v>✗</v>
      </c>
      <c r="R129" s="23" t="str">
        <f>IFERROR(__xludf.DUMMYFUNCTION("if(REGEXMATCH(join("", "",$F129:$G129),R$1)=TRUE,""✓"",""✗"")"),"✗")</f>
        <v>✗</v>
      </c>
      <c r="S129" s="23" t="str">
        <f>IFERROR(__xludf.DUMMYFUNCTION("if(REGEXMATCH(join("", "",$F129:$G129),S$1)=TRUE,""✓"",""✗"")"),"✗")</f>
        <v>✗</v>
      </c>
      <c r="T129" s="23" t="str">
        <f>IFERROR(__xludf.DUMMYFUNCTION("if(REGEXMATCH(join("", "",$F129:$G129),T$1)=TRUE,""✓"",""✗"")"),"✗")</f>
        <v>✗</v>
      </c>
      <c r="U129" s="33"/>
      <c r="V129" s="33"/>
      <c r="W129" s="33"/>
      <c r="X129" s="33"/>
      <c r="Y129" s="33"/>
      <c r="Z129" s="33"/>
      <c r="AA129" s="33"/>
      <c r="AB129" s="33"/>
      <c r="AC129" s="33"/>
    </row>
    <row r="130" hidden="1">
      <c r="A130" s="17" t="s">
        <v>302</v>
      </c>
      <c r="B130" s="33"/>
      <c r="C130" s="33"/>
      <c r="D130" s="33"/>
      <c r="E130" s="33"/>
      <c r="F130" s="33"/>
      <c r="G130" s="33">
        <v>24.0</v>
      </c>
      <c r="H130" s="23" t="str">
        <f>IFERROR(__xludf.DUMMYFUNCTION("if(REGEXMATCH(join("", "",$F130:$G130),H$1)=TRUE,""✓"",""✗"")"),"✗")</f>
        <v>✗</v>
      </c>
      <c r="I130" s="23" t="str">
        <f>IFERROR(__xludf.DUMMYFUNCTION("if(REGEXMATCH(join("", "",$F130:$G130),I$1)=TRUE,""✓"",""✗"")"),"✗")</f>
        <v>✗</v>
      </c>
      <c r="J130" s="23" t="str">
        <f>IFERROR(__xludf.DUMMYFUNCTION("if(REGEXMATCH(join("", "",$F130:$G130),J$1)=TRUE,""✓"",""✗"")"),"✗")</f>
        <v>✗</v>
      </c>
      <c r="K130" s="23" t="str">
        <f>IFERROR(__xludf.DUMMYFUNCTION("if(REGEXMATCH(join("", "",$F130:$G130),K$1)=TRUE,""✓"",""✗"")"),"✗")</f>
        <v>✗</v>
      </c>
      <c r="L130" s="23" t="str">
        <f>IFERROR(__xludf.DUMMYFUNCTION("if(REGEXMATCH(join("", "",$F130:$G130),L$1)=TRUE,""✓"",""✗"")"),"✗")</f>
        <v>✗</v>
      </c>
      <c r="M130" s="23" t="str">
        <f>IFERROR(__xludf.DUMMYFUNCTION("if(REGEXMATCH(join("", "",$F130:$G130),M$1)=TRUE,""✓"",""✗"")"),"✗")</f>
        <v>✗</v>
      </c>
      <c r="N130" s="23" t="str">
        <f>IFERROR(__xludf.DUMMYFUNCTION("if(REGEXMATCH(join("", "",$F130:$G130),N$1)=TRUE,""✓"",""✗"")"),"✗")</f>
        <v>✗</v>
      </c>
      <c r="O130" s="23" t="str">
        <f>IFERROR(__xludf.DUMMYFUNCTION("if(REGEXMATCH(join("", "",$F130:$G130),O$1)=TRUE,""✓"",""✗"")"),"✗")</f>
        <v>✗</v>
      </c>
      <c r="P130" s="23" t="str">
        <f>IFERROR(__xludf.DUMMYFUNCTION("if(REGEXMATCH(join("", "",$F130:$G130),P$1)=TRUE,""✓"",""✗"")"),"✗")</f>
        <v>✗</v>
      </c>
      <c r="Q130" s="23" t="str">
        <f>IFERROR(__xludf.DUMMYFUNCTION("if(REGEXMATCH(join("", "",$F130:$G130),Q$1)=TRUE,""✓"",""✗"")"),"✗")</f>
        <v>✗</v>
      </c>
      <c r="R130" s="23" t="str">
        <f>IFERROR(__xludf.DUMMYFUNCTION("if(REGEXMATCH(join("", "",$F130:$G130),R$1)=TRUE,""✓"",""✗"")"),"✗")</f>
        <v>✗</v>
      </c>
      <c r="S130" s="23" t="str">
        <f>IFERROR(__xludf.DUMMYFUNCTION("if(REGEXMATCH(join("", "",$F130:$G130),S$1)=TRUE,""✓"",""✗"")"),"✗")</f>
        <v>✗</v>
      </c>
      <c r="T130" s="23" t="str">
        <f>IFERROR(__xludf.DUMMYFUNCTION("if(REGEXMATCH(join("", "",$F130:$G130),T$1)=TRUE,""✓"",""✗"")"),"✗")</f>
        <v>✗</v>
      </c>
      <c r="U130" s="33"/>
      <c r="V130" s="33"/>
      <c r="W130" s="33"/>
      <c r="X130" s="33"/>
      <c r="Y130" s="33"/>
      <c r="Z130" s="33"/>
      <c r="AA130" s="33"/>
      <c r="AB130" s="33"/>
      <c r="AC130" s="33"/>
    </row>
    <row r="131" hidden="1">
      <c r="A131" s="17" t="s">
        <v>302</v>
      </c>
      <c r="B131" s="33"/>
      <c r="C131" s="33"/>
      <c r="D131" s="33"/>
      <c r="E131" s="33"/>
      <c r="F131" s="33"/>
      <c r="G131" s="33">
        <v>25.0</v>
      </c>
      <c r="H131" s="23" t="str">
        <f>IFERROR(__xludf.DUMMYFUNCTION("if(REGEXMATCH(join("", "",$F131:$G131),H$1)=TRUE,""✓"",""✗"")"),"✗")</f>
        <v>✗</v>
      </c>
      <c r="I131" s="23" t="str">
        <f>IFERROR(__xludf.DUMMYFUNCTION("if(REGEXMATCH(join("", "",$F131:$G131),I$1)=TRUE,""✓"",""✗"")"),"✗")</f>
        <v>✗</v>
      </c>
      <c r="J131" s="23" t="str">
        <f>IFERROR(__xludf.DUMMYFUNCTION("if(REGEXMATCH(join("", "",$F131:$G131),J$1)=TRUE,""✓"",""✗"")"),"✗")</f>
        <v>✗</v>
      </c>
      <c r="K131" s="23" t="str">
        <f>IFERROR(__xludf.DUMMYFUNCTION("if(REGEXMATCH(join("", "",$F131:$G131),K$1)=TRUE,""✓"",""✗"")"),"✗")</f>
        <v>✗</v>
      </c>
      <c r="L131" s="23" t="str">
        <f>IFERROR(__xludf.DUMMYFUNCTION("if(REGEXMATCH(join("", "",$F131:$G131),L$1)=TRUE,""✓"",""✗"")"),"✗")</f>
        <v>✗</v>
      </c>
      <c r="M131" s="23" t="str">
        <f>IFERROR(__xludf.DUMMYFUNCTION("if(REGEXMATCH(join("", "",$F131:$G131),M$1)=TRUE,""✓"",""✗"")"),"✗")</f>
        <v>✗</v>
      </c>
      <c r="N131" s="23" t="str">
        <f>IFERROR(__xludf.DUMMYFUNCTION("if(REGEXMATCH(join("", "",$F131:$G131),N$1)=TRUE,""✓"",""✗"")"),"✗")</f>
        <v>✗</v>
      </c>
      <c r="O131" s="23" t="str">
        <f>IFERROR(__xludf.DUMMYFUNCTION("if(REGEXMATCH(join("", "",$F131:$G131),O$1)=TRUE,""✓"",""✗"")"),"✗")</f>
        <v>✗</v>
      </c>
      <c r="P131" s="23" t="str">
        <f>IFERROR(__xludf.DUMMYFUNCTION("if(REGEXMATCH(join("", "",$F131:$G131),P$1)=TRUE,""✓"",""✗"")"),"✗")</f>
        <v>✗</v>
      </c>
      <c r="Q131" s="23" t="str">
        <f>IFERROR(__xludf.DUMMYFUNCTION("if(REGEXMATCH(join("", "",$F131:$G131),Q$1)=TRUE,""✓"",""✗"")"),"✗")</f>
        <v>✗</v>
      </c>
      <c r="R131" s="23" t="str">
        <f>IFERROR(__xludf.DUMMYFUNCTION("if(REGEXMATCH(join("", "",$F131:$G131),R$1)=TRUE,""✓"",""✗"")"),"✗")</f>
        <v>✗</v>
      </c>
      <c r="S131" s="23" t="str">
        <f>IFERROR(__xludf.DUMMYFUNCTION("if(REGEXMATCH(join("", "",$F131:$G131),S$1)=TRUE,""✓"",""✗"")"),"✗")</f>
        <v>✗</v>
      </c>
      <c r="T131" s="23" t="str">
        <f>IFERROR(__xludf.DUMMYFUNCTION("if(REGEXMATCH(join("", "",$F131:$G131),T$1)=TRUE,""✓"",""✗"")"),"✗")</f>
        <v>✗</v>
      </c>
      <c r="U131" s="33"/>
      <c r="V131" s="33"/>
      <c r="W131" s="33"/>
      <c r="X131" s="33"/>
      <c r="Y131" s="33"/>
      <c r="Z131" s="33"/>
      <c r="AA131" s="33"/>
      <c r="AB131" s="33"/>
      <c r="AC131" s="33"/>
    </row>
    <row r="132" hidden="1">
      <c r="A132" s="17" t="s">
        <v>302</v>
      </c>
      <c r="B132" s="33"/>
      <c r="C132" s="33"/>
      <c r="D132" s="33"/>
      <c r="E132" s="33"/>
      <c r="F132" s="33"/>
      <c r="G132" s="33">
        <v>26.0</v>
      </c>
      <c r="H132" s="23" t="str">
        <f>IFERROR(__xludf.DUMMYFUNCTION("if(REGEXMATCH(join("", "",$F132:$G132),H$1)=TRUE,""✓"",""✗"")"),"✗")</f>
        <v>✗</v>
      </c>
      <c r="I132" s="23" t="str">
        <f>IFERROR(__xludf.DUMMYFUNCTION("if(REGEXMATCH(join("", "",$F132:$G132),I$1)=TRUE,""✓"",""✗"")"),"✗")</f>
        <v>✗</v>
      </c>
      <c r="J132" s="23" t="str">
        <f>IFERROR(__xludf.DUMMYFUNCTION("if(REGEXMATCH(join("", "",$F132:$G132),J$1)=TRUE,""✓"",""✗"")"),"✗")</f>
        <v>✗</v>
      </c>
      <c r="K132" s="23" t="str">
        <f>IFERROR(__xludf.DUMMYFUNCTION("if(REGEXMATCH(join("", "",$F132:$G132),K$1)=TRUE,""✓"",""✗"")"),"✗")</f>
        <v>✗</v>
      </c>
      <c r="L132" s="23" t="str">
        <f>IFERROR(__xludf.DUMMYFUNCTION("if(REGEXMATCH(join("", "",$F132:$G132),L$1)=TRUE,""✓"",""✗"")"),"✗")</f>
        <v>✗</v>
      </c>
      <c r="M132" s="23" t="str">
        <f>IFERROR(__xludf.DUMMYFUNCTION("if(REGEXMATCH(join("", "",$F132:$G132),M$1)=TRUE,""✓"",""✗"")"),"✗")</f>
        <v>✗</v>
      </c>
      <c r="N132" s="23" t="str">
        <f>IFERROR(__xludf.DUMMYFUNCTION("if(REGEXMATCH(join("", "",$F132:$G132),N$1)=TRUE,""✓"",""✗"")"),"✗")</f>
        <v>✗</v>
      </c>
      <c r="O132" s="23" t="str">
        <f>IFERROR(__xludf.DUMMYFUNCTION("if(REGEXMATCH(join("", "",$F132:$G132),O$1)=TRUE,""✓"",""✗"")"),"✗")</f>
        <v>✗</v>
      </c>
      <c r="P132" s="23" t="str">
        <f>IFERROR(__xludf.DUMMYFUNCTION("if(REGEXMATCH(join("", "",$F132:$G132),P$1)=TRUE,""✓"",""✗"")"),"✗")</f>
        <v>✗</v>
      </c>
      <c r="Q132" s="23" t="str">
        <f>IFERROR(__xludf.DUMMYFUNCTION("if(REGEXMATCH(join("", "",$F132:$G132),Q$1)=TRUE,""✓"",""✗"")"),"✗")</f>
        <v>✗</v>
      </c>
      <c r="R132" s="23" t="str">
        <f>IFERROR(__xludf.DUMMYFUNCTION("if(REGEXMATCH(join("", "",$F132:$G132),R$1)=TRUE,""✓"",""✗"")"),"✗")</f>
        <v>✗</v>
      </c>
      <c r="S132" s="23" t="str">
        <f>IFERROR(__xludf.DUMMYFUNCTION("if(REGEXMATCH(join("", "",$F132:$G132),S$1)=TRUE,""✓"",""✗"")"),"✗")</f>
        <v>✗</v>
      </c>
      <c r="T132" s="23" t="str">
        <f>IFERROR(__xludf.DUMMYFUNCTION("if(REGEXMATCH(join("", "",$F132:$G132),T$1)=TRUE,""✓"",""✗"")"),"✗")</f>
        <v>✗</v>
      </c>
      <c r="U132" s="33"/>
      <c r="V132" s="33"/>
      <c r="W132" s="33"/>
      <c r="X132" s="33"/>
      <c r="Y132" s="33"/>
      <c r="Z132" s="33"/>
      <c r="AA132" s="33"/>
      <c r="AB132" s="33"/>
      <c r="AC132" s="33"/>
    </row>
    <row r="133" hidden="1">
      <c r="A133" s="17" t="s">
        <v>302</v>
      </c>
      <c r="B133" s="33"/>
      <c r="C133" s="33"/>
      <c r="D133" s="33"/>
      <c r="E133" s="33"/>
      <c r="F133" s="33"/>
      <c r="G133" s="33">
        <v>27.0</v>
      </c>
      <c r="H133" s="23" t="str">
        <f>IFERROR(__xludf.DUMMYFUNCTION("if(REGEXMATCH(join("", "",$F133:$G133),H$1)=TRUE,""✓"",""✗"")"),"✗")</f>
        <v>✗</v>
      </c>
      <c r="I133" s="23" t="str">
        <f>IFERROR(__xludf.DUMMYFUNCTION("if(REGEXMATCH(join("", "",$F133:$G133),I$1)=TRUE,""✓"",""✗"")"),"✗")</f>
        <v>✗</v>
      </c>
      <c r="J133" s="23" t="str">
        <f>IFERROR(__xludf.DUMMYFUNCTION("if(REGEXMATCH(join("", "",$F133:$G133),J$1)=TRUE,""✓"",""✗"")"),"✗")</f>
        <v>✗</v>
      </c>
      <c r="K133" s="23" t="str">
        <f>IFERROR(__xludf.DUMMYFUNCTION("if(REGEXMATCH(join("", "",$F133:$G133),K$1)=TRUE,""✓"",""✗"")"),"✗")</f>
        <v>✗</v>
      </c>
      <c r="L133" s="23" t="str">
        <f>IFERROR(__xludf.DUMMYFUNCTION("if(REGEXMATCH(join("", "",$F133:$G133),L$1)=TRUE,""✓"",""✗"")"),"✗")</f>
        <v>✗</v>
      </c>
      <c r="M133" s="23" t="str">
        <f>IFERROR(__xludf.DUMMYFUNCTION("if(REGEXMATCH(join("", "",$F133:$G133),M$1)=TRUE,""✓"",""✗"")"),"✗")</f>
        <v>✗</v>
      </c>
      <c r="N133" s="23" t="str">
        <f>IFERROR(__xludf.DUMMYFUNCTION("if(REGEXMATCH(join("", "",$F133:$G133),N$1)=TRUE,""✓"",""✗"")"),"✗")</f>
        <v>✗</v>
      </c>
      <c r="O133" s="23" t="str">
        <f>IFERROR(__xludf.DUMMYFUNCTION("if(REGEXMATCH(join("", "",$F133:$G133),O$1)=TRUE,""✓"",""✗"")"),"✗")</f>
        <v>✗</v>
      </c>
      <c r="P133" s="23" t="str">
        <f>IFERROR(__xludf.DUMMYFUNCTION("if(REGEXMATCH(join("", "",$F133:$G133),P$1)=TRUE,""✓"",""✗"")"),"✗")</f>
        <v>✗</v>
      </c>
      <c r="Q133" s="23" t="str">
        <f>IFERROR(__xludf.DUMMYFUNCTION("if(REGEXMATCH(join("", "",$F133:$G133),Q$1)=TRUE,""✓"",""✗"")"),"✗")</f>
        <v>✗</v>
      </c>
      <c r="R133" s="23" t="str">
        <f>IFERROR(__xludf.DUMMYFUNCTION("if(REGEXMATCH(join("", "",$F133:$G133),R$1)=TRUE,""✓"",""✗"")"),"✗")</f>
        <v>✗</v>
      </c>
      <c r="S133" s="23" t="str">
        <f>IFERROR(__xludf.DUMMYFUNCTION("if(REGEXMATCH(join("", "",$F133:$G133),S$1)=TRUE,""✓"",""✗"")"),"✗")</f>
        <v>✗</v>
      </c>
      <c r="T133" s="23" t="str">
        <f>IFERROR(__xludf.DUMMYFUNCTION("if(REGEXMATCH(join("", "",$F133:$G133),T$1)=TRUE,""✓"",""✗"")"),"✗")</f>
        <v>✗</v>
      </c>
      <c r="U133" s="33"/>
      <c r="V133" s="33"/>
      <c r="W133" s="33"/>
      <c r="X133" s="33"/>
      <c r="Y133" s="33"/>
      <c r="Z133" s="33"/>
      <c r="AA133" s="33"/>
      <c r="AB133" s="33"/>
      <c r="AC133" s="33"/>
    </row>
    <row r="134" hidden="1">
      <c r="A134" s="17" t="s">
        <v>302</v>
      </c>
      <c r="B134" s="33"/>
      <c r="C134" s="33"/>
      <c r="D134" s="33"/>
      <c r="E134" s="33"/>
      <c r="F134" s="33"/>
      <c r="G134" s="33">
        <v>28.0</v>
      </c>
      <c r="H134" s="23" t="str">
        <f>IFERROR(__xludf.DUMMYFUNCTION("if(REGEXMATCH(join("", "",$F134:$G134),H$1)=TRUE,""✓"",""✗"")"),"✗")</f>
        <v>✗</v>
      </c>
      <c r="I134" s="23" t="str">
        <f>IFERROR(__xludf.DUMMYFUNCTION("if(REGEXMATCH(join("", "",$F134:$G134),I$1)=TRUE,""✓"",""✗"")"),"✗")</f>
        <v>✗</v>
      </c>
      <c r="J134" s="23" t="str">
        <f>IFERROR(__xludf.DUMMYFUNCTION("if(REGEXMATCH(join("", "",$F134:$G134),J$1)=TRUE,""✓"",""✗"")"),"✗")</f>
        <v>✗</v>
      </c>
      <c r="K134" s="23" t="str">
        <f>IFERROR(__xludf.DUMMYFUNCTION("if(REGEXMATCH(join("", "",$F134:$G134),K$1)=TRUE,""✓"",""✗"")"),"✗")</f>
        <v>✗</v>
      </c>
      <c r="L134" s="23" t="str">
        <f>IFERROR(__xludf.DUMMYFUNCTION("if(REGEXMATCH(join("", "",$F134:$G134),L$1)=TRUE,""✓"",""✗"")"),"✗")</f>
        <v>✗</v>
      </c>
      <c r="M134" s="23" t="str">
        <f>IFERROR(__xludf.DUMMYFUNCTION("if(REGEXMATCH(join("", "",$F134:$G134),M$1)=TRUE,""✓"",""✗"")"),"✗")</f>
        <v>✗</v>
      </c>
      <c r="N134" s="23" t="str">
        <f>IFERROR(__xludf.DUMMYFUNCTION("if(REGEXMATCH(join("", "",$F134:$G134),N$1)=TRUE,""✓"",""✗"")"),"✗")</f>
        <v>✗</v>
      </c>
      <c r="O134" s="23" t="str">
        <f>IFERROR(__xludf.DUMMYFUNCTION("if(REGEXMATCH(join("", "",$F134:$G134),O$1)=TRUE,""✓"",""✗"")"),"✗")</f>
        <v>✗</v>
      </c>
      <c r="P134" s="23" t="str">
        <f>IFERROR(__xludf.DUMMYFUNCTION("if(REGEXMATCH(join("", "",$F134:$G134),P$1)=TRUE,""✓"",""✗"")"),"✗")</f>
        <v>✗</v>
      </c>
      <c r="Q134" s="23" t="str">
        <f>IFERROR(__xludf.DUMMYFUNCTION("if(REGEXMATCH(join("", "",$F134:$G134),Q$1)=TRUE,""✓"",""✗"")"),"✗")</f>
        <v>✗</v>
      </c>
      <c r="R134" s="23" t="str">
        <f>IFERROR(__xludf.DUMMYFUNCTION("if(REGEXMATCH(join("", "",$F134:$G134),R$1)=TRUE,""✓"",""✗"")"),"✗")</f>
        <v>✗</v>
      </c>
      <c r="S134" s="23" t="str">
        <f>IFERROR(__xludf.DUMMYFUNCTION("if(REGEXMATCH(join("", "",$F134:$G134),S$1)=TRUE,""✓"",""✗"")"),"✗")</f>
        <v>✗</v>
      </c>
      <c r="T134" s="23" t="str">
        <f>IFERROR(__xludf.DUMMYFUNCTION("if(REGEXMATCH(join("", "",$F134:$G134),T$1)=TRUE,""✓"",""✗"")"),"✗")</f>
        <v>✗</v>
      </c>
      <c r="U134" s="33"/>
      <c r="V134" s="33"/>
      <c r="W134" s="33"/>
      <c r="X134" s="33"/>
      <c r="Y134" s="33"/>
      <c r="Z134" s="33"/>
      <c r="AA134" s="33"/>
      <c r="AB134" s="33"/>
      <c r="AC134" s="33"/>
    </row>
    <row r="135" hidden="1">
      <c r="A135" s="17" t="s">
        <v>302</v>
      </c>
      <c r="B135" s="33"/>
      <c r="C135" s="33"/>
      <c r="D135" s="33"/>
      <c r="E135" s="33"/>
      <c r="F135" s="33"/>
      <c r="G135" s="33">
        <v>29.0</v>
      </c>
      <c r="H135" s="23" t="str">
        <f>IFERROR(__xludf.DUMMYFUNCTION("if(REGEXMATCH(join("", "",$F135:$G135),H$1)=TRUE,""✓"",""✗"")"),"✗")</f>
        <v>✗</v>
      </c>
      <c r="I135" s="23" t="str">
        <f>IFERROR(__xludf.DUMMYFUNCTION("if(REGEXMATCH(join("", "",$F135:$G135),I$1)=TRUE,""✓"",""✗"")"),"✗")</f>
        <v>✗</v>
      </c>
      <c r="J135" s="23" t="str">
        <f>IFERROR(__xludf.DUMMYFUNCTION("if(REGEXMATCH(join("", "",$F135:$G135),J$1)=TRUE,""✓"",""✗"")"),"✗")</f>
        <v>✗</v>
      </c>
      <c r="K135" s="23" t="str">
        <f>IFERROR(__xludf.DUMMYFUNCTION("if(REGEXMATCH(join("", "",$F135:$G135),K$1)=TRUE,""✓"",""✗"")"),"✗")</f>
        <v>✗</v>
      </c>
      <c r="L135" s="23" t="str">
        <f>IFERROR(__xludf.DUMMYFUNCTION("if(REGEXMATCH(join("", "",$F135:$G135),L$1)=TRUE,""✓"",""✗"")"),"✗")</f>
        <v>✗</v>
      </c>
      <c r="M135" s="23" t="str">
        <f>IFERROR(__xludf.DUMMYFUNCTION("if(REGEXMATCH(join("", "",$F135:$G135),M$1)=TRUE,""✓"",""✗"")"),"✗")</f>
        <v>✗</v>
      </c>
      <c r="N135" s="23" t="str">
        <f>IFERROR(__xludf.DUMMYFUNCTION("if(REGEXMATCH(join("", "",$F135:$G135),N$1)=TRUE,""✓"",""✗"")"),"✗")</f>
        <v>✗</v>
      </c>
      <c r="O135" s="23" t="str">
        <f>IFERROR(__xludf.DUMMYFUNCTION("if(REGEXMATCH(join("", "",$F135:$G135),O$1)=TRUE,""✓"",""✗"")"),"✗")</f>
        <v>✗</v>
      </c>
      <c r="P135" s="23" t="str">
        <f>IFERROR(__xludf.DUMMYFUNCTION("if(REGEXMATCH(join("", "",$F135:$G135),P$1)=TRUE,""✓"",""✗"")"),"✗")</f>
        <v>✗</v>
      </c>
      <c r="Q135" s="23" t="str">
        <f>IFERROR(__xludf.DUMMYFUNCTION("if(REGEXMATCH(join("", "",$F135:$G135),Q$1)=TRUE,""✓"",""✗"")"),"✗")</f>
        <v>✗</v>
      </c>
      <c r="R135" s="23" t="str">
        <f>IFERROR(__xludf.DUMMYFUNCTION("if(REGEXMATCH(join("", "",$F135:$G135),R$1)=TRUE,""✓"",""✗"")"),"✗")</f>
        <v>✗</v>
      </c>
      <c r="S135" s="23" t="str">
        <f>IFERROR(__xludf.DUMMYFUNCTION("if(REGEXMATCH(join("", "",$F135:$G135),S$1)=TRUE,""✓"",""✗"")"),"✗")</f>
        <v>✗</v>
      </c>
      <c r="T135" s="23" t="str">
        <f>IFERROR(__xludf.DUMMYFUNCTION("if(REGEXMATCH(join("", "",$F135:$G135),T$1)=TRUE,""✓"",""✗"")"),"✗")</f>
        <v>✗</v>
      </c>
      <c r="U135" s="33"/>
      <c r="V135" s="33"/>
      <c r="W135" s="33"/>
      <c r="X135" s="33"/>
      <c r="Y135" s="33"/>
      <c r="Z135" s="33"/>
      <c r="AA135" s="33"/>
      <c r="AB135" s="33"/>
      <c r="AC135" s="33"/>
    </row>
    <row r="136" hidden="1">
      <c r="A136" s="17" t="s">
        <v>302</v>
      </c>
      <c r="B136" s="33"/>
      <c r="C136" s="33"/>
      <c r="D136" s="33"/>
      <c r="E136" s="33"/>
      <c r="F136" s="33"/>
      <c r="G136" s="33">
        <v>30.0</v>
      </c>
      <c r="H136" s="23" t="str">
        <f>IFERROR(__xludf.DUMMYFUNCTION("if(REGEXMATCH(join("", "",$F136:$G136),H$1)=TRUE,""✓"",""✗"")"),"✗")</f>
        <v>✗</v>
      </c>
      <c r="I136" s="23" t="str">
        <f>IFERROR(__xludf.DUMMYFUNCTION("if(REGEXMATCH(join("", "",$F136:$G136),I$1)=TRUE,""✓"",""✗"")"),"✗")</f>
        <v>✗</v>
      </c>
      <c r="J136" s="23" t="str">
        <f>IFERROR(__xludf.DUMMYFUNCTION("if(REGEXMATCH(join("", "",$F136:$G136),J$1)=TRUE,""✓"",""✗"")"),"✗")</f>
        <v>✗</v>
      </c>
      <c r="K136" s="23" t="str">
        <f>IFERROR(__xludf.DUMMYFUNCTION("if(REGEXMATCH(join("", "",$F136:$G136),K$1)=TRUE,""✓"",""✗"")"),"✗")</f>
        <v>✗</v>
      </c>
      <c r="L136" s="23" t="str">
        <f>IFERROR(__xludf.DUMMYFUNCTION("if(REGEXMATCH(join("", "",$F136:$G136),L$1)=TRUE,""✓"",""✗"")"),"✗")</f>
        <v>✗</v>
      </c>
      <c r="M136" s="23" t="str">
        <f>IFERROR(__xludf.DUMMYFUNCTION("if(REGEXMATCH(join("", "",$F136:$G136),M$1)=TRUE,""✓"",""✗"")"),"✗")</f>
        <v>✗</v>
      </c>
      <c r="N136" s="23" t="str">
        <f>IFERROR(__xludf.DUMMYFUNCTION("if(REGEXMATCH(join("", "",$F136:$G136),N$1)=TRUE,""✓"",""✗"")"),"✗")</f>
        <v>✗</v>
      </c>
      <c r="O136" s="23" t="str">
        <f>IFERROR(__xludf.DUMMYFUNCTION("if(REGEXMATCH(join("", "",$F136:$G136),O$1)=TRUE,""✓"",""✗"")"),"✗")</f>
        <v>✗</v>
      </c>
      <c r="P136" s="23" t="str">
        <f>IFERROR(__xludf.DUMMYFUNCTION("if(REGEXMATCH(join("", "",$F136:$G136),P$1)=TRUE,""✓"",""✗"")"),"✗")</f>
        <v>✗</v>
      </c>
      <c r="Q136" s="23" t="str">
        <f>IFERROR(__xludf.DUMMYFUNCTION("if(REGEXMATCH(join("", "",$F136:$G136),Q$1)=TRUE,""✓"",""✗"")"),"✗")</f>
        <v>✗</v>
      </c>
      <c r="R136" s="23" t="str">
        <f>IFERROR(__xludf.DUMMYFUNCTION("if(REGEXMATCH(join("", "",$F136:$G136),R$1)=TRUE,""✓"",""✗"")"),"✗")</f>
        <v>✗</v>
      </c>
      <c r="S136" s="23" t="str">
        <f>IFERROR(__xludf.DUMMYFUNCTION("if(REGEXMATCH(join("", "",$F136:$G136),S$1)=TRUE,""✓"",""✗"")"),"✗")</f>
        <v>✗</v>
      </c>
      <c r="T136" s="23" t="str">
        <f>IFERROR(__xludf.DUMMYFUNCTION("if(REGEXMATCH(join("", "",$F136:$G136),T$1)=TRUE,""✓"",""✗"")"),"✗")</f>
        <v>✗</v>
      </c>
      <c r="U136" s="33"/>
      <c r="V136" s="33"/>
      <c r="W136" s="33"/>
      <c r="X136" s="33"/>
      <c r="Y136" s="33"/>
      <c r="Z136" s="33"/>
      <c r="AA136" s="33"/>
      <c r="AB136" s="33"/>
      <c r="AC136" s="33"/>
    </row>
    <row r="137" hidden="1">
      <c r="A137" s="17" t="s">
        <v>302</v>
      </c>
      <c r="B137" s="33"/>
      <c r="C137" s="33"/>
      <c r="D137" s="33"/>
      <c r="E137" s="33"/>
      <c r="F137" s="33"/>
      <c r="G137" s="33">
        <v>31.0</v>
      </c>
      <c r="H137" s="23" t="str">
        <f>IFERROR(__xludf.DUMMYFUNCTION("if(REGEXMATCH(join("", "",$F137:$G137),H$1)=TRUE,""✓"",""✗"")"),"✗")</f>
        <v>✗</v>
      </c>
      <c r="I137" s="23" t="str">
        <f>IFERROR(__xludf.DUMMYFUNCTION("if(REGEXMATCH(join("", "",$F137:$G137),I$1)=TRUE,""✓"",""✗"")"),"✗")</f>
        <v>✗</v>
      </c>
      <c r="J137" s="23" t="str">
        <f>IFERROR(__xludf.DUMMYFUNCTION("if(REGEXMATCH(join("", "",$F137:$G137),J$1)=TRUE,""✓"",""✗"")"),"✗")</f>
        <v>✗</v>
      </c>
      <c r="K137" s="23" t="str">
        <f>IFERROR(__xludf.DUMMYFUNCTION("if(REGEXMATCH(join("", "",$F137:$G137),K$1)=TRUE,""✓"",""✗"")"),"✗")</f>
        <v>✗</v>
      </c>
      <c r="L137" s="23" t="str">
        <f>IFERROR(__xludf.DUMMYFUNCTION("if(REGEXMATCH(join("", "",$F137:$G137),L$1)=TRUE,""✓"",""✗"")"),"✗")</f>
        <v>✗</v>
      </c>
      <c r="M137" s="23" t="str">
        <f>IFERROR(__xludf.DUMMYFUNCTION("if(REGEXMATCH(join("", "",$F137:$G137),M$1)=TRUE,""✓"",""✗"")"),"✗")</f>
        <v>✗</v>
      </c>
      <c r="N137" s="23" t="str">
        <f>IFERROR(__xludf.DUMMYFUNCTION("if(REGEXMATCH(join("", "",$F137:$G137),N$1)=TRUE,""✓"",""✗"")"),"✗")</f>
        <v>✗</v>
      </c>
      <c r="O137" s="23" t="str">
        <f>IFERROR(__xludf.DUMMYFUNCTION("if(REGEXMATCH(join("", "",$F137:$G137),O$1)=TRUE,""✓"",""✗"")"),"✗")</f>
        <v>✗</v>
      </c>
      <c r="P137" s="23" t="str">
        <f>IFERROR(__xludf.DUMMYFUNCTION("if(REGEXMATCH(join("", "",$F137:$G137),P$1)=TRUE,""✓"",""✗"")"),"✗")</f>
        <v>✗</v>
      </c>
      <c r="Q137" s="23" t="str">
        <f>IFERROR(__xludf.DUMMYFUNCTION("if(REGEXMATCH(join("", "",$F137:$G137),Q$1)=TRUE,""✓"",""✗"")"),"✗")</f>
        <v>✗</v>
      </c>
      <c r="R137" s="23" t="str">
        <f>IFERROR(__xludf.DUMMYFUNCTION("if(REGEXMATCH(join("", "",$F137:$G137),R$1)=TRUE,""✓"",""✗"")"),"✗")</f>
        <v>✗</v>
      </c>
      <c r="S137" s="23" t="str">
        <f>IFERROR(__xludf.DUMMYFUNCTION("if(REGEXMATCH(join("", "",$F137:$G137),S$1)=TRUE,""✓"",""✗"")"),"✗")</f>
        <v>✗</v>
      </c>
      <c r="T137" s="23" t="str">
        <f>IFERROR(__xludf.DUMMYFUNCTION("if(REGEXMATCH(join("", "",$F137:$G137),T$1)=TRUE,""✓"",""✗"")"),"✗")</f>
        <v>✗</v>
      </c>
      <c r="U137" s="33"/>
      <c r="V137" s="33"/>
      <c r="W137" s="33"/>
      <c r="X137" s="33"/>
      <c r="Y137" s="33"/>
      <c r="Z137" s="33"/>
      <c r="AA137" s="33"/>
      <c r="AB137" s="33"/>
      <c r="AC137" s="33"/>
    </row>
    <row r="138" hidden="1">
      <c r="A138" s="17" t="s">
        <v>302</v>
      </c>
      <c r="B138" s="33"/>
      <c r="C138" s="33"/>
      <c r="D138" s="33"/>
      <c r="E138" s="33"/>
      <c r="F138" s="33"/>
      <c r="G138" s="33">
        <v>32.0</v>
      </c>
      <c r="H138" s="23" t="str">
        <f>IFERROR(__xludf.DUMMYFUNCTION("if(REGEXMATCH(join("", "",$F138:$G138),H$1)=TRUE,""✓"",""✗"")"),"✗")</f>
        <v>✗</v>
      </c>
      <c r="I138" s="23" t="str">
        <f>IFERROR(__xludf.DUMMYFUNCTION("if(REGEXMATCH(join("", "",$F138:$G138),I$1)=TRUE,""✓"",""✗"")"),"✗")</f>
        <v>✗</v>
      </c>
      <c r="J138" s="23" t="str">
        <f>IFERROR(__xludf.DUMMYFUNCTION("if(REGEXMATCH(join("", "",$F138:$G138),J$1)=TRUE,""✓"",""✗"")"),"✗")</f>
        <v>✗</v>
      </c>
      <c r="K138" s="23" t="str">
        <f>IFERROR(__xludf.DUMMYFUNCTION("if(REGEXMATCH(join("", "",$F138:$G138),K$1)=TRUE,""✓"",""✗"")"),"✗")</f>
        <v>✗</v>
      </c>
      <c r="L138" s="23" t="str">
        <f>IFERROR(__xludf.DUMMYFUNCTION("if(REGEXMATCH(join("", "",$F138:$G138),L$1)=TRUE,""✓"",""✗"")"),"✗")</f>
        <v>✗</v>
      </c>
      <c r="M138" s="23" t="str">
        <f>IFERROR(__xludf.DUMMYFUNCTION("if(REGEXMATCH(join("", "",$F138:$G138),M$1)=TRUE,""✓"",""✗"")"),"✗")</f>
        <v>✗</v>
      </c>
      <c r="N138" s="23" t="str">
        <f>IFERROR(__xludf.DUMMYFUNCTION("if(REGEXMATCH(join("", "",$F138:$G138),N$1)=TRUE,""✓"",""✗"")"),"✗")</f>
        <v>✗</v>
      </c>
      <c r="O138" s="23" t="str">
        <f>IFERROR(__xludf.DUMMYFUNCTION("if(REGEXMATCH(join("", "",$F138:$G138),O$1)=TRUE,""✓"",""✗"")"),"✗")</f>
        <v>✗</v>
      </c>
      <c r="P138" s="23" t="str">
        <f>IFERROR(__xludf.DUMMYFUNCTION("if(REGEXMATCH(join("", "",$F138:$G138),P$1)=TRUE,""✓"",""✗"")"),"✗")</f>
        <v>✗</v>
      </c>
      <c r="Q138" s="23" t="str">
        <f>IFERROR(__xludf.DUMMYFUNCTION("if(REGEXMATCH(join("", "",$F138:$G138),Q$1)=TRUE,""✓"",""✗"")"),"✗")</f>
        <v>✗</v>
      </c>
      <c r="R138" s="23" t="str">
        <f>IFERROR(__xludf.DUMMYFUNCTION("if(REGEXMATCH(join("", "",$F138:$G138),R$1)=TRUE,""✓"",""✗"")"),"✗")</f>
        <v>✗</v>
      </c>
      <c r="S138" s="23" t="str">
        <f>IFERROR(__xludf.DUMMYFUNCTION("if(REGEXMATCH(join("", "",$F138:$G138),S$1)=TRUE,""✓"",""✗"")"),"✗")</f>
        <v>✗</v>
      </c>
      <c r="T138" s="23" t="str">
        <f>IFERROR(__xludf.DUMMYFUNCTION("if(REGEXMATCH(join("", "",$F138:$G138),T$1)=TRUE,""✓"",""✗"")"),"✗")</f>
        <v>✗</v>
      </c>
      <c r="U138" s="33"/>
      <c r="V138" s="33"/>
      <c r="W138" s="33"/>
      <c r="X138" s="33"/>
      <c r="Y138" s="33"/>
      <c r="Z138" s="33"/>
      <c r="AA138" s="33"/>
      <c r="AB138" s="33"/>
      <c r="AC138" s="33"/>
    </row>
    <row r="139" hidden="1">
      <c r="A139" s="17" t="s">
        <v>302</v>
      </c>
      <c r="B139" s="33"/>
      <c r="C139" s="33"/>
      <c r="D139" s="33"/>
      <c r="E139" s="33"/>
      <c r="F139" s="33"/>
      <c r="G139" s="33">
        <v>33.0</v>
      </c>
      <c r="H139" s="23" t="str">
        <f>IFERROR(__xludf.DUMMYFUNCTION("if(REGEXMATCH(join("", "",$F139:$G139),H$1)=TRUE,""✓"",""✗"")"),"✗")</f>
        <v>✗</v>
      </c>
      <c r="I139" s="23" t="str">
        <f>IFERROR(__xludf.DUMMYFUNCTION("if(REGEXMATCH(join("", "",$F139:$G139),I$1)=TRUE,""✓"",""✗"")"),"✗")</f>
        <v>✗</v>
      </c>
      <c r="J139" s="23" t="str">
        <f>IFERROR(__xludf.DUMMYFUNCTION("if(REGEXMATCH(join("", "",$F139:$G139),J$1)=TRUE,""✓"",""✗"")"),"✗")</f>
        <v>✗</v>
      </c>
      <c r="K139" s="23" t="str">
        <f>IFERROR(__xludf.DUMMYFUNCTION("if(REGEXMATCH(join("", "",$F139:$G139),K$1)=TRUE,""✓"",""✗"")"),"✗")</f>
        <v>✗</v>
      </c>
      <c r="L139" s="23" t="str">
        <f>IFERROR(__xludf.DUMMYFUNCTION("if(REGEXMATCH(join("", "",$F139:$G139),L$1)=TRUE,""✓"",""✗"")"),"✗")</f>
        <v>✗</v>
      </c>
      <c r="M139" s="23" t="str">
        <f>IFERROR(__xludf.DUMMYFUNCTION("if(REGEXMATCH(join("", "",$F139:$G139),M$1)=TRUE,""✓"",""✗"")"),"✗")</f>
        <v>✗</v>
      </c>
      <c r="N139" s="23" t="str">
        <f>IFERROR(__xludf.DUMMYFUNCTION("if(REGEXMATCH(join("", "",$F139:$G139),N$1)=TRUE,""✓"",""✗"")"),"✗")</f>
        <v>✗</v>
      </c>
      <c r="O139" s="23" t="str">
        <f>IFERROR(__xludf.DUMMYFUNCTION("if(REGEXMATCH(join("", "",$F139:$G139),O$1)=TRUE,""✓"",""✗"")"),"✗")</f>
        <v>✗</v>
      </c>
      <c r="P139" s="23" t="str">
        <f>IFERROR(__xludf.DUMMYFUNCTION("if(REGEXMATCH(join("", "",$F139:$G139),P$1)=TRUE,""✓"",""✗"")"),"✗")</f>
        <v>✗</v>
      </c>
      <c r="Q139" s="23" t="str">
        <f>IFERROR(__xludf.DUMMYFUNCTION("if(REGEXMATCH(join("", "",$F139:$G139),Q$1)=TRUE,""✓"",""✗"")"),"✗")</f>
        <v>✗</v>
      </c>
      <c r="R139" s="23" t="str">
        <f>IFERROR(__xludf.DUMMYFUNCTION("if(REGEXMATCH(join("", "",$F139:$G139),R$1)=TRUE,""✓"",""✗"")"),"✗")</f>
        <v>✗</v>
      </c>
      <c r="S139" s="23" t="str">
        <f>IFERROR(__xludf.DUMMYFUNCTION("if(REGEXMATCH(join("", "",$F139:$G139),S$1)=TRUE,""✓"",""✗"")"),"✗")</f>
        <v>✗</v>
      </c>
      <c r="T139" s="23" t="str">
        <f>IFERROR(__xludf.DUMMYFUNCTION("if(REGEXMATCH(join("", "",$F139:$G139),T$1)=TRUE,""✓"",""✗"")"),"✗")</f>
        <v>✗</v>
      </c>
      <c r="U139" s="33"/>
      <c r="V139" s="33"/>
      <c r="W139" s="33"/>
      <c r="X139" s="33"/>
      <c r="Y139" s="33"/>
      <c r="Z139" s="33"/>
      <c r="AA139" s="33"/>
      <c r="AB139" s="33"/>
      <c r="AC139" s="33"/>
    </row>
    <row r="140" hidden="1">
      <c r="A140" s="17" t="s">
        <v>302</v>
      </c>
      <c r="B140" s="33"/>
      <c r="C140" s="33"/>
      <c r="D140" s="33"/>
      <c r="E140" s="33"/>
      <c r="F140" s="33"/>
      <c r="G140" s="33">
        <v>34.0</v>
      </c>
      <c r="H140" s="23" t="str">
        <f>IFERROR(__xludf.DUMMYFUNCTION("if(REGEXMATCH(join("", "",$F140:$G140),H$1)=TRUE,""✓"",""✗"")"),"✗")</f>
        <v>✗</v>
      </c>
      <c r="I140" s="23" t="str">
        <f>IFERROR(__xludf.DUMMYFUNCTION("if(REGEXMATCH(join("", "",$F140:$G140),I$1)=TRUE,""✓"",""✗"")"),"✗")</f>
        <v>✗</v>
      </c>
      <c r="J140" s="23" t="str">
        <f>IFERROR(__xludf.DUMMYFUNCTION("if(REGEXMATCH(join("", "",$F140:$G140),J$1)=TRUE,""✓"",""✗"")"),"✗")</f>
        <v>✗</v>
      </c>
      <c r="K140" s="23" t="str">
        <f>IFERROR(__xludf.DUMMYFUNCTION("if(REGEXMATCH(join("", "",$F140:$G140),K$1)=TRUE,""✓"",""✗"")"),"✗")</f>
        <v>✗</v>
      </c>
      <c r="L140" s="23" t="str">
        <f>IFERROR(__xludf.DUMMYFUNCTION("if(REGEXMATCH(join("", "",$F140:$G140),L$1)=TRUE,""✓"",""✗"")"),"✗")</f>
        <v>✗</v>
      </c>
      <c r="M140" s="23" t="str">
        <f>IFERROR(__xludf.DUMMYFUNCTION("if(REGEXMATCH(join("", "",$F140:$G140),M$1)=TRUE,""✓"",""✗"")"),"✗")</f>
        <v>✗</v>
      </c>
      <c r="N140" s="23" t="str">
        <f>IFERROR(__xludf.DUMMYFUNCTION("if(REGEXMATCH(join("", "",$F140:$G140),N$1)=TRUE,""✓"",""✗"")"),"✗")</f>
        <v>✗</v>
      </c>
      <c r="O140" s="23" t="str">
        <f>IFERROR(__xludf.DUMMYFUNCTION("if(REGEXMATCH(join("", "",$F140:$G140),O$1)=TRUE,""✓"",""✗"")"),"✗")</f>
        <v>✗</v>
      </c>
      <c r="P140" s="23" t="str">
        <f>IFERROR(__xludf.DUMMYFUNCTION("if(REGEXMATCH(join("", "",$F140:$G140),P$1)=TRUE,""✓"",""✗"")"),"✗")</f>
        <v>✗</v>
      </c>
      <c r="Q140" s="23" t="str">
        <f>IFERROR(__xludf.DUMMYFUNCTION("if(REGEXMATCH(join("", "",$F140:$G140),Q$1)=TRUE,""✓"",""✗"")"),"✗")</f>
        <v>✗</v>
      </c>
      <c r="R140" s="23" t="str">
        <f>IFERROR(__xludf.DUMMYFUNCTION("if(REGEXMATCH(join("", "",$F140:$G140),R$1)=TRUE,""✓"",""✗"")"),"✗")</f>
        <v>✗</v>
      </c>
      <c r="S140" s="23" t="str">
        <f>IFERROR(__xludf.DUMMYFUNCTION("if(REGEXMATCH(join("", "",$F140:$G140),S$1)=TRUE,""✓"",""✗"")"),"✗")</f>
        <v>✗</v>
      </c>
      <c r="T140" s="23" t="str">
        <f>IFERROR(__xludf.DUMMYFUNCTION("if(REGEXMATCH(join("", "",$F140:$G140),T$1)=TRUE,""✓"",""✗"")"),"✗")</f>
        <v>✗</v>
      </c>
      <c r="U140" s="33"/>
      <c r="V140" s="33"/>
      <c r="W140" s="33"/>
      <c r="X140" s="33"/>
      <c r="Y140" s="33"/>
      <c r="Z140" s="33"/>
      <c r="AA140" s="33"/>
      <c r="AB140" s="33"/>
      <c r="AC140" s="33"/>
    </row>
    <row r="141" hidden="1">
      <c r="A141" s="17" t="s">
        <v>302</v>
      </c>
      <c r="B141" s="33"/>
      <c r="C141" s="33"/>
      <c r="D141" s="33"/>
      <c r="E141" s="33"/>
      <c r="F141" s="33"/>
      <c r="G141" s="33">
        <v>35.0</v>
      </c>
      <c r="H141" s="23" t="str">
        <f>IFERROR(__xludf.DUMMYFUNCTION("if(REGEXMATCH(join("", "",$F141:$G141),H$1)=TRUE,""✓"",""✗"")"),"✗")</f>
        <v>✗</v>
      </c>
      <c r="I141" s="23" t="str">
        <f>IFERROR(__xludf.DUMMYFUNCTION("if(REGEXMATCH(join("", "",$F141:$G141),I$1)=TRUE,""✓"",""✗"")"),"✗")</f>
        <v>✗</v>
      </c>
      <c r="J141" s="23" t="str">
        <f>IFERROR(__xludf.DUMMYFUNCTION("if(REGEXMATCH(join("", "",$F141:$G141),J$1)=TRUE,""✓"",""✗"")"),"✗")</f>
        <v>✗</v>
      </c>
      <c r="K141" s="23" t="str">
        <f>IFERROR(__xludf.DUMMYFUNCTION("if(REGEXMATCH(join("", "",$F141:$G141),K$1)=TRUE,""✓"",""✗"")"),"✗")</f>
        <v>✗</v>
      </c>
      <c r="L141" s="23" t="str">
        <f>IFERROR(__xludf.DUMMYFUNCTION("if(REGEXMATCH(join("", "",$F141:$G141),L$1)=TRUE,""✓"",""✗"")"),"✗")</f>
        <v>✗</v>
      </c>
      <c r="M141" s="23" t="str">
        <f>IFERROR(__xludf.DUMMYFUNCTION("if(REGEXMATCH(join("", "",$F141:$G141),M$1)=TRUE,""✓"",""✗"")"),"✗")</f>
        <v>✗</v>
      </c>
      <c r="N141" s="23" t="str">
        <f>IFERROR(__xludf.DUMMYFUNCTION("if(REGEXMATCH(join("", "",$F141:$G141),N$1)=TRUE,""✓"",""✗"")"),"✗")</f>
        <v>✗</v>
      </c>
      <c r="O141" s="23" t="str">
        <f>IFERROR(__xludf.DUMMYFUNCTION("if(REGEXMATCH(join("", "",$F141:$G141),O$1)=TRUE,""✓"",""✗"")"),"✗")</f>
        <v>✗</v>
      </c>
      <c r="P141" s="23" t="str">
        <f>IFERROR(__xludf.DUMMYFUNCTION("if(REGEXMATCH(join("", "",$F141:$G141),P$1)=TRUE,""✓"",""✗"")"),"✗")</f>
        <v>✗</v>
      </c>
      <c r="Q141" s="23" t="str">
        <f>IFERROR(__xludf.DUMMYFUNCTION("if(REGEXMATCH(join("", "",$F141:$G141),Q$1)=TRUE,""✓"",""✗"")"),"✗")</f>
        <v>✗</v>
      </c>
      <c r="R141" s="23" t="str">
        <f>IFERROR(__xludf.DUMMYFUNCTION("if(REGEXMATCH(join("", "",$F141:$G141),R$1)=TRUE,""✓"",""✗"")"),"✗")</f>
        <v>✗</v>
      </c>
      <c r="S141" s="23" t="str">
        <f>IFERROR(__xludf.DUMMYFUNCTION("if(REGEXMATCH(join("", "",$F141:$G141),S$1)=TRUE,""✓"",""✗"")"),"✗")</f>
        <v>✗</v>
      </c>
      <c r="T141" s="23" t="str">
        <f>IFERROR(__xludf.DUMMYFUNCTION("if(REGEXMATCH(join("", "",$F141:$G141),T$1)=TRUE,""✓"",""✗"")"),"✗")</f>
        <v>✗</v>
      </c>
      <c r="U141" s="33"/>
      <c r="V141" s="33"/>
      <c r="W141" s="33"/>
      <c r="X141" s="33"/>
      <c r="Y141" s="33"/>
      <c r="Z141" s="33"/>
      <c r="AA141" s="33"/>
      <c r="AB141" s="33"/>
      <c r="AC141" s="33"/>
    </row>
    <row r="142" hidden="1">
      <c r="A142" s="17" t="s">
        <v>302</v>
      </c>
      <c r="B142" s="33"/>
      <c r="C142" s="33"/>
      <c r="D142" s="33"/>
      <c r="E142" s="33"/>
      <c r="F142" s="33"/>
      <c r="G142" s="33">
        <v>36.0</v>
      </c>
      <c r="H142" s="23" t="str">
        <f>IFERROR(__xludf.DUMMYFUNCTION("if(REGEXMATCH(join("", "",$F142:$G142),H$1)=TRUE,""✓"",""✗"")"),"✗")</f>
        <v>✗</v>
      </c>
      <c r="I142" s="23" t="str">
        <f>IFERROR(__xludf.DUMMYFUNCTION("if(REGEXMATCH(join("", "",$F142:$G142),I$1)=TRUE,""✓"",""✗"")"),"✗")</f>
        <v>✗</v>
      </c>
      <c r="J142" s="23" t="str">
        <f>IFERROR(__xludf.DUMMYFUNCTION("if(REGEXMATCH(join("", "",$F142:$G142),J$1)=TRUE,""✓"",""✗"")"),"✗")</f>
        <v>✗</v>
      </c>
      <c r="K142" s="23" t="str">
        <f>IFERROR(__xludf.DUMMYFUNCTION("if(REGEXMATCH(join("", "",$F142:$G142),K$1)=TRUE,""✓"",""✗"")"),"✗")</f>
        <v>✗</v>
      </c>
      <c r="L142" s="23" t="str">
        <f>IFERROR(__xludf.DUMMYFUNCTION("if(REGEXMATCH(join("", "",$F142:$G142),L$1)=TRUE,""✓"",""✗"")"),"✗")</f>
        <v>✗</v>
      </c>
      <c r="M142" s="23" t="str">
        <f>IFERROR(__xludf.DUMMYFUNCTION("if(REGEXMATCH(join("", "",$F142:$G142),M$1)=TRUE,""✓"",""✗"")"),"✗")</f>
        <v>✗</v>
      </c>
      <c r="N142" s="23" t="str">
        <f>IFERROR(__xludf.DUMMYFUNCTION("if(REGEXMATCH(join("", "",$F142:$G142),N$1)=TRUE,""✓"",""✗"")"),"✗")</f>
        <v>✗</v>
      </c>
      <c r="O142" s="23" t="str">
        <f>IFERROR(__xludf.DUMMYFUNCTION("if(REGEXMATCH(join("", "",$F142:$G142),O$1)=TRUE,""✓"",""✗"")"),"✗")</f>
        <v>✗</v>
      </c>
      <c r="P142" s="23" t="str">
        <f>IFERROR(__xludf.DUMMYFUNCTION("if(REGEXMATCH(join("", "",$F142:$G142),P$1)=TRUE,""✓"",""✗"")"),"✗")</f>
        <v>✗</v>
      </c>
      <c r="Q142" s="23" t="str">
        <f>IFERROR(__xludf.DUMMYFUNCTION("if(REGEXMATCH(join("", "",$F142:$G142),Q$1)=TRUE,""✓"",""✗"")"),"✗")</f>
        <v>✗</v>
      </c>
      <c r="R142" s="23" t="str">
        <f>IFERROR(__xludf.DUMMYFUNCTION("if(REGEXMATCH(join("", "",$F142:$G142),R$1)=TRUE,""✓"",""✗"")"),"✗")</f>
        <v>✗</v>
      </c>
      <c r="S142" s="23" t="str">
        <f>IFERROR(__xludf.DUMMYFUNCTION("if(REGEXMATCH(join("", "",$F142:$G142),S$1)=TRUE,""✓"",""✗"")"),"✗")</f>
        <v>✗</v>
      </c>
      <c r="T142" s="23" t="str">
        <f>IFERROR(__xludf.DUMMYFUNCTION("if(REGEXMATCH(join("", "",$F142:$G142),T$1)=TRUE,""✓"",""✗"")"),"✗")</f>
        <v>✗</v>
      </c>
      <c r="U142" s="33"/>
      <c r="V142" s="33"/>
      <c r="W142" s="33"/>
      <c r="X142" s="33"/>
      <c r="Y142" s="33"/>
      <c r="Z142" s="33"/>
      <c r="AA142" s="33"/>
      <c r="AB142" s="33"/>
      <c r="AC142" s="33"/>
    </row>
    <row r="143" hidden="1">
      <c r="A143" s="17" t="s">
        <v>302</v>
      </c>
      <c r="B143" s="33"/>
      <c r="C143" s="33"/>
      <c r="D143" s="33"/>
      <c r="E143" s="33"/>
      <c r="F143" s="33"/>
      <c r="G143" s="33">
        <v>37.0</v>
      </c>
      <c r="H143" s="23" t="str">
        <f>IFERROR(__xludf.DUMMYFUNCTION("if(REGEXMATCH(join("", "",$F143:$G143),H$1)=TRUE,""✓"",""✗"")"),"✗")</f>
        <v>✗</v>
      </c>
      <c r="I143" s="23" t="str">
        <f>IFERROR(__xludf.DUMMYFUNCTION("if(REGEXMATCH(join("", "",$F143:$G143),I$1)=TRUE,""✓"",""✗"")"),"✗")</f>
        <v>✗</v>
      </c>
      <c r="J143" s="23" t="str">
        <f>IFERROR(__xludf.DUMMYFUNCTION("if(REGEXMATCH(join("", "",$F143:$G143),J$1)=TRUE,""✓"",""✗"")"),"✗")</f>
        <v>✗</v>
      </c>
      <c r="K143" s="23" t="str">
        <f>IFERROR(__xludf.DUMMYFUNCTION("if(REGEXMATCH(join("", "",$F143:$G143),K$1)=TRUE,""✓"",""✗"")"),"✗")</f>
        <v>✗</v>
      </c>
      <c r="L143" s="23" t="str">
        <f>IFERROR(__xludf.DUMMYFUNCTION("if(REGEXMATCH(join("", "",$F143:$G143),L$1)=TRUE,""✓"",""✗"")"),"✗")</f>
        <v>✗</v>
      </c>
      <c r="M143" s="23" t="str">
        <f>IFERROR(__xludf.DUMMYFUNCTION("if(REGEXMATCH(join("", "",$F143:$G143),M$1)=TRUE,""✓"",""✗"")"),"✗")</f>
        <v>✗</v>
      </c>
      <c r="N143" s="23" t="str">
        <f>IFERROR(__xludf.DUMMYFUNCTION("if(REGEXMATCH(join("", "",$F143:$G143),N$1)=TRUE,""✓"",""✗"")"),"✗")</f>
        <v>✗</v>
      </c>
      <c r="O143" s="23" t="str">
        <f>IFERROR(__xludf.DUMMYFUNCTION("if(REGEXMATCH(join("", "",$F143:$G143),O$1)=TRUE,""✓"",""✗"")"),"✗")</f>
        <v>✗</v>
      </c>
      <c r="P143" s="23" t="str">
        <f>IFERROR(__xludf.DUMMYFUNCTION("if(REGEXMATCH(join("", "",$F143:$G143),P$1)=TRUE,""✓"",""✗"")"),"✗")</f>
        <v>✗</v>
      </c>
      <c r="Q143" s="23" t="str">
        <f>IFERROR(__xludf.DUMMYFUNCTION("if(REGEXMATCH(join("", "",$F143:$G143),Q$1)=TRUE,""✓"",""✗"")"),"✗")</f>
        <v>✗</v>
      </c>
      <c r="R143" s="23" t="str">
        <f>IFERROR(__xludf.DUMMYFUNCTION("if(REGEXMATCH(join("", "",$F143:$G143),R$1)=TRUE,""✓"",""✗"")"),"✗")</f>
        <v>✗</v>
      </c>
      <c r="S143" s="23" t="str">
        <f>IFERROR(__xludf.DUMMYFUNCTION("if(REGEXMATCH(join("", "",$F143:$G143),S$1)=TRUE,""✓"",""✗"")"),"✗")</f>
        <v>✗</v>
      </c>
      <c r="T143" s="23" t="str">
        <f>IFERROR(__xludf.DUMMYFUNCTION("if(REGEXMATCH(join("", "",$F143:$G143),T$1)=TRUE,""✓"",""✗"")"),"✗")</f>
        <v>✗</v>
      </c>
      <c r="U143" s="33"/>
      <c r="V143" s="33"/>
      <c r="W143" s="33"/>
      <c r="X143" s="33"/>
      <c r="Y143" s="33"/>
      <c r="Z143" s="33"/>
      <c r="AA143" s="33"/>
      <c r="AB143" s="33"/>
      <c r="AC143" s="33"/>
    </row>
    <row r="144" hidden="1">
      <c r="A144" s="17" t="s">
        <v>302</v>
      </c>
      <c r="B144" s="33"/>
      <c r="C144" s="33"/>
      <c r="D144" s="33"/>
      <c r="E144" s="33"/>
      <c r="F144" s="33"/>
      <c r="G144" s="33">
        <v>38.0</v>
      </c>
      <c r="H144" s="23" t="str">
        <f>IFERROR(__xludf.DUMMYFUNCTION("if(REGEXMATCH(join("", "",$F144:$G144),H$1)=TRUE,""✓"",""✗"")"),"✗")</f>
        <v>✗</v>
      </c>
      <c r="I144" s="23" t="str">
        <f>IFERROR(__xludf.DUMMYFUNCTION("if(REGEXMATCH(join("", "",$F144:$G144),I$1)=TRUE,""✓"",""✗"")"),"✗")</f>
        <v>✗</v>
      </c>
      <c r="J144" s="23" t="str">
        <f>IFERROR(__xludf.DUMMYFUNCTION("if(REGEXMATCH(join("", "",$F144:$G144),J$1)=TRUE,""✓"",""✗"")"),"✗")</f>
        <v>✗</v>
      </c>
      <c r="K144" s="23" t="str">
        <f>IFERROR(__xludf.DUMMYFUNCTION("if(REGEXMATCH(join("", "",$F144:$G144),K$1)=TRUE,""✓"",""✗"")"),"✗")</f>
        <v>✗</v>
      </c>
      <c r="L144" s="23" t="str">
        <f>IFERROR(__xludf.DUMMYFUNCTION("if(REGEXMATCH(join("", "",$F144:$G144),L$1)=TRUE,""✓"",""✗"")"),"✗")</f>
        <v>✗</v>
      </c>
      <c r="M144" s="23" t="str">
        <f>IFERROR(__xludf.DUMMYFUNCTION("if(REGEXMATCH(join("", "",$F144:$G144),M$1)=TRUE,""✓"",""✗"")"),"✗")</f>
        <v>✗</v>
      </c>
      <c r="N144" s="23" t="str">
        <f>IFERROR(__xludf.DUMMYFUNCTION("if(REGEXMATCH(join("", "",$F144:$G144),N$1)=TRUE,""✓"",""✗"")"),"✗")</f>
        <v>✗</v>
      </c>
      <c r="O144" s="23" t="str">
        <f>IFERROR(__xludf.DUMMYFUNCTION("if(REGEXMATCH(join("", "",$F144:$G144),O$1)=TRUE,""✓"",""✗"")"),"✗")</f>
        <v>✗</v>
      </c>
      <c r="P144" s="23" t="str">
        <f>IFERROR(__xludf.DUMMYFUNCTION("if(REGEXMATCH(join("", "",$F144:$G144),P$1)=TRUE,""✓"",""✗"")"),"✗")</f>
        <v>✗</v>
      </c>
      <c r="Q144" s="23" t="str">
        <f>IFERROR(__xludf.DUMMYFUNCTION("if(REGEXMATCH(join("", "",$F144:$G144),Q$1)=TRUE,""✓"",""✗"")"),"✗")</f>
        <v>✗</v>
      </c>
      <c r="R144" s="23" t="str">
        <f>IFERROR(__xludf.DUMMYFUNCTION("if(REGEXMATCH(join("", "",$F144:$G144),R$1)=TRUE,""✓"",""✗"")"),"✗")</f>
        <v>✗</v>
      </c>
      <c r="S144" s="23" t="str">
        <f>IFERROR(__xludf.DUMMYFUNCTION("if(REGEXMATCH(join("", "",$F144:$G144),S$1)=TRUE,""✓"",""✗"")"),"✗")</f>
        <v>✗</v>
      </c>
      <c r="T144" s="23" t="str">
        <f>IFERROR(__xludf.DUMMYFUNCTION("if(REGEXMATCH(join("", "",$F144:$G144),T$1)=TRUE,""✓"",""✗"")"),"✗")</f>
        <v>✗</v>
      </c>
      <c r="U144" s="33"/>
      <c r="V144" s="33"/>
      <c r="W144" s="33"/>
      <c r="X144" s="33"/>
      <c r="Y144" s="33"/>
      <c r="Z144" s="33"/>
      <c r="AA144" s="33"/>
      <c r="AB144" s="33"/>
      <c r="AC144" s="33"/>
    </row>
    <row r="145" hidden="1">
      <c r="A145" s="17" t="s">
        <v>302</v>
      </c>
      <c r="B145" s="33"/>
      <c r="C145" s="33"/>
      <c r="D145" s="33"/>
      <c r="E145" s="33"/>
      <c r="F145" s="33"/>
      <c r="G145" s="33">
        <v>39.0</v>
      </c>
      <c r="H145" s="23" t="str">
        <f>IFERROR(__xludf.DUMMYFUNCTION("if(REGEXMATCH(join("", "",$F145:$G145),H$1)=TRUE,""✓"",""✗"")"),"✗")</f>
        <v>✗</v>
      </c>
      <c r="I145" s="23" t="str">
        <f>IFERROR(__xludf.DUMMYFUNCTION("if(REGEXMATCH(join("", "",$F145:$G145),I$1)=TRUE,""✓"",""✗"")"),"✗")</f>
        <v>✗</v>
      </c>
      <c r="J145" s="23" t="str">
        <f>IFERROR(__xludf.DUMMYFUNCTION("if(REGEXMATCH(join("", "",$F145:$G145),J$1)=TRUE,""✓"",""✗"")"),"✗")</f>
        <v>✗</v>
      </c>
      <c r="K145" s="23" t="str">
        <f>IFERROR(__xludf.DUMMYFUNCTION("if(REGEXMATCH(join("", "",$F145:$G145),K$1)=TRUE,""✓"",""✗"")"),"✗")</f>
        <v>✗</v>
      </c>
      <c r="L145" s="23" t="str">
        <f>IFERROR(__xludf.DUMMYFUNCTION("if(REGEXMATCH(join("", "",$F145:$G145),L$1)=TRUE,""✓"",""✗"")"),"✗")</f>
        <v>✗</v>
      </c>
      <c r="M145" s="23" t="str">
        <f>IFERROR(__xludf.DUMMYFUNCTION("if(REGEXMATCH(join("", "",$F145:$G145),M$1)=TRUE,""✓"",""✗"")"),"✗")</f>
        <v>✗</v>
      </c>
      <c r="N145" s="23" t="str">
        <f>IFERROR(__xludf.DUMMYFUNCTION("if(REGEXMATCH(join("", "",$F145:$G145),N$1)=TRUE,""✓"",""✗"")"),"✗")</f>
        <v>✗</v>
      </c>
      <c r="O145" s="23" t="str">
        <f>IFERROR(__xludf.DUMMYFUNCTION("if(REGEXMATCH(join("", "",$F145:$G145),O$1)=TRUE,""✓"",""✗"")"),"✗")</f>
        <v>✗</v>
      </c>
      <c r="P145" s="23" t="str">
        <f>IFERROR(__xludf.DUMMYFUNCTION("if(REGEXMATCH(join("", "",$F145:$G145),P$1)=TRUE,""✓"",""✗"")"),"✗")</f>
        <v>✗</v>
      </c>
      <c r="Q145" s="23" t="str">
        <f>IFERROR(__xludf.DUMMYFUNCTION("if(REGEXMATCH(join("", "",$F145:$G145),Q$1)=TRUE,""✓"",""✗"")"),"✗")</f>
        <v>✗</v>
      </c>
      <c r="R145" s="23" t="str">
        <f>IFERROR(__xludf.DUMMYFUNCTION("if(REGEXMATCH(join("", "",$F145:$G145),R$1)=TRUE,""✓"",""✗"")"),"✗")</f>
        <v>✗</v>
      </c>
      <c r="S145" s="23" t="str">
        <f>IFERROR(__xludf.DUMMYFUNCTION("if(REGEXMATCH(join("", "",$F145:$G145),S$1)=TRUE,""✓"",""✗"")"),"✗")</f>
        <v>✗</v>
      </c>
      <c r="T145" s="23" t="str">
        <f>IFERROR(__xludf.DUMMYFUNCTION("if(REGEXMATCH(join("", "",$F145:$G145),T$1)=TRUE,""✓"",""✗"")"),"✗")</f>
        <v>✗</v>
      </c>
      <c r="U145" s="33"/>
      <c r="V145" s="33"/>
      <c r="W145" s="33"/>
      <c r="X145" s="33"/>
      <c r="Y145" s="33"/>
      <c r="Z145" s="33"/>
      <c r="AA145" s="33"/>
      <c r="AB145" s="33"/>
      <c r="AC145" s="33"/>
    </row>
    <row r="146" hidden="1">
      <c r="A146" s="17" t="s">
        <v>302</v>
      </c>
      <c r="B146" s="33"/>
      <c r="C146" s="33"/>
      <c r="D146" s="33"/>
      <c r="E146" s="33"/>
      <c r="F146" s="33"/>
      <c r="G146" s="33">
        <v>40.0</v>
      </c>
      <c r="H146" s="23" t="str">
        <f>IFERROR(__xludf.DUMMYFUNCTION("if(REGEXMATCH(join("", "",$F146:$G146),H$1)=TRUE,""✓"",""✗"")"),"✗")</f>
        <v>✗</v>
      </c>
      <c r="I146" s="23" t="str">
        <f>IFERROR(__xludf.DUMMYFUNCTION("if(REGEXMATCH(join("", "",$F146:$G146),I$1)=TRUE,""✓"",""✗"")"),"✗")</f>
        <v>✗</v>
      </c>
      <c r="J146" s="23" t="str">
        <f>IFERROR(__xludf.DUMMYFUNCTION("if(REGEXMATCH(join("", "",$F146:$G146),J$1)=TRUE,""✓"",""✗"")"),"✗")</f>
        <v>✗</v>
      </c>
      <c r="K146" s="23" t="str">
        <f>IFERROR(__xludf.DUMMYFUNCTION("if(REGEXMATCH(join("", "",$F146:$G146),K$1)=TRUE,""✓"",""✗"")"),"✗")</f>
        <v>✗</v>
      </c>
      <c r="L146" s="23" t="str">
        <f>IFERROR(__xludf.DUMMYFUNCTION("if(REGEXMATCH(join("", "",$F146:$G146),L$1)=TRUE,""✓"",""✗"")"),"✗")</f>
        <v>✗</v>
      </c>
      <c r="M146" s="23" t="str">
        <f>IFERROR(__xludf.DUMMYFUNCTION("if(REGEXMATCH(join("", "",$F146:$G146),M$1)=TRUE,""✓"",""✗"")"),"✗")</f>
        <v>✗</v>
      </c>
      <c r="N146" s="23" t="str">
        <f>IFERROR(__xludf.DUMMYFUNCTION("if(REGEXMATCH(join("", "",$F146:$G146),N$1)=TRUE,""✓"",""✗"")"),"✗")</f>
        <v>✗</v>
      </c>
      <c r="O146" s="23" t="str">
        <f>IFERROR(__xludf.DUMMYFUNCTION("if(REGEXMATCH(join("", "",$F146:$G146),O$1)=TRUE,""✓"",""✗"")"),"✗")</f>
        <v>✗</v>
      </c>
      <c r="P146" s="23" t="str">
        <f>IFERROR(__xludf.DUMMYFUNCTION("if(REGEXMATCH(join("", "",$F146:$G146),P$1)=TRUE,""✓"",""✗"")"),"✗")</f>
        <v>✗</v>
      </c>
      <c r="Q146" s="23" t="str">
        <f>IFERROR(__xludf.DUMMYFUNCTION("if(REGEXMATCH(join("", "",$F146:$G146),Q$1)=TRUE,""✓"",""✗"")"),"✗")</f>
        <v>✗</v>
      </c>
      <c r="R146" s="23" t="str">
        <f>IFERROR(__xludf.DUMMYFUNCTION("if(REGEXMATCH(join("", "",$F146:$G146),R$1)=TRUE,""✓"",""✗"")"),"✗")</f>
        <v>✗</v>
      </c>
      <c r="S146" s="23" t="str">
        <f>IFERROR(__xludf.DUMMYFUNCTION("if(REGEXMATCH(join("", "",$F146:$G146),S$1)=TRUE,""✓"",""✗"")"),"✗")</f>
        <v>✗</v>
      </c>
      <c r="T146" s="23" t="str">
        <f>IFERROR(__xludf.DUMMYFUNCTION("if(REGEXMATCH(join("", "",$F146:$G146),T$1)=TRUE,""✓"",""✗"")"),"✗")</f>
        <v>✗</v>
      </c>
      <c r="U146" s="33"/>
      <c r="V146" s="33"/>
      <c r="W146" s="33"/>
      <c r="X146" s="33"/>
      <c r="Y146" s="33"/>
      <c r="Z146" s="33"/>
      <c r="AA146" s="33"/>
      <c r="AB146" s="33"/>
      <c r="AC146" s="33"/>
    </row>
    <row r="147" hidden="1">
      <c r="A147" s="17" t="s">
        <v>302</v>
      </c>
      <c r="B147" s="33"/>
      <c r="C147" s="33"/>
      <c r="D147" s="33"/>
      <c r="E147" s="33"/>
      <c r="F147" s="33"/>
      <c r="G147" s="33">
        <v>41.0</v>
      </c>
      <c r="H147" s="23" t="str">
        <f>IFERROR(__xludf.DUMMYFUNCTION("if(REGEXMATCH(join("", "",$F147:$G147),H$1)=TRUE,""✓"",""✗"")"),"✗")</f>
        <v>✗</v>
      </c>
      <c r="I147" s="23" t="str">
        <f>IFERROR(__xludf.DUMMYFUNCTION("if(REGEXMATCH(join("", "",$F147:$G147),I$1)=TRUE,""✓"",""✗"")"),"✗")</f>
        <v>✗</v>
      </c>
      <c r="J147" s="23" t="str">
        <f>IFERROR(__xludf.DUMMYFUNCTION("if(REGEXMATCH(join("", "",$F147:$G147),J$1)=TRUE,""✓"",""✗"")"),"✗")</f>
        <v>✗</v>
      </c>
      <c r="K147" s="23" t="str">
        <f>IFERROR(__xludf.DUMMYFUNCTION("if(REGEXMATCH(join("", "",$F147:$G147),K$1)=TRUE,""✓"",""✗"")"),"✗")</f>
        <v>✗</v>
      </c>
      <c r="L147" s="23" t="str">
        <f>IFERROR(__xludf.DUMMYFUNCTION("if(REGEXMATCH(join("", "",$F147:$G147),L$1)=TRUE,""✓"",""✗"")"),"✗")</f>
        <v>✗</v>
      </c>
      <c r="M147" s="23" t="str">
        <f>IFERROR(__xludf.DUMMYFUNCTION("if(REGEXMATCH(join("", "",$F147:$G147),M$1)=TRUE,""✓"",""✗"")"),"✗")</f>
        <v>✗</v>
      </c>
      <c r="N147" s="23" t="str">
        <f>IFERROR(__xludf.DUMMYFUNCTION("if(REGEXMATCH(join("", "",$F147:$G147),N$1)=TRUE,""✓"",""✗"")"),"✗")</f>
        <v>✗</v>
      </c>
      <c r="O147" s="23" t="str">
        <f>IFERROR(__xludf.DUMMYFUNCTION("if(REGEXMATCH(join("", "",$F147:$G147),O$1)=TRUE,""✓"",""✗"")"),"✗")</f>
        <v>✗</v>
      </c>
      <c r="P147" s="23" t="str">
        <f>IFERROR(__xludf.DUMMYFUNCTION("if(REGEXMATCH(join("", "",$F147:$G147),P$1)=TRUE,""✓"",""✗"")"),"✗")</f>
        <v>✗</v>
      </c>
      <c r="Q147" s="23" t="str">
        <f>IFERROR(__xludf.DUMMYFUNCTION("if(REGEXMATCH(join("", "",$F147:$G147),Q$1)=TRUE,""✓"",""✗"")"),"✗")</f>
        <v>✗</v>
      </c>
      <c r="R147" s="23" t="str">
        <f>IFERROR(__xludf.DUMMYFUNCTION("if(REGEXMATCH(join("", "",$F147:$G147),R$1)=TRUE,""✓"",""✗"")"),"✗")</f>
        <v>✗</v>
      </c>
      <c r="S147" s="23" t="str">
        <f>IFERROR(__xludf.DUMMYFUNCTION("if(REGEXMATCH(join("", "",$F147:$G147),S$1)=TRUE,""✓"",""✗"")"),"✗")</f>
        <v>✗</v>
      </c>
      <c r="T147" s="23" t="str">
        <f>IFERROR(__xludf.DUMMYFUNCTION("if(REGEXMATCH(join("", "",$F147:$G147),T$1)=TRUE,""✓"",""✗"")"),"✗")</f>
        <v>✗</v>
      </c>
      <c r="U147" s="33"/>
      <c r="V147" s="33"/>
      <c r="W147" s="33"/>
      <c r="X147" s="33"/>
      <c r="Y147" s="33"/>
      <c r="Z147" s="33"/>
      <c r="AA147" s="33"/>
      <c r="AB147" s="33"/>
      <c r="AC147" s="33"/>
    </row>
    <row r="148" hidden="1">
      <c r="A148" s="17" t="s">
        <v>302</v>
      </c>
      <c r="B148" s="33"/>
      <c r="C148" s="33"/>
      <c r="D148" s="33"/>
      <c r="E148" s="33"/>
      <c r="F148" s="33"/>
      <c r="G148" s="33">
        <v>42.0</v>
      </c>
      <c r="H148" s="23" t="str">
        <f>IFERROR(__xludf.DUMMYFUNCTION("if(REGEXMATCH(join("", "",$F148:$G148),H$1)=TRUE,""✓"",""✗"")"),"✗")</f>
        <v>✗</v>
      </c>
      <c r="I148" s="23" t="str">
        <f>IFERROR(__xludf.DUMMYFUNCTION("if(REGEXMATCH(join("", "",$F148:$G148),I$1)=TRUE,""✓"",""✗"")"),"✗")</f>
        <v>✗</v>
      </c>
      <c r="J148" s="23" t="str">
        <f>IFERROR(__xludf.DUMMYFUNCTION("if(REGEXMATCH(join("", "",$F148:$G148),J$1)=TRUE,""✓"",""✗"")"),"✗")</f>
        <v>✗</v>
      </c>
      <c r="K148" s="23" t="str">
        <f>IFERROR(__xludf.DUMMYFUNCTION("if(REGEXMATCH(join("", "",$F148:$G148),K$1)=TRUE,""✓"",""✗"")"),"✗")</f>
        <v>✗</v>
      </c>
      <c r="L148" s="23" t="str">
        <f>IFERROR(__xludf.DUMMYFUNCTION("if(REGEXMATCH(join("", "",$F148:$G148),L$1)=TRUE,""✓"",""✗"")"),"✗")</f>
        <v>✗</v>
      </c>
      <c r="M148" s="23" t="str">
        <f>IFERROR(__xludf.DUMMYFUNCTION("if(REGEXMATCH(join("", "",$F148:$G148),M$1)=TRUE,""✓"",""✗"")"),"✗")</f>
        <v>✗</v>
      </c>
      <c r="N148" s="23" t="str">
        <f>IFERROR(__xludf.DUMMYFUNCTION("if(REGEXMATCH(join("", "",$F148:$G148),N$1)=TRUE,""✓"",""✗"")"),"✗")</f>
        <v>✗</v>
      </c>
      <c r="O148" s="23" t="str">
        <f>IFERROR(__xludf.DUMMYFUNCTION("if(REGEXMATCH(join("", "",$F148:$G148),O$1)=TRUE,""✓"",""✗"")"),"✗")</f>
        <v>✗</v>
      </c>
      <c r="P148" s="23" t="str">
        <f>IFERROR(__xludf.DUMMYFUNCTION("if(REGEXMATCH(join("", "",$F148:$G148),P$1)=TRUE,""✓"",""✗"")"),"✗")</f>
        <v>✗</v>
      </c>
      <c r="Q148" s="23" t="str">
        <f>IFERROR(__xludf.DUMMYFUNCTION("if(REGEXMATCH(join("", "",$F148:$G148),Q$1)=TRUE,""✓"",""✗"")"),"✗")</f>
        <v>✗</v>
      </c>
      <c r="R148" s="23" t="str">
        <f>IFERROR(__xludf.DUMMYFUNCTION("if(REGEXMATCH(join("", "",$F148:$G148),R$1)=TRUE,""✓"",""✗"")"),"✗")</f>
        <v>✗</v>
      </c>
      <c r="S148" s="23" t="str">
        <f>IFERROR(__xludf.DUMMYFUNCTION("if(REGEXMATCH(join("", "",$F148:$G148),S$1)=TRUE,""✓"",""✗"")"),"✗")</f>
        <v>✗</v>
      </c>
      <c r="T148" s="23" t="str">
        <f>IFERROR(__xludf.DUMMYFUNCTION("if(REGEXMATCH(join("", "",$F148:$G148),T$1)=TRUE,""✓"",""✗"")"),"✗")</f>
        <v>✗</v>
      </c>
      <c r="U148" s="33"/>
      <c r="V148" s="33"/>
      <c r="W148" s="33"/>
      <c r="X148" s="33"/>
      <c r="Y148" s="33"/>
      <c r="Z148" s="33"/>
      <c r="AA148" s="33"/>
      <c r="AB148" s="33"/>
      <c r="AC148" s="33"/>
    </row>
    <row r="149" hidden="1">
      <c r="A149" s="17" t="s">
        <v>302</v>
      </c>
      <c r="B149" s="33"/>
      <c r="C149" s="33"/>
      <c r="D149" s="33"/>
      <c r="E149" s="33"/>
      <c r="F149" s="33"/>
      <c r="G149" s="33">
        <v>43.0</v>
      </c>
      <c r="H149" s="23" t="str">
        <f>IFERROR(__xludf.DUMMYFUNCTION("if(REGEXMATCH(join("", "",$F149:$G149),H$1)=TRUE,""✓"",""✗"")"),"✗")</f>
        <v>✗</v>
      </c>
      <c r="I149" s="23" t="str">
        <f>IFERROR(__xludf.DUMMYFUNCTION("if(REGEXMATCH(join("", "",$F149:$G149),I$1)=TRUE,""✓"",""✗"")"),"✗")</f>
        <v>✗</v>
      </c>
      <c r="J149" s="23" t="str">
        <f>IFERROR(__xludf.DUMMYFUNCTION("if(REGEXMATCH(join("", "",$F149:$G149),J$1)=TRUE,""✓"",""✗"")"),"✗")</f>
        <v>✗</v>
      </c>
      <c r="K149" s="23" t="str">
        <f>IFERROR(__xludf.DUMMYFUNCTION("if(REGEXMATCH(join("", "",$F149:$G149),K$1)=TRUE,""✓"",""✗"")"),"✗")</f>
        <v>✗</v>
      </c>
      <c r="L149" s="23" t="str">
        <f>IFERROR(__xludf.DUMMYFUNCTION("if(REGEXMATCH(join("", "",$F149:$G149),L$1)=TRUE,""✓"",""✗"")"),"✗")</f>
        <v>✗</v>
      </c>
      <c r="M149" s="23" t="str">
        <f>IFERROR(__xludf.DUMMYFUNCTION("if(REGEXMATCH(join("", "",$F149:$G149),M$1)=TRUE,""✓"",""✗"")"),"✗")</f>
        <v>✗</v>
      </c>
      <c r="N149" s="23" t="str">
        <f>IFERROR(__xludf.DUMMYFUNCTION("if(REGEXMATCH(join("", "",$F149:$G149),N$1)=TRUE,""✓"",""✗"")"),"✗")</f>
        <v>✗</v>
      </c>
      <c r="O149" s="23" t="str">
        <f>IFERROR(__xludf.DUMMYFUNCTION("if(REGEXMATCH(join("", "",$F149:$G149),O$1)=TRUE,""✓"",""✗"")"),"✗")</f>
        <v>✗</v>
      </c>
      <c r="P149" s="23" t="str">
        <f>IFERROR(__xludf.DUMMYFUNCTION("if(REGEXMATCH(join("", "",$F149:$G149),P$1)=TRUE,""✓"",""✗"")"),"✗")</f>
        <v>✗</v>
      </c>
      <c r="Q149" s="23" t="str">
        <f>IFERROR(__xludf.DUMMYFUNCTION("if(REGEXMATCH(join("", "",$F149:$G149),Q$1)=TRUE,""✓"",""✗"")"),"✗")</f>
        <v>✗</v>
      </c>
      <c r="R149" s="23" t="str">
        <f>IFERROR(__xludf.DUMMYFUNCTION("if(REGEXMATCH(join("", "",$F149:$G149),R$1)=TRUE,""✓"",""✗"")"),"✗")</f>
        <v>✗</v>
      </c>
      <c r="S149" s="23" t="str">
        <f>IFERROR(__xludf.DUMMYFUNCTION("if(REGEXMATCH(join("", "",$F149:$G149),S$1)=TRUE,""✓"",""✗"")"),"✗")</f>
        <v>✗</v>
      </c>
      <c r="T149" s="23" t="str">
        <f>IFERROR(__xludf.DUMMYFUNCTION("if(REGEXMATCH(join("", "",$F149:$G149),T$1)=TRUE,""✓"",""✗"")"),"✗")</f>
        <v>✗</v>
      </c>
      <c r="U149" s="33"/>
      <c r="V149" s="33"/>
      <c r="W149" s="33"/>
      <c r="X149" s="33"/>
      <c r="Y149" s="33"/>
      <c r="Z149" s="33"/>
      <c r="AA149" s="33"/>
      <c r="AB149" s="33"/>
      <c r="AC149" s="33"/>
    </row>
    <row r="150" hidden="1">
      <c r="A150" s="17" t="s">
        <v>302</v>
      </c>
      <c r="B150" s="33"/>
      <c r="C150" s="33"/>
      <c r="D150" s="33"/>
      <c r="E150" s="33"/>
      <c r="F150" s="33"/>
      <c r="G150" s="33">
        <v>44.0</v>
      </c>
      <c r="H150" s="23" t="str">
        <f>IFERROR(__xludf.DUMMYFUNCTION("if(REGEXMATCH(join("", "",$F150:$G150),H$1)=TRUE,""✓"",""✗"")"),"✗")</f>
        <v>✗</v>
      </c>
      <c r="I150" s="23" t="str">
        <f>IFERROR(__xludf.DUMMYFUNCTION("if(REGEXMATCH(join("", "",$F150:$G150),I$1)=TRUE,""✓"",""✗"")"),"✗")</f>
        <v>✗</v>
      </c>
      <c r="J150" s="23" t="str">
        <f>IFERROR(__xludf.DUMMYFUNCTION("if(REGEXMATCH(join("", "",$F150:$G150),J$1)=TRUE,""✓"",""✗"")"),"✗")</f>
        <v>✗</v>
      </c>
      <c r="K150" s="23" t="str">
        <f>IFERROR(__xludf.DUMMYFUNCTION("if(REGEXMATCH(join("", "",$F150:$G150),K$1)=TRUE,""✓"",""✗"")"),"✗")</f>
        <v>✗</v>
      </c>
      <c r="L150" s="23" t="str">
        <f>IFERROR(__xludf.DUMMYFUNCTION("if(REGEXMATCH(join("", "",$F150:$G150),L$1)=TRUE,""✓"",""✗"")"),"✗")</f>
        <v>✗</v>
      </c>
      <c r="M150" s="23" t="str">
        <f>IFERROR(__xludf.DUMMYFUNCTION("if(REGEXMATCH(join("", "",$F150:$G150),M$1)=TRUE,""✓"",""✗"")"),"✗")</f>
        <v>✗</v>
      </c>
      <c r="N150" s="23" t="str">
        <f>IFERROR(__xludf.DUMMYFUNCTION("if(REGEXMATCH(join("", "",$F150:$G150),N$1)=TRUE,""✓"",""✗"")"),"✗")</f>
        <v>✗</v>
      </c>
      <c r="O150" s="23" t="str">
        <f>IFERROR(__xludf.DUMMYFUNCTION("if(REGEXMATCH(join("", "",$F150:$G150),O$1)=TRUE,""✓"",""✗"")"),"✗")</f>
        <v>✗</v>
      </c>
      <c r="P150" s="23" t="str">
        <f>IFERROR(__xludf.DUMMYFUNCTION("if(REGEXMATCH(join("", "",$F150:$G150),P$1)=TRUE,""✓"",""✗"")"),"✗")</f>
        <v>✗</v>
      </c>
      <c r="Q150" s="23" t="str">
        <f>IFERROR(__xludf.DUMMYFUNCTION("if(REGEXMATCH(join("", "",$F150:$G150),Q$1)=TRUE,""✓"",""✗"")"),"✗")</f>
        <v>✗</v>
      </c>
      <c r="R150" s="23" t="str">
        <f>IFERROR(__xludf.DUMMYFUNCTION("if(REGEXMATCH(join("", "",$F150:$G150),R$1)=TRUE,""✓"",""✗"")"),"✗")</f>
        <v>✗</v>
      </c>
      <c r="S150" s="23" t="str">
        <f>IFERROR(__xludf.DUMMYFUNCTION("if(REGEXMATCH(join("", "",$F150:$G150),S$1)=TRUE,""✓"",""✗"")"),"✗")</f>
        <v>✗</v>
      </c>
      <c r="T150" s="23" t="str">
        <f>IFERROR(__xludf.DUMMYFUNCTION("if(REGEXMATCH(join("", "",$F150:$G150),T$1)=TRUE,""✓"",""✗"")"),"✗")</f>
        <v>✗</v>
      </c>
      <c r="U150" s="33"/>
      <c r="V150" s="33"/>
      <c r="W150" s="33"/>
      <c r="X150" s="33"/>
      <c r="Y150" s="33"/>
      <c r="Z150" s="33"/>
      <c r="AA150" s="33"/>
      <c r="AB150" s="33"/>
      <c r="AC150" s="33"/>
    </row>
    <row r="151" hidden="1">
      <c r="A151" s="17" t="s">
        <v>302</v>
      </c>
      <c r="B151" s="33"/>
      <c r="C151" s="33"/>
      <c r="D151" s="33"/>
      <c r="E151" s="33"/>
      <c r="F151" s="33"/>
      <c r="G151" s="33">
        <v>45.0</v>
      </c>
      <c r="H151" s="23" t="str">
        <f>IFERROR(__xludf.DUMMYFUNCTION("if(REGEXMATCH(join("", "",$F151:$G151),H$1)=TRUE,""✓"",""✗"")"),"✗")</f>
        <v>✗</v>
      </c>
      <c r="I151" s="23" t="str">
        <f>IFERROR(__xludf.DUMMYFUNCTION("if(REGEXMATCH(join("", "",$F151:$G151),I$1)=TRUE,""✓"",""✗"")"),"✗")</f>
        <v>✗</v>
      </c>
      <c r="J151" s="23" t="str">
        <f>IFERROR(__xludf.DUMMYFUNCTION("if(REGEXMATCH(join("", "",$F151:$G151),J$1)=TRUE,""✓"",""✗"")"),"✗")</f>
        <v>✗</v>
      </c>
      <c r="K151" s="23" t="str">
        <f>IFERROR(__xludf.DUMMYFUNCTION("if(REGEXMATCH(join("", "",$F151:$G151),K$1)=TRUE,""✓"",""✗"")"),"✗")</f>
        <v>✗</v>
      </c>
      <c r="L151" s="23" t="str">
        <f>IFERROR(__xludf.DUMMYFUNCTION("if(REGEXMATCH(join("", "",$F151:$G151),L$1)=TRUE,""✓"",""✗"")"),"✗")</f>
        <v>✗</v>
      </c>
      <c r="M151" s="23" t="str">
        <f>IFERROR(__xludf.DUMMYFUNCTION("if(REGEXMATCH(join("", "",$F151:$G151),M$1)=TRUE,""✓"",""✗"")"),"✗")</f>
        <v>✗</v>
      </c>
      <c r="N151" s="23" t="str">
        <f>IFERROR(__xludf.DUMMYFUNCTION("if(REGEXMATCH(join("", "",$F151:$G151),N$1)=TRUE,""✓"",""✗"")"),"✗")</f>
        <v>✗</v>
      </c>
      <c r="O151" s="23" t="str">
        <f>IFERROR(__xludf.DUMMYFUNCTION("if(REGEXMATCH(join("", "",$F151:$G151),O$1)=TRUE,""✓"",""✗"")"),"✗")</f>
        <v>✗</v>
      </c>
      <c r="P151" s="23" t="str">
        <f>IFERROR(__xludf.DUMMYFUNCTION("if(REGEXMATCH(join("", "",$F151:$G151),P$1)=TRUE,""✓"",""✗"")"),"✗")</f>
        <v>✗</v>
      </c>
      <c r="Q151" s="23" t="str">
        <f>IFERROR(__xludf.DUMMYFUNCTION("if(REGEXMATCH(join("", "",$F151:$G151),Q$1)=TRUE,""✓"",""✗"")"),"✗")</f>
        <v>✗</v>
      </c>
      <c r="R151" s="23" t="str">
        <f>IFERROR(__xludf.DUMMYFUNCTION("if(REGEXMATCH(join("", "",$F151:$G151),R$1)=TRUE,""✓"",""✗"")"),"✗")</f>
        <v>✗</v>
      </c>
      <c r="S151" s="23" t="str">
        <f>IFERROR(__xludf.DUMMYFUNCTION("if(REGEXMATCH(join("", "",$F151:$G151),S$1)=TRUE,""✓"",""✗"")"),"✗")</f>
        <v>✗</v>
      </c>
      <c r="T151" s="23" t="str">
        <f>IFERROR(__xludf.DUMMYFUNCTION("if(REGEXMATCH(join("", "",$F151:$G151),T$1)=TRUE,""✓"",""✗"")"),"✗")</f>
        <v>✗</v>
      </c>
      <c r="U151" s="33"/>
      <c r="V151" s="33"/>
      <c r="W151" s="33"/>
      <c r="X151" s="33"/>
      <c r="Y151" s="33"/>
      <c r="Z151" s="33"/>
      <c r="AA151" s="33"/>
      <c r="AB151" s="33"/>
      <c r="AC151" s="33"/>
    </row>
    <row r="152" hidden="1">
      <c r="A152" s="17" t="s">
        <v>302</v>
      </c>
      <c r="B152" s="33"/>
      <c r="C152" s="33"/>
      <c r="D152" s="33"/>
      <c r="E152" s="33"/>
      <c r="F152" s="33"/>
      <c r="G152" s="33">
        <v>46.0</v>
      </c>
      <c r="H152" s="23" t="str">
        <f>IFERROR(__xludf.DUMMYFUNCTION("if(REGEXMATCH(join("", "",$F152:$G152),H$1)=TRUE,""✓"",""✗"")"),"✗")</f>
        <v>✗</v>
      </c>
      <c r="I152" s="23" t="str">
        <f>IFERROR(__xludf.DUMMYFUNCTION("if(REGEXMATCH(join("", "",$F152:$G152),I$1)=TRUE,""✓"",""✗"")"),"✗")</f>
        <v>✗</v>
      </c>
      <c r="J152" s="23" t="str">
        <f>IFERROR(__xludf.DUMMYFUNCTION("if(REGEXMATCH(join("", "",$F152:$G152),J$1)=TRUE,""✓"",""✗"")"),"✗")</f>
        <v>✗</v>
      </c>
      <c r="K152" s="23" t="str">
        <f>IFERROR(__xludf.DUMMYFUNCTION("if(REGEXMATCH(join("", "",$F152:$G152),K$1)=TRUE,""✓"",""✗"")"),"✗")</f>
        <v>✗</v>
      </c>
      <c r="L152" s="23" t="str">
        <f>IFERROR(__xludf.DUMMYFUNCTION("if(REGEXMATCH(join("", "",$F152:$G152),L$1)=TRUE,""✓"",""✗"")"),"✗")</f>
        <v>✗</v>
      </c>
      <c r="M152" s="23" t="str">
        <f>IFERROR(__xludf.DUMMYFUNCTION("if(REGEXMATCH(join("", "",$F152:$G152),M$1)=TRUE,""✓"",""✗"")"),"✗")</f>
        <v>✗</v>
      </c>
      <c r="N152" s="23" t="str">
        <f>IFERROR(__xludf.DUMMYFUNCTION("if(REGEXMATCH(join("", "",$F152:$G152),N$1)=TRUE,""✓"",""✗"")"),"✗")</f>
        <v>✗</v>
      </c>
      <c r="O152" s="23" t="str">
        <f>IFERROR(__xludf.DUMMYFUNCTION("if(REGEXMATCH(join("", "",$F152:$G152),O$1)=TRUE,""✓"",""✗"")"),"✗")</f>
        <v>✗</v>
      </c>
      <c r="P152" s="23" t="str">
        <f>IFERROR(__xludf.DUMMYFUNCTION("if(REGEXMATCH(join("", "",$F152:$G152),P$1)=TRUE,""✓"",""✗"")"),"✗")</f>
        <v>✗</v>
      </c>
      <c r="Q152" s="23" t="str">
        <f>IFERROR(__xludf.DUMMYFUNCTION("if(REGEXMATCH(join("", "",$F152:$G152),Q$1)=TRUE,""✓"",""✗"")"),"✗")</f>
        <v>✗</v>
      </c>
      <c r="R152" s="23" t="str">
        <f>IFERROR(__xludf.DUMMYFUNCTION("if(REGEXMATCH(join("", "",$F152:$G152),R$1)=TRUE,""✓"",""✗"")"),"✗")</f>
        <v>✗</v>
      </c>
      <c r="S152" s="23" t="str">
        <f>IFERROR(__xludf.DUMMYFUNCTION("if(REGEXMATCH(join("", "",$F152:$G152),S$1)=TRUE,""✓"",""✗"")"),"✗")</f>
        <v>✗</v>
      </c>
      <c r="T152" s="23" t="str">
        <f>IFERROR(__xludf.DUMMYFUNCTION("if(REGEXMATCH(join("", "",$F152:$G152),T$1)=TRUE,""✓"",""✗"")"),"✗")</f>
        <v>✗</v>
      </c>
      <c r="U152" s="33"/>
      <c r="V152" s="33"/>
      <c r="W152" s="33"/>
      <c r="X152" s="33"/>
      <c r="Y152" s="33"/>
      <c r="Z152" s="33"/>
      <c r="AA152" s="33"/>
      <c r="AB152" s="33"/>
      <c r="AC152" s="33"/>
    </row>
    <row r="153" hidden="1">
      <c r="A153" s="17" t="s">
        <v>302</v>
      </c>
      <c r="B153" s="33"/>
      <c r="C153" s="33"/>
      <c r="D153" s="33"/>
      <c r="E153" s="33"/>
      <c r="F153" s="33"/>
      <c r="G153" s="33">
        <v>47.0</v>
      </c>
      <c r="H153" s="23" t="str">
        <f>IFERROR(__xludf.DUMMYFUNCTION("if(REGEXMATCH(join("", "",$F153:$G153),H$1)=TRUE,""✓"",""✗"")"),"✗")</f>
        <v>✗</v>
      </c>
      <c r="I153" s="23" t="str">
        <f>IFERROR(__xludf.DUMMYFUNCTION("if(REGEXMATCH(join("", "",$F153:$G153),I$1)=TRUE,""✓"",""✗"")"),"✗")</f>
        <v>✗</v>
      </c>
      <c r="J153" s="23" t="str">
        <f>IFERROR(__xludf.DUMMYFUNCTION("if(REGEXMATCH(join("", "",$F153:$G153),J$1)=TRUE,""✓"",""✗"")"),"✗")</f>
        <v>✗</v>
      </c>
      <c r="K153" s="23" t="str">
        <f>IFERROR(__xludf.DUMMYFUNCTION("if(REGEXMATCH(join("", "",$F153:$G153),K$1)=TRUE,""✓"",""✗"")"),"✗")</f>
        <v>✗</v>
      </c>
      <c r="L153" s="23" t="str">
        <f>IFERROR(__xludf.DUMMYFUNCTION("if(REGEXMATCH(join("", "",$F153:$G153),L$1)=TRUE,""✓"",""✗"")"),"✗")</f>
        <v>✗</v>
      </c>
      <c r="M153" s="23" t="str">
        <f>IFERROR(__xludf.DUMMYFUNCTION("if(REGEXMATCH(join("", "",$F153:$G153),M$1)=TRUE,""✓"",""✗"")"),"✗")</f>
        <v>✗</v>
      </c>
      <c r="N153" s="23" t="str">
        <f>IFERROR(__xludf.DUMMYFUNCTION("if(REGEXMATCH(join("", "",$F153:$G153),N$1)=TRUE,""✓"",""✗"")"),"✗")</f>
        <v>✗</v>
      </c>
      <c r="O153" s="23" t="str">
        <f>IFERROR(__xludf.DUMMYFUNCTION("if(REGEXMATCH(join("", "",$F153:$G153),O$1)=TRUE,""✓"",""✗"")"),"✗")</f>
        <v>✗</v>
      </c>
      <c r="P153" s="23" t="str">
        <f>IFERROR(__xludf.DUMMYFUNCTION("if(REGEXMATCH(join("", "",$F153:$G153),P$1)=TRUE,""✓"",""✗"")"),"✗")</f>
        <v>✗</v>
      </c>
      <c r="Q153" s="23" t="str">
        <f>IFERROR(__xludf.DUMMYFUNCTION("if(REGEXMATCH(join("", "",$F153:$G153),Q$1)=TRUE,""✓"",""✗"")"),"✗")</f>
        <v>✗</v>
      </c>
      <c r="R153" s="23" t="str">
        <f>IFERROR(__xludf.DUMMYFUNCTION("if(REGEXMATCH(join("", "",$F153:$G153),R$1)=TRUE,""✓"",""✗"")"),"✗")</f>
        <v>✗</v>
      </c>
      <c r="S153" s="23" t="str">
        <f>IFERROR(__xludf.DUMMYFUNCTION("if(REGEXMATCH(join("", "",$F153:$G153),S$1)=TRUE,""✓"",""✗"")"),"✗")</f>
        <v>✗</v>
      </c>
      <c r="T153" s="23" t="str">
        <f>IFERROR(__xludf.DUMMYFUNCTION("if(REGEXMATCH(join("", "",$F153:$G153),T$1)=TRUE,""✓"",""✗"")"),"✗")</f>
        <v>✗</v>
      </c>
      <c r="U153" s="33"/>
      <c r="V153" s="33"/>
      <c r="W153" s="33"/>
      <c r="X153" s="33"/>
      <c r="Y153" s="33"/>
      <c r="Z153" s="33"/>
      <c r="AA153" s="33"/>
      <c r="AB153" s="33"/>
      <c r="AC153" s="33"/>
    </row>
    <row r="154" hidden="1">
      <c r="A154" s="17" t="s">
        <v>302</v>
      </c>
      <c r="B154" s="33"/>
      <c r="C154" s="33"/>
      <c r="D154" s="33"/>
      <c r="E154" s="33"/>
      <c r="F154" s="33"/>
      <c r="G154" s="33">
        <v>48.0</v>
      </c>
      <c r="H154" s="23" t="str">
        <f>IFERROR(__xludf.DUMMYFUNCTION("if(REGEXMATCH(join("", "",$F154:$G154),H$1)=TRUE,""✓"",""✗"")"),"✗")</f>
        <v>✗</v>
      </c>
      <c r="I154" s="23" t="str">
        <f>IFERROR(__xludf.DUMMYFUNCTION("if(REGEXMATCH(join("", "",$F154:$G154),I$1)=TRUE,""✓"",""✗"")"),"✗")</f>
        <v>✗</v>
      </c>
      <c r="J154" s="23" t="str">
        <f>IFERROR(__xludf.DUMMYFUNCTION("if(REGEXMATCH(join("", "",$F154:$G154),J$1)=TRUE,""✓"",""✗"")"),"✗")</f>
        <v>✗</v>
      </c>
      <c r="K154" s="23" t="str">
        <f>IFERROR(__xludf.DUMMYFUNCTION("if(REGEXMATCH(join("", "",$F154:$G154),K$1)=TRUE,""✓"",""✗"")"),"✗")</f>
        <v>✗</v>
      </c>
      <c r="L154" s="23" t="str">
        <f>IFERROR(__xludf.DUMMYFUNCTION("if(REGEXMATCH(join("", "",$F154:$G154),L$1)=TRUE,""✓"",""✗"")"),"✗")</f>
        <v>✗</v>
      </c>
      <c r="M154" s="23" t="str">
        <f>IFERROR(__xludf.DUMMYFUNCTION("if(REGEXMATCH(join("", "",$F154:$G154),M$1)=TRUE,""✓"",""✗"")"),"✗")</f>
        <v>✗</v>
      </c>
      <c r="N154" s="23" t="str">
        <f>IFERROR(__xludf.DUMMYFUNCTION("if(REGEXMATCH(join("", "",$F154:$G154),N$1)=TRUE,""✓"",""✗"")"),"✗")</f>
        <v>✗</v>
      </c>
      <c r="O154" s="23" t="str">
        <f>IFERROR(__xludf.DUMMYFUNCTION("if(REGEXMATCH(join("", "",$F154:$G154),O$1)=TRUE,""✓"",""✗"")"),"✗")</f>
        <v>✗</v>
      </c>
      <c r="P154" s="23" t="str">
        <f>IFERROR(__xludf.DUMMYFUNCTION("if(REGEXMATCH(join("", "",$F154:$G154),P$1)=TRUE,""✓"",""✗"")"),"✗")</f>
        <v>✗</v>
      </c>
      <c r="Q154" s="23" t="str">
        <f>IFERROR(__xludf.DUMMYFUNCTION("if(REGEXMATCH(join("", "",$F154:$G154),Q$1)=TRUE,""✓"",""✗"")"),"✗")</f>
        <v>✗</v>
      </c>
      <c r="R154" s="23" t="str">
        <f>IFERROR(__xludf.DUMMYFUNCTION("if(REGEXMATCH(join("", "",$F154:$G154),R$1)=TRUE,""✓"",""✗"")"),"✗")</f>
        <v>✗</v>
      </c>
      <c r="S154" s="23" t="str">
        <f>IFERROR(__xludf.DUMMYFUNCTION("if(REGEXMATCH(join("", "",$F154:$G154),S$1)=TRUE,""✓"",""✗"")"),"✗")</f>
        <v>✗</v>
      </c>
      <c r="T154" s="23" t="str">
        <f>IFERROR(__xludf.DUMMYFUNCTION("if(REGEXMATCH(join("", "",$F154:$G154),T$1)=TRUE,""✓"",""✗"")"),"✗")</f>
        <v>✗</v>
      </c>
      <c r="U154" s="33"/>
      <c r="V154" s="33"/>
      <c r="W154" s="33"/>
      <c r="X154" s="33"/>
      <c r="Y154" s="33"/>
      <c r="Z154" s="33"/>
      <c r="AA154" s="33"/>
      <c r="AB154" s="33"/>
      <c r="AC154" s="33"/>
    </row>
    <row r="155" hidden="1">
      <c r="A155" s="17" t="s">
        <v>302</v>
      </c>
      <c r="B155" s="33"/>
      <c r="C155" s="33"/>
      <c r="D155" s="33"/>
      <c r="E155" s="33"/>
      <c r="F155" s="33"/>
      <c r="G155" s="33">
        <v>49.0</v>
      </c>
      <c r="H155" s="23" t="str">
        <f>IFERROR(__xludf.DUMMYFUNCTION("if(REGEXMATCH(join("", "",$F155:$G155),H$1)=TRUE,""✓"",""✗"")"),"✗")</f>
        <v>✗</v>
      </c>
      <c r="I155" s="23" t="str">
        <f>IFERROR(__xludf.DUMMYFUNCTION("if(REGEXMATCH(join("", "",$F155:$G155),I$1)=TRUE,""✓"",""✗"")"),"✗")</f>
        <v>✗</v>
      </c>
      <c r="J155" s="23" t="str">
        <f>IFERROR(__xludf.DUMMYFUNCTION("if(REGEXMATCH(join("", "",$F155:$G155),J$1)=TRUE,""✓"",""✗"")"),"✗")</f>
        <v>✗</v>
      </c>
      <c r="K155" s="23" t="str">
        <f>IFERROR(__xludf.DUMMYFUNCTION("if(REGEXMATCH(join("", "",$F155:$G155),K$1)=TRUE,""✓"",""✗"")"),"✗")</f>
        <v>✗</v>
      </c>
      <c r="L155" s="23" t="str">
        <f>IFERROR(__xludf.DUMMYFUNCTION("if(REGEXMATCH(join("", "",$F155:$G155),L$1)=TRUE,""✓"",""✗"")"),"✗")</f>
        <v>✗</v>
      </c>
      <c r="M155" s="23" t="str">
        <f>IFERROR(__xludf.DUMMYFUNCTION("if(REGEXMATCH(join("", "",$F155:$G155),M$1)=TRUE,""✓"",""✗"")"),"✗")</f>
        <v>✗</v>
      </c>
      <c r="N155" s="23" t="str">
        <f>IFERROR(__xludf.DUMMYFUNCTION("if(REGEXMATCH(join("", "",$F155:$G155),N$1)=TRUE,""✓"",""✗"")"),"✗")</f>
        <v>✗</v>
      </c>
      <c r="O155" s="23" t="str">
        <f>IFERROR(__xludf.DUMMYFUNCTION("if(REGEXMATCH(join("", "",$F155:$G155),O$1)=TRUE,""✓"",""✗"")"),"✗")</f>
        <v>✗</v>
      </c>
      <c r="P155" s="23" t="str">
        <f>IFERROR(__xludf.DUMMYFUNCTION("if(REGEXMATCH(join("", "",$F155:$G155),P$1)=TRUE,""✓"",""✗"")"),"✗")</f>
        <v>✗</v>
      </c>
      <c r="Q155" s="23" t="str">
        <f>IFERROR(__xludf.DUMMYFUNCTION("if(REGEXMATCH(join("", "",$F155:$G155),Q$1)=TRUE,""✓"",""✗"")"),"✗")</f>
        <v>✗</v>
      </c>
      <c r="R155" s="23" t="str">
        <f>IFERROR(__xludf.DUMMYFUNCTION("if(REGEXMATCH(join("", "",$F155:$G155),R$1)=TRUE,""✓"",""✗"")"),"✗")</f>
        <v>✗</v>
      </c>
      <c r="S155" s="23" t="str">
        <f>IFERROR(__xludf.DUMMYFUNCTION("if(REGEXMATCH(join("", "",$F155:$G155),S$1)=TRUE,""✓"",""✗"")"),"✗")</f>
        <v>✗</v>
      </c>
      <c r="T155" s="23" t="str">
        <f>IFERROR(__xludf.DUMMYFUNCTION("if(REGEXMATCH(join("", "",$F155:$G155),T$1)=TRUE,""✓"",""✗"")"),"✗")</f>
        <v>✗</v>
      </c>
      <c r="U155" s="33"/>
      <c r="V155" s="33"/>
      <c r="W155" s="33"/>
      <c r="X155" s="33"/>
      <c r="Y155" s="33"/>
      <c r="Z155" s="33"/>
      <c r="AA155" s="33"/>
      <c r="AB155" s="33"/>
      <c r="AC155" s="33"/>
    </row>
    <row r="156" hidden="1">
      <c r="A156" s="17" t="s">
        <v>302</v>
      </c>
      <c r="B156" s="33"/>
      <c r="C156" s="33"/>
      <c r="D156" s="33"/>
      <c r="E156" s="33"/>
      <c r="F156" s="33"/>
      <c r="G156" s="33">
        <v>50.0</v>
      </c>
      <c r="H156" s="23" t="str">
        <f>IFERROR(__xludf.DUMMYFUNCTION("if(REGEXMATCH(join("", "",$F156:$G156),H$1)=TRUE,""✓"",""✗"")"),"✗")</f>
        <v>✗</v>
      </c>
      <c r="I156" s="23" t="str">
        <f>IFERROR(__xludf.DUMMYFUNCTION("if(REGEXMATCH(join("", "",$F156:$G156),I$1)=TRUE,""✓"",""✗"")"),"✗")</f>
        <v>✗</v>
      </c>
      <c r="J156" s="23" t="str">
        <f>IFERROR(__xludf.DUMMYFUNCTION("if(REGEXMATCH(join("", "",$F156:$G156),J$1)=TRUE,""✓"",""✗"")"),"✗")</f>
        <v>✗</v>
      </c>
      <c r="K156" s="23" t="str">
        <f>IFERROR(__xludf.DUMMYFUNCTION("if(REGEXMATCH(join("", "",$F156:$G156),K$1)=TRUE,""✓"",""✗"")"),"✗")</f>
        <v>✗</v>
      </c>
      <c r="L156" s="23" t="str">
        <f>IFERROR(__xludf.DUMMYFUNCTION("if(REGEXMATCH(join("", "",$F156:$G156),L$1)=TRUE,""✓"",""✗"")"),"✗")</f>
        <v>✗</v>
      </c>
      <c r="M156" s="23" t="str">
        <f>IFERROR(__xludf.DUMMYFUNCTION("if(REGEXMATCH(join("", "",$F156:$G156),M$1)=TRUE,""✓"",""✗"")"),"✗")</f>
        <v>✗</v>
      </c>
      <c r="N156" s="23" t="str">
        <f>IFERROR(__xludf.DUMMYFUNCTION("if(REGEXMATCH(join("", "",$F156:$G156),N$1)=TRUE,""✓"",""✗"")"),"✗")</f>
        <v>✗</v>
      </c>
      <c r="O156" s="23" t="str">
        <f>IFERROR(__xludf.DUMMYFUNCTION("if(REGEXMATCH(join("", "",$F156:$G156),O$1)=TRUE,""✓"",""✗"")"),"✗")</f>
        <v>✗</v>
      </c>
      <c r="P156" s="23" t="str">
        <f>IFERROR(__xludf.DUMMYFUNCTION("if(REGEXMATCH(join("", "",$F156:$G156),P$1)=TRUE,""✓"",""✗"")"),"✗")</f>
        <v>✗</v>
      </c>
      <c r="Q156" s="23" t="str">
        <f>IFERROR(__xludf.DUMMYFUNCTION("if(REGEXMATCH(join("", "",$F156:$G156),Q$1)=TRUE,""✓"",""✗"")"),"✗")</f>
        <v>✗</v>
      </c>
      <c r="R156" s="23" t="str">
        <f>IFERROR(__xludf.DUMMYFUNCTION("if(REGEXMATCH(join("", "",$F156:$G156),R$1)=TRUE,""✓"",""✗"")"),"✗")</f>
        <v>✗</v>
      </c>
      <c r="S156" s="23" t="str">
        <f>IFERROR(__xludf.DUMMYFUNCTION("if(REGEXMATCH(join("", "",$F156:$G156),S$1)=TRUE,""✓"",""✗"")"),"✗")</f>
        <v>✗</v>
      </c>
      <c r="T156" s="23" t="str">
        <f>IFERROR(__xludf.DUMMYFUNCTION("if(REGEXMATCH(join("", "",$F156:$G156),T$1)=TRUE,""✓"",""✗"")"),"✗")</f>
        <v>✗</v>
      </c>
      <c r="U156" s="33"/>
      <c r="V156" s="33"/>
      <c r="W156" s="33"/>
      <c r="X156" s="33"/>
      <c r="Y156" s="33"/>
      <c r="Z156" s="33"/>
      <c r="AA156" s="33"/>
      <c r="AB156" s="33"/>
      <c r="AC156" s="33"/>
    </row>
    <row r="157" hidden="1">
      <c r="A157" s="17" t="s">
        <v>302</v>
      </c>
      <c r="B157" s="33"/>
      <c r="C157" s="33"/>
      <c r="D157" s="33"/>
      <c r="E157" s="33"/>
      <c r="F157" s="33"/>
      <c r="G157" s="33">
        <v>51.0</v>
      </c>
      <c r="H157" s="23" t="str">
        <f>IFERROR(__xludf.DUMMYFUNCTION("if(REGEXMATCH(join("", "",$F157:$G157),H$1)=TRUE,""✓"",""✗"")"),"✗")</f>
        <v>✗</v>
      </c>
      <c r="I157" s="23" t="str">
        <f>IFERROR(__xludf.DUMMYFUNCTION("if(REGEXMATCH(join("", "",$F157:$G157),I$1)=TRUE,""✓"",""✗"")"),"✗")</f>
        <v>✗</v>
      </c>
      <c r="J157" s="23" t="str">
        <f>IFERROR(__xludf.DUMMYFUNCTION("if(REGEXMATCH(join("", "",$F157:$G157),J$1)=TRUE,""✓"",""✗"")"),"✗")</f>
        <v>✗</v>
      </c>
      <c r="K157" s="23" t="str">
        <f>IFERROR(__xludf.DUMMYFUNCTION("if(REGEXMATCH(join("", "",$F157:$G157),K$1)=TRUE,""✓"",""✗"")"),"✗")</f>
        <v>✗</v>
      </c>
      <c r="L157" s="23" t="str">
        <f>IFERROR(__xludf.DUMMYFUNCTION("if(REGEXMATCH(join("", "",$F157:$G157),L$1)=TRUE,""✓"",""✗"")"),"✗")</f>
        <v>✗</v>
      </c>
      <c r="M157" s="23" t="str">
        <f>IFERROR(__xludf.DUMMYFUNCTION("if(REGEXMATCH(join("", "",$F157:$G157),M$1)=TRUE,""✓"",""✗"")"),"✗")</f>
        <v>✗</v>
      </c>
      <c r="N157" s="23" t="str">
        <f>IFERROR(__xludf.DUMMYFUNCTION("if(REGEXMATCH(join("", "",$F157:$G157),N$1)=TRUE,""✓"",""✗"")"),"✗")</f>
        <v>✗</v>
      </c>
      <c r="O157" s="23" t="str">
        <f>IFERROR(__xludf.DUMMYFUNCTION("if(REGEXMATCH(join("", "",$F157:$G157),O$1)=TRUE,""✓"",""✗"")"),"✗")</f>
        <v>✗</v>
      </c>
      <c r="P157" s="23" t="str">
        <f>IFERROR(__xludf.DUMMYFUNCTION("if(REGEXMATCH(join("", "",$F157:$G157),P$1)=TRUE,""✓"",""✗"")"),"✗")</f>
        <v>✗</v>
      </c>
      <c r="Q157" s="23" t="str">
        <f>IFERROR(__xludf.DUMMYFUNCTION("if(REGEXMATCH(join("", "",$F157:$G157),Q$1)=TRUE,""✓"",""✗"")"),"✗")</f>
        <v>✗</v>
      </c>
      <c r="R157" s="23" t="str">
        <f>IFERROR(__xludf.DUMMYFUNCTION("if(REGEXMATCH(join("", "",$F157:$G157),R$1)=TRUE,""✓"",""✗"")"),"✗")</f>
        <v>✗</v>
      </c>
      <c r="S157" s="23" t="str">
        <f>IFERROR(__xludf.DUMMYFUNCTION("if(REGEXMATCH(join("", "",$F157:$G157),S$1)=TRUE,""✓"",""✗"")"),"✗")</f>
        <v>✗</v>
      </c>
      <c r="T157" s="23" t="str">
        <f>IFERROR(__xludf.DUMMYFUNCTION("if(REGEXMATCH(join("", "",$F157:$G157),T$1)=TRUE,""✓"",""✗"")"),"✗")</f>
        <v>✗</v>
      </c>
      <c r="U157" s="33"/>
      <c r="V157" s="33"/>
      <c r="W157" s="33"/>
      <c r="X157" s="33"/>
      <c r="Y157" s="33"/>
      <c r="Z157" s="33"/>
      <c r="AA157" s="33"/>
      <c r="AB157" s="33"/>
      <c r="AC157" s="33"/>
    </row>
    <row r="158" hidden="1">
      <c r="A158" s="17" t="s">
        <v>302</v>
      </c>
      <c r="B158" s="33"/>
      <c r="C158" s="33"/>
      <c r="D158" s="33"/>
      <c r="E158" s="33"/>
      <c r="F158" s="33"/>
      <c r="G158" s="33">
        <v>52.0</v>
      </c>
      <c r="H158" s="23" t="str">
        <f>IFERROR(__xludf.DUMMYFUNCTION("if(REGEXMATCH(join("", "",$F158:$G158),H$1)=TRUE,""✓"",""✗"")"),"✗")</f>
        <v>✗</v>
      </c>
      <c r="I158" s="23" t="str">
        <f>IFERROR(__xludf.DUMMYFUNCTION("if(REGEXMATCH(join("", "",$F158:$G158),I$1)=TRUE,""✓"",""✗"")"),"✗")</f>
        <v>✗</v>
      </c>
      <c r="J158" s="23" t="str">
        <f>IFERROR(__xludf.DUMMYFUNCTION("if(REGEXMATCH(join("", "",$F158:$G158),J$1)=TRUE,""✓"",""✗"")"),"✗")</f>
        <v>✗</v>
      </c>
      <c r="K158" s="23" t="str">
        <f>IFERROR(__xludf.DUMMYFUNCTION("if(REGEXMATCH(join("", "",$F158:$G158),K$1)=TRUE,""✓"",""✗"")"),"✗")</f>
        <v>✗</v>
      </c>
      <c r="L158" s="23" t="str">
        <f>IFERROR(__xludf.DUMMYFUNCTION("if(REGEXMATCH(join("", "",$F158:$G158),L$1)=TRUE,""✓"",""✗"")"),"✗")</f>
        <v>✗</v>
      </c>
      <c r="M158" s="23" t="str">
        <f>IFERROR(__xludf.DUMMYFUNCTION("if(REGEXMATCH(join("", "",$F158:$G158),M$1)=TRUE,""✓"",""✗"")"),"✗")</f>
        <v>✗</v>
      </c>
      <c r="N158" s="23" t="str">
        <f>IFERROR(__xludf.DUMMYFUNCTION("if(REGEXMATCH(join("", "",$F158:$G158),N$1)=TRUE,""✓"",""✗"")"),"✗")</f>
        <v>✗</v>
      </c>
      <c r="O158" s="23" t="str">
        <f>IFERROR(__xludf.DUMMYFUNCTION("if(REGEXMATCH(join("", "",$F158:$G158),O$1)=TRUE,""✓"",""✗"")"),"✗")</f>
        <v>✗</v>
      </c>
      <c r="P158" s="23" t="str">
        <f>IFERROR(__xludf.DUMMYFUNCTION("if(REGEXMATCH(join("", "",$F158:$G158),P$1)=TRUE,""✓"",""✗"")"),"✗")</f>
        <v>✗</v>
      </c>
      <c r="Q158" s="23" t="str">
        <f>IFERROR(__xludf.DUMMYFUNCTION("if(REGEXMATCH(join("", "",$F158:$G158),Q$1)=TRUE,""✓"",""✗"")"),"✗")</f>
        <v>✗</v>
      </c>
      <c r="R158" s="23" t="str">
        <f>IFERROR(__xludf.DUMMYFUNCTION("if(REGEXMATCH(join("", "",$F158:$G158),R$1)=TRUE,""✓"",""✗"")"),"✗")</f>
        <v>✗</v>
      </c>
      <c r="S158" s="23" t="str">
        <f>IFERROR(__xludf.DUMMYFUNCTION("if(REGEXMATCH(join("", "",$F158:$G158),S$1)=TRUE,""✓"",""✗"")"),"✗")</f>
        <v>✗</v>
      </c>
      <c r="T158" s="23" t="str">
        <f>IFERROR(__xludf.DUMMYFUNCTION("if(REGEXMATCH(join("", "",$F158:$G158),T$1)=TRUE,""✓"",""✗"")"),"✗")</f>
        <v>✗</v>
      </c>
      <c r="U158" s="33"/>
      <c r="V158" s="33"/>
      <c r="W158" s="33"/>
      <c r="X158" s="33"/>
      <c r="Y158" s="33"/>
      <c r="Z158" s="33"/>
      <c r="AA158" s="33"/>
      <c r="AB158" s="33"/>
      <c r="AC158" s="33"/>
    </row>
    <row r="159" hidden="1">
      <c r="A159" s="17" t="s">
        <v>302</v>
      </c>
      <c r="B159" s="33"/>
      <c r="C159" s="33"/>
      <c r="D159" s="33"/>
      <c r="E159" s="33"/>
      <c r="F159" s="33"/>
      <c r="G159" s="33">
        <v>53.0</v>
      </c>
      <c r="H159" s="23" t="str">
        <f>IFERROR(__xludf.DUMMYFUNCTION("if(REGEXMATCH(join("", "",$F159:$G159),H$1)=TRUE,""✓"",""✗"")"),"✗")</f>
        <v>✗</v>
      </c>
      <c r="I159" s="23" t="str">
        <f>IFERROR(__xludf.DUMMYFUNCTION("if(REGEXMATCH(join("", "",$F159:$G159),I$1)=TRUE,""✓"",""✗"")"),"✗")</f>
        <v>✗</v>
      </c>
      <c r="J159" s="23" t="str">
        <f>IFERROR(__xludf.DUMMYFUNCTION("if(REGEXMATCH(join("", "",$F159:$G159),J$1)=TRUE,""✓"",""✗"")"),"✗")</f>
        <v>✗</v>
      </c>
      <c r="K159" s="23" t="str">
        <f>IFERROR(__xludf.DUMMYFUNCTION("if(REGEXMATCH(join("", "",$F159:$G159),K$1)=TRUE,""✓"",""✗"")"),"✗")</f>
        <v>✗</v>
      </c>
      <c r="L159" s="23" t="str">
        <f>IFERROR(__xludf.DUMMYFUNCTION("if(REGEXMATCH(join("", "",$F159:$G159),L$1)=TRUE,""✓"",""✗"")"),"✗")</f>
        <v>✗</v>
      </c>
      <c r="M159" s="23" t="str">
        <f>IFERROR(__xludf.DUMMYFUNCTION("if(REGEXMATCH(join("", "",$F159:$G159),M$1)=TRUE,""✓"",""✗"")"),"✗")</f>
        <v>✗</v>
      </c>
      <c r="N159" s="23" t="str">
        <f>IFERROR(__xludf.DUMMYFUNCTION("if(REGEXMATCH(join("", "",$F159:$G159),N$1)=TRUE,""✓"",""✗"")"),"✗")</f>
        <v>✗</v>
      </c>
      <c r="O159" s="23" t="str">
        <f>IFERROR(__xludf.DUMMYFUNCTION("if(REGEXMATCH(join("", "",$F159:$G159),O$1)=TRUE,""✓"",""✗"")"),"✗")</f>
        <v>✗</v>
      </c>
      <c r="P159" s="23" t="str">
        <f>IFERROR(__xludf.DUMMYFUNCTION("if(REGEXMATCH(join("", "",$F159:$G159),P$1)=TRUE,""✓"",""✗"")"),"✗")</f>
        <v>✗</v>
      </c>
      <c r="Q159" s="23" t="str">
        <f>IFERROR(__xludf.DUMMYFUNCTION("if(REGEXMATCH(join("", "",$F159:$G159),Q$1)=TRUE,""✓"",""✗"")"),"✗")</f>
        <v>✗</v>
      </c>
      <c r="R159" s="23" t="str">
        <f>IFERROR(__xludf.DUMMYFUNCTION("if(REGEXMATCH(join("", "",$F159:$G159),R$1)=TRUE,""✓"",""✗"")"),"✗")</f>
        <v>✗</v>
      </c>
      <c r="S159" s="23" t="str">
        <f>IFERROR(__xludf.DUMMYFUNCTION("if(REGEXMATCH(join("", "",$F159:$G159),S$1)=TRUE,""✓"",""✗"")"),"✗")</f>
        <v>✗</v>
      </c>
      <c r="T159" s="23" t="str">
        <f>IFERROR(__xludf.DUMMYFUNCTION("if(REGEXMATCH(join("", "",$F159:$G159),T$1)=TRUE,""✓"",""✗"")"),"✗")</f>
        <v>✗</v>
      </c>
      <c r="U159" s="33"/>
      <c r="V159" s="33"/>
      <c r="W159" s="33"/>
      <c r="X159" s="33"/>
      <c r="Y159" s="33"/>
      <c r="Z159" s="33"/>
      <c r="AA159" s="33"/>
      <c r="AB159" s="33"/>
      <c r="AC159" s="33"/>
    </row>
    <row r="160" hidden="1">
      <c r="A160" s="17" t="s">
        <v>302</v>
      </c>
      <c r="B160" s="33"/>
      <c r="C160" s="33"/>
      <c r="D160" s="33"/>
      <c r="E160" s="33"/>
      <c r="F160" s="33"/>
      <c r="G160" s="33">
        <v>54.0</v>
      </c>
      <c r="H160" s="23" t="str">
        <f>IFERROR(__xludf.DUMMYFUNCTION("if(REGEXMATCH(join("", "",$F160:$G160),H$1)=TRUE,""✓"",""✗"")"),"✗")</f>
        <v>✗</v>
      </c>
      <c r="I160" s="23" t="str">
        <f>IFERROR(__xludf.DUMMYFUNCTION("if(REGEXMATCH(join("", "",$F160:$G160),I$1)=TRUE,""✓"",""✗"")"),"✗")</f>
        <v>✗</v>
      </c>
      <c r="J160" s="23" t="str">
        <f>IFERROR(__xludf.DUMMYFUNCTION("if(REGEXMATCH(join("", "",$F160:$G160),J$1)=TRUE,""✓"",""✗"")"),"✗")</f>
        <v>✗</v>
      </c>
      <c r="K160" s="23" t="str">
        <f>IFERROR(__xludf.DUMMYFUNCTION("if(REGEXMATCH(join("", "",$F160:$G160),K$1)=TRUE,""✓"",""✗"")"),"✗")</f>
        <v>✗</v>
      </c>
      <c r="L160" s="23" t="str">
        <f>IFERROR(__xludf.DUMMYFUNCTION("if(REGEXMATCH(join("", "",$F160:$G160),L$1)=TRUE,""✓"",""✗"")"),"✗")</f>
        <v>✗</v>
      </c>
      <c r="M160" s="23" t="str">
        <f>IFERROR(__xludf.DUMMYFUNCTION("if(REGEXMATCH(join("", "",$F160:$G160),M$1)=TRUE,""✓"",""✗"")"),"✗")</f>
        <v>✗</v>
      </c>
      <c r="N160" s="23" t="str">
        <f>IFERROR(__xludf.DUMMYFUNCTION("if(REGEXMATCH(join("", "",$F160:$G160),N$1)=TRUE,""✓"",""✗"")"),"✗")</f>
        <v>✗</v>
      </c>
      <c r="O160" s="23" t="str">
        <f>IFERROR(__xludf.DUMMYFUNCTION("if(REGEXMATCH(join("", "",$F160:$G160),O$1)=TRUE,""✓"",""✗"")"),"✗")</f>
        <v>✗</v>
      </c>
      <c r="P160" s="23" t="str">
        <f>IFERROR(__xludf.DUMMYFUNCTION("if(REGEXMATCH(join("", "",$F160:$G160),P$1)=TRUE,""✓"",""✗"")"),"✗")</f>
        <v>✗</v>
      </c>
      <c r="Q160" s="23" t="str">
        <f>IFERROR(__xludf.DUMMYFUNCTION("if(REGEXMATCH(join("", "",$F160:$G160),Q$1)=TRUE,""✓"",""✗"")"),"✗")</f>
        <v>✗</v>
      </c>
      <c r="R160" s="23" t="str">
        <f>IFERROR(__xludf.DUMMYFUNCTION("if(REGEXMATCH(join("", "",$F160:$G160),R$1)=TRUE,""✓"",""✗"")"),"✗")</f>
        <v>✗</v>
      </c>
      <c r="S160" s="23" t="str">
        <f>IFERROR(__xludf.DUMMYFUNCTION("if(REGEXMATCH(join("", "",$F160:$G160),S$1)=TRUE,""✓"",""✗"")"),"✗")</f>
        <v>✗</v>
      </c>
      <c r="T160" s="23" t="str">
        <f>IFERROR(__xludf.DUMMYFUNCTION("if(REGEXMATCH(join("", "",$F160:$G160),T$1)=TRUE,""✓"",""✗"")"),"✗")</f>
        <v>✗</v>
      </c>
      <c r="U160" s="33"/>
      <c r="V160" s="33"/>
      <c r="W160" s="33"/>
      <c r="X160" s="33"/>
      <c r="Y160" s="33"/>
      <c r="Z160" s="33"/>
      <c r="AA160" s="33"/>
      <c r="AB160" s="33"/>
      <c r="AC160" s="33"/>
    </row>
    <row r="161" hidden="1">
      <c r="A161" s="17" t="s">
        <v>302</v>
      </c>
      <c r="B161" s="33"/>
      <c r="C161" s="33"/>
      <c r="D161" s="33"/>
      <c r="E161" s="33"/>
      <c r="F161" s="33"/>
      <c r="G161" s="33">
        <v>55.0</v>
      </c>
      <c r="H161" s="23" t="str">
        <f>IFERROR(__xludf.DUMMYFUNCTION("if(REGEXMATCH(join("", "",$F161:$G161),H$1)=TRUE,""✓"",""✗"")"),"✗")</f>
        <v>✗</v>
      </c>
      <c r="I161" s="23" t="str">
        <f>IFERROR(__xludf.DUMMYFUNCTION("if(REGEXMATCH(join("", "",$F161:$G161),I$1)=TRUE,""✓"",""✗"")"),"✗")</f>
        <v>✗</v>
      </c>
      <c r="J161" s="23" t="str">
        <f>IFERROR(__xludf.DUMMYFUNCTION("if(REGEXMATCH(join("", "",$F161:$G161),J$1)=TRUE,""✓"",""✗"")"),"✗")</f>
        <v>✗</v>
      </c>
      <c r="K161" s="23" t="str">
        <f>IFERROR(__xludf.DUMMYFUNCTION("if(REGEXMATCH(join("", "",$F161:$G161),K$1)=TRUE,""✓"",""✗"")"),"✗")</f>
        <v>✗</v>
      </c>
      <c r="L161" s="23" t="str">
        <f>IFERROR(__xludf.DUMMYFUNCTION("if(REGEXMATCH(join("", "",$F161:$G161),L$1)=TRUE,""✓"",""✗"")"),"✗")</f>
        <v>✗</v>
      </c>
      <c r="M161" s="23" t="str">
        <f>IFERROR(__xludf.DUMMYFUNCTION("if(REGEXMATCH(join("", "",$F161:$G161),M$1)=TRUE,""✓"",""✗"")"),"✗")</f>
        <v>✗</v>
      </c>
      <c r="N161" s="23" t="str">
        <f>IFERROR(__xludf.DUMMYFUNCTION("if(REGEXMATCH(join("", "",$F161:$G161),N$1)=TRUE,""✓"",""✗"")"),"✗")</f>
        <v>✗</v>
      </c>
      <c r="O161" s="23" t="str">
        <f>IFERROR(__xludf.DUMMYFUNCTION("if(REGEXMATCH(join("", "",$F161:$G161),O$1)=TRUE,""✓"",""✗"")"),"✗")</f>
        <v>✗</v>
      </c>
      <c r="P161" s="23" t="str">
        <f>IFERROR(__xludf.DUMMYFUNCTION("if(REGEXMATCH(join("", "",$F161:$G161),P$1)=TRUE,""✓"",""✗"")"),"✗")</f>
        <v>✗</v>
      </c>
      <c r="Q161" s="23" t="str">
        <f>IFERROR(__xludf.DUMMYFUNCTION("if(REGEXMATCH(join("", "",$F161:$G161),Q$1)=TRUE,""✓"",""✗"")"),"✗")</f>
        <v>✗</v>
      </c>
      <c r="R161" s="23" t="str">
        <f>IFERROR(__xludf.DUMMYFUNCTION("if(REGEXMATCH(join("", "",$F161:$G161),R$1)=TRUE,""✓"",""✗"")"),"✗")</f>
        <v>✗</v>
      </c>
      <c r="S161" s="23" t="str">
        <f>IFERROR(__xludf.DUMMYFUNCTION("if(REGEXMATCH(join("", "",$F161:$G161),S$1)=TRUE,""✓"",""✗"")"),"✗")</f>
        <v>✗</v>
      </c>
      <c r="T161" s="23" t="str">
        <f>IFERROR(__xludf.DUMMYFUNCTION("if(REGEXMATCH(join("", "",$F161:$G161),T$1)=TRUE,""✓"",""✗"")"),"✗")</f>
        <v>✗</v>
      </c>
      <c r="U161" s="33"/>
      <c r="V161" s="33"/>
      <c r="W161" s="33"/>
      <c r="X161" s="33"/>
      <c r="Y161" s="33"/>
      <c r="Z161" s="33"/>
      <c r="AA161" s="33"/>
      <c r="AB161" s="33"/>
      <c r="AC161" s="33"/>
    </row>
    <row r="162" hidden="1">
      <c r="A162" s="17" t="s">
        <v>302</v>
      </c>
      <c r="B162" s="33"/>
      <c r="C162" s="33"/>
      <c r="D162" s="33"/>
      <c r="E162" s="33"/>
      <c r="F162" s="33"/>
      <c r="G162" s="33">
        <v>56.0</v>
      </c>
      <c r="H162" s="23" t="str">
        <f>IFERROR(__xludf.DUMMYFUNCTION("if(REGEXMATCH(join("", "",$F162:$G162),H$1)=TRUE,""✓"",""✗"")"),"✗")</f>
        <v>✗</v>
      </c>
      <c r="I162" s="23" t="str">
        <f>IFERROR(__xludf.DUMMYFUNCTION("if(REGEXMATCH(join("", "",$F162:$G162),I$1)=TRUE,""✓"",""✗"")"),"✗")</f>
        <v>✗</v>
      </c>
      <c r="J162" s="23" t="str">
        <f>IFERROR(__xludf.DUMMYFUNCTION("if(REGEXMATCH(join("", "",$F162:$G162),J$1)=TRUE,""✓"",""✗"")"),"✗")</f>
        <v>✗</v>
      </c>
      <c r="K162" s="23" t="str">
        <f>IFERROR(__xludf.DUMMYFUNCTION("if(REGEXMATCH(join("", "",$F162:$G162),K$1)=TRUE,""✓"",""✗"")"),"✗")</f>
        <v>✗</v>
      </c>
      <c r="L162" s="23" t="str">
        <f>IFERROR(__xludf.DUMMYFUNCTION("if(REGEXMATCH(join("", "",$F162:$G162),L$1)=TRUE,""✓"",""✗"")"),"✗")</f>
        <v>✗</v>
      </c>
      <c r="M162" s="23" t="str">
        <f>IFERROR(__xludf.DUMMYFUNCTION("if(REGEXMATCH(join("", "",$F162:$G162),M$1)=TRUE,""✓"",""✗"")"),"✗")</f>
        <v>✗</v>
      </c>
      <c r="N162" s="23" t="str">
        <f>IFERROR(__xludf.DUMMYFUNCTION("if(REGEXMATCH(join("", "",$F162:$G162),N$1)=TRUE,""✓"",""✗"")"),"✗")</f>
        <v>✗</v>
      </c>
      <c r="O162" s="23" t="str">
        <f>IFERROR(__xludf.DUMMYFUNCTION("if(REGEXMATCH(join("", "",$F162:$G162),O$1)=TRUE,""✓"",""✗"")"),"✗")</f>
        <v>✗</v>
      </c>
      <c r="P162" s="23" t="str">
        <f>IFERROR(__xludf.DUMMYFUNCTION("if(REGEXMATCH(join("", "",$F162:$G162),P$1)=TRUE,""✓"",""✗"")"),"✗")</f>
        <v>✗</v>
      </c>
      <c r="Q162" s="23" t="str">
        <f>IFERROR(__xludf.DUMMYFUNCTION("if(REGEXMATCH(join("", "",$F162:$G162),Q$1)=TRUE,""✓"",""✗"")"),"✗")</f>
        <v>✗</v>
      </c>
      <c r="R162" s="23" t="str">
        <f>IFERROR(__xludf.DUMMYFUNCTION("if(REGEXMATCH(join("", "",$F162:$G162),R$1)=TRUE,""✓"",""✗"")"),"✗")</f>
        <v>✗</v>
      </c>
      <c r="S162" s="23" t="str">
        <f>IFERROR(__xludf.DUMMYFUNCTION("if(REGEXMATCH(join("", "",$F162:$G162),S$1)=TRUE,""✓"",""✗"")"),"✗")</f>
        <v>✗</v>
      </c>
      <c r="T162" s="23" t="str">
        <f>IFERROR(__xludf.DUMMYFUNCTION("if(REGEXMATCH(join("", "",$F162:$G162),T$1)=TRUE,""✓"",""✗"")"),"✗")</f>
        <v>✗</v>
      </c>
      <c r="U162" s="33"/>
      <c r="V162" s="33"/>
      <c r="W162" s="33"/>
      <c r="X162" s="33"/>
      <c r="Y162" s="33"/>
      <c r="Z162" s="33"/>
      <c r="AA162" s="33"/>
      <c r="AB162" s="33"/>
      <c r="AC162" s="33"/>
    </row>
    <row r="163" hidden="1">
      <c r="A163" s="17" t="s">
        <v>302</v>
      </c>
      <c r="B163" s="33"/>
      <c r="C163" s="33"/>
      <c r="D163" s="33"/>
      <c r="E163" s="33"/>
      <c r="F163" s="33"/>
      <c r="G163" s="33">
        <v>57.0</v>
      </c>
      <c r="H163" s="23" t="str">
        <f>IFERROR(__xludf.DUMMYFUNCTION("if(REGEXMATCH(join("", "",$F163:$G163),H$1)=TRUE,""✓"",""✗"")"),"✗")</f>
        <v>✗</v>
      </c>
      <c r="I163" s="23" t="str">
        <f>IFERROR(__xludf.DUMMYFUNCTION("if(REGEXMATCH(join("", "",$F163:$G163),I$1)=TRUE,""✓"",""✗"")"),"✗")</f>
        <v>✗</v>
      </c>
      <c r="J163" s="23" t="str">
        <f>IFERROR(__xludf.DUMMYFUNCTION("if(REGEXMATCH(join("", "",$F163:$G163),J$1)=TRUE,""✓"",""✗"")"),"✗")</f>
        <v>✗</v>
      </c>
      <c r="K163" s="23" t="str">
        <f>IFERROR(__xludf.DUMMYFUNCTION("if(REGEXMATCH(join("", "",$F163:$G163),K$1)=TRUE,""✓"",""✗"")"),"✗")</f>
        <v>✗</v>
      </c>
      <c r="L163" s="23" t="str">
        <f>IFERROR(__xludf.DUMMYFUNCTION("if(REGEXMATCH(join("", "",$F163:$G163),L$1)=TRUE,""✓"",""✗"")"),"✗")</f>
        <v>✗</v>
      </c>
      <c r="M163" s="23" t="str">
        <f>IFERROR(__xludf.DUMMYFUNCTION("if(REGEXMATCH(join("", "",$F163:$G163),M$1)=TRUE,""✓"",""✗"")"),"✗")</f>
        <v>✗</v>
      </c>
      <c r="N163" s="23" t="str">
        <f>IFERROR(__xludf.DUMMYFUNCTION("if(REGEXMATCH(join("", "",$F163:$G163),N$1)=TRUE,""✓"",""✗"")"),"✗")</f>
        <v>✗</v>
      </c>
      <c r="O163" s="23" t="str">
        <f>IFERROR(__xludf.DUMMYFUNCTION("if(REGEXMATCH(join("", "",$F163:$G163),O$1)=TRUE,""✓"",""✗"")"),"✗")</f>
        <v>✗</v>
      </c>
      <c r="P163" s="23" t="str">
        <f>IFERROR(__xludf.DUMMYFUNCTION("if(REGEXMATCH(join("", "",$F163:$G163),P$1)=TRUE,""✓"",""✗"")"),"✗")</f>
        <v>✗</v>
      </c>
      <c r="Q163" s="23" t="str">
        <f>IFERROR(__xludf.DUMMYFUNCTION("if(REGEXMATCH(join("", "",$F163:$G163),Q$1)=TRUE,""✓"",""✗"")"),"✗")</f>
        <v>✗</v>
      </c>
      <c r="R163" s="23" t="str">
        <f>IFERROR(__xludf.DUMMYFUNCTION("if(REGEXMATCH(join("", "",$F163:$G163),R$1)=TRUE,""✓"",""✗"")"),"✗")</f>
        <v>✗</v>
      </c>
      <c r="S163" s="23" t="str">
        <f>IFERROR(__xludf.DUMMYFUNCTION("if(REGEXMATCH(join("", "",$F163:$G163),S$1)=TRUE,""✓"",""✗"")"),"✗")</f>
        <v>✗</v>
      </c>
      <c r="T163" s="23" t="str">
        <f>IFERROR(__xludf.DUMMYFUNCTION("if(REGEXMATCH(join("", "",$F163:$G163),T$1)=TRUE,""✓"",""✗"")"),"✗")</f>
        <v>✗</v>
      </c>
      <c r="U163" s="33"/>
      <c r="V163" s="33"/>
      <c r="W163" s="33"/>
      <c r="X163" s="33"/>
      <c r="Y163" s="33"/>
      <c r="Z163" s="33"/>
      <c r="AA163" s="33"/>
      <c r="AB163" s="33"/>
      <c r="AC163" s="33"/>
    </row>
    <row r="164" hidden="1">
      <c r="A164" s="17" t="s">
        <v>302</v>
      </c>
      <c r="B164" s="33"/>
      <c r="C164" s="33"/>
      <c r="D164" s="33"/>
      <c r="E164" s="33"/>
      <c r="F164" s="33"/>
      <c r="G164" s="33">
        <v>58.0</v>
      </c>
      <c r="H164" s="23" t="str">
        <f>IFERROR(__xludf.DUMMYFUNCTION("if(REGEXMATCH(join("", "",$F164:$G164),H$1)=TRUE,""✓"",""✗"")"),"✗")</f>
        <v>✗</v>
      </c>
      <c r="I164" s="23" t="str">
        <f>IFERROR(__xludf.DUMMYFUNCTION("if(REGEXMATCH(join("", "",$F164:$G164),I$1)=TRUE,""✓"",""✗"")"),"✗")</f>
        <v>✗</v>
      </c>
      <c r="J164" s="23" t="str">
        <f>IFERROR(__xludf.DUMMYFUNCTION("if(REGEXMATCH(join("", "",$F164:$G164),J$1)=TRUE,""✓"",""✗"")"),"✗")</f>
        <v>✗</v>
      </c>
      <c r="K164" s="23" t="str">
        <f>IFERROR(__xludf.DUMMYFUNCTION("if(REGEXMATCH(join("", "",$F164:$G164),K$1)=TRUE,""✓"",""✗"")"),"✗")</f>
        <v>✗</v>
      </c>
      <c r="L164" s="23" t="str">
        <f>IFERROR(__xludf.DUMMYFUNCTION("if(REGEXMATCH(join("", "",$F164:$G164),L$1)=TRUE,""✓"",""✗"")"),"✗")</f>
        <v>✗</v>
      </c>
      <c r="M164" s="23" t="str">
        <f>IFERROR(__xludf.DUMMYFUNCTION("if(REGEXMATCH(join("", "",$F164:$G164),M$1)=TRUE,""✓"",""✗"")"),"✗")</f>
        <v>✗</v>
      </c>
      <c r="N164" s="23" t="str">
        <f>IFERROR(__xludf.DUMMYFUNCTION("if(REGEXMATCH(join("", "",$F164:$G164),N$1)=TRUE,""✓"",""✗"")"),"✗")</f>
        <v>✗</v>
      </c>
      <c r="O164" s="23" t="str">
        <f>IFERROR(__xludf.DUMMYFUNCTION("if(REGEXMATCH(join("", "",$F164:$G164),O$1)=TRUE,""✓"",""✗"")"),"✗")</f>
        <v>✗</v>
      </c>
      <c r="P164" s="23" t="str">
        <f>IFERROR(__xludf.DUMMYFUNCTION("if(REGEXMATCH(join("", "",$F164:$G164),P$1)=TRUE,""✓"",""✗"")"),"✗")</f>
        <v>✗</v>
      </c>
      <c r="Q164" s="23" t="str">
        <f>IFERROR(__xludf.DUMMYFUNCTION("if(REGEXMATCH(join("", "",$F164:$G164),Q$1)=TRUE,""✓"",""✗"")"),"✗")</f>
        <v>✗</v>
      </c>
      <c r="R164" s="23" t="str">
        <f>IFERROR(__xludf.DUMMYFUNCTION("if(REGEXMATCH(join("", "",$F164:$G164),R$1)=TRUE,""✓"",""✗"")"),"✗")</f>
        <v>✗</v>
      </c>
      <c r="S164" s="23" t="str">
        <f>IFERROR(__xludf.DUMMYFUNCTION("if(REGEXMATCH(join("", "",$F164:$G164),S$1)=TRUE,""✓"",""✗"")"),"✗")</f>
        <v>✗</v>
      </c>
      <c r="T164" s="23" t="str">
        <f>IFERROR(__xludf.DUMMYFUNCTION("if(REGEXMATCH(join("", "",$F164:$G164),T$1)=TRUE,""✓"",""✗"")"),"✗")</f>
        <v>✗</v>
      </c>
      <c r="U164" s="33"/>
      <c r="V164" s="33"/>
      <c r="W164" s="33"/>
      <c r="X164" s="33"/>
      <c r="Y164" s="33"/>
      <c r="Z164" s="33"/>
      <c r="AA164" s="33"/>
      <c r="AB164" s="33"/>
      <c r="AC164" s="33"/>
    </row>
    <row r="165" hidden="1">
      <c r="A165" s="17" t="s">
        <v>302</v>
      </c>
      <c r="B165" s="33"/>
      <c r="C165" s="33"/>
      <c r="D165" s="33"/>
      <c r="E165" s="33"/>
      <c r="F165" s="33"/>
      <c r="G165" s="33">
        <v>59.0</v>
      </c>
      <c r="H165" s="23" t="str">
        <f>IFERROR(__xludf.DUMMYFUNCTION("if(REGEXMATCH(join("", "",$F165:$G165),H$1)=TRUE,""✓"",""✗"")"),"✗")</f>
        <v>✗</v>
      </c>
      <c r="I165" s="23" t="str">
        <f>IFERROR(__xludf.DUMMYFUNCTION("if(REGEXMATCH(join("", "",$F165:$G165),I$1)=TRUE,""✓"",""✗"")"),"✗")</f>
        <v>✗</v>
      </c>
      <c r="J165" s="23" t="str">
        <f>IFERROR(__xludf.DUMMYFUNCTION("if(REGEXMATCH(join("", "",$F165:$G165),J$1)=TRUE,""✓"",""✗"")"),"✗")</f>
        <v>✗</v>
      </c>
      <c r="K165" s="23" t="str">
        <f>IFERROR(__xludf.DUMMYFUNCTION("if(REGEXMATCH(join("", "",$F165:$G165),K$1)=TRUE,""✓"",""✗"")"),"✗")</f>
        <v>✗</v>
      </c>
      <c r="L165" s="23" t="str">
        <f>IFERROR(__xludf.DUMMYFUNCTION("if(REGEXMATCH(join("", "",$F165:$G165),L$1)=TRUE,""✓"",""✗"")"),"✗")</f>
        <v>✗</v>
      </c>
      <c r="M165" s="23" t="str">
        <f>IFERROR(__xludf.DUMMYFUNCTION("if(REGEXMATCH(join("", "",$F165:$G165),M$1)=TRUE,""✓"",""✗"")"),"✗")</f>
        <v>✗</v>
      </c>
      <c r="N165" s="23" t="str">
        <f>IFERROR(__xludf.DUMMYFUNCTION("if(REGEXMATCH(join("", "",$F165:$G165),N$1)=TRUE,""✓"",""✗"")"),"✗")</f>
        <v>✗</v>
      </c>
      <c r="O165" s="23" t="str">
        <f>IFERROR(__xludf.DUMMYFUNCTION("if(REGEXMATCH(join("", "",$F165:$G165),O$1)=TRUE,""✓"",""✗"")"),"✗")</f>
        <v>✗</v>
      </c>
      <c r="P165" s="23" t="str">
        <f>IFERROR(__xludf.DUMMYFUNCTION("if(REGEXMATCH(join("", "",$F165:$G165),P$1)=TRUE,""✓"",""✗"")"),"✗")</f>
        <v>✗</v>
      </c>
      <c r="Q165" s="23" t="str">
        <f>IFERROR(__xludf.DUMMYFUNCTION("if(REGEXMATCH(join("", "",$F165:$G165),Q$1)=TRUE,""✓"",""✗"")"),"✗")</f>
        <v>✗</v>
      </c>
      <c r="R165" s="23" t="str">
        <f>IFERROR(__xludf.DUMMYFUNCTION("if(REGEXMATCH(join("", "",$F165:$G165),R$1)=TRUE,""✓"",""✗"")"),"✗")</f>
        <v>✗</v>
      </c>
      <c r="S165" s="23" t="str">
        <f>IFERROR(__xludf.DUMMYFUNCTION("if(REGEXMATCH(join("", "",$F165:$G165),S$1)=TRUE,""✓"",""✗"")"),"✗")</f>
        <v>✗</v>
      </c>
      <c r="T165" s="23" t="str">
        <f>IFERROR(__xludf.DUMMYFUNCTION("if(REGEXMATCH(join("", "",$F165:$G165),T$1)=TRUE,""✓"",""✗"")"),"✗")</f>
        <v>✗</v>
      </c>
      <c r="U165" s="33"/>
      <c r="V165" s="33"/>
      <c r="W165" s="33"/>
      <c r="X165" s="33"/>
      <c r="Y165" s="33"/>
      <c r="Z165" s="33"/>
      <c r="AA165" s="33"/>
      <c r="AB165" s="33"/>
      <c r="AC165" s="33"/>
    </row>
    <row r="166" hidden="1">
      <c r="A166" s="17" t="s">
        <v>302</v>
      </c>
      <c r="B166" s="33"/>
      <c r="C166" s="33"/>
      <c r="D166" s="33"/>
      <c r="E166" s="33"/>
      <c r="F166" s="33"/>
      <c r="G166" s="33">
        <v>60.0</v>
      </c>
      <c r="H166" s="23" t="str">
        <f>IFERROR(__xludf.DUMMYFUNCTION("if(REGEXMATCH(join("", "",$F166:$G166),H$1)=TRUE,""✓"",""✗"")"),"✗")</f>
        <v>✗</v>
      </c>
      <c r="I166" s="23" t="str">
        <f>IFERROR(__xludf.DUMMYFUNCTION("if(REGEXMATCH(join("", "",$F166:$G166),I$1)=TRUE,""✓"",""✗"")"),"✗")</f>
        <v>✗</v>
      </c>
      <c r="J166" s="23" t="str">
        <f>IFERROR(__xludf.DUMMYFUNCTION("if(REGEXMATCH(join("", "",$F166:$G166),J$1)=TRUE,""✓"",""✗"")"),"✗")</f>
        <v>✗</v>
      </c>
      <c r="K166" s="23" t="str">
        <f>IFERROR(__xludf.DUMMYFUNCTION("if(REGEXMATCH(join("", "",$F166:$G166),K$1)=TRUE,""✓"",""✗"")"),"✗")</f>
        <v>✗</v>
      </c>
      <c r="L166" s="23" t="str">
        <f>IFERROR(__xludf.DUMMYFUNCTION("if(REGEXMATCH(join("", "",$F166:$G166),L$1)=TRUE,""✓"",""✗"")"),"✗")</f>
        <v>✗</v>
      </c>
      <c r="M166" s="23" t="str">
        <f>IFERROR(__xludf.DUMMYFUNCTION("if(REGEXMATCH(join("", "",$F166:$G166),M$1)=TRUE,""✓"",""✗"")"),"✗")</f>
        <v>✗</v>
      </c>
      <c r="N166" s="23" t="str">
        <f>IFERROR(__xludf.DUMMYFUNCTION("if(REGEXMATCH(join("", "",$F166:$G166),N$1)=TRUE,""✓"",""✗"")"),"✗")</f>
        <v>✗</v>
      </c>
      <c r="O166" s="23" t="str">
        <f>IFERROR(__xludf.DUMMYFUNCTION("if(REGEXMATCH(join("", "",$F166:$G166),O$1)=TRUE,""✓"",""✗"")"),"✗")</f>
        <v>✗</v>
      </c>
      <c r="P166" s="23" t="str">
        <f>IFERROR(__xludf.DUMMYFUNCTION("if(REGEXMATCH(join("", "",$F166:$G166),P$1)=TRUE,""✓"",""✗"")"),"✗")</f>
        <v>✗</v>
      </c>
      <c r="Q166" s="23" t="str">
        <f>IFERROR(__xludf.DUMMYFUNCTION("if(REGEXMATCH(join("", "",$F166:$G166),Q$1)=TRUE,""✓"",""✗"")"),"✗")</f>
        <v>✗</v>
      </c>
      <c r="R166" s="23" t="str">
        <f>IFERROR(__xludf.DUMMYFUNCTION("if(REGEXMATCH(join("", "",$F166:$G166),R$1)=TRUE,""✓"",""✗"")"),"✗")</f>
        <v>✗</v>
      </c>
      <c r="S166" s="23" t="str">
        <f>IFERROR(__xludf.DUMMYFUNCTION("if(REGEXMATCH(join("", "",$F166:$G166),S$1)=TRUE,""✓"",""✗"")"),"✗")</f>
        <v>✗</v>
      </c>
      <c r="T166" s="23" t="str">
        <f>IFERROR(__xludf.DUMMYFUNCTION("if(REGEXMATCH(join("", "",$F166:$G166),T$1)=TRUE,""✓"",""✗"")"),"✗")</f>
        <v>✗</v>
      </c>
      <c r="U166" s="33"/>
      <c r="V166" s="33"/>
      <c r="W166" s="33"/>
      <c r="X166" s="33"/>
      <c r="Y166" s="33"/>
      <c r="Z166" s="33"/>
      <c r="AA166" s="33"/>
      <c r="AB166" s="33"/>
      <c r="AC166" s="33"/>
    </row>
    <row r="167" hidden="1">
      <c r="A167" s="17" t="s">
        <v>302</v>
      </c>
      <c r="B167" s="33"/>
      <c r="C167" s="33"/>
      <c r="D167" s="33"/>
      <c r="E167" s="33"/>
      <c r="F167" s="33"/>
      <c r="G167" s="33">
        <v>61.0</v>
      </c>
      <c r="H167" s="23" t="str">
        <f>IFERROR(__xludf.DUMMYFUNCTION("if(REGEXMATCH(join("", "",$F167:$G167),H$1)=TRUE,""✓"",""✗"")"),"✗")</f>
        <v>✗</v>
      </c>
      <c r="I167" s="23" t="str">
        <f>IFERROR(__xludf.DUMMYFUNCTION("if(REGEXMATCH(join("", "",$F167:$G167),I$1)=TRUE,""✓"",""✗"")"),"✗")</f>
        <v>✗</v>
      </c>
      <c r="J167" s="23" t="str">
        <f>IFERROR(__xludf.DUMMYFUNCTION("if(REGEXMATCH(join("", "",$F167:$G167),J$1)=TRUE,""✓"",""✗"")"),"✗")</f>
        <v>✗</v>
      </c>
      <c r="K167" s="23" t="str">
        <f>IFERROR(__xludf.DUMMYFUNCTION("if(REGEXMATCH(join("", "",$F167:$G167),K$1)=TRUE,""✓"",""✗"")"),"✗")</f>
        <v>✗</v>
      </c>
      <c r="L167" s="23" t="str">
        <f>IFERROR(__xludf.DUMMYFUNCTION("if(REGEXMATCH(join("", "",$F167:$G167),L$1)=TRUE,""✓"",""✗"")"),"✗")</f>
        <v>✗</v>
      </c>
      <c r="M167" s="23" t="str">
        <f>IFERROR(__xludf.DUMMYFUNCTION("if(REGEXMATCH(join("", "",$F167:$G167),M$1)=TRUE,""✓"",""✗"")"),"✗")</f>
        <v>✗</v>
      </c>
      <c r="N167" s="23" t="str">
        <f>IFERROR(__xludf.DUMMYFUNCTION("if(REGEXMATCH(join("", "",$F167:$G167),N$1)=TRUE,""✓"",""✗"")"),"✗")</f>
        <v>✗</v>
      </c>
      <c r="O167" s="23" t="str">
        <f>IFERROR(__xludf.DUMMYFUNCTION("if(REGEXMATCH(join("", "",$F167:$G167),O$1)=TRUE,""✓"",""✗"")"),"✗")</f>
        <v>✗</v>
      </c>
      <c r="P167" s="23" t="str">
        <f>IFERROR(__xludf.DUMMYFUNCTION("if(REGEXMATCH(join("", "",$F167:$G167),P$1)=TRUE,""✓"",""✗"")"),"✗")</f>
        <v>✗</v>
      </c>
      <c r="Q167" s="23" t="str">
        <f>IFERROR(__xludf.DUMMYFUNCTION("if(REGEXMATCH(join("", "",$F167:$G167),Q$1)=TRUE,""✓"",""✗"")"),"✗")</f>
        <v>✗</v>
      </c>
      <c r="R167" s="23" t="str">
        <f>IFERROR(__xludf.DUMMYFUNCTION("if(REGEXMATCH(join("", "",$F167:$G167),R$1)=TRUE,""✓"",""✗"")"),"✗")</f>
        <v>✗</v>
      </c>
      <c r="S167" s="23" t="str">
        <f>IFERROR(__xludf.DUMMYFUNCTION("if(REGEXMATCH(join("", "",$F167:$G167),S$1)=TRUE,""✓"",""✗"")"),"✗")</f>
        <v>✗</v>
      </c>
      <c r="T167" s="23" t="str">
        <f>IFERROR(__xludf.DUMMYFUNCTION("if(REGEXMATCH(join("", "",$F167:$G167),T$1)=TRUE,""✓"",""✗"")"),"✗")</f>
        <v>✗</v>
      </c>
      <c r="U167" s="33"/>
      <c r="V167" s="33"/>
      <c r="W167" s="33"/>
      <c r="X167" s="33"/>
      <c r="Y167" s="33"/>
      <c r="Z167" s="33"/>
      <c r="AA167" s="33"/>
      <c r="AB167" s="33"/>
      <c r="AC167" s="33"/>
    </row>
    <row r="168" hidden="1">
      <c r="A168" s="17" t="s">
        <v>302</v>
      </c>
      <c r="B168" s="33"/>
      <c r="C168" s="33"/>
      <c r="D168" s="33"/>
      <c r="E168" s="33"/>
      <c r="F168" s="33"/>
      <c r="G168" s="33">
        <v>62.0</v>
      </c>
      <c r="H168" s="23" t="str">
        <f>IFERROR(__xludf.DUMMYFUNCTION("if(REGEXMATCH(join("", "",$F168:$G168),H$1)=TRUE,""✓"",""✗"")"),"✗")</f>
        <v>✗</v>
      </c>
      <c r="I168" s="23" t="str">
        <f>IFERROR(__xludf.DUMMYFUNCTION("if(REGEXMATCH(join("", "",$F168:$G168),I$1)=TRUE,""✓"",""✗"")"),"✗")</f>
        <v>✗</v>
      </c>
      <c r="J168" s="23" t="str">
        <f>IFERROR(__xludf.DUMMYFUNCTION("if(REGEXMATCH(join("", "",$F168:$G168),J$1)=TRUE,""✓"",""✗"")"),"✗")</f>
        <v>✗</v>
      </c>
      <c r="K168" s="23" t="str">
        <f>IFERROR(__xludf.DUMMYFUNCTION("if(REGEXMATCH(join("", "",$F168:$G168),K$1)=TRUE,""✓"",""✗"")"),"✗")</f>
        <v>✗</v>
      </c>
      <c r="L168" s="23" t="str">
        <f>IFERROR(__xludf.DUMMYFUNCTION("if(REGEXMATCH(join("", "",$F168:$G168),L$1)=TRUE,""✓"",""✗"")"),"✗")</f>
        <v>✗</v>
      </c>
      <c r="M168" s="23" t="str">
        <f>IFERROR(__xludf.DUMMYFUNCTION("if(REGEXMATCH(join("", "",$F168:$G168),M$1)=TRUE,""✓"",""✗"")"),"✗")</f>
        <v>✗</v>
      </c>
      <c r="N168" s="23" t="str">
        <f>IFERROR(__xludf.DUMMYFUNCTION("if(REGEXMATCH(join("", "",$F168:$G168),N$1)=TRUE,""✓"",""✗"")"),"✗")</f>
        <v>✗</v>
      </c>
      <c r="O168" s="23" t="str">
        <f>IFERROR(__xludf.DUMMYFUNCTION("if(REGEXMATCH(join("", "",$F168:$G168),O$1)=TRUE,""✓"",""✗"")"),"✗")</f>
        <v>✗</v>
      </c>
      <c r="P168" s="23" t="str">
        <f>IFERROR(__xludf.DUMMYFUNCTION("if(REGEXMATCH(join("", "",$F168:$G168),P$1)=TRUE,""✓"",""✗"")"),"✗")</f>
        <v>✗</v>
      </c>
      <c r="Q168" s="23" t="str">
        <f>IFERROR(__xludf.DUMMYFUNCTION("if(REGEXMATCH(join("", "",$F168:$G168),Q$1)=TRUE,""✓"",""✗"")"),"✗")</f>
        <v>✗</v>
      </c>
      <c r="R168" s="23" t="str">
        <f>IFERROR(__xludf.DUMMYFUNCTION("if(REGEXMATCH(join("", "",$F168:$G168),R$1)=TRUE,""✓"",""✗"")"),"✗")</f>
        <v>✗</v>
      </c>
      <c r="S168" s="23" t="str">
        <f>IFERROR(__xludf.DUMMYFUNCTION("if(REGEXMATCH(join("", "",$F168:$G168),S$1)=TRUE,""✓"",""✗"")"),"✗")</f>
        <v>✗</v>
      </c>
      <c r="T168" s="23" t="str">
        <f>IFERROR(__xludf.DUMMYFUNCTION("if(REGEXMATCH(join("", "",$F168:$G168),T$1)=TRUE,""✓"",""✗"")"),"✗")</f>
        <v>✗</v>
      </c>
      <c r="U168" s="33"/>
      <c r="V168" s="33"/>
      <c r="W168" s="33"/>
      <c r="X168" s="33"/>
      <c r="Y168" s="33"/>
      <c r="Z168" s="33"/>
      <c r="AA168" s="33"/>
      <c r="AB168" s="33"/>
      <c r="AC168" s="33"/>
    </row>
    <row r="169" hidden="1">
      <c r="A169" s="17" t="s">
        <v>302</v>
      </c>
      <c r="B169" s="33"/>
      <c r="C169" s="33"/>
      <c r="D169" s="33"/>
      <c r="E169" s="33"/>
      <c r="F169" s="33"/>
      <c r="G169" s="33">
        <v>63.0</v>
      </c>
      <c r="H169" s="23" t="str">
        <f>IFERROR(__xludf.DUMMYFUNCTION("if(REGEXMATCH(join("", "",$F169:$G169),H$1)=TRUE,""✓"",""✗"")"),"✗")</f>
        <v>✗</v>
      </c>
      <c r="I169" s="23" t="str">
        <f>IFERROR(__xludf.DUMMYFUNCTION("if(REGEXMATCH(join("", "",$F169:$G169),I$1)=TRUE,""✓"",""✗"")"),"✗")</f>
        <v>✗</v>
      </c>
      <c r="J169" s="23" t="str">
        <f>IFERROR(__xludf.DUMMYFUNCTION("if(REGEXMATCH(join("", "",$F169:$G169),J$1)=TRUE,""✓"",""✗"")"),"✗")</f>
        <v>✗</v>
      </c>
      <c r="K169" s="23" t="str">
        <f>IFERROR(__xludf.DUMMYFUNCTION("if(REGEXMATCH(join("", "",$F169:$G169),K$1)=TRUE,""✓"",""✗"")"),"✗")</f>
        <v>✗</v>
      </c>
      <c r="L169" s="23" t="str">
        <f>IFERROR(__xludf.DUMMYFUNCTION("if(REGEXMATCH(join("", "",$F169:$G169),L$1)=TRUE,""✓"",""✗"")"),"✗")</f>
        <v>✗</v>
      </c>
      <c r="M169" s="23" t="str">
        <f>IFERROR(__xludf.DUMMYFUNCTION("if(REGEXMATCH(join("", "",$F169:$G169),M$1)=TRUE,""✓"",""✗"")"),"✗")</f>
        <v>✗</v>
      </c>
      <c r="N169" s="23" t="str">
        <f>IFERROR(__xludf.DUMMYFUNCTION("if(REGEXMATCH(join("", "",$F169:$G169),N$1)=TRUE,""✓"",""✗"")"),"✗")</f>
        <v>✗</v>
      </c>
      <c r="O169" s="23" t="str">
        <f>IFERROR(__xludf.DUMMYFUNCTION("if(REGEXMATCH(join("", "",$F169:$G169),O$1)=TRUE,""✓"",""✗"")"),"✗")</f>
        <v>✗</v>
      </c>
      <c r="P169" s="23" t="str">
        <f>IFERROR(__xludf.DUMMYFUNCTION("if(REGEXMATCH(join("", "",$F169:$G169),P$1)=TRUE,""✓"",""✗"")"),"✗")</f>
        <v>✗</v>
      </c>
      <c r="Q169" s="23" t="str">
        <f>IFERROR(__xludf.DUMMYFUNCTION("if(REGEXMATCH(join("", "",$F169:$G169),Q$1)=TRUE,""✓"",""✗"")"),"✗")</f>
        <v>✗</v>
      </c>
      <c r="R169" s="23" t="str">
        <f>IFERROR(__xludf.DUMMYFUNCTION("if(REGEXMATCH(join("", "",$F169:$G169),R$1)=TRUE,""✓"",""✗"")"),"✗")</f>
        <v>✗</v>
      </c>
      <c r="S169" s="23" t="str">
        <f>IFERROR(__xludf.DUMMYFUNCTION("if(REGEXMATCH(join("", "",$F169:$G169),S$1)=TRUE,""✓"",""✗"")"),"✗")</f>
        <v>✗</v>
      </c>
      <c r="T169" s="23" t="str">
        <f>IFERROR(__xludf.DUMMYFUNCTION("if(REGEXMATCH(join("", "",$F169:$G169),T$1)=TRUE,""✓"",""✗"")"),"✗")</f>
        <v>✗</v>
      </c>
      <c r="U169" s="33"/>
      <c r="V169" s="33"/>
      <c r="W169" s="33"/>
      <c r="X169" s="33"/>
      <c r="Y169" s="33"/>
      <c r="Z169" s="33"/>
      <c r="AA169" s="33"/>
      <c r="AB169" s="33"/>
      <c r="AC169" s="33"/>
    </row>
    <row r="170" hidden="1">
      <c r="A170" s="17" t="s">
        <v>302</v>
      </c>
      <c r="B170" s="33"/>
      <c r="C170" s="33"/>
      <c r="D170" s="33"/>
      <c r="E170" s="33"/>
      <c r="F170" s="33"/>
      <c r="G170" s="33">
        <v>64.0</v>
      </c>
      <c r="H170" s="23" t="str">
        <f>IFERROR(__xludf.DUMMYFUNCTION("if(REGEXMATCH(join("", "",$F170:$G170),H$1)=TRUE,""✓"",""✗"")"),"✗")</f>
        <v>✗</v>
      </c>
      <c r="I170" s="23" t="str">
        <f>IFERROR(__xludf.DUMMYFUNCTION("if(REGEXMATCH(join("", "",$F170:$G170),I$1)=TRUE,""✓"",""✗"")"),"✗")</f>
        <v>✗</v>
      </c>
      <c r="J170" s="23" t="str">
        <f>IFERROR(__xludf.DUMMYFUNCTION("if(REGEXMATCH(join("", "",$F170:$G170),J$1)=TRUE,""✓"",""✗"")"),"✗")</f>
        <v>✗</v>
      </c>
      <c r="K170" s="23" t="str">
        <f>IFERROR(__xludf.DUMMYFUNCTION("if(REGEXMATCH(join("", "",$F170:$G170),K$1)=TRUE,""✓"",""✗"")"),"✗")</f>
        <v>✗</v>
      </c>
      <c r="L170" s="23" t="str">
        <f>IFERROR(__xludf.DUMMYFUNCTION("if(REGEXMATCH(join("", "",$F170:$G170),L$1)=TRUE,""✓"",""✗"")"),"✗")</f>
        <v>✗</v>
      </c>
      <c r="M170" s="23" t="str">
        <f>IFERROR(__xludf.DUMMYFUNCTION("if(REGEXMATCH(join("", "",$F170:$G170),M$1)=TRUE,""✓"",""✗"")"),"✗")</f>
        <v>✗</v>
      </c>
      <c r="N170" s="23" t="str">
        <f>IFERROR(__xludf.DUMMYFUNCTION("if(REGEXMATCH(join("", "",$F170:$G170),N$1)=TRUE,""✓"",""✗"")"),"✗")</f>
        <v>✗</v>
      </c>
      <c r="O170" s="23" t="str">
        <f>IFERROR(__xludf.DUMMYFUNCTION("if(REGEXMATCH(join("", "",$F170:$G170),O$1)=TRUE,""✓"",""✗"")"),"✗")</f>
        <v>✗</v>
      </c>
      <c r="P170" s="23" t="str">
        <f>IFERROR(__xludf.DUMMYFUNCTION("if(REGEXMATCH(join("", "",$F170:$G170),P$1)=TRUE,""✓"",""✗"")"),"✗")</f>
        <v>✗</v>
      </c>
      <c r="Q170" s="23" t="str">
        <f>IFERROR(__xludf.DUMMYFUNCTION("if(REGEXMATCH(join("", "",$F170:$G170),Q$1)=TRUE,""✓"",""✗"")"),"✗")</f>
        <v>✗</v>
      </c>
      <c r="R170" s="23" t="str">
        <f>IFERROR(__xludf.DUMMYFUNCTION("if(REGEXMATCH(join("", "",$F170:$G170),R$1)=TRUE,""✓"",""✗"")"),"✗")</f>
        <v>✗</v>
      </c>
      <c r="S170" s="23" t="str">
        <f>IFERROR(__xludf.DUMMYFUNCTION("if(REGEXMATCH(join("", "",$F170:$G170),S$1)=TRUE,""✓"",""✗"")"),"✗")</f>
        <v>✗</v>
      </c>
      <c r="T170" s="23" t="str">
        <f>IFERROR(__xludf.DUMMYFUNCTION("if(REGEXMATCH(join("", "",$F170:$G170),T$1)=TRUE,""✓"",""✗"")"),"✗")</f>
        <v>✗</v>
      </c>
      <c r="U170" s="33"/>
      <c r="V170" s="33"/>
      <c r="W170" s="33"/>
      <c r="X170" s="33"/>
      <c r="Y170" s="33"/>
      <c r="Z170" s="33"/>
      <c r="AA170" s="33"/>
      <c r="AB170" s="33"/>
      <c r="AC170" s="33"/>
    </row>
    <row r="171" hidden="1">
      <c r="A171" s="17" t="s">
        <v>302</v>
      </c>
      <c r="B171" s="33"/>
      <c r="C171" s="33"/>
      <c r="D171" s="33"/>
      <c r="E171" s="33"/>
      <c r="F171" s="33"/>
      <c r="G171" s="33">
        <v>65.0</v>
      </c>
      <c r="H171" s="23" t="str">
        <f>IFERROR(__xludf.DUMMYFUNCTION("if(REGEXMATCH(join("", "",$F171:$G171),H$1)=TRUE,""✓"",""✗"")"),"✗")</f>
        <v>✗</v>
      </c>
      <c r="I171" s="23" t="str">
        <f>IFERROR(__xludf.DUMMYFUNCTION("if(REGEXMATCH(join("", "",$F171:$G171),I$1)=TRUE,""✓"",""✗"")"),"✗")</f>
        <v>✗</v>
      </c>
      <c r="J171" s="23" t="str">
        <f>IFERROR(__xludf.DUMMYFUNCTION("if(REGEXMATCH(join("", "",$F171:$G171),J$1)=TRUE,""✓"",""✗"")"),"✗")</f>
        <v>✗</v>
      </c>
      <c r="K171" s="23" t="str">
        <f>IFERROR(__xludf.DUMMYFUNCTION("if(REGEXMATCH(join("", "",$F171:$G171),K$1)=TRUE,""✓"",""✗"")"),"✗")</f>
        <v>✗</v>
      </c>
      <c r="L171" s="23" t="str">
        <f>IFERROR(__xludf.DUMMYFUNCTION("if(REGEXMATCH(join("", "",$F171:$G171),L$1)=TRUE,""✓"",""✗"")"),"✗")</f>
        <v>✗</v>
      </c>
      <c r="M171" s="23" t="str">
        <f>IFERROR(__xludf.DUMMYFUNCTION("if(REGEXMATCH(join("", "",$F171:$G171),M$1)=TRUE,""✓"",""✗"")"),"✗")</f>
        <v>✗</v>
      </c>
      <c r="N171" s="23" t="str">
        <f>IFERROR(__xludf.DUMMYFUNCTION("if(REGEXMATCH(join("", "",$F171:$G171),N$1)=TRUE,""✓"",""✗"")"),"✗")</f>
        <v>✗</v>
      </c>
      <c r="O171" s="23" t="str">
        <f>IFERROR(__xludf.DUMMYFUNCTION("if(REGEXMATCH(join("", "",$F171:$G171),O$1)=TRUE,""✓"",""✗"")"),"✗")</f>
        <v>✗</v>
      </c>
      <c r="P171" s="23" t="str">
        <f>IFERROR(__xludf.DUMMYFUNCTION("if(REGEXMATCH(join("", "",$F171:$G171),P$1)=TRUE,""✓"",""✗"")"),"✗")</f>
        <v>✗</v>
      </c>
      <c r="Q171" s="23" t="str">
        <f>IFERROR(__xludf.DUMMYFUNCTION("if(REGEXMATCH(join("", "",$F171:$G171),Q$1)=TRUE,""✓"",""✗"")"),"✗")</f>
        <v>✗</v>
      </c>
      <c r="R171" s="23" t="str">
        <f>IFERROR(__xludf.DUMMYFUNCTION("if(REGEXMATCH(join("", "",$F171:$G171),R$1)=TRUE,""✓"",""✗"")"),"✗")</f>
        <v>✗</v>
      </c>
      <c r="S171" s="23" t="str">
        <f>IFERROR(__xludf.DUMMYFUNCTION("if(REGEXMATCH(join("", "",$F171:$G171),S$1)=TRUE,""✓"",""✗"")"),"✗")</f>
        <v>✗</v>
      </c>
      <c r="T171" s="23" t="str">
        <f>IFERROR(__xludf.DUMMYFUNCTION("if(REGEXMATCH(join("", "",$F171:$G171),T$1)=TRUE,""✓"",""✗"")"),"✗")</f>
        <v>✗</v>
      </c>
      <c r="U171" s="33"/>
      <c r="V171" s="33"/>
      <c r="W171" s="33"/>
      <c r="X171" s="33"/>
      <c r="Y171" s="33"/>
      <c r="Z171" s="33"/>
      <c r="AA171" s="33"/>
      <c r="AB171" s="33"/>
      <c r="AC171" s="33"/>
    </row>
    <row r="172" hidden="1">
      <c r="A172" s="17" t="s">
        <v>302</v>
      </c>
      <c r="B172" s="33"/>
      <c r="C172" s="33"/>
      <c r="D172" s="33"/>
      <c r="E172" s="33"/>
      <c r="F172" s="33"/>
      <c r="G172" s="33">
        <v>66.0</v>
      </c>
      <c r="H172" s="23" t="str">
        <f>IFERROR(__xludf.DUMMYFUNCTION("if(REGEXMATCH(join("", "",$F172:$G172),H$1)=TRUE,""✓"",""✗"")"),"✗")</f>
        <v>✗</v>
      </c>
      <c r="I172" s="23" t="str">
        <f>IFERROR(__xludf.DUMMYFUNCTION("if(REGEXMATCH(join("", "",$F172:$G172),I$1)=TRUE,""✓"",""✗"")"),"✗")</f>
        <v>✗</v>
      </c>
      <c r="J172" s="23" t="str">
        <f>IFERROR(__xludf.DUMMYFUNCTION("if(REGEXMATCH(join("", "",$F172:$G172),J$1)=TRUE,""✓"",""✗"")"),"✗")</f>
        <v>✗</v>
      </c>
      <c r="K172" s="23" t="str">
        <f>IFERROR(__xludf.DUMMYFUNCTION("if(REGEXMATCH(join("", "",$F172:$G172),K$1)=TRUE,""✓"",""✗"")"),"✗")</f>
        <v>✗</v>
      </c>
      <c r="L172" s="23" t="str">
        <f>IFERROR(__xludf.DUMMYFUNCTION("if(REGEXMATCH(join("", "",$F172:$G172),L$1)=TRUE,""✓"",""✗"")"),"✗")</f>
        <v>✗</v>
      </c>
      <c r="M172" s="23" t="str">
        <f>IFERROR(__xludf.DUMMYFUNCTION("if(REGEXMATCH(join("", "",$F172:$G172),M$1)=TRUE,""✓"",""✗"")"),"✗")</f>
        <v>✗</v>
      </c>
      <c r="N172" s="23" t="str">
        <f>IFERROR(__xludf.DUMMYFUNCTION("if(REGEXMATCH(join("", "",$F172:$G172),N$1)=TRUE,""✓"",""✗"")"),"✗")</f>
        <v>✗</v>
      </c>
      <c r="O172" s="23" t="str">
        <f>IFERROR(__xludf.DUMMYFUNCTION("if(REGEXMATCH(join("", "",$F172:$G172),O$1)=TRUE,""✓"",""✗"")"),"✗")</f>
        <v>✗</v>
      </c>
      <c r="P172" s="23" t="str">
        <f>IFERROR(__xludf.DUMMYFUNCTION("if(REGEXMATCH(join("", "",$F172:$G172),P$1)=TRUE,""✓"",""✗"")"),"✗")</f>
        <v>✗</v>
      </c>
      <c r="Q172" s="23" t="str">
        <f>IFERROR(__xludf.DUMMYFUNCTION("if(REGEXMATCH(join("", "",$F172:$G172),Q$1)=TRUE,""✓"",""✗"")"),"✗")</f>
        <v>✗</v>
      </c>
      <c r="R172" s="23" t="str">
        <f>IFERROR(__xludf.DUMMYFUNCTION("if(REGEXMATCH(join("", "",$F172:$G172),R$1)=TRUE,""✓"",""✗"")"),"✗")</f>
        <v>✗</v>
      </c>
      <c r="S172" s="23" t="str">
        <f>IFERROR(__xludf.DUMMYFUNCTION("if(REGEXMATCH(join("", "",$F172:$G172),S$1)=TRUE,""✓"",""✗"")"),"✗")</f>
        <v>✗</v>
      </c>
      <c r="T172" s="23" t="str">
        <f>IFERROR(__xludf.DUMMYFUNCTION("if(REGEXMATCH(join("", "",$F172:$G172),T$1)=TRUE,""✓"",""✗"")"),"✗")</f>
        <v>✗</v>
      </c>
      <c r="U172" s="33"/>
      <c r="V172" s="33"/>
      <c r="W172" s="33"/>
      <c r="X172" s="33"/>
      <c r="Y172" s="33"/>
      <c r="Z172" s="33"/>
      <c r="AA172" s="33"/>
      <c r="AB172" s="33"/>
      <c r="AC172" s="33"/>
    </row>
    <row r="173" hidden="1">
      <c r="A173" s="17" t="s">
        <v>302</v>
      </c>
      <c r="B173" s="33"/>
      <c r="C173" s="33"/>
      <c r="D173" s="33"/>
      <c r="E173" s="33"/>
      <c r="F173" s="33"/>
      <c r="G173" s="33">
        <v>67.0</v>
      </c>
      <c r="H173" s="23" t="str">
        <f>IFERROR(__xludf.DUMMYFUNCTION("if(REGEXMATCH(join("", "",$F173:$G173),H$1)=TRUE,""✓"",""✗"")"),"✗")</f>
        <v>✗</v>
      </c>
      <c r="I173" s="23" t="str">
        <f>IFERROR(__xludf.DUMMYFUNCTION("if(REGEXMATCH(join("", "",$F173:$G173),I$1)=TRUE,""✓"",""✗"")"),"✗")</f>
        <v>✗</v>
      </c>
      <c r="J173" s="23" t="str">
        <f>IFERROR(__xludf.DUMMYFUNCTION("if(REGEXMATCH(join("", "",$F173:$G173),J$1)=TRUE,""✓"",""✗"")"),"✗")</f>
        <v>✗</v>
      </c>
      <c r="K173" s="23" t="str">
        <f>IFERROR(__xludf.DUMMYFUNCTION("if(REGEXMATCH(join("", "",$F173:$G173),K$1)=TRUE,""✓"",""✗"")"),"✗")</f>
        <v>✗</v>
      </c>
      <c r="L173" s="23" t="str">
        <f>IFERROR(__xludf.DUMMYFUNCTION("if(REGEXMATCH(join("", "",$F173:$G173),L$1)=TRUE,""✓"",""✗"")"),"✗")</f>
        <v>✗</v>
      </c>
      <c r="M173" s="23" t="str">
        <f>IFERROR(__xludf.DUMMYFUNCTION("if(REGEXMATCH(join("", "",$F173:$G173),M$1)=TRUE,""✓"",""✗"")"),"✗")</f>
        <v>✗</v>
      </c>
      <c r="N173" s="23" t="str">
        <f>IFERROR(__xludf.DUMMYFUNCTION("if(REGEXMATCH(join("", "",$F173:$G173),N$1)=TRUE,""✓"",""✗"")"),"✗")</f>
        <v>✗</v>
      </c>
      <c r="O173" s="23" t="str">
        <f>IFERROR(__xludf.DUMMYFUNCTION("if(REGEXMATCH(join("", "",$F173:$G173),O$1)=TRUE,""✓"",""✗"")"),"✗")</f>
        <v>✗</v>
      </c>
      <c r="P173" s="23" t="str">
        <f>IFERROR(__xludf.DUMMYFUNCTION("if(REGEXMATCH(join("", "",$F173:$G173),P$1)=TRUE,""✓"",""✗"")"),"✗")</f>
        <v>✗</v>
      </c>
      <c r="Q173" s="23" t="str">
        <f>IFERROR(__xludf.DUMMYFUNCTION("if(REGEXMATCH(join("", "",$F173:$G173),Q$1)=TRUE,""✓"",""✗"")"),"✗")</f>
        <v>✗</v>
      </c>
      <c r="R173" s="23" t="str">
        <f>IFERROR(__xludf.DUMMYFUNCTION("if(REGEXMATCH(join("", "",$F173:$G173),R$1)=TRUE,""✓"",""✗"")"),"✗")</f>
        <v>✗</v>
      </c>
      <c r="S173" s="23" t="str">
        <f>IFERROR(__xludf.DUMMYFUNCTION("if(REGEXMATCH(join("", "",$F173:$G173),S$1)=TRUE,""✓"",""✗"")"),"✗")</f>
        <v>✗</v>
      </c>
      <c r="T173" s="23" t="str">
        <f>IFERROR(__xludf.DUMMYFUNCTION("if(REGEXMATCH(join("", "",$F173:$G173),T$1)=TRUE,""✓"",""✗"")"),"✗")</f>
        <v>✗</v>
      </c>
      <c r="U173" s="33"/>
      <c r="V173" s="33"/>
      <c r="W173" s="33"/>
      <c r="X173" s="33"/>
      <c r="Y173" s="33"/>
      <c r="Z173" s="33"/>
      <c r="AA173" s="33"/>
      <c r="AB173" s="33"/>
      <c r="AC173" s="33"/>
    </row>
    <row r="174" hidden="1">
      <c r="A174" s="17" t="s">
        <v>302</v>
      </c>
      <c r="B174" s="33"/>
      <c r="C174" s="33"/>
      <c r="D174" s="33"/>
      <c r="E174" s="33"/>
      <c r="F174" s="33"/>
      <c r="G174" s="33">
        <v>68.0</v>
      </c>
      <c r="H174" s="23" t="str">
        <f>IFERROR(__xludf.DUMMYFUNCTION("if(REGEXMATCH(join("", "",$F174:$G174),H$1)=TRUE,""✓"",""✗"")"),"✗")</f>
        <v>✗</v>
      </c>
      <c r="I174" s="23" t="str">
        <f>IFERROR(__xludf.DUMMYFUNCTION("if(REGEXMATCH(join("", "",$F174:$G174),I$1)=TRUE,""✓"",""✗"")"),"✗")</f>
        <v>✗</v>
      </c>
      <c r="J174" s="23" t="str">
        <f>IFERROR(__xludf.DUMMYFUNCTION("if(REGEXMATCH(join("", "",$F174:$G174),J$1)=TRUE,""✓"",""✗"")"),"✗")</f>
        <v>✗</v>
      </c>
      <c r="K174" s="23" t="str">
        <f>IFERROR(__xludf.DUMMYFUNCTION("if(REGEXMATCH(join("", "",$F174:$G174),K$1)=TRUE,""✓"",""✗"")"),"✗")</f>
        <v>✗</v>
      </c>
      <c r="L174" s="23" t="str">
        <f>IFERROR(__xludf.DUMMYFUNCTION("if(REGEXMATCH(join("", "",$F174:$G174),L$1)=TRUE,""✓"",""✗"")"),"✗")</f>
        <v>✗</v>
      </c>
      <c r="M174" s="23" t="str">
        <f>IFERROR(__xludf.DUMMYFUNCTION("if(REGEXMATCH(join("", "",$F174:$G174),M$1)=TRUE,""✓"",""✗"")"),"✗")</f>
        <v>✗</v>
      </c>
      <c r="N174" s="23" t="str">
        <f>IFERROR(__xludf.DUMMYFUNCTION("if(REGEXMATCH(join("", "",$F174:$G174),N$1)=TRUE,""✓"",""✗"")"),"✗")</f>
        <v>✗</v>
      </c>
      <c r="O174" s="23" t="str">
        <f>IFERROR(__xludf.DUMMYFUNCTION("if(REGEXMATCH(join("", "",$F174:$G174),O$1)=TRUE,""✓"",""✗"")"),"✗")</f>
        <v>✗</v>
      </c>
      <c r="P174" s="23" t="str">
        <f>IFERROR(__xludf.DUMMYFUNCTION("if(REGEXMATCH(join("", "",$F174:$G174),P$1)=TRUE,""✓"",""✗"")"),"✗")</f>
        <v>✗</v>
      </c>
      <c r="Q174" s="23" t="str">
        <f>IFERROR(__xludf.DUMMYFUNCTION("if(REGEXMATCH(join("", "",$F174:$G174),Q$1)=TRUE,""✓"",""✗"")"),"✗")</f>
        <v>✗</v>
      </c>
      <c r="R174" s="23" t="str">
        <f>IFERROR(__xludf.DUMMYFUNCTION("if(REGEXMATCH(join("", "",$F174:$G174),R$1)=TRUE,""✓"",""✗"")"),"✗")</f>
        <v>✗</v>
      </c>
      <c r="S174" s="23" t="str">
        <f>IFERROR(__xludf.DUMMYFUNCTION("if(REGEXMATCH(join("", "",$F174:$G174),S$1)=TRUE,""✓"",""✗"")"),"✗")</f>
        <v>✗</v>
      </c>
      <c r="T174" s="23" t="str">
        <f>IFERROR(__xludf.DUMMYFUNCTION("if(REGEXMATCH(join("", "",$F174:$G174),T$1)=TRUE,""✓"",""✗"")"),"✗")</f>
        <v>✗</v>
      </c>
      <c r="U174" s="33"/>
      <c r="V174" s="33"/>
      <c r="W174" s="33"/>
      <c r="X174" s="33"/>
      <c r="Y174" s="33"/>
      <c r="Z174" s="33"/>
      <c r="AA174" s="33"/>
      <c r="AB174" s="33"/>
      <c r="AC174" s="33"/>
    </row>
    <row r="175" hidden="1">
      <c r="A175" s="17" t="s">
        <v>302</v>
      </c>
      <c r="B175" s="33"/>
      <c r="C175" s="33"/>
      <c r="D175" s="33"/>
      <c r="E175" s="33"/>
      <c r="F175" s="33"/>
      <c r="G175" s="33">
        <v>69.0</v>
      </c>
      <c r="H175" s="23" t="str">
        <f>IFERROR(__xludf.DUMMYFUNCTION("if(REGEXMATCH(join("", "",$F175:$G175),H$1)=TRUE,""✓"",""✗"")"),"✗")</f>
        <v>✗</v>
      </c>
      <c r="I175" s="23" t="str">
        <f>IFERROR(__xludf.DUMMYFUNCTION("if(REGEXMATCH(join("", "",$F175:$G175),I$1)=TRUE,""✓"",""✗"")"),"✗")</f>
        <v>✗</v>
      </c>
      <c r="J175" s="23" t="str">
        <f>IFERROR(__xludf.DUMMYFUNCTION("if(REGEXMATCH(join("", "",$F175:$G175),J$1)=TRUE,""✓"",""✗"")"),"✗")</f>
        <v>✗</v>
      </c>
      <c r="K175" s="23" t="str">
        <f>IFERROR(__xludf.DUMMYFUNCTION("if(REGEXMATCH(join("", "",$F175:$G175),K$1)=TRUE,""✓"",""✗"")"),"✗")</f>
        <v>✗</v>
      </c>
      <c r="L175" s="23" t="str">
        <f>IFERROR(__xludf.DUMMYFUNCTION("if(REGEXMATCH(join("", "",$F175:$G175),L$1)=TRUE,""✓"",""✗"")"),"✗")</f>
        <v>✗</v>
      </c>
      <c r="M175" s="23" t="str">
        <f>IFERROR(__xludf.DUMMYFUNCTION("if(REGEXMATCH(join("", "",$F175:$G175),M$1)=TRUE,""✓"",""✗"")"),"✗")</f>
        <v>✗</v>
      </c>
      <c r="N175" s="23" t="str">
        <f>IFERROR(__xludf.DUMMYFUNCTION("if(REGEXMATCH(join("", "",$F175:$G175),N$1)=TRUE,""✓"",""✗"")"),"✗")</f>
        <v>✗</v>
      </c>
      <c r="O175" s="23" t="str">
        <f>IFERROR(__xludf.DUMMYFUNCTION("if(REGEXMATCH(join("", "",$F175:$G175),O$1)=TRUE,""✓"",""✗"")"),"✗")</f>
        <v>✗</v>
      </c>
      <c r="P175" s="23" t="str">
        <f>IFERROR(__xludf.DUMMYFUNCTION("if(REGEXMATCH(join("", "",$F175:$G175),P$1)=TRUE,""✓"",""✗"")"),"✗")</f>
        <v>✗</v>
      </c>
      <c r="Q175" s="23" t="str">
        <f>IFERROR(__xludf.DUMMYFUNCTION("if(REGEXMATCH(join("", "",$F175:$G175),Q$1)=TRUE,""✓"",""✗"")"),"✗")</f>
        <v>✗</v>
      </c>
      <c r="R175" s="23" t="str">
        <f>IFERROR(__xludf.DUMMYFUNCTION("if(REGEXMATCH(join("", "",$F175:$G175),R$1)=TRUE,""✓"",""✗"")"),"✗")</f>
        <v>✗</v>
      </c>
      <c r="S175" s="23" t="str">
        <f>IFERROR(__xludf.DUMMYFUNCTION("if(REGEXMATCH(join("", "",$F175:$G175),S$1)=TRUE,""✓"",""✗"")"),"✗")</f>
        <v>✗</v>
      </c>
      <c r="T175" s="23" t="str">
        <f>IFERROR(__xludf.DUMMYFUNCTION("if(REGEXMATCH(join("", "",$F175:$G175),T$1)=TRUE,""✓"",""✗"")"),"✗")</f>
        <v>✗</v>
      </c>
      <c r="U175" s="33"/>
      <c r="V175" s="33"/>
      <c r="W175" s="33"/>
      <c r="X175" s="33"/>
      <c r="Y175" s="33"/>
      <c r="Z175" s="33"/>
      <c r="AA175" s="33"/>
      <c r="AB175" s="33"/>
      <c r="AC175" s="33"/>
    </row>
    <row r="176" hidden="1">
      <c r="A176" s="17" t="s">
        <v>302</v>
      </c>
      <c r="B176" s="33"/>
      <c r="C176" s="33"/>
      <c r="D176" s="33"/>
      <c r="E176" s="33"/>
      <c r="F176" s="33"/>
      <c r="G176" s="33">
        <v>70.0</v>
      </c>
      <c r="H176" s="23" t="str">
        <f>IFERROR(__xludf.DUMMYFUNCTION("if(REGEXMATCH(join("", "",$F176:$G176),H$1)=TRUE,""✓"",""✗"")"),"✗")</f>
        <v>✗</v>
      </c>
      <c r="I176" s="23" t="str">
        <f>IFERROR(__xludf.DUMMYFUNCTION("if(REGEXMATCH(join("", "",$F176:$G176),I$1)=TRUE,""✓"",""✗"")"),"✗")</f>
        <v>✗</v>
      </c>
      <c r="J176" s="23" t="str">
        <f>IFERROR(__xludf.DUMMYFUNCTION("if(REGEXMATCH(join("", "",$F176:$G176),J$1)=TRUE,""✓"",""✗"")"),"✗")</f>
        <v>✗</v>
      </c>
      <c r="K176" s="23" t="str">
        <f>IFERROR(__xludf.DUMMYFUNCTION("if(REGEXMATCH(join("", "",$F176:$G176),K$1)=TRUE,""✓"",""✗"")"),"✗")</f>
        <v>✗</v>
      </c>
      <c r="L176" s="23" t="str">
        <f>IFERROR(__xludf.DUMMYFUNCTION("if(REGEXMATCH(join("", "",$F176:$G176),L$1)=TRUE,""✓"",""✗"")"),"✗")</f>
        <v>✗</v>
      </c>
      <c r="M176" s="23" t="str">
        <f>IFERROR(__xludf.DUMMYFUNCTION("if(REGEXMATCH(join("", "",$F176:$G176),M$1)=TRUE,""✓"",""✗"")"),"✗")</f>
        <v>✗</v>
      </c>
      <c r="N176" s="23" t="str">
        <f>IFERROR(__xludf.DUMMYFUNCTION("if(REGEXMATCH(join("", "",$F176:$G176),N$1)=TRUE,""✓"",""✗"")"),"✗")</f>
        <v>✗</v>
      </c>
      <c r="O176" s="23" t="str">
        <f>IFERROR(__xludf.DUMMYFUNCTION("if(REGEXMATCH(join("", "",$F176:$G176),O$1)=TRUE,""✓"",""✗"")"),"✗")</f>
        <v>✗</v>
      </c>
      <c r="P176" s="23" t="str">
        <f>IFERROR(__xludf.DUMMYFUNCTION("if(REGEXMATCH(join("", "",$F176:$G176),P$1)=TRUE,""✓"",""✗"")"),"✗")</f>
        <v>✗</v>
      </c>
      <c r="Q176" s="23" t="str">
        <f>IFERROR(__xludf.DUMMYFUNCTION("if(REGEXMATCH(join("", "",$F176:$G176),Q$1)=TRUE,""✓"",""✗"")"),"✗")</f>
        <v>✗</v>
      </c>
      <c r="R176" s="23" t="str">
        <f>IFERROR(__xludf.DUMMYFUNCTION("if(REGEXMATCH(join("", "",$F176:$G176),R$1)=TRUE,""✓"",""✗"")"),"✗")</f>
        <v>✗</v>
      </c>
      <c r="S176" s="23" t="str">
        <f>IFERROR(__xludf.DUMMYFUNCTION("if(REGEXMATCH(join("", "",$F176:$G176),S$1)=TRUE,""✓"",""✗"")"),"✗")</f>
        <v>✗</v>
      </c>
      <c r="T176" s="23" t="str">
        <f>IFERROR(__xludf.DUMMYFUNCTION("if(REGEXMATCH(join("", "",$F176:$G176),T$1)=TRUE,""✓"",""✗"")"),"✗")</f>
        <v>✗</v>
      </c>
      <c r="U176" s="33"/>
      <c r="V176" s="33"/>
      <c r="W176" s="33"/>
      <c r="X176" s="33"/>
      <c r="Y176" s="33"/>
      <c r="Z176" s="33"/>
      <c r="AA176" s="33"/>
      <c r="AB176" s="33"/>
      <c r="AC176" s="33"/>
    </row>
    <row r="177" hidden="1">
      <c r="A177" s="17" t="s">
        <v>302</v>
      </c>
      <c r="B177" s="33"/>
      <c r="C177" s="33"/>
      <c r="D177" s="33"/>
      <c r="E177" s="33"/>
      <c r="F177" s="33"/>
      <c r="G177" s="33">
        <v>71.0</v>
      </c>
      <c r="H177" s="23" t="str">
        <f>IFERROR(__xludf.DUMMYFUNCTION("if(REGEXMATCH(join("", "",$F177:$G177),H$1)=TRUE,""✓"",""✗"")"),"✗")</f>
        <v>✗</v>
      </c>
      <c r="I177" s="23" t="str">
        <f>IFERROR(__xludf.DUMMYFUNCTION("if(REGEXMATCH(join("", "",$F177:$G177),I$1)=TRUE,""✓"",""✗"")"),"✗")</f>
        <v>✗</v>
      </c>
      <c r="J177" s="23" t="str">
        <f>IFERROR(__xludf.DUMMYFUNCTION("if(REGEXMATCH(join("", "",$F177:$G177),J$1)=TRUE,""✓"",""✗"")"),"✗")</f>
        <v>✗</v>
      </c>
      <c r="K177" s="23" t="str">
        <f>IFERROR(__xludf.DUMMYFUNCTION("if(REGEXMATCH(join("", "",$F177:$G177),K$1)=TRUE,""✓"",""✗"")"),"✗")</f>
        <v>✗</v>
      </c>
      <c r="L177" s="23" t="str">
        <f>IFERROR(__xludf.DUMMYFUNCTION("if(REGEXMATCH(join("", "",$F177:$G177),L$1)=TRUE,""✓"",""✗"")"),"✗")</f>
        <v>✗</v>
      </c>
      <c r="M177" s="23" t="str">
        <f>IFERROR(__xludf.DUMMYFUNCTION("if(REGEXMATCH(join("", "",$F177:$G177),M$1)=TRUE,""✓"",""✗"")"),"✗")</f>
        <v>✗</v>
      </c>
      <c r="N177" s="23" t="str">
        <f>IFERROR(__xludf.DUMMYFUNCTION("if(REGEXMATCH(join("", "",$F177:$G177),N$1)=TRUE,""✓"",""✗"")"),"✗")</f>
        <v>✗</v>
      </c>
      <c r="O177" s="23" t="str">
        <f>IFERROR(__xludf.DUMMYFUNCTION("if(REGEXMATCH(join("", "",$F177:$G177),O$1)=TRUE,""✓"",""✗"")"),"✗")</f>
        <v>✗</v>
      </c>
      <c r="P177" s="23" t="str">
        <f>IFERROR(__xludf.DUMMYFUNCTION("if(REGEXMATCH(join("", "",$F177:$G177),P$1)=TRUE,""✓"",""✗"")"),"✗")</f>
        <v>✗</v>
      </c>
      <c r="Q177" s="23" t="str">
        <f>IFERROR(__xludf.DUMMYFUNCTION("if(REGEXMATCH(join("", "",$F177:$G177),Q$1)=TRUE,""✓"",""✗"")"),"✗")</f>
        <v>✗</v>
      </c>
      <c r="R177" s="23" t="str">
        <f>IFERROR(__xludf.DUMMYFUNCTION("if(REGEXMATCH(join("", "",$F177:$G177),R$1)=TRUE,""✓"",""✗"")"),"✗")</f>
        <v>✗</v>
      </c>
      <c r="S177" s="23" t="str">
        <f>IFERROR(__xludf.DUMMYFUNCTION("if(REGEXMATCH(join("", "",$F177:$G177),S$1)=TRUE,""✓"",""✗"")"),"✗")</f>
        <v>✗</v>
      </c>
      <c r="T177" s="23" t="str">
        <f>IFERROR(__xludf.DUMMYFUNCTION("if(REGEXMATCH(join("", "",$F177:$G177),T$1)=TRUE,""✓"",""✗"")"),"✗")</f>
        <v>✗</v>
      </c>
      <c r="U177" s="33"/>
      <c r="V177" s="33"/>
      <c r="W177" s="33"/>
      <c r="X177" s="33"/>
      <c r="Y177" s="33"/>
      <c r="Z177" s="33"/>
      <c r="AA177" s="33"/>
      <c r="AB177" s="33"/>
      <c r="AC177" s="33"/>
    </row>
    <row r="178" hidden="1">
      <c r="A178" s="17" t="s">
        <v>302</v>
      </c>
      <c r="B178" s="33"/>
      <c r="C178" s="33"/>
      <c r="D178" s="33"/>
      <c r="E178" s="33"/>
      <c r="F178" s="33"/>
      <c r="G178" s="33">
        <v>72.0</v>
      </c>
      <c r="H178" s="23" t="str">
        <f>IFERROR(__xludf.DUMMYFUNCTION("if(REGEXMATCH(join("", "",$F178:$G178),H$1)=TRUE,""✓"",""✗"")"),"✗")</f>
        <v>✗</v>
      </c>
      <c r="I178" s="23" t="str">
        <f>IFERROR(__xludf.DUMMYFUNCTION("if(REGEXMATCH(join("", "",$F178:$G178),I$1)=TRUE,""✓"",""✗"")"),"✗")</f>
        <v>✗</v>
      </c>
      <c r="J178" s="23" t="str">
        <f>IFERROR(__xludf.DUMMYFUNCTION("if(REGEXMATCH(join("", "",$F178:$G178),J$1)=TRUE,""✓"",""✗"")"),"✗")</f>
        <v>✗</v>
      </c>
      <c r="K178" s="23" t="str">
        <f>IFERROR(__xludf.DUMMYFUNCTION("if(REGEXMATCH(join("", "",$F178:$G178),K$1)=TRUE,""✓"",""✗"")"),"✗")</f>
        <v>✗</v>
      </c>
      <c r="L178" s="23" t="str">
        <f>IFERROR(__xludf.DUMMYFUNCTION("if(REGEXMATCH(join("", "",$F178:$G178),L$1)=TRUE,""✓"",""✗"")"),"✗")</f>
        <v>✗</v>
      </c>
      <c r="M178" s="23" t="str">
        <f>IFERROR(__xludf.DUMMYFUNCTION("if(REGEXMATCH(join("", "",$F178:$G178),M$1)=TRUE,""✓"",""✗"")"),"✗")</f>
        <v>✗</v>
      </c>
      <c r="N178" s="23" t="str">
        <f>IFERROR(__xludf.DUMMYFUNCTION("if(REGEXMATCH(join("", "",$F178:$G178),N$1)=TRUE,""✓"",""✗"")"),"✗")</f>
        <v>✗</v>
      </c>
      <c r="O178" s="23" t="str">
        <f>IFERROR(__xludf.DUMMYFUNCTION("if(REGEXMATCH(join("", "",$F178:$G178),O$1)=TRUE,""✓"",""✗"")"),"✗")</f>
        <v>✗</v>
      </c>
      <c r="P178" s="23" t="str">
        <f>IFERROR(__xludf.DUMMYFUNCTION("if(REGEXMATCH(join("", "",$F178:$G178),P$1)=TRUE,""✓"",""✗"")"),"✗")</f>
        <v>✗</v>
      </c>
      <c r="Q178" s="23" t="str">
        <f>IFERROR(__xludf.DUMMYFUNCTION("if(REGEXMATCH(join("", "",$F178:$G178),Q$1)=TRUE,""✓"",""✗"")"),"✗")</f>
        <v>✗</v>
      </c>
      <c r="R178" s="23" t="str">
        <f>IFERROR(__xludf.DUMMYFUNCTION("if(REGEXMATCH(join("", "",$F178:$G178),R$1)=TRUE,""✓"",""✗"")"),"✗")</f>
        <v>✗</v>
      </c>
      <c r="S178" s="23" t="str">
        <f>IFERROR(__xludf.DUMMYFUNCTION("if(REGEXMATCH(join("", "",$F178:$G178),S$1)=TRUE,""✓"",""✗"")"),"✗")</f>
        <v>✗</v>
      </c>
      <c r="T178" s="23" t="str">
        <f>IFERROR(__xludf.DUMMYFUNCTION("if(REGEXMATCH(join("", "",$F178:$G178),T$1)=TRUE,""✓"",""✗"")"),"✗")</f>
        <v>✗</v>
      </c>
      <c r="U178" s="33"/>
      <c r="V178" s="33"/>
      <c r="W178" s="33"/>
      <c r="X178" s="33"/>
      <c r="Y178" s="33"/>
      <c r="Z178" s="33"/>
      <c r="AA178" s="33"/>
      <c r="AB178" s="33"/>
      <c r="AC178" s="33"/>
    </row>
    <row r="179" hidden="1">
      <c r="A179" s="17" t="s">
        <v>302</v>
      </c>
      <c r="B179" s="33"/>
      <c r="C179" s="33"/>
      <c r="D179" s="33"/>
      <c r="E179" s="33"/>
      <c r="F179" s="33"/>
      <c r="G179" s="33">
        <v>73.0</v>
      </c>
      <c r="H179" s="23" t="str">
        <f>IFERROR(__xludf.DUMMYFUNCTION("if(REGEXMATCH(join("", "",$F179:$G179),H$1)=TRUE,""✓"",""✗"")"),"✗")</f>
        <v>✗</v>
      </c>
      <c r="I179" s="23" t="str">
        <f>IFERROR(__xludf.DUMMYFUNCTION("if(REGEXMATCH(join("", "",$F179:$G179),I$1)=TRUE,""✓"",""✗"")"),"✗")</f>
        <v>✗</v>
      </c>
      <c r="J179" s="23" t="str">
        <f>IFERROR(__xludf.DUMMYFUNCTION("if(REGEXMATCH(join("", "",$F179:$G179),J$1)=TRUE,""✓"",""✗"")"),"✗")</f>
        <v>✗</v>
      </c>
      <c r="K179" s="23" t="str">
        <f>IFERROR(__xludf.DUMMYFUNCTION("if(REGEXMATCH(join("", "",$F179:$G179),K$1)=TRUE,""✓"",""✗"")"),"✗")</f>
        <v>✗</v>
      </c>
      <c r="L179" s="23" t="str">
        <f>IFERROR(__xludf.DUMMYFUNCTION("if(REGEXMATCH(join("", "",$F179:$G179),L$1)=TRUE,""✓"",""✗"")"),"✗")</f>
        <v>✗</v>
      </c>
      <c r="M179" s="23" t="str">
        <f>IFERROR(__xludf.DUMMYFUNCTION("if(REGEXMATCH(join("", "",$F179:$G179),M$1)=TRUE,""✓"",""✗"")"),"✗")</f>
        <v>✗</v>
      </c>
      <c r="N179" s="23" t="str">
        <f>IFERROR(__xludf.DUMMYFUNCTION("if(REGEXMATCH(join("", "",$F179:$G179),N$1)=TRUE,""✓"",""✗"")"),"✗")</f>
        <v>✗</v>
      </c>
      <c r="O179" s="23" t="str">
        <f>IFERROR(__xludf.DUMMYFUNCTION("if(REGEXMATCH(join("", "",$F179:$G179),O$1)=TRUE,""✓"",""✗"")"),"✗")</f>
        <v>✗</v>
      </c>
      <c r="P179" s="23" t="str">
        <f>IFERROR(__xludf.DUMMYFUNCTION("if(REGEXMATCH(join("", "",$F179:$G179),P$1)=TRUE,""✓"",""✗"")"),"✗")</f>
        <v>✗</v>
      </c>
      <c r="Q179" s="23" t="str">
        <f>IFERROR(__xludf.DUMMYFUNCTION("if(REGEXMATCH(join("", "",$F179:$G179),Q$1)=TRUE,""✓"",""✗"")"),"✗")</f>
        <v>✗</v>
      </c>
      <c r="R179" s="23" t="str">
        <f>IFERROR(__xludf.DUMMYFUNCTION("if(REGEXMATCH(join("", "",$F179:$G179),R$1)=TRUE,""✓"",""✗"")"),"✗")</f>
        <v>✗</v>
      </c>
      <c r="S179" s="23" t="str">
        <f>IFERROR(__xludf.DUMMYFUNCTION("if(REGEXMATCH(join("", "",$F179:$G179),S$1)=TRUE,""✓"",""✗"")"),"✗")</f>
        <v>✗</v>
      </c>
      <c r="T179" s="23" t="str">
        <f>IFERROR(__xludf.DUMMYFUNCTION("if(REGEXMATCH(join("", "",$F179:$G179),T$1)=TRUE,""✓"",""✗"")"),"✗")</f>
        <v>✗</v>
      </c>
      <c r="U179" s="33"/>
      <c r="V179" s="33"/>
      <c r="W179" s="33"/>
      <c r="X179" s="33"/>
      <c r="Y179" s="33"/>
      <c r="Z179" s="33"/>
      <c r="AA179" s="33"/>
      <c r="AB179" s="33"/>
      <c r="AC179" s="33"/>
    </row>
    <row r="180" hidden="1">
      <c r="A180" s="17" t="s">
        <v>302</v>
      </c>
      <c r="B180" s="33"/>
      <c r="C180" s="33"/>
      <c r="D180" s="33"/>
      <c r="E180" s="33"/>
      <c r="F180" s="33"/>
      <c r="G180" s="33">
        <v>74.0</v>
      </c>
      <c r="H180" s="23" t="str">
        <f>IFERROR(__xludf.DUMMYFUNCTION("if(REGEXMATCH(join("", "",$F180:$G180),H$1)=TRUE,""✓"",""✗"")"),"✗")</f>
        <v>✗</v>
      </c>
      <c r="I180" s="23" t="str">
        <f>IFERROR(__xludf.DUMMYFUNCTION("if(REGEXMATCH(join("", "",$F180:$G180),I$1)=TRUE,""✓"",""✗"")"),"✗")</f>
        <v>✗</v>
      </c>
      <c r="J180" s="23" t="str">
        <f>IFERROR(__xludf.DUMMYFUNCTION("if(REGEXMATCH(join("", "",$F180:$G180),J$1)=TRUE,""✓"",""✗"")"),"✗")</f>
        <v>✗</v>
      </c>
      <c r="K180" s="23" t="str">
        <f>IFERROR(__xludf.DUMMYFUNCTION("if(REGEXMATCH(join("", "",$F180:$G180),K$1)=TRUE,""✓"",""✗"")"),"✗")</f>
        <v>✗</v>
      </c>
      <c r="L180" s="23" t="str">
        <f>IFERROR(__xludf.DUMMYFUNCTION("if(REGEXMATCH(join("", "",$F180:$G180),L$1)=TRUE,""✓"",""✗"")"),"✗")</f>
        <v>✗</v>
      </c>
      <c r="M180" s="23" t="str">
        <f>IFERROR(__xludf.DUMMYFUNCTION("if(REGEXMATCH(join("", "",$F180:$G180),M$1)=TRUE,""✓"",""✗"")"),"✗")</f>
        <v>✗</v>
      </c>
      <c r="N180" s="23" t="str">
        <f>IFERROR(__xludf.DUMMYFUNCTION("if(REGEXMATCH(join("", "",$F180:$G180),N$1)=TRUE,""✓"",""✗"")"),"✗")</f>
        <v>✗</v>
      </c>
      <c r="O180" s="23" t="str">
        <f>IFERROR(__xludf.DUMMYFUNCTION("if(REGEXMATCH(join("", "",$F180:$G180),O$1)=TRUE,""✓"",""✗"")"),"✗")</f>
        <v>✗</v>
      </c>
      <c r="P180" s="23" t="str">
        <f>IFERROR(__xludf.DUMMYFUNCTION("if(REGEXMATCH(join("", "",$F180:$G180),P$1)=TRUE,""✓"",""✗"")"),"✗")</f>
        <v>✗</v>
      </c>
      <c r="Q180" s="23" t="str">
        <f>IFERROR(__xludf.DUMMYFUNCTION("if(REGEXMATCH(join("", "",$F180:$G180),Q$1)=TRUE,""✓"",""✗"")"),"✗")</f>
        <v>✗</v>
      </c>
      <c r="R180" s="23" t="str">
        <f>IFERROR(__xludf.DUMMYFUNCTION("if(REGEXMATCH(join("", "",$F180:$G180),R$1)=TRUE,""✓"",""✗"")"),"✗")</f>
        <v>✗</v>
      </c>
      <c r="S180" s="23" t="str">
        <f>IFERROR(__xludf.DUMMYFUNCTION("if(REGEXMATCH(join("", "",$F180:$G180),S$1)=TRUE,""✓"",""✗"")"),"✗")</f>
        <v>✗</v>
      </c>
      <c r="T180" s="23" t="str">
        <f>IFERROR(__xludf.DUMMYFUNCTION("if(REGEXMATCH(join("", "",$F180:$G180),T$1)=TRUE,""✓"",""✗"")"),"✗")</f>
        <v>✗</v>
      </c>
      <c r="U180" s="33"/>
      <c r="V180" s="33"/>
      <c r="W180" s="33"/>
      <c r="X180" s="33"/>
      <c r="Y180" s="33"/>
      <c r="Z180" s="33"/>
      <c r="AA180" s="33"/>
      <c r="AB180" s="33"/>
      <c r="AC180" s="33"/>
    </row>
    <row r="181" hidden="1">
      <c r="A181" s="17" t="s">
        <v>302</v>
      </c>
      <c r="B181" s="33"/>
      <c r="C181" s="33"/>
      <c r="D181" s="33"/>
      <c r="E181" s="33"/>
      <c r="F181" s="33"/>
      <c r="G181" s="33">
        <v>75.0</v>
      </c>
      <c r="H181" s="23" t="str">
        <f>IFERROR(__xludf.DUMMYFUNCTION("if(REGEXMATCH(join("", "",$F181:$G181),H$1)=TRUE,""✓"",""✗"")"),"✗")</f>
        <v>✗</v>
      </c>
      <c r="I181" s="23" t="str">
        <f>IFERROR(__xludf.DUMMYFUNCTION("if(REGEXMATCH(join("", "",$F181:$G181),I$1)=TRUE,""✓"",""✗"")"),"✗")</f>
        <v>✗</v>
      </c>
      <c r="J181" s="23" t="str">
        <f>IFERROR(__xludf.DUMMYFUNCTION("if(REGEXMATCH(join("", "",$F181:$G181),J$1)=TRUE,""✓"",""✗"")"),"✗")</f>
        <v>✗</v>
      </c>
      <c r="K181" s="23" t="str">
        <f>IFERROR(__xludf.DUMMYFUNCTION("if(REGEXMATCH(join("", "",$F181:$G181),K$1)=TRUE,""✓"",""✗"")"),"✗")</f>
        <v>✗</v>
      </c>
      <c r="L181" s="23" t="str">
        <f>IFERROR(__xludf.DUMMYFUNCTION("if(REGEXMATCH(join("", "",$F181:$G181),L$1)=TRUE,""✓"",""✗"")"),"✗")</f>
        <v>✗</v>
      </c>
      <c r="M181" s="23" t="str">
        <f>IFERROR(__xludf.DUMMYFUNCTION("if(REGEXMATCH(join("", "",$F181:$G181),M$1)=TRUE,""✓"",""✗"")"),"✗")</f>
        <v>✗</v>
      </c>
      <c r="N181" s="23" t="str">
        <f>IFERROR(__xludf.DUMMYFUNCTION("if(REGEXMATCH(join("", "",$F181:$G181),N$1)=TRUE,""✓"",""✗"")"),"✗")</f>
        <v>✗</v>
      </c>
      <c r="O181" s="23" t="str">
        <f>IFERROR(__xludf.DUMMYFUNCTION("if(REGEXMATCH(join("", "",$F181:$G181),O$1)=TRUE,""✓"",""✗"")"),"✗")</f>
        <v>✗</v>
      </c>
      <c r="P181" s="23" t="str">
        <f>IFERROR(__xludf.DUMMYFUNCTION("if(REGEXMATCH(join("", "",$F181:$G181),P$1)=TRUE,""✓"",""✗"")"),"✗")</f>
        <v>✗</v>
      </c>
      <c r="Q181" s="23" t="str">
        <f>IFERROR(__xludf.DUMMYFUNCTION("if(REGEXMATCH(join("", "",$F181:$G181),Q$1)=TRUE,""✓"",""✗"")"),"✗")</f>
        <v>✗</v>
      </c>
      <c r="R181" s="23" t="str">
        <f>IFERROR(__xludf.DUMMYFUNCTION("if(REGEXMATCH(join("", "",$F181:$G181),R$1)=TRUE,""✓"",""✗"")"),"✗")</f>
        <v>✗</v>
      </c>
      <c r="S181" s="23" t="str">
        <f>IFERROR(__xludf.DUMMYFUNCTION("if(REGEXMATCH(join("", "",$F181:$G181),S$1)=TRUE,""✓"",""✗"")"),"✗")</f>
        <v>✗</v>
      </c>
      <c r="T181" s="23" t="str">
        <f>IFERROR(__xludf.DUMMYFUNCTION("if(REGEXMATCH(join("", "",$F181:$G181),T$1)=TRUE,""✓"",""✗"")"),"✗")</f>
        <v>✗</v>
      </c>
      <c r="U181" s="33"/>
      <c r="V181" s="33"/>
      <c r="W181" s="33"/>
      <c r="X181" s="33"/>
      <c r="Y181" s="33"/>
      <c r="Z181" s="33"/>
      <c r="AA181" s="33"/>
      <c r="AB181" s="33"/>
      <c r="AC181" s="33"/>
    </row>
    <row r="182" hidden="1">
      <c r="A182" s="17" t="s">
        <v>302</v>
      </c>
      <c r="B182" s="33"/>
      <c r="C182" s="33"/>
      <c r="D182" s="33"/>
      <c r="E182" s="33"/>
      <c r="F182" s="33"/>
      <c r="G182" s="33">
        <v>76.0</v>
      </c>
      <c r="H182" s="23" t="str">
        <f>IFERROR(__xludf.DUMMYFUNCTION("if(REGEXMATCH(join("", "",$F182:$G182),H$1)=TRUE,""✓"",""✗"")"),"✗")</f>
        <v>✗</v>
      </c>
      <c r="I182" s="23" t="str">
        <f>IFERROR(__xludf.DUMMYFUNCTION("if(REGEXMATCH(join("", "",$F182:$G182),I$1)=TRUE,""✓"",""✗"")"),"✗")</f>
        <v>✗</v>
      </c>
      <c r="J182" s="23" t="str">
        <f>IFERROR(__xludf.DUMMYFUNCTION("if(REGEXMATCH(join("", "",$F182:$G182),J$1)=TRUE,""✓"",""✗"")"),"✗")</f>
        <v>✗</v>
      </c>
      <c r="K182" s="23" t="str">
        <f>IFERROR(__xludf.DUMMYFUNCTION("if(REGEXMATCH(join("", "",$F182:$G182),K$1)=TRUE,""✓"",""✗"")"),"✗")</f>
        <v>✗</v>
      </c>
      <c r="L182" s="23" t="str">
        <f>IFERROR(__xludf.DUMMYFUNCTION("if(REGEXMATCH(join("", "",$F182:$G182),L$1)=TRUE,""✓"",""✗"")"),"✗")</f>
        <v>✗</v>
      </c>
      <c r="M182" s="23" t="str">
        <f>IFERROR(__xludf.DUMMYFUNCTION("if(REGEXMATCH(join("", "",$F182:$G182),M$1)=TRUE,""✓"",""✗"")"),"✗")</f>
        <v>✗</v>
      </c>
      <c r="N182" s="23" t="str">
        <f>IFERROR(__xludf.DUMMYFUNCTION("if(REGEXMATCH(join("", "",$F182:$G182),N$1)=TRUE,""✓"",""✗"")"),"✗")</f>
        <v>✗</v>
      </c>
      <c r="O182" s="23" t="str">
        <f>IFERROR(__xludf.DUMMYFUNCTION("if(REGEXMATCH(join("", "",$F182:$G182),O$1)=TRUE,""✓"",""✗"")"),"✗")</f>
        <v>✗</v>
      </c>
      <c r="P182" s="23" t="str">
        <f>IFERROR(__xludf.DUMMYFUNCTION("if(REGEXMATCH(join("", "",$F182:$G182),P$1)=TRUE,""✓"",""✗"")"),"✗")</f>
        <v>✗</v>
      </c>
      <c r="Q182" s="23" t="str">
        <f>IFERROR(__xludf.DUMMYFUNCTION("if(REGEXMATCH(join("", "",$F182:$G182),Q$1)=TRUE,""✓"",""✗"")"),"✗")</f>
        <v>✗</v>
      </c>
      <c r="R182" s="23" t="str">
        <f>IFERROR(__xludf.DUMMYFUNCTION("if(REGEXMATCH(join("", "",$F182:$G182),R$1)=TRUE,""✓"",""✗"")"),"✗")</f>
        <v>✗</v>
      </c>
      <c r="S182" s="23" t="str">
        <f>IFERROR(__xludf.DUMMYFUNCTION("if(REGEXMATCH(join("", "",$F182:$G182),S$1)=TRUE,""✓"",""✗"")"),"✗")</f>
        <v>✗</v>
      </c>
      <c r="T182" s="23" t="str">
        <f>IFERROR(__xludf.DUMMYFUNCTION("if(REGEXMATCH(join("", "",$F182:$G182),T$1)=TRUE,""✓"",""✗"")"),"✗")</f>
        <v>✗</v>
      </c>
      <c r="U182" s="33"/>
      <c r="V182" s="33"/>
      <c r="W182" s="33"/>
      <c r="X182" s="33"/>
      <c r="Y182" s="33"/>
      <c r="Z182" s="33"/>
      <c r="AA182" s="33"/>
      <c r="AB182" s="33"/>
      <c r="AC182" s="33"/>
    </row>
    <row r="183" hidden="1">
      <c r="A183" s="17" t="s">
        <v>302</v>
      </c>
      <c r="B183" s="33"/>
      <c r="C183" s="33"/>
      <c r="D183" s="33"/>
      <c r="E183" s="33"/>
      <c r="F183" s="33"/>
      <c r="G183" s="33">
        <v>77.0</v>
      </c>
      <c r="H183" s="23" t="str">
        <f>IFERROR(__xludf.DUMMYFUNCTION("if(REGEXMATCH(join("", "",$F183:$G183),H$1)=TRUE,""✓"",""✗"")"),"✗")</f>
        <v>✗</v>
      </c>
      <c r="I183" s="23" t="str">
        <f>IFERROR(__xludf.DUMMYFUNCTION("if(REGEXMATCH(join("", "",$F183:$G183),I$1)=TRUE,""✓"",""✗"")"),"✗")</f>
        <v>✗</v>
      </c>
      <c r="J183" s="23" t="str">
        <f>IFERROR(__xludf.DUMMYFUNCTION("if(REGEXMATCH(join("", "",$F183:$G183),J$1)=TRUE,""✓"",""✗"")"),"✗")</f>
        <v>✗</v>
      </c>
      <c r="K183" s="23" t="str">
        <f>IFERROR(__xludf.DUMMYFUNCTION("if(REGEXMATCH(join("", "",$F183:$G183),K$1)=TRUE,""✓"",""✗"")"),"✗")</f>
        <v>✗</v>
      </c>
      <c r="L183" s="23" t="str">
        <f>IFERROR(__xludf.DUMMYFUNCTION("if(REGEXMATCH(join("", "",$F183:$G183),L$1)=TRUE,""✓"",""✗"")"),"✗")</f>
        <v>✗</v>
      </c>
      <c r="M183" s="23" t="str">
        <f>IFERROR(__xludf.DUMMYFUNCTION("if(REGEXMATCH(join("", "",$F183:$G183),M$1)=TRUE,""✓"",""✗"")"),"✗")</f>
        <v>✗</v>
      </c>
      <c r="N183" s="23" t="str">
        <f>IFERROR(__xludf.DUMMYFUNCTION("if(REGEXMATCH(join("", "",$F183:$G183),N$1)=TRUE,""✓"",""✗"")"),"✗")</f>
        <v>✗</v>
      </c>
      <c r="O183" s="23" t="str">
        <f>IFERROR(__xludf.DUMMYFUNCTION("if(REGEXMATCH(join("", "",$F183:$G183),O$1)=TRUE,""✓"",""✗"")"),"✗")</f>
        <v>✗</v>
      </c>
      <c r="P183" s="23" t="str">
        <f>IFERROR(__xludf.DUMMYFUNCTION("if(REGEXMATCH(join("", "",$F183:$G183),P$1)=TRUE,""✓"",""✗"")"),"✗")</f>
        <v>✗</v>
      </c>
      <c r="Q183" s="23" t="str">
        <f>IFERROR(__xludf.DUMMYFUNCTION("if(REGEXMATCH(join("", "",$F183:$G183),Q$1)=TRUE,""✓"",""✗"")"),"✗")</f>
        <v>✗</v>
      </c>
      <c r="R183" s="23" t="str">
        <f>IFERROR(__xludf.DUMMYFUNCTION("if(REGEXMATCH(join("", "",$F183:$G183),R$1)=TRUE,""✓"",""✗"")"),"✗")</f>
        <v>✗</v>
      </c>
      <c r="S183" s="23" t="str">
        <f>IFERROR(__xludf.DUMMYFUNCTION("if(REGEXMATCH(join("", "",$F183:$G183),S$1)=TRUE,""✓"",""✗"")"),"✗")</f>
        <v>✗</v>
      </c>
      <c r="T183" s="23" t="str">
        <f>IFERROR(__xludf.DUMMYFUNCTION("if(REGEXMATCH(join("", "",$F183:$G183),T$1)=TRUE,""✓"",""✗"")"),"✗")</f>
        <v>✗</v>
      </c>
      <c r="U183" s="33"/>
      <c r="V183" s="33"/>
      <c r="W183" s="33"/>
      <c r="X183" s="33"/>
      <c r="Y183" s="33"/>
      <c r="Z183" s="33"/>
      <c r="AA183" s="33"/>
      <c r="AB183" s="33"/>
      <c r="AC183" s="33"/>
    </row>
    <row r="184" hidden="1">
      <c r="A184" s="17" t="s">
        <v>302</v>
      </c>
      <c r="B184" s="33"/>
      <c r="C184" s="33"/>
      <c r="D184" s="33"/>
      <c r="E184" s="33"/>
      <c r="F184" s="33"/>
      <c r="G184" s="33">
        <v>78.0</v>
      </c>
      <c r="H184" s="23" t="str">
        <f>IFERROR(__xludf.DUMMYFUNCTION("if(REGEXMATCH(join("", "",$F184:$G184),H$1)=TRUE,""✓"",""✗"")"),"✗")</f>
        <v>✗</v>
      </c>
      <c r="I184" s="23" t="str">
        <f>IFERROR(__xludf.DUMMYFUNCTION("if(REGEXMATCH(join("", "",$F184:$G184),I$1)=TRUE,""✓"",""✗"")"),"✗")</f>
        <v>✗</v>
      </c>
      <c r="J184" s="23" t="str">
        <f>IFERROR(__xludf.DUMMYFUNCTION("if(REGEXMATCH(join("", "",$F184:$G184),J$1)=TRUE,""✓"",""✗"")"),"✗")</f>
        <v>✗</v>
      </c>
      <c r="K184" s="23" t="str">
        <f>IFERROR(__xludf.DUMMYFUNCTION("if(REGEXMATCH(join("", "",$F184:$G184),K$1)=TRUE,""✓"",""✗"")"),"✗")</f>
        <v>✗</v>
      </c>
      <c r="L184" s="23" t="str">
        <f>IFERROR(__xludf.DUMMYFUNCTION("if(REGEXMATCH(join("", "",$F184:$G184),L$1)=TRUE,""✓"",""✗"")"),"✗")</f>
        <v>✗</v>
      </c>
      <c r="M184" s="23" t="str">
        <f>IFERROR(__xludf.DUMMYFUNCTION("if(REGEXMATCH(join("", "",$F184:$G184),M$1)=TRUE,""✓"",""✗"")"),"✗")</f>
        <v>✗</v>
      </c>
      <c r="N184" s="23" t="str">
        <f>IFERROR(__xludf.DUMMYFUNCTION("if(REGEXMATCH(join("", "",$F184:$G184),N$1)=TRUE,""✓"",""✗"")"),"✗")</f>
        <v>✗</v>
      </c>
      <c r="O184" s="23" t="str">
        <f>IFERROR(__xludf.DUMMYFUNCTION("if(REGEXMATCH(join("", "",$F184:$G184),O$1)=TRUE,""✓"",""✗"")"),"✗")</f>
        <v>✗</v>
      </c>
      <c r="P184" s="23" t="str">
        <f>IFERROR(__xludf.DUMMYFUNCTION("if(REGEXMATCH(join("", "",$F184:$G184),P$1)=TRUE,""✓"",""✗"")"),"✗")</f>
        <v>✗</v>
      </c>
      <c r="Q184" s="23" t="str">
        <f>IFERROR(__xludf.DUMMYFUNCTION("if(REGEXMATCH(join("", "",$F184:$G184),Q$1)=TRUE,""✓"",""✗"")"),"✗")</f>
        <v>✗</v>
      </c>
      <c r="R184" s="23" t="str">
        <f>IFERROR(__xludf.DUMMYFUNCTION("if(REGEXMATCH(join("", "",$F184:$G184),R$1)=TRUE,""✓"",""✗"")"),"✗")</f>
        <v>✗</v>
      </c>
      <c r="S184" s="23" t="str">
        <f>IFERROR(__xludf.DUMMYFUNCTION("if(REGEXMATCH(join("", "",$F184:$G184),S$1)=TRUE,""✓"",""✗"")"),"✗")</f>
        <v>✗</v>
      </c>
      <c r="T184" s="23" t="str">
        <f>IFERROR(__xludf.DUMMYFUNCTION("if(REGEXMATCH(join("", "",$F184:$G184),T$1)=TRUE,""✓"",""✗"")"),"✗")</f>
        <v>✗</v>
      </c>
      <c r="U184" s="33"/>
      <c r="V184" s="33"/>
      <c r="W184" s="33"/>
      <c r="X184" s="33"/>
      <c r="Y184" s="33"/>
      <c r="Z184" s="33"/>
      <c r="AA184" s="33"/>
      <c r="AB184" s="33"/>
      <c r="AC184" s="33"/>
    </row>
    <row r="185" hidden="1">
      <c r="A185" s="17" t="s">
        <v>302</v>
      </c>
      <c r="B185" s="33"/>
      <c r="C185" s="33"/>
      <c r="D185" s="33"/>
      <c r="E185" s="33"/>
      <c r="F185" s="33"/>
      <c r="G185" s="33">
        <v>79.0</v>
      </c>
      <c r="H185" s="23" t="str">
        <f>IFERROR(__xludf.DUMMYFUNCTION("if(REGEXMATCH(join("", "",$F185:$G185),H$1)=TRUE,""✓"",""✗"")"),"✗")</f>
        <v>✗</v>
      </c>
      <c r="I185" s="23" t="str">
        <f>IFERROR(__xludf.DUMMYFUNCTION("if(REGEXMATCH(join("", "",$F185:$G185),I$1)=TRUE,""✓"",""✗"")"),"✗")</f>
        <v>✗</v>
      </c>
      <c r="J185" s="23" t="str">
        <f>IFERROR(__xludf.DUMMYFUNCTION("if(REGEXMATCH(join("", "",$F185:$G185),J$1)=TRUE,""✓"",""✗"")"),"✗")</f>
        <v>✗</v>
      </c>
      <c r="K185" s="23" t="str">
        <f>IFERROR(__xludf.DUMMYFUNCTION("if(REGEXMATCH(join("", "",$F185:$G185),K$1)=TRUE,""✓"",""✗"")"),"✗")</f>
        <v>✗</v>
      </c>
      <c r="L185" s="23" t="str">
        <f>IFERROR(__xludf.DUMMYFUNCTION("if(REGEXMATCH(join("", "",$F185:$G185),L$1)=TRUE,""✓"",""✗"")"),"✗")</f>
        <v>✗</v>
      </c>
      <c r="M185" s="23" t="str">
        <f>IFERROR(__xludf.DUMMYFUNCTION("if(REGEXMATCH(join("", "",$F185:$G185),M$1)=TRUE,""✓"",""✗"")"),"✗")</f>
        <v>✗</v>
      </c>
      <c r="N185" s="23" t="str">
        <f>IFERROR(__xludf.DUMMYFUNCTION("if(REGEXMATCH(join("", "",$F185:$G185),N$1)=TRUE,""✓"",""✗"")"),"✗")</f>
        <v>✗</v>
      </c>
      <c r="O185" s="23" t="str">
        <f>IFERROR(__xludf.DUMMYFUNCTION("if(REGEXMATCH(join("", "",$F185:$G185),O$1)=TRUE,""✓"",""✗"")"),"✗")</f>
        <v>✗</v>
      </c>
      <c r="P185" s="23" t="str">
        <f>IFERROR(__xludf.DUMMYFUNCTION("if(REGEXMATCH(join("", "",$F185:$G185),P$1)=TRUE,""✓"",""✗"")"),"✗")</f>
        <v>✗</v>
      </c>
      <c r="Q185" s="23" t="str">
        <f>IFERROR(__xludf.DUMMYFUNCTION("if(REGEXMATCH(join("", "",$F185:$G185),Q$1)=TRUE,""✓"",""✗"")"),"✗")</f>
        <v>✗</v>
      </c>
      <c r="R185" s="23" t="str">
        <f>IFERROR(__xludf.DUMMYFUNCTION("if(REGEXMATCH(join("", "",$F185:$G185),R$1)=TRUE,""✓"",""✗"")"),"✗")</f>
        <v>✗</v>
      </c>
      <c r="S185" s="23" t="str">
        <f>IFERROR(__xludf.DUMMYFUNCTION("if(REGEXMATCH(join("", "",$F185:$G185),S$1)=TRUE,""✓"",""✗"")"),"✗")</f>
        <v>✗</v>
      </c>
      <c r="T185" s="23" t="str">
        <f>IFERROR(__xludf.DUMMYFUNCTION("if(REGEXMATCH(join("", "",$F185:$G185),T$1)=TRUE,""✓"",""✗"")"),"✗")</f>
        <v>✗</v>
      </c>
      <c r="U185" s="33"/>
      <c r="V185" s="33"/>
      <c r="W185" s="33"/>
      <c r="X185" s="33"/>
      <c r="Y185" s="33"/>
      <c r="Z185" s="33"/>
      <c r="AA185" s="33"/>
      <c r="AB185" s="33"/>
      <c r="AC185" s="33"/>
    </row>
    <row r="186" hidden="1">
      <c r="A186" s="17" t="s">
        <v>302</v>
      </c>
      <c r="B186" s="33"/>
      <c r="C186" s="33"/>
      <c r="D186" s="33"/>
      <c r="E186" s="33"/>
      <c r="F186" s="33"/>
      <c r="G186" s="33">
        <v>80.0</v>
      </c>
      <c r="H186" s="23" t="str">
        <f>IFERROR(__xludf.DUMMYFUNCTION("if(REGEXMATCH(join("", "",$F186:$G186),H$1)=TRUE,""✓"",""✗"")"),"✗")</f>
        <v>✗</v>
      </c>
      <c r="I186" s="23" t="str">
        <f>IFERROR(__xludf.DUMMYFUNCTION("if(REGEXMATCH(join("", "",$F186:$G186),I$1)=TRUE,""✓"",""✗"")"),"✗")</f>
        <v>✗</v>
      </c>
      <c r="J186" s="23" t="str">
        <f>IFERROR(__xludf.DUMMYFUNCTION("if(REGEXMATCH(join("", "",$F186:$G186),J$1)=TRUE,""✓"",""✗"")"),"✗")</f>
        <v>✗</v>
      </c>
      <c r="K186" s="23" t="str">
        <f>IFERROR(__xludf.DUMMYFUNCTION("if(REGEXMATCH(join("", "",$F186:$G186),K$1)=TRUE,""✓"",""✗"")"),"✗")</f>
        <v>✗</v>
      </c>
      <c r="L186" s="23" t="str">
        <f>IFERROR(__xludf.DUMMYFUNCTION("if(REGEXMATCH(join("", "",$F186:$G186),L$1)=TRUE,""✓"",""✗"")"),"✗")</f>
        <v>✗</v>
      </c>
      <c r="M186" s="23" t="str">
        <f>IFERROR(__xludf.DUMMYFUNCTION("if(REGEXMATCH(join("", "",$F186:$G186),M$1)=TRUE,""✓"",""✗"")"),"✗")</f>
        <v>✗</v>
      </c>
      <c r="N186" s="23" t="str">
        <f>IFERROR(__xludf.DUMMYFUNCTION("if(REGEXMATCH(join("", "",$F186:$G186),N$1)=TRUE,""✓"",""✗"")"),"✗")</f>
        <v>✗</v>
      </c>
      <c r="O186" s="23" t="str">
        <f>IFERROR(__xludf.DUMMYFUNCTION("if(REGEXMATCH(join("", "",$F186:$G186),O$1)=TRUE,""✓"",""✗"")"),"✗")</f>
        <v>✗</v>
      </c>
      <c r="P186" s="23" t="str">
        <f>IFERROR(__xludf.DUMMYFUNCTION("if(REGEXMATCH(join("", "",$F186:$G186),P$1)=TRUE,""✓"",""✗"")"),"✗")</f>
        <v>✗</v>
      </c>
      <c r="Q186" s="23" t="str">
        <f>IFERROR(__xludf.DUMMYFUNCTION("if(REGEXMATCH(join("", "",$F186:$G186),Q$1)=TRUE,""✓"",""✗"")"),"✗")</f>
        <v>✗</v>
      </c>
      <c r="R186" s="23" t="str">
        <f>IFERROR(__xludf.DUMMYFUNCTION("if(REGEXMATCH(join("", "",$F186:$G186),R$1)=TRUE,""✓"",""✗"")"),"✗")</f>
        <v>✗</v>
      </c>
      <c r="S186" s="23" t="str">
        <f>IFERROR(__xludf.DUMMYFUNCTION("if(REGEXMATCH(join("", "",$F186:$G186),S$1)=TRUE,""✓"",""✗"")"),"✗")</f>
        <v>✗</v>
      </c>
      <c r="T186" s="23" t="str">
        <f>IFERROR(__xludf.DUMMYFUNCTION("if(REGEXMATCH(join("", "",$F186:$G186),T$1)=TRUE,""✓"",""✗"")"),"✗")</f>
        <v>✗</v>
      </c>
      <c r="U186" s="33"/>
      <c r="V186" s="33"/>
      <c r="W186" s="33"/>
      <c r="X186" s="33"/>
      <c r="Y186" s="33"/>
      <c r="Z186" s="33"/>
      <c r="AA186" s="33"/>
      <c r="AB186" s="33"/>
      <c r="AC186" s="33"/>
    </row>
    <row r="187" hidden="1">
      <c r="A187" s="17" t="s">
        <v>302</v>
      </c>
      <c r="B187" s="33"/>
      <c r="C187" s="33"/>
      <c r="D187" s="33"/>
      <c r="E187" s="33"/>
      <c r="F187" s="33"/>
      <c r="G187" s="33">
        <v>81.0</v>
      </c>
      <c r="H187" s="23" t="str">
        <f>IFERROR(__xludf.DUMMYFUNCTION("if(REGEXMATCH(join("", "",$F187:$G187),H$1)=TRUE,""✓"",""✗"")"),"✗")</f>
        <v>✗</v>
      </c>
      <c r="I187" s="23" t="str">
        <f>IFERROR(__xludf.DUMMYFUNCTION("if(REGEXMATCH(join("", "",$F187:$G187),I$1)=TRUE,""✓"",""✗"")"),"✗")</f>
        <v>✗</v>
      </c>
      <c r="J187" s="23" t="str">
        <f>IFERROR(__xludf.DUMMYFUNCTION("if(REGEXMATCH(join("", "",$F187:$G187),J$1)=TRUE,""✓"",""✗"")"),"✗")</f>
        <v>✗</v>
      </c>
      <c r="K187" s="23" t="str">
        <f>IFERROR(__xludf.DUMMYFUNCTION("if(REGEXMATCH(join("", "",$F187:$G187),K$1)=TRUE,""✓"",""✗"")"),"✗")</f>
        <v>✗</v>
      </c>
      <c r="L187" s="23" t="str">
        <f>IFERROR(__xludf.DUMMYFUNCTION("if(REGEXMATCH(join("", "",$F187:$G187),L$1)=TRUE,""✓"",""✗"")"),"✗")</f>
        <v>✗</v>
      </c>
      <c r="M187" s="23" t="str">
        <f>IFERROR(__xludf.DUMMYFUNCTION("if(REGEXMATCH(join("", "",$F187:$G187),M$1)=TRUE,""✓"",""✗"")"),"✗")</f>
        <v>✗</v>
      </c>
      <c r="N187" s="23" t="str">
        <f>IFERROR(__xludf.DUMMYFUNCTION("if(REGEXMATCH(join("", "",$F187:$G187),N$1)=TRUE,""✓"",""✗"")"),"✗")</f>
        <v>✗</v>
      </c>
      <c r="O187" s="23" t="str">
        <f>IFERROR(__xludf.DUMMYFUNCTION("if(REGEXMATCH(join("", "",$F187:$G187),O$1)=TRUE,""✓"",""✗"")"),"✗")</f>
        <v>✗</v>
      </c>
      <c r="P187" s="23" t="str">
        <f>IFERROR(__xludf.DUMMYFUNCTION("if(REGEXMATCH(join("", "",$F187:$G187),P$1)=TRUE,""✓"",""✗"")"),"✗")</f>
        <v>✗</v>
      </c>
      <c r="Q187" s="23" t="str">
        <f>IFERROR(__xludf.DUMMYFUNCTION("if(REGEXMATCH(join("", "",$F187:$G187),Q$1)=TRUE,""✓"",""✗"")"),"✗")</f>
        <v>✗</v>
      </c>
      <c r="R187" s="23" t="str">
        <f>IFERROR(__xludf.DUMMYFUNCTION("if(REGEXMATCH(join("", "",$F187:$G187),R$1)=TRUE,""✓"",""✗"")"),"✗")</f>
        <v>✗</v>
      </c>
      <c r="S187" s="23" t="str">
        <f>IFERROR(__xludf.DUMMYFUNCTION("if(REGEXMATCH(join("", "",$F187:$G187),S$1)=TRUE,""✓"",""✗"")"),"✗")</f>
        <v>✗</v>
      </c>
      <c r="T187" s="23" t="str">
        <f>IFERROR(__xludf.DUMMYFUNCTION("if(REGEXMATCH(join("", "",$F187:$G187),T$1)=TRUE,""✓"",""✗"")"),"✗")</f>
        <v>✗</v>
      </c>
      <c r="U187" s="33"/>
      <c r="V187" s="33"/>
      <c r="W187" s="33"/>
      <c r="X187" s="33"/>
      <c r="Y187" s="33"/>
      <c r="Z187" s="33"/>
      <c r="AA187" s="33"/>
      <c r="AB187" s="33"/>
      <c r="AC187" s="33"/>
    </row>
    <row r="188" hidden="1">
      <c r="A188" s="17" t="s">
        <v>302</v>
      </c>
      <c r="B188" s="33"/>
      <c r="C188" s="33"/>
      <c r="D188" s="33"/>
      <c r="E188" s="33"/>
      <c r="F188" s="33"/>
      <c r="G188" s="33">
        <v>82.0</v>
      </c>
      <c r="H188" s="23" t="str">
        <f>IFERROR(__xludf.DUMMYFUNCTION("if(REGEXMATCH(join("", "",$F188:$G188),H$1)=TRUE,""✓"",""✗"")"),"✗")</f>
        <v>✗</v>
      </c>
      <c r="I188" s="23" t="str">
        <f>IFERROR(__xludf.DUMMYFUNCTION("if(REGEXMATCH(join("", "",$F188:$G188),I$1)=TRUE,""✓"",""✗"")"),"✗")</f>
        <v>✗</v>
      </c>
      <c r="J188" s="23" t="str">
        <f>IFERROR(__xludf.DUMMYFUNCTION("if(REGEXMATCH(join("", "",$F188:$G188),J$1)=TRUE,""✓"",""✗"")"),"✗")</f>
        <v>✗</v>
      </c>
      <c r="K188" s="23" t="str">
        <f>IFERROR(__xludf.DUMMYFUNCTION("if(REGEXMATCH(join("", "",$F188:$G188),K$1)=TRUE,""✓"",""✗"")"),"✗")</f>
        <v>✗</v>
      </c>
      <c r="L188" s="23" t="str">
        <f>IFERROR(__xludf.DUMMYFUNCTION("if(REGEXMATCH(join("", "",$F188:$G188),L$1)=TRUE,""✓"",""✗"")"),"✗")</f>
        <v>✗</v>
      </c>
      <c r="M188" s="23" t="str">
        <f>IFERROR(__xludf.DUMMYFUNCTION("if(REGEXMATCH(join("", "",$F188:$G188),M$1)=TRUE,""✓"",""✗"")"),"✗")</f>
        <v>✗</v>
      </c>
      <c r="N188" s="23" t="str">
        <f>IFERROR(__xludf.DUMMYFUNCTION("if(REGEXMATCH(join("", "",$F188:$G188),N$1)=TRUE,""✓"",""✗"")"),"✗")</f>
        <v>✗</v>
      </c>
      <c r="O188" s="23" t="str">
        <f>IFERROR(__xludf.DUMMYFUNCTION("if(REGEXMATCH(join("", "",$F188:$G188),O$1)=TRUE,""✓"",""✗"")"),"✗")</f>
        <v>✗</v>
      </c>
      <c r="P188" s="23" t="str">
        <f>IFERROR(__xludf.DUMMYFUNCTION("if(REGEXMATCH(join("", "",$F188:$G188),P$1)=TRUE,""✓"",""✗"")"),"✗")</f>
        <v>✗</v>
      </c>
      <c r="Q188" s="23" t="str">
        <f>IFERROR(__xludf.DUMMYFUNCTION("if(REGEXMATCH(join("", "",$F188:$G188),Q$1)=TRUE,""✓"",""✗"")"),"✗")</f>
        <v>✗</v>
      </c>
      <c r="R188" s="23" t="str">
        <f>IFERROR(__xludf.DUMMYFUNCTION("if(REGEXMATCH(join("", "",$F188:$G188),R$1)=TRUE,""✓"",""✗"")"),"✗")</f>
        <v>✗</v>
      </c>
      <c r="S188" s="23" t="str">
        <f>IFERROR(__xludf.DUMMYFUNCTION("if(REGEXMATCH(join("", "",$F188:$G188),S$1)=TRUE,""✓"",""✗"")"),"✗")</f>
        <v>✗</v>
      </c>
      <c r="T188" s="23" t="str">
        <f>IFERROR(__xludf.DUMMYFUNCTION("if(REGEXMATCH(join("", "",$F188:$G188),T$1)=TRUE,""✓"",""✗"")"),"✗")</f>
        <v>✗</v>
      </c>
      <c r="U188" s="33"/>
      <c r="V188" s="33"/>
      <c r="W188" s="33"/>
      <c r="X188" s="33"/>
      <c r="Y188" s="33"/>
      <c r="Z188" s="33"/>
      <c r="AA188" s="33"/>
      <c r="AB188" s="33"/>
      <c r="AC188" s="33"/>
    </row>
    <row r="189" hidden="1">
      <c r="A189" s="17" t="s">
        <v>302</v>
      </c>
      <c r="B189" s="33"/>
      <c r="C189" s="33"/>
      <c r="D189" s="33"/>
      <c r="E189" s="33"/>
      <c r="F189" s="33"/>
      <c r="G189" s="33">
        <v>83.0</v>
      </c>
      <c r="H189" s="23" t="str">
        <f>IFERROR(__xludf.DUMMYFUNCTION("if(REGEXMATCH(join("", "",$F189:$G189),H$1)=TRUE,""✓"",""✗"")"),"✗")</f>
        <v>✗</v>
      </c>
      <c r="I189" s="23" t="str">
        <f>IFERROR(__xludf.DUMMYFUNCTION("if(REGEXMATCH(join("", "",$F189:$G189),I$1)=TRUE,""✓"",""✗"")"),"✗")</f>
        <v>✗</v>
      </c>
      <c r="J189" s="23" t="str">
        <f>IFERROR(__xludf.DUMMYFUNCTION("if(REGEXMATCH(join("", "",$F189:$G189),J$1)=TRUE,""✓"",""✗"")"),"✗")</f>
        <v>✗</v>
      </c>
      <c r="K189" s="23" t="str">
        <f>IFERROR(__xludf.DUMMYFUNCTION("if(REGEXMATCH(join("", "",$F189:$G189),K$1)=TRUE,""✓"",""✗"")"),"✗")</f>
        <v>✗</v>
      </c>
      <c r="L189" s="23" t="str">
        <f>IFERROR(__xludf.DUMMYFUNCTION("if(REGEXMATCH(join("", "",$F189:$G189),L$1)=TRUE,""✓"",""✗"")"),"✗")</f>
        <v>✗</v>
      </c>
      <c r="M189" s="23" t="str">
        <f>IFERROR(__xludf.DUMMYFUNCTION("if(REGEXMATCH(join("", "",$F189:$G189),M$1)=TRUE,""✓"",""✗"")"),"✗")</f>
        <v>✗</v>
      </c>
      <c r="N189" s="23" t="str">
        <f>IFERROR(__xludf.DUMMYFUNCTION("if(REGEXMATCH(join("", "",$F189:$G189),N$1)=TRUE,""✓"",""✗"")"),"✗")</f>
        <v>✗</v>
      </c>
      <c r="O189" s="23" t="str">
        <f>IFERROR(__xludf.DUMMYFUNCTION("if(REGEXMATCH(join("", "",$F189:$G189),O$1)=TRUE,""✓"",""✗"")"),"✗")</f>
        <v>✗</v>
      </c>
      <c r="P189" s="23" t="str">
        <f>IFERROR(__xludf.DUMMYFUNCTION("if(REGEXMATCH(join("", "",$F189:$G189),P$1)=TRUE,""✓"",""✗"")"),"✗")</f>
        <v>✗</v>
      </c>
      <c r="Q189" s="23" t="str">
        <f>IFERROR(__xludf.DUMMYFUNCTION("if(REGEXMATCH(join("", "",$F189:$G189),Q$1)=TRUE,""✓"",""✗"")"),"✗")</f>
        <v>✗</v>
      </c>
      <c r="R189" s="23" t="str">
        <f>IFERROR(__xludf.DUMMYFUNCTION("if(REGEXMATCH(join("", "",$F189:$G189),R$1)=TRUE,""✓"",""✗"")"),"✗")</f>
        <v>✗</v>
      </c>
      <c r="S189" s="23" t="str">
        <f>IFERROR(__xludf.DUMMYFUNCTION("if(REGEXMATCH(join("", "",$F189:$G189),S$1)=TRUE,""✓"",""✗"")"),"✗")</f>
        <v>✗</v>
      </c>
      <c r="T189" s="23" t="str">
        <f>IFERROR(__xludf.DUMMYFUNCTION("if(REGEXMATCH(join("", "",$F189:$G189),T$1)=TRUE,""✓"",""✗"")"),"✗")</f>
        <v>✗</v>
      </c>
      <c r="U189" s="33"/>
      <c r="V189" s="33"/>
      <c r="W189" s="33"/>
      <c r="X189" s="33"/>
      <c r="Y189" s="33"/>
      <c r="Z189" s="33"/>
      <c r="AA189" s="33"/>
      <c r="AB189" s="33"/>
      <c r="AC189" s="33"/>
    </row>
    <row r="190" hidden="1">
      <c r="A190" s="17" t="s">
        <v>302</v>
      </c>
      <c r="B190" s="33"/>
      <c r="C190" s="33"/>
      <c r="D190" s="33"/>
      <c r="E190" s="33"/>
      <c r="F190" s="33"/>
      <c r="G190" s="33">
        <v>84.0</v>
      </c>
      <c r="H190" s="23" t="str">
        <f>IFERROR(__xludf.DUMMYFUNCTION("if(REGEXMATCH(join("", "",$F190:$G190),H$1)=TRUE,""✓"",""✗"")"),"✗")</f>
        <v>✗</v>
      </c>
      <c r="I190" s="23" t="str">
        <f>IFERROR(__xludf.DUMMYFUNCTION("if(REGEXMATCH(join("", "",$F190:$G190),I$1)=TRUE,""✓"",""✗"")"),"✗")</f>
        <v>✗</v>
      </c>
      <c r="J190" s="23" t="str">
        <f>IFERROR(__xludf.DUMMYFUNCTION("if(REGEXMATCH(join("", "",$F190:$G190),J$1)=TRUE,""✓"",""✗"")"),"✗")</f>
        <v>✗</v>
      </c>
      <c r="K190" s="23" t="str">
        <f>IFERROR(__xludf.DUMMYFUNCTION("if(REGEXMATCH(join("", "",$F190:$G190),K$1)=TRUE,""✓"",""✗"")"),"✗")</f>
        <v>✗</v>
      </c>
      <c r="L190" s="23" t="str">
        <f>IFERROR(__xludf.DUMMYFUNCTION("if(REGEXMATCH(join("", "",$F190:$G190),L$1)=TRUE,""✓"",""✗"")"),"✗")</f>
        <v>✗</v>
      </c>
      <c r="M190" s="23" t="str">
        <f>IFERROR(__xludf.DUMMYFUNCTION("if(REGEXMATCH(join("", "",$F190:$G190),M$1)=TRUE,""✓"",""✗"")"),"✗")</f>
        <v>✗</v>
      </c>
      <c r="N190" s="23" t="str">
        <f>IFERROR(__xludf.DUMMYFUNCTION("if(REGEXMATCH(join("", "",$F190:$G190),N$1)=TRUE,""✓"",""✗"")"),"✗")</f>
        <v>✗</v>
      </c>
      <c r="O190" s="23" t="str">
        <f>IFERROR(__xludf.DUMMYFUNCTION("if(REGEXMATCH(join("", "",$F190:$G190),O$1)=TRUE,""✓"",""✗"")"),"✗")</f>
        <v>✗</v>
      </c>
      <c r="P190" s="23" t="str">
        <f>IFERROR(__xludf.DUMMYFUNCTION("if(REGEXMATCH(join("", "",$F190:$G190),P$1)=TRUE,""✓"",""✗"")"),"✗")</f>
        <v>✗</v>
      </c>
      <c r="Q190" s="23" t="str">
        <f>IFERROR(__xludf.DUMMYFUNCTION("if(REGEXMATCH(join("", "",$F190:$G190),Q$1)=TRUE,""✓"",""✗"")"),"✗")</f>
        <v>✗</v>
      </c>
      <c r="R190" s="23" t="str">
        <f>IFERROR(__xludf.DUMMYFUNCTION("if(REGEXMATCH(join("", "",$F190:$G190),R$1)=TRUE,""✓"",""✗"")"),"✗")</f>
        <v>✗</v>
      </c>
      <c r="S190" s="23" t="str">
        <f>IFERROR(__xludf.DUMMYFUNCTION("if(REGEXMATCH(join("", "",$F190:$G190),S$1)=TRUE,""✓"",""✗"")"),"✗")</f>
        <v>✗</v>
      </c>
      <c r="T190" s="23" t="str">
        <f>IFERROR(__xludf.DUMMYFUNCTION("if(REGEXMATCH(join("", "",$F190:$G190),T$1)=TRUE,""✓"",""✗"")"),"✗")</f>
        <v>✗</v>
      </c>
      <c r="U190" s="33"/>
      <c r="V190" s="33"/>
      <c r="W190" s="33"/>
      <c r="X190" s="33"/>
      <c r="Y190" s="33"/>
      <c r="Z190" s="33"/>
      <c r="AA190" s="33"/>
      <c r="AB190" s="33"/>
      <c r="AC190" s="33"/>
    </row>
    <row r="191" hidden="1">
      <c r="A191" s="17" t="s">
        <v>302</v>
      </c>
      <c r="B191" s="33"/>
      <c r="C191" s="33"/>
      <c r="D191" s="33"/>
      <c r="E191" s="33"/>
      <c r="F191" s="33"/>
      <c r="G191" s="33">
        <v>85.0</v>
      </c>
      <c r="H191" s="23" t="str">
        <f>IFERROR(__xludf.DUMMYFUNCTION("if(REGEXMATCH(join("", "",$F191:$G191),H$1)=TRUE,""✓"",""✗"")"),"✗")</f>
        <v>✗</v>
      </c>
      <c r="I191" s="23" t="str">
        <f>IFERROR(__xludf.DUMMYFUNCTION("if(REGEXMATCH(join("", "",$F191:$G191),I$1)=TRUE,""✓"",""✗"")"),"✗")</f>
        <v>✗</v>
      </c>
      <c r="J191" s="23" t="str">
        <f>IFERROR(__xludf.DUMMYFUNCTION("if(REGEXMATCH(join("", "",$F191:$G191),J$1)=TRUE,""✓"",""✗"")"),"✗")</f>
        <v>✗</v>
      </c>
      <c r="K191" s="23" t="str">
        <f>IFERROR(__xludf.DUMMYFUNCTION("if(REGEXMATCH(join("", "",$F191:$G191),K$1)=TRUE,""✓"",""✗"")"),"✗")</f>
        <v>✗</v>
      </c>
      <c r="L191" s="23" t="str">
        <f>IFERROR(__xludf.DUMMYFUNCTION("if(REGEXMATCH(join("", "",$F191:$G191),L$1)=TRUE,""✓"",""✗"")"),"✗")</f>
        <v>✗</v>
      </c>
      <c r="M191" s="23" t="str">
        <f>IFERROR(__xludf.DUMMYFUNCTION("if(REGEXMATCH(join("", "",$F191:$G191),M$1)=TRUE,""✓"",""✗"")"),"✗")</f>
        <v>✗</v>
      </c>
      <c r="N191" s="23" t="str">
        <f>IFERROR(__xludf.DUMMYFUNCTION("if(REGEXMATCH(join("", "",$F191:$G191),N$1)=TRUE,""✓"",""✗"")"),"✗")</f>
        <v>✗</v>
      </c>
      <c r="O191" s="23" t="str">
        <f>IFERROR(__xludf.DUMMYFUNCTION("if(REGEXMATCH(join("", "",$F191:$G191),O$1)=TRUE,""✓"",""✗"")"),"✗")</f>
        <v>✗</v>
      </c>
      <c r="P191" s="23" t="str">
        <f>IFERROR(__xludf.DUMMYFUNCTION("if(REGEXMATCH(join("", "",$F191:$G191),P$1)=TRUE,""✓"",""✗"")"),"✗")</f>
        <v>✗</v>
      </c>
      <c r="Q191" s="23" t="str">
        <f>IFERROR(__xludf.DUMMYFUNCTION("if(REGEXMATCH(join("", "",$F191:$G191),Q$1)=TRUE,""✓"",""✗"")"),"✗")</f>
        <v>✗</v>
      </c>
      <c r="R191" s="23" t="str">
        <f>IFERROR(__xludf.DUMMYFUNCTION("if(REGEXMATCH(join("", "",$F191:$G191),R$1)=TRUE,""✓"",""✗"")"),"✗")</f>
        <v>✗</v>
      </c>
      <c r="S191" s="23" t="str">
        <f>IFERROR(__xludf.DUMMYFUNCTION("if(REGEXMATCH(join("", "",$F191:$G191),S$1)=TRUE,""✓"",""✗"")"),"✗")</f>
        <v>✗</v>
      </c>
      <c r="T191" s="23" t="str">
        <f>IFERROR(__xludf.DUMMYFUNCTION("if(REGEXMATCH(join("", "",$F191:$G191),T$1)=TRUE,""✓"",""✗"")"),"✗")</f>
        <v>✗</v>
      </c>
      <c r="U191" s="33"/>
      <c r="V191" s="33"/>
      <c r="W191" s="33"/>
      <c r="X191" s="33"/>
      <c r="Y191" s="33"/>
      <c r="Z191" s="33"/>
      <c r="AA191" s="33"/>
      <c r="AB191" s="33"/>
      <c r="AC191" s="33"/>
    </row>
    <row r="192" hidden="1">
      <c r="A192" s="17" t="s">
        <v>302</v>
      </c>
      <c r="B192" s="33"/>
      <c r="C192" s="33"/>
      <c r="D192" s="33"/>
      <c r="E192" s="33"/>
      <c r="F192" s="33"/>
      <c r="G192" s="33">
        <v>86.0</v>
      </c>
      <c r="H192" s="23" t="str">
        <f>IFERROR(__xludf.DUMMYFUNCTION("if(REGEXMATCH(join("", "",$F192:$G192),H$1)=TRUE,""✓"",""✗"")"),"✗")</f>
        <v>✗</v>
      </c>
      <c r="I192" s="23" t="str">
        <f>IFERROR(__xludf.DUMMYFUNCTION("if(REGEXMATCH(join("", "",$F192:$G192),I$1)=TRUE,""✓"",""✗"")"),"✗")</f>
        <v>✗</v>
      </c>
      <c r="J192" s="23" t="str">
        <f>IFERROR(__xludf.DUMMYFUNCTION("if(REGEXMATCH(join("", "",$F192:$G192),J$1)=TRUE,""✓"",""✗"")"),"✗")</f>
        <v>✗</v>
      </c>
      <c r="K192" s="23" t="str">
        <f>IFERROR(__xludf.DUMMYFUNCTION("if(REGEXMATCH(join("", "",$F192:$G192),K$1)=TRUE,""✓"",""✗"")"),"✗")</f>
        <v>✗</v>
      </c>
      <c r="L192" s="23" t="str">
        <f>IFERROR(__xludf.DUMMYFUNCTION("if(REGEXMATCH(join("", "",$F192:$G192),L$1)=TRUE,""✓"",""✗"")"),"✗")</f>
        <v>✗</v>
      </c>
      <c r="M192" s="23" t="str">
        <f>IFERROR(__xludf.DUMMYFUNCTION("if(REGEXMATCH(join("", "",$F192:$G192),M$1)=TRUE,""✓"",""✗"")"),"✗")</f>
        <v>✗</v>
      </c>
      <c r="N192" s="23" t="str">
        <f>IFERROR(__xludf.DUMMYFUNCTION("if(REGEXMATCH(join("", "",$F192:$G192),N$1)=TRUE,""✓"",""✗"")"),"✗")</f>
        <v>✗</v>
      </c>
      <c r="O192" s="23" t="str">
        <f>IFERROR(__xludf.DUMMYFUNCTION("if(REGEXMATCH(join("", "",$F192:$G192),O$1)=TRUE,""✓"",""✗"")"),"✗")</f>
        <v>✗</v>
      </c>
      <c r="P192" s="23" t="str">
        <f>IFERROR(__xludf.DUMMYFUNCTION("if(REGEXMATCH(join("", "",$F192:$G192),P$1)=TRUE,""✓"",""✗"")"),"✗")</f>
        <v>✗</v>
      </c>
      <c r="Q192" s="23" t="str">
        <f>IFERROR(__xludf.DUMMYFUNCTION("if(REGEXMATCH(join("", "",$F192:$G192),Q$1)=TRUE,""✓"",""✗"")"),"✗")</f>
        <v>✗</v>
      </c>
      <c r="R192" s="23" t="str">
        <f>IFERROR(__xludf.DUMMYFUNCTION("if(REGEXMATCH(join("", "",$F192:$G192),R$1)=TRUE,""✓"",""✗"")"),"✗")</f>
        <v>✗</v>
      </c>
      <c r="S192" s="23" t="str">
        <f>IFERROR(__xludf.DUMMYFUNCTION("if(REGEXMATCH(join("", "",$F192:$G192),S$1)=TRUE,""✓"",""✗"")"),"✗")</f>
        <v>✗</v>
      </c>
      <c r="T192" s="23" t="str">
        <f>IFERROR(__xludf.DUMMYFUNCTION("if(REGEXMATCH(join("", "",$F192:$G192),T$1)=TRUE,""✓"",""✗"")"),"✗")</f>
        <v>✗</v>
      </c>
      <c r="U192" s="33"/>
      <c r="V192" s="33"/>
      <c r="W192" s="33"/>
      <c r="X192" s="33"/>
      <c r="Y192" s="33"/>
      <c r="Z192" s="33"/>
      <c r="AA192" s="33"/>
      <c r="AB192" s="33"/>
      <c r="AC192" s="33"/>
    </row>
    <row r="193" hidden="1">
      <c r="A193" s="17" t="s">
        <v>302</v>
      </c>
      <c r="B193" s="33"/>
      <c r="C193" s="33"/>
      <c r="D193" s="33"/>
      <c r="E193" s="33"/>
      <c r="F193" s="33"/>
      <c r="G193" s="33">
        <v>87.0</v>
      </c>
      <c r="H193" s="23" t="str">
        <f>IFERROR(__xludf.DUMMYFUNCTION("if(REGEXMATCH(join("", "",$F193:$G193),H$1)=TRUE,""✓"",""✗"")"),"✗")</f>
        <v>✗</v>
      </c>
      <c r="I193" s="23" t="str">
        <f>IFERROR(__xludf.DUMMYFUNCTION("if(REGEXMATCH(join("", "",$F193:$G193),I$1)=TRUE,""✓"",""✗"")"),"✗")</f>
        <v>✗</v>
      </c>
      <c r="J193" s="23" t="str">
        <f>IFERROR(__xludf.DUMMYFUNCTION("if(REGEXMATCH(join("", "",$F193:$G193),J$1)=TRUE,""✓"",""✗"")"),"✗")</f>
        <v>✗</v>
      </c>
      <c r="K193" s="23" t="str">
        <f>IFERROR(__xludf.DUMMYFUNCTION("if(REGEXMATCH(join("", "",$F193:$G193),K$1)=TRUE,""✓"",""✗"")"),"✗")</f>
        <v>✗</v>
      </c>
      <c r="L193" s="23" t="str">
        <f>IFERROR(__xludf.DUMMYFUNCTION("if(REGEXMATCH(join("", "",$F193:$G193),L$1)=TRUE,""✓"",""✗"")"),"✗")</f>
        <v>✗</v>
      </c>
      <c r="M193" s="23" t="str">
        <f>IFERROR(__xludf.DUMMYFUNCTION("if(REGEXMATCH(join("", "",$F193:$G193),M$1)=TRUE,""✓"",""✗"")"),"✗")</f>
        <v>✗</v>
      </c>
      <c r="N193" s="23" t="str">
        <f>IFERROR(__xludf.DUMMYFUNCTION("if(REGEXMATCH(join("", "",$F193:$G193),N$1)=TRUE,""✓"",""✗"")"),"✗")</f>
        <v>✗</v>
      </c>
      <c r="O193" s="23" t="str">
        <f>IFERROR(__xludf.DUMMYFUNCTION("if(REGEXMATCH(join("", "",$F193:$G193),O$1)=TRUE,""✓"",""✗"")"),"✗")</f>
        <v>✗</v>
      </c>
      <c r="P193" s="23" t="str">
        <f>IFERROR(__xludf.DUMMYFUNCTION("if(REGEXMATCH(join("", "",$F193:$G193),P$1)=TRUE,""✓"",""✗"")"),"✗")</f>
        <v>✗</v>
      </c>
      <c r="Q193" s="23" t="str">
        <f>IFERROR(__xludf.DUMMYFUNCTION("if(REGEXMATCH(join("", "",$F193:$G193),Q$1)=TRUE,""✓"",""✗"")"),"✗")</f>
        <v>✗</v>
      </c>
      <c r="R193" s="23" t="str">
        <f>IFERROR(__xludf.DUMMYFUNCTION("if(REGEXMATCH(join("", "",$F193:$G193),R$1)=TRUE,""✓"",""✗"")"),"✗")</f>
        <v>✗</v>
      </c>
      <c r="S193" s="23" t="str">
        <f>IFERROR(__xludf.DUMMYFUNCTION("if(REGEXMATCH(join("", "",$F193:$G193),S$1)=TRUE,""✓"",""✗"")"),"✗")</f>
        <v>✗</v>
      </c>
      <c r="T193" s="23" t="str">
        <f>IFERROR(__xludf.DUMMYFUNCTION("if(REGEXMATCH(join("", "",$F193:$G193),T$1)=TRUE,""✓"",""✗"")"),"✗")</f>
        <v>✗</v>
      </c>
      <c r="U193" s="33"/>
      <c r="V193" s="33"/>
      <c r="W193" s="33"/>
      <c r="X193" s="33"/>
      <c r="Y193" s="33"/>
      <c r="Z193" s="33"/>
      <c r="AA193" s="33"/>
      <c r="AB193" s="33"/>
      <c r="AC193" s="33"/>
    </row>
    <row r="194" hidden="1">
      <c r="A194" s="17" t="s">
        <v>302</v>
      </c>
      <c r="B194" s="33"/>
      <c r="C194" s="33"/>
      <c r="D194" s="33"/>
      <c r="E194" s="33"/>
      <c r="F194" s="33"/>
      <c r="G194" s="33">
        <v>88.0</v>
      </c>
      <c r="H194" s="23" t="str">
        <f>IFERROR(__xludf.DUMMYFUNCTION("if(REGEXMATCH(join("", "",$F194:$G194),H$1)=TRUE,""✓"",""✗"")"),"✗")</f>
        <v>✗</v>
      </c>
      <c r="I194" s="23" t="str">
        <f>IFERROR(__xludf.DUMMYFUNCTION("if(REGEXMATCH(join("", "",$F194:$G194),I$1)=TRUE,""✓"",""✗"")"),"✗")</f>
        <v>✗</v>
      </c>
      <c r="J194" s="23" t="str">
        <f>IFERROR(__xludf.DUMMYFUNCTION("if(REGEXMATCH(join("", "",$F194:$G194),J$1)=TRUE,""✓"",""✗"")"),"✗")</f>
        <v>✗</v>
      </c>
      <c r="K194" s="23" t="str">
        <f>IFERROR(__xludf.DUMMYFUNCTION("if(REGEXMATCH(join("", "",$F194:$G194),K$1)=TRUE,""✓"",""✗"")"),"✗")</f>
        <v>✗</v>
      </c>
      <c r="L194" s="23" t="str">
        <f>IFERROR(__xludf.DUMMYFUNCTION("if(REGEXMATCH(join("", "",$F194:$G194),L$1)=TRUE,""✓"",""✗"")"),"✗")</f>
        <v>✗</v>
      </c>
      <c r="M194" s="23" t="str">
        <f>IFERROR(__xludf.DUMMYFUNCTION("if(REGEXMATCH(join("", "",$F194:$G194),M$1)=TRUE,""✓"",""✗"")"),"✗")</f>
        <v>✗</v>
      </c>
      <c r="N194" s="23" t="str">
        <f>IFERROR(__xludf.DUMMYFUNCTION("if(REGEXMATCH(join("", "",$F194:$G194),N$1)=TRUE,""✓"",""✗"")"),"✗")</f>
        <v>✗</v>
      </c>
      <c r="O194" s="23" t="str">
        <f>IFERROR(__xludf.DUMMYFUNCTION("if(REGEXMATCH(join("", "",$F194:$G194),O$1)=TRUE,""✓"",""✗"")"),"✗")</f>
        <v>✗</v>
      </c>
      <c r="P194" s="23" t="str">
        <f>IFERROR(__xludf.DUMMYFUNCTION("if(REGEXMATCH(join("", "",$F194:$G194),P$1)=TRUE,""✓"",""✗"")"),"✗")</f>
        <v>✗</v>
      </c>
      <c r="Q194" s="23" t="str">
        <f>IFERROR(__xludf.DUMMYFUNCTION("if(REGEXMATCH(join("", "",$F194:$G194),Q$1)=TRUE,""✓"",""✗"")"),"✗")</f>
        <v>✗</v>
      </c>
      <c r="R194" s="23" t="str">
        <f>IFERROR(__xludf.DUMMYFUNCTION("if(REGEXMATCH(join("", "",$F194:$G194),R$1)=TRUE,""✓"",""✗"")"),"✗")</f>
        <v>✗</v>
      </c>
      <c r="S194" s="23" t="str">
        <f>IFERROR(__xludf.DUMMYFUNCTION("if(REGEXMATCH(join("", "",$F194:$G194),S$1)=TRUE,""✓"",""✗"")"),"✗")</f>
        <v>✗</v>
      </c>
      <c r="T194" s="23" t="str">
        <f>IFERROR(__xludf.DUMMYFUNCTION("if(REGEXMATCH(join("", "",$F194:$G194),T$1)=TRUE,""✓"",""✗"")"),"✗")</f>
        <v>✗</v>
      </c>
      <c r="U194" s="33"/>
      <c r="V194" s="33"/>
      <c r="W194" s="33"/>
      <c r="X194" s="33"/>
      <c r="Y194" s="33"/>
      <c r="Z194" s="33"/>
      <c r="AA194" s="33"/>
      <c r="AB194" s="33"/>
      <c r="AC194" s="33"/>
    </row>
    <row r="195" hidden="1">
      <c r="A195" s="17" t="s">
        <v>302</v>
      </c>
      <c r="B195" s="33"/>
      <c r="C195" s="33"/>
      <c r="D195" s="33"/>
      <c r="E195" s="33"/>
      <c r="F195" s="33"/>
      <c r="G195" s="33">
        <v>89.0</v>
      </c>
      <c r="H195" s="23" t="str">
        <f>IFERROR(__xludf.DUMMYFUNCTION("if(REGEXMATCH(join("", "",$F195:$G195),H$1)=TRUE,""✓"",""✗"")"),"✗")</f>
        <v>✗</v>
      </c>
      <c r="I195" s="23" t="str">
        <f>IFERROR(__xludf.DUMMYFUNCTION("if(REGEXMATCH(join("", "",$F195:$G195),I$1)=TRUE,""✓"",""✗"")"),"✗")</f>
        <v>✗</v>
      </c>
      <c r="J195" s="23" t="str">
        <f>IFERROR(__xludf.DUMMYFUNCTION("if(REGEXMATCH(join("", "",$F195:$G195),J$1)=TRUE,""✓"",""✗"")"),"✗")</f>
        <v>✗</v>
      </c>
      <c r="K195" s="23" t="str">
        <f>IFERROR(__xludf.DUMMYFUNCTION("if(REGEXMATCH(join("", "",$F195:$G195),K$1)=TRUE,""✓"",""✗"")"),"✗")</f>
        <v>✗</v>
      </c>
      <c r="L195" s="23" t="str">
        <f>IFERROR(__xludf.DUMMYFUNCTION("if(REGEXMATCH(join("", "",$F195:$G195),L$1)=TRUE,""✓"",""✗"")"),"✗")</f>
        <v>✗</v>
      </c>
      <c r="M195" s="23" t="str">
        <f>IFERROR(__xludf.DUMMYFUNCTION("if(REGEXMATCH(join("", "",$F195:$G195),M$1)=TRUE,""✓"",""✗"")"),"✗")</f>
        <v>✗</v>
      </c>
      <c r="N195" s="23" t="str">
        <f>IFERROR(__xludf.DUMMYFUNCTION("if(REGEXMATCH(join("", "",$F195:$G195),N$1)=TRUE,""✓"",""✗"")"),"✗")</f>
        <v>✗</v>
      </c>
      <c r="O195" s="23" t="str">
        <f>IFERROR(__xludf.DUMMYFUNCTION("if(REGEXMATCH(join("", "",$F195:$G195),O$1)=TRUE,""✓"",""✗"")"),"✗")</f>
        <v>✗</v>
      </c>
      <c r="P195" s="23" t="str">
        <f>IFERROR(__xludf.DUMMYFUNCTION("if(REGEXMATCH(join("", "",$F195:$G195),P$1)=TRUE,""✓"",""✗"")"),"✗")</f>
        <v>✗</v>
      </c>
      <c r="Q195" s="23" t="str">
        <f>IFERROR(__xludf.DUMMYFUNCTION("if(REGEXMATCH(join("", "",$F195:$G195),Q$1)=TRUE,""✓"",""✗"")"),"✗")</f>
        <v>✗</v>
      </c>
      <c r="R195" s="23" t="str">
        <f>IFERROR(__xludf.DUMMYFUNCTION("if(REGEXMATCH(join("", "",$F195:$G195),R$1)=TRUE,""✓"",""✗"")"),"✗")</f>
        <v>✗</v>
      </c>
      <c r="S195" s="23" t="str">
        <f>IFERROR(__xludf.DUMMYFUNCTION("if(REGEXMATCH(join("", "",$F195:$G195),S$1)=TRUE,""✓"",""✗"")"),"✗")</f>
        <v>✗</v>
      </c>
      <c r="T195" s="23" t="str">
        <f>IFERROR(__xludf.DUMMYFUNCTION("if(REGEXMATCH(join("", "",$F195:$G195),T$1)=TRUE,""✓"",""✗"")"),"✗")</f>
        <v>✗</v>
      </c>
      <c r="U195" s="33"/>
      <c r="V195" s="33"/>
      <c r="W195" s="33"/>
      <c r="X195" s="33"/>
      <c r="Y195" s="33"/>
      <c r="Z195" s="33"/>
      <c r="AA195" s="33"/>
      <c r="AB195" s="33"/>
      <c r="AC195" s="33"/>
    </row>
    <row r="196" hidden="1">
      <c r="A196" s="17" t="s">
        <v>302</v>
      </c>
      <c r="B196" s="33"/>
      <c r="C196" s="33"/>
      <c r="D196" s="33"/>
      <c r="E196" s="33"/>
      <c r="F196" s="33"/>
      <c r="G196" s="33">
        <v>90.0</v>
      </c>
      <c r="H196" s="23" t="str">
        <f>IFERROR(__xludf.DUMMYFUNCTION("if(REGEXMATCH(join("", "",$F196:$G196),H$1)=TRUE,""✓"",""✗"")"),"✗")</f>
        <v>✗</v>
      </c>
      <c r="I196" s="23" t="str">
        <f>IFERROR(__xludf.DUMMYFUNCTION("if(REGEXMATCH(join("", "",$F196:$G196),I$1)=TRUE,""✓"",""✗"")"),"✗")</f>
        <v>✗</v>
      </c>
      <c r="J196" s="23" t="str">
        <f>IFERROR(__xludf.DUMMYFUNCTION("if(REGEXMATCH(join("", "",$F196:$G196),J$1)=TRUE,""✓"",""✗"")"),"✗")</f>
        <v>✗</v>
      </c>
      <c r="K196" s="23" t="str">
        <f>IFERROR(__xludf.DUMMYFUNCTION("if(REGEXMATCH(join("", "",$F196:$G196),K$1)=TRUE,""✓"",""✗"")"),"✗")</f>
        <v>✗</v>
      </c>
      <c r="L196" s="23" t="str">
        <f>IFERROR(__xludf.DUMMYFUNCTION("if(REGEXMATCH(join("", "",$F196:$G196),L$1)=TRUE,""✓"",""✗"")"),"✗")</f>
        <v>✗</v>
      </c>
      <c r="M196" s="23" t="str">
        <f>IFERROR(__xludf.DUMMYFUNCTION("if(REGEXMATCH(join("", "",$F196:$G196),M$1)=TRUE,""✓"",""✗"")"),"✗")</f>
        <v>✗</v>
      </c>
      <c r="N196" s="23" t="str">
        <f>IFERROR(__xludf.DUMMYFUNCTION("if(REGEXMATCH(join("", "",$F196:$G196),N$1)=TRUE,""✓"",""✗"")"),"✗")</f>
        <v>✗</v>
      </c>
      <c r="O196" s="23" t="str">
        <f>IFERROR(__xludf.DUMMYFUNCTION("if(REGEXMATCH(join("", "",$F196:$G196),O$1)=TRUE,""✓"",""✗"")"),"✗")</f>
        <v>✗</v>
      </c>
      <c r="P196" s="23" t="str">
        <f>IFERROR(__xludf.DUMMYFUNCTION("if(REGEXMATCH(join("", "",$F196:$G196),P$1)=TRUE,""✓"",""✗"")"),"✗")</f>
        <v>✗</v>
      </c>
      <c r="Q196" s="23" t="str">
        <f>IFERROR(__xludf.DUMMYFUNCTION("if(REGEXMATCH(join("", "",$F196:$G196),Q$1)=TRUE,""✓"",""✗"")"),"✗")</f>
        <v>✗</v>
      </c>
      <c r="R196" s="23" t="str">
        <f>IFERROR(__xludf.DUMMYFUNCTION("if(REGEXMATCH(join("", "",$F196:$G196),R$1)=TRUE,""✓"",""✗"")"),"✗")</f>
        <v>✗</v>
      </c>
      <c r="S196" s="23" t="str">
        <f>IFERROR(__xludf.DUMMYFUNCTION("if(REGEXMATCH(join("", "",$F196:$G196),S$1)=TRUE,""✓"",""✗"")"),"✗")</f>
        <v>✗</v>
      </c>
      <c r="T196" s="23" t="str">
        <f>IFERROR(__xludf.DUMMYFUNCTION("if(REGEXMATCH(join("", "",$F196:$G196),T$1)=TRUE,""✓"",""✗"")"),"✗")</f>
        <v>✗</v>
      </c>
      <c r="U196" s="33"/>
      <c r="V196" s="33"/>
      <c r="W196" s="33"/>
      <c r="X196" s="33"/>
      <c r="Y196" s="33"/>
      <c r="Z196" s="33"/>
      <c r="AA196" s="33"/>
      <c r="AB196" s="33"/>
      <c r="AC196" s="33"/>
    </row>
    <row r="197" hidden="1">
      <c r="A197" s="17" t="s">
        <v>302</v>
      </c>
      <c r="B197" s="33"/>
      <c r="C197" s="33"/>
      <c r="D197" s="33"/>
      <c r="E197" s="33"/>
      <c r="F197" s="33"/>
      <c r="G197" s="33">
        <v>91.0</v>
      </c>
      <c r="H197" s="23" t="str">
        <f>IFERROR(__xludf.DUMMYFUNCTION("if(REGEXMATCH(join("", "",$F197:$G197),H$1)=TRUE,""✓"",""✗"")"),"✗")</f>
        <v>✗</v>
      </c>
      <c r="I197" s="23" t="str">
        <f>IFERROR(__xludf.DUMMYFUNCTION("if(REGEXMATCH(join("", "",$F197:$G197),I$1)=TRUE,""✓"",""✗"")"),"✗")</f>
        <v>✗</v>
      </c>
      <c r="J197" s="23" t="str">
        <f>IFERROR(__xludf.DUMMYFUNCTION("if(REGEXMATCH(join("", "",$F197:$G197),J$1)=TRUE,""✓"",""✗"")"),"✗")</f>
        <v>✗</v>
      </c>
      <c r="K197" s="23" t="str">
        <f>IFERROR(__xludf.DUMMYFUNCTION("if(REGEXMATCH(join("", "",$F197:$G197),K$1)=TRUE,""✓"",""✗"")"),"✗")</f>
        <v>✗</v>
      </c>
      <c r="L197" s="23" t="str">
        <f>IFERROR(__xludf.DUMMYFUNCTION("if(REGEXMATCH(join("", "",$F197:$G197),L$1)=TRUE,""✓"",""✗"")"),"✗")</f>
        <v>✗</v>
      </c>
      <c r="M197" s="23" t="str">
        <f>IFERROR(__xludf.DUMMYFUNCTION("if(REGEXMATCH(join("", "",$F197:$G197),M$1)=TRUE,""✓"",""✗"")"),"✗")</f>
        <v>✗</v>
      </c>
      <c r="N197" s="23" t="str">
        <f>IFERROR(__xludf.DUMMYFUNCTION("if(REGEXMATCH(join("", "",$F197:$G197),N$1)=TRUE,""✓"",""✗"")"),"✗")</f>
        <v>✗</v>
      </c>
      <c r="O197" s="23" t="str">
        <f>IFERROR(__xludf.DUMMYFUNCTION("if(REGEXMATCH(join("", "",$F197:$G197),O$1)=TRUE,""✓"",""✗"")"),"✗")</f>
        <v>✗</v>
      </c>
      <c r="P197" s="23" t="str">
        <f>IFERROR(__xludf.DUMMYFUNCTION("if(REGEXMATCH(join("", "",$F197:$G197),P$1)=TRUE,""✓"",""✗"")"),"✗")</f>
        <v>✗</v>
      </c>
      <c r="Q197" s="23" t="str">
        <f>IFERROR(__xludf.DUMMYFUNCTION("if(REGEXMATCH(join("", "",$F197:$G197),Q$1)=TRUE,""✓"",""✗"")"),"✗")</f>
        <v>✗</v>
      </c>
      <c r="R197" s="23" t="str">
        <f>IFERROR(__xludf.DUMMYFUNCTION("if(REGEXMATCH(join("", "",$F197:$G197),R$1)=TRUE,""✓"",""✗"")"),"✗")</f>
        <v>✗</v>
      </c>
      <c r="S197" s="23" t="str">
        <f>IFERROR(__xludf.DUMMYFUNCTION("if(REGEXMATCH(join("", "",$F197:$G197),S$1)=TRUE,""✓"",""✗"")"),"✗")</f>
        <v>✗</v>
      </c>
      <c r="T197" s="23" t="str">
        <f>IFERROR(__xludf.DUMMYFUNCTION("if(REGEXMATCH(join("", "",$F197:$G197),T$1)=TRUE,""✓"",""✗"")"),"✗")</f>
        <v>✗</v>
      </c>
      <c r="U197" s="33"/>
      <c r="V197" s="33"/>
      <c r="W197" s="33"/>
      <c r="X197" s="33"/>
      <c r="Y197" s="33"/>
      <c r="Z197" s="33"/>
      <c r="AA197" s="33"/>
      <c r="AB197" s="33"/>
      <c r="AC197" s="33"/>
    </row>
    <row r="198" hidden="1">
      <c r="A198" s="17" t="s">
        <v>302</v>
      </c>
      <c r="B198" s="33"/>
      <c r="C198" s="33"/>
      <c r="D198" s="33"/>
      <c r="E198" s="33"/>
      <c r="F198" s="33"/>
      <c r="G198" s="33">
        <v>92.0</v>
      </c>
      <c r="H198" s="23" t="str">
        <f>IFERROR(__xludf.DUMMYFUNCTION("if(REGEXMATCH(join("", "",$F198:$G198),H$1)=TRUE,""✓"",""✗"")"),"✗")</f>
        <v>✗</v>
      </c>
      <c r="I198" s="23" t="str">
        <f>IFERROR(__xludf.DUMMYFUNCTION("if(REGEXMATCH(join("", "",$F198:$G198),I$1)=TRUE,""✓"",""✗"")"),"✗")</f>
        <v>✗</v>
      </c>
      <c r="J198" s="23" t="str">
        <f>IFERROR(__xludf.DUMMYFUNCTION("if(REGEXMATCH(join("", "",$F198:$G198),J$1)=TRUE,""✓"",""✗"")"),"✗")</f>
        <v>✗</v>
      </c>
      <c r="K198" s="23" t="str">
        <f>IFERROR(__xludf.DUMMYFUNCTION("if(REGEXMATCH(join("", "",$F198:$G198),K$1)=TRUE,""✓"",""✗"")"),"✗")</f>
        <v>✗</v>
      </c>
      <c r="L198" s="23" t="str">
        <f>IFERROR(__xludf.DUMMYFUNCTION("if(REGEXMATCH(join("", "",$F198:$G198),L$1)=TRUE,""✓"",""✗"")"),"✗")</f>
        <v>✗</v>
      </c>
      <c r="M198" s="23" t="str">
        <f>IFERROR(__xludf.DUMMYFUNCTION("if(REGEXMATCH(join("", "",$F198:$G198),M$1)=TRUE,""✓"",""✗"")"),"✗")</f>
        <v>✗</v>
      </c>
      <c r="N198" s="23" t="str">
        <f>IFERROR(__xludf.DUMMYFUNCTION("if(REGEXMATCH(join("", "",$F198:$G198),N$1)=TRUE,""✓"",""✗"")"),"✗")</f>
        <v>✗</v>
      </c>
      <c r="O198" s="23" t="str">
        <f>IFERROR(__xludf.DUMMYFUNCTION("if(REGEXMATCH(join("", "",$F198:$G198),O$1)=TRUE,""✓"",""✗"")"),"✗")</f>
        <v>✗</v>
      </c>
      <c r="P198" s="23" t="str">
        <f>IFERROR(__xludf.DUMMYFUNCTION("if(REGEXMATCH(join("", "",$F198:$G198),P$1)=TRUE,""✓"",""✗"")"),"✗")</f>
        <v>✗</v>
      </c>
      <c r="Q198" s="23" t="str">
        <f>IFERROR(__xludf.DUMMYFUNCTION("if(REGEXMATCH(join("", "",$F198:$G198),Q$1)=TRUE,""✓"",""✗"")"),"✗")</f>
        <v>✗</v>
      </c>
      <c r="R198" s="23" t="str">
        <f>IFERROR(__xludf.DUMMYFUNCTION("if(REGEXMATCH(join("", "",$F198:$G198),R$1)=TRUE,""✓"",""✗"")"),"✗")</f>
        <v>✗</v>
      </c>
      <c r="S198" s="23" t="str">
        <f>IFERROR(__xludf.DUMMYFUNCTION("if(REGEXMATCH(join("", "",$F198:$G198),S$1)=TRUE,""✓"",""✗"")"),"✗")</f>
        <v>✗</v>
      </c>
      <c r="T198" s="23" t="str">
        <f>IFERROR(__xludf.DUMMYFUNCTION("if(REGEXMATCH(join("", "",$F198:$G198),T$1)=TRUE,""✓"",""✗"")"),"✗")</f>
        <v>✗</v>
      </c>
      <c r="U198" s="33"/>
      <c r="V198" s="33"/>
      <c r="W198" s="33"/>
      <c r="X198" s="33"/>
      <c r="Y198" s="33"/>
      <c r="Z198" s="33"/>
      <c r="AA198" s="33"/>
      <c r="AB198" s="33"/>
      <c r="AC198" s="33"/>
    </row>
    <row r="199" hidden="1">
      <c r="A199" s="17" t="s">
        <v>302</v>
      </c>
      <c r="B199" s="33"/>
      <c r="C199" s="33"/>
      <c r="D199" s="33"/>
      <c r="E199" s="33"/>
      <c r="F199" s="33"/>
      <c r="G199" s="33">
        <v>93.0</v>
      </c>
      <c r="H199" s="23" t="str">
        <f>IFERROR(__xludf.DUMMYFUNCTION("if(REGEXMATCH(join("", "",$F199:$G199),H$1)=TRUE,""✓"",""✗"")"),"✗")</f>
        <v>✗</v>
      </c>
      <c r="I199" s="23" t="str">
        <f>IFERROR(__xludf.DUMMYFUNCTION("if(REGEXMATCH(join("", "",$F199:$G199),I$1)=TRUE,""✓"",""✗"")"),"✗")</f>
        <v>✗</v>
      </c>
      <c r="J199" s="23" t="str">
        <f>IFERROR(__xludf.DUMMYFUNCTION("if(REGEXMATCH(join("", "",$F199:$G199),J$1)=TRUE,""✓"",""✗"")"),"✗")</f>
        <v>✗</v>
      </c>
      <c r="K199" s="23" t="str">
        <f>IFERROR(__xludf.DUMMYFUNCTION("if(REGEXMATCH(join("", "",$F199:$G199),K$1)=TRUE,""✓"",""✗"")"),"✗")</f>
        <v>✗</v>
      </c>
      <c r="L199" s="23" t="str">
        <f>IFERROR(__xludf.DUMMYFUNCTION("if(REGEXMATCH(join("", "",$F199:$G199),L$1)=TRUE,""✓"",""✗"")"),"✗")</f>
        <v>✗</v>
      </c>
      <c r="M199" s="23" t="str">
        <f>IFERROR(__xludf.DUMMYFUNCTION("if(REGEXMATCH(join("", "",$F199:$G199),M$1)=TRUE,""✓"",""✗"")"),"✗")</f>
        <v>✗</v>
      </c>
      <c r="N199" s="23" t="str">
        <f>IFERROR(__xludf.DUMMYFUNCTION("if(REGEXMATCH(join("", "",$F199:$G199),N$1)=TRUE,""✓"",""✗"")"),"✗")</f>
        <v>✗</v>
      </c>
      <c r="O199" s="23" t="str">
        <f>IFERROR(__xludf.DUMMYFUNCTION("if(REGEXMATCH(join("", "",$F199:$G199),O$1)=TRUE,""✓"",""✗"")"),"✗")</f>
        <v>✗</v>
      </c>
      <c r="P199" s="23" t="str">
        <f>IFERROR(__xludf.DUMMYFUNCTION("if(REGEXMATCH(join("", "",$F199:$G199),P$1)=TRUE,""✓"",""✗"")"),"✗")</f>
        <v>✗</v>
      </c>
      <c r="Q199" s="23" t="str">
        <f>IFERROR(__xludf.DUMMYFUNCTION("if(REGEXMATCH(join("", "",$F199:$G199),Q$1)=TRUE,""✓"",""✗"")"),"✗")</f>
        <v>✗</v>
      </c>
      <c r="R199" s="23" t="str">
        <f>IFERROR(__xludf.DUMMYFUNCTION("if(REGEXMATCH(join("", "",$F199:$G199),R$1)=TRUE,""✓"",""✗"")"),"✗")</f>
        <v>✗</v>
      </c>
      <c r="S199" s="23" t="str">
        <f>IFERROR(__xludf.DUMMYFUNCTION("if(REGEXMATCH(join("", "",$F199:$G199),S$1)=TRUE,""✓"",""✗"")"),"✗")</f>
        <v>✗</v>
      </c>
      <c r="T199" s="23" t="str">
        <f>IFERROR(__xludf.DUMMYFUNCTION("if(REGEXMATCH(join("", "",$F199:$G199),T$1)=TRUE,""✓"",""✗"")"),"✗")</f>
        <v>✗</v>
      </c>
      <c r="U199" s="33"/>
      <c r="V199" s="33"/>
      <c r="W199" s="33"/>
      <c r="X199" s="33"/>
      <c r="Y199" s="33"/>
      <c r="Z199" s="33"/>
      <c r="AA199" s="33"/>
      <c r="AB199" s="33"/>
      <c r="AC199" s="33"/>
    </row>
    <row r="200" hidden="1">
      <c r="A200" s="17" t="s">
        <v>302</v>
      </c>
      <c r="B200" s="33"/>
      <c r="C200" s="33"/>
      <c r="D200" s="33"/>
      <c r="E200" s="33"/>
      <c r="F200" s="33"/>
      <c r="G200" s="33">
        <v>94.0</v>
      </c>
      <c r="H200" s="23" t="str">
        <f>IFERROR(__xludf.DUMMYFUNCTION("if(REGEXMATCH(join("", "",$F200:$G200),H$1)=TRUE,""✓"",""✗"")"),"✗")</f>
        <v>✗</v>
      </c>
      <c r="I200" s="23" t="str">
        <f>IFERROR(__xludf.DUMMYFUNCTION("if(REGEXMATCH(join("", "",$F200:$G200),I$1)=TRUE,""✓"",""✗"")"),"✗")</f>
        <v>✗</v>
      </c>
      <c r="J200" s="23" t="str">
        <f>IFERROR(__xludf.DUMMYFUNCTION("if(REGEXMATCH(join("", "",$F200:$G200),J$1)=TRUE,""✓"",""✗"")"),"✗")</f>
        <v>✗</v>
      </c>
      <c r="K200" s="23" t="str">
        <f>IFERROR(__xludf.DUMMYFUNCTION("if(REGEXMATCH(join("", "",$F200:$G200),K$1)=TRUE,""✓"",""✗"")"),"✗")</f>
        <v>✗</v>
      </c>
      <c r="L200" s="23" t="str">
        <f>IFERROR(__xludf.DUMMYFUNCTION("if(REGEXMATCH(join("", "",$F200:$G200),L$1)=TRUE,""✓"",""✗"")"),"✗")</f>
        <v>✗</v>
      </c>
      <c r="M200" s="23" t="str">
        <f>IFERROR(__xludf.DUMMYFUNCTION("if(REGEXMATCH(join("", "",$F200:$G200),M$1)=TRUE,""✓"",""✗"")"),"✗")</f>
        <v>✗</v>
      </c>
      <c r="N200" s="23" t="str">
        <f>IFERROR(__xludf.DUMMYFUNCTION("if(REGEXMATCH(join("", "",$F200:$G200),N$1)=TRUE,""✓"",""✗"")"),"✗")</f>
        <v>✗</v>
      </c>
      <c r="O200" s="23" t="str">
        <f>IFERROR(__xludf.DUMMYFUNCTION("if(REGEXMATCH(join("", "",$F200:$G200),O$1)=TRUE,""✓"",""✗"")"),"✗")</f>
        <v>✗</v>
      </c>
      <c r="P200" s="23" t="str">
        <f>IFERROR(__xludf.DUMMYFUNCTION("if(REGEXMATCH(join("", "",$F200:$G200),P$1)=TRUE,""✓"",""✗"")"),"✗")</f>
        <v>✗</v>
      </c>
      <c r="Q200" s="23" t="str">
        <f>IFERROR(__xludf.DUMMYFUNCTION("if(REGEXMATCH(join("", "",$F200:$G200),Q$1)=TRUE,""✓"",""✗"")"),"✗")</f>
        <v>✗</v>
      </c>
      <c r="R200" s="23" t="str">
        <f>IFERROR(__xludf.DUMMYFUNCTION("if(REGEXMATCH(join("", "",$F200:$G200),R$1)=TRUE,""✓"",""✗"")"),"✗")</f>
        <v>✗</v>
      </c>
      <c r="S200" s="23" t="str">
        <f>IFERROR(__xludf.DUMMYFUNCTION("if(REGEXMATCH(join("", "",$F200:$G200),S$1)=TRUE,""✓"",""✗"")"),"✗")</f>
        <v>✗</v>
      </c>
      <c r="T200" s="23" t="str">
        <f>IFERROR(__xludf.DUMMYFUNCTION("if(REGEXMATCH(join("", "",$F200:$G200),T$1)=TRUE,""✓"",""✗"")"),"✗")</f>
        <v>✗</v>
      </c>
      <c r="U200" s="33"/>
      <c r="V200" s="33"/>
      <c r="W200" s="33"/>
      <c r="X200" s="33"/>
      <c r="Y200" s="33"/>
      <c r="Z200" s="33"/>
      <c r="AA200" s="33"/>
      <c r="AB200" s="33"/>
      <c r="AC200" s="33"/>
    </row>
    <row r="201" hidden="1">
      <c r="A201" s="17" t="s">
        <v>302</v>
      </c>
      <c r="B201" s="33"/>
      <c r="C201" s="33"/>
      <c r="D201" s="33"/>
      <c r="E201" s="33"/>
      <c r="F201" s="33"/>
      <c r="G201" s="33">
        <v>95.0</v>
      </c>
      <c r="H201" s="23" t="str">
        <f>IFERROR(__xludf.DUMMYFUNCTION("if(REGEXMATCH(join("", "",$F201:$G201),H$1)=TRUE,""✓"",""✗"")"),"✗")</f>
        <v>✗</v>
      </c>
      <c r="I201" s="23" t="str">
        <f>IFERROR(__xludf.DUMMYFUNCTION("if(REGEXMATCH(join("", "",$F201:$G201),I$1)=TRUE,""✓"",""✗"")"),"✗")</f>
        <v>✗</v>
      </c>
      <c r="J201" s="23" t="str">
        <f>IFERROR(__xludf.DUMMYFUNCTION("if(REGEXMATCH(join("", "",$F201:$G201),J$1)=TRUE,""✓"",""✗"")"),"✗")</f>
        <v>✗</v>
      </c>
      <c r="K201" s="23" t="str">
        <f>IFERROR(__xludf.DUMMYFUNCTION("if(REGEXMATCH(join("", "",$F201:$G201),K$1)=TRUE,""✓"",""✗"")"),"✗")</f>
        <v>✗</v>
      </c>
      <c r="L201" s="23" t="str">
        <f>IFERROR(__xludf.DUMMYFUNCTION("if(REGEXMATCH(join("", "",$F201:$G201),L$1)=TRUE,""✓"",""✗"")"),"✗")</f>
        <v>✗</v>
      </c>
      <c r="M201" s="23" t="str">
        <f>IFERROR(__xludf.DUMMYFUNCTION("if(REGEXMATCH(join("", "",$F201:$G201),M$1)=TRUE,""✓"",""✗"")"),"✗")</f>
        <v>✗</v>
      </c>
      <c r="N201" s="23" t="str">
        <f>IFERROR(__xludf.DUMMYFUNCTION("if(REGEXMATCH(join("", "",$F201:$G201),N$1)=TRUE,""✓"",""✗"")"),"✗")</f>
        <v>✗</v>
      </c>
      <c r="O201" s="23" t="str">
        <f>IFERROR(__xludf.DUMMYFUNCTION("if(REGEXMATCH(join("", "",$F201:$G201),O$1)=TRUE,""✓"",""✗"")"),"✗")</f>
        <v>✗</v>
      </c>
      <c r="P201" s="23" t="str">
        <f>IFERROR(__xludf.DUMMYFUNCTION("if(REGEXMATCH(join("", "",$F201:$G201),P$1)=TRUE,""✓"",""✗"")"),"✗")</f>
        <v>✗</v>
      </c>
      <c r="Q201" s="23" t="str">
        <f>IFERROR(__xludf.DUMMYFUNCTION("if(REGEXMATCH(join("", "",$F201:$G201),Q$1)=TRUE,""✓"",""✗"")"),"✗")</f>
        <v>✗</v>
      </c>
      <c r="R201" s="23" t="str">
        <f>IFERROR(__xludf.DUMMYFUNCTION("if(REGEXMATCH(join("", "",$F201:$G201),R$1)=TRUE,""✓"",""✗"")"),"✗")</f>
        <v>✗</v>
      </c>
      <c r="S201" s="23" t="str">
        <f>IFERROR(__xludf.DUMMYFUNCTION("if(REGEXMATCH(join("", "",$F201:$G201),S$1)=TRUE,""✓"",""✗"")"),"✗")</f>
        <v>✗</v>
      </c>
      <c r="T201" s="23" t="str">
        <f>IFERROR(__xludf.DUMMYFUNCTION("if(REGEXMATCH(join("", "",$F201:$G201),T$1)=TRUE,""✓"",""✗"")"),"✗")</f>
        <v>✗</v>
      </c>
      <c r="U201" s="33"/>
      <c r="V201" s="33"/>
      <c r="W201" s="33"/>
      <c r="X201" s="33"/>
      <c r="Y201" s="33"/>
      <c r="Z201" s="33"/>
      <c r="AA201" s="33"/>
      <c r="AB201" s="33"/>
      <c r="AC201" s="33"/>
    </row>
    <row r="202" hidden="1">
      <c r="A202" s="17" t="s">
        <v>302</v>
      </c>
      <c r="B202" s="33"/>
      <c r="C202" s="33"/>
      <c r="D202" s="33"/>
      <c r="E202" s="33"/>
      <c r="F202" s="33"/>
      <c r="G202" s="33">
        <v>96.0</v>
      </c>
      <c r="H202" s="23" t="str">
        <f>IFERROR(__xludf.DUMMYFUNCTION("if(REGEXMATCH(join("", "",$F202:$G202),H$1)=TRUE,""✓"",""✗"")"),"✗")</f>
        <v>✗</v>
      </c>
      <c r="I202" s="23" t="str">
        <f>IFERROR(__xludf.DUMMYFUNCTION("if(REGEXMATCH(join("", "",$F202:$G202),I$1)=TRUE,""✓"",""✗"")"),"✗")</f>
        <v>✗</v>
      </c>
      <c r="J202" s="23" t="str">
        <f>IFERROR(__xludf.DUMMYFUNCTION("if(REGEXMATCH(join("", "",$F202:$G202),J$1)=TRUE,""✓"",""✗"")"),"✗")</f>
        <v>✗</v>
      </c>
      <c r="K202" s="23" t="str">
        <f>IFERROR(__xludf.DUMMYFUNCTION("if(REGEXMATCH(join("", "",$F202:$G202),K$1)=TRUE,""✓"",""✗"")"),"✗")</f>
        <v>✗</v>
      </c>
      <c r="L202" s="23" t="str">
        <f>IFERROR(__xludf.DUMMYFUNCTION("if(REGEXMATCH(join("", "",$F202:$G202),L$1)=TRUE,""✓"",""✗"")"),"✗")</f>
        <v>✗</v>
      </c>
      <c r="M202" s="23" t="str">
        <f>IFERROR(__xludf.DUMMYFUNCTION("if(REGEXMATCH(join("", "",$F202:$G202),M$1)=TRUE,""✓"",""✗"")"),"✗")</f>
        <v>✗</v>
      </c>
      <c r="N202" s="23" t="str">
        <f>IFERROR(__xludf.DUMMYFUNCTION("if(REGEXMATCH(join("", "",$F202:$G202),N$1)=TRUE,""✓"",""✗"")"),"✗")</f>
        <v>✗</v>
      </c>
      <c r="O202" s="23" t="str">
        <f>IFERROR(__xludf.DUMMYFUNCTION("if(REGEXMATCH(join("", "",$F202:$G202),O$1)=TRUE,""✓"",""✗"")"),"✗")</f>
        <v>✗</v>
      </c>
      <c r="P202" s="23" t="str">
        <f>IFERROR(__xludf.DUMMYFUNCTION("if(REGEXMATCH(join("", "",$F202:$G202),P$1)=TRUE,""✓"",""✗"")"),"✗")</f>
        <v>✗</v>
      </c>
      <c r="Q202" s="23" t="str">
        <f>IFERROR(__xludf.DUMMYFUNCTION("if(REGEXMATCH(join("", "",$F202:$G202),Q$1)=TRUE,""✓"",""✗"")"),"✗")</f>
        <v>✗</v>
      </c>
      <c r="R202" s="23" t="str">
        <f>IFERROR(__xludf.DUMMYFUNCTION("if(REGEXMATCH(join("", "",$F202:$G202),R$1)=TRUE,""✓"",""✗"")"),"✗")</f>
        <v>✗</v>
      </c>
      <c r="S202" s="23" t="str">
        <f>IFERROR(__xludf.DUMMYFUNCTION("if(REGEXMATCH(join("", "",$F202:$G202),S$1)=TRUE,""✓"",""✗"")"),"✗")</f>
        <v>✗</v>
      </c>
      <c r="T202" s="23" t="str">
        <f>IFERROR(__xludf.DUMMYFUNCTION("if(REGEXMATCH(join("", "",$F202:$G202),T$1)=TRUE,""✓"",""✗"")"),"✗")</f>
        <v>✗</v>
      </c>
      <c r="U202" s="33"/>
      <c r="V202" s="33"/>
      <c r="W202" s="33"/>
      <c r="X202" s="33"/>
      <c r="Y202" s="33"/>
      <c r="Z202" s="33"/>
      <c r="AA202" s="33"/>
      <c r="AB202" s="33"/>
      <c r="AC202" s="33"/>
    </row>
    <row r="203" hidden="1">
      <c r="A203" s="17" t="s">
        <v>302</v>
      </c>
      <c r="B203" s="33"/>
      <c r="C203" s="33"/>
      <c r="D203" s="33"/>
      <c r="E203" s="33"/>
      <c r="F203" s="33"/>
      <c r="G203" s="33">
        <v>97.0</v>
      </c>
      <c r="H203" s="23" t="str">
        <f>IFERROR(__xludf.DUMMYFUNCTION("if(REGEXMATCH(join("", "",$F203:$G203),H$1)=TRUE,""✓"",""✗"")"),"✗")</f>
        <v>✗</v>
      </c>
      <c r="I203" s="23" t="str">
        <f>IFERROR(__xludf.DUMMYFUNCTION("if(REGEXMATCH(join("", "",$F203:$G203),I$1)=TRUE,""✓"",""✗"")"),"✗")</f>
        <v>✗</v>
      </c>
      <c r="J203" s="23" t="str">
        <f>IFERROR(__xludf.DUMMYFUNCTION("if(REGEXMATCH(join("", "",$F203:$G203),J$1)=TRUE,""✓"",""✗"")"),"✗")</f>
        <v>✗</v>
      </c>
      <c r="K203" s="23" t="str">
        <f>IFERROR(__xludf.DUMMYFUNCTION("if(REGEXMATCH(join("", "",$F203:$G203),K$1)=TRUE,""✓"",""✗"")"),"✗")</f>
        <v>✗</v>
      </c>
      <c r="L203" s="23" t="str">
        <f>IFERROR(__xludf.DUMMYFUNCTION("if(REGEXMATCH(join("", "",$F203:$G203),L$1)=TRUE,""✓"",""✗"")"),"✗")</f>
        <v>✗</v>
      </c>
      <c r="M203" s="23" t="str">
        <f>IFERROR(__xludf.DUMMYFUNCTION("if(REGEXMATCH(join("", "",$F203:$G203),M$1)=TRUE,""✓"",""✗"")"),"✗")</f>
        <v>✗</v>
      </c>
      <c r="N203" s="23" t="str">
        <f>IFERROR(__xludf.DUMMYFUNCTION("if(REGEXMATCH(join("", "",$F203:$G203),N$1)=TRUE,""✓"",""✗"")"),"✗")</f>
        <v>✗</v>
      </c>
      <c r="O203" s="23" t="str">
        <f>IFERROR(__xludf.DUMMYFUNCTION("if(REGEXMATCH(join("", "",$F203:$G203),O$1)=TRUE,""✓"",""✗"")"),"✗")</f>
        <v>✗</v>
      </c>
      <c r="P203" s="23" t="str">
        <f>IFERROR(__xludf.DUMMYFUNCTION("if(REGEXMATCH(join("", "",$F203:$G203),P$1)=TRUE,""✓"",""✗"")"),"✗")</f>
        <v>✗</v>
      </c>
      <c r="Q203" s="23" t="str">
        <f>IFERROR(__xludf.DUMMYFUNCTION("if(REGEXMATCH(join("", "",$F203:$G203),Q$1)=TRUE,""✓"",""✗"")"),"✗")</f>
        <v>✗</v>
      </c>
      <c r="R203" s="23" t="str">
        <f>IFERROR(__xludf.DUMMYFUNCTION("if(REGEXMATCH(join("", "",$F203:$G203),R$1)=TRUE,""✓"",""✗"")"),"✗")</f>
        <v>✗</v>
      </c>
      <c r="S203" s="23" t="str">
        <f>IFERROR(__xludf.DUMMYFUNCTION("if(REGEXMATCH(join("", "",$F203:$G203),S$1)=TRUE,""✓"",""✗"")"),"✗")</f>
        <v>✗</v>
      </c>
      <c r="T203" s="23" t="str">
        <f>IFERROR(__xludf.DUMMYFUNCTION("if(REGEXMATCH(join("", "",$F203:$G203),T$1)=TRUE,""✓"",""✗"")"),"✗")</f>
        <v>✗</v>
      </c>
      <c r="U203" s="33"/>
      <c r="V203" s="33"/>
      <c r="W203" s="33"/>
      <c r="X203" s="33"/>
      <c r="Y203" s="33"/>
      <c r="Z203" s="33"/>
      <c r="AA203" s="33"/>
      <c r="AB203" s="33"/>
      <c r="AC203" s="33"/>
    </row>
    <row r="204" hidden="1">
      <c r="A204" s="17" t="s">
        <v>302</v>
      </c>
      <c r="B204" s="33"/>
      <c r="C204" s="33"/>
      <c r="D204" s="33"/>
      <c r="E204" s="33"/>
      <c r="F204" s="33"/>
      <c r="G204" s="33">
        <v>98.0</v>
      </c>
      <c r="H204" s="23" t="str">
        <f>IFERROR(__xludf.DUMMYFUNCTION("if(REGEXMATCH(join("", "",$F204:$G204),H$1)=TRUE,""✓"",""✗"")"),"✗")</f>
        <v>✗</v>
      </c>
      <c r="I204" s="23" t="str">
        <f>IFERROR(__xludf.DUMMYFUNCTION("if(REGEXMATCH(join("", "",$F204:$G204),I$1)=TRUE,""✓"",""✗"")"),"✗")</f>
        <v>✗</v>
      </c>
      <c r="J204" s="23" t="str">
        <f>IFERROR(__xludf.DUMMYFUNCTION("if(REGEXMATCH(join("", "",$F204:$G204),J$1)=TRUE,""✓"",""✗"")"),"✗")</f>
        <v>✗</v>
      </c>
      <c r="K204" s="23" t="str">
        <f>IFERROR(__xludf.DUMMYFUNCTION("if(REGEXMATCH(join("", "",$F204:$G204),K$1)=TRUE,""✓"",""✗"")"),"✗")</f>
        <v>✗</v>
      </c>
      <c r="L204" s="23" t="str">
        <f>IFERROR(__xludf.DUMMYFUNCTION("if(REGEXMATCH(join("", "",$F204:$G204),L$1)=TRUE,""✓"",""✗"")"),"✗")</f>
        <v>✗</v>
      </c>
      <c r="M204" s="23" t="str">
        <f>IFERROR(__xludf.DUMMYFUNCTION("if(REGEXMATCH(join("", "",$F204:$G204),M$1)=TRUE,""✓"",""✗"")"),"✗")</f>
        <v>✗</v>
      </c>
      <c r="N204" s="23" t="str">
        <f>IFERROR(__xludf.DUMMYFUNCTION("if(REGEXMATCH(join("", "",$F204:$G204),N$1)=TRUE,""✓"",""✗"")"),"✗")</f>
        <v>✗</v>
      </c>
      <c r="O204" s="23" t="str">
        <f>IFERROR(__xludf.DUMMYFUNCTION("if(REGEXMATCH(join("", "",$F204:$G204),O$1)=TRUE,""✓"",""✗"")"),"✗")</f>
        <v>✗</v>
      </c>
      <c r="P204" s="23" t="str">
        <f>IFERROR(__xludf.DUMMYFUNCTION("if(REGEXMATCH(join("", "",$F204:$G204),P$1)=TRUE,""✓"",""✗"")"),"✗")</f>
        <v>✗</v>
      </c>
      <c r="Q204" s="23" t="str">
        <f>IFERROR(__xludf.DUMMYFUNCTION("if(REGEXMATCH(join("", "",$F204:$G204),Q$1)=TRUE,""✓"",""✗"")"),"✗")</f>
        <v>✗</v>
      </c>
      <c r="R204" s="23" t="str">
        <f>IFERROR(__xludf.DUMMYFUNCTION("if(REGEXMATCH(join("", "",$F204:$G204),R$1)=TRUE,""✓"",""✗"")"),"✗")</f>
        <v>✗</v>
      </c>
      <c r="S204" s="23" t="str">
        <f>IFERROR(__xludf.DUMMYFUNCTION("if(REGEXMATCH(join("", "",$F204:$G204),S$1)=TRUE,""✓"",""✗"")"),"✗")</f>
        <v>✗</v>
      </c>
      <c r="T204" s="23" t="str">
        <f>IFERROR(__xludf.DUMMYFUNCTION("if(REGEXMATCH(join("", "",$F204:$G204),T$1)=TRUE,""✓"",""✗"")"),"✗")</f>
        <v>✗</v>
      </c>
      <c r="U204" s="33"/>
      <c r="V204" s="33"/>
      <c r="W204" s="33"/>
      <c r="X204" s="33"/>
      <c r="Y204" s="33"/>
      <c r="Z204" s="33"/>
      <c r="AA204" s="33"/>
      <c r="AB204" s="33"/>
      <c r="AC204" s="33"/>
    </row>
    <row r="205" hidden="1">
      <c r="A205" s="17" t="s">
        <v>302</v>
      </c>
      <c r="B205" s="33"/>
      <c r="C205" s="33"/>
      <c r="D205" s="33"/>
      <c r="E205" s="33"/>
      <c r="F205" s="33"/>
      <c r="G205" s="33">
        <v>99.0</v>
      </c>
      <c r="H205" s="23" t="str">
        <f>IFERROR(__xludf.DUMMYFUNCTION("if(REGEXMATCH(join("", "",$F205:$G205),H$1)=TRUE,""✓"",""✗"")"),"✗")</f>
        <v>✗</v>
      </c>
      <c r="I205" s="23" t="str">
        <f>IFERROR(__xludf.DUMMYFUNCTION("if(REGEXMATCH(join("", "",$F205:$G205),I$1)=TRUE,""✓"",""✗"")"),"✗")</f>
        <v>✗</v>
      </c>
      <c r="J205" s="23" t="str">
        <f>IFERROR(__xludf.DUMMYFUNCTION("if(REGEXMATCH(join("", "",$F205:$G205),J$1)=TRUE,""✓"",""✗"")"),"✗")</f>
        <v>✗</v>
      </c>
      <c r="K205" s="23" t="str">
        <f>IFERROR(__xludf.DUMMYFUNCTION("if(REGEXMATCH(join("", "",$F205:$G205),K$1)=TRUE,""✓"",""✗"")"),"✗")</f>
        <v>✗</v>
      </c>
      <c r="L205" s="23" t="str">
        <f>IFERROR(__xludf.DUMMYFUNCTION("if(REGEXMATCH(join("", "",$F205:$G205),L$1)=TRUE,""✓"",""✗"")"),"✗")</f>
        <v>✗</v>
      </c>
      <c r="M205" s="23" t="str">
        <f>IFERROR(__xludf.DUMMYFUNCTION("if(REGEXMATCH(join("", "",$F205:$G205),M$1)=TRUE,""✓"",""✗"")"),"✗")</f>
        <v>✗</v>
      </c>
      <c r="N205" s="23" t="str">
        <f>IFERROR(__xludf.DUMMYFUNCTION("if(REGEXMATCH(join("", "",$F205:$G205),N$1)=TRUE,""✓"",""✗"")"),"✗")</f>
        <v>✗</v>
      </c>
      <c r="O205" s="23" t="str">
        <f>IFERROR(__xludf.DUMMYFUNCTION("if(REGEXMATCH(join("", "",$F205:$G205),O$1)=TRUE,""✓"",""✗"")"),"✗")</f>
        <v>✗</v>
      </c>
      <c r="P205" s="23" t="str">
        <f>IFERROR(__xludf.DUMMYFUNCTION("if(REGEXMATCH(join("", "",$F205:$G205),P$1)=TRUE,""✓"",""✗"")"),"✗")</f>
        <v>✗</v>
      </c>
      <c r="Q205" s="23" t="str">
        <f>IFERROR(__xludf.DUMMYFUNCTION("if(REGEXMATCH(join("", "",$F205:$G205),Q$1)=TRUE,""✓"",""✗"")"),"✗")</f>
        <v>✗</v>
      </c>
      <c r="R205" s="23" t="str">
        <f>IFERROR(__xludf.DUMMYFUNCTION("if(REGEXMATCH(join("", "",$F205:$G205),R$1)=TRUE,""✓"",""✗"")"),"✗")</f>
        <v>✗</v>
      </c>
      <c r="S205" s="23" t="str">
        <f>IFERROR(__xludf.DUMMYFUNCTION("if(REGEXMATCH(join("", "",$F205:$G205),S$1)=TRUE,""✓"",""✗"")"),"✗")</f>
        <v>✗</v>
      </c>
      <c r="T205" s="23" t="str">
        <f>IFERROR(__xludf.DUMMYFUNCTION("if(REGEXMATCH(join("", "",$F205:$G205),T$1)=TRUE,""✓"",""✗"")"),"✗")</f>
        <v>✗</v>
      </c>
      <c r="U205" s="33"/>
      <c r="V205" s="33"/>
      <c r="W205" s="33"/>
      <c r="X205" s="33"/>
      <c r="Y205" s="33"/>
      <c r="Z205" s="33"/>
      <c r="AA205" s="33"/>
      <c r="AB205" s="33"/>
      <c r="AC205" s="33"/>
    </row>
    <row r="206" hidden="1">
      <c r="A206" s="17" t="s">
        <v>302</v>
      </c>
      <c r="B206" s="33"/>
      <c r="C206" s="33"/>
      <c r="D206" s="33"/>
      <c r="E206" s="33"/>
      <c r="F206" s="33"/>
      <c r="G206" s="33"/>
      <c r="H206" s="23" t="str">
        <f>IFERROR(__xludf.DUMMYFUNCTION("if(REGEXMATCH(join("", "",$F206:$G206),H$1)=TRUE,""✓"",""✗"")"),"✗")</f>
        <v>✗</v>
      </c>
      <c r="I206" s="23" t="str">
        <f>IFERROR(__xludf.DUMMYFUNCTION("if(REGEXMATCH(join("", "",$F206:$G206),I$1)=TRUE,""✓"",""✗"")"),"✗")</f>
        <v>✗</v>
      </c>
      <c r="J206" s="23" t="str">
        <f>IFERROR(__xludf.DUMMYFUNCTION("if(REGEXMATCH(join("", "",$F206:$G206),J$1)=TRUE,""✓"",""✗"")"),"✗")</f>
        <v>✗</v>
      </c>
      <c r="K206" s="23" t="str">
        <f>IFERROR(__xludf.DUMMYFUNCTION("if(REGEXMATCH(join("", "",$F206:$G206),K$1)=TRUE,""✓"",""✗"")"),"✗")</f>
        <v>✗</v>
      </c>
      <c r="L206" s="23" t="str">
        <f>IFERROR(__xludf.DUMMYFUNCTION("if(REGEXMATCH(join("", "",$F206:$G206),L$1)=TRUE,""✓"",""✗"")"),"✗")</f>
        <v>✗</v>
      </c>
      <c r="M206" s="23" t="str">
        <f>IFERROR(__xludf.DUMMYFUNCTION("if(REGEXMATCH(join("", "",$F206:$G206),M$1)=TRUE,""✓"",""✗"")"),"✗")</f>
        <v>✗</v>
      </c>
      <c r="N206" s="23" t="str">
        <f>IFERROR(__xludf.DUMMYFUNCTION("if(REGEXMATCH(join("", "",$F206:$G206),N$1)=TRUE,""✓"",""✗"")"),"✗")</f>
        <v>✗</v>
      </c>
      <c r="O206" s="23" t="str">
        <f>IFERROR(__xludf.DUMMYFUNCTION("if(REGEXMATCH(join("", "",$F206:$G206),O$1)=TRUE,""✓"",""✗"")"),"✗")</f>
        <v>✗</v>
      </c>
      <c r="P206" s="23" t="str">
        <f>IFERROR(__xludf.DUMMYFUNCTION("if(REGEXMATCH(join("", "",$F206:$G206),P$1)=TRUE,""✓"",""✗"")"),"✗")</f>
        <v>✗</v>
      </c>
      <c r="Q206" s="23" t="str">
        <f>IFERROR(__xludf.DUMMYFUNCTION("if(REGEXMATCH(join("", "",$F206:$G206),Q$1)=TRUE,""✓"",""✗"")"),"✗")</f>
        <v>✗</v>
      </c>
      <c r="R206" s="23" t="str">
        <f>IFERROR(__xludf.DUMMYFUNCTION("if(REGEXMATCH(join("", "",$F206:$G206),R$1)=TRUE,""✓"",""✗"")"),"✗")</f>
        <v>✗</v>
      </c>
      <c r="S206" s="23" t="str">
        <f>IFERROR(__xludf.DUMMYFUNCTION("if(REGEXMATCH(join("", "",$F206:$G206),S$1)=TRUE,""✓"",""✗"")"),"✗")</f>
        <v>✗</v>
      </c>
      <c r="T206" s="23" t="str">
        <f>IFERROR(__xludf.DUMMYFUNCTION("if(REGEXMATCH(join("", "",$F206:$G206),T$1)=TRUE,""✓"",""✗"")"),"✗")</f>
        <v>✗</v>
      </c>
      <c r="U206" s="33"/>
      <c r="V206" s="33"/>
      <c r="W206" s="33"/>
      <c r="X206" s="33"/>
      <c r="Y206" s="33"/>
      <c r="Z206" s="33"/>
      <c r="AA206" s="33"/>
      <c r="AB206" s="33"/>
      <c r="AC206" s="33"/>
    </row>
    <row r="207" hidden="1">
      <c r="A207" s="17" t="s">
        <v>302</v>
      </c>
      <c r="B207" s="33"/>
      <c r="C207" s="33"/>
      <c r="D207" s="33"/>
      <c r="E207" s="33"/>
      <c r="F207" s="33"/>
      <c r="G207" s="33"/>
      <c r="H207" s="23" t="str">
        <f>IFERROR(__xludf.DUMMYFUNCTION("if(REGEXMATCH(join("", "",$F207:$G207),H$1)=TRUE,""✓"",""✗"")"),"✗")</f>
        <v>✗</v>
      </c>
      <c r="I207" s="23" t="str">
        <f>IFERROR(__xludf.DUMMYFUNCTION("if(REGEXMATCH(join("", "",$F207:$G207),I$1)=TRUE,""✓"",""✗"")"),"✗")</f>
        <v>✗</v>
      </c>
      <c r="J207" s="23" t="str">
        <f>IFERROR(__xludf.DUMMYFUNCTION("if(REGEXMATCH(join("", "",$F207:$G207),J$1)=TRUE,""✓"",""✗"")"),"✗")</f>
        <v>✗</v>
      </c>
      <c r="K207" s="23" t="str">
        <f>IFERROR(__xludf.DUMMYFUNCTION("if(REGEXMATCH(join("", "",$F207:$G207),K$1)=TRUE,""✓"",""✗"")"),"✗")</f>
        <v>✗</v>
      </c>
      <c r="L207" s="23" t="str">
        <f>IFERROR(__xludf.DUMMYFUNCTION("if(REGEXMATCH(join("", "",$F207:$G207),L$1)=TRUE,""✓"",""✗"")"),"✗")</f>
        <v>✗</v>
      </c>
      <c r="M207" s="23" t="str">
        <f>IFERROR(__xludf.DUMMYFUNCTION("if(REGEXMATCH(join("", "",$F207:$G207),M$1)=TRUE,""✓"",""✗"")"),"✗")</f>
        <v>✗</v>
      </c>
      <c r="N207" s="23" t="str">
        <f>IFERROR(__xludf.DUMMYFUNCTION("if(REGEXMATCH(join("", "",$F207:$G207),N$1)=TRUE,""✓"",""✗"")"),"✗")</f>
        <v>✗</v>
      </c>
      <c r="O207" s="23" t="str">
        <f>IFERROR(__xludf.DUMMYFUNCTION("if(REGEXMATCH(join("", "",$F207:$G207),O$1)=TRUE,""✓"",""✗"")"),"✗")</f>
        <v>✗</v>
      </c>
      <c r="P207" s="23" t="str">
        <f>IFERROR(__xludf.DUMMYFUNCTION("if(REGEXMATCH(join("", "",$F207:$G207),P$1)=TRUE,""✓"",""✗"")"),"✗")</f>
        <v>✗</v>
      </c>
      <c r="Q207" s="23" t="str">
        <f>IFERROR(__xludf.DUMMYFUNCTION("if(REGEXMATCH(join("", "",$F207:$G207),Q$1)=TRUE,""✓"",""✗"")"),"✗")</f>
        <v>✗</v>
      </c>
      <c r="R207" s="23" t="str">
        <f>IFERROR(__xludf.DUMMYFUNCTION("if(REGEXMATCH(join("", "",$F207:$G207),R$1)=TRUE,""✓"",""✗"")"),"✗")</f>
        <v>✗</v>
      </c>
      <c r="S207" s="23" t="str">
        <f>IFERROR(__xludf.DUMMYFUNCTION("if(REGEXMATCH(join("", "",$F207:$G207),S$1)=TRUE,""✓"",""✗"")"),"✗")</f>
        <v>✗</v>
      </c>
      <c r="T207" s="23" t="str">
        <f>IFERROR(__xludf.DUMMYFUNCTION("if(REGEXMATCH(join("", "",$F207:$G207),T$1)=TRUE,""✓"",""✗"")"),"✗")</f>
        <v>✗</v>
      </c>
      <c r="U207" s="33"/>
      <c r="V207" s="33"/>
      <c r="W207" s="33"/>
      <c r="X207" s="33"/>
      <c r="Y207" s="33"/>
      <c r="Z207" s="33"/>
      <c r="AA207" s="33"/>
      <c r="AB207" s="33"/>
      <c r="AC207" s="33"/>
    </row>
    <row r="208" hidden="1">
      <c r="A208" s="17" t="s">
        <v>302</v>
      </c>
      <c r="B208" s="33"/>
      <c r="C208" s="33"/>
      <c r="D208" s="33"/>
      <c r="E208" s="33"/>
      <c r="F208" s="33"/>
      <c r="G208" s="33"/>
      <c r="H208" s="23" t="str">
        <f>IFERROR(__xludf.DUMMYFUNCTION("if(REGEXMATCH(join("", "",$F208:$G208),H$1)=TRUE,""✓"",""✗"")"),"✗")</f>
        <v>✗</v>
      </c>
      <c r="I208" s="23" t="str">
        <f>IFERROR(__xludf.DUMMYFUNCTION("if(REGEXMATCH(join("", "",$F208:$G208),I$1)=TRUE,""✓"",""✗"")"),"✗")</f>
        <v>✗</v>
      </c>
      <c r="J208" s="23" t="str">
        <f>IFERROR(__xludf.DUMMYFUNCTION("if(REGEXMATCH(join("", "",$F208:$G208),J$1)=TRUE,""✓"",""✗"")"),"✗")</f>
        <v>✗</v>
      </c>
      <c r="K208" s="23" t="str">
        <f>IFERROR(__xludf.DUMMYFUNCTION("if(REGEXMATCH(join("", "",$F208:$G208),K$1)=TRUE,""✓"",""✗"")"),"✗")</f>
        <v>✗</v>
      </c>
      <c r="L208" s="23" t="str">
        <f>IFERROR(__xludf.DUMMYFUNCTION("if(REGEXMATCH(join("", "",$F208:$G208),L$1)=TRUE,""✓"",""✗"")"),"✗")</f>
        <v>✗</v>
      </c>
      <c r="M208" s="23" t="str">
        <f>IFERROR(__xludf.DUMMYFUNCTION("if(REGEXMATCH(join("", "",$F208:$G208),M$1)=TRUE,""✓"",""✗"")"),"✗")</f>
        <v>✗</v>
      </c>
      <c r="N208" s="23" t="str">
        <f>IFERROR(__xludf.DUMMYFUNCTION("if(REGEXMATCH(join("", "",$F208:$G208),N$1)=TRUE,""✓"",""✗"")"),"✗")</f>
        <v>✗</v>
      </c>
      <c r="O208" s="23" t="str">
        <f>IFERROR(__xludf.DUMMYFUNCTION("if(REGEXMATCH(join("", "",$F208:$G208),O$1)=TRUE,""✓"",""✗"")"),"✗")</f>
        <v>✗</v>
      </c>
      <c r="P208" s="23" t="str">
        <f>IFERROR(__xludf.DUMMYFUNCTION("if(REGEXMATCH(join("", "",$F208:$G208),P$1)=TRUE,""✓"",""✗"")"),"✗")</f>
        <v>✗</v>
      </c>
      <c r="Q208" s="23" t="str">
        <f>IFERROR(__xludf.DUMMYFUNCTION("if(REGEXMATCH(join("", "",$F208:$G208),Q$1)=TRUE,""✓"",""✗"")"),"✗")</f>
        <v>✗</v>
      </c>
      <c r="R208" s="23" t="str">
        <f>IFERROR(__xludf.DUMMYFUNCTION("if(REGEXMATCH(join("", "",$F208:$G208),R$1)=TRUE,""✓"",""✗"")"),"✗")</f>
        <v>✗</v>
      </c>
      <c r="S208" s="23" t="str">
        <f>IFERROR(__xludf.DUMMYFUNCTION("if(REGEXMATCH(join("", "",$F208:$G208),S$1)=TRUE,""✓"",""✗"")"),"✗")</f>
        <v>✗</v>
      </c>
      <c r="T208" s="23" t="str">
        <f>IFERROR(__xludf.DUMMYFUNCTION("if(REGEXMATCH(join("", "",$F208:$G208),T$1)=TRUE,""✓"",""✗"")"),"✗")</f>
        <v>✗</v>
      </c>
      <c r="U208" s="33"/>
      <c r="V208" s="33"/>
      <c r="W208" s="33"/>
      <c r="X208" s="33"/>
      <c r="Y208" s="33"/>
      <c r="Z208" s="33"/>
      <c r="AA208" s="33"/>
      <c r="AB208" s="33"/>
      <c r="AC208" s="33"/>
    </row>
    <row r="209" hidden="1">
      <c r="A209" s="17" t="s">
        <v>302</v>
      </c>
      <c r="B209" s="33"/>
      <c r="C209" s="33"/>
      <c r="D209" s="33"/>
      <c r="E209" s="33"/>
      <c r="F209" s="33"/>
      <c r="G209" s="33"/>
      <c r="H209" s="23" t="str">
        <f>IFERROR(__xludf.DUMMYFUNCTION("if(REGEXMATCH(join("", "",$F209:$G209),H$1)=TRUE,""✓"",""✗"")"),"✗")</f>
        <v>✗</v>
      </c>
      <c r="I209" s="23" t="str">
        <f>IFERROR(__xludf.DUMMYFUNCTION("if(REGEXMATCH(join("", "",$F209:$G209),I$1)=TRUE,""✓"",""✗"")"),"✗")</f>
        <v>✗</v>
      </c>
      <c r="J209" s="23" t="str">
        <f>IFERROR(__xludf.DUMMYFUNCTION("if(REGEXMATCH(join("", "",$F209:$G209),J$1)=TRUE,""✓"",""✗"")"),"✗")</f>
        <v>✗</v>
      </c>
      <c r="K209" s="23" t="str">
        <f>IFERROR(__xludf.DUMMYFUNCTION("if(REGEXMATCH(join("", "",$F209:$G209),K$1)=TRUE,""✓"",""✗"")"),"✗")</f>
        <v>✗</v>
      </c>
      <c r="L209" s="23" t="str">
        <f>IFERROR(__xludf.DUMMYFUNCTION("if(REGEXMATCH(join("", "",$F209:$G209),L$1)=TRUE,""✓"",""✗"")"),"✗")</f>
        <v>✗</v>
      </c>
      <c r="M209" s="23" t="str">
        <f>IFERROR(__xludf.DUMMYFUNCTION("if(REGEXMATCH(join("", "",$F209:$G209),M$1)=TRUE,""✓"",""✗"")"),"✗")</f>
        <v>✗</v>
      </c>
      <c r="N209" s="23" t="str">
        <f>IFERROR(__xludf.DUMMYFUNCTION("if(REGEXMATCH(join("", "",$F209:$G209),N$1)=TRUE,""✓"",""✗"")"),"✗")</f>
        <v>✗</v>
      </c>
      <c r="O209" s="23" t="str">
        <f>IFERROR(__xludf.DUMMYFUNCTION("if(REGEXMATCH(join("", "",$F209:$G209),O$1)=TRUE,""✓"",""✗"")"),"✗")</f>
        <v>✗</v>
      </c>
      <c r="P209" s="23" t="str">
        <f>IFERROR(__xludf.DUMMYFUNCTION("if(REGEXMATCH(join("", "",$F209:$G209),P$1)=TRUE,""✓"",""✗"")"),"✗")</f>
        <v>✗</v>
      </c>
      <c r="Q209" s="23" t="str">
        <f>IFERROR(__xludf.DUMMYFUNCTION("if(REGEXMATCH(join("", "",$F209:$G209),Q$1)=TRUE,""✓"",""✗"")"),"✗")</f>
        <v>✗</v>
      </c>
      <c r="R209" s="23" t="str">
        <f>IFERROR(__xludf.DUMMYFUNCTION("if(REGEXMATCH(join("", "",$F209:$G209),R$1)=TRUE,""✓"",""✗"")"),"✗")</f>
        <v>✗</v>
      </c>
      <c r="S209" s="23" t="str">
        <f>IFERROR(__xludf.DUMMYFUNCTION("if(REGEXMATCH(join("", "",$F209:$G209),S$1)=TRUE,""✓"",""✗"")"),"✗")</f>
        <v>✗</v>
      </c>
      <c r="T209" s="23" t="str">
        <f>IFERROR(__xludf.DUMMYFUNCTION("if(REGEXMATCH(join("", "",$F209:$G209),T$1)=TRUE,""✓"",""✗"")"),"✗")</f>
        <v>✗</v>
      </c>
      <c r="U209" s="33"/>
      <c r="V209" s="33"/>
      <c r="W209" s="33"/>
      <c r="X209" s="33"/>
      <c r="Y209" s="33"/>
      <c r="Z209" s="33"/>
      <c r="AA209" s="33"/>
      <c r="AB209" s="33"/>
      <c r="AC209" s="33"/>
    </row>
    <row r="210" hidden="1">
      <c r="A210" s="17" t="s">
        <v>302</v>
      </c>
      <c r="B210" s="33"/>
      <c r="C210" s="33"/>
      <c r="D210" s="33"/>
      <c r="E210" s="33"/>
      <c r="F210" s="33"/>
      <c r="G210" s="33"/>
      <c r="H210" s="23" t="str">
        <f>IFERROR(__xludf.DUMMYFUNCTION("if(REGEXMATCH(join("", "",$F210:$G210),H$1)=TRUE,""✓"",""✗"")"),"✗")</f>
        <v>✗</v>
      </c>
      <c r="I210" s="23" t="str">
        <f>IFERROR(__xludf.DUMMYFUNCTION("if(REGEXMATCH(join("", "",$F210:$G210),I$1)=TRUE,""✓"",""✗"")"),"✗")</f>
        <v>✗</v>
      </c>
      <c r="J210" s="23" t="str">
        <f>IFERROR(__xludf.DUMMYFUNCTION("if(REGEXMATCH(join("", "",$F210:$G210),J$1)=TRUE,""✓"",""✗"")"),"✗")</f>
        <v>✗</v>
      </c>
      <c r="K210" s="23" t="str">
        <f>IFERROR(__xludf.DUMMYFUNCTION("if(REGEXMATCH(join("", "",$F210:$G210),K$1)=TRUE,""✓"",""✗"")"),"✗")</f>
        <v>✗</v>
      </c>
      <c r="L210" s="23" t="str">
        <f>IFERROR(__xludf.DUMMYFUNCTION("if(REGEXMATCH(join("", "",$F210:$G210),L$1)=TRUE,""✓"",""✗"")"),"✗")</f>
        <v>✗</v>
      </c>
      <c r="M210" s="23" t="str">
        <f>IFERROR(__xludf.DUMMYFUNCTION("if(REGEXMATCH(join("", "",$F210:$G210),M$1)=TRUE,""✓"",""✗"")"),"✗")</f>
        <v>✗</v>
      </c>
      <c r="N210" s="23" t="str">
        <f>IFERROR(__xludf.DUMMYFUNCTION("if(REGEXMATCH(join("", "",$F210:$G210),N$1)=TRUE,""✓"",""✗"")"),"✗")</f>
        <v>✗</v>
      </c>
      <c r="O210" s="23" t="str">
        <f>IFERROR(__xludf.DUMMYFUNCTION("if(REGEXMATCH(join("", "",$F210:$G210),O$1)=TRUE,""✓"",""✗"")"),"✗")</f>
        <v>✗</v>
      </c>
      <c r="P210" s="23" t="str">
        <f>IFERROR(__xludf.DUMMYFUNCTION("if(REGEXMATCH(join("", "",$F210:$G210),P$1)=TRUE,""✓"",""✗"")"),"✗")</f>
        <v>✗</v>
      </c>
      <c r="Q210" s="23" t="str">
        <f>IFERROR(__xludf.DUMMYFUNCTION("if(REGEXMATCH(join("", "",$F210:$G210),Q$1)=TRUE,""✓"",""✗"")"),"✗")</f>
        <v>✗</v>
      </c>
      <c r="R210" s="23" t="str">
        <f>IFERROR(__xludf.DUMMYFUNCTION("if(REGEXMATCH(join("", "",$F210:$G210),R$1)=TRUE,""✓"",""✗"")"),"✗")</f>
        <v>✗</v>
      </c>
      <c r="S210" s="23" t="str">
        <f>IFERROR(__xludf.DUMMYFUNCTION("if(REGEXMATCH(join("", "",$F210:$G210),S$1)=TRUE,""✓"",""✗"")"),"✗")</f>
        <v>✗</v>
      </c>
      <c r="T210" s="23" t="str">
        <f>IFERROR(__xludf.DUMMYFUNCTION("if(REGEXMATCH(join("", "",$F210:$G210),T$1)=TRUE,""✓"",""✗"")"),"✗")</f>
        <v>✗</v>
      </c>
      <c r="U210" s="33"/>
      <c r="V210" s="33"/>
      <c r="W210" s="33"/>
      <c r="X210" s="33"/>
      <c r="Y210" s="33"/>
      <c r="Z210" s="33"/>
      <c r="AA210" s="33"/>
      <c r="AB210" s="33"/>
      <c r="AC210" s="33"/>
    </row>
    <row r="211" hidden="1">
      <c r="A211" s="17" t="s">
        <v>302</v>
      </c>
      <c r="B211" s="33"/>
      <c r="C211" s="33"/>
      <c r="D211" s="33"/>
      <c r="E211" s="33"/>
      <c r="F211" s="33"/>
      <c r="G211" s="33"/>
      <c r="H211" s="23" t="str">
        <f>IFERROR(__xludf.DUMMYFUNCTION("if(REGEXMATCH(join("", "",$F211:$G211),H$1)=TRUE,""✓"",""✗"")"),"✗")</f>
        <v>✗</v>
      </c>
      <c r="I211" s="23" t="str">
        <f>IFERROR(__xludf.DUMMYFUNCTION("if(REGEXMATCH(join("", "",$F211:$G211),I$1)=TRUE,""✓"",""✗"")"),"✗")</f>
        <v>✗</v>
      </c>
      <c r="J211" s="23" t="str">
        <f>IFERROR(__xludf.DUMMYFUNCTION("if(REGEXMATCH(join("", "",$F211:$G211),J$1)=TRUE,""✓"",""✗"")"),"✗")</f>
        <v>✗</v>
      </c>
      <c r="K211" s="23" t="str">
        <f>IFERROR(__xludf.DUMMYFUNCTION("if(REGEXMATCH(join("", "",$F211:$G211),K$1)=TRUE,""✓"",""✗"")"),"✗")</f>
        <v>✗</v>
      </c>
      <c r="L211" s="23" t="str">
        <f>IFERROR(__xludf.DUMMYFUNCTION("if(REGEXMATCH(join("", "",$F211:$G211),L$1)=TRUE,""✓"",""✗"")"),"✗")</f>
        <v>✗</v>
      </c>
      <c r="M211" s="23" t="str">
        <f>IFERROR(__xludf.DUMMYFUNCTION("if(REGEXMATCH(join("", "",$F211:$G211),M$1)=TRUE,""✓"",""✗"")"),"✗")</f>
        <v>✗</v>
      </c>
      <c r="N211" s="23" t="str">
        <f>IFERROR(__xludf.DUMMYFUNCTION("if(REGEXMATCH(join("", "",$F211:$G211),N$1)=TRUE,""✓"",""✗"")"),"✗")</f>
        <v>✗</v>
      </c>
      <c r="O211" s="23" t="str">
        <f>IFERROR(__xludf.DUMMYFUNCTION("if(REGEXMATCH(join("", "",$F211:$G211),O$1)=TRUE,""✓"",""✗"")"),"✗")</f>
        <v>✗</v>
      </c>
      <c r="P211" s="23" t="str">
        <f>IFERROR(__xludf.DUMMYFUNCTION("if(REGEXMATCH(join("", "",$F211:$G211),P$1)=TRUE,""✓"",""✗"")"),"✗")</f>
        <v>✗</v>
      </c>
      <c r="Q211" s="23" t="str">
        <f>IFERROR(__xludf.DUMMYFUNCTION("if(REGEXMATCH(join("", "",$F211:$G211),Q$1)=TRUE,""✓"",""✗"")"),"✗")</f>
        <v>✗</v>
      </c>
      <c r="R211" s="23" t="str">
        <f>IFERROR(__xludf.DUMMYFUNCTION("if(REGEXMATCH(join("", "",$F211:$G211),R$1)=TRUE,""✓"",""✗"")"),"✗")</f>
        <v>✗</v>
      </c>
      <c r="S211" s="23" t="str">
        <f>IFERROR(__xludf.DUMMYFUNCTION("if(REGEXMATCH(join("", "",$F211:$G211),S$1)=TRUE,""✓"",""✗"")"),"✗")</f>
        <v>✗</v>
      </c>
      <c r="T211" s="23" t="str">
        <f>IFERROR(__xludf.DUMMYFUNCTION("if(REGEXMATCH(join("", "",$F211:$G211),T$1)=TRUE,""✓"",""✗"")"),"✗")</f>
        <v>✗</v>
      </c>
      <c r="U211" s="33"/>
      <c r="V211" s="33"/>
      <c r="W211" s="33"/>
      <c r="X211" s="33"/>
      <c r="Y211" s="33"/>
      <c r="Z211" s="33"/>
      <c r="AA211" s="33"/>
      <c r="AB211" s="33"/>
      <c r="AC211" s="33"/>
    </row>
    <row r="212" hidden="1">
      <c r="A212" s="17" t="s">
        <v>302</v>
      </c>
      <c r="B212" s="33"/>
      <c r="C212" s="33"/>
      <c r="D212" s="33"/>
      <c r="E212" s="33"/>
      <c r="F212" s="33"/>
      <c r="G212" s="33"/>
      <c r="H212" s="23" t="str">
        <f>IFERROR(__xludf.DUMMYFUNCTION("if(REGEXMATCH(join("", "",$F212:$G212),H$1)=TRUE,""✓"",""✗"")"),"✗")</f>
        <v>✗</v>
      </c>
      <c r="I212" s="23" t="str">
        <f>IFERROR(__xludf.DUMMYFUNCTION("if(REGEXMATCH(join("", "",$F212:$G212),I$1)=TRUE,""✓"",""✗"")"),"✗")</f>
        <v>✗</v>
      </c>
      <c r="J212" s="23" t="str">
        <f>IFERROR(__xludf.DUMMYFUNCTION("if(REGEXMATCH(join("", "",$F212:$G212),J$1)=TRUE,""✓"",""✗"")"),"✗")</f>
        <v>✗</v>
      </c>
      <c r="K212" s="23" t="str">
        <f>IFERROR(__xludf.DUMMYFUNCTION("if(REGEXMATCH(join("", "",$F212:$G212),K$1)=TRUE,""✓"",""✗"")"),"✗")</f>
        <v>✗</v>
      </c>
      <c r="L212" s="23" t="str">
        <f>IFERROR(__xludf.DUMMYFUNCTION("if(REGEXMATCH(join("", "",$F212:$G212),L$1)=TRUE,""✓"",""✗"")"),"✗")</f>
        <v>✗</v>
      </c>
      <c r="M212" s="23" t="str">
        <f>IFERROR(__xludf.DUMMYFUNCTION("if(REGEXMATCH(join("", "",$F212:$G212),M$1)=TRUE,""✓"",""✗"")"),"✗")</f>
        <v>✗</v>
      </c>
      <c r="N212" s="23" t="str">
        <f>IFERROR(__xludf.DUMMYFUNCTION("if(REGEXMATCH(join("", "",$F212:$G212),N$1)=TRUE,""✓"",""✗"")"),"✗")</f>
        <v>✗</v>
      </c>
      <c r="O212" s="23" t="str">
        <f>IFERROR(__xludf.DUMMYFUNCTION("if(REGEXMATCH(join("", "",$F212:$G212),O$1)=TRUE,""✓"",""✗"")"),"✗")</f>
        <v>✗</v>
      </c>
      <c r="P212" s="23" t="str">
        <f>IFERROR(__xludf.DUMMYFUNCTION("if(REGEXMATCH(join("", "",$F212:$G212),P$1)=TRUE,""✓"",""✗"")"),"✗")</f>
        <v>✗</v>
      </c>
      <c r="Q212" s="23" t="str">
        <f>IFERROR(__xludf.DUMMYFUNCTION("if(REGEXMATCH(join("", "",$F212:$G212),Q$1)=TRUE,""✓"",""✗"")"),"✗")</f>
        <v>✗</v>
      </c>
      <c r="R212" s="23" t="str">
        <f>IFERROR(__xludf.DUMMYFUNCTION("if(REGEXMATCH(join("", "",$F212:$G212),R$1)=TRUE,""✓"",""✗"")"),"✗")</f>
        <v>✗</v>
      </c>
      <c r="S212" s="23" t="str">
        <f>IFERROR(__xludf.DUMMYFUNCTION("if(REGEXMATCH(join("", "",$F212:$G212),S$1)=TRUE,""✓"",""✗"")"),"✗")</f>
        <v>✗</v>
      </c>
      <c r="T212" s="23" t="str">
        <f>IFERROR(__xludf.DUMMYFUNCTION("if(REGEXMATCH(join("", "",$F212:$G212),T$1)=TRUE,""✓"",""✗"")"),"✗")</f>
        <v>✗</v>
      </c>
      <c r="U212" s="33"/>
      <c r="V212" s="33"/>
      <c r="W212" s="33"/>
      <c r="X212" s="33"/>
      <c r="Y212" s="33"/>
      <c r="Z212" s="33"/>
      <c r="AA212" s="33"/>
      <c r="AB212" s="33"/>
      <c r="AC212" s="33"/>
    </row>
    <row r="213" hidden="1">
      <c r="A213" s="17" t="s">
        <v>302</v>
      </c>
      <c r="B213" s="33"/>
      <c r="C213" s="33"/>
      <c r="D213" s="33"/>
      <c r="E213" s="33"/>
      <c r="F213" s="33"/>
      <c r="G213" s="33"/>
      <c r="H213" s="23" t="str">
        <f>IFERROR(__xludf.DUMMYFUNCTION("if(REGEXMATCH(join("", "",$F213:$G213),H$1)=TRUE,""✓"",""✗"")"),"✗")</f>
        <v>✗</v>
      </c>
      <c r="I213" s="23" t="str">
        <f>IFERROR(__xludf.DUMMYFUNCTION("if(REGEXMATCH(join("", "",$F213:$G213),I$1)=TRUE,""✓"",""✗"")"),"✗")</f>
        <v>✗</v>
      </c>
      <c r="J213" s="23" t="str">
        <f>IFERROR(__xludf.DUMMYFUNCTION("if(REGEXMATCH(join("", "",$F213:$G213),J$1)=TRUE,""✓"",""✗"")"),"✗")</f>
        <v>✗</v>
      </c>
      <c r="K213" s="23" t="str">
        <f>IFERROR(__xludf.DUMMYFUNCTION("if(REGEXMATCH(join("", "",$F213:$G213),K$1)=TRUE,""✓"",""✗"")"),"✗")</f>
        <v>✗</v>
      </c>
      <c r="L213" s="23" t="str">
        <f>IFERROR(__xludf.DUMMYFUNCTION("if(REGEXMATCH(join("", "",$F213:$G213),L$1)=TRUE,""✓"",""✗"")"),"✗")</f>
        <v>✗</v>
      </c>
      <c r="M213" s="23" t="str">
        <f>IFERROR(__xludf.DUMMYFUNCTION("if(REGEXMATCH(join("", "",$F213:$G213),M$1)=TRUE,""✓"",""✗"")"),"✗")</f>
        <v>✗</v>
      </c>
      <c r="N213" s="23" t="str">
        <f>IFERROR(__xludf.DUMMYFUNCTION("if(REGEXMATCH(join("", "",$F213:$G213),N$1)=TRUE,""✓"",""✗"")"),"✗")</f>
        <v>✗</v>
      </c>
      <c r="O213" s="23" t="str">
        <f>IFERROR(__xludf.DUMMYFUNCTION("if(REGEXMATCH(join("", "",$F213:$G213),O$1)=TRUE,""✓"",""✗"")"),"✗")</f>
        <v>✗</v>
      </c>
      <c r="P213" s="23" t="str">
        <f>IFERROR(__xludf.DUMMYFUNCTION("if(REGEXMATCH(join("", "",$F213:$G213),P$1)=TRUE,""✓"",""✗"")"),"✗")</f>
        <v>✗</v>
      </c>
      <c r="Q213" s="23" t="str">
        <f>IFERROR(__xludf.DUMMYFUNCTION("if(REGEXMATCH(join("", "",$F213:$G213),Q$1)=TRUE,""✓"",""✗"")"),"✗")</f>
        <v>✗</v>
      </c>
      <c r="R213" s="23" t="str">
        <f>IFERROR(__xludf.DUMMYFUNCTION("if(REGEXMATCH(join("", "",$F213:$G213),R$1)=TRUE,""✓"",""✗"")"),"✗")</f>
        <v>✗</v>
      </c>
      <c r="S213" s="23" t="str">
        <f>IFERROR(__xludf.DUMMYFUNCTION("if(REGEXMATCH(join("", "",$F213:$G213),S$1)=TRUE,""✓"",""✗"")"),"✗")</f>
        <v>✗</v>
      </c>
      <c r="T213" s="23" t="str">
        <f>IFERROR(__xludf.DUMMYFUNCTION("if(REGEXMATCH(join("", "",$F213:$G213),T$1)=TRUE,""✓"",""✗"")"),"✗")</f>
        <v>✗</v>
      </c>
      <c r="U213" s="33"/>
      <c r="V213" s="33"/>
      <c r="W213" s="33"/>
      <c r="X213" s="33"/>
      <c r="Y213" s="33"/>
      <c r="Z213" s="33"/>
      <c r="AA213" s="33"/>
      <c r="AB213" s="33"/>
      <c r="AC213" s="33"/>
    </row>
    <row r="214" hidden="1">
      <c r="A214" s="17" t="s">
        <v>302</v>
      </c>
      <c r="B214" s="33"/>
      <c r="C214" s="33"/>
      <c r="D214" s="33"/>
      <c r="E214" s="33"/>
      <c r="F214" s="33"/>
      <c r="G214" s="33"/>
      <c r="H214" s="23" t="str">
        <f>IFERROR(__xludf.DUMMYFUNCTION("if(REGEXMATCH(join("", "",$F214:$G214),H$1)=TRUE,""✓"",""✗"")"),"✗")</f>
        <v>✗</v>
      </c>
      <c r="I214" s="23" t="str">
        <f>IFERROR(__xludf.DUMMYFUNCTION("if(REGEXMATCH(join("", "",$F214:$G214),I$1)=TRUE,""✓"",""✗"")"),"✗")</f>
        <v>✗</v>
      </c>
      <c r="J214" s="23" t="str">
        <f>IFERROR(__xludf.DUMMYFUNCTION("if(REGEXMATCH(join("", "",$F214:$G214),J$1)=TRUE,""✓"",""✗"")"),"✗")</f>
        <v>✗</v>
      </c>
      <c r="K214" s="23" t="str">
        <f>IFERROR(__xludf.DUMMYFUNCTION("if(REGEXMATCH(join("", "",$F214:$G214),K$1)=TRUE,""✓"",""✗"")"),"✗")</f>
        <v>✗</v>
      </c>
      <c r="L214" s="23" t="str">
        <f>IFERROR(__xludf.DUMMYFUNCTION("if(REGEXMATCH(join("", "",$F214:$G214),L$1)=TRUE,""✓"",""✗"")"),"✗")</f>
        <v>✗</v>
      </c>
      <c r="M214" s="23" t="str">
        <f>IFERROR(__xludf.DUMMYFUNCTION("if(REGEXMATCH(join("", "",$F214:$G214),M$1)=TRUE,""✓"",""✗"")"),"✗")</f>
        <v>✗</v>
      </c>
      <c r="N214" s="23" t="str">
        <f>IFERROR(__xludf.DUMMYFUNCTION("if(REGEXMATCH(join("", "",$F214:$G214),N$1)=TRUE,""✓"",""✗"")"),"✗")</f>
        <v>✗</v>
      </c>
      <c r="O214" s="23" t="str">
        <f>IFERROR(__xludf.DUMMYFUNCTION("if(REGEXMATCH(join("", "",$F214:$G214),O$1)=TRUE,""✓"",""✗"")"),"✗")</f>
        <v>✗</v>
      </c>
      <c r="P214" s="23" t="str">
        <f>IFERROR(__xludf.DUMMYFUNCTION("if(REGEXMATCH(join("", "",$F214:$G214),P$1)=TRUE,""✓"",""✗"")"),"✗")</f>
        <v>✗</v>
      </c>
      <c r="Q214" s="23" t="str">
        <f>IFERROR(__xludf.DUMMYFUNCTION("if(REGEXMATCH(join("", "",$F214:$G214),Q$1)=TRUE,""✓"",""✗"")"),"✗")</f>
        <v>✗</v>
      </c>
      <c r="R214" s="23" t="str">
        <f>IFERROR(__xludf.DUMMYFUNCTION("if(REGEXMATCH(join("", "",$F214:$G214),R$1)=TRUE,""✓"",""✗"")"),"✗")</f>
        <v>✗</v>
      </c>
      <c r="S214" s="23" t="str">
        <f>IFERROR(__xludf.DUMMYFUNCTION("if(REGEXMATCH(join("", "",$F214:$G214),S$1)=TRUE,""✓"",""✗"")"),"✗")</f>
        <v>✗</v>
      </c>
      <c r="T214" s="23" t="str">
        <f>IFERROR(__xludf.DUMMYFUNCTION("if(REGEXMATCH(join("", "",$F214:$G214),T$1)=TRUE,""✓"",""✗"")"),"✗")</f>
        <v>✗</v>
      </c>
      <c r="U214" s="33"/>
      <c r="V214" s="33"/>
      <c r="W214" s="33"/>
      <c r="X214" s="33"/>
      <c r="Y214" s="33"/>
      <c r="Z214" s="33"/>
      <c r="AA214" s="33"/>
      <c r="AB214" s="33"/>
      <c r="AC214" s="33"/>
    </row>
    <row r="215" hidden="1">
      <c r="A215" s="17" t="s">
        <v>302</v>
      </c>
      <c r="B215" s="33"/>
      <c r="C215" s="33"/>
      <c r="D215" s="33"/>
      <c r="E215" s="33"/>
      <c r="F215" s="33"/>
      <c r="G215" s="33"/>
      <c r="H215" s="23" t="str">
        <f>IFERROR(__xludf.DUMMYFUNCTION("if(REGEXMATCH(join("", "",$F215:$G215),H$1)=TRUE,""✓"",""✗"")"),"✗")</f>
        <v>✗</v>
      </c>
      <c r="I215" s="23" t="str">
        <f>IFERROR(__xludf.DUMMYFUNCTION("if(REGEXMATCH(join("", "",$F215:$G215),I$1)=TRUE,""✓"",""✗"")"),"✗")</f>
        <v>✗</v>
      </c>
      <c r="J215" s="23" t="str">
        <f>IFERROR(__xludf.DUMMYFUNCTION("if(REGEXMATCH(join("", "",$F215:$G215),J$1)=TRUE,""✓"",""✗"")"),"✗")</f>
        <v>✗</v>
      </c>
      <c r="K215" s="23" t="str">
        <f>IFERROR(__xludf.DUMMYFUNCTION("if(REGEXMATCH(join("", "",$F215:$G215),K$1)=TRUE,""✓"",""✗"")"),"✗")</f>
        <v>✗</v>
      </c>
      <c r="L215" s="23" t="str">
        <f>IFERROR(__xludf.DUMMYFUNCTION("if(REGEXMATCH(join("", "",$F215:$G215),L$1)=TRUE,""✓"",""✗"")"),"✗")</f>
        <v>✗</v>
      </c>
      <c r="M215" s="23" t="str">
        <f>IFERROR(__xludf.DUMMYFUNCTION("if(REGEXMATCH(join("", "",$F215:$G215),M$1)=TRUE,""✓"",""✗"")"),"✗")</f>
        <v>✗</v>
      </c>
      <c r="N215" s="23" t="str">
        <f>IFERROR(__xludf.DUMMYFUNCTION("if(REGEXMATCH(join("", "",$F215:$G215),N$1)=TRUE,""✓"",""✗"")"),"✗")</f>
        <v>✗</v>
      </c>
      <c r="O215" s="23" t="str">
        <f>IFERROR(__xludf.DUMMYFUNCTION("if(REGEXMATCH(join("", "",$F215:$G215),O$1)=TRUE,""✓"",""✗"")"),"✗")</f>
        <v>✗</v>
      </c>
      <c r="P215" s="23" t="str">
        <f>IFERROR(__xludf.DUMMYFUNCTION("if(REGEXMATCH(join("", "",$F215:$G215),P$1)=TRUE,""✓"",""✗"")"),"✗")</f>
        <v>✗</v>
      </c>
      <c r="Q215" s="23" t="str">
        <f>IFERROR(__xludf.DUMMYFUNCTION("if(REGEXMATCH(join("", "",$F215:$G215),Q$1)=TRUE,""✓"",""✗"")"),"✗")</f>
        <v>✗</v>
      </c>
      <c r="R215" s="23" t="str">
        <f>IFERROR(__xludf.DUMMYFUNCTION("if(REGEXMATCH(join("", "",$F215:$G215),R$1)=TRUE,""✓"",""✗"")"),"✗")</f>
        <v>✗</v>
      </c>
      <c r="S215" s="23" t="str">
        <f>IFERROR(__xludf.DUMMYFUNCTION("if(REGEXMATCH(join("", "",$F215:$G215),S$1)=TRUE,""✓"",""✗"")"),"✗")</f>
        <v>✗</v>
      </c>
      <c r="T215" s="23" t="str">
        <f>IFERROR(__xludf.DUMMYFUNCTION("if(REGEXMATCH(join("", "",$F215:$G215),T$1)=TRUE,""✓"",""✗"")"),"✗")</f>
        <v>✗</v>
      </c>
      <c r="U215" s="33"/>
      <c r="V215" s="33"/>
      <c r="W215" s="33"/>
      <c r="X215" s="33"/>
      <c r="Y215" s="33"/>
      <c r="Z215" s="33"/>
      <c r="AA215" s="33"/>
      <c r="AB215" s="33"/>
      <c r="AC215" s="33"/>
    </row>
    <row r="216" hidden="1">
      <c r="A216" s="17" t="s">
        <v>302</v>
      </c>
      <c r="B216" s="33"/>
      <c r="C216" s="33"/>
      <c r="D216" s="33"/>
      <c r="E216" s="33"/>
      <c r="F216" s="33"/>
      <c r="G216" s="33"/>
      <c r="H216" s="23" t="str">
        <f>IFERROR(__xludf.DUMMYFUNCTION("if(REGEXMATCH(join("", "",$F216:$G216),H$1)=TRUE,""✓"",""✗"")"),"✗")</f>
        <v>✗</v>
      </c>
      <c r="I216" s="23" t="str">
        <f>IFERROR(__xludf.DUMMYFUNCTION("if(REGEXMATCH(join("", "",$F216:$G216),I$1)=TRUE,""✓"",""✗"")"),"✗")</f>
        <v>✗</v>
      </c>
      <c r="J216" s="23" t="str">
        <f>IFERROR(__xludf.DUMMYFUNCTION("if(REGEXMATCH(join("", "",$F216:$G216),J$1)=TRUE,""✓"",""✗"")"),"✗")</f>
        <v>✗</v>
      </c>
      <c r="K216" s="23" t="str">
        <f>IFERROR(__xludf.DUMMYFUNCTION("if(REGEXMATCH(join("", "",$F216:$G216),K$1)=TRUE,""✓"",""✗"")"),"✗")</f>
        <v>✗</v>
      </c>
      <c r="L216" s="23" t="str">
        <f>IFERROR(__xludf.DUMMYFUNCTION("if(REGEXMATCH(join("", "",$F216:$G216),L$1)=TRUE,""✓"",""✗"")"),"✗")</f>
        <v>✗</v>
      </c>
      <c r="M216" s="23" t="str">
        <f>IFERROR(__xludf.DUMMYFUNCTION("if(REGEXMATCH(join("", "",$F216:$G216),M$1)=TRUE,""✓"",""✗"")"),"✗")</f>
        <v>✗</v>
      </c>
      <c r="N216" s="23" t="str">
        <f>IFERROR(__xludf.DUMMYFUNCTION("if(REGEXMATCH(join("", "",$F216:$G216),N$1)=TRUE,""✓"",""✗"")"),"✗")</f>
        <v>✗</v>
      </c>
      <c r="O216" s="23" t="str">
        <f>IFERROR(__xludf.DUMMYFUNCTION("if(REGEXMATCH(join("", "",$F216:$G216),O$1)=TRUE,""✓"",""✗"")"),"✗")</f>
        <v>✗</v>
      </c>
      <c r="P216" s="23" t="str">
        <f>IFERROR(__xludf.DUMMYFUNCTION("if(REGEXMATCH(join("", "",$F216:$G216),P$1)=TRUE,""✓"",""✗"")"),"✗")</f>
        <v>✗</v>
      </c>
      <c r="Q216" s="23" t="str">
        <f>IFERROR(__xludf.DUMMYFUNCTION("if(REGEXMATCH(join("", "",$F216:$G216),Q$1)=TRUE,""✓"",""✗"")"),"✗")</f>
        <v>✗</v>
      </c>
      <c r="R216" s="23" t="str">
        <f>IFERROR(__xludf.DUMMYFUNCTION("if(REGEXMATCH(join("", "",$F216:$G216),R$1)=TRUE,""✓"",""✗"")"),"✗")</f>
        <v>✗</v>
      </c>
      <c r="S216" s="23" t="str">
        <f>IFERROR(__xludf.DUMMYFUNCTION("if(REGEXMATCH(join("", "",$F216:$G216),S$1)=TRUE,""✓"",""✗"")"),"✗")</f>
        <v>✗</v>
      </c>
      <c r="T216" s="23" t="str">
        <f>IFERROR(__xludf.DUMMYFUNCTION("if(REGEXMATCH(join("", "",$F216:$G216),T$1)=TRUE,""✓"",""✗"")"),"✗")</f>
        <v>✗</v>
      </c>
      <c r="U216" s="33"/>
      <c r="V216" s="33"/>
      <c r="W216" s="33"/>
      <c r="X216" s="33"/>
      <c r="Y216" s="33"/>
      <c r="Z216" s="33"/>
      <c r="AA216" s="33"/>
      <c r="AB216" s="33"/>
      <c r="AC216" s="33"/>
    </row>
    <row r="217" hidden="1">
      <c r="A217" s="17" t="s">
        <v>302</v>
      </c>
      <c r="B217" s="33"/>
      <c r="C217" s="33"/>
      <c r="D217" s="33"/>
      <c r="E217" s="33"/>
      <c r="F217" s="33"/>
      <c r="G217" s="33"/>
      <c r="H217" s="23" t="str">
        <f>IFERROR(__xludf.DUMMYFUNCTION("if(REGEXMATCH(join("", "",$F217:$G217),H$1)=TRUE,""✓"",""✗"")"),"✗")</f>
        <v>✗</v>
      </c>
      <c r="I217" s="23" t="str">
        <f>IFERROR(__xludf.DUMMYFUNCTION("if(REGEXMATCH(join("", "",$F217:$G217),I$1)=TRUE,""✓"",""✗"")"),"✗")</f>
        <v>✗</v>
      </c>
      <c r="J217" s="23" t="str">
        <f>IFERROR(__xludf.DUMMYFUNCTION("if(REGEXMATCH(join("", "",$F217:$G217),J$1)=TRUE,""✓"",""✗"")"),"✗")</f>
        <v>✗</v>
      </c>
      <c r="K217" s="23" t="str">
        <f>IFERROR(__xludf.DUMMYFUNCTION("if(REGEXMATCH(join("", "",$F217:$G217),K$1)=TRUE,""✓"",""✗"")"),"✗")</f>
        <v>✗</v>
      </c>
      <c r="L217" s="23" t="str">
        <f>IFERROR(__xludf.DUMMYFUNCTION("if(REGEXMATCH(join("", "",$F217:$G217),L$1)=TRUE,""✓"",""✗"")"),"✗")</f>
        <v>✗</v>
      </c>
      <c r="M217" s="23" t="str">
        <f>IFERROR(__xludf.DUMMYFUNCTION("if(REGEXMATCH(join("", "",$F217:$G217),M$1)=TRUE,""✓"",""✗"")"),"✗")</f>
        <v>✗</v>
      </c>
      <c r="N217" s="23" t="str">
        <f>IFERROR(__xludf.DUMMYFUNCTION("if(REGEXMATCH(join("", "",$F217:$G217),N$1)=TRUE,""✓"",""✗"")"),"✗")</f>
        <v>✗</v>
      </c>
      <c r="O217" s="23" t="str">
        <f>IFERROR(__xludf.DUMMYFUNCTION("if(REGEXMATCH(join("", "",$F217:$G217),O$1)=TRUE,""✓"",""✗"")"),"✗")</f>
        <v>✗</v>
      </c>
      <c r="P217" s="23" t="str">
        <f>IFERROR(__xludf.DUMMYFUNCTION("if(REGEXMATCH(join("", "",$F217:$G217),P$1)=TRUE,""✓"",""✗"")"),"✗")</f>
        <v>✗</v>
      </c>
      <c r="Q217" s="23" t="str">
        <f>IFERROR(__xludf.DUMMYFUNCTION("if(REGEXMATCH(join("", "",$F217:$G217),Q$1)=TRUE,""✓"",""✗"")"),"✗")</f>
        <v>✗</v>
      </c>
      <c r="R217" s="23" t="str">
        <f>IFERROR(__xludf.DUMMYFUNCTION("if(REGEXMATCH(join("", "",$F217:$G217),R$1)=TRUE,""✓"",""✗"")"),"✗")</f>
        <v>✗</v>
      </c>
      <c r="S217" s="23" t="str">
        <f>IFERROR(__xludf.DUMMYFUNCTION("if(REGEXMATCH(join("", "",$F217:$G217),S$1)=TRUE,""✓"",""✗"")"),"✗")</f>
        <v>✗</v>
      </c>
      <c r="T217" s="23" t="str">
        <f>IFERROR(__xludf.DUMMYFUNCTION("if(REGEXMATCH(join("", "",$F217:$G217),T$1)=TRUE,""✓"",""✗"")"),"✗")</f>
        <v>✗</v>
      </c>
      <c r="U217" s="33"/>
      <c r="V217" s="33"/>
      <c r="W217" s="33"/>
      <c r="X217" s="33"/>
      <c r="Y217" s="33"/>
      <c r="Z217" s="33"/>
      <c r="AA217" s="33"/>
      <c r="AB217" s="33"/>
      <c r="AC217" s="33"/>
    </row>
    <row r="218" hidden="1">
      <c r="A218" s="17" t="s">
        <v>302</v>
      </c>
      <c r="B218" s="33"/>
      <c r="C218" s="33"/>
      <c r="D218" s="33"/>
      <c r="E218" s="33"/>
      <c r="F218" s="33"/>
      <c r="G218" s="33"/>
      <c r="H218" s="23" t="str">
        <f>IFERROR(__xludf.DUMMYFUNCTION("if(REGEXMATCH(join("", "",$F218:$G218),H$1)=TRUE,""✓"",""✗"")"),"✗")</f>
        <v>✗</v>
      </c>
      <c r="I218" s="23" t="str">
        <f>IFERROR(__xludf.DUMMYFUNCTION("if(REGEXMATCH(join("", "",$F218:$G218),I$1)=TRUE,""✓"",""✗"")"),"✗")</f>
        <v>✗</v>
      </c>
      <c r="J218" s="23" t="str">
        <f>IFERROR(__xludf.DUMMYFUNCTION("if(REGEXMATCH(join("", "",$F218:$G218),J$1)=TRUE,""✓"",""✗"")"),"✗")</f>
        <v>✗</v>
      </c>
      <c r="K218" s="23" t="str">
        <f>IFERROR(__xludf.DUMMYFUNCTION("if(REGEXMATCH(join("", "",$F218:$G218),K$1)=TRUE,""✓"",""✗"")"),"✗")</f>
        <v>✗</v>
      </c>
      <c r="L218" s="23" t="str">
        <f>IFERROR(__xludf.DUMMYFUNCTION("if(REGEXMATCH(join("", "",$F218:$G218),L$1)=TRUE,""✓"",""✗"")"),"✗")</f>
        <v>✗</v>
      </c>
      <c r="M218" s="23" t="str">
        <f>IFERROR(__xludf.DUMMYFUNCTION("if(REGEXMATCH(join("", "",$F218:$G218),M$1)=TRUE,""✓"",""✗"")"),"✗")</f>
        <v>✗</v>
      </c>
      <c r="N218" s="23" t="str">
        <f>IFERROR(__xludf.DUMMYFUNCTION("if(REGEXMATCH(join("", "",$F218:$G218),N$1)=TRUE,""✓"",""✗"")"),"✗")</f>
        <v>✗</v>
      </c>
      <c r="O218" s="23" t="str">
        <f>IFERROR(__xludf.DUMMYFUNCTION("if(REGEXMATCH(join("", "",$F218:$G218),O$1)=TRUE,""✓"",""✗"")"),"✗")</f>
        <v>✗</v>
      </c>
      <c r="P218" s="23" t="str">
        <f>IFERROR(__xludf.DUMMYFUNCTION("if(REGEXMATCH(join("", "",$F218:$G218),P$1)=TRUE,""✓"",""✗"")"),"✗")</f>
        <v>✗</v>
      </c>
      <c r="Q218" s="23" t="str">
        <f>IFERROR(__xludf.DUMMYFUNCTION("if(REGEXMATCH(join("", "",$F218:$G218),Q$1)=TRUE,""✓"",""✗"")"),"✗")</f>
        <v>✗</v>
      </c>
      <c r="R218" s="23" t="str">
        <f>IFERROR(__xludf.DUMMYFUNCTION("if(REGEXMATCH(join("", "",$F218:$G218),R$1)=TRUE,""✓"",""✗"")"),"✗")</f>
        <v>✗</v>
      </c>
      <c r="S218" s="23" t="str">
        <f>IFERROR(__xludf.DUMMYFUNCTION("if(REGEXMATCH(join("", "",$F218:$G218),S$1)=TRUE,""✓"",""✗"")"),"✗")</f>
        <v>✗</v>
      </c>
      <c r="T218" s="23" t="str">
        <f>IFERROR(__xludf.DUMMYFUNCTION("if(REGEXMATCH(join("", "",$F218:$G218),T$1)=TRUE,""✓"",""✗"")"),"✗")</f>
        <v>✗</v>
      </c>
      <c r="U218" s="33"/>
      <c r="V218" s="33"/>
      <c r="W218" s="33"/>
      <c r="X218" s="33"/>
      <c r="Y218" s="33"/>
      <c r="Z218" s="33"/>
      <c r="AA218" s="33"/>
      <c r="AB218" s="33"/>
      <c r="AC218" s="33"/>
    </row>
    <row r="219" hidden="1">
      <c r="A219" s="17" t="s">
        <v>302</v>
      </c>
      <c r="B219" s="33"/>
      <c r="C219" s="33"/>
      <c r="D219" s="33"/>
      <c r="E219" s="33"/>
      <c r="F219" s="33"/>
      <c r="G219" s="33"/>
      <c r="H219" s="23" t="str">
        <f>IFERROR(__xludf.DUMMYFUNCTION("if(REGEXMATCH(join("", "",$F219:$G219),H$1)=TRUE,""✓"",""✗"")"),"✗")</f>
        <v>✗</v>
      </c>
      <c r="I219" s="23" t="str">
        <f>IFERROR(__xludf.DUMMYFUNCTION("if(REGEXMATCH(join("", "",$F219:$G219),I$1)=TRUE,""✓"",""✗"")"),"✗")</f>
        <v>✗</v>
      </c>
      <c r="J219" s="23" t="str">
        <f>IFERROR(__xludf.DUMMYFUNCTION("if(REGEXMATCH(join("", "",$F219:$G219),J$1)=TRUE,""✓"",""✗"")"),"✗")</f>
        <v>✗</v>
      </c>
      <c r="K219" s="23" t="str">
        <f>IFERROR(__xludf.DUMMYFUNCTION("if(REGEXMATCH(join("", "",$F219:$G219),K$1)=TRUE,""✓"",""✗"")"),"✗")</f>
        <v>✗</v>
      </c>
      <c r="L219" s="23" t="str">
        <f>IFERROR(__xludf.DUMMYFUNCTION("if(REGEXMATCH(join("", "",$F219:$G219),L$1)=TRUE,""✓"",""✗"")"),"✗")</f>
        <v>✗</v>
      </c>
      <c r="M219" s="23" t="str">
        <f>IFERROR(__xludf.DUMMYFUNCTION("if(REGEXMATCH(join("", "",$F219:$G219),M$1)=TRUE,""✓"",""✗"")"),"✗")</f>
        <v>✗</v>
      </c>
      <c r="N219" s="23" t="str">
        <f>IFERROR(__xludf.DUMMYFUNCTION("if(REGEXMATCH(join("", "",$F219:$G219),N$1)=TRUE,""✓"",""✗"")"),"✗")</f>
        <v>✗</v>
      </c>
      <c r="O219" s="23" t="str">
        <f>IFERROR(__xludf.DUMMYFUNCTION("if(REGEXMATCH(join("", "",$F219:$G219),O$1)=TRUE,""✓"",""✗"")"),"✗")</f>
        <v>✗</v>
      </c>
      <c r="P219" s="23" t="str">
        <f>IFERROR(__xludf.DUMMYFUNCTION("if(REGEXMATCH(join("", "",$F219:$G219),P$1)=TRUE,""✓"",""✗"")"),"✗")</f>
        <v>✗</v>
      </c>
      <c r="Q219" s="23" t="str">
        <f>IFERROR(__xludf.DUMMYFUNCTION("if(REGEXMATCH(join("", "",$F219:$G219),Q$1)=TRUE,""✓"",""✗"")"),"✗")</f>
        <v>✗</v>
      </c>
      <c r="R219" s="23" t="str">
        <f>IFERROR(__xludf.DUMMYFUNCTION("if(REGEXMATCH(join("", "",$F219:$G219),R$1)=TRUE,""✓"",""✗"")"),"✗")</f>
        <v>✗</v>
      </c>
      <c r="S219" s="23" t="str">
        <f>IFERROR(__xludf.DUMMYFUNCTION("if(REGEXMATCH(join("", "",$F219:$G219),S$1)=TRUE,""✓"",""✗"")"),"✗")</f>
        <v>✗</v>
      </c>
      <c r="T219" s="23" t="str">
        <f>IFERROR(__xludf.DUMMYFUNCTION("if(REGEXMATCH(join("", "",$F219:$G219),T$1)=TRUE,""✓"",""✗"")"),"✗")</f>
        <v>✗</v>
      </c>
      <c r="U219" s="33"/>
      <c r="V219" s="33"/>
      <c r="W219" s="33"/>
      <c r="X219" s="33"/>
      <c r="Y219" s="33"/>
      <c r="Z219" s="33"/>
      <c r="AA219" s="33"/>
      <c r="AB219" s="33"/>
      <c r="AC219" s="33"/>
    </row>
    <row r="220" hidden="1">
      <c r="A220" s="17" t="s">
        <v>302</v>
      </c>
      <c r="B220" s="33"/>
      <c r="C220" s="33"/>
      <c r="D220" s="33"/>
      <c r="E220" s="33"/>
      <c r="F220" s="33"/>
      <c r="G220" s="33"/>
      <c r="H220" s="51">
        <f t="shared" ref="H220:T220" si="16">countif(H112:H219,"✓")</f>
        <v>0</v>
      </c>
      <c r="I220" s="51">
        <f t="shared" si="16"/>
        <v>0</v>
      </c>
      <c r="J220" s="51">
        <f t="shared" si="16"/>
        <v>0</v>
      </c>
      <c r="K220" s="51">
        <f t="shared" si="16"/>
        <v>0</v>
      </c>
      <c r="L220" s="51">
        <f t="shared" si="16"/>
        <v>0</v>
      </c>
      <c r="M220" s="51">
        <f t="shared" si="16"/>
        <v>0</v>
      </c>
      <c r="N220" s="51">
        <f t="shared" si="16"/>
        <v>0</v>
      </c>
      <c r="O220" s="51">
        <f t="shared" si="16"/>
        <v>0</v>
      </c>
      <c r="P220" s="51">
        <f t="shared" si="16"/>
        <v>0</v>
      </c>
      <c r="Q220" s="51">
        <f t="shared" si="16"/>
        <v>0</v>
      </c>
      <c r="R220" s="51">
        <f t="shared" si="16"/>
        <v>0</v>
      </c>
      <c r="S220" s="51">
        <f t="shared" si="16"/>
        <v>0</v>
      </c>
      <c r="T220" s="51">
        <f t="shared" si="16"/>
        <v>0</v>
      </c>
      <c r="U220" s="33"/>
      <c r="V220" s="33"/>
      <c r="W220" s="33"/>
      <c r="X220" s="33"/>
      <c r="Y220" s="33"/>
      <c r="Z220" s="33"/>
      <c r="AA220" s="33"/>
      <c r="AB220" s="33"/>
      <c r="AC220" s="33"/>
    </row>
    <row r="221" hidden="1">
      <c r="A221" s="17" t="s">
        <v>302</v>
      </c>
      <c r="B221" s="33"/>
      <c r="C221" s="33"/>
      <c r="D221" s="33"/>
      <c r="E221" s="33"/>
      <c r="F221" s="33"/>
      <c r="G221" s="33"/>
      <c r="H221" s="13" t="s">
        <v>2</v>
      </c>
      <c r="I221" s="13" t="s">
        <v>9</v>
      </c>
      <c r="J221" s="13" t="s">
        <v>10</v>
      </c>
      <c r="K221" s="13" t="s">
        <v>11</v>
      </c>
      <c r="L221" s="13" t="s">
        <v>12</v>
      </c>
      <c r="M221" s="13" t="s">
        <v>13</v>
      </c>
      <c r="N221" s="13" t="s">
        <v>14</v>
      </c>
      <c r="O221" s="13" t="s">
        <v>15</v>
      </c>
      <c r="P221" s="13" t="s">
        <v>4</v>
      </c>
      <c r="Q221" s="13" t="s">
        <v>16</v>
      </c>
      <c r="R221" s="13" t="s">
        <v>17</v>
      </c>
      <c r="S221" s="13" t="s">
        <v>19</v>
      </c>
      <c r="T221" s="13" t="s">
        <v>20</v>
      </c>
      <c r="U221" s="33"/>
      <c r="V221" s="33"/>
      <c r="W221" s="33"/>
      <c r="X221" s="33"/>
      <c r="Y221" s="33"/>
      <c r="Z221" s="33"/>
      <c r="AA221" s="33"/>
      <c r="AB221" s="33"/>
      <c r="AC221" s="33"/>
    </row>
    <row r="222" hidden="1">
      <c r="A222" s="17" t="s">
        <v>302</v>
      </c>
      <c r="B222" s="33"/>
      <c r="C222" s="33"/>
      <c r="D222" s="33"/>
      <c r="E222" s="33"/>
      <c r="F222" s="33"/>
      <c r="G222" s="33"/>
      <c r="H222" s="23" t="str">
        <f>IFERROR(__xludf.DUMMYFUNCTION("if(REGEXMATCH(join("", "",$F222:$G222),H$1)=TRUE,""✓"",""✗"")"),"✗")</f>
        <v>✗</v>
      </c>
      <c r="I222" s="23" t="str">
        <f>IFERROR(__xludf.DUMMYFUNCTION("if(REGEXMATCH(join("", "",$F222:$G222),I$1)=TRUE,""✓"",""✗"")"),"✗")</f>
        <v>✗</v>
      </c>
      <c r="J222" s="23" t="str">
        <f>IFERROR(__xludf.DUMMYFUNCTION("if(REGEXMATCH(join("", "",$F222:$G222),J$1)=TRUE,""✓"",""✗"")"),"✗")</f>
        <v>✗</v>
      </c>
      <c r="K222" s="23" t="str">
        <f>IFERROR(__xludf.DUMMYFUNCTION("if(REGEXMATCH(join("", "",$F222:$G222),K$1)=TRUE,""✓"",""✗"")"),"✗")</f>
        <v>✗</v>
      </c>
      <c r="L222" s="23" t="str">
        <f>IFERROR(__xludf.DUMMYFUNCTION("if(REGEXMATCH(join("", "",$F222:$G222),L$1)=TRUE,""✓"",""✗"")"),"✗")</f>
        <v>✗</v>
      </c>
      <c r="M222" s="23" t="str">
        <f>IFERROR(__xludf.DUMMYFUNCTION("if(REGEXMATCH(join("", "",$F222:$G222),M$1)=TRUE,""✓"",""✗"")"),"✗")</f>
        <v>✗</v>
      </c>
      <c r="N222" s="23" t="str">
        <f>IFERROR(__xludf.DUMMYFUNCTION("if(REGEXMATCH(join("", "",$F222:$G222),N$1)=TRUE,""✓"",""✗"")"),"✗")</f>
        <v>✗</v>
      </c>
      <c r="O222" s="23" t="str">
        <f>IFERROR(__xludf.DUMMYFUNCTION("if(REGEXMATCH(join("", "",$F222:$G222),O$1)=TRUE,""✓"",""✗"")"),"✗")</f>
        <v>✗</v>
      </c>
      <c r="P222" s="23" t="str">
        <f>IFERROR(__xludf.DUMMYFUNCTION("if(REGEXMATCH(join("", "",$F222:$G222),P$1)=TRUE,""✓"",""✗"")"),"✗")</f>
        <v>✗</v>
      </c>
      <c r="Q222" s="23" t="str">
        <f>IFERROR(__xludf.DUMMYFUNCTION("if(REGEXMATCH(join("", "",$F222:$G222),Q$1)=TRUE,""✓"",""✗"")"),"✗")</f>
        <v>✗</v>
      </c>
      <c r="R222" s="23" t="str">
        <f>IFERROR(__xludf.DUMMYFUNCTION("if(REGEXMATCH(join("", "",$F222:$G222),R$1)=TRUE,""✓"",""✗"")"),"✗")</f>
        <v>✗</v>
      </c>
      <c r="S222" s="23" t="str">
        <f>IFERROR(__xludf.DUMMYFUNCTION("if(REGEXMATCH(join("", "",$F222:$G222),S$1)=TRUE,""✓"",""✗"")"),"✗")</f>
        <v>✗</v>
      </c>
      <c r="T222" s="23" t="str">
        <f>IFERROR(__xludf.DUMMYFUNCTION("if(REGEXMATCH(join("", "",$F222:$G222),T$1)=TRUE,""✓"",""✗"")"),"✗")</f>
        <v>✗</v>
      </c>
      <c r="U222" s="33"/>
      <c r="V222" s="33"/>
      <c r="W222" s="33"/>
      <c r="X222" s="33"/>
      <c r="Y222" s="33"/>
      <c r="Z222" s="33"/>
      <c r="AA222" s="33"/>
      <c r="AB222" s="33"/>
      <c r="AC222" s="33"/>
    </row>
    <row r="223" hidden="1">
      <c r="A223" s="17" t="s">
        <v>302</v>
      </c>
      <c r="B223" s="33"/>
      <c r="C223" s="33"/>
      <c r="D223" s="33"/>
      <c r="E223" s="33"/>
      <c r="F223" s="33"/>
      <c r="G223" s="33"/>
      <c r="H223" s="23" t="str">
        <f>IFERROR(__xludf.DUMMYFUNCTION("if(REGEXMATCH(join("", "",$F223:$G223),H$1)=TRUE,""✓"",""✗"")"),"✗")</f>
        <v>✗</v>
      </c>
      <c r="I223" s="23" t="str">
        <f>IFERROR(__xludf.DUMMYFUNCTION("if(REGEXMATCH(join("", "",$F223:$G223),I$1)=TRUE,""✓"",""✗"")"),"✗")</f>
        <v>✗</v>
      </c>
      <c r="J223" s="23" t="str">
        <f>IFERROR(__xludf.DUMMYFUNCTION("if(REGEXMATCH(join("", "",$F223:$G223),J$1)=TRUE,""✓"",""✗"")"),"✗")</f>
        <v>✗</v>
      </c>
      <c r="K223" s="23" t="str">
        <f>IFERROR(__xludf.DUMMYFUNCTION("if(REGEXMATCH(join("", "",$F223:$G223),K$1)=TRUE,""✓"",""✗"")"),"✗")</f>
        <v>✗</v>
      </c>
      <c r="L223" s="23" t="str">
        <f>IFERROR(__xludf.DUMMYFUNCTION("if(REGEXMATCH(join("", "",$F223:$G223),L$1)=TRUE,""✓"",""✗"")"),"✗")</f>
        <v>✗</v>
      </c>
      <c r="M223" s="23" t="str">
        <f>IFERROR(__xludf.DUMMYFUNCTION("if(REGEXMATCH(join("", "",$F223:$G223),M$1)=TRUE,""✓"",""✗"")"),"✗")</f>
        <v>✗</v>
      </c>
      <c r="N223" s="23" t="str">
        <f>IFERROR(__xludf.DUMMYFUNCTION("if(REGEXMATCH(join("", "",$F223:$G223),N$1)=TRUE,""✓"",""✗"")"),"✗")</f>
        <v>✗</v>
      </c>
      <c r="O223" s="23" t="str">
        <f>IFERROR(__xludf.DUMMYFUNCTION("if(REGEXMATCH(join("", "",$F223:$G223),O$1)=TRUE,""✓"",""✗"")"),"✗")</f>
        <v>✗</v>
      </c>
      <c r="P223" s="23" t="str">
        <f>IFERROR(__xludf.DUMMYFUNCTION("if(REGEXMATCH(join("", "",$F223:$G223),P$1)=TRUE,""✓"",""✗"")"),"✗")</f>
        <v>✗</v>
      </c>
      <c r="Q223" s="23" t="str">
        <f>IFERROR(__xludf.DUMMYFUNCTION("if(REGEXMATCH(join("", "",$F223:$G223),Q$1)=TRUE,""✓"",""✗"")"),"✗")</f>
        <v>✗</v>
      </c>
      <c r="R223" s="23" t="str">
        <f>IFERROR(__xludf.DUMMYFUNCTION("if(REGEXMATCH(join("", "",$F223:$G223),R$1)=TRUE,""✓"",""✗"")"),"✗")</f>
        <v>✗</v>
      </c>
      <c r="S223" s="23" t="str">
        <f>IFERROR(__xludf.DUMMYFUNCTION("if(REGEXMATCH(join("", "",$F223:$G223),S$1)=TRUE,""✓"",""✗"")"),"✗")</f>
        <v>✗</v>
      </c>
      <c r="T223" s="23" t="str">
        <f>IFERROR(__xludf.DUMMYFUNCTION("if(REGEXMATCH(join("", "",$F223:$G223),T$1)=TRUE,""✓"",""✗"")"),"✗")</f>
        <v>✗</v>
      </c>
      <c r="U223" s="33"/>
      <c r="V223" s="33"/>
      <c r="W223" s="33"/>
      <c r="X223" s="33"/>
      <c r="Y223" s="33"/>
      <c r="Z223" s="33"/>
      <c r="AA223" s="33"/>
      <c r="AB223" s="33"/>
      <c r="AC223" s="33"/>
    </row>
    <row r="224" hidden="1">
      <c r="A224" s="17" t="s">
        <v>302</v>
      </c>
      <c r="B224" s="33"/>
      <c r="C224" s="33"/>
      <c r="D224" s="33"/>
      <c r="E224" s="33"/>
      <c r="F224" s="33"/>
      <c r="G224" s="33"/>
      <c r="H224" s="23" t="str">
        <f>IFERROR(__xludf.DUMMYFUNCTION("if(REGEXMATCH(join("", "",$F224:$G224),H$1)=TRUE,""✓"",""✗"")"),"✗")</f>
        <v>✗</v>
      </c>
      <c r="I224" s="23" t="str">
        <f>IFERROR(__xludf.DUMMYFUNCTION("if(REGEXMATCH(join("", "",$F224:$G224),I$1)=TRUE,""✓"",""✗"")"),"✗")</f>
        <v>✗</v>
      </c>
      <c r="J224" s="23" t="str">
        <f>IFERROR(__xludf.DUMMYFUNCTION("if(REGEXMATCH(join("", "",$F224:$G224),J$1)=TRUE,""✓"",""✗"")"),"✗")</f>
        <v>✗</v>
      </c>
      <c r="K224" s="23" t="str">
        <f>IFERROR(__xludf.DUMMYFUNCTION("if(REGEXMATCH(join("", "",$F224:$G224),K$1)=TRUE,""✓"",""✗"")"),"✗")</f>
        <v>✗</v>
      </c>
      <c r="L224" s="23" t="str">
        <f>IFERROR(__xludf.DUMMYFUNCTION("if(REGEXMATCH(join("", "",$F224:$G224),L$1)=TRUE,""✓"",""✗"")"),"✗")</f>
        <v>✗</v>
      </c>
      <c r="M224" s="23" t="str">
        <f>IFERROR(__xludf.DUMMYFUNCTION("if(REGEXMATCH(join("", "",$F224:$G224),M$1)=TRUE,""✓"",""✗"")"),"✗")</f>
        <v>✗</v>
      </c>
      <c r="N224" s="23" t="str">
        <f>IFERROR(__xludf.DUMMYFUNCTION("if(REGEXMATCH(join("", "",$F224:$G224),N$1)=TRUE,""✓"",""✗"")"),"✗")</f>
        <v>✗</v>
      </c>
      <c r="O224" s="23" t="str">
        <f>IFERROR(__xludf.DUMMYFUNCTION("if(REGEXMATCH(join("", "",$F224:$G224),O$1)=TRUE,""✓"",""✗"")"),"✗")</f>
        <v>✗</v>
      </c>
      <c r="P224" s="23" t="str">
        <f>IFERROR(__xludf.DUMMYFUNCTION("if(REGEXMATCH(join("", "",$F224:$G224),P$1)=TRUE,""✓"",""✗"")"),"✗")</f>
        <v>✗</v>
      </c>
      <c r="Q224" s="23" t="str">
        <f>IFERROR(__xludf.DUMMYFUNCTION("if(REGEXMATCH(join("", "",$F224:$G224),Q$1)=TRUE,""✓"",""✗"")"),"✗")</f>
        <v>✗</v>
      </c>
      <c r="R224" s="23" t="str">
        <f>IFERROR(__xludf.DUMMYFUNCTION("if(REGEXMATCH(join("", "",$F224:$G224),R$1)=TRUE,""✓"",""✗"")"),"✗")</f>
        <v>✗</v>
      </c>
      <c r="S224" s="23" t="str">
        <f>IFERROR(__xludf.DUMMYFUNCTION("if(REGEXMATCH(join("", "",$F224:$G224),S$1)=TRUE,""✓"",""✗"")"),"✗")</f>
        <v>✗</v>
      </c>
      <c r="T224" s="23" t="str">
        <f>IFERROR(__xludf.DUMMYFUNCTION("if(REGEXMATCH(join("", "",$F224:$G224),T$1)=TRUE,""✓"",""✗"")"),"✗")</f>
        <v>✗</v>
      </c>
      <c r="U224" s="33"/>
      <c r="V224" s="33"/>
      <c r="W224" s="33"/>
      <c r="X224" s="33"/>
      <c r="Y224" s="33"/>
      <c r="Z224" s="33"/>
      <c r="AA224" s="33"/>
      <c r="AB224" s="33"/>
      <c r="AC224" s="33"/>
    </row>
    <row r="225" hidden="1">
      <c r="A225" s="17" t="s">
        <v>302</v>
      </c>
      <c r="B225" s="33"/>
      <c r="C225" s="33"/>
      <c r="D225" s="33"/>
      <c r="E225" s="33"/>
      <c r="F225" s="33"/>
      <c r="G225" s="33"/>
      <c r="H225" s="23" t="str">
        <f>IFERROR(__xludf.DUMMYFUNCTION("if(REGEXMATCH(join("", "",$F225:$G225),H$1)=TRUE,""✓"",""✗"")"),"✗")</f>
        <v>✗</v>
      </c>
      <c r="I225" s="23" t="str">
        <f>IFERROR(__xludf.DUMMYFUNCTION("if(REGEXMATCH(join("", "",$F225:$G225),I$1)=TRUE,""✓"",""✗"")"),"✗")</f>
        <v>✗</v>
      </c>
      <c r="J225" s="23" t="str">
        <f>IFERROR(__xludf.DUMMYFUNCTION("if(REGEXMATCH(join("", "",$F225:$G225),J$1)=TRUE,""✓"",""✗"")"),"✗")</f>
        <v>✗</v>
      </c>
      <c r="K225" s="23" t="str">
        <f>IFERROR(__xludf.DUMMYFUNCTION("if(REGEXMATCH(join("", "",$F225:$G225),K$1)=TRUE,""✓"",""✗"")"),"✗")</f>
        <v>✗</v>
      </c>
      <c r="L225" s="23" t="str">
        <f>IFERROR(__xludf.DUMMYFUNCTION("if(REGEXMATCH(join("", "",$F225:$G225),L$1)=TRUE,""✓"",""✗"")"),"✗")</f>
        <v>✗</v>
      </c>
      <c r="M225" s="23" t="str">
        <f>IFERROR(__xludf.DUMMYFUNCTION("if(REGEXMATCH(join("", "",$F225:$G225),M$1)=TRUE,""✓"",""✗"")"),"✗")</f>
        <v>✗</v>
      </c>
      <c r="N225" s="23" t="str">
        <f>IFERROR(__xludf.DUMMYFUNCTION("if(REGEXMATCH(join("", "",$F225:$G225),N$1)=TRUE,""✓"",""✗"")"),"✗")</f>
        <v>✗</v>
      </c>
      <c r="O225" s="23" t="str">
        <f>IFERROR(__xludf.DUMMYFUNCTION("if(REGEXMATCH(join("", "",$F225:$G225),O$1)=TRUE,""✓"",""✗"")"),"✗")</f>
        <v>✗</v>
      </c>
      <c r="P225" s="23" t="str">
        <f>IFERROR(__xludf.DUMMYFUNCTION("if(REGEXMATCH(join("", "",$F225:$G225),P$1)=TRUE,""✓"",""✗"")"),"✗")</f>
        <v>✗</v>
      </c>
      <c r="Q225" s="23" t="str">
        <f>IFERROR(__xludf.DUMMYFUNCTION("if(REGEXMATCH(join("", "",$F225:$G225),Q$1)=TRUE,""✓"",""✗"")"),"✗")</f>
        <v>✗</v>
      </c>
      <c r="R225" s="23" t="str">
        <f>IFERROR(__xludf.DUMMYFUNCTION("if(REGEXMATCH(join("", "",$F225:$G225),R$1)=TRUE,""✓"",""✗"")"),"✗")</f>
        <v>✗</v>
      </c>
      <c r="S225" s="23" t="str">
        <f>IFERROR(__xludf.DUMMYFUNCTION("if(REGEXMATCH(join("", "",$F225:$G225),S$1)=TRUE,""✓"",""✗"")"),"✗")</f>
        <v>✗</v>
      </c>
      <c r="T225" s="23" t="str">
        <f>IFERROR(__xludf.DUMMYFUNCTION("if(REGEXMATCH(join("", "",$F225:$G225),T$1)=TRUE,""✓"",""✗"")"),"✗")</f>
        <v>✗</v>
      </c>
      <c r="U225" s="33"/>
      <c r="V225" s="33"/>
      <c r="W225" s="33"/>
      <c r="X225" s="33"/>
      <c r="Y225" s="33"/>
      <c r="Z225" s="33"/>
      <c r="AA225" s="33"/>
      <c r="AB225" s="33"/>
      <c r="AC225" s="33"/>
    </row>
    <row r="226" hidden="1">
      <c r="A226" s="17" t="s">
        <v>302</v>
      </c>
      <c r="B226" s="33"/>
      <c r="C226" s="33"/>
      <c r="D226" s="33"/>
      <c r="E226" s="33"/>
      <c r="F226" s="33"/>
      <c r="G226" s="33"/>
      <c r="H226" s="23" t="str">
        <f>IFERROR(__xludf.DUMMYFUNCTION("if(REGEXMATCH(join("", "",$F226:$G226),H$1)=TRUE,""✓"",""✗"")"),"✗")</f>
        <v>✗</v>
      </c>
      <c r="I226" s="23" t="str">
        <f>IFERROR(__xludf.DUMMYFUNCTION("if(REGEXMATCH(join("", "",$F226:$G226),I$1)=TRUE,""✓"",""✗"")"),"✗")</f>
        <v>✗</v>
      </c>
      <c r="J226" s="23" t="str">
        <f>IFERROR(__xludf.DUMMYFUNCTION("if(REGEXMATCH(join("", "",$F226:$G226),J$1)=TRUE,""✓"",""✗"")"),"✗")</f>
        <v>✗</v>
      </c>
      <c r="K226" s="23" t="str">
        <f>IFERROR(__xludf.DUMMYFUNCTION("if(REGEXMATCH(join("", "",$F226:$G226),K$1)=TRUE,""✓"",""✗"")"),"✗")</f>
        <v>✗</v>
      </c>
      <c r="L226" s="23" t="str">
        <f>IFERROR(__xludf.DUMMYFUNCTION("if(REGEXMATCH(join("", "",$F226:$G226),L$1)=TRUE,""✓"",""✗"")"),"✗")</f>
        <v>✗</v>
      </c>
      <c r="M226" s="23" t="str">
        <f>IFERROR(__xludf.DUMMYFUNCTION("if(REGEXMATCH(join("", "",$F226:$G226),M$1)=TRUE,""✓"",""✗"")"),"✗")</f>
        <v>✗</v>
      </c>
      <c r="N226" s="23" t="str">
        <f>IFERROR(__xludf.DUMMYFUNCTION("if(REGEXMATCH(join("", "",$F226:$G226),N$1)=TRUE,""✓"",""✗"")"),"✗")</f>
        <v>✗</v>
      </c>
      <c r="O226" s="23" t="str">
        <f>IFERROR(__xludf.DUMMYFUNCTION("if(REGEXMATCH(join("", "",$F226:$G226),O$1)=TRUE,""✓"",""✗"")"),"✗")</f>
        <v>✗</v>
      </c>
      <c r="P226" s="23" t="str">
        <f>IFERROR(__xludf.DUMMYFUNCTION("if(REGEXMATCH(join("", "",$F226:$G226),P$1)=TRUE,""✓"",""✗"")"),"✗")</f>
        <v>✗</v>
      </c>
      <c r="Q226" s="23" t="str">
        <f>IFERROR(__xludf.DUMMYFUNCTION("if(REGEXMATCH(join("", "",$F226:$G226),Q$1)=TRUE,""✓"",""✗"")"),"✗")</f>
        <v>✗</v>
      </c>
      <c r="R226" s="23" t="str">
        <f>IFERROR(__xludf.DUMMYFUNCTION("if(REGEXMATCH(join("", "",$F226:$G226),R$1)=TRUE,""✓"",""✗"")"),"✗")</f>
        <v>✗</v>
      </c>
      <c r="S226" s="23" t="str">
        <f>IFERROR(__xludf.DUMMYFUNCTION("if(REGEXMATCH(join("", "",$F226:$G226),S$1)=TRUE,""✓"",""✗"")"),"✗")</f>
        <v>✗</v>
      </c>
      <c r="T226" s="23" t="str">
        <f>IFERROR(__xludf.DUMMYFUNCTION("if(REGEXMATCH(join("", "",$F226:$G226),T$1)=TRUE,""✓"",""✗"")"),"✗")</f>
        <v>✗</v>
      </c>
      <c r="U226" s="33"/>
      <c r="V226" s="33"/>
      <c r="W226" s="33"/>
      <c r="X226" s="33"/>
      <c r="Y226" s="33"/>
      <c r="Z226" s="33"/>
      <c r="AA226" s="33"/>
      <c r="AB226" s="33"/>
      <c r="AC226" s="33"/>
    </row>
    <row r="227" hidden="1">
      <c r="A227" s="17" t="s">
        <v>302</v>
      </c>
      <c r="B227" s="33"/>
      <c r="C227" s="33"/>
      <c r="D227" s="33"/>
      <c r="E227" s="33"/>
      <c r="F227" s="33"/>
      <c r="G227" s="33"/>
      <c r="H227" s="23" t="str">
        <f>IFERROR(__xludf.DUMMYFUNCTION("if(REGEXMATCH(join("", "",$F227:$G227),H$1)=TRUE,""✓"",""✗"")"),"✗")</f>
        <v>✗</v>
      </c>
      <c r="I227" s="23" t="str">
        <f>IFERROR(__xludf.DUMMYFUNCTION("if(REGEXMATCH(join("", "",$F227:$G227),I$1)=TRUE,""✓"",""✗"")"),"✗")</f>
        <v>✗</v>
      </c>
      <c r="J227" s="23" t="str">
        <f>IFERROR(__xludf.DUMMYFUNCTION("if(REGEXMATCH(join("", "",$F227:$G227),J$1)=TRUE,""✓"",""✗"")"),"✗")</f>
        <v>✗</v>
      </c>
      <c r="K227" s="23" t="str">
        <f>IFERROR(__xludf.DUMMYFUNCTION("if(REGEXMATCH(join("", "",$F227:$G227),K$1)=TRUE,""✓"",""✗"")"),"✗")</f>
        <v>✗</v>
      </c>
      <c r="L227" s="23" t="str">
        <f>IFERROR(__xludf.DUMMYFUNCTION("if(REGEXMATCH(join("", "",$F227:$G227),L$1)=TRUE,""✓"",""✗"")"),"✗")</f>
        <v>✗</v>
      </c>
      <c r="M227" s="23" t="str">
        <f>IFERROR(__xludf.DUMMYFUNCTION("if(REGEXMATCH(join("", "",$F227:$G227),M$1)=TRUE,""✓"",""✗"")"),"✗")</f>
        <v>✗</v>
      </c>
      <c r="N227" s="23" t="str">
        <f>IFERROR(__xludf.DUMMYFUNCTION("if(REGEXMATCH(join("", "",$F227:$G227),N$1)=TRUE,""✓"",""✗"")"),"✗")</f>
        <v>✗</v>
      </c>
      <c r="O227" s="23" t="str">
        <f>IFERROR(__xludf.DUMMYFUNCTION("if(REGEXMATCH(join("", "",$F227:$G227),O$1)=TRUE,""✓"",""✗"")"),"✗")</f>
        <v>✗</v>
      </c>
      <c r="P227" s="23" t="str">
        <f>IFERROR(__xludf.DUMMYFUNCTION("if(REGEXMATCH(join("", "",$F227:$G227),P$1)=TRUE,""✓"",""✗"")"),"✗")</f>
        <v>✗</v>
      </c>
      <c r="Q227" s="23" t="str">
        <f>IFERROR(__xludf.DUMMYFUNCTION("if(REGEXMATCH(join("", "",$F227:$G227),Q$1)=TRUE,""✓"",""✗"")"),"✗")</f>
        <v>✗</v>
      </c>
      <c r="R227" s="23" t="str">
        <f>IFERROR(__xludf.DUMMYFUNCTION("if(REGEXMATCH(join("", "",$F227:$G227),R$1)=TRUE,""✓"",""✗"")"),"✗")</f>
        <v>✗</v>
      </c>
      <c r="S227" s="23" t="str">
        <f>IFERROR(__xludf.DUMMYFUNCTION("if(REGEXMATCH(join("", "",$F227:$G227),S$1)=TRUE,""✓"",""✗"")"),"✗")</f>
        <v>✗</v>
      </c>
      <c r="T227" s="23" t="str">
        <f>IFERROR(__xludf.DUMMYFUNCTION("if(REGEXMATCH(join("", "",$F227:$G227),T$1)=TRUE,""✓"",""✗"")"),"✗")</f>
        <v>✗</v>
      </c>
      <c r="U227" s="33"/>
      <c r="V227" s="33"/>
      <c r="W227" s="33"/>
      <c r="X227" s="33"/>
      <c r="Y227" s="33"/>
      <c r="Z227" s="33"/>
      <c r="AA227" s="33"/>
      <c r="AB227" s="33"/>
      <c r="AC227" s="33"/>
    </row>
    <row r="228" hidden="1">
      <c r="A228" s="17" t="s">
        <v>302</v>
      </c>
      <c r="B228" s="33"/>
      <c r="C228" s="33"/>
      <c r="D228" s="33"/>
      <c r="E228" s="33"/>
      <c r="F228" s="33"/>
      <c r="G228" s="33"/>
      <c r="H228" s="23" t="str">
        <f>IFERROR(__xludf.DUMMYFUNCTION("if(REGEXMATCH(join("", "",$F228:$G228),H$1)=TRUE,""✓"",""✗"")"),"✗")</f>
        <v>✗</v>
      </c>
      <c r="I228" s="23" t="str">
        <f>IFERROR(__xludf.DUMMYFUNCTION("if(REGEXMATCH(join("", "",$F228:$G228),I$1)=TRUE,""✓"",""✗"")"),"✗")</f>
        <v>✗</v>
      </c>
      <c r="J228" s="23" t="str">
        <f>IFERROR(__xludf.DUMMYFUNCTION("if(REGEXMATCH(join("", "",$F228:$G228),J$1)=TRUE,""✓"",""✗"")"),"✗")</f>
        <v>✗</v>
      </c>
      <c r="K228" s="23" t="str">
        <f>IFERROR(__xludf.DUMMYFUNCTION("if(REGEXMATCH(join("", "",$F228:$G228),K$1)=TRUE,""✓"",""✗"")"),"✗")</f>
        <v>✗</v>
      </c>
      <c r="L228" s="23" t="str">
        <f>IFERROR(__xludf.DUMMYFUNCTION("if(REGEXMATCH(join("", "",$F228:$G228),L$1)=TRUE,""✓"",""✗"")"),"✗")</f>
        <v>✗</v>
      </c>
      <c r="M228" s="23" t="str">
        <f>IFERROR(__xludf.DUMMYFUNCTION("if(REGEXMATCH(join("", "",$F228:$G228),M$1)=TRUE,""✓"",""✗"")"),"✗")</f>
        <v>✗</v>
      </c>
      <c r="N228" s="23" t="str">
        <f>IFERROR(__xludf.DUMMYFUNCTION("if(REGEXMATCH(join("", "",$F228:$G228),N$1)=TRUE,""✓"",""✗"")"),"✗")</f>
        <v>✗</v>
      </c>
      <c r="O228" s="23" t="str">
        <f>IFERROR(__xludf.DUMMYFUNCTION("if(REGEXMATCH(join("", "",$F228:$G228),O$1)=TRUE,""✓"",""✗"")"),"✗")</f>
        <v>✗</v>
      </c>
      <c r="P228" s="23" t="str">
        <f>IFERROR(__xludf.DUMMYFUNCTION("if(REGEXMATCH(join("", "",$F228:$G228),P$1)=TRUE,""✓"",""✗"")"),"✗")</f>
        <v>✗</v>
      </c>
      <c r="Q228" s="23" t="str">
        <f>IFERROR(__xludf.DUMMYFUNCTION("if(REGEXMATCH(join("", "",$F228:$G228),Q$1)=TRUE,""✓"",""✗"")"),"✗")</f>
        <v>✗</v>
      </c>
      <c r="R228" s="23" t="str">
        <f>IFERROR(__xludf.DUMMYFUNCTION("if(REGEXMATCH(join("", "",$F228:$G228),R$1)=TRUE,""✓"",""✗"")"),"✗")</f>
        <v>✗</v>
      </c>
      <c r="S228" s="23" t="str">
        <f>IFERROR(__xludf.DUMMYFUNCTION("if(REGEXMATCH(join("", "",$F228:$G228),S$1)=TRUE,""✓"",""✗"")"),"✗")</f>
        <v>✗</v>
      </c>
      <c r="T228" s="23" t="str">
        <f>IFERROR(__xludf.DUMMYFUNCTION("if(REGEXMATCH(join("", "",$F228:$G228),T$1)=TRUE,""✓"",""✗"")"),"✗")</f>
        <v>✗</v>
      </c>
      <c r="U228" s="33"/>
      <c r="V228" s="33"/>
      <c r="W228" s="33"/>
      <c r="X228" s="33"/>
      <c r="Y228" s="33"/>
      <c r="Z228" s="33"/>
      <c r="AA228" s="33"/>
      <c r="AB228" s="33"/>
      <c r="AC228" s="33"/>
    </row>
    <row r="229" hidden="1">
      <c r="A229" s="17" t="s">
        <v>302</v>
      </c>
      <c r="B229" s="33"/>
      <c r="C229" s="33"/>
      <c r="D229" s="33"/>
      <c r="E229" s="33"/>
      <c r="F229" s="33"/>
      <c r="G229" s="33"/>
      <c r="H229" s="23" t="str">
        <f>IFERROR(__xludf.DUMMYFUNCTION("if(REGEXMATCH(join("", "",$F229:$G229),H$1)=TRUE,""✓"",""✗"")"),"✗")</f>
        <v>✗</v>
      </c>
      <c r="I229" s="23" t="str">
        <f>IFERROR(__xludf.DUMMYFUNCTION("if(REGEXMATCH(join("", "",$F229:$G229),I$1)=TRUE,""✓"",""✗"")"),"✗")</f>
        <v>✗</v>
      </c>
      <c r="J229" s="23" t="str">
        <f>IFERROR(__xludf.DUMMYFUNCTION("if(REGEXMATCH(join("", "",$F229:$G229),J$1)=TRUE,""✓"",""✗"")"),"✗")</f>
        <v>✗</v>
      </c>
      <c r="K229" s="23" t="str">
        <f>IFERROR(__xludf.DUMMYFUNCTION("if(REGEXMATCH(join("", "",$F229:$G229),K$1)=TRUE,""✓"",""✗"")"),"✗")</f>
        <v>✗</v>
      </c>
      <c r="L229" s="23" t="str">
        <f>IFERROR(__xludf.DUMMYFUNCTION("if(REGEXMATCH(join("", "",$F229:$G229),L$1)=TRUE,""✓"",""✗"")"),"✗")</f>
        <v>✗</v>
      </c>
      <c r="M229" s="23" t="str">
        <f>IFERROR(__xludf.DUMMYFUNCTION("if(REGEXMATCH(join("", "",$F229:$G229),M$1)=TRUE,""✓"",""✗"")"),"✗")</f>
        <v>✗</v>
      </c>
      <c r="N229" s="23" t="str">
        <f>IFERROR(__xludf.DUMMYFUNCTION("if(REGEXMATCH(join("", "",$F229:$G229),N$1)=TRUE,""✓"",""✗"")"),"✗")</f>
        <v>✗</v>
      </c>
      <c r="O229" s="23" t="str">
        <f>IFERROR(__xludf.DUMMYFUNCTION("if(REGEXMATCH(join("", "",$F229:$G229),O$1)=TRUE,""✓"",""✗"")"),"✗")</f>
        <v>✗</v>
      </c>
      <c r="P229" s="23" t="str">
        <f>IFERROR(__xludf.DUMMYFUNCTION("if(REGEXMATCH(join("", "",$F229:$G229),P$1)=TRUE,""✓"",""✗"")"),"✗")</f>
        <v>✗</v>
      </c>
      <c r="Q229" s="23" t="str">
        <f>IFERROR(__xludf.DUMMYFUNCTION("if(REGEXMATCH(join("", "",$F229:$G229),Q$1)=TRUE,""✓"",""✗"")"),"✗")</f>
        <v>✗</v>
      </c>
      <c r="R229" s="23" t="str">
        <f>IFERROR(__xludf.DUMMYFUNCTION("if(REGEXMATCH(join("", "",$F229:$G229),R$1)=TRUE,""✓"",""✗"")"),"✗")</f>
        <v>✗</v>
      </c>
      <c r="S229" s="23" t="str">
        <f>IFERROR(__xludf.DUMMYFUNCTION("if(REGEXMATCH(join("", "",$F229:$G229),S$1)=TRUE,""✓"",""✗"")"),"✗")</f>
        <v>✗</v>
      </c>
      <c r="T229" s="23" t="str">
        <f>IFERROR(__xludf.DUMMYFUNCTION("if(REGEXMATCH(join("", "",$F229:$G229),T$1)=TRUE,""✓"",""✗"")"),"✗")</f>
        <v>✗</v>
      </c>
      <c r="U229" s="33"/>
      <c r="V229" s="33"/>
      <c r="W229" s="33"/>
      <c r="X229" s="33"/>
      <c r="Y229" s="33"/>
      <c r="Z229" s="33"/>
      <c r="AA229" s="33"/>
      <c r="AB229" s="33"/>
      <c r="AC229" s="33"/>
    </row>
    <row r="230" hidden="1">
      <c r="A230" s="17" t="s">
        <v>302</v>
      </c>
      <c r="B230" s="33"/>
      <c r="C230" s="33"/>
      <c r="D230" s="33"/>
      <c r="E230" s="33"/>
      <c r="F230" s="33"/>
      <c r="G230" s="33"/>
      <c r="H230" s="23" t="str">
        <f>IFERROR(__xludf.DUMMYFUNCTION("if(REGEXMATCH(join("", "",$F230:$G230),H$1)=TRUE,""✓"",""✗"")"),"✗")</f>
        <v>✗</v>
      </c>
      <c r="I230" s="23" t="str">
        <f>IFERROR(__xludf.DUMMYFUNCTION("if(REGEXMATCH(join("", "",$F230:$G230),I$1)=TRUE,""✓"",""✗"")"),"✗")</f>
        <v>✗</v>
      </c>
      <c r="J230" s="23" t="str">
        <f>IFERROR(__xludf.DUMMYFUNCTION("if(REGEXMATCH(join("", "",$F230:$G230),J$1)=TRUE,""✓"",""✗"")"),"✗")</f>
        <v>✗</v>
      </c>
      <c r="K230" s="23" t="str">
        <f>IFERROR(__xludf.DUMMYFUNCTION("if(REGEXMATCH(join("", "",$F230:$G230),K$1)=TRUE,""✓"",""✗"")"),"✗")</f>
        <v>✗</v>
      </c>
      <c r="L230" s="23" t="str">
        <f>IFERROR(__xludf.DUMMYFUNCTION("if(REGEXMATCH(join("", "",$F230:$G230),L$1)=TRUE,""✓"",""✗"")"),"✗")</f>
        <v>✗</v>
      </c>
      <c r="M230" s="23" t="str">
        <f>IFERROR(__xludf.DUMMYFUNCTION("if(REGEXMATCH(join("", "",$F230:$G230),M$1)=TRUE,""✓"",""✗"")"),"✗")</f>
        <v>✗</v>
      </c>
      <c r="N230" s="23" t="str">
        <f>IFERROR(__xludf.DUMMYFUNCTION("if(REGEXMATCH(join("", "",$F230:$G230),N$1)=TRUE,""✓"",""✗"")"),"✗")</f>
        <v>✗</v>
      </c>
      <c r="O230" s="23" t="str">
        <f>IFERROR(__xludf.DUMMYFUNCTION("if(REGEXMATCH(join("", "",$F230:$G230),O$1)=TRUE,""✓"",""✗"")"),"✗")</f>
        <v>✗</v>
      </c>
      <c r="P230" s="23" t="str">
        <f>IFERROR(__xludf.DUMMYFUNCTION("if(REGEXMATCH(join("", "",$F230:$G230),P$1)=TRUE,""✓"",""✗"")"),"✗")</f>
        <v>✗</v>
      </c>
      <c r="Q230" s="23" t="str">
        <f>IFERROR(__xludf.DUMMYFUNCTION("if(REGEXMATCH(join("", "",$F230:$G230),Q$1)=TRUE,""✓"",""✗"")"),"✗")</f>
        <v>✗</v>
      </c>
      <c r="R230" s="23" t="str">
        <f>IFERROR(__xludf.DUMMYFUNCTION("if(REGEXMATCH(join("", "",$F230:$G230),R$1)=TRUE,""✓"",""✗"")"),"✗")</f>
        <v>✗</v>
      </c>
      <c r="S230" s="23" t="str">
        <f>IFERROR(__xludf.DUMMYFUNCTION("if(REGEXMATCH(join("", "",$F230:$G230),S$1)=TRUE,""✓"",""✗"")"),"✗")</f>
        <v>✗</v>
      </c>
      <c r="T230" s="23" t="str">
        <f>IFERROR(__xludf.DUMMYFUNCTION("if(REGEXMATCH(join("", "",$F230:$G230),T$1)=TRUE,""✓"",""✗"")"),"✗")</f>
        <v>✗</v>
      </c>
      <c r="U230" s="33"/>
      <c r="V230" s="33"/>
      <c r="W230" s="33"/>
      <c r="X230" s="33"/>
      <c r="Y230" s="33"/>
      <c r="Z230" s="33"/>
      <c r="AA230" s="33"/>
      <c r="AB230" s="33"/>
      <c r="AC230" s="33"/>
    </row>
    <row r="231" hidden="1">
      <c r="A231" s="17" t="s">
        <v>302</v>
      </c>
      <c r="B231" s="33"/>
      <c r="C231" s="33"/>
      <c r="D231" s="33"/>
      <c r="E231" s="33"/>
      <c r="F231" s="33"/>
      <c r="G231" s="33"/>
      <c r="H231" s="23" t="str">
        <f>IFERROR(__xludf.DUMMYFUNCTION("if(REGEXMATCH(join("", "",$F231:$G231),H$1)=TRUE,""✓"",""✗"")"),"✗")</f>
        <v>✗</v>
      </c>
      <c r="I231" s="23" t="str">
        <f>IFERROR(__xludf.DUMMYFUNCTION("if(REGEXMATCH(join("", "",$F231:$G231),I$1)=TRUE,""✓"",""✗"")"),"✗")</f>
        <v>✗</v>
      </c>
      <c r="J231" s="23" t="str">
        <f>IFERROR(__xludf.DUMMYFUNCTION("if(REGEXMATCH(join("", "",$F231:$G231),J$1)=TRUE,""✓"",""✗"")"),"✗")</f>
        <v>✗</v>
      </c>
      <c r="K231" s="23" t="str">
        <f>IFERROR(__xludf.DUMMYFUNCTION("if(REGEXMATCH(join("", "",$F231:$G231),K$1)=TRUE,""✓"",""✗"")"),"✗")</f>
        <v>✗</v>
      </c>
      <c r="L231" s="23" t="str">
        <f>IFERROR(__xludf.DUMMYFUNCTION("if(REGEXMATCH(join("", "",$F231:$G231),L$1)=TRUE,""✓"",""✗"")"),"✗")</f>
        <v>✗</v>
      </c>
      <c r="M231" s="23" t="str">
        <f>IFERROR(__xludf.DUMMYFUNCTION("if(REGEXMATCH(join("", "",$F231:$G231),M$1)=TRUE,""✓"",""✗"")"),"✗")</f>
        <v>✗</v>
      </c>
      <c r="N231" s="23" t="str">
        <f>IFERROR(__xludf.DUMMYFUNCTION("if(REGEXMATCH(join("", "",$F231:$G231),N$1)=TRUE,""✓"",""✗"")"),"✗")</f>
        <v>✗</v>
      </c>
      <c r="O231" s="23" t="str">
        <f>IFERROR(__xludf.DUMMYFUNCTION("if(REGEXMATCH(join("", "",$F231:$G231),O$1)=TRUE,""✓"",""✗"")"),"✗")</f>
        <v>✗</v>
      </c>
      <c r="P231" s="23" t="str">
        <f>IFERROR(__xludf.DUMMYFUNCTION("if(REGEXMATCH(join("", "",$F231:$G231),P$1)=TRUE,""✓"",""✗"")"),"✗")</f>
        <v>✗</v>
      </c>
      <c r="Q231" s="23" t="str">
        <f>IFERROR(__xludf.DUMMYFUNCTION("if(REGEXMATCH(join("", "",$F231:$G231),Q$1)=TRUE,""✓"",""✗"")"),"✗")</f>
        <v>✗</v>
      </c>
      <c r="R231" s="23" t="str">
        <f>IFERROR(__xludf.DUMMYFUNCTION("if(REGEXMATCH(join("", "",$F231:$G231),R$1)=TRUE,""✓"",""✗"")"),"✗")</f>
        <v>✗</v>
      </c>
      <c r="S231" s="23" t="str">
        <f>IFERROR(__xludf.DUMMYFUNCTION("if(REGEXMATCH(join("", "",$F231:$G231),S$1)=TRUE,""✓"",""✗"")"),"✗")</f>
        <v>✗</v>
      </c>
      <c r="T231" s="23" t="str">
        <f>IFERROR(__xludf.DUMMYFUNCTION("if(REGEXMATCH(join("", "",$F231:$G231),T$1)=TRUE,""✓"",""✗"")"),"✗")</f>
        <v>✗</v>
      </c>
      <c r="U231" s="33"/>
      <c r="V231" s="33"/>
      <c r="W231" s="33"/>
      <c r="X231" s="33"/>
      <c r="Y231" s="33"/>
      <c r="Z231" s="33"/>
      <c r="AA231" s="33"/>
      <c r="AB231" s="33"/>
      <c r="AC231" s="33"/>
    </row>
    <row r="232" hidden="1">
      <c r="A232" s="17" t="s">
        <v>302</v>
      </c>
      <c r="B232" s="33"/>
      <c r="C232" s="33"/>
      <c r="D232" s="33"/>
      <c r="E232" s="33"/>
      <c r="F232" s="33"/>
      <c r="G232" s="33"/>
      <c r="H232" s="23" t="str">
        <f>IFERROR(__xludf.DUMMYFUNCTION("if(REGEXMATCH(join("", "",$F232:$G232),H$1)=TRUE,""✓"",""✗"")"),"✗")</f>
        <v>✗</v>
      </c>
      <c r="I232" s="23" t="str">
        <f>IFERROR(__xludf.DUMMYFUNCTION("if(REGEXMATCH(join("", "",$F232:$G232),I$1)=TRUE,""✓"",""✗"")"),"✗")</f>
        <v>✗</v>
      </c>
      <c r="J232" s="23" t="str">
        <f>IFERROR(__xludf.DUMMYFUNCTION("if(REGEXMATCH(join("", "",$F232:$G232),J$1)=TRUE,""✓"",""✗"")"),"✗")</f>
        <v>✗</v>
      </c>
      <c r="K232" s="23" t="str">
        <f>IFERROR(__xludf.DUMMYFUNCTION("if(REGEXMATCH(join("", "",$F232:$G232),K$1)=TRUE,""✓"",""✗"")"),"✗")</f>
        <v>✗</v>
      </c>
      <c r="L232" s="23" t="str">
        <f>IFERROR(__xludf.DUMMYFUNCTION("if(REGEXMATCH(join("", "",$F232:$G232),L$1)=TRUE,""✓"",""✗"")"),"✗")</f>
        <v>✗</v>
      </c>
      <c r="M232" s="23" t="str">
        <f>IFERROR(__xludf.DUMMYFUNCTION("if(REGEXMATCH(join("", "",$F232:$G232),M$1)=TRUE,""✓"",""✗"")"),"✗")</f>
        <v>✗</v>
      </c>
      <c r="N232" s="23" t="str">
        <f>IFERROR(__xludf.DUMMYFUNCTION("if(REGEXMATCH(join("", "",$F232:$G232),N$1)=TRUE,""✓"",""✗"")"),"✗")</f>
        <v>✗</v>
      </c>
      <c r="O232" s="23" t="str">
        <f>IFERROR(__xludf.DUMMYFUNCTION("if(REGEXMATCH(join("", "",$F232:$G232),O$1)=TRUE,""✓"",""✗"")"),"✗")</f>
        <v>✗</v>
      </c>
      <c r="P232" s="23" t="str">
        <f>IFERROR(__xludf.DUMMYFUNCTION("if(REGEXMATCH(join("", "",$F232:$G232),P$1)=TRUE,""✓"",""✗"")"),"✗")</f>
        <v>✗</v>
      </c>
      <c r="Q232" s="23" t="str">
        <f>IFERROR(__xludf.DUMMYFUNCTION("if(REGEXMATCH(join("", "",$F232:$G232),Q$1)=TRUE,""✓"",""✗"")"),"✗")</f>
        <v>✗</v>
      </c>
      <c r="R232" s="23" t="str">
        <f>IFERROR(__xludf.DUMMYFUNCTION("if(REGEXMATCH(join("", "",$F232:$G232),R$1)=TRUE,""✓"",""✗"")"),"✗")</f>
        <v>✗</v>
      </c>
      <c r="S232" s="23" t="str">
        <f>IFERROR(__xludf.DUMMYFUNCTION("if(REGEXMATCH(join("", "",$F232:$G232),S$1)=TRUE,""✓"",""✗"")"),"✗")</f>
        <v>✗</v>
      </c>
      <c r="T232" s="23" t="str">
        <f>IFERROR(__xludf.DUMMYFUNCTION("if(REGEXMATCH(join("", "",$F232:$G232),T$1)=TRUE,""✓"",""✗"")"),"✗")</f>
        <v>✗</v>
      </c>
      <c r="U232" s="33"/>
      <c r="V232" s="33"/>
      <c r="W232" s="33"/>
      <c r="X232" s="33"/>
      <c r="Y232" s="33"/>
      <c r="Z232" s="33"/>
      <c r="AA232" s="33"/>
      <c r="AB232" s="33"/>
      <c r="AC232" s="33"/>
    </row>
    <row r="233" hidden="1">
      <c r="A233" s="17" t="s">
        <v>302</v>
      </c>
      <c r="B233" s="33"/>
      <c r="C233" s="33"/>
      <c r="D233" s="33"/>
      <c r="E233" s="33"/>
      <c r="F233" s="33"/>
      <c r="G233" s="33"/>
      <c r="H233" s="23" t="str">
        <f>IFERROR(__xludf.DUMMYFUNCTION("if(REGEXMATCH(join("", "",$F233:$G233),H$1)=TRUE,""✓"",""✗"")"),"✗")</f>
        <v>✗</v>
      </c>
      <c r="I233" s="23" t="str">
        <f>IFERROR(__xludf.DUMMYFUNCTION("if(REGEXMATCH(join("", "",$F233:$G233),I$1)=TRUE,""✓"",""✗"")"),"✗")</f>
        <v>✗</v>
      </c>
      <c r="J233" s="23" t="str">
        <f>IFERROR(__xludf.DUMMYFUNCTION("if(REGEXMATCH(join("", "",$F233:$G233),J$1)=TRUE,""✓"",""✗"")"),"✗")</f>
        <v>✗</v>
      </c>
      <c r="K233" s="23" t="str">
        <f>IFERROR(__xludf.DUMMYFUNCTION("if(REGEXMATCH(join("", "",$F233:$G233),K$1)=TRUE,""✓"",""✗"")"),"✗")</f>
        <v>✗</v>
      </c>
      <c r="L233" s="23" t="str">
        <f>IFERROR(__xludf.DUMMYFUNCTION("if(REGEXMATCH(join("", "",$F233:$G233),L$1)=TRUE,""✓"",""✗"")"),"✗")</f>
        <v>✗</v>
      </c>
      <c r="M233" s="23" t="str">
        <f>IFERROR(__xludf.DUMMYFUNCTION("if(REGEXMATCH(join("", "",$F233:$G233),M$1)=TRUE,""✓"",""✗"")"),"✗")</f>
        <v>✗</v>
      </c>
      <c r="N233" s="23" t="str">
        <f>IFERROR(__xludf.DUMMYFUNCTION("if(REGEXMATCH(join("", "",$F233:$G233),N$1)=TRUE,""✓"",""✗"")"),"✗")</f>
        <v>✗</v>
      </c>
      <c r="O233" s="23" t="str">
        <f>IFERROR(__xludf.DUMMYFUNCTION("if(REGEXMATCH(join("", "",$F233:$G233),O$1)=TRUE,""✓"",""✗"")"),"✗")</f>
        <v>✗</v>
      </c>
      <c r="P233" s="23" t="str">
        <f>IFERROR(__xludf.DUMMYFUNCTION("if(REGEXMATCH(join("", "",$F233:$G233),P$1)=TRUE,""✓"",""✗"")"),"✗")</f>
        <v>✗</v>
      </c>
      <c r="Q233" s="23" t="str">
        <f>IFERROR(__xludf.DUMMYFUNCTION("if(REGEXMATCH(join("", "",$F233:$G233),Q$1)=TRUE,""✓"",""✗"")"),"✗")</f>
        <v>✗</v>
      </c>
      <c r="R233" s="23" t="str">
        <f>IFERROR(__xludf.DUMMYFUNCTION("if(REGEXMATCH(join("", "",$F233:$G233),R$1)=TRUE,""✓"",""✗"")"),"✗")</f>
        <v>✗</v>
      </c>
      <c r="S233" s="23" t="str">
        <f>IFERROR(__xludf.DUMMYFUNCTION("if(REGEXMATCH(join("", "",$F233:$G233),S$1)=TRUE,""✓"",""✗"")"),"✗")</f>
        <v>✗</v>
      </c>
      <c r="T233" s="23" t="str">
        <f>IFERROR(__xludf.DUMMYFUNCTION("if(REGEXMATCH(join("", "",$F233:$G233),T$1)=TRUE,""✓"",""✗"")"),"✗")</f>
        <v>✗</v>
      </c>
      <c r="U233" s="33"/>
      <c r="V233" s="33"/>
      <c r="W233" s="33"/>
      <c r="X233" s="33"/>
      <c r="Y233" s="33"/>
      <c r="Z233" s="33"/>
      <c r="AA233" s="33"/>
      <c r="AB233" s="33"/>
      <c r="AC233" s="33"/>
    </row>
    <row r="234" hidden="1">
      <c r="A234" s="17" t="s">
        <v>302</v>
      </c>
      <c r="B234" s="33"/>
      <c r="C234" s="33"/>
      <c r="D234" s="33"/>
      <c r="E234" s="33"/>
      <c r="F234" s="33"/>
      <c r="G234" s="33"/>
      <c r="H234" s="23" t="str">
        <f>IFERROR(__xludf.DUMMYFUNCTION("if(REGEXMATCH(join("", "",$F234:$G234),H$1)=TRUE,""✓"",""✗"")"),"✗")</f>
        <v>✗</v>
      </c>
      <c r="I234" s="23" t="str">
        <f>IFERROR(__xludf.DUMMYFUNCTION("if(REGEXMATCH(join("", "",$F234:$G234),I$1)=TRUE,""✓"",""✗"")"),"✗")</f>
        <v>✗</v>
      </c>
      <c r="J234" s="23" t="str">
        <f>IFERROR(__xludf.DUMMYFUNCTION("if(REGEXMATCH(join("", "",$F234:$G234),J$1)=TRUE,""✓"",""✗"")"),"✗")</f>
        <v>✗</v>
      </c>
      <c r="K234" s="23" t="str">
        <f>IFERROR(__xludf.DUMMYFUNCTION("if(REGEXMATCH(join("", "",$F234:$G234),K$1)=TRUE,""✓"",""✗"")"),"✗")</f>
        <v>✗</v>
      </c>
      <c r="L234" s="23" t="str">
        <f>IFERROR(__xludf.DUMMYFUNCTION("if(REGEXMATCH(join("", "",$F234:$G234),L$1)=TRUE,""✓"",""✗"")"),"✗")</f>
        <v>✗</v>
      </c>
      <c r="M234" s="23" t="str">
        <f>IFERROR(__xludf.DUMMYFUNCTION("if(REGEXMATCH(join("", "",$F234:$G234),M$1)=TRUE,""✓"",""✗"")"),"✗")</f>
        <v>✗</v>
      </c>
      <c r="N234" s="23" t="str">
        <f>IFERROR(__xludf.DUMMYFUNCTION("if(REGEXMATCH(join("", "",$F234:$G234),N$1)=TRUE,""✓"",""✗"")"),"✗")</f>
        <v>✗</v>
      </c>
      <c r="O234" s="23" t="str">
        <f>IFERROR(__xludf.DUMMYFUNCTION("if(REGEXMATCH(join("", "",$F234:$G234),O$1)=TRUE,""✓"",""✗"")"),"✗")</f>
        <v>✗</v>
      </c>
      <c r="P234" s="23" t="str">
        <f>IFERROR(__xludf.DUMMYFUNCTION("if(REGEXMATCH(join("", "",$F234:$G234),P$1)=TRUE,""✓"",""✗"")"),"✗")</f>
        <v>✗</v>
      </c>
      <c r="Q234" s="23" t="str">
        <f>IFERROR(__xludf.DUMMYFUNCTION("if(REGEXMATCH(join("", "",$F234:$G234),Q$1)=TRUE,""✓"",""✗"")"),"✗")</f>
        <v>✗</v>
      </c>
      <c r="R234" s="23" t="str">
        <f>IFERROR(__xludf.DUMMYFUNCTION("if(REGEXMATCH(join("", "",$F234:$G234),R$1)=TRUE,""✓"",""✗"")"),"✗")</f>
        <v>✗</v>
      </c>
      <c r="S234" s="23" t="str">
        <f>IFERROR(__xludf.DUMMYFUNCTION("if(REGEXMATCH(join("", "",$F234:$G234),S$1)=TRUE,""✓"",""✗"")"),"✗")</f>
        <v>✗</v>
      </c>
      <c r="T234" s="23" t="str">
        <f>IFERROR(__xludf.DUMMYFUNCTION("if(REGEXMATCH(join("", "",$F234:$G234),T$1)=TRUE,""✓"",""✗"")"),"✗")</f>
        <v>✗</v>
      </c>
      <c r="U234" s="33"/>
      <c r="V234" s="33"/>
      <c r="W234" s="33"/>
      <c r="X234" s="33"/>
      <c r="Y234" s="33"/>
      <c r="Z234" s="33"/>
      <c r="AA234" s="33"/>
      <c r="AB234" s="33"/>
      <c r="AC234" s="33"/>
    </row>
    <row r="235" hidden="1">
      <c r="A235" s="17" t="s">
        <v>302</v>
      </c>
      <c r="B235" s="33"/>
      <c r="C235" s="33"/>
      <c r="D235" s="33"/>
      <c r="E235" s="33"/>
      <c r="F235" s="33"/>
      <c r="G235" s="33"/>
      <c r="H235" s="23" t="str">
        <f>IFERROR(__xludf.DUMMYFUNCTION("if(REGEXMATCH(join("", "",$F235:$G235),H$1)=TRUE,""✓"",""✗"")"),"✗")</f>
        <v>✗</v>
      </c>
      <c r="I235" s="23" t="str">
        <f>IFERROR(__xludf.DUMMYFUNCTION("if(REGEXMATCH(join("", "",$F235:$G235),I$1)=TRUE,""✓"",""✗"")"),"✗")</f>
        <v>✗</v>
      </c>
      <c r="J235" s="23" t="str">
        <f>IFERROR(__xludf.DUMMYFUNCTION("if(REGEXMATCH(join("", "",$F235:$G235),J$1)=TRUE,""✓"",""✗"")"),"✗")</f>
        <v>✗</v>
      </c>
      <c r="K235" s="23" t="str">
        <f>IFERROR(__xludf.DUMMYFUNCTION("if(REGEXMATCH(join("", "",$F235:$G235),K$1)=TRUE,""✓"",""✗"")"),"✗")</f>
        <v>✗</v>
      </c>
      <c r="L235" s="23" t="str">
        <f>IFERROR(__xludf.DUMMYFUNCTION("if(REGEXMATCH(join("", "",$F235:$G235),L$1)=TRUE,""✓"",""✗"")"),"✗")</f>
        <v>✗</v>
      </c>
      <c r="M235" s="23" t="str">
        <f>IFERROR(__xludf.DUMMYFUNCTION("if(REGEXMATCH(join("", "",$F235:$G235),M$1)=TRUE,""✓"",""✗"")"),"✗")</f>
        <v>✗</v>
      </c>
      <c r="N235" s="23" t="str">
        <f>IFERROR(__xludf.DUMMYFUNCTION("if(REGEXMATCH(join("", "",$F235:$G235),N$1)=TRUE,""✓"",""✗"")"),"✗")</f>
        <v>✗</v>
      </c>
      <c r="O235" s="23" t="str">
        <f>IFERROR(__xludf.DUMMYFUNCTION("if(REGEXMATCH(join("", "",$F235:$G235),O$1)=TRUE,""✓"",""✗"")"),"✗")</f>
        <v>✗</v>
      </c>
      <c r="P235" s="23" t="str">
        <f>IFERROR(__xludf.DUMMYFUNCTION("if(REGEXMATCH(join("", "",$F235:$G235),P$1)=TRUE,""✓"",""✗"")"),"✗")</f>
        <v>✗</v>
      </c>
      <c r="Q235" s="23" t="str">
        <f>IFERROR(__xludf.DUMMYFUNCTION("if(REGEXMATCH(join("", "",$F235:$G235),Q$1)=TRUE,""✓"",""✗"")"),"✗")</f>
        <v>✗</v>
      </c>
      <c r="R235" s="23" t="str">
        <f>IFERROR(__xludf.DUMMYFUNCTION("if(REGEXMATCH(join("", "",$F235:$G235),R$1)=TRUE,""✓"",""✗"")"),"✗")</f>
        <v>✗</v>
      </c>
      <c r="S235" s="23" t="str">
        <f>IFERROR(__xludf.DUMMYFUNCTION("if(REGEXMATCH(join("", "",$F235:$G235),S$1)=TRUE,""✓"",""✗"")"),"✗")</f>
        <v>✗</v>
      </c>
      <c r="T235" s="23" t="str">
        <f>IFERROR(__xludf.DUMMYFUNCTION("if(REGEXMATCH(join("", "",$F235:$G235),T$1)=TRUE,""✓"",""✗"")"),"✗")</f>
        <v>✗</v>
      </c>
      <c r="U235" s="33"/>
      <c r="V235" s="33"/>
      <c r="W235" s="33"/>
      <c r="X235" s="33"/>
      <c r="Y235" s="33"/>
      <c r="Z235" s="33"/>
      <c r="AA235" s="33"/>
      <c r="AB235" s="33"/>
      <c r="AC235" s="33"/>
    </row>
    <row r="236" hidden="1">
      <c r="A236" s="17" t="s">
        <v>302</v>
      </c>
      <c r="B236" s="33"/>
      <c r="C236" s="33"/>
      <c r="D236" s="33"/>
      <c r="E236" s="33"/>
      <c r="F236" s="33"/>
      <c r="G236" s="33"/>
      <c r="H236" s="23" t="str">
        <f>IFERROR(__xludf.DUMMYFUNCTION("if(REGEXMATCH(join("", "",$F236:$G236),H$1)=TRUE,""✓"",""✗"")"),"✗")</f>
        <v>✗</v>
      </c>
      <c r="I236" s="23" t="str">
        <f>IFERROR(__xludf.DUMMYFUNCTION("if(REGEXMATCH(join("", "",$F236:$G236),I$1)=TRUE,""✓"",""✗"")"),"✗")</f>
        <v>✗</v>
      </c>
      <c r="J236" s="23" t="str">
        <f>IFERROR(__xludf.DUMMYFUNCTION("if(REGEXMATCH(join("", "",$F236:$G236),J$1)=TRUE,""✓"",""✗"")"),"✗")</f>
        <v>✗</v>
      </c>
      <c r="K236" s="23" t="str">
        <f>IFERROR(__xludf.DUMMYFUNCTION("if(REGEXMATCH(join("", "",$F236:$G236),K$1)=TRUE,""✓"",""✗"")"),"✗")</f>
        <v>✗</v>
      </c>
      <c r="L236" s="23" t="str">
        <f>IFERROR(__xludf.DUMMYFUNCTION("if(REGEXMATCH(join("", "",$F236:$G236),L$1)=TRUE,""✓"",""✗"")"),"✗")</f>
        <v>✗</v>
      </c>
      <c r="M236" s="23" t="str">
        <f>IFERROR(__xludf.DUMMYFUNCTION("if(REGEXMATCH(join("", "",$F236:$G236),M$1)=TRUE,""✓"",""✗"")"),"✗")</f>
        <v>✗</v>
      </c>
      <c r="N236" s="23" t="str">
        <f>IFERROR(__xludf.DUMMYFUNCTION("if(REGEXMATCH(join("", "",$F236:$G236),N$1)=TRUE,""✓"",""✗"")"),"✗")</f>
        <v>✗</v>
      </c>
      <c r="O236" s="23" t="str">
        <f>IFERROR(__xludf.DUMMYFUNCTION("if(REGEXMATCH(join("", "",$F236:$G236),O$1)=TRUE,""✓"",""✗"")"),"✗")</f>
        <v>✗</v>
      </c>
      <c r="P236" s="23" t="str">
        <f>IFERROR(__xludf.DUMMYFUNCTION("if(REGEXMATCH(join("", "",$F236:$G236),P$1)=TRUE,""✓"",""✗"")"),"✗")</f>
        <v>✗</v>
      </c>
      <c r="Q236" s="23" t="str">
        <f>IFERROR(__xludf.DUMMYFUNCTION("if(REGEXMATCH(join("", "",$F236:$G236),Q$1)=TRUE,""✓"",""✗"")"),"✗")</f>
        <v>✗</v>
      </c>
      <c r="R236" s="23" t="str">
        <f>IFERROR(__xludf.DUMMYFUNCTION("if(REGEXMATCH(join("", "",$F236:$G236),R$1)=TRUE,""✓"",""✗"")"),"✗")</f>
        <v>✗</v>
      </c>
      <c r="S236" s="23" t="str">
        <f>IFERROR(__xludf.DUMMYFUNCTION("if(REGEXMATCH(join("", "",$F236:$G236),S$1)=TRUE,""✓"",""✗"")"),"✗")</f>
        <v>✗</v>
      </c>
      <c r="T236" s="23" t="str">
        <f>IFERROR(__xludf.DUMMYFUNCTION("if(REGEXMATCH(join("", "",$F236:$G236),T$1)=TRUE,""✓"",""✗"")"),"✗")</f>
        <v>✗</v>
      </c>
      <c r="U236" s="33"/>
      <c r="V236" s="33"/>
      <c r="W236" s="33"/>
      <c r="X236" s="33"/>
      <c r="Y236" s="33"/>
      <c r="Z236" s="33"/>
      <c r="AA236" s="33"/>
      <c r="AB236" s="33"/>
      <c r="AC236" s="33"/>
    </row>
    <row r="237" hidden="1">
      <c r="A237" s="17" t="s">
        <v>302</v>
      </c>
      <c r="B237" s="33"/>
      <c r="C237" s="33"/>
      <c r="D237" s="33"/>
      <c r="E237" s="33"/>
      <c r="F237" s="33"/>
      <c r="G237" s="33"/>
      <c r="H237" s="23" t="str">
        <f>IFERROR(__xludf.DUMMYFUNCTION("if(REGEXMATCH(join("", "",$F237:$G237),H$1)=TRUE,""✓"",""✗"")"),"✗")</f>
        <v>✗</v>
      </c>
      <c r="I237" s="23" t="str">
        <f>IFERROR(__xludf.DUMMYFUNCTION("if(REGEXMATCH(join("", "",$F237:$G237),I$1)=TRUE,""✓"",""✗"")"),"✗")</f>
        <v>✗</v>
      </c>
      <c r="J237" s="23" t="str">
        <f>IFERROR(__xludf.DUMMYFUNCTION("if(REGEXMATCH(join("", "",$F237:$G237),J$1)=TRUE,""✓"",""✗"")"),"✗")</f>
        <v>✗</v>
      </c>
      <c r="K237" s="23" t="str">
        <f>IFERROR(__xludf.DUMMYFUNCTION("if(REGEXMATCH(join("", "",$F237:$G237),K$1)=TRUE,""✓"",""✗"")"),"✗")</f>
        <v>✗</v>
      </c>
      <c r="L237" s="23" t="str">
        <f>IFERROR(__xludf.DUMMYFUNCTION("if(REGEXMATCH(join("", "",$F237:$G237),L$1)=TRUE,""✓"",""✗"")"),"✗")</f>
        <v>✗</v>
      </c>
      <c r="M237" s="23" t="str">
        <f>IFERROR(__xludf.DUMMYFUNCTION("if(REGEXMATCH(join("", "",$F237:$G237),M$1)=TRUE,""✓"",""✗"")"),"✗")</f>
        <v>✗</v>
      </c>
      <c r="N237" s="23" t="str">
        <f>IFERROR(__xludf.DUMMYFUNCTION("if(REGEXMATCH(join("", "",$F237:$G237),N$1)=TRUE,""✓"",""✗"")"),"✗")</f>
        <v>✗</v>
      </c>
      <c r="O237" s="23" t="str">
        <f>IFERROR(__xludf.DUMMYFUNCTION("if(REGEXMATCH(join("", "",$F237:$G237),O$1)=TRUE,""✓"",""✗"")"),"✗")</f>
        <v>✗</v>
      </c>
      <c r="P237" s="23" t="str">
        <f>IFERROR(__xludf.DUMMYFUNCTION("if(REGEXMATCH(join("", "",$F237:$G237),P$1)=TRUE,""✓"",""✗"")"),"✗")</f>
        <v>✗</v>
      </c>
      <c r="Q237" s="23" t="str">
        <f>IFERROR(__xludf.DUMMYFUNCTION("if(REGEXMATCH(join("", "",$F237:$G237),Q$1)=TRUE,""✓"",""✗"")"),"✗")</f>
        <v>✗</v>
      </c>
      <c r="R237" s="23" t="str">
        <f>IFERROR(__xludf.DUMMYFUNCTION("if(REGEXMATCH(join("", "",$F237:$G237),R$1)=TRUE,""✓"",""✗"")"),"✗")</f>
        <v>✗</v>
      </c>
      <c r="S237" s="23" t="str">
        <f>IFERROR(__xludf.DUMMYFUNCTION("if(REGEXMATCH(join("", "",$F237:$G237),S$1)=TRUE,""✓"",""✗"")"),"✗")</f>
        <v>✗</v>
      </c>
      <c r="T237" s="23" t="str">
        <f>IFERROR(__xludf.DUMMYFUNCTION("if(REGEXMATCH(join("", "",$F237:$G237),T$1)=TRUE,""✓"",""✗"")"),"✗")</f>
        <v>✗</v>
      </c>
      <c r="U237" s="33"/>
      <c r="V237" s="33"/>
      <c r="W237" s="33"/>
      <c r="X237" s="33"/>
      <c r="Y237" s="33"/>
      <c r="Z237" s="33"/>
      <c r="AA237" s="33"/>
      <c r="AB237" s="33"/>
      <c r="AC237" s="33"/>
    </row>
    <row r="238" hidden="1">
      <c r="A238" s="17" t="s">
        <v>302</v>
      </c>
      <c r="B238" s="33"/>
      <c r="C238" s="33"/>
      <c r="D238" s="33"/>
      <c r="E238" s="33"/>
      <c r="F238" s="33"/>
      <c r="G238" s="33"/>
      <c r="H238" s="23" t="str">
        <f>IFERROR(__xludf.DUMMYFUNCTION("if(REGEXMATCH(join("", "",$F238:$G238),H$1)=TRUE,""✓"",""✗"")"),"✗")</f>
        <v>✗</v>
      </c>
      <c r="I238" s="23" t="str">
        <f>IFERROR(__xludf.DUMMYFUNCTION("if(REGEXMATCH(join("", "",$F238:$G238),I$1)=TRUE,""✓"",""✗"")"),"✗")</f>
        <v>✗</v>
      </c>
      <c r="J238" s="23" t="str">
        <f>IFERROR(__xludf.DUMMYFUNCTION("if(REGEXMATCH(join("", "",$F238:$G238),J$1)=TRUE,""✓"",""✗"")"),"✗")</f>
        <v>✗</v>
      </c>
      <c r="K238" s="23" t="str">
        <f>IFERROR(__xludf.DUMMYFUNCTION("if(REGEXMATCH(join("", "",$F238:$G238),K$1)=TRUE,""✓"",""✗"")"),"✗")</f>
        <v>✗</v>
      </c>
      <c r="L238" s="23" t="str">
        <f>IFERROR(__xludf.DUMMYFUNCTION("if(REGEXMATCH(join("", "",$F238:$G238),L$1)=TRUE,""✓"",""✗"")"),"✗")</f>
        <v>✗</v>
      </c>
      <c r="M238" s="23" t="str">
        <f>IFERROR(__xludf.DUMMYFUNCTION("if(REGEXMATCH(join("", "",$F238:$G238),M$1)=TRUE,""✓"",""✗"")"),"✗")</f>
        <v>✗</v>
      </c>
      <c r="N238" s="23" t="str">
        <f>IFERROR(__xludf.DUMMYFUNCTION("if(REGEXMATCH(join("", "",$F238:$G238),N$1)=TRUE,""✓"",""✗"")"),"✗")</f>
        <v>✗</v>
      </c>
      <c r="O238" s="23" t="str">
        <f>IFERROR(__xludf.DUMMYFUNCTION("if(REGEXMATCH(join("", "",$F238:$G238),O$1)=TRUE,""✓"",""✗"")"),"✗")</f>
        <v>✗</v>
      </c>
      <c r="P238" s="23" t="str">
        <f>IFERROR(__xludf.DUMMYFUNCTION("if(REGEXMATCH(join("", "",$F238:$G238),P$1)=TRUE,""✓"",""✗"")"),"✗")</f>
        <v>✗</v>
      </c>
      <c r="Q238" s="23" t="str">
        <f>IFERROR(__xludf.DUMMYFUNCTION("if(REGEXMATCH(join("", "",$F238:$G238),Q$1)=TRUE,""✓"",""✗"")"),"✗")</f>
        <v>✗</v>
      </c>
      <c r="R238" s="23" t="str">
        <f>IFERROR(__xludf.DUMMYFUNCTION("if(REGEXMATCH(join("", "",$F238:$G238),R$1)=TRUE,""✓"",""✗"")"),"✗")</f>
        <v>✗</v>
      </c>
      <c r="S238" s="23" t="str">
        <f>IFERROR(__xludf.DUMMYFUNCTION("if(REGEXMATCH(join("", "",$F238:$G238),S$1)=TRUE,""✓"",""✗"")"),"✗")</f>
        <v>✗</v>
      </c>
      <c r="T238" s="23" t="str">
        <f>IFERROR(__xludf.DUMMYFUNCTION("if(REGEXMATCH(join("", "",$F238:$G238),T$1)=TRUE,""✓"",""✗"")"),"✗")</f>
        <v>✗</v>
      </c>
      <c r="U238" s="33"/>
      <c r="V238" s="33"/>
      <c r="W238" s="33"/>
      <c r="X238" s="33"/>
      <c r="Y238" s="33"/>
      <c r="Z238" s="33"/>
      <c r="AA238" s="33"/>
      <c r="AB238" s="33"/>
      <c r="AC238" s="33"/>
    </row>
    <row r="239" hidden="1">
      <c r="A239" s="17" t="s">
        <v>302</v>
      </c>
      <c r="B239" s="33"/>
      <c r="C239" s="33"/>
      <c r="D239" s="33"/>
      <c r="E239" s="33"/>
      <c r="F239" s="33"/>
      <c r="G239" s="33"/>
      <c r="H239" s="23" t="str">
        <f>IFERROR(__xludf.DUMMYFUNCTION("if(REGEXMATCH(join("", "",$F239:$G239),H$1)=TRUE,""✓"",""✗"")"),"✗")</f>
        <v>✗</v>
      </c>
      <c r="I239" s="23" t="str">
        <f>IFERROR(__xludf.DUMMYFUNCTION("if(REGEXMATCH(join("", "",$F239:$G239),I$1)=TRUE,""✓"",""✗"")"),"✗")</f>
        <v>✗</v>
      </c>
      <c r="J239" s="23" t="str">
        <f>IFERROR(__xludf.DUMMYFUNCTION("if(REGEXMATCH(join("", "",$F239:$G239),J$1)=TRUE,""✓"",""✗"")"),"✗")</f>
        <v>✗</v>
      </c>
      <c r="K239" s="23" t="str">
        <f>IFERROR(__xludf.DUMMYFUNCTION("if(REGEXMATCH(join("", "",$F239:$G239),K$1)=TRUE,""✓"",""✗"")"),"✗")</f>
        <v>✗</v>
      </c>
      <c r="L239" s="23" t="str">
        <f>IFERROR(__xludf.DUMMYFUNCTION("if(REGEXMATCH(join("", "",$F239:$G239),L$1)=TRUE,""✓"",""✗"")"),"✗")</f>
        <v>✗</v>
      </c>
      <c r="M239" s="23" t="str">
        <f>IFERROR(__xludf.DUMMYFUNCTION("if(REGEXMATCH(join("", "",$F239:$G239),M$1)=TRUE,""✓"",""✗"")"),"✗")</f>
        <v>✗</v>
      </c>
      <c r="N239" s="23" t="str">
        <f>IFERROR(__xludf.DUMMYFUNCTION("if(REGEXMATCH(join("", "",$F239:$G239),N$1)=TRUE,""✓"",""✗"")"),"✗")</f>
        <v>✗</v>
      </c>
      <c r="O239" s="23" t="str">
        <f>IFERROR(__xludf.DUMMYFUNCTION("if(REGEXMATCH(join("", "",$F239:$G239),O$1)=TRUE,""✓"",""✗"")"),"✗")</f>
        <v>✗</v>
      </c>
      <c r="P239" s="23" t="str">
        <f>IFERROR(__xludf.DUMMYFUNCTION("if(REGEXMATCH(join("", "",$F239:$G239),P$1)=TRUE,""✓"",""✗"")"),"✗")</f>
        <v>✗</v>
      </c>
      <c r="Q239" s="23" t="str">
        <f>IFERROR(__xludf.DUMMYFUNCTION("if(REGEXMATCH(join("", "",$F239:$G239),Q$1)=TRUE,""✓"",""✗"")"),"✗")</f>
        <v>✗</v>
      </c>
      <c r="R239" s="23" t="str">
        <f>IFERROR(__xludf.DUMMYFUNCTION("if(REGEXMATCH(join("", "",$F239:$G239),R$1)=TRUE,""✓"",""✗"")"),"✗")</f>
        <v>✗</v>
      </c>
      <c r="S239" s="23" t="str">
        <f>IFERROR(__xludf.DUMMYFUNCTION("if(REGEXMATCH(join("", "",$F239:$G239),S$1)=TRUE,""✓"",""✗"")"),"✗")</f>
        <v>✗</v>
      </c>
      <c r="T239" s="23" t="str">
        <f>IFERROR(__xludf.DUMMYFUNCTION("if(REGEXMATCH(join("", "",$F239:$G239),T$1)=TRUE,""✓"",""✗"")"),"✗")</f>
        <v>✗</v>
      </c>
      <c r="U239" s="33"/>
      <c r="V239" s="33"/>
      <c r="W239" s="33"/>
      <c r="X239" s="33"/>
      <c r="Y239" s="33"/>
      <c r="Z239" s="33"/>
      <c r="AA239" s="33"/>
      <c r="AB239" s="33"/>
      <c r="AC239" s="33"/>
    </row>
    <row r="240" hidden="1">
      <c r="A240" s="17" t="s">
        <v>302</v>
      </c>
      <c r="B240" s="33"/>
      <c r="C240" s="33"/>
      <c r="D240" s="33"/>
      <c r="E240" s="33"/>
      <c r="F240" s="33"/>
      <c r="G240" s="33"/>
      <c r="H240" s="23" t="str">
        <f>IFERROR(__xludf.DUMMYFUNCTION("if(REGEXMATCH(join("", "",$F240:$G240),H$1)=TRUE,""✓"",""✗"")"),"✗")</f>
        <v>✗</v>
      </c>
      <c r="I240" s="23" t="str">
        <f>IFERROR(__xludf.DUMMYFUNCTION("if(REGEXMATCH(join("", "",$F240:$G240),I$1)=TRUE,""✓"",""✗"")"),"✗")</f>
        <v>✗</v>
      </c>
      <c r="J240" s="23" t="str">
        <f>IFERROR(__xludf.DUMMYFUNCTION("if(REGEXMATCH(join("", "",$F240:$G240),J$1)=TRUE,""✓"",""✗"")"),"✗")</f>
        <v>✗</v>
      </c>
      <c r="K240" s="23" t="str">
        <f>IFERROR(__xludf.DUMMYFUNCTION("if(REGEXMATCH(join("", "",$F240:$G240),K$1)=TRUE,""✓"",""✗"")"),"✗")</f>
        <v>✗</v>
      </c>
      <c r="L240" s="23" t="str">
        <f>IFERROR(__xludf.DUMMYFUNCTION("if(REGEXMATCH(join("", "",$F240:$G240),L$1)=TRUE,""✓"",""✗"")"),"✗")</f>
        <v>✗</v>
      </c>
      <c r="M240" s="23" t="str">
        <f>IFERROR(__xludf.DUMMYFUNCTION("if(REGEXMATCH(join("", "",$F240:$G240),M$1)=TRUE,""✓"",""✗"")"),"✗")</f>
        <v>✗</v>
      </c>
      <c r="N240" s="23" t="str">
        <f>IFERROR(__xludf.DUMMYFUNCTION("if(REGEXMATCH(join("", "",$F240:$G240),N$1)=TRUE,""✓"",""✗"")"),"✗")</f>
        <v>✗</v>
      </c>
      <c r="O240" s="23" t="str">
        <f>IFERROR(__xludf.DUMMYFUNCTION("if(REGEXMATCH(join("", "",$F240:$G240),O$1)=TRUE,""✓"",""✗"")"),"✗")</f>
        <v>✗</v>
      </c>
      <c r="P240" s="23" t="str">
        <f>IFERROR(__xludf.DUMMYFUNCTION("if(REGEXMATCH(join("", "",$F240:$G240),P$1)=TRUE,""✓"",""✗"")"),"✗")</f>
        <v>✗</v>
      </c>
      <c r="Q240" s="23" t="str">
        <f>IFERROR(__xludf.DUMMYFUNCTION("if(REGEXMATCH(join("", "",$F240:$G240),Q$1)=TRUE,""✓"",""✗"")"),"✗")</f>
        <v>✗</v>
      </c>
      <c r="R240" s="23" t="str">
        <f>IFERROR(__xludf.DUMMYFUNCTION("if(REGEXMATCH(join("", "",$F240:$G240),R$1)=TRUE,""✓"",""✗"")"),"✗")</f>
        <v>✗</v>
      </c>
      <c r="S240" s="23" t="str">
        <f>IFERROR(__xludf.DUMMYFUNCTION("if(REGEXMATCH(join("", "",$F240:$G240),S$1)=TRUE,""✓"",""✗"")"),"✗")</f>
        <v>✗</v>
      </c>
      <c r="T240" s="23" t="str">
        <f>IFERROR(__xludf.DUMMYFUNCTION("if(REGEXMATCH(join("", "",$F240:$G240),T$1)=TRUE,""✓"",""✗"")"),"✗")</f>
        <v>✗</v>
      </c>
      <c r="U240" s="33"/>
      <c r="V240" s="33"/>
      <c r="W240" s="33"/>
      <c r="X240" s="33"/>
      <c r="Y240" s="33"/>
      <c r="Z240" s="33"/>
      <c r="AA240" s="33"/>
      <c r="AB240" s="33"/>
      <c r="AC240" s="33"/>
    </row>
    <row r="241" hidden="1">
      <c r="A241" s="17" t="s">
        <v>302</v>
      </c>
      <c r="B241" s="33"/>
      <c r="C241" s="33"/>
      <c r="D241" s="33"/>
      <c r="E241" s="33"/>
      <c r="F241" s="33"/>
      <c r="G241" s="33"/>
      <c r="H241" s="23" t="str">
        <f>IFERROR(__xludf.DUMMYFUNCTION("if(REGEXMATCH(join("", "",$F241:$G241),H$1)=TRUE,""✓"",""✗"")"),"✗")</f>
        <v>✗</v>
      </c>
      <c r="I241" s="23" t="str">
        <f>IFERROR(__xludf.DUMMYFUNCTION("if(REGEXMATCH(join("", "",$F241:$G241),I$1)=TRUE,""✓"",""✗"")"),"✗")</f>
        <v>✗</v>
      </c>
      <c r="J241" s="23" t="str">
        <f>IFERROR(__xludf.DUMMYFUNCTION("if(REGEXMATCH(join("", "",$F241:$G241),J$1)=TRUE,""✓"",""✗"")"),"✗")</f>
        <v>✗</v>
      </c>
      <c r="K241" s="23" t="str">
        <f>IFERROR(__xludf.DUMMYFUNCTION("if(REGEXMATCH(join("", "",$F241:$G241),K$1)=TRUE,""✓"",""✗"")"),"✗")</f>
        <v>✗</v>
      </c>
      <c r="L241" s="23" t="str">
        <f>IFERROR(__xludf.DUMMYFUNCTION("if(REGEXMATCH(join("", "",$F241:$G241),L$1)=TRUE,""✓"",""✗"")"),"✗")</f>
        <v>✗</v>
      </c>
      <c r="M241" s="23" t="str">
        <f>IFERROR(__xludf.DUMMYFUNCTION("if(REGEXMATCH(join("", "",$F241:$G241),M$1)=TRUE,""✓"",""✗"")"),"✗")</f>
        <v>✗</v>
      </c>
      <c r="N241" s="23" t="str">
        <f>IFERROR(__xludf.DUMMYFUNCTION("if(REGEXMATCH(join("", "",$F241:$G241),N$1)=TRUE,""✓"",""✗"")"),"✗")</f>
        <v>✗</v>
      </c>
      <c r="O241" s="23" t="str">
        <f>IFERROR(__xludf.DUMMYFUNCTION("if(REGEXMATCH(join("", "",$F241:$G241),O$1)=TRUE,""✓"",""✗"")"),"✗")</f>
        <v>✗</v>
      </c>
      <c r="P241" s="23" t="str">
        <f>IFERROR(__xludf.DUMMYFUNCTION("if(REGEXMATCH(join("", "",$F241:$G241),P$1)=TRUE,""✓"",""✗"")"),"✗")</f>
        <v>✗</v>
      </c>
      <c r="Q241" s="23" t="str">
        <f>IFERROR(__xludf.DUMMYFUNCTION("if(REGEXMATCH(join("", "",$F241:$G241),Q$1)=TRUE,""✓"",""✗"")"),"✗")</f>
        <v>✗</v>
      </c>
      <c r="R241" s="23" t="str">
        <f>IFERROR(__xludf.DUMMYFUNCTION("if(REGEXMATCH(join("", "",$F241:$G241),R$1)=TRUE,""✓"",""✗"")"),"✗")</f>
        <v>✗</v>
      </c>
      <c r="S241" s="23" t="str">
        <f>IFERROR(__xludf.DUMMYFUNCTION("if(REGEXMATCH(join("", "",$F241:$G241),S$1)=TRUE,""✓"",""✗"")"),"✗")</f>
        <v>✗</v>
      </c>
      <c r="T241" s="23" t="str">
        <f>IFERROR(__xludf.DUMMYFUNCTION("if(REGEXMATCH(join("", "",$F241:$G241),T$1)=TRUE,""✓"",""✗"")"),"✗")</f>
        <v>✗</v>
      </c>
      <c r="U241" s="33"/>
      <c r="V241" s="33"/>
      <c r="W241" s="33"/>
      <c r="X241" s="33"/>
      <c r="Y241" s="33"/>
      <c r="Z241" s="33"/>
      <c r="AA241" s="33"/>
      <c r="AB241" s="33"/>
      <c r="AC241" s="33"/>
    </row>
    <row r="242" hidden="1">
      <c r="A242" s="17" t="s">
        <v>302</v>
      </c>
      <c r="B242" s="33"/>
      <c r="C242" s="33"/>
      <c r="D242" s="33"/>
      <c r="E242" s="33"/>
      <c r="F242" s="33"/>
      <c r="G242" s="33"/>
      <c r="H242" s="23" t="str">
        <f>IFERROR(__xludf.DUMMYFUNCTION("if(REGEXMATCH(join("", "",$F242:$G242),H$1)=TRUE,""✓"",""✗"")"),"✗")</f>
        <v>✗</v>
      </c>
      <c r="I242" s="23" t="str">
        <f>IFERROR(__xludf.DUMMYFUNCTION("if(REGEXMATCH(join("", "",$F242:$G242),I$1)=TRUE,""✓"",""✗"")"),"✗")</f>
        <v>✗</v>
      </c>
      <c r="J242" s="23" t="str">
        <f>IFERROR(__xludf.DUMMYFUNCTION("if(REGEXMATCH(join("", "",$F242:$G242),J$1)=TRUE,""✓"",""✗"")"),"✗")</f>
        <v>✗</v>
      </c>
      <c r="K242" s="23" t="str">
        <f>IFERROR(__xludf.DUMMYFUNCTION("if(REGEXMATCH(join("", "",$F242:$G242),K$1)=TRUE,""✓"",""✗"")"),"✗")</f>
        <v>✗</v>
      </c>
      <c r="L242" s="23" t="str">
        <f>IFERROR(__xludf.DUMMYFUNCTION("if(REGEXMATCH(join("", "",$F242:$G242),L$1)=TRUE,""✓"",""✗"")"),"✗")</f>
        <v>✗</v>
      </c>
      <c r="M242" s="23" t="str">
        <f>IFERROR(__xludf.DUMMYFUNCTION("if(REGEXMATCH(join("", "",$F242:$G242),M$1)=TRUE,""✓"",""✗"")"),"✗")</f>
        <v>✗</v>
      </c>
      <c r="N242" s="23" t="str">
        <f>IFERROR(__xludf.DUMMYFUNCTION("if(REGEXMATCH(join("", "",$F242:$G242),N$1)=TRUE,""✓"",""✗"")"),"✗")</f>
        <v>✗</v>
      </c>
      <c r="O242" s="23" t="str">
        <f>IFERROR(__xludf.DUMMYFUNCTION("if(REGEXMATCH(join("", "",$F242:$G242),O$1)=TRUE,""✓"",""✗"")"),"✗")</f>
        <v>✗</v>
      </c>
      <c r="P242" s="23" t="str">
        <f>IFERROR(__xludf.DUMMYFUNCTION("if(REGEXMATCH(join("", "",$F242:$G242),P$1)=TRUE,""✓"",""✗"")"),"✗")</f>
        <v>✗</v>
      </c>
      <c r="Q242" s="23" t="str">
        <f>IFERROR(__xludf.DUMMYFUNCTION("if(REGEXMATCH(join("", "",$F242:$G242),Q$1)=TRUE,""✓"",""✗"")"),"✗")</f>
        <v>✗</v>
      </c>
      <c r="R242" s="23" t="str">
        <f>IFERROR(__xludf.DUMMYFUNCTION("if(REGEXMATCH(join("", "",$F242:$G242),R$1)=TRUE,""✓"",""✗"")"),"✗")</f>
        <v>✗</v>
      </c>
      <c r="S242" s="23" t="str">
        <f>IFERROR(__xludf.DUMMYFUNCTION("if(REGEXMATCH(join("", "",$F242:$G242),S$1)=TRUE,""✓"",""✗"")"),"✗")</f>
        <v>✗</v>
      </c>
      <c r="T242" s="23" t="str">
        <f>IFERROR(__xludf.DUMMYFUNCTION("if(REGEXMATCH(join("", "",$F242:$G242),T$1)=TRUE,""✓"",""✗"")"),"✗")</f>
        <v>✗</v>
      </c>
      <c r="U242" s="33"/>
      <c r="V242" s="33"/>
      <c r="W242" s="33"/>
      <c r="X242" s="33"/>
      <c r="Y242" s="33"/>
      <c r="Z242" s="33"/>
      <c r="AA242" s="33"/>
      <c r="AB242" s="33"/>
      <c r="AC242" s="33"/>
    </row>
    <row r="243" hidden="1">
      <c r="A243" s="17" t="s">
        <v>302</v>
      </c>
      <c r="B243" s="33"/>
      <c r="C243" s="33"/>
      <c r="D243" s="33"/>
      <c r="E243" s="33"/>
      <c r="F243" s="33"/>
      <c r="G243" s="33"/>
      <c r="H243" s="23" t="str">
        <f>IFERROR(__xludf.DUMMYFUNCTION("if(REGEXMATCH(join("", "",$F243:$G243),H$1)=TRUE,""✓"",""✗"")"),"✗")</f>
        <v>✗</v>
      </c>
      <c r="I243" s="23" t="str">
        <f>IFERROR(__xludf.DUMMYFUNCTION("if(REGEXMATCH(join("", "",$F243:$G243),I$1)=TRUE,""✓"",""✗"")"),"✗")</f>
        <v>✗</v>
      </c>
      <c r="J243" s="23" t="str">
        <f>IFERROR(__xludf.DUMMYFUNCTION("if(REGEXMATCH(join("", "",$F243:$G243),J$1)=TRUE,""✓"",""✗"")"),"✗")</f>
        <v>✗</v>
      </c>
      <c r="K243" s="23" t="str">
        <f>IFERROR(__xludf.DUMMYFUNCTION("if(REGEXMATCH(join("", "",$F243:$G243),K$1)=TRUE,""✓"",""✗"")"),"✗")</f>
        <v>✗</v>
      </c>
      <c r="L243" s="23" t="str">
        <f>IFERROR(__xludf.DUMMYFUNCTION("if(REGEXMATCH(join("", "",$F243:$G243),L$1)=TRUE,""✓"",""✗"")"),"✗")</f>
        <v>✗</v>
      </c>
      <c r="M243" s="23" t="str">
        <f>IFERROR(__xludf.DUMMYFUNCTION("if(REGEXMATCH(join("", "",$F243:$G243),M$1)=TRUE,""✓"",""✗"")"),"✗")</f>
        <v>✗</v>
      </c>
      <c r="N243" s="23" t="str">
        <f>IFERROR(__xludf.DUMMYFUNCTION("if(REGEXMATCH(join("", "",$F243:$G243),N$1)=TRUE,""✓"",""✗"")"),"✗")</f>
        <v>✗</v>
      </c>
      <c r="O243" s="23" t="str">
        <f>IFERROR(__xludf.DUMMYFUNCTION("if(REGEXMATCH(join("", "",$F243:$G243),O$1)=TRUE,""✓"",""✗"")"),"✗")</f>
        <v>✗</v>
      </c>
      <c r="P243" s="23" t="str">
        <f>IFERROR(__xludf.DUMMYFUNCTION("if(REGEXMATCH(join("", "",$F243:$G243),P$1)=TRUE,""✓"",""✗"")"),"✗")</f>
        <v>✗</v>
      </c>
      <c r="Q243" s="23" t="str">
        <f>IFERROR(__xludf.DUMMYFUNCTION("if(REGEXMATCH(join("", "",$F243:$G243),Q$1)=TRUE,""✓"",""✗"")"),"✗")</f>
        <v>✗</v>
      </c>
      <c r="R243" s="23" t="str">
        <f>IFERROR(__xludf.DUMMYFUNCTION("if(REGEXMATCH(join("", "",$F243:$G243),R$1)=TRUE,""✓"",""✗"")"),"✗")</f>
        <v>✗</v>
      </c>
      <c r="S243" s="23" t="str">
        <f>IFERROR(__xludf.DUMMYFUNCTION("if(REGEXMATCH(join("", "",$F243:$G243),S$1)=TRUE,""✓"",""✗"")"),"✗")</f>
        <v>✗</v>
      </c>
      <c r="T243" s="23" t="str">
        <f>IFERROR(__xludf.DUMMYFUNCTION("if(REGEXMATCH(join("", "",$F243:$G243),T$1)=TRUE,""✓"",""✗"")"),"✗")</f>
        <v>✗</v>
      </c>
      <c r="U243" s="33"/>
      <c r="V243" s="33"/>
      <c r="W243" s="33"/>
      <c r="X243" s="33"/>
      <c r="Y243" s="33"/>
      <c r="Z243" s="33"/>
      <c r="AA243" s="33"/>
      <c r="AB243" s="33"/>
      <c r="AC243" s="33"/>
    </row>
    <row r="244" hidden="1">
      <c r="A244" s="17" t="s">
        <v>302</v>
      </c>
      <c r="B244" s="33"/>
      <c r="C244" s="33"/>
      <c r="D244" s="33"/>
      <c r="E244" s="33"/>
      <c r="F244" s="33"/>
      <c r="G244" s="33"/>
      <c r="H244" s="23" t="str">
        <f>IFERROR(__xludf.DUMMYFUNCTION("if(REGEXMATCH(join("", "",$F244:$G244),H$1)=TRUE,""✓"",""✗"")"),"✗")</f>
        <v>✗</v>
      </c>
      <c r="I244" s="23" t="str">
        <f>IFERROR(__xludf.DUMMYFUNCTION("if(REGEXMATCH(join("", "",$F244:$G244),I$1)=TRUE,""✓"",""✗"")"),"✗")</f>
        <v>✗</v>
      </c>
      <c r="J244" s="23" t="str">
        <f>IFERROR(__xludf.DUMMYFUNCTION("if(REGEXMATCH(join("", "",$F244:$G244),J$1)=TRUE,""✓"",""✗"")"),"✗")</f>
        <v>✗</v>
      </c>
      <c r="K244" s="23" t="str">
        <f>IFERROR(__xludf.DUMMYFUNCTION("if(REGEXMATCH(join("", "",$F244:$G244),K$1)=TRUE,""✓"",""✗"")"),"✗")</f>
        <v>✗</v>
      </c>
      <c r="L244" s="23" t="str">
        <f>IFERROR(__xludf.DUMMYFUNCTION("if(REGEXMATCH(join("", "",$F244:$G244),L$1)=TRUE,""✓"",""✗"")"),"✗")</f>
        <v>✗</v>
      </c>
      <c r="M244" s="23" t="str">
        <f>IFERROR(__xludf.DUMMYFUNCTION("if(REGEXMATCH(join("", "",$F244:$G244),M$1)=TRUE,""✓"",""✗"")"),"✗")</f>
        <v>✗</v>
      </c>
      <c r="N244" s="23" t="str">
        <f>IFERROR(__xludf.DUMMYFUNCTION("if(REGEXMATCH(join("", "",$F244:$G244),N$1)=TRUE,""✓"",""✗"")"),"✗")</f>
        <v>✗</v>
      </c>
      <c r="O244" s="23" t="str">
        <f>IFERROR(__xludf.DUMMYFUNCTION("if(REGEXMATCH(join("", "",$F244:$G244),O$1)=TRUE,""✓"",""✗"")"),"✗")</f>
        <v>✗</v>
      </c>
      <c r="P244" s="23" t="str">
        <f>IFERROR(__xludf.DUMMYFUNCTION("if(REGEXMATCH(join("", "",$F244:$G244),P$1)=TRUE,""✓"",""✗"")"),"✗")</f>
        <v>✗</v>
      </c>
      <c r="Q244" s="23" t="str">
        <f>IFERROR(__xludf.DUMMYFUNCTION("if(REGEXMATCH(join("", "",$F244:$G244),Q$1)=TRUE,""✓"",""✗"")"),"✗")</f>
        <v>✗</v>
      </c>
      <c r="R244" s="23" t="str">
        <f>IFERROR(__xludf.DUMMYFUNCTION("if(REGEXMATCH(join("", "",$F244:$G244),R$1)=TRUE,""✓"",""✗"")"),"✗")</f>
        <v>✗</v>
      </c>
      <c r="S244" s="23" t="str">
        <f>IFERROR(__xludf.DUMMYFUNCTION("if(REGEXMATCH(join("", "",$F244:$G244),S$1)=TRUE,""✓"",""✗"")"),"✗")</f>
        <v>✗</v>
      </c>
      <c r="T244" s="23" t="str">
        <f>IFERROR(__xludf.DUMMYFUNCTION("if(REGEXMATCH(join("", "",$F244:$G244),T$1)=TRUE,""✓"",""✗"")"),"✗")</f>
        <v>✗</v>
      </c>
      <c r="U244" s="33"/>
      <c r="V244" s="33"/>
      <c r="W244" s="33"/>
      <c r="X244" s="33"/>
      <c r="Y244" s="33"/>
      <c r="Z244" s="33"/>
      <c r="AA244" s="33"/>
      <c r="AB244" s="33"/>
      <c r="AC244" s="33"/>
    </row>
    <row r="245" hidden="1">
      <c r="A245" s="17" t="s">
        <v>302</v>
      </c>
      <c r="B245" s="33"/>
      <c r="C245" s="33"/>
      <c r="D245" s="33"/>
      <c r="E245" s="33"/>
      <c r="F245" s="33"/>
      <c r="G245" s="33"/>
      <c r="H245" s="23" t="str">
        <f>IFERROR(__xludf.DUMMYFUNCTION("if(REGEXMATCH(join("", "",$F245:$G245),H$1)=TRUE,""✓"",""✗"")"),"✗")</f>
        <v>✗</v>
      </c>
      <c r="I245" s="23" t="str">
        <f>IFERROR(__xludf.DUMMYFUNCTION("if(REGEXMATCH(join("", "",$F245:$G245),I$1)=TRUE,""✓"",""✗"")"),"✗")</f>
        <v>✗</v>
      </c>
      <c r="J245" s="23" t="str">
        <f>IFERROR(__xludf.DUMMYFUNCTION("if(REGEXMATCH(join("", "",$F245:$G245),J$1)=TRUE,""✓"",""✗"")"),"✗")</f>
        <v>✗</v>
      </c>
      <c r="K245" s="23" t="str">
        <f>IFERROR(__xludf.DUMMYFUNCTION("if(REGEXMATCH(join("", "",$F245:$G245),K$1)=TRUE,""✓"",""✗"")"),"✗")</f>
        <v>✗</v>
      </c>
      <c r="L245" s="23" t="str">
        <f>IFERROR(__xludf.DUMMYFUNCTION("if(REGEXMATCH(join("", "",$F245:$G245),L$1)=TRUE,""✓"",""✗"")"),"✗")</f>
        <v>✗</v>
      </c>
      <c r="M245" s="23" t="str">
        <f>IFERROR(__xludf.DUMMYFUNCTION("if(REGEXMATCH(join("", "",$F245:$G245),M$1)=TRUE,""✓"",""✗"")"),"✗")</f>
        <v>✗</v>
      </c>
      <c r="N245" s="23" t="str">
        <f>IFERROR(__xludf.DUMMYFUNCTION("if(REGEXMATCH(join("", "",$F245:$G245),N$1)=TRUE,""✓"",""✗"")"),"✗")</f>
        <v>✗</v>
      </c>
      <c r="O245" s="23" t="str">
        <f>IFERROR(__xludf.DUMMYFUNCTION("if(REGEXMATCH(join("", "",$F245:$G245),O$1)=TRUE,""✓"",""✗"")"),"✗")</f>
        <v>✗</v>
      </c>
      <c r="P245" s="23" t="str">
        <f>IFERROR(__xludf.DUMMYFUNCTION("if(REGEXMATCH(join("", "",$F245:$G245),P$1)=TRUE,""✓"",""✗"")"),"✗")</f>
        <v>✗</v>
      </c>
      <c r="Q245" s="23" t="str">
        <f>IFERROR(__xludf.DUMMYFUNCTION("if(REGEXMATCH(join("", "",$F245:$G245),Q$1)=TRUE,""✓"",""✗"")"),"✗")</f>
        <v>✗</v>
      </c>
      <c r="R245" s="23" t="str">
        <f>IFERROR(__xludf.DUMMYFUNCTION("if(REGEXMATCH(join("", "",$F245:$G245),R$1)=TRUE,""✓"",""✗"")"),"✗")</f>
        <v>✗</v>
      </c>
      <c r="S245" s="23" t="str">
        <f>IFERROR(__xludf.DUMMYFUNCTION("if(REGEXMATCH(join("", "",$F245:$G245),S$1)=TRUE,""✓"",""✗"")"),"✗")</f>
        <v>✗</v>
      </c>
      <c r="T245" s="23" t="str">
        <f>IFERROR(__xludf.DUMMYFUNCTION("if(REGEXMATCH(join("", "",$F245:$G245),T$1)=TRUE,""✓"",""✗"")"),"✗")</f>
        <v>✗</v>
      </c>
      <c r="U245" s="33"/>
      <c r="V245" s="33"/>
      <c r="W245" s="33"/>
      <c r="X245" s="33"/>
      <c r="Y245" s="33"/>
      <c r="Z245" s="33"/>
      <c r="AA245" s="33"/>
      <c r="AB245" s="33"/>
      <c r="AC245" s="33"/>
    </row>
    <row r="246" hidden="1">
      <c r="A246" s="17" t="s">
        <v>302</v>
      </c>
      <c r="B246" s="33"/>
      <c r="C246" s="33"/>
      <c r="D246" s="33"/>
      <c r="E246" s="33"/>
      <c r="F246" s="33"/>
      <c r="G246" s="33"/>
      <c r="H246" s="23" t="str">
        <f>IFERROR(__xludf.DUMMYFUNCTION("if(REGEXMATCH(join("", "",$F246:$G246),H$1)=TRUE,""✓"",""✗"")"),"✗")</f>
        <v>✗</v>
      </c>
      <c r="I246" s="23" t="str">
        <f>IFERROR(__xludf.DUMMYFUNCTION("if(REGEXMATCH(join("", "",$F246:$G246),I$1)=TRUE,""✓"",""✗"")"),"✗")</f>
        <v>✗</v>
      </c>
      <c r="J246" s="23" t="str">
        <f>IFERROR(__xludf.DUMMYFUNCTION("if(REGEXMATCH(join("", "",$F246:$G246),J$1)=TRUE,""✓"",""✗"")"),"✗")</f>
        <v>✗</v>
      </c>
      <c r="K246" s="23" t="str">
        <f>IFERROR(__xludf.DUMMYFUNCTION("if(REGEXMATCH(join("", "",$F246:$G246),K$1)=TRUE,""✓"",""✗"")"),"✗")</f>
        <v>✗</v>
      </c>
      <c r="L246" s="23" t="str">
        <f>IFERROR(__xludf.DUMMYFUNCTION("if(REGEXMATCH(join("", "",$F246:$G246),L$1)=TRUE,""✓"",""✗"")"),"✗")</f>
        <v>✗</v>
      </c>
      <c r="M246" s="23" t="str">
        <f>IFERROR(__xludf.DUMMYFUNCTION("if(REGEXMATCH(join("", "",$F246:$G246),M$1)=TRUE,""✓"",""✗"")"),"✗")</f>
        <v>✗</v>
      </c>
      <c r="N246" s="23" t="str">
        <f>IFERROR(__xludf.DUMMYFUNCTION("if(REGEXMATCH(join("", "",$F246:$G246),N$1)=TRUE,""✓"",""✗"")"),"✗")</f>
        <v>✗</v>
      </c>
      <c r="O246" s="23" t="str">
        <f>IFERROR(__xludf.DUMMYFUNCTION("if(REGEXMATCH(join("", "",$F246:$G246),O$1)=TRUE,""✓"",""✗"")"),"✗")</f>
        <v>✗</v>
      </c>
      <c r="P246" s="23" t="str">
        <f>IFERROR(__xludf.DUMMYFUNCTION("if(REGEXMATCH(join("", "",$F246:$G246),P$1)=TRUE,""✓"",""✗"")"),"✗")</f>
        <v>✗</v>
      </c>
      <c r="Q246" s="23" t="str">
        <f>IFERROR(__xludf.DUMMYFUNCTION("if(REGEXMATCH(join("", "",$F246:$G246),Q$1)=TRUE,""✓"",""✗"")"),"✗")</f>
        <v>✗</v>
      </c>
      <c r="R246" s="23" t="str">
        <f>IFERROR(__xludf.DUMMYFUNCTION("if(REGEXMATCH(join("", "",$F246:$G246),R$1)=TRUE,""✓"",""✗"")"),"✗")</f>
        <v>✗</v>
      </c>
      <c r="S246" s="23" t="str">
        <f>IFERROR(__xludf.DUMMYFUNCTION("if(REGEXMATCH(join("", "",$F246:$G246),S$1)=TRUE,""✓"",""✗"")"),"✗")</f>
        <v>✗</v>
      </c>
      <c r="T246" s="23" t="str">
        <f>IFERROR(__xludf.DUMMYFUNCTION("if(REGEXMATCH(join("", "",$F246:$G246),T$1)=TRUE,""✓"",""✗"")"),"✗")</f>
        <v>✗</v>
      </c>
      <c r="U246" s="33"/>
      <c r="V246" s="33"/>
      <c r="W246" s="33"/>
      <c r="X246" s="33"/>
      <c r="Y246" s="33"/>
      <c r="Z246" s="33"/>
      <c r="AA246" s="33"/>
      <c r="AB246" s="33"/>
      <c r="AC246" s="33"/>
    </row>
    <row r="247" hidden="1">
      <c r="A247" s="17" t="s">
        <v>302</v>
      </c>
      <c r="B247" s="33"/>
      <c r="C247" s="33"/>
      <c r="D247" s="33"/>
      <c r="E247" s="33"/>
      <c r="F247" s="33"/>
      <c r="G247" s="33"/>
      <c r="H247" s="23" t="str">
        <f>IFERROR(__xludf.DUMMYFUNCTION("if(REGEXMATCH(join("", "",$F247:$G247),H$1)=TRUE,""✓"",""✗"")"),"✗")</f>
        <v>✗</v>
      </c>
      <c r="I247" s="23" t="str">
        <f>IFERROR(__xludf.DUMMYFUNCTION("if(REGEXMATCH(join("", "",$F247:$G247),I$1)=TRUE,""✓"",""✗"")"),"✗")</f>
        <v>✗</v>
      </c>
      <c r="J247" s="23" t="str">
        <f>IFERROR(__xludf.DUMMYFUNCTION("if(REGEXMATCH(join("", "",$F247:$G247),J$1)=TRUE,""✓"",""✗"")"),"✗")</f>
        <v>✗</v>
      </c>
      <c r="K247" s="23" t="str">
        <f>IFERROR(__xludf.DUMMYFUNCTION("if(REGEXMATCH(join("", "",$F247:$G247),K$1)=TRUE,""✓"",""✗"")"),"✗")</f>
        <v>✗</v>
      </c>
      <c r="L247" s="23" t="str">
        <f>IFERROR(__xludf.DUMMYFUNCTION("if(REGEXMATCH(join("", "",$F247:$G247),L$1)=TRUE,""✓"",""✗"")"),"✗")</f>
        <v>✗</v>
      </c>
      <c r="M247" s="23" t="str">
        <f>IFERROR(__xludf.DUMMYFUNCTION("if(REGEXMATCH(join("", "",$F247:$G247),M$1)=TRUE,""✓"",""✗"")"),"✗")</f>
        <v>✗</v>
      </c>
      <c r="N247" s="23" t="str">
        <f>IFERROR(__xludf.DUMMYFUNCTION("if(REGEXMATCH(join("", "",$F247:$G247),N$1)=TRUE,""✓"",""✗"")"),"✗")</f>
        <v>✗</v>
      </c>
      <c r="O247" s="23" t="str">
        <f>IFERROR(__xludf.DUMMYFUNCTION("if(REGEXMATCH(join("", "",$F247:$G247),O$1)=TRUE,""✓"",""✗"")"),"✗")</f>
        <v>✗</v>
      </c>
      <c r="P247" s="23" t="str">
        <f>IFERROR(__xludf.DUMMYFUNCTION("if(REGEXMATCH(join("", "",$F247:$G247),P$1)=TRUE,""✓"",""✗"")"),"✗")</f>
        <v>✗</v>
      </c>
      <c r="Q247" s="23" t="str">
        <f>IFERROR(__xludf.DUMMYFUNCTION("if(REGEXMATCH(join("", "",$F247:$G247),Q$1)=TRUE,""✓"",""✗"")"),"✗")</f>
        <v>✗</v>
      </c>
      <c r="R247" s="23" t="str">
        <f>IFERROR(__xludf.DUMMYFUNCTION("if(REGEXMATCH(join("", "",$F247:$G247),R$1)=TRUE,""✓"",""✗"")"),"✗")</f>
        <v>✗</v>
      </c>
      <c r="S247" s="23" t="str">
        <f>IFERROR(__xludf.DUMMYFUNCTION("if(REGEXMATCH(join("", "",$F247:$G247),S$1)=TRUE,""✓"",""✗"")"),"✗")</f>
        <v>✗</v>
      </c>
      <c r="T247" s="23" t="str">
        <f>IFERROR(__xludf.DUMMYFUNCTION("if(REGEXMATCH(join("", "",$F247:$G247),T$1)=TRUE,""✓"",""✗"")"),"✗")</f>
        <v>✗</v>
      </c>
      <c r="U247" s="33"/>
      <c r="V247" s="33"/>
      <c r="W247" s="33"/>
      <c r="X247" s="33"/>
      <c r="Y247" s="33"/>
      <c r="Z247" s="33"/>
      <c r="AA247" s="33"/>
      <c r="AB247" s="33"/>
      <c r="AC247" s="33"/>
    </row>
    <row r="248" hidden="1">
      <c r="A248" s="17" t="s">
        <v>302</v>
      </c>
      <c r="B248" s="33"/>
      <c r="C248" s="33"/>
      <c r="D248" s="33"/>
      <c r="E248" s="33"/>
      <c r="F248" s="33"/>
      <c r="G248" s="33"/>
      <c r="H248" s="23" t="str">
        <f>IFERROR(__xludf.DUMMYFUNCTION("if(REGEXMATCH(join("", "",$F248:$G248),H$1)=TRUE,""✓"",""✗"")"),"✗")</f>
        <v>✗</v>
      </c>
      <c r="I248" s="23" t="str">
        <f>IFERROR(__xludf.DUMMYFUNCTION("if(REGEXMATCH(join("", "",$F248:$G248),I$1)=TRUE,""✓"",""✗"")"),"✗")</f>
        <v>✗</v>
      </c>
      <c r="J248" s="23" t="str">
        <f>IFERROR(__xludf.DUMMYFUNCTION("if(REGEXMATCH(join("", "",$F248:$G248),J$1)=TRUE,""✓"",""✗"")"),"✗")</f>
        <v>✗</v>
      </c>
      <c r="K248" s="23" t="str">
        <f>IFERROR(__xludf.DUMMYFUNCTION("if(REGEXMATCH(join("", "",$F248:$G248),K$1)=TRUE,""✓"",""✗"")"),"✗")</f>
        <v>✗</v>
      </c>
      <c r="L248" s="23" t="str">
        <f>IFERROR(__xludf.DUMMYFUNCTION("if(REGEXMATCH(join("", "",$F248:$G248),L$1)=TRUE,""✓"",""✗"")"),"✗")</f>
        <v>✗</v>
      </c>
      <c r="M248" s="23" t="str">
        <f>IFERROR(__xludf.DUMMYFUNCTION("if(REGEXMATCH(join("", "",$F248:$G248),M$1)=TRUE,""✓"",""✗"")"),"✗")</f>
        <v>✗</v>
      </c>
      <c r="N248" s="23" t="str">
        <f>IFERROR(__xludf.DUMMYFUNCTION("if(REGEXMATCH(join("", "",$F248:$G248),N$1)=TRUE,""✓"",""✗"")"),"✗")</f>
        <v>✗</v>
      </c>
      <c r="O248" s="23" t="str">
        <f>IFERROR(__xludf.DUMMYFUNCTION("if(REGEXMATCH(join("", "",$F248:$G248),O$1)=TRUE,""✓"",""✗"")"),"✗")</f>
        <v>✗</v>
      </c>
      <c r="P248" s="23" t="str">
        <f>IFERROR(__xludf.DUMMYFUNCTION("if(REGEXMATCH(join("", "",$F248:$G248),P$1)=TRUE,""✓"",""✗"")"),"✗")</f>
        <v>✗</v>
      </c>
      <c r="Q248" s="23" t="str">
        <f>IFERROR(__xludf.DUMMYFUNCTION("if(REGEXMATCH(join("", "",$F248:$G248),Q$1)=TRUE,""✓"",""✗"")"),"✗")</f>
        <v>✗</v>
      </c>
      <c r="R248" s="23" t="str">
        <f>IFERROR(__xludf.DUMMYFUNCTION("if(REGEXMATCH(join("", "",$F248:$G248),R$1)=TRUE,""✓"",""✗"")"),"✗")</f>
        <v>✗</v>
      </c>
      <c r="S248" s="23" t="str">
        <f>IFERROR(__xludf.DUMMYFUNCTION("if(REGEXMATCH(join("", "",$F248:$G248),S$1)=TRUE,""✓"",""✗"")"),"✗")</f>
        <v>✗</v>
      </c>
      <c r="T248" s="23" t="str">
        <f>IFERROR(__xludf.DUMMYFUNCTION("if(REGEXMATCH(join("", "",$F248:$G248),T$1)=TRUE,""✓"",""✗"")"),"✗")</f>
        <v>✗</v>
      </c>
      <c r="U248" s="33"/>
      <c r="V248" s="33"/>
      <c r="W248" s="33"/>
      <c r="X248" s="33"/>
      <c r="Y248" s="33"/>
      <c r="Z248" s="33"/>
      <c r="AA248" s="33"/>
      <c r="AB248" s="33"/>
      <c r="AC248" s="33"/>
    </row>
    <row r="249" hidden="1">
      <c r="A249" s="17" t="s">
        <v>302</v>
      </c>
      <c r="B249" s="33"/>
      <c r="C249" s="33"/>
      <c r="D249" s="33"/>
      <c r="E249" s="33"/>
      <c r="F249" s="33"/>
      <c r="G249" s="33"/>
      <c r="H249" s="23" t="str">
        <f>IFERROR(__xludf.DUMMYFUNCTION("if(REGEXMATCH(join("", "",$F249:$G249),H$1)=TRUE,""✓"",""✗"")"),"✗")</f>
        <v>✗</v>
      </c>
      <c r="I249" s="23" t="str">
        <f>IFERROR(__xludf.DUMMYFUNCTION("if(REGEXMATCH(join("", "",$F249:$G249),I$1)=TRUE,""✓"",""✗"")"),"✗")</f>
        <v>✗</v>
      </c>
      <c r="J249" s="23" t="str">
        <f>IFERROR(__xludf.DUMMYFUNCTION("if(REGEXMATCH(join("", "",$F249:$G249),J$1)=TRUE,""✓"",""✗"")"),"✗")</f>
        <v>✗</v>
      </c>
      <c r="K249" s="23" t="str">
        <f>IFERROR(__xludf.DUMMYFUNCTION("if(REGEXMATCH(join("", "",$F249:$G249),K$1)=TRUE,""✓"",""✗"")"),"✗")</f>
        <v>✗</v>
      </c>
      <c r="L249" s="23" t="str">
        <f>IFERROR(__xludf.DUMMYFUNCTION("if(REGEXMATCH(join("", "",$F249:$G249),L$1)=TRUE,""✓"",""✗"")"),"✗")</f>
        <v>✗</v>
      </c>
      <c r="M249" s="23" t="str">
        <f>IFERROR(__xludf.DUMMYFUNCTION("if(REGEXMATCH(join("", "",$F249:$G249),M$1)=TRUE,""✓"",""✗"")"),"✗")</f>
        <v>✗</v>
      </c>
      <c r="N249" s="23" t="str">
        <f>IFERROR(__xludf.DUMMYFUNCTION("if(REGEXMATCH(join("", "",$F249:$G249),N$1)=TRUE,""✓"",""✗"")"),"✗")</f>
        <v>✗</v>
      </c>
      <c r="O249" s="23" t="str">
        <f>IFERROR(__xludf.DUMMYFUNCTION("if(REGEXMATCH(join("", "",$F249:$G249),O$1)=TRUE,""✓"",""✗"")"),"✗")</f>
        <v>✗</v>
      </c>
      <c r="P249" s="23" t="str">
        <f>IFERROR(__xludf.DUMMYFUNCTION("if(REGEXMATCH(join("", "",$F249:$G249),P$1)=TRUE,""✓"",""✗"")"),"✗")</f>
        <v>✗</v>
      </c>
      <c r="Q249" s="23" t="str">
        <f>IFERROR(__xludf.DUMMYFUNCTION("if(REGEXMATCH(join("", "",$F249:$G249),Q$1)=TRUE,""✓"",""✗"")"),"✗")</f>
        <v>✗</v>
      </c>
      <c r="R249" s="23" t="str">
        <f>IFERROR(__xludf.DUMMYFUNCTION("if(REGEXMATCH(join("", "",$F249:$G249),R$1)=TRUE,""✓"",""✗"")"),"✗")</f>
        <v>✗</v>
      </c>
      <c r="S249" s="23" t="str">
        <f>IFERROR(__xludf.DUMMYFUNCTION("if(REGEXMATCH(join("", "",$F249:$G249),S$1)=TRUE,""✓"",""✗"")"),"✗")</f>
        <v>✗</v>
      </c>
      <c r="T249" s="23" t="str">
        <f>IFERROR(__xludf.DUMMYFUNCTION("if(REGEXMATCH(join("", "",$F249:$G249),T$1)=TRUE,""✓"",""✗"")"),"✗")</f>
        <v>✗</v>
      </c>
      <c r="U249" s="33"/>
      <c r="V249" s="33"/>
      <c r="W249" s="33"/>
      <c r="X249" s="33"/>
      <c r="Y249" s="33"/>
      <c r="Z249" s="33"/>
      <c r="AA249" s="33"/>
      <c r="AB249" s="33"/>
      <c r="AC249" s="33"/>
    </row>
    <row r="250" hidden="1">
      <c r="A250" s="17" t="s">
        <v>302</v>
      </c>
      <c r="B250" s="33"/>
      <c r="C250" s="33"/>
      <c r="D250" s="33"/>
      <c r="E250" s="33"/>
      <c r="F250" s="33"/>
      <c r="G250" s="33"/>
      <c r="H250" s="23" t="str">
        <f>IFERROR(__xludf.DUMMYFUNCTION("if(REGEXMATCH(join("", "",$F250:$G250),H$1)=TRUE,""✓"",""✗"")"),"✗")</f>
        <v>✗</v>
      </c>
      <c r="I250" s="23" t="str">
        <f>IFERROR(__xludf.DUMMYFUNCTION("if(REGEXMATCH(join("", "",$F250:$G250),I$1)=TRUE,""✓"",""✗"")"),"✗")</f>
        <v>✗</v>
      </c>
      <c r="J250" s="23" t="str">
        <f>IFERROR(__xludf.DUMMYFUNCTION("if(REGEXMATCH(join("", "",$F250:$G250),J$1)=TRUE,""✓"",""✗"")"),"✗")</f>
        <v>✗</v>
      </c>
      <c r="K250" s="23" t="str">
        <f>IFERROR(__xludf.DUMMYFUNCTION("if(REGEXMATCH(join("", "",$F250:$G250),K$1)=TRUE,""✓"",""✗"")"),"✗")</f>
        <v>✗</v>
      </c>
      <c r="L250" s="23" t="str">
        <f>IFERROR(__xludf.DUMMYFUNCTION("if(REGEXMATCH(join("", "",$F250:$G250),L$1)=TRUE,""✓"",""✗"")"),"✗")</f>
        <v>✗</v>
      </c>
      <c r="M250" s="23" t="str">
        <f>IFERROR(__xludf.DUMMYFUNCTION("if(REGEXMATCH(join("", "",$F250:$G250),M$1)=TRUE,""✓"",""✗"")"),"✗")</f>
        <v>✗</v>
      </c>
      <c r="N250" s="23" t="str">
        <f>IFERROR(__xludf.DUMMYFUNCTION("if(REGEXMATCH(join("", "",$F250:$G250),N$1)=TRUE,""✓"",""✗"")"),"✗")</f>
        <v>✗</v>
      </c>
      <c r="O250" s="23" t="str">
        <f>IFERROR(__xludf.DUMMYFUNCTION("if(REGEXMATCH(join("", "",$F250:$G250),O$1)=TRUE,""✓"",""✗"")"),"✗")</f>
        <v>✗</v>
      </c>
      <c r="P250" s="23" t="str">
        <f>IFERROR(__xludf.DUMMYFUNCTION("if(REGEXMATCH(join("", "",$F250:$G250),P$1)=TRUE,""✓"",""✗"")"),"✗")</f>
        <v>✗</v>
      </c>
      <c r="Q250" s="23" t="str">
        <f>IFERROR(__xludf.DUMMYFUNCTION("if(REGEXMATCH(join("", "",$F250:$G250),Q$1)=TRUE,""✓"",""✗"")"),"✗")</f>
        <v>✗</v>
      </c>
      <c r="R250" s="23" t="str">
        <f>IFERROR(__xludf.DUMMYFUNCTION("if(REGEXMATCH(join("", "",$F250:$G250),R$1)=TRUE,""✓"",""✗"")"),"✗")</f>
        <v>✗</v>
      </c>
      <c r="S250" s="23" t="str">
        <f>IFERROR(__xludf.DUMMYFUNCTION("if(REGEXMATCH(join("", "",$F250:$G250),S$1)=TRUE,""✓"",""✗"")"),"✗")</f>
        <v>✗</v>
      </c>
      <c r="T250" s="23" t="str">
        <f>IFERROR(__xludf.DUMMYFUNCTION("if(REGEXMATCH(join("", "",$F250:$G250),T$1)=TRUE,""✓"",""✗"")"),"✗")</f>
        <v>✗</v>
      </c>
      <c r="U250" s="33"/>
      <c r="V250" s="33"/>
      <c r="W250" s="33"/>
      <c r="X250" s="33"/>
      <c r="Y250" s="33"/>
      <c r="Z250" s="33"/>
      <c r="AA250" s="33"/>
      <c r="AB250" s="33"/>
      <c r="AC250" s="33"/>
    </row>
    <row r="251" hidden="1">
      <c r="A251" s="17" t="s">
        <v>302</v>
      </c>
      <c r="B251" s="33"/>
      <c r="C251" s="33"/>
      <c r="D251" s="33"/>
      <c r="E251" s="33"/>
      <c r="F251" s="33"/>
      <c r="G251" s="33"/>
      <c r="H251" s="23" t="str">
        <f>IFERROR(__xludf.DUMMYFUNCTION("if(REGEXMATCH(join("", "",$F251:$G251),H$1)=TRUE,""✓"",""✗"")"),"✗")</f>
        <v>✗</v>
      </c>
      <c r="I251" s="23" t="str">
        <f>IFERROR(__xludf.DUMMYFUNCTION("if(REGEXMATCH(join("", "",$F251:$G251),I$1)=TRUE,""✓"",""✗"")"),"✗")</f>
        <v>✗</v>
      </c>
      <c r="J251" s="23" t="str">
        <f>IFERROR(__xludf.DUMMYFUNCTION("if(REGEXMATCH(join("", "",$F251:$G251),J$1)=TRUE,""✓"",""✗"")"),"✗")</f>
        <v>✗</v>
      </c>
      <c r="K251" s="23" t="str">
        <f>IFERROR(__xludf.DUMMYFUNCTION("if(REGEXMATCH(join("", "",$F251:$G251),K$1)=TRUE,""✓"",""✗"")"),"✗")</f>
        <v>✗</v>
      </c>
      <c r="L251" s="23" t="str">
        <f>IFERROR(__xludf.DUMMYFUNCTION("if(REGEXMATCH(join("", "",$F251:$G251),L$1)=TRUE,""✓"",""✗"")"),"✗")</f>
        <v>✗</v>
      </c>
      <c r="M251" s="23" t="str">
        <f>IFERROR(__xludf.DUMMYFUNCTION("if(REGEXMATCH(join("", "",$F251:$G251),M$1)=TRUE,""✓"",""✗"")"),"✗")</f>
        <v>✗</v>
      </c>
      <c r="N251" s="23" t="str">
        <f>IFERROR(__xludf.DUMMYFUNCTION("if(REGEXMATCH(join("", "",$F251:$G251),N$1)=TRUE,""✓"",""✗"")"),"✗")</f>
        <v>✗</v>
      </c>
      <c r="O251" s="23" t="str">
        <f>IFERROR(__xludf.DUMMYFUNCTION("if(REGEXMATCH(join("", "",$F251:$G251),O$1)=TRUE,""✓"",""✗"")"),"✗")</f>
        <v>✗</v>
      </c>
      <c r="P251" s="23" t="str">
        <f>IFERROR(__xludf.DUMMYFUNCTION("if(REGEXMATCH(join("", "",$F251:$G251),P$1)=TRUE,""✓"",""✗"")"),"✗")</f>
        <v>✗</v>
      </c>
      <c r="Q251" s="23" t="str">
        <f>IFERROR(__xludf.DUMMYFUNCTION("if(REGEXMATCH(join("", "",$F251:$G251),Q$1)=TRUE,""✓"",""✗"")"),"✗")</f>
        <v>✗</v>
      </c>
      <c r="R251" s="23" t="str">
        <f>IFERROR(__xludf.DUMMYFUNCTION("if(REGEXMATCH(join("", "",$F251:$G251),R$1)=TRUE,""✓"",""✗"")"),"✗")</f>
        <v>✗</v>
      </c>
      <c r="S251" s="23" t="str">
        <f>IFERROR(__xludf.DUMMYFUNCTION("if(REGEXMATCH(join("", "",$F251:$G251),S$1)=TRUE,""✓"",""✗"")"),"✗")</f>
        <v>✗</v>
      </c>
      <c r="T251" s="23" t="str">
        <f>IFERROR(__xludf.DUMMYFUNCTION("if(REGEXMATCH(join("", "",$F251:$G251),T$1)=TRUE,""✓"",""✗"")"),"✗")</f>
        <v>✗</v>
      </c>
      <c r="U251" s="33"/>
      <c r="V251" s="33"/>
      <c r="W251" s="33"/>
      <c r="X251" s="33"/>
      <c r="Y251" s="33"/>
      <c r="Z251" s="33"/>
      <c r="AA251" s="33"/>
      <c r="AB251" s="33"/>
      <c r="AC251" s="33"/>
    </row>
    <row r="252" hidden="1">
      <c r="A252" s="17" t="s">
        <v>302</v>
      </c>
      <c r="B252" s="33"/>
      <c r="C252" s="33"/>
      <c r="D252" s="33"/>
      <c r="E252" s="33"/>
      <c r="F252" s="33"/>
      <c r="G252" s="33"/>
      <c r="H252" s="23" t="str">
        <f>IFERROR(__xludf.DUMMYFUNCTION("if(REGEXMATCH(join("", "",$F252:$G252),H$1)=TRUE,""✓"",""✗"")"),"✗")</f>
        <v>✗</v>
      </c>
      <c r="I252" s="23" t="str">
        <f>IFERROR(__xludf.DUMMYFUNCTION("if(REGEXMATCH(join("", "",$F252:$G252),I$1)=TRUE,""✓"",""✗"")"),"✗")</f>
        <v>✗</v>
      </c>
      <c r="J252" s="23" t="str">
        <f>IFERROR(__xludf.DUMMYFUNCTION("if(REGEXMATCH(join("", "",$F252:$G252),J$1)=TRUE,""✓"",""✗"")"),"✗")</f>
        <v>✗</v>
      </c>
      <c r="K252" s="23" t="str">
        <f>IFERROR(__xludf.DUMMYFUNCTION("if(REGEXMATCH(join("", "",$F252:$G252),K$1)=TRUE,""✓"",""✗"")"),"✗")</f>
        <v>✗</v>
      </c>
      <c r="L252" s="23" t="str">
        <f>IFERROR(__xludf.DUMMYFUNCTION("if(REGEXMATCH(join("", "",$F252:$G252),L$1)=TRUE,""✓"",""✗"")"),"✗")</f>
        <v>✗</v>
      </c>
      <c r="M252" s="23" t="str">
        <f>IFERROR(__xludf.DUMMYFUNCTION("if(REGEXMATCH(join("", "",$F252:$G252),M$1)=TRUE,""✓"",""✗"")"),"✗")</f>
        <v>✗</v>
      </c>
      <c r="N252" s="23" t="str">
        <f>IFERROR(__xludf.DUMMYFUNCTION("if(REGEXMATCH(join("", "",$F252:$G252),N$1)=TRUE,""✓"",""✗"")"),"✗")</f>
        <v>✗</v>
      </c>
      <c r="O252" s="23" t="str">
        <f>IFERROR(__xludf.DUMMYFUNCTION("if(REGEXMATCH(join("", "",$F252:$G252),O$1)=TRUE,""✓"",""✗"")"),"✗")</f>
        <v>✗</v>
      </c>
      <c r="P252" s="23" t="str">
        <f>IFERROR(__xludf.DUMMYFUNCTION("if(REGEXMATCH(join("", "",$F252:$G252),P$1)=TRUE,""✓"",""✗"")"),"✗")</f>
        <v>✗</v>
      </c>
      <c r="Q252" s="23" t="str">
        <f>IFERROR(__xludf.DUMMYFUNCTION("if(REGEXMATCH(join("", "",$F252:$G252),Q$1)=TRUE,""✓"",""✗"")"),"✗")</f>
        <v>✗</v>
      </c>
      <c r="R252" s="23" t="str">
        <f>IFERROR(__xludf.DUMMYFUNCTION("if(REGEXMATCH(join("", "",$F252:$G252),R$1)=TRUE,""✓"",""✗"")"),"✗")</f>
        <v>✗</v>
      </c>
      <c r="S252" s="23" t="str">
        <f>IFERROR(__xludf.DUMMYFUNCTION("if(REGEXMATCH(join("", "",$F252:$G252),S$1)=TRUE,""✓"",""✗"")"),"✗")</f>
        <v>✗</v>
      </c>
      <c r="T252" s="23" t="str">
        <f>IFERROR(__xludf.DUMMYFUNCTION("if(REGEXMATCH(join("", "",$F252:$G252),T$1)=TRUE,""✓"",""✗"")"),"✗")</f>
        <v>✗</v>
      </c>
      <c r="U252" s="33"/>
      <c r="V252" s="33"/>
      <c r="W252" s="33"/>
      <c r="X252" s="33"/>
      <c r="Y252" s="33"/>
      <c r="Z252" s="33"/>
      <c r="AA252" s="33"/>
      <c r="AB252" s="33"/>
      <c r="AC252" s="33"/>
    </row>
    <row r="253" hidden="1">
      <c r="A253" s="17" t="s">
        <v>302</v>
      </c>
      <c r="B253" s="33"/>
      <c r="C253" s="33"/>
      <c r="D253" s="33"/>
      <c r="E253" s="33"/>
      <c r="F253" s="33"/>
      <c r="G253" s="33"/>
      <c r="H253" s="23" t="str">
        <f>IFERROR(__xludf.DUMMYFUNCTION("if(REGEXMATCH(join("", "",$F253:$G253),H$1)=TRUE,""✓"",""✗"")"),"✗")</f>
        <v>✗</v>
      </c>
      <c r="I253" s="23" t="str">
        <f>IFERROR(__xludf.DUMMYFUNCTION("if(REGEXMATCH(join("", "",$F253:$G253),I$1)=TRUE,""✓"",""✗"")"),"✗")</f>
        <v>✗</v>
      </c>
      <c r="J253" s="23" t="str">
        <f>IFERROR(__xludf.DUMMYFUNCTION("if(REGEXMATCH(join("", "",$F253:$G253),J$1)=TRUE,""✓"",""✗"")"),"✗")</f>
        <v>✗</v>
      </c>
      <c r="K253" s="23" t="str">
        <f>IFERROR(__xludf.DUMMYFUNCTION("if(REGEXMATCH(join("", "",$F253:$G253),K$1)=TRUE,""✓"",""✗"")"),"✗")</f>
        <v>✗</v>
      </c>
      <c r="L253" s="23" t="str">
        <f>IFERROR(__xludf.DUMMYFUNCTION("if(REGEXMATCH(join("", "",$F253:$G253),L$1)=TRUE,""✓"",""✗"")"),"✗")</f>
        <v>✗</v>
      </c>
      <c r="M253" s="23" t="str">
        <f>IFERROR(__xludf.DUMMYFUNCTION("if(REGEXMATCH(join("", "",$F253:$G253),M$1)=TRUE,""✓"",""✗"")"),"✗")</f>
        <v>✗</v>
      </c>
      <c r="N253" s="23" t="str">
        <f>IFERROR(__xludf.DUMMYFUNCTION("if(REGEXMATCH(join("", "",$F253:$G253),N$1)=TRUE,""✓"",""✗"")"),"✗")</f>
        <v>✗</v>
      </c>
      <c r="O253" s="23" t="str">
        <f>IFERROR(__xludf.DUMMYFUNCTION("if(REGEXMATCH(join("", "",$F253:$G253),O$1)=TRUE,""✓"",""✗"")"),"✗")</f>
        <v>✗</v>
      </c>
      <c r="P253" s="23" t="str">
        <f>IFERROR(__xludf.DUMMYFUNCTION("if(REGEXMATCH(join("", "",$F253:$G253),P$1)=TRUE,""✓"",""✗"")"),"✗")</f>
        <v>✗</v>
      </c>
      <c r="Q253" s="23" t="str">
        <f>IFERROR(__xludf.DUMMYFUNCTION("if(REGEXMATCH(join("", "",$F253:$G253),Q$1)=TRUE,""✓"",""✗"")"),"✗")</f>
        <v>✗</v>
      </c>
      <c r="R253" s="23" t="str">
        <f>IFERROR(__xludf.DUMMYFUNCTION("if(REGEXMATCH(join("", "",$F253:$G253),R$1)=TRUE,""✓"",""✗"")"),"✗")</f>
        <v>✗</v>
      </c>
      <c r="S253" s="23" t="str">
        <f>IFERROR(__xludf.DUMMYFUNCTION("if(REGEXMATCH(join("", "",$F253:$G253),S$1)=TRUE,""✓"",""✗"")"),"✗")</f>
        <v>✗</v>
      </c>
      <c r="T253" s="23" t="str">
        <f>IFERROR(__xludf.DUMMYFUNCTION("if(REGEXMATCH(join("", "",$F253:$G253),T$1)=TRUE,""✓"",""✗"")"),"✗")</f>
        <v>✗</v>
      </c>
      <c r="U253" s="33"/>
      <c r="V253" s="33"/>
      <c r="W253" s="33"/>
      <c r="X253" s="33"/>
      <c r="Y253" s="33"/>
      <c r="Z253" s="33"/>
      <c r="AA253" s="33"/>
      <c r="AB253" s="33"/>
      <c r="AC253" s="33"/>
    </row>
    <row r="254" hidden="1">
      <c r="A254" s="17" t="s">
        <v>302</v>
      </c>
      <c r="B254" s="33"/>
      <c r="C254" s="33"/>
      <c r="D254" s="33"/>
      <c r="E254" s="33"/>
      <c r="F254" s="33"/>
      <c r="G254" s="33"/>
      <c r="H254" s="23" t="str">
        <f>IFERROR(__xludf.DUMMYFUNCTION("if(REGEXMATCH(join("", "",$F254:$G254),H$1)=TRUE,""✓"",""✗"")"),"✗")</f>
        <v>✗</v>
      </c>
      <c r="I254" s="23" t="str">
        <f>IFERROR(__xludf.DUMMYFUNCTION("if(REGEXMATCH(join("", "",$F254:$G254),I$1)=TRUE,""✓"",""✗"")"),"✗")</f>
        <v>✗</v>
      </c>
      <c r="J254" s="23" t="str">
        <f>IFERROR(__xludf.DUMMYFUNCTION("if(REGEXMATCH(join("", "",$F254:$G254),J$1)=TRUE,""✓"",""✗"")"),"✗")</f>
        <v>✗</v>
      </c>
      <c r="K254" s="23" t="str">
        <f>IFERROR(__xludf.DUMMYFUNCTION("if(REGEXMATCH(join("", "",$F254:$G254),K$1)=TRUE,""✓"",""✗"")"),"✗")</f>
        <v>✗</v>
      </c>
      <c r="L254" s="23" t="str">
        <f>IFERROR(__xludf.DUMMYFUNCTION("if(REGEXMATCH(join("", "",$F254:$G254),L$1)=TRUE,""✓"",""✗"")"),"✗")</f>
        <v>✗</v>
      </c>
      <c r="M254" s="23" t="str">
        <f>IFERROR(__xludf.DUMMYFUNCTION("if(REGEXMATCH(join("", "",$F254:$G254),M$1)=TRUE,""✓"",""✗"")"),"✗")</f>
        <v>✗</v>
      </c>
      <c r="N254" s="23" t="str">
        <f>IFERROR(__xludf.DUMMYFUNCTION("if(REGEXMATCH(join("", "",$F254:$G254),N$1)=TRUE,""✓"",""✗"")"),"✗")</f>
        <v>✗</v>
      </c>
      <c r="O254" s="23" t="str">
        <f>IFERROR(__xludf.DUMMYFUNCTION("if(REGEXMATCH(join("", "",$F254:$G254),O$1)=TRUE,""✓"",""✗"")"),"✗")</f>
        <v>✗</v>
      </c>
      <c r="P254" s="23" t="str">
        <f>IFERROR(__xludf.DUMMYFUNCTION("if(REGEXMATCH(join("", "",$F254:$G254),P$1)=TRUE,""✓"",""✗"")"),"✗")</f>
        <v>✗</v>
      </c>
      <c r="Q254" s="23" t="str">
        <f>IFERROR(__xludf.DUMMYFUNCTION("if(REGEXMATCH(join("", "",$F254:$G254),Q$1)=TRUE,""✓"",""✗"")"),"✗")</f>
        <v>✗</v>
      </c>
      <c r="R254" s="23" t="str">
        <f>IFERROR(__xludf.DUMMYFUNCTION("if(REGEXMATCH(join("", "",$F254:$G254),R$1)=TRUE,""✓"",""✗"")"),"✗")</f>
        <v>✗</v>
      </c>
      <c r="S254" s="23" t="str">
        <f>IFERROR(__xludf.DUMMYFUNCTION("if(REGEXMATCH(join("", "",$F254:$G254),S$1)=TRUE,""✓"",""✗"")"),"✗")</f>
        <v>✗</v>
      </c>
      <c r="T254" s="23" t="str">
        <f>IFERROR(__xludf.DUMMYFUNCTION("if(REGEXMATCH(join("", "",$F254:$G254),T$1)=TRUE,""✓"",""✗"")"),"✗")</f>
        <v>✗</v>
      </c>
      <c r="U254" s="33"/>
      <c r="V254" s="33"/>
      <c r="W254" s="33"/>
      <c r="X254" s="33"/>
      <c r="Y254" s="33"/>
      <c r="Z254" s="33"/>
      <c r="AA254" s="33"/>
      <c r="AB254" s="33"/>
      <c r="AC254" s="33"/>
    </row>
    <row r="255" hidden="1">
      <c r="A255" s="17" t="s">
        <v>302</v>
      </c>
      <c r="B255" s="33"/>
      <c r="C255" s="33"/>
      <c r="D255" s="33"/>
      <c r="E255" s="33"/>
      <c r="F255" s="33"/>
      <c r="G255" s="33"/>
      <c r="H255" s="23" t="str">
        <f>IFERROR(__xludf.DUMMYFUNCTION("if(REGEXMATCH(join("", "",$F255:$G255),H$1)=TRUE,""✓"",""✗"")"),"✗")</f>
        <v>✗</v>
      </c>
      <c r="I255" s="23" t="str">
        <f>IFERROR(__xludf.DUMMYFUNCTION("if(REGEXMATCH(join("", "",$F255:$G255),I$1)=TRUE,""✓"",""✗"")"),"✗")</f>
        <v>✗</v>
      </c>
      <c r="J255" s="23" t="str">
        <f>IFERROR(__xludf.DUMMYFUNCTION("if(REGEXMATCH(join("", "",$F255:$G255),J$1)=TRUE,""✓"",""✗"")"),"✗")</f>
        <v>✗</v>
      </c>
      <c r="K255" s="23" t="str">
        <f>IFERROR(__xludf.DUMMYFUNCTION("if(REGEXMATCH(join("", "",$F255:$G255),K$1)=TRUE,""✓"",""✗"")"),"✗")</f>
        <v>✗</v>
      </c>
      <c r="L255" s="23" t="str">
        <f>IFERROR(__xludf.DUMMYFUNCTION("if(REGEXMATCH(join("", "",$F255:$G255),L$1)=TRUE,""✓"",""✗"")"),"✗")</f>
        <v>✗</v>
      </c>
      <c r="M255" s="23" t="str">
        <f>IFERROR(__xludf.DUMMYFUNCTION("if(REGEXMATCH(join("", "",$F255:$G255),M$1)=TRUE,""✓"",""✗"")"),"✗")</f>
        <v>✗</v>
      </c>
      <c r="N255" s="23" t="str">
        <f>IFERROR(__xludf.DUMMYFUNCTION("if(REGEXMATCH(join("", "",$F255:$G255),N$1)=TRUE,""✓"",""✗"")"),"✗")</f>
        <v>✗</v>
      </c>
      <c r="O255" s="23" t="str">
        <f>IFERROR(__xludf.DUMMYFUNCTION("if(REGEXMATCH(join("", "",$F255:$G255),O$1)=TRUE,""✓"",""✗"")"),"✗")</f>
        <v>✗</v>
      </c>
      <c r="P255" s="23" t="str">
        <f>IFERROR(__xludf.DUMMYFUNCTION("if(REGEXMATCH(join("", "",$F255:$G255),P$1)=TRUE,""✓"",""✗"")"),"✗")</f>
        <v>✗</v>
      </c>
      <c r="Q255" s="23" t="str">
        <f>IFERROR(__xludf.DUMMYFUNCTION("if(REGEXMATCH(join("", "",$F255:$G255),Q$1)=TRUE,""✓"",""✗"")"),"✗")</f>
        <v>✗</v>
      </c>
      <c r="R255" s="23" t="str">
        <f>IFERROR(__xludf.DUMMYFUNCTION("if(REGEXMATCH(join("", "",$F255:$G255),R$1)=TRUE,""✓"",""✗"")"),"✗")</f>
        <v>✗</v>
      </c>
      <c r="S255" s="23" t="str">
        <f>IFERROR(__xludf.DUMMYFUNCTION("if(REGEXMATCH(join("", "",$F255:$G255),S$1)=TRUE,""✓"",""✗"")"),"✗")</f>
        <v>✗</v>
      </c>
      <c r="T255" s="23" t="str">
        <f>IFERROR(__xludf.DUMMYFUNCTION("if(REGEXMATCH(join("", "",$F255:$G255),T$1)=TRUE,""✓"",""✗"")"),"✗")</f>
        <v>✗</v>
      </c>
      <c r="U255" s="33"/>
      <c r="V255" s="33"/>
      <c r="W255" s="33"/>
      <c r="X255" s="33"/>
      <c r="Y255" s="33"/>
      <c r="Z255" s="33"/>
      <c r="AA255" s="33"/>
      <c r="AB255" s="33"/>
      <c r="AC255" s="33"/>
    </row>
    <row r="256" hidden="1">
      <c r="A256" s="17" t="s">
        <v>302</v>
      </c>
      <c r="B256" s="33"/>
      <c r="C256" s="33"/>
      <c r="D256" s="33"/>
      <c r="E256" s="33"/>
      <c r="F256" s="33"/>
      <c r="G256" s="33"/>
      <c r="H256" s="23" t="str">
        <f>IFERROR(__xludf.DUMMYFUNCTION("if(REGEXMATCH(join("", "",$F256:$G256),H$1)=TRUE,""✓"",""✗"")"),"✗")</f>
        <v>✗</v>
      </c>
      <c r="I256" s="23" t="str">
        <f>IFERROR(__xludf.DUMMYFUNCTION("if(REGEXMATCH(join("", "",$F256:$G256),I$1)=TRUE,""✓"",""✗"")"),"✗")</f>
        <v>✗</v>
      </c>
      <c r="J256" s="23" t="str">
        <f>IFERROR(__xludf.DUMMYFUNCTION("if(REGEXMATCH(join("", "",$F256:$G256),J$1)=TRUE,""✓"",""✗"")"),"✗")</f>
        <v>✗</v>
      </c>
      <c r="K256" s="23" t="str">
        <f>IFERROR(__xludf.DUMMYFUNCTION("if(REGEXMATCH(join("", "",$F256:$G256),K$1)=TRUE,""✓"",""✗"")"),"✗")</f>
        <v>✗</v>
      </c>
      <c r="L256" s="23" t="str">
        <f>IFERROR(__xludf.DUMMYFUNCTION("if(REGEXMATCH(join("", "",$F256:$G256),L$1)=TRUE,""✓"",""✗"")"),"✗")</f>
        <v>✗</v>
      </c>
      <c r="M256" s="23" t="str">
        <f>IFERROR(__xludf.DUMMYFUNCTION("if(REGEXMATCH(join("", "",$F256:$G256),M$1)=TRUE,""✓"",""✗"")"),"✗")</f>
        <v>✗</v>
      </c>
      <c r="N256" s="23" t="str">
        <f>IFERROR(__xludf.DUMMYFUNCTION("if(REGEXMATCH(join("", "",$F256:$G256),N$1)=TRUE,""✓"",""✗"")"),"✗")</f>
        <v>✗</v>
      </c>
      <c r="O256" s="23" t="str">
        <f>IFERROR(__xludf.DUMMYFUNCTION("if(REGEXMATCH(join("", "",$F256:$G256),O$1)=TRUE,""✓"",""✗"")"),"✗")</f>
        <v>✗</v>
      </c>
      <c r="P256" s="23" t="str">
        <f>IFERROR(__xludf.DUMMYFUNCTION("if(REGEXMATCH(join("", "",$F256:$G256),P$1)=TRUE,""✓"",""✗"")"),"✗")</f>
        <v>✗</v>
      </c>
      <c r="Q256" s="23" t="str">
        <f>IFERROR(__xludf.DUMMYFUNCTION("if(REGEXMATCH(join("", "",$F256:$G256),Q$1)=TRUE,""✓"",""✗"")"),"✗")</f>
        <v>✗</v>
      </c>
      <c r="R256" s="23" t="str">
        <f>IFERROR(__xludf.DUMMYFUNCTION("if(REGEXMATCH(join("", "",$F256:$G256),R$1)=TRUE,""✓"",""✗"")"),"✗")</f>
        <v>✗</v>
      </c>
      <c r="S256" s="23" t="str">
        <f>IFERROR(__xludf.DUMMYFUNCTION("if(REGEXMATCH(join("", "",$F256:$G256),S$1)=TRUE,""✓"",""✗"")"),"✗")</f>
        <v>✗</v>
      </c>
      <c r="T256" s="23" t="str">
        <f>IFERROR(__xludf.DUMMYFUNCTION("if(REGEXMATCH(join("", "",$F256:$G256),T$1)=TRUE,""✓"",""✗"")"),"✗")</f>
        <v>✗</v>
      </c>
      <c r="U256" s="33"/>
      <c r="V256" s="33"/>
      <c r="W256" s="33"/>
      <c r="X256" s="33"/>
      <c r="Y256" s="33"/>
      <c r="Z256" s="33"/>
      <c r="AA256" s="33"/>
      <c r="AB256" s="33"/>
      <c r="AC256" s="33"/>
    </row>
    <row r="257" hidden="1">
      <c r="A257" s="17" t="s">
        <v>302</v>
      </c>
      <c r="B257" s="33"/>
      <c r="C257" s="33"/>
      <c r="D257" s="33"/>
      <c r="E257" s="33"/>
      <c r="F257" s="33"/>
      <c r="G257" s="33"/>
      <c r="H257" s="23" t="str">
        <f>IFERROR(__xludf.DUMMYFUNCTION("if(REGEXMATCH(join("", "",$F257:$G257),H$1)=TRUE,""✓"",""✗"")"),"✗")</f>
        <v>✗</v>
      </c>
      <c r="I257" s="23" t="str">
        <f>IFERROR(__xludf.DUMMYFUNCTION("if(REGEXMATCH(join("", "",$F257:$G257),I$1)=TRUE,""✓"",""✗"")"),"✗")</f>
        <v>✗</v>
      </c>
      <c r="J257" s="23" t="str">
        <f>IFERROR(__xludf.DUMMYFUNCTION("if(REGEXMATCH(join("", "",$F257:$G257),J$1)=TRUE,""✓"",""✗"")"),"✗")</f>
        <v>✗</v>
      </c>
      <c r="K257" s="23" t="str">
        <f>IFERROR(__xludf.DUMMYFUNCTION("if(REGEXMATCH(join("", "",$F257:$G257),K$1)=TRUE,""✓"",""✗"")"),"✗")</f>
        <v>✗</v>
      </c>
      <c r="L257" s="23" t="str">
        <f>IFERROR(__xludf.DUMMYFUNCTION("if(REGEXMATCH(join("", "",$F257:$G257),L$1)=TRUE,""✓"",""✗"")"),"✗")</f>
        <v>✗</v>
      </c>
      <c r="M257" s="23" t="str">
        <f>IFERROR(__xludf.DUMMYFUNCTION("if(REGEXMATCH(join("", "",$F257:$G257),M$1)=TRUE,""✓"",""✗"")"),"✗")</f>
        <v>✗</v>
      </c>
      <c r="N257" s="23" t="str">
        <f>IFERROR(__xludf.DUMMYFUNCTION("if(REGEXMATCH(join("", "",$F257:$G257),N$1)=TRUE,""✓"",""✗"")"),"✗")</f>
        <v>✗</v>
      </c>
      <c r="O257" s="23" t="str">
        <f>IFERROR(__xludf.DUMMYFUNCTION("if(REGEXMATCH(join("", "",$F257:$G257),O$1)=TRUE,""✓"",""✗"")"),"✗")</f>
        <v>✗</v>
      </c>
      <c r="P257" s="23" t="str">
        <f>IFERROR(__xludf.DUMMYFUNCTION("if(REGEXMATCH(join("", "",$F257:$G257),P$1)=TRUE,""✓"",""✗"")"),"✗")</f>
        <v>✗</v>
      </c>
      <c r="Q257" s="23" t="str">
        <f>IFERROR(__xludf.DUMMYFUNCTION("if(REGEXMATCH(join("", "",$F257:$G257),Q$1)=TRUE,""✓"",""✗"")"),"✗")</f>
        <v>✗</v>
      </c>
      <c r="R257" s="23" t="str">
        <f>IFERROR(__xludf.DUMMYFUNCTION("if(REGEXMATCH(join("", "",$F257:$G257),R$1)=TRUE,""✓"",""✗"")"),"✗")</f>
        <v>✗</v>
      </c>
      <c r="S257" s="23" t="str">
        <f>IFERROR(__xludf.DUMMYFUNCTION("if(REGEXMATCH(join("", "",$F257:$G257),S$1)=TRUE,""✓"",""✗"")"),"✗")</f>
        <v>✗</v>
      </c>
      <c r="T257" s="23" t="str">
        <f>IFERROR(__xludf.DUMMYFUNCTION("if(REGEXMATCH(join("", "",$F257:$G257),T$1)=TRUE,""✓"",""✗"")"),"✗")</f>
        <v>✗</v>
      </c>
      <c r="U257" s="33"/>
      <c r="V257" s="33"/>
      <c r="W257" s="33"/>
      <c r="X257" s="33"/>
      <c r="Y257" s="33"/>
      <c r="Z257" s="33"/>
      <c r="AA257" s="33"/>
      <c r="AB257" s="33"/>
      <c r="AC257" s="33"/>
    </row>
    <row r="258" hidden="1">
      <c r="A258" s="17" t="s">
        <v>302</v>
      </c>
      <c r="B258" s="33"/>
      <c r="C258" s="33"/>
      <c r="D258" s="33"/>
      <c r="E258" s="33"/>
      <c r="F258" s="33"/>
      <c r="G258" s="33"/>
      <c r="H258" s="23" t="str">
        <f>IFERROR(__xludf.DUMMYFUNCTION("if(REGEXMATCH(join("", "",$F258:$G258),H$1)=TRUE,""✓"",""✗"")"),"✗")</f>
        <v>✗</v>
      </c>
      <c r="I258" s="23" t="str">
        <f>IFERROR(__xludf.DUMMYFUNCTION("if(REGEXMATCH(join("", "",$F258:$G258),I$1)=TRUE,""✓"",""✗"")"),"✗")</f>
        <v>✗</v>
      </c>
      <c r="J258" s="23" t="str">
        <f>IFERROR(__xludf.DUMMYFUNCTION("if(REGEXMATCH(join("", "",$F258:$G258),J$1)=TRUE,""✓"",""✗"")"),"✗")</f>
        <v>✗</v>
      </c>
      <c r="K258" s="23" t="str">
        <f>IFERROR(__xludf.DUMMYFUNCTION("if(REGEXMATCH(join("", "",$F258:$G258),K$1)=TRUE,""✓"",""✗"")"),"✗")</f>
        <v>✗</v>
      </c>
      <c r="L258" s="23" t="str">
        <f>IFERROR(__xludf.DUMMYFUNCTION("if(REGEXMATCH(join("", "",$F258:$G258),L$1)=TRUE,""✓"",""✗"")"),"✗")</f>
        <v>✗</v>
      </c>
      <c r="M258" s="23" t="str">
        <f>IFERROR(__xludf.DUMMYFUNCTION("if(REGEXMATCH(join("", "",$F258:$G258),M$1)=TRUE,""✓"",""✗"")"),"✗")</f>
        <v>✗</v>
      </c>
      <c r="N258" s="23" t="str">
        <f>IFERROR(__xludf.DUMMYFUNCTION("if(REGEXMATCH(join("", "",$F258:$G258),N$1)=TRUE,""✓"",""✗"")"),"✗")</f>
        <v>✗</v>
      </c>
      <c r="O258" s="23" t="str">
        <f>IFERROR(__xludf.DUMMYFUNCTION("if(REGEXMATCH(join("", "",$F258:$G258),O$1)=TRUE,""✓"",""✗"")"),"✗")</f>
        <v>✗</v>
      </c>
      <c r="P258" s="23" t="str">
        <f>IFERROR(__xludf.DUMMYFUNCTION("if(REGEXMATCH(join("", "",$F258:$G258),P$1)=TRUE,""✓"",""✗"")"),"✗")</f>
        <v>✗</v>
      </c>
      <c r="Q258" s="23" t="str">
        <f>IFERROR(__xludf.DUMMYFUNCTION("if(REGEXMATCH(join("", "",$F258:$G258),Q$1)=TRUE,""✓"",""✗"")"),"✗")</f>
        <v>✗</v>
      </c>
      <c r="R258" s="23" t="str">
        <f>IFERROR(__xludf.DUMMYFUNCTION("if(REGEXMATCH(join("", "",$F258:$G258),R$1)=TRUE,""✓"",""✗"")"),"✗")</f>
        <v>✗</v>
      </c>
      <c r="S258" s="23" t="str">
        <f>IFERROR(__xludf.DUMMYFUNCTION("if(REGEXMATCH(join("", "",$F258:$G258),S$1)=TRUE,""✓"",""✗"")"),"✗")</f>
        <v>✗</v>
      </c>
      <c r="T258" s="23" t="str">
        <f>IFERROR(__xludf.DUMMYFUNCTION("if(REGEXMATCH(join("", "",$F258:$G258),T$1)=TRUE,""✓"",""✗"")"),"✗")</f>
        <v>✗</v>
      </c>
      <c r="U258" s="33"/>
      <c r="V258" s="33"/>
      <c r="W258" s="33"/>
      <c r="X258" s="33"/>
      <c r="Y258" s="33"/>
      <c r="Z258" s="33"/>
      <c r="AA258" s="33"/>
      <c r="AB258" s="33"/>
      <c r="AC258" s="33"/>
    </row>
    <row r="259" hidden="1">
      <c r="A259" s="17" t="s">
        <v>302</v>
      </c>
      <c r="B259" s="33"/>
      <c r="C259" s="33"/>
      <c r="D259" s="33"/>
      <c r="E259" s="33"/>
      <c r="F259" s="33"/>
      <c r="G259" s="33"/>
      <c r="H259" s="23" t="str">
        <f>IFERROR(__xludf.DUMMYFUNCTION("if(REGEXMATCH(join("", "",$F259:$G259),H$1)=TRUE,""✓"",""✗"")"),"✗")</f>
        <v>✗</v>
      </c>
      <c r="I259" s="23" t="str">
        <f>IFERROR(__xludf.DUMMYFUNCTION("if(REGEXMATCH(join("", "",$F259:$G259),I$1)=TRUE,""✓"",""✗"")"),"✗")</f>
        <v>✗</v>
      </c>
      <c r="J259" s="23" t="str">
        <f>IFERROR(__xludf.DUMMYFUNCTION("if(REGEXMATCH(join("", "",$F259:$G259),J$1)=TRUE,""✓"",""✗"")"),"✗")</f>
        <v>✗</v>
      </c>
      <c r="K259" s="23" t="str">
        <f>IFERROR(__xludf.DUMMYFUNCTION("if(REGEXMATCH(join("", "",$F259:$G259),K$1)=TRUE,""✓"",""✗"")"),"✗")</f>
        <v>✗</v>
      </c>
      <c r="L259" s="23" t="str">
        <f>IFERROR(__xludf.DUMMYFUNCTION("if(REGEXMATCH(join("", "",$F259:$G259),L$1)=TRUE,""✓"",""✗"")"),"✗")</f>
        <v>✗</v>
      </c>
      <c r="M259" s="23" t="str">
        <f>IFERROR(__xludf.DUMMYFUNCTION("if(REGEXMATCH(join("", "",$F259:$G259),M$1)=TRUE,""✓"",""✗"")"),"✗")</f>
        <v>✗</v>
      </c>
      <c r="N259" s="23" t="str">
        <f>IFERROR(__xludf.DUMMYFUNCTION("if(REGEXMATCH(join("", "",$F259:$G259),N$1)=TRUE,""✓"",""✗"")"),"✗")</f>
        <v>✗</v>
      </c>
      <c r="O259" s="23" t="str">
        <f>IFERROR(__xludf.DUMMYFUNCTION("if(REGEXMATCH(join("", "",$F259:$G259),O$1)=TRUE,""✓"",""✗"")"),"✗")</f>
        <v>✗</v>
      </c>
      <c r="P259" s="23" t="str">
        <f>IFERROR(__xludf.DUMMYFUNCTION("if(REGEXMATCH(join("", "",$F259:$G259),P$1)=TRUE,""✓"",""✗"")"),"✗")</f>
        <v>✗</v>
      </c>
      <c r="Q259" s="23" t="str">
        <f>IFERROR(__xludf.DUMMYFUNCTION("if(REGEXMATCH(join("", "",$F259:$G259),Q$1)=TRUE,""✓"",""✗"")"),"✗")</f>
        <v>✗</v>
      </c>
      <c r="R259" s="23" t="str">
        <f>IFERROR(__xludf.DUMMYFUNCTION("if(REGEXMATCH(join("", "",$F259:$G259),R$1)=TRUE,""✓"",""✗"")"),"✗")</f>
        <v>✗</v>
      </c>
      <c r="S259" s="23" t="str">
        <f>IFERROR(__xludf.DUMMYFUNCTION("if(REGEXMATCH(join("", "",$F259:$G259),S$1)=TRUE,""✓"",""✗"")"),"✗")</f>
        <v>✗</v>
      </c>
      <c r="T259" s="23" t="str">
        <f>IFERROR(__xludf.DUMMYFUNCTION("if(REGEXMATCH(join("", "",$F259:$G259),T$1)=TRUE,""✓"",""✗"")"),"✗")</f>
        <v>✗</v>
      </c>
      <c r="U259" s="33"/>
      <c r="V259" s="33"/>
      <c r="W259" s="33"/>
      <c r="X259" s="33"/>
      <c r="Y259" s="33"/>
      <c r="Z259" s="33"/>
      <c r="AA259" s="33"/>
      <c r="AB259" s="33"/>
      <c r="AC259" s="33"/>
    </row>
    <row r="260" hidden="1">
      <c r="A260" s="17" t="s">
        <v>302</v>
      </c>
      <c r="B260" s="33"/>
      <c r="C260" s="33"/>
      <c r="D260" s="33"/>
      <c r="E260" s="33"/>
      <c r="F260" s="33"/>
      <c r="G260" s="33"/>
      <c r="H260" s="23" t="str">
        <f>IFERROR(__xludf.DUMMYFUNCTION("if(REGEXMATCH(join("", "",$F260:$G260),H$1)=TRUE,""✓"",""✗"")"),"✗")</f>
        <v>✗</v>
      </c>
      <c r="I260" s="23" t="str">
        <f>IFERROR(__xludf.DUMMYFUNCTION("if(REGEXMATCH(join("", "",$F260:$G260),I$1)=TRUE,""✓"",""✗"")"),"✗")</f>
        <v>✗</v>
      </c>
      <c r="J260" s="23" t="str">
        <f>IFERROR(__xludf.DUMMYFUNCTION("if(REGEXMATCH(join("", "",$F260:$G260),J$1)=TRUE,""✓"",""✗"")"),"✗")</f>
        <v>✗</v>
      </c>
      <c r="K260" s="23" t="str">
        <f>IFERROR(__xludf.DUMMYFUNCTION("if(REGEXMATCH(join("", "",$F260:$G260),K$1)=TRUE,""✓"",""✗"")"),"✗")</f>
        <v>✗</v>
      </c>
      <c r="L260" s="23" t="str">
        <f>IFERROR(__xludf.DUMMYFUNCTION("if(REGEXMATCH(join("", "",$F260:$G260),L$1)=TRUE,""✓"",""✗"")"),"✗")</f>
        <v>✗</v>
      </c>
      <c r="M260" s="23" t="str">
        <f>IFERROR(__xludf.DUMMYFUNCTION("if(REGEXMATCH(join("", "",$F260:$G260),M$1)=TRUE,""✓"",""✗"")"),"✗")</f>
        <v>✗</v>
      </c>
      <c r="N260" s="23" t="str">
        <f>IFERROR(__xludf.DUMMYFUNCTION("if(REGEXMATCH(join("", "",$F260:$G260),N$1)=TRUE,""✓"",""✗"")"),"✗")</f>
        <v>✗</v>
      </c>
      <c r="O260" s="23" t="str">
        <f>IFERROR(__xludf.DUMMYFUNCTION("if(REGEXMATCH(join("", "",$F260:$G260),O$1)=TRUE,""✓"",""✗"")"),"✗")</f>
        <v>✗</v>
      </c>
      <c r="P260" s="23" t="str">
        <f>IFERROR(__xludf.DUMMYFUNCTION("if(REGEXMATCH(join("", "",$F260:$G260),P$1)=TRUE,""✓"",""✗"")"),"✗")</f>
        <v>✗</v>
      </c>
      <c r="Q260" s="23" t="str">
        <f>IFERROR(__xludf.DUMMYFUNCTION("if(REGEXMATCH(join("", "",$F260:$G260),Q$1)=TRUE,""✓"",""✗"")"),"✗")</f>
        <v>✗</v>
      </c>
      <c r="R260" s="23" t="str">
        <f>IFERROR(__xludf.DUMMYFUNCTION("if(REGEXMATCH(join("", "",$F260:$G260),R$1)=TRUE,""✓"",""✗"")"),"✗")</f>
        <v>✗</v>
      </c>
      <c r="S260" s="23" t="str">
        <f>IFERROR(__xludf.DUMMYFUNCTION("if(REGEXMATCH(join("", "",$F260:$G260),S$1)=TRUE,""✓"",""✗"")"),"✗")</f>
        <v>✗</v>
      </c>
      <c r="T260" s="23" t="str">
        <f>IFERROR(__xludf.DUMMYFUNCTION("if(REGEXMATCH(join("", "",$F260:$G260),T$1)=TRUE,""✓"",""✗"")"),"✗")</f>
        <v>✗</v>
      </c>
      <c r="U260" s="33"/>
      <c r="V260" s="33"/>
      <c r="W260" s="33"/>
      <c r="X260" s="33"/>
      <c r="Y260" s="33"/>
      <c r="Z260" s="33"/>
      <c r="AA260" s="33"/>
      <c r="AB260" s="33"/>
      <c r="AC260" s="33"/>
    </row>
    <row r="261" hidden="1">
      <c r="A261" s="17" t="s">
        <v>302</v>
      </c>
      <c r="B261" s="33"/>
      <c r="C261" s="33"/>
      <c r="D261" s="33"/>
      <c r="E261" s="33"/>
      <c r="F261" s="33"/>
      <c r="G261" s="33"/>
      <c r="H261" s="23" t="str">
        <f>IFERROR(__xludf.DUMMYFUNCTION("if(REGEXMATCH(join("", "",$F261:$G261),H$1)=TRUE,""✓"",""✗"")"),"✗")</f>
        <v>✗</v>
      </c>
      <c r="I261" s="23" t="str">
        <f>IFERROR(__xludf.DUMMYFUNCTION("if(REGEXMATCH(join("", "",$F261:$G261),I$1)=TRUE,""✓"",""✗"")"),"✗")</f>
        <v>✗</v>
      </c>
      <c r="J261" s="23" t="str">
        <f>IFERROR(__xludf.DUMMYFUNCTION("if(REGEXMATCH(join("", "",$F261:$G261),J$1)=TRUE,""✓"",""✗"")"),"✗")</f>
        <v>✗</v>
      </c>
      <c r="K261" s="23" t="str">
        <f>IFERROR(__xludf.DUMMYFUNCTION("if(REGEXMATCH(join("", "",$F261:$G261),K$1)=TRUE,""✓"",""✗"")"),"✗")</f>
        <v>✗</v>
      </c>
      <c r="L261" s="23" t="str">
        <f>IFERROR(__xludf.DUMMYFUNCTION("if(REGEXMATCH(join("", "",$F261:$G261),L$1)=TRUE,""✓"",""✗"")"),"✗")</f>
        <v>✗</v>
      </c>
      <c r="M261" s="23" t="str">
        <f>IFERROR(__xludf.DUMMYFUNCTION("if(REGEXMATCH(join("", "",$F261:$G261),M$1)=TRUE,""✓"",""✗"")"),"✗")</f>
        <v>✗</v>
      </c>
      <c r="N261" s="23" t="str">
        <f>IFERROR(__xludf.DUMMYFUNCTION("if(REGEXMATCH(join("", "",$F261:$G261),N$1)=TRUE,""✓"",""✗"")"),"✗")</f>
        <v>✗</v>
      </c>
      <c r="O261" s="23" t="str">
        <f>IFERROR(__xludf.DUMMYFUNCTION("if(REGEXMATCH(join("", "",$F261:$G261),O$1)=TRUE,""✓"",""✗"")"),"✗")</f>
        <v>✗</v>
      </c>
      <c r="P261" s="23" t="str">
        <f>IFERROR(__xludf.DUMMYFUNCTION("if(REGEXMATCH(join("", "",$F261:$G261),P$1)=TRUE,""✓"",""✗"")"),"✗")</f>
        <v>✗</v>
      </c>
      <c r="Q261" s="23" t="str">
        <f>IFERROR(__xludf.DUMMYFUNCTION("if(REGEXMATCH(join("", "",$F261:$G261),Q$1)=TRUE,""✓"",""✗"")"),"✗")</f>
        <v>✗</v>
      </c>
      <c r="R261" s="23" t="str">
        <f>IFERROR(__xludf.DUMMYFUNCTION("if(REGEXMATCH(join("", "",$F261:$G261),R$1)=TRUE,""✓"",""✗"")"),"✗")</f>
        <v>✗</v>
      </c>
      <c r="S261" s="23" t="str">
        <f>IFERROR(__xludf.DUMMYFUNCTION("if(REGEXMATCH(join("", "",$F261:$G261),S$1)=TRUE,""✓"",""✗"")"),"✗")</f>
        <v>✗</v>
      </c>
      <c r="T261" s="23" t="str">
        <f>IFERROR(__xludf.DUMMYFUNCTION("if(REGEXMATCH(join("", "",$F261:$G261),T$1)=TRUE,""✓"",""✗"")"),"✗")</f>
        <v>✗</v>
      </c>
      <c r="U261" s="33"/>
      <c r="V261" s="33"/>
      <c r="W261" s="33"/>
      <c r="X261" s="33"/>
      <c r="Y261" s="33"/>
      <c r="Z261" s="33"/>
      <c r="AA261" s="33"/>
      <c r="AB261" s="33"/>
      <c r="AC261" s="33"/>
    </row>
    <row r="262" hidden="1">
      <c r="A262" s="17" t="s">
        <v>302</v>
      </c>
      <c r="B262" s="33"/>
      <c r="C262" s="33"/>
      <c r="D262" s="33"/>
      <c r="E262" s="33"/>
      <c r="F262" s="33"/>
      <c r="G262" s="33"/>
      <c r="H262" s="23" t="str">
        <f>IFERROR(__xludf.DUMMYFUNCTION("if(REGEXMATCH(join("", "",$F262:$G262),H$1)=TRUE,""✓"",""✗"")"),"✗")</f>
        <v>✗</v>
      </c>
      <c r="I262" s="23" t="str">
        <f>IFERROR(__xludf.DUMMYFUNCTION("if(REGEXMATCH(join("", "",$F262:$G262),I$1)=TRUE,""✓"",""✗"")"),"✗")</f>
        <v>✗</v>
      </c>
      <c r="J262" s="23" t="str">
        <f>IFERROR(__xludf.DUMMYFUNCTION("if(REGEXMATCH(join("", "",$F262:$G262),J$1)=TRUE,""✓"",""✗"")"),"✗")</f>
        <v>✗</v>
      </c>
      <c r="K262" s="23" t="str">
        <f>IFERROR(__xludf.DUMMYFUNCTION("if(REGEXMATCH(join("", "",$F262:$G262),K$1)=TRUE,""✓"",""✗"")"),"✗")</f>
        <v>✗</v>
      </c>
      <c r="L262" s="23" t="str">
        <f>IFERROR(__xludf.DUMMYFUNCTION("if(REGEXMATCH(join("", "",$F262:$G262),L$1)=TRUE,""✓"",""✗"")"),"✗")</f>
        <v>✗</v>
      </c>
      <c r="M262" s="23" t="str">
        <f>IFERROR(__xludf.DUMMYFUNCTION("if(REGEXMATCH(join("", "",$F262:$G262),M$1)=TRUE,""✓"",""✗"")"),"✗")</f>
        <v>✗</v>
      </c>
      <c r="N262" s="23" t="str">
        <f>IFERROR(__xludf.DUMMYFUNCTION("if(REGEXMATCH(join("", "",$F262:$G262),N$1)=TRUE,""✓"",""✗"")"),"✗")</f>
        <v>✗</v>
      </c>
      <c r="O262" s="23" t="str">
        <f>IFERROR(__xludf.DUMMYFUNCTION("if(REGEXMATCH(join("", "",$F262:$G262),O$1)=TRUE,""✓"",""✗"")"),"✗")</f>
        <v>✗</v>
      </c>
      <c r="P262" s="23" t="str">
        <f>IFERROR(__xludf.DUMMYFUNCTION("if(REGEXMATCH(join("", "",$F262:$G262),P$1)=TRUE,""✓"",""✗"")"),"✗")</f>
        <v>✗</v>
      </c>
      <c r="Q262" s="23" t="str">
        <f>IFERROR(__xludf.DUMMYFUNCTION("if(REGEXMATCH(join("", "",$F262:$G262),Q$1)=TRUE,""✓"",""✗"")"),"✗")</f>
        <v>✗</v>
      </c>
      <c r="R262" s="23" t="str">
        <f>IFERROR(__xludf.DUMMYFUNCTION("if(REGEXMATCH(join("", "",$F262:$G262),R$1)=TRUE,""✓"",""✗"")"),"✗")</f>
        <v>✗</v>
      </c>
      <c r="S262" s="23" t="str">
        <f>IFERROR(__xludf.DUMMYFUNCTION("if(REGEXMATCH(join("", "",$F262:$G262),S$1)=TRUE,""✓"",""✗"")"),"✗")</f>
        <v>✗</v>
      </c>
      <c r="T262" s="23" t="str">
        <f>IFERROR(__xludf.DUMMYFUNCTION("if(REGEXMATCH(join("", "",$F262:$G262),T$1)=TRUE,""✓"",""✗"")"),"✗")</f>
        <v>✗</v>
      </c>
      <c r="U262" s="33"/>
      <c r="V262" s="33"/>
      <c r="W262" s="33"/>
      <c r="X262" s="33"/>
      <c r="Y262" s="33"/>
      <c r="Z262" s="33"/>
      <c r="AA262" s="33"/>
      <c r="AB262" s="33"/>
      <c r="AC262" s="33"/>
    </row>
    <row r="263" hidden="1">
      <c r="A263" s="17" t="s">
        <v>302</v>
      </c>
      <c r="B263" s="33"/>
      <c r="C263" s="33"/>
      <c r="D263" s="33"/>
      <c r="E263" s="33"/>
      <c r="F263" s="33"/>
      <c r="G263" s="33"/>
      <c r="H263" s="23" t="str">
        <f>IFERROR(__xludf.DUMMYFUNCTION("if(REGEXMATCH(join("", "",$F263:$G263),H$1)=TRUE,""✓"",""✗"")"),"✗")</f>
        <v>✗</v>
      </c>
      <c r="I263" s="23" t="str">
        <f>IFERROR(__xludf.DUMMYFUNCTION("if(REGEXMATCH(join("", "",$F263:$G263),I$1)=TRUE,""✓"",""✗"")"),"✗")</f>
        <v>✗</v>
      </c>
      <c r="J263" s="23" t="str">
        <f>IFERROR(__xludf.DUMMYFUNCTION("if(REGEXMATCH(join("", "",$F263:$G263),J$1)=TRUE,""✓"",""✗"")"),"✗")</f>
        <v>✗</v>
      </c>
      <c r="K263" s="23" t="str">
        <f>IFERROR(__xludf.DUMMYFUNCTION("if(REGEXMATCH(join("", "",$F263:$G263),K$1)=TRUE,""✓"",""✗"")"),"✗")</f>
        <v>✗</v>
      </c>
      <c r="L263" s="23" t="str">
        <f>IFERROR(__xludf.DUMMYFUNCTION("if(REGEXMATCH(join("", "",$F263:$G263),L$1)=TRUE,""✓"",""✗"")"),"✗")</f>
        <v>✗</v>
      </c>
      <c r="M263" s="23" t="str">
        <f>IFERROR(__xludf.DUMMYFUNCTION("if(REGEXMATCH(join("", "",$F263:$G263),M$1)=TRUE,""✓"",""✗"")"),"✗")</f>
        <v>✗</v>
      </c>
      <c r="N263" s="23" t="str">
        <f>IFERROR(__xludf.DUMMYFUNCTION("if(REGEXMATCH(join("", "",$F263:$G263),N$1)=TRUE,""✓"",""✗"")"),"✗")</f>
        <v>✗</v>
      </c>
      <c r="O263" s="23" t="str">
        <f>IFERROR(__xludf.DUMMYFUNCTION("if(REGEXMATCH(join("", "",$F263:$G263),O$1)=TRUE,""✓"",""✗"")"),"✗")</f>
        <v>✗</v>
      </c>
      <c r="P263" s="23" t="str">
        <f>IFERROR(__xludf.DUMMYFUNCTION("if(REGEXMATCH(join("", "",$F263:$G263),P$1)=TRUE,""✓"",""✗"")"),"✗")</f>
        <v>✗</v>
      </c>
      <c r="Q263" s="23" t="str">
        <f>IFERROR(__xludf.DUMMYFUNCTION("if(REGEXMATCH(join("", "",$F263:$G263),Q$1)=TRUE,""✓"",""✗"")"),"✗")</f>
        <v>✗</v>
      </c>
      <c r="R263" s="23" t="str">
        <f>IFERROR(__xludf.DUMMYFUNCTION("if(REGEXMATCH(join("", "",$F263:$G263),R$1)=TRUE,""✓"",""✗"")"),"✗")</f>
        <v>✗</v>
      </c>
      <c r="S263" s="23" t="str">
        <f>IFERROR(__xludf.DUMMYFUNCTION("if(REGEXMATCH(join("", "",$F263:$G263),S$1)=TRUE,""✓"",""✗"")"),"✗")</f>
        <v>✗</v>
      </c>
      <c r="T263" s="23" t="str">
        <f>IFERROR(__xludf.DUMMYFUNCTION("if(REGEXMATCH(join("", "",$F263:$G263),T$1)=TRUE,""✓"",""✗"")"),"✗")</f>
        <v>✗</v>
      </c>
      <c r="U263" s="33"/>
      <c r="V263" s="33"/>
      <c r="W263" s="33"/>
      <c r="X263" s="33"/>
      <c r="Y263" s="33"/>
      <c r="Z263" s="33"/>
      <c r="AA263" s="33"/>
      <c r="AB263" s="33"/>
      <c r="AC263" s="33"/>
    </row>
    <row r="264" hidden="1">
      <c r="A264" s="17" t="s">
        <v>302</v>
      </c>
      <c r="B264" s="33"/>
      <c r="C264" s="33"/>
      <c r="D264" s="33"/>
      <c r="E264" s="33"/>
      <c r="F264" s="33"/>
      <c r="G264" s="33"/>
      <c r="H264" s="23" t="str">
        <f>IFERROR(__xludf.DUMMYFUNCTION("if(REGEXMATCH(join("", "",$F264:$G264),H$1)=TRUE,""✓"",""✗"")"),"✗")</f>
        <v>✗</v>
      </c>
      <c r="I264" s="23" t="str">
        <f>IFERROR(__xludf.DUMMYFUNCTION("if(REGEXMATCH(join("", "",$F264:$G264),I$1)=TRUE,""✓"",""✗"")"),"✗")</f>
        <v>✗</v>
      </c>
      <c r="J264" s="23" t="str">
        <f>IFERROR(__xludf.DUMMYFUNCTION("if(REGEXMATCH(join("", "",$F264:$G264),J$1)=TRUE,""✓"",""✗"")"),"✗")</f>
        <v>✗</v>
      </c>
      <c r="K264" s="23" t="str">
        <f>IFERROR(__xludf.DUMMYFUNCTION("if(REGEXMATCH(join("", "",$F264:$G264),K$1)=TRUE,""✓"",""✗"")"),"✗")</f>
        <v>✗</v>
      </c>
      <c r="L264" s="23" t="str">
        <f>IFERROR(__xludf.DUMMYFUNCTION("if(REGEXMATCH(join("", "",$F264:$G264),L$1)=TRUE,""✓"",""✗"")"),"✗")</f>
        <v>✗</v>
      </c>
      <c r="M264" s="23" t="str">
        <f>IFERROR(__xludf.DUMMYFUNCTION("if(REGEXMATCH(join("", "",$F264:$G264),M$1)=TRUE,""✓"",""✗"")"),"✗")</f>
        <v>✗</v>
      </c>
      <c r="N264" s="23" t="str">
        <f>IFERROR(__xludf.DUMMYFUNCTION("if(REGEXMATCH(join("", "",$F264:$G264),N$1)=TRUE,""✓"",""✗"")"),"✗")</f>
        <v>✗</v>
      </c>
      <c r="O264" s="23" t="str">
        <f>IFERROR(__xludf.DUMMYFUNCTION("if(REGEXMATCH(join("", "",$F264:$G264),O$1)=TRUE,""✓"",""✗"")"),"✗")</f>
        <v>✗</v>
      </c>
      <c r="P264" s="23" t="str">
        <f>IFERROR(__xludf.DUMMYFUNCTION("if(REGEXMATCH(join("", "",$F264:$G264),P$1)=TRUE,""✓"",""✗"")"),"✗")</f>
        <v>✗</v>
      </c>
      <c r="Q264" s="23" t="str">
        <f>IFERROR(__xludf.DUMMYFUNCTION("if(REGEXMATCH(join("", "",$F264:$G264),Q$1)=TRUE,""✓"",""✗"")"),"✗")</f>
        <v>✗</v>
      </c>
      <c r="R264" s="23" t="str">
        <f>IFERROR(__xludf.DUMMYFUNCTION("if(REGEXMATCH(join("", "",$F264:$G264),R$1)=TRUE,""✓"",""✗"")"),"✗")</f>
        <v>✗</v>
      </c>
      <c r="S264" s="23" t="str">
        <f>IFERROR(__xludf.DUMMYFUNCTION("if(REGEXMATCH(join("", "",$F264:$G264),S$1)=TRUE,""✓"",""✗"")"),"✗")</f>
        <v>✗</v>
      </c>
      <c r="T264" s="23" t="str">
        <f>IFERROR(__xludf.DUMMYFUNCTION("if(REGEXMATCH(join("", "",$F264:$G264),T$1)=TRUE,""✓"",""✗"")"),"✗")</f>
        <v>✗</v>
      </c>
      <c r="U264" s="33"/>
      <c r="V264" s="33"/>
      <c r="W264" s="33"/>
      <c r="X264" s="33"/>
      <c r="Y264" s="33"/>
      <c r="Z264" s="33"/>
      <c r="AA264" s="33"/>
      <c r="AB264" s="33"/>
      <c r="AC264" s="33"/>
    </row>
    <row r="265" hidden="1">
      <c r="A265" s="17" t="s">
        <v>302</v>
      </c>
      <c r="B265" s="33"/>
      <c r="C265" s="33"/>
      <c r="D265" s="33"/>
      <c r="E265" s="33"/>
      <c r="F265" s="33"/>
      <c r="G265" s="33"/>
      <c r="H265" s="23" t="str">
        <f>IFERROR(__xludf.DUMMYFUNCTION("if(REGEXMATCH(join("", "",$F265:$G265),H$1)=TRUE,""✓"",""✗"")"),"✗")</f>
        <v>✗</v>
      </c>
      <c r="I265" s="23" t="str">
        <f>IFERROR(__xludf.DUMMYFUNCTION("if(REGEXMATCH(join("", "",$F265:$G265),I$1)=TRUE,""✓"",""✗"")"),"✗")</f>
        <v>✗</v>
      </c>
      <c r="J265" s="23" t="str">
        <f>IFERROR(__xludf.DUMMYFUNCTION("if(REGEXMATCH(join("", "",$F265:$G265),J$1)=TRUE,""✓"",""✗"")"),"✗")</f>
        <v>✗</v>
      </c>
      <c r="K265" s="23" t="str">
        <f>IFERROR(__xludf.DUMMYFUNCTION("if(REGEXMATCH(join("", "",$F265:$G265),K$1)=TRUE,""✓"",""✗"")"),"✗")</f>
        <v>✗</v>
      </c>
      <c r="L265" s="23" t="str">
        <f>IFERROR(__xludf.DUMMYFUNCTION("if(REGEXMATCH(join("", "",$F265:$G265),L$1)=TRUE,""✓"",""✗"")"),"✗")</f>
        <v>✗</v>
      </c>
      <c r="M265" s="23" t="str">
        <f>IFERROR(__xludf.DUMMYFUNCTION("if(REGEXMATCH(join("", "",$F265:$G265),M$1)=TRUE,""✓"",""✗"")"),"✗")</f>
        <v>✗</v>
      </c>
      <c r="N265" s="23" t="str">
        <f>IFERROR(__xludf.DUMMYFUNCTION("if(REGEXMATCH(join("", "",$F265:$G265),N$1)=TRUE,""✓"",""✗"")"),"✗")</f>
        <v>✗</v>
      </c>
      <c r="O265" s="23" t="str">
        <f>IFERROR(__xludf.DUMMYFUNCTION("if(REGEXMATCH(join("", "",$F265:$G265),O$1)=TRUE,""✓"",""✗"")"),"✗")</f>
        <v>✗</v>
      </c>
      <c r="P265" s="23" t="str">
        <f>IFERROR(__xludf.DUMMYFUNCTION("if(REGEXMATCH(join("", "",$F265:$G265),P$1)=TRUE,""✓"",""✗"")"),"✗")</f>
        <v>✗</v>
      </c>
      <c r="Q265" s="23" t="str">
        <f>IFERROR(__xludf.DUMMYFUNCTION("if(REGEXMATCH(join("", "",$F265:$G265),Q$1)=TRUE,""✓"",""✗"")"),"✗")</f>
        <v>✗</v>
      </c>
      <c r="R265" s="23" t="str">
        <f>IFERROR(__xludf.DUMMYFUNCTION("if(REGEXMATCH(join("", "",$F265:$G265),R$1)=TRUE,""✓"",""✗"")"),"✗")</f>
        <v>✗</v>
      </c>
      <c r="S265" s="23" t="str">
        <f>IFERROR(__xludf.DUMMYFUNCTION("if(REGEXMATCH(join("", "",$F265:$G265),S$1)=TRUE,""✓"",""✗"")"),"✗")</f>
        <v>✗</v>
      </c>
      <c r="T265" s="23" t="str">
        <f>IFERROR(__xludf.DUMMYFUNCTION("if(REGEXMATCH(join("", "",$F265:$G265),T$1)=TRUE,""✓"",""✗"")"),"✗")</f>
        <v>✗</v>
      </c>
      <c r="U265" s="33"/>
      <c r="V265" s="33"/>
      <c r="W265" s="33"/>
      <c r="X265" s="33"/>
      <c r="Y265" s="33"/>
      <c r="Z265" s="33"/>
      <c r="AA265" s="33"/>
      <c r="AB265" s="33"/>
      <c r="AC265" s="33"/>
    </row>
    <row r="266" hidden="1">
      <c r="A266" s="17" t="s">
        <v>302</v>
      </c>
      <c r="B266" s="33"/>
      <c r="C266" s="33"/>
      <c r="D266" s="33"/>
      <c r="E266" s="33"/>
      <c r="F266" s="33"/>
      <c r="G266" s="33"/>
      <c r="H266" s="23" t="str">
        <f>IFERROR(__xludf.DUMMYFUNCTION("if(REGEXMATCH(join("", "",$F266:$G266),H$1)=TRUE,""✓"",""✗"")"),"✗")</f>
        <v>✗</v>
      </c>
      <c r="I266" s="23" t="str">
        <f>IFERROR(__xludf.DUMMYFUNCTION("if(REGEXMATCH(join("", "",$F266:$G266),I$1)=TRUE,""✓"",""✗"")"),"✗")</f>
        <v>✗</v>
      </c>
      <c r="J266" s="23" t="str">
        <f>IFERROR(__xludf.DUMMYFUNCTION("if(REGEXMATCH(join("", "",$F266:$G266),J$1)=TRUE,""✓"",""✗"")"),"✗")</f>
        <v>✗</v>
      </c>
      <c r="K266" s="23" t="str">
        <f>IFERROR(__xludf.DUMMYFUNCTION("if(REGEXMATCH(join("", "",$F266:$G266),K$1)=TRUE,""✓"",""✗"")"),"✗")</f>
        <v>✗</v>
      </c>
      <c r="L266" s="23" t="str">
        <f>IFERROR(__xludf.DUMMYFUNCTION("if(REGEXMATCH(join("", "",$F266:$G266),L$1)=TRUE,""✓"",""✗"")"),"✗")</f>
        <v>✗</v>
      </c>
      <c r="M266" s="23" t="str">
        <f>IFERROR(__xludf.DUMMYFUNCTION("if(REGEXMATCH(join("", "",$F266:$G266),M$1)=TRUE,""✓"",""✗"")"),"✗")</f>
        <v>✗</v>
      </c>
      <c r="N266" s="23" t="str">
        <f>IFERROR(__xludf.DUMMYFUNCTION("if(REGEXMATCH(join("", "",$F266:$G266),N$1)=TRUE,""✓"",""✗"")"),"✗")</f>
        <v>✗</v>
      </c>
      <c r="O266" s="23" t="str">
        <f>IFERROR(__xludf.DUMMYFUNCTION("if(REGEXMATCH(join("", "",$F266:$G266),O$1)=TRUE,""✓"",""✗"")"),"✗")</f>
        <v>✗</v>
      </c>
      <c r="P266" s="23" t="str">
        <f>IFERROR(__xludf.DUMMYFUNCTION("if(REGEXMATCH(join("", "",$F266:$G266),P$1)=TRUE,""✓"",""✗"")"),"✗")</f>
        <v>✗</v>
      </c>
      <c r="Q266" s="23" t="str">
        <f>IFERROR(__xludf.DUMMYFUNCTION("if(REGEXMATCH(join("", "",$F266:$G266),Q$1)=TRUE,""✓"",""✗"")"),"✗")</f>
        <v>✗</v>
      </c>
      <c r="R266" s="23" t="str">
        <f>IFERROR(__xludf.DUMMYFUNCTION("if(REGEXMATCH(join("", "",$F266:$G266),R$1)=TRUE,""✓"",""✗"")"),"✗")</f>
        <v>✗</v>
      </c>
      <c r="S266" s="23" t="str">
        <f>IFERROR(__xludf.DUMMYFUNCTION("if(REGEXMATCH(join("", "",$F266:$G266),S$1)=TRUE,""✓"",""✗"")"),"✗")</f>
        <v>✗</v>
      </c>
      <c r="T266" s="23" t="str">
        <f>IFERROR(__xludf.DUMMYFUNCTION("if(REGEXMATCH(join("", "",$F266:$G266),T$1)=TRUE,""✓"",""✗"")"),"✗")</f>
        <v>✗</v>
      </c>
      <c r="U266" s="33"/>
      <c r="V266" s="33"/>
      <c r="W266" s="33"/>
      <c r="X266" s="33"/>
      <c r="Y266" s="33"/>
      <c r="Z266" s="33"/>
      <c r="AA266" s="33"/>
      <c r="AB266" s="33"/>
      <c r="AC266" s="33"/>
    </row>
    <row r="267" hidden="1">
      <c r="A267" s="17" t="s">
        <v>302</v>
      </c>
      <c r="B267" s="33"/>
      <c r="C267" s="33"/>
      <c r="D267" s="33"/>
      <c r="E267" s="33"/>
      <c r="F267" s="33"/>
      <c r="G267" s="33"/>
      <c r="H267" s="23" t="str">
        <f>IFERROR(__xludf.DUMMYFUNCTION("if(REGEXMATCH(join("", "",$F267:$G267),H$1)=TRUE,""✓"",""✗"")"),"✗")</f>
        <v>✗</v>
      </c>
      <c r="I267" s="23" t="str">
        <f>IFERROR(__xludf.DUMMYFUNCTION("if(REGEXMATCH(join("", "",$F267:$G267),I$1)=TRUE,""✓"",""✗"")"),"✗")</f>
        <v>✗</v>
      </c>
      <c r="J267" s="23" t="str">
        <f>IFERROR(__xludf.DUMMYFUNCTION("if(REGEXMATCH(join("", "",$F267:$G267),J$1)=TRUE,""✓"",""✗"")"),"✗")</f>
        <v>✗</v>
      </c>
      <c r="K267" s="23" t="str">
        <f>IFERROR(__xludf.DUMMYFUNCTION("if(REGEXMATCH(join("", "",$F267:$G267),K$1)=TRUE,""✓"",""✗"")"),"✗")</f>
        <v>✗</v>
      </c>
      <c r="L267" s="23" t="str">
        <f>IFERROR(__xludf.DUMMYFUNCTION("if(REGEXMATCH(join("", "",$F267:$G267),L$1)=TRUE,""✓"",""✗"")"),"✗")</f>
        <v>✗</v>
      </c>
      <c r="M267" s="23" t="str">
        <f>IFERROR(__xludf.DUMMYFUNCTION("if(REGEXMATCH(join("", "",$F267:$G267),M$1)=TRUE,""✓"",""✗"")"),"✗")</f>
        <v>✗</v>
      </c>
      <c r="N267" s="23" t="str">
        <f>IFERROR(__xludf.DUMMYFUNCTION("if(REGEXMATCH(join("", "",$F267:$G267),N$1)=TRUE,""✓"",""✗"")"),"✗")</f>
        <v>✗</v>
      </c>
      <c r="O267" s="23" t="str">
        <f>IFERROR(__xludf.DUMMYFUNCTION("if(REGEXMATCH(join("", "",$F267:$G267),O$1)=TRUE,""✓"",""✗"")"),"✗")</f>
        <v>✗</v>
      </c>
      <c r="P267" s="23" t="str">
        <f>IFERROR(__xludf.DUMMYFUNCTION("if(REGEXMATCH(join("", "",$F267:$G267),P$1)=TRUE,""✓"",""✗"")"),"✗")</f>
        <v>✗</v>
      </c>
      <c r="Q267" s="23" t="str">
        <f>IFERROR(__xludf.DUMMYFUNCTION("if(REGEXMATCH(join("", "",$F267:$G267),Q$1)=TRUE,""✓"",""✗"")"),"✗")</f>
        <v>✗</v>
      </c>
      <c r="R267" s="23" t="str">
        <f>IFERROR(__xludf.DUMMYFUNCTION("if(REGEXMATCH(join("", "",$F267:$G267),R$1)=TRUE,""✓"",""✗"")"),"✗")</f>
        <v>✗</v>
      </c>
      <c r="S267" s="23" t="str">
        <f>IFERROR(__xludf.DUMMYFUNCTION("if(REGEXMATCH(join("", "",$F267:$G267),S$1)=TRUE,""✓"",""✗"")"),"✗")</f>
        <v>✗</v>
      </c>
      <c r="T267" s="23" t="str">
        <f>IFERROR(__xludf.DUMMYFUNCTION("if(REGEXMATCH(join("", "",$F267:$G267),T$1)=TRUE,""✓"",""✗"")"),"✗")</f>
        <v>✗</v>
      </c>
      <c r="U267" s="33"/>
      <c r="V267" s="33"/>
      <c r="W267" s="33"/>
      <c r="X267" s="33"/>
      <c r="Y267" s="33"/>
      <c r="Z267" s="33"/>
      <c r="AA267" s="33"/>
      <c r="AB267" s="33"/>
      <c r="AC267" s="33"/>
    </row>
    <row r="268" hidden="1">
      <c r="A268" s="17" t="s">
        <v>302</v>
      </c>
      <c r="B268" s="33"/>
      <c r="C268" s="33"/>
      <c r="D268" s="33"/>
      <c r="E268" s="33"/>
      <c r="F268" s="33"/>
      <c r="G268" s="33"/>
      <c r="H268" s="23" t="str">
        <f>IFERROR(__xludf.DUMMYFUNCTION("if(REGEXMATCH(join("", "",$F268:$G268),H$1)=TRUE,""✓"",""✗"")"),"✗")</f>
        <v>✗</v>
      </c>
      <c r="I268" s="23" t="str">
        <f>IFERROR(__xludf.DUMMYFUNCTION("if(REGEXMATCH(join("", "",$F268:$G268),I$1)=TRUE,""✓"",""✗"")"),"✗")</f>
        <v>✗</v>
      </c>
      <c r="J268" s="23" t="str">
        <f>IFERROR(__xludf.DUMMYFUNCTION("if(REGEXMATCH(join("", "",$F268:$G268),J$1)=TRUE,""✓"",""✗"")"),"✗")</f>
        <v>✗</v>
      </c>
      <c r="K268" s="23" t="str">
        <f>IFERROR(__xludf.DUMMYFUNCTION("if(REGEXMATCH(join("", "",$F268:$G268),K$1)=TRUE,""✓"",""✗"")"),"✗")</f>
        <v>✗</v>
      </c>
      <c r="L268" s="23" t="str">
        <f>IFERROR(__xludf.DUMMYFUNCTION("if(REGEXMATCH(join("", "",$F268:$G268),L$1)=TRUE,""✓"",""✗"")"),"✗")</f>
        <v>✗</v>
      </c>
      <c r="M268" s="23" t="str">
        <f>IFERROR(__xludf.DUMMYFUNCTION("if(REGEXMATCH(join("", "",$F268:$G268),M$1)=TRUE,""✓"",""✗"")"),"✗")</f>
        <v>✗</v>
      </c>
      <c r="N268" s="23" t="str">
        <f>IFERROR(__xludf.DUMMYFUNCTION("if(REGEXMATCH(join("", "",$F268:$G268),N$1)=TRUE,""✓"",""✗"")"),"✗")</f>
        <v>✗</v>
      </c>
      <c r="O268" s="23" t="str">
        <f>IFERROR(__xludf.DUMMYFUNCTION("if(REGEXMATCH(join("", "",$F268:$G268),O$1)=TRUE,""✓"",""✗"")"),"✗")</f>
        <v>✗</v>
      </c>
      <c r="P268" s="23" t="str">
        <f>IFERROR(__xludf.DUMMYFUNCTION("if(REGEXMATCH(join("", "",$F268:$G268),P$1)=TRUE,""✓"",""✗"")"),"✗")</f>
        <v>✗</v>
      </c>
      <c r="Q268" s="23" t="str">
        <f>IFERROR(__xludf.DUMMYFUNCTION("if(REGEXMATCH(join("", "",$F268:$G268),Q$1)=TRUE,""✓"",""✗"")"),"✗")</f>
        <v>✗</v>
      </c>
      <c r="R268" s="23" t="str">
        <f>IFERROR(__xludf.DUMMYFUNCTION("if(REGEXMATCH(join("", "",$F268:$G268),R$1)=TRUE,""✓"",""✗"")"),"✗")</f>
        <v>✗</v>
      </c>
      <c r="S268" s="23" t="str">
        <f>IFERROR(__xludf.DUMMYFUNCTION("if(REGEXMATCH(join("", "",$F268:$G268),S$1)=TRUE,""✓"",""✗"")"),"✗")</f>
        <v>✗</v>
      </c>
      <c r="T268" s="23" t="str">
        <f>IFERROR(__xludf.DUMMYFUNCTION("if(REGEXMATCH(join("", "",$F268:$G268),T$1)=TRUE,""✓"",""✗"")"),"✗")</f>
        <v>✗</v>
      </c>
      <c r="U268" s="33"/>
      <c r="V268" s="33"/>
      <c r="W268" s="33"/>
      <c r="X268" s="33"/>
      <c r="Y268" s="33"/>
      <c r="Z268" s="33"/>
      <c r="AA268" s="33"/>
      <c r="AB268" s="33"/>
      <c r="AC268" s="33"/>
    </row>
    <row r="269" hidden="1">
      <c r="A269" s="17" t="s">
        <v>302</v>
      </c>
      <c r="B269" s="33"/>
      <c r="C269" s="33"/>
      <c r="D269" s="33"/>
      <c r="E269" s="33"/>
      <c r="F269" s="33"/>
      <c r="G269" s="33"/>
      <c r="H269" s="23" t="str">
        <f>IFERROR(__xludf.DUMMYFUNCTION("if(REGEXMATCH(join("", "",$F269:$G269),H$1)=TRUE,""✓"",""✗"")"),"✗")</f>
        <v>✗</v>
      </c>
      <c r="I269" s="23" t="str">
        <f>IFERROR(__xludf.DUMMYFUNCTION("if(REGEXMATCH(join("", "",$F269:$G269),I$1)=TRUE,""✓"",""✗"")"),"✗")</f>
        <v>✗</v>
      </c>
      <c r="J269" s="23" t="str">
        <f>IFERROR(__xludf.DUMMYFUNCTION("if(REGEXMATCH(join("", "",$F269:$G269),J$1)=TRUE,""✓"",""✗"")"),"✗")</f>
        <v>✗</v>
      </c>
      <c r="K269" s="23" t="str">
        <f>IFERROR(__xludf.DUMMYFUNCTION("if(REGEXMATCH(join("", "",$F269:$G269),K$1)=TRUE,""✓"",""✗"")"),"✗")</f>
        <v>✗</v>
      </c>
      <c r="L269" s="23" t="str">
        <f>IFERROR(__xludf.DUMMYFUNCTION("if(REGEXMATCH(join("", "",$F269:$G269),L$1)=TRUE,""✓"",""✗"")"),"✗")</f>
        <v>✗</v>
      </c>
      <c r="M269" s="23" t="str">
        <f>IFERROR(__xludf.DUMMYFUNCTION("if(REGEXMATCH(join("", "",$F269:$G269),M$1)=TRUE,""✓"",""✗"")"),"✗")</f>
        <v>✗</v>
      </c>
      <c r="N269" s="23" t="str">
        <f>IFERROR(__xludf.DUMMYFUNCTION("if(REGEXMATCH(join("", "",$F269:$G269),N$1)=TRUE,""✓"",""✗"")"),"✗")</f>
        <v>✗</v>
      </c>
      <c r="O269" s="23" t="str">
        <f>IFERROR(__xludf.DUMMYFUNCTION("if(REGEXMATCH(join("", "",$F269:$G269),O$1)=TRUE,""✓"",""✗"")"),"✗")</f>
        <v>✗</v>
      </c>
      <c r="P269" s="23" t="str">
        <f>IFERROR(__xludf.DUMMYFUNCTION("if(REGEXMATCH(join("", "",$F269:$G269),P$1)=TRUE,""✓"",""✗"")"),"✗")</f>
        <v>✗</v>
      </c>
      <c r="Q269" s="23" t="str">
        <f>IFERROR(__xludf.DUMMYFUNCTION("if(REGEXMATCH(join("", "",$F269:$G269),Q$1)=TRUE,""✓"",""✗"")"),"✗")</f>
        <v>✗</v>
      </c>
      <c r="R269" s="23" t="str">
        <f>IFERROR(__xludf.DUMMYFUNCTION("if(REGEXMATCH(join("", "",$F269:$G269),R$1)=TRUE,""✓"",""✗"")"),"✗")</f>
        <v>✗</v>
      </c>
      <c r="S269" s="23" t="str">
        <f>IFERROR(__xludf.DUMMYFUNCTION("if(REGEXMATCH(join("", "",$F269:$G269),S$1)=TRUE,""✓"",""✗"")"),"✗")</f>
        <v>✗</v>
      </c>
      <c r="T269" s="23" t="str">
        <f>IFERROR(__xludf.DUMMYFUNCTION("if(REGEXMATCH(join("", "",$F269:$G269),T$1)=TRUE,""✓"",""✗"")"),"✗")</f>
        <v>✗</v>
      </c>
      <c r="U269" s="33"/>
      <c r="V269" s="33"/>
      <c r="W269" s="33"/>
      <c r="X269" s="33"/>
      <c r="Y269" s="33"/>
      <c r="Z269" s="33"/>
      <c r="AA269" s="33"/>
      <c r="AB269" s="33"/>
      <c r="AC269" s="33"/>
    </row>
    <row r="270" hidden="1">
      <c r="A270" s="17" t="s">
        <v>302</v>
      </c>
      <c r="B270" s="33"/>
      <c r="C270" s="33"/>
      <c r="D270" s="33"/>
      <c r="E270" s="33"/>
      <c r="F270" s="33"/>
      <c r="G270" s="33"/>
      <c r="H270" s="23" t="str">
        <f>IFERROR(__xludf.DUMMYFUNCTION("if(REGEXMATCH(join("", "",$F270:$G270),H$1)=TRUE,""✓"",""✗"")"),"✗")</f>
        <v>✗</v>
      </c>
      <c r="I270" s="23" t="str">
        <f>IFERROR(__xludf.DUMMYFUNCTION("if(REGEXMATCH(join("", "",$F270:$G270),I$1)=TRUE,""✓"",""✗"")"),"✗")</f>
        <v>✗</v>
      </c>
      <c r="J270" s="23" t="str">
        <f>IFERROR(__xludf.DUMMYFUNCTION("if(REGEXMATCH(join("", "",$F270:$G270),J$1)=TRUE,""✓"",""✗"")"),"✗")</f>
        <v>✗</v>
      </c>
      <c r="K270" s="23" t="str">
        <f>IFERROR(__xludf.DUMMYFUNCTION("if(REGEXMATCH(join("", "",$F270:$G270),K$1)=TRUE,""✓"",""✗"")"),"✗")</f>
        <v>✗</v>
      </c>
      <c r="L270" s="23" t="str">
        <f>IFERROR(__xludf.DUMMYFUNCTION("if(REGEXMATCH(join("", "",$F270:$G270),L$1)=TRUE,""✓"",""✗"")"),"✗")</f>
        <v>✗</v>
      </c>
      <c r="M270" s="23" t="str">
        <f>IFERROR(__xludf.DUMMYFUNCTION("if(REGEXMATCH(join("", "",$F270:$G270),M$1)=TRUE,""✓"",""✗"")"),"✗")</f>
        <v>✗</v>
      </c>
      <c r="N270" s="23" t="str">
        <f>IFERROR(__xludf.DUMMYFUNCTION("if(REGEXMATCH(join("", "",$F270:$G270),N$1)=TRUE,""✓"",""✗"")"),"✗")</f>
        <v>✗</v>
      </c>
      <c r="O270" s="23" t="str">
        <f>IFERROR(__xludf.DUMMYFUNCTION("if(REGEXMATCH(join("", "",$F270:$G270),O$1)=TRUE,""✓"",""✗"")"),"✗")</f>
        <v>✗</v>
      </c>
      <c r="P270" s="23" t="str">
        <f>IFERROR(__xludf.DUMMYFUNCTION("if(REGEXMATCH(join("", "",$F270:$G270),P$1)=TRUE,""✓"",""✗"")"),"✗")</f>
        <v>✗</v>
      </c>
      <c r="Q270" s="23" t="str">
        <f>IFERROR(__xludf.DUMMYFUNCTION("if(REGEXMATCH(join("", "",$F270:$G270),Q$1)=TRUE,""✓"",""✗"")"),"✗")</f>
        <v>✗</v>
      </c>
      <c r="R270" s="23" t="str">
        <f>IFERROR(__xludf.DUMMYFUNCTION("if(REGEXMATCH(join("", "",$F270:$G270),R$1)=TRUE,""✓"",""✗"")"),"✗")</f>
        <v>✗</v>
      </c>
      <c r="S270" s="23" t="str">
        <f>IFERROR(__xludf.DUMMYFUNCTION("if(REGEXMATCH(join("", "",$F270:$G270),S$1)=TRUE,""✓"",""✗"")"),"✗")</f>
        <v>✗</v>
      </c>
      <c r="T270" s="23" t="str">
        <f>IFERROR(__xludf.DUMMYFUNCTION("if(REGEXMATCH(join("", "",$F270:$G270),T$1)=TRUE,""✓"",""✗"")"),"✗")</f>
        <v>✗</v>
      </c>
      <c r="U270" s="33"/>
      <c r="V270" s="33"/>
      <c r="W270" s="33"/>
      <c r="X270" s="33"/>
      <c r="Y270" s="33"/>
      <c r="Z270" s="33"/>
      <c r="AA270" s="33"/>
      <c r="AB270" s="33"/>
      <c r="AC270" s="33"/>
    </row>
    <row r="271" hidden="1">
      <c r="A271" s="17" t="s">
        <v>302</v>
      </c>
      <c r="B271" s="33"/>
      <c r="C271" s="33"/>
      <c r="D271" s="33"/>
      <c r="E271" s="33"/>
      <c r="F271" s="33"/>
      <c r="G271" s="33"/>
      <c r="H271" s="23" t="str">
        <f>IFERROR(__xludf.DUMMYFUNCTION("if(REGEXMATCH(join("", "",$F271:$G271),H$1)=TRUE,""✓"",""✗"")"),"✗")</f>
        <v>✗</v>
      </c>
      <c r="I271" s="23" t="str">
        <f>IFERROR(__xludf.DUMMYFUNCTION("if(REGEXMATCH(join("", "",$F271:$G271),I$1)=TRUE,""✓"",""✗"")"),"✗")</f>
        <v>✗</v>
      </c>
      <c r="J271" s="23" t="str">
        <f>IFERROR(__xludf.DUMMYFUNCTION("if(REGEXMATCH(join("", "",$F271:$G271),J$1)=TRUE,""✓"",""✗"")"),"✗")</f>
        <v>✗</v>
      </c>
      <c r="K271" s="23" t="str">
        <f>IFERROR(__xludf.DUMMYFUNCTION("if(REGEXMATCH(join("", "",$F271:$G271),K$1)=TRUE,""✓"",""✗"")"),"✗")</f>
        <v>✗</v>
      </c>
      <c r="L271" s="23" t="str">
        <f>IFERROR(__xludf.DUMMYFUNCTION("if(REGEXMATCH(join("", "",$F271:$G271),L$1)=TRUE,""✓"",""✗"")"),"✗")</f>
        <v>✗</v>
      </c>
      <c r="M271" s="23" t="str">
        <f>IFERROR(__xludf.DUMMYFUNCTION("if(REGEXMATCH(join("", "",$F271:$G271),M$1)=TRUE,""✓"",""✗"")"),"✗")</f>
        <v>✗</v>
      </c>
      <c r="N271" s="23" t="str">
        <f>IFERROR(__xludf.DUMMYFUNCTION("if(REGEXMATCH(join("", "",$F271:$G271),N$1)=TRUE,""✓"",""✗"")"),"✗")</f>
        <v>✗</v>
      </c>
      <c r="O271" s="23" t="str">
        <f>IFERROR(__xludf.DUMMYFUNCTION("if(REGEXMATCH(join("", "",$F271:$G271),O$1)=TRUE,""✓"",""✗"")"),"✗")</f>
        <v>✗</v>
      </c>
      <c r="P271" s="23" t="str">
        <f>IFERROR(__xludf.DUMMYFUNCTION("if(REGEXMATCH(join("", "",$F271:$G271),P$1)=TRUE,""✓"",""✗"")"),"✗")</f>
        <v>✗</v>
      </c>
      <c r="Q271" s="23" t="str">
        <f>IFERROR(__xludf.DUMMYFUNCTION("if(REGEXMATCH(join("", "",$F271:$G271),Q$1)=TRUE,""✓"",""✗"")"),"✗")</f>
        <v>✗</v>
      </c>
      <c r="R271" s="23" t="str">
        <f>IFERROR(__xludf.DUMMYFUNCTION("if(REGEXMATCH(join("", "",$F271:$G271),R$1)=TRUE,""✓"",""✗"")"),"✗")</f>
        <v>✗</v>
      </c>
      <c r="S271" s="23" t="str">
        <f>IFERROR(__xludf.DUMMYFUNCTION("if(REGEXMATCH(join("", "",$F271:$G271),S$1)=TRUE,""✓"",""✗"")"),"✗")</f>
        <v>✗</v>
      </c>
      <c r="T271" s="23" t="str">
        <f>IFERROR(__xludf.DUMMYFUNCTION("if(REGEXMATCH(join("", "",$F271:$G271),T$1)=TRUE,""✓"",""✗"")"),"✗")</f>
        <v>✗</v>
      </c>
      <c r="U271" s="33"/>
      <c r="V271" s="33"/>
      <c r="W271" s="33"/>
      <c r="X271" s="33"/>
      <c r="Y271" s="33"/>
      <c r="Z271" s="33"/>
      <c r="AA271" s="33"/>
      <c r="AB271" s="33"/>
      <c r="AC271" s="33"/>
    </row>
    <row r="272" hidden="1">
      <c r="A272" s="17" t="s">
        <v>302</v>
      </c>
      <c r="B272" s="33"/>
      <c r="C272" s="33"/>
      <c r="D272" s="33"/>
      <c r="E272" s="33"/>
      <c r="F272" s="33"/>
      <c r="G272" s="33"/>
      <c r="H272" s="23" t="str">
        <f>IFERROR(__xludf.DUMMYFUNCTION("if(REGEXMATCH(join("", "",$F272:$G272),H$1)=TRUE,""✓"",""✗"")"),"✗")</f>
        <v>✗</v>
      </c>
      <c r="I272" s="23" t="str">
        <f>IFERROR(__xludf.DUMMYFUNCTION("if(REGEXMATCH(join("", "",$F272:$G272),I$1)=TRUE,""✓"",""✗"")"),"✗")</f>
        <v>✗</v>
      </c>
      <c r="J272" s="23" t="str">
        <f>IFERROR(__xludf.DUMMYFUNCTION("if(REGEXMATCH(join("", "",$F272:$G272),J$1)=TRUE,""✓"",""✗"")"),"✗")</f>
        <v>✗</v>
      </c>
      <c r="K272" s="23" t="str">
        <f>IFERROR(__xludf.DUMMYFUNCTION("if(REGEXMATCH(join("", "",$F272:$G272),K$1)=TRUE,""✓"",""✗"")"),"✗")</f>
        <v>✗</v>
      </c>
      <c r="L272" s="23" t="str">
        <f>IFERROR(__xludf.DUMMYFUNCTION("if(REGEXMATCH(join("", "",$F272:$G272),L$1)=TRUE,""✓"",""✗"")"),"✗")</f>
        <v>✗</v>
      </c>
      <c r="M272" s="23" t="str">
        <f>IFERROR(__xludf.DUMMYFUNCTION("if(REGEXMATCH(join("", "",$F272:$G272),M$1)=TRUE,""✓"",""✗"")"),"✗")</f>
        <v>✗</v>
      </c>
      <c r="N272" s="23" t="str">
        <f>IFERROR(__xludf.DUMMYFUNCTION("if(REGEXMATCH(join("", "",$F272:$G272),N$1)=TRUE,""✓"",""✗"")"),"✗")</f>
        <v>✗</v>
      </c>
      <c r="O272" s="23" t="str">
        <f>IFERROR(__xludf.DUMMYFUNCTION("if(REGEXMATCH(join("", "",$F272:$G272),O$1)=TRUE,""✓"",""✗"")"),"✗")</f>
        <v>✗</v>
      </c>
      <c r="P272" s="23" t="str">
        <f>IFERROR(__xludf.DUMMYFUNCTION("if(REGEXMATCH(join("", "",$F272:$G272),P$1)=TRUE,""✓"",""✗"")"),"✗")</f>
        <v>✗</v>
      </c>
      <c r="Q272" s="23" t="str">
        <f>IFERROR(__xludf.DUMMYFUNCTION("if(REGEXMATCH(join("", "",$F272:$G272),Q$1)=TRUE,""✓"",""✗"")"),"✗")</f>
        <v>✗</v>
      </c>
      <c r="R272" s="23" t="str">
        <f>IFERROR(__xludf.DUMMYFUNCTION("if(REGEXMATCH(join("", "",$F272:$G272),R$1)=TRUE,""✓"",""✗"")"),"✗")</f>
        <v>✗</v>
      </c>
      <c r="S272" s="23" t="str">
        <f>IFERROR(__xludf.DUMMYFUNCTION("if(REGEXMATCH(join("", "",$F272:$G272),S$1)=TRUE,""✓"",""✗"")"),"✗")</f>
        <v>✗</v>
      </c>
      <c r="T272" s="23" t="str">
        <f>IFERROR(__xludf.DUMMYFUNCTION("if(REGEXMATCH(join("", "",$F272:$G272),T$1)=TRUE,""✓"",""✗"")"),"✗")</f>
        <v>✗</v>
      </c>
      <c r="U272" s="33"/>
      <c r="V272" s="33"/>
      <c r="W272" s="33"/>
      <c r="X272" s="33"/>
      <c r="Y272" s="33"/>
      <c r="Z272" s="33"/>
      <c r="AA272" s="33"/>
      <c r="AB272" s="33"/>
      <c r="AC272" s="33"/>
    </row>
    <row r="273" hidden="1">
      <c r="A273" s="17" t="s">
        <v>302</v>
      </c>
      <c r="B273" s="33"/>
      <c r="C273" s="33"/>
      <c r="D273" s="33"/>
      <c r="E273" s="33"/>
      <c r="F273" s="33"/>
      <c r="G273" s="33"/>
      <c r="H273" s="23" t="str">
        <f>IFERROR(__xludf.DUMMYFUNCTION("if(REGEXMATCH(join("", "",$F273:$G273),H$1)=TRUE,""✓"",""✗"")"),"✗")</f>
        <v>✗</v>
      </c>
      <c r="I273" s="23" t="str">
        <f>IFERROR(__xludf.DUMMYFUNCTION("if(REGEXMATCH(join("", "",$F273:$G273),I$1)=TRUE,""✓"",""✗"")"),"✗")</f>
        <v>✗</v>
      </c>
      <c r="J273" s="23" t="str">
        <f>IFERROR(__xludf.DUMMYFUNCTION("if(REGEXMATCH(join("", "",$F273:$G273),J$1)=TRUE,""✓"",""✗"")"),"✗")</f>
        <v>✗</v>
      </c>
      <c r="K273" s="23" t="str">
        <f>IFERROR(__xludf.DUMMYFUNCTION("if(REGEXMATCH(join("", "",$F273:$G273),K$1)=TRUE,""✓"",""✗"")"),"✗")</f>
        <v>✗</v>
      </c>
      <c r="L273" s="23" t="str">
        <f>IFERROR(__xludf.DUMMYFUNCTION("if(REGEXMATCH(join("", "",$F273:$G273),L$1)=TRUE,""✓"",""✗"")"),"✗")</f>
        <v>✗</v>
      </c>
      <c r="M273" s="23" t="str">
        <f>IFERROR(__xludf.DUMMYFUNCTION("if(REGEXMATCH(join("", "",$F273:$G273),M$1)=TRUE,""✓"",""✗"")"),"✗")</f>
        <v>✗</v>
      </c>
      <c r="N273" s="23" t="str">
        <f>IFERROR(__xludf.DUMMYFUNCTION("if(REGEXMATCH(join("", "",$F273:$G273),N$1)=TRUE,""✓"",""✗"")"),"✗")</f>
        <v>✗</v>
      </c>
      <c r="O273" s="23" t="str">
        <f>IFERROR(__xludf.DUMMYFUNCTION("if(REGEXMATCH(join("", "",$F273:$G273),O$1)=TRUE,""✓"",""✗"")"),"✗")</f>
        <v>✗</v>
      </c>
      <c r="P273" s="23" t="str">
        <f>IFERROR(__xludf.DUMMYFUNCTION("if(REGEXMATCH(join("", "",$F273:$G273),P$1)=TRUE,""✓"",""✗"")"),"✗")</f>
        <v>✗</v>
      </c>
      <c r="Q273" s="23" t="str">
        <f>IFERROR(__xludf.DUMMYFUNCTION("if(REGEXMATCH(join("", "",$F273:$G273),Q$1)=TRUE,""✓"",""✗"")"),"✗")</f>
        <v>✗</v>
      </c>
      <c r="R273" s="23" t="str">
        <f>IFERROR(__xludf.DUMMYFUNCTION("if(REGEXMATCH(join("", "",$F273:$G273),R$1)=TRUE,""✓"",""✗"")"),"✗")</f>
        <v>✗</v>
      </c>
      <c r="S273" s="23" t="str">
        <f>IFERROR(__xludf.DUMMYFUNCTION("if(REGEXMATCH(join("", "",$F273:$G273),S$1)=TRUE,""✓"",""✗"")"),"✗")</f>
        <v>✗</v>
      </c>
      <c r="T273" s="23" t="str">
        <f>IFERROR(__xludf.DUMMYFUNCTION("if(REGEXMATCH(join("", "",$F273:$G273),T$1)=TRUE,""✓"",""✗"")"),"✗")</f>
        <v>✗</v>
      </c>
      <c r="U273" s="33"/>
      <c r="V273" s="33"/>
      <c r="W273" s="33"/>
      <c r="X273" s="33"/>
      <c r="Y273" s="33"/>
      <c r="Z273" s="33"/>
      <c r="AA273" s="33"/>
      <c r="AB273" s="33"/>
      <c r="AC273" s="33"/>
    </row>
    <row r="274" hidden="1">
      <c r="A274" s="17" t="s">
        <v>302</v>
      </c>
      <c r="B274" s="33"/>
      <c r="C274" s="33"/>
      <c r="D274" s="33"/>
      <c r="E274" s="33"/>
      <c r="F274" s="33"/>
      <c r="G274" s="33"/>
      <c r="H274" s="23" t="str">
        <f>IFERROR(__xludf.DUMMYFUNCTION("if(REGEXMATCH(join("", "",$F274:$G274),H$1)=TRUE,""✓"",""✗"")"),"✗")</f>
        <v>✗</v>
      </c>
      <c r="I274" s="23" t="str">
        <f>IFERROR(__xludf.DUMMYFUNCTION("if(REGEXMATCH(join("", "",$F274:$G274),I$1)=TRUE,""✓"",""✗"")"),"✗")</f>
        <v>✗</v>
      </c>
      <c r="J274" s="23" t="str">
        <f>IFERROR(__xludf.DUMMYFUNCTION("if(REGEXMATCH(join("", "",$F274:$G274),J$1)=TRUE,""✓"",""✗"")"),"✗")</f>
        <v>✗</v>
      </c>
      <c r="K274" s="23" t="str">
        <f>IFERROR(__xludf.DUMMYFUNCTION("if(REGEXMATCH(join("", "",$F274:$G274),K$1)=TRUE,""✓"",""✗"")"),"✗")</f>
        <v>✗</v>
      </c>
      <c r="L274" s="23" t="str">
        <f>IFERROR(__xludf.DUMMYFUNCTION("if(REGEXMATCH(join("", "",$F274:$G274),L$1)=TRUE,""✓"",""✗"")"),"✗")</f>
        <v>✗</v>
      </c>
      <c r="M274" s="23" t="str">
        <f>IFERROR(__xludf.DUMMYFUNCTION("if(REGEXMATCH(join("", "",$F274:$G274),M$1)=TRUE,""✓"",""✗"")"),"✗")</f>
        <v>✗</v>
      </c>
      <c r="N274" s="23" t="str">
        <f>IFERROR(__xludf.DUMMYFUNCTION("if(REGEXMATCH(join("", "",$F274:$G274),N$1)=TRUE,""✓"",""✗"")"),"✗")</f>
        <v>✗</v>
      </c>
      <c r="O274" s="23" t="str">
        <f>IFERROR(__xludf.DUMMYFUNCTION("if(REGEXMATCH(join("", "",$F274:$G274),O$1)=TRUE,""✓"",""✗"")"),"✗")</f>
        <v>✗</v>
      </c>
      <c r="P274" s="23" t="str">
        <f>IFERROR(__xludf.DUMMYFUNCTION("if(REGEXMATCH(join("", "",$F274:$G274),P$1)=TRUE,""✓"",""✗"")"),"✗")</f>
        <v>✗</v>
      </c>
      <c r="Q274" s="23" t="str">
        <f>IFERROR(__xludf.DUMMYFUNCTION("if(REGEXMATCH(join("", "",$F274:$G274),Q$1)=TRUE,""✓"",""✗"")"),"✗")</f>
        <v>✗</v>
      </c>
      <c r="R274" s="23" t="str">
        <f>IFERROR(__xludf.DUMMYFUNCTION("if(REGEXMATCH(join("", "",$F274:$G274),R$1)=TRUE,""✓"",""✗"")"),"✗")</f>
        <v>✗</v>
      </c>
      <c r="S274" s="23" t="str">
        <f>IFERROR(__xludf.DUMMYFUNCTION("if(REGEXMATCH(join("", "",$F274:$G274),S$1)=TRUE,""✓"",""✗"")"),"✗")</f>
        <v>✗</v>
      </c>
      <c r="T274" s="23" t="str">
        <f>IFERROR(__xludf.DUMMYFUNCTION("if(REGEXMATCH(join("", "",$F274:$G274),T$1)=TRUE,""✓"",""✗"")"),"✗")</f>
        <v>✗</v>
      </c>
      <c r="U274" s="33"/>
      <c r="V274" s="33"/>
      <c r="W274" s="33"/>
      <c r="X274" s="33"/>
      <c r="Y274" s="33"/>
      <c r="Z274" s="33"/>
      <c r="AA274" s="33"/>
      <c r="AB274" s="33"/>
      <c r="AC274" s="33"/>
    </row>
    <row r="275" hidden="1">
      <c r="A275" s="17" t="s">
        <v>302</v>
      </c>
      <c r="B275" s="33"/>
      <c r="C275" s="33"/>
      <c r="D275" s="33"/>
      <c r="E275" s="33"/>
      <c r="F275" s="33"/>
      <c r="G275" s="33"/>
      <c r="H275" s="23" t="str">
        <f>IFERROR(__xludf.DUMMYFUNCTION("if(REGEXMATCH(join("", "",$F275:$G275),H$1)=TRUE,""✓"",""✗"")"),"✗")</f>
        <v>✗</v>
      </c>
      <c r="I275" s="23" t="str">
        <f>IFERROR(__xludf.DUMMYFUNCTION("if(REGEXMATCH(join("", "",$F275:$G275),I$1)=TRUE,""✓"",""✗"")"),"✗")</f>
        <v>✗</v>
      </c>
      <c r="J275" s="23" t="str">
        <f>IFERROR(__xludf.DUMMYFUNCTION("if(REGEXMATCH(join("", "",$F275:$G275),J$1)=TRUE,""✓"",""✗"")"),"✗")</f>
        <v>✗</v>
      </c>
      <c r="K275" s="23" t="str">
        <f>IFERROR(__xludf.DUMMYFUNCTION("if(REGEXMATCH(join("", "",$F275:$G275),K$1)=TRUE,""✓"",""✗"")"),"✗")</f>
        <v>✗</v>
      </c>
      <c r="L275" s="23" t="str">
        <f>IFERROR(__xludf.DUMMYFUNCTION("if(REGEXMATCH(join("", "",$F275:$G275),L$1)=TRUE,""✓"",""✗"")"),"✗")</f>
        <v>✗</v>
      </c>
      <c r="M275" s="23" t="str">
        <f>IFERROR(__xludf.DUMMYFUNCTION("if(REGEXMATCH(join("", "",$F275:$G275),M$1)=TRUE,""✓"",""✗"")"),"✗")</f>
        <v>✗</v>
      </c>
      <c r="N275" s="23" t="str">
        <f>IFERROR(__xludf.DUMMYFUNCTION("if(REGEXMATCH(join("", "",$F275:$G275),N$1)=TRUE,""✓"",""✗"")"),"✗")</f>
        <v>✗</v>
      </c>
      <c r="O275" s="23" t="str">
        <f>IFERROR(__xludf.DUMMYFUNCTION("if(REGEXMATCH(join("", "",$F275:$G275),O$1)=TRUE,""✓"",""✗"")"),"✗")</f>
        <v>✗</v>
      </c>
      <c r="P275" s="23" t="str">
        <f>IFERROR(__xludf.DUMMYFUNCTION("if(REGEXMATCH(join("", "",$F275:$G275),P$1)=TRUE,""✓"",""✗"")"),"✗")</f>
        <v>✗</v>
      </c>
      <c r="Q275" s="23" t="str">
        <f>IFERROR(__xludf.DUMMYFUNCTION("if(REGEXMATCH(join("", "",$F275:$G275),Q$1)=TRUE,""✓"",""✗"")"),"✗")</f>
        <v>✗</v>
      </c>
      <c r="R275" s="23" t="str">
        <f>IFERROR(__xludf.DUMMYFUNCTION("if(REGEXMATCH(join("", "",$F275:$G275),R$1)=TRUE,""✓"",""✗"")"),"✗")</f>
        <v>✗</v>
      </c>
      <c r="S275" s="23" t="str">
        <f>IFERROR(__xludf.DUMMYFUNCTION("if(REGEXMATCH(join("", "",$F275:$G275),S$1)=TRUE,""✓"",""✗"")"),"✗")</f>
        <v>✗</v>
      </c>
      <c r="T275" s="23" t="str">
        <f>IFERROR(__xludf.DUMMYFUNCTION("if(REGEXMATCH(join("", "",$F275:$G275),T$1)=TRUE,""✓"",""✗"")"),"✗")</f>
        <v>✗</v>
      </c>
      <c r="U275" s="33"/>
      <c r="V275" s="33"/>
      <c r="W275" s="33"/>
      <c r="X275" s="33"/>
      <c r="Y275" s="33"/>
      <c r="Z275" s="33"/>
      <c r="AA275" s="33"/>
      <c r="AB275" s="33"/>
      <c r="AC275" s="33"/>
    </row>
    <row r="276" hidden="1">
      <c r="A276" s="17" t="s">
        <v>302</v>
      </c>
      <c r="B276" s="33"/>
      <c r="C276" s="33"/>
      <c r="D276" s="33"/>
      <c r="E276" s="33"/>
      <c r="F276" s="33"/>
      <c r="G276" s="33"/>
      <c r="H276" s="23" t="str">
        <f>IFERROR(__xludf.DUMMYFUNCTION("if(REGEXMATCH(join("", "",$F276:$G276),H$1)=TRUE,""✓"",""✗"")"),"✗")</f>
        <v>✗</v>
      </c>
      <c r="I276" s="23" t="str">
        <f>IFERROR(__xludf.DUMMYFUNCTION("if(REGEXMATCH(join("", "",$F276:$G276),I$1)=TRUE,""✓"",""✗"")"),"✗")</f>
        <v>✗</v>
      </c>
      <c r="J276" s="23" t="str">
        <f>IFERROR(__xludf.DUMMYFUNCTION("if(REGEXMATCH(join("", "",$F276:$G276),J$1)=TRUE,""✓"",""✗"")"),"✗")</f>
        <v>✗</v>
      </c>
      <c r="K276" s="23" t="str">
        <f>IFERROR(__xludf.DUMMYFUNCTION("if(REGEXMATCH(join("", "",$F276:$G276),K$1)=TRUE,""✓"",""✗"")"),"✗")</f>
        <v>✗</v>
      </c>
      <c r="L276" s="23" t="str">
        <f>IFERROR(__xludf.DUMMYFUNCTION("if(REGEXMATCH(join("", "",$F276:$G276),L$1)=TRUE,""✓"",""✗"")"),"✗")</f>
        <v>✗</v>
      </c>
      <c r="M276" s="23" t="str">
        <f>IFERROR(__xludf.DUMMYFUNCTION("if(REGEXMATCH(join("", "",$F276:$G276),M$1)=TRUE,""✓"",""✗"")"),"✗")</f>
        <v>✗</v>
      </c>
      <c r="N276" s="23" t="str">
        <f>IFERROR(__xludf.DUMMYFUNCTION("if(REGEXMATCH(join("", "",$F276:$G276),N$1)=TRUE,""✓"",""✗"")"),"✗")</f>
        <v>✗</v>
      </c>
      <c r="O276" s="23" t="str">
        <f>IFERROR(__xludf.DUMMYFUNCTION("if(REGEXMATCH(join("", "",$F276:$G276),O$1)=TRUE,""✓"",""✗"")"),"✗")</f>
        <v>✗</v>
      </c>
      <c r="P276" s="23" t="str">
        <f>IFERROR(__xludf.DUMMYFUNCTION("if(REGEXMATCH(join("", "",$F276:$G276),P$1)=TRUE,""✓"",""✗"")"),"✗")</f>
        <v>✗</v>
      </c>
      <c r="Q276" s="23" t="str">
        <f>IFERROR(__xludf.DUMMYFUNCTION("if(REGEXMATCH(join("", "",$F276:$G276),Q$1)=TRUE,""✓"",""✗"")"),"✗")</f>
        <v>✗</v>
      </c>
      <c r="R276" s="23" t="str">
        <f>IFERROR(__xludf.DUMMYFUNCTION("if(REGEXMATCH(join("", "",$F276:$G276),R$1)=TRUE,""✓"",""✗"")"),"✗")</f>
        <v>✗</v>
      </c>
      <c r="S276" s="23" t="str">
        <f>IFERROR(__xludf.DUMMYFUNCTION("if(REGEXMATCH(join("", "",$F276:$G276),S$1)=TRUE,""✓"",""✗"")"),"✗")</f>
        <v>✗</v>
      </c>
      <c r="T276" s="23" t="str">
        <f>IFERROR(__xludf.DUMMYFUNCTION("if(REGEXMATCH(join("", "",$F276:$G276),T$1)=TRUE,""✓"",""✗"")"),"✗")</f>
        <v>✗</v>
      </c>
      <c r="U276" s="33"/>
      <c r="V276" s="33"/>
      <c r="W276" s="33"/>
      <c r="X276" s="33"/>
      <c r="Y276" s="33"/>
      <c r="Z276" s="33"/>
      <c r="AA276" s="33"/>
      <c r="AB276" s="33"/>
      <c r="AC276" s="33"/>
    </row>
    <row r="277" hidden="1">
      <c r="A277" s="17" t="s">
        <v>302</v>
      </c>
      <c r="B277" s="33"/>
      <c r="C277" s="33"/>
      <c r="D277" s="33"/>
      <c r="E277" s="33"/>
      <c r="F277" s="33"/>
      <c r="G277" s="33"/>
      <c r="H277" s="23" t="str">
        <f>IFERROR(__xludf.DUMMYFUNCTION("if(REGEXMATCH(join("", "",$F277:$G277),H$1)=TRUE,""✓"",""✗"")"),"✗")</f>
        <v>✗</v>
      </c>
      <c r="I277" s="23" t="str">
        <f>IFERROR(__xludf.DUMMYFUNCTION("if(REGEXMATCH(join("", "",$F277:$G277),I$1)=TRUE,""✓"",""✗"")"),"✗")</f>
        <v>✗</v>
      </c>
      <c r="J277" s="23" t="str">
        <f>IFERROR(__xludf.DUMMYFUNCTION("if(REGEXMATCH(join("", "",$F277:$G277),J$1)=TRUE,""✓"",""✗"")"),"✗")</f>
        <v>✗</v>
      </c>
      <c r="K277" s="23" t="str">
        <f>IFERROR(__xludf.DUMMYFUNCTION("if(REGEXMATCH(join("", "",$F277:$G277),K$1)=TRUE,""✓"",""✗"")"),"✗")</f>
        <v>✗</v>
      </c>
      <c r="L277" s="23" t="str">
        <f>IFERROR(__xludf.DUMMYFUNCTION("if(REGEXMATCH(join("", "",$F277:$G277),L$1)=TRUE,""✓"",""✗"")"),"✗")</f>
        <v>✗</v>
      </c>
      <c r="M277" s="23" t="str">
        <f>IFERROR(__xludf.DUMMYFUNCTION("if(REGEXMATCH(join("", "",$F277:$G277),M$1)=TRUE,""✓"",""✗"")"),"✗")</f>
        <v>✗</v>
      </c>
      <c r="N277" s="23" t="str">
        <f>IFERROR(__xludf.DUMMYFUNCTION("if(REGEXMATCH(join("", "",$F277:$G277),N$1)=TRUE,""✓"",""✗"")"),"✗")</f>
        <v>✗</v>
      </c>
      <c r="O277" s="23" t="str">
        <f>IFERROR(__xludf.DUMMYFUNCTION("if(REGEXMATCH(join("", "",$F277:$G277),O$1)=TRUE,""✓"",""✗"")"),"✗")</f>
        <v>✗</v>
      </c>
      <c r="P277" s="23" t="str">
        <f>IFERROR(__xludf.DUMMYFUNCTION("if(REGEXMATCH(join("", "",$F277:$G277),P$1)=TRUE,""✓"",""✗"")"),"✗")</f>
        <v>✗</v>
      </c>
      <c r="Q277" s="23" t="str">
        <f>IFERROR(__xludf.DUMMYFUNCTION("if(REGEXMATCH(join("", "",$F277:$G277),Q$1)=TRUE,""✓"",""✗"")"),"✗")</f>
        <v>✗</v>
      </c>
      <c r="R277" s="23" t="str">
        <f>IFERROR(__xludf.DUMMYFUNCTION("if(REGEXMATCH(join("", "",$F277:$G277),R$1)=TRUE,""✓"",""✗"")"),"✗")</f>
        <v>✗</v>
      </c>
      <c r="S277" s="23" t="str">
        <f>IFERROR(__xludf.DUMMYFUNCTION("if(REGEXMATCH(join("", "",$F277:$G277),S$1)=TRUE,""✓"",""✗"")"),"✗")</f>
        <v>✗</v>
      </c>
      <c r="T277" s="23" t="str">
        <f>IFERROR(__xludf.DUMMYFUNCTION("if(REGEXMATCH(join("", "",$F277:$G277),T$1)=TRUE,""✓"",""✗"")"),"✗")</f>
        <v>✗</v>
      </c>
      <c r="U277" s="33"/>
      <c r="V277" s="33"/>
      <c r="W277" s="33"/>
      <c r="X277" s="33"/>
      <c r="Y277" s="33"/>
      <c r="Z277" s="33"/>
      <c r="AA277" s="33"/>
      <c r="AB277" s="33"/>
      <c r="AC277" s="33"/>
    </row>
    <row r="278" hidden="1">
      <c r="A278" s="17" t="s">
        <v>302</v>
      </c>
      <c r="B278" s="33"/>
      <c r="C278" s="33"/>
      <c r="D278" s="33"/>
      <c r="E278" s="33"/>
      <c r="F278" s="33"/>
      <c r="G278" s="33"/>
      <c r="H278" s="23" t="str">
        <f>IFERROR(__xludf.DUMMYFUNCTION("if(REGEXMATCH(join("", "",$F278:$G278),H$1)=TRUE,""✓"",""✗"")"),"✗")</f>
        <v>✗</v>
      </c>
      <c r="I278" s="23" t="str">
        <f>IFERROR(__xludf.DUMMYFUNCTION("if(REGEXMATCH(join("", "",$F278:$G278),I$1)=TRUE,""✓"",""✗"")"),"✗")</f>
        <v>✗</v>
      </c>
      <c r="J278" s="23" t="str">
        <f>IFERROR(__xludf.DUMMYFUNCTION("if(REGEXMATCH(join("", "",$F278:$G278),J$1)=TRUE,""✓"",""✗"")"),"✗")</f>
        <v>✗</v>
      </c>
      <c r="K278" s="23" t="str">
        <f>IFERROR(__xludf.DUMMYFUNCTION("if(REGEXMATCH(join("", "",$F278:$G278),K$1)=TRUE,""✓"",""✗"")"),"✗")</f>
        <v>✗</v>
      </c>
      <c r="L278" s="23" t="str">
        <f>IFERROR(__xludf.DUMMYFUNCTION("if(REGEXMATCH(join("", "",$F278:$G278),L$1)=TRUE,""✓"",""✗"")"),"✗")</f>
        <v>✗</v>
      </c>
      <c r="M278" s="23" t="str">
        <f>IFERROR(__xludf.DUMMYFUNCTION("if(REGEXMATCH(join("", "",$F278:$G278),M$1)=TRUE,""✓"",""✗"")"),"✗")</f>
        <v>✗</v>
      </c>
      <c r="N278" s="23" t="str">
        <f>IFERROR(__xludf.DUMMYFUNCTION("if(REGEXMATCH(join("", "",$F278:$G278),N$1)=TRUE,""✓"",""✗"")"),"✗")</f>
        <v>✗</v>
      </c>
      <c r="O278" s="23" t="str">
        <f>IFERROR(__xludf.DUMMYFUNCTION("if(REGEXMATCH(join("", "",$F278:$G278),O$1)=TRUE,""✓"",""✗"")"),"✗")</f>
        <v>✗</v>
      </c>
      <c r="P278" s="23" t="str">
        <f>IFERROR(__xludf.DUMMYFUNCTION("if(REGEXMATCH(join("", "",$F278:$G278),P$1)=TRUE,""✓"",""✗"")"),"✗")</f>
        <v>✗</v>
      </c>
      <c r="Q278" s="23" t="str">
        <f>IFERROR(__xludf.DUMMYFUNCTION("if(REGEXMATCH(join("", "",$F278:$G278),Q$1)=TRUE,""✓"",""✗"")"),"✗")</f>
        <v>✗</v>
      </c>
      <c r="R278" s="23" t="str">
        <f>IFERROR(__xludf.DUMMYFUNCTION("if(REGEXMATCH(join("", "",$F278:$G278),R$1)=TRUE,""✓"",""✗"")"),"✗")</f>
        <v>✗</v>
      </c>
      <c r="S278" s="23" t="str">
        <f>IFERROR(__xludf.DUMMYFUNCTION("if(REGEXMATCH(join("", "",$F278:$G278),S$1)=TRUE,""✓"",""✗"")"),"✗")</f>
        <v>✗</v>
      </c>
      <c r="T278" s="23" t="str">
        <f>IFERROR(__xludf.DUMMYFUNCTION("if(REGEXMATCH(join("", "",$F278:$G278),T$1)=TRUE,""✓"",""✗"")"),"✗")</f>
        <v>✗</v>
      </c>
      <c r="U278" s="33"/>
      <c r="V278" s="33"/>
      <c r="W278" s="33"/>
      <c r="X278" s="33"/>
      <c r="Y278" s="33"/>
      <c r="Z278" s="33"/>
      <c r="AA278" s="33"/>
      <c r="AB278" s="33"/>
      <c r="AC278" s="33"/>
    </row>
    <row r="279" hidden="1">
      <c r="A279" s="17" t="s">
        <v>302</v>
      </c>
      <c r="B279" s="33"/>
      <c r="C279" s="33"/>
      <c r="D279" s="33"/>
      <c r="E279" s="33"/>
      <c r="F279" s="33"/>
      <c r="G279" s="33"/>
      <c r="H279" s="23" t="str">
        <f>IFERROR(__xludf.DUMMYFUNCTION("if(REGEXMATCH(join("", "",$F279:$G279),H$1)=TRUE,""✓"",""✗"")"),"✗")</f>
        <v>✗</v>
      </c>
      <c r="I279" s="23" t="str">
        <f>IFERROR(__xludf.DUMMYFUNCTION("if(REGEXMATCH(join("", "",$F279:$G279),I$1)=TRUE,""✓"",""✗"")"),"✗")</f>
        <v>✗</v>
      </c>
      <c r="J279" s="23" t="str">
        <f>IFERROR(__xludf.DUMMYFUNCTION("if(REGEXMATCH(join("", "",$F279:$G279),J$1)=TRUE,""✓"",""✗"")"),"✗")</f>
        <v>✗</v>
      </c>
      <c r="K279" s="23" t="str">
        <f>IFERROR(__xludf.DUMMYFUNCTION("if(REGEXMATCH(join("", "",$F279:$G279),K$1)=TRUE,""✓"",""✗"")"),"✗")</f>
        <v>✗</v>
      </c>
      <c r="L279" s="23" t="str">
        <f>IFERROR(__xludf.DUMMYFUNCTION("if(REGEXMATCH(join("", "",$F279:$G279),L$1)=TRUE,""✓"",""✗"")"),"✗")</f>
        <v>✗</v>
      </c>
      <c r="M279" s="23" t="str">
        <f>IFERROR(__xludf.DUMMYFUNCTION("if(REGEXMATCH(join("", "",$F279:$G279),M$1)=TRUE,""✓"",""✗"")"),"✗")</f>
        <v>✗</v>
      </c>
      <c r="N279" s="23" t="str">
        <f>IFERROR(__xludf.DUMMYFUNCTION("if(REGEXMATCH(join("", "",$F279:$G279),N$1)=TRUE,""✓"",""✗"")"),"✗")</f>
        <v>✗</v>
      </c>
      <c r="O279" s="23" t="str">
        <f>IFERROR(__xludf.DUMMYFUNCTION("if(REGEXMATCH(join("", "",$F279:$G279),O$1)=TRUE,""✓"",""✗"")"),"✗")</f>
        <v>✗</v>
      </c>
      <c r="P279" s="23" t="str">
        <f>IFERROR(__xludf.DUMMYFUNCTION("if(REGEXMATCH(join("", "",$F279:$G279),P$1)=TRUE,""✓"",""✗"")"),"✗")</f>
        <v>✗</v>
      </c>
      <c r="Q279" s="23" t="str">
        <f>IFERROR(__xludf.DUMMYFUNCTION("if(REGEXMATCH(join("", "",$F279:$G279),Q$1)=TRUE,""✓"",""✗"")"),"✗")</f>
        <v>✗</v>
      </c>
      <c r="R279" s="23" t="str">
        <f>IFERROR(__xludf.DUMMYFUNCTION("if(REGEXMATCH(join("", "",$F279:$G279),R$1)=TRUE,""✓"",""✗"")"),"✗")</f>
        <v>✗</v>
      </c>
      <c r="S279" s="23" t="str">
        <f>IFERROR(__xludf.DUMMYFUNCTION("if(REGEXMATCH(join("", "",$F279:$G279),S$1)=TRUE,""✓"",""✗"")"),"✗")</f>
        <v>✗</v>
      </c>
      <c r="T279" s="23" t="str">
        <f>IFERROR(__xludf.DUMMYFUNCTION("if(REGEXMATCH(join("", "",$F279:$G279),T$1)=TRUE,""✓"",""✗"")"),"✗")</f>
        <v>✗</v>
      </c>
      <c r="U279" s="33"/>
      <c r="V279" s="33"/>
      <c r="W279" s="33"/>
      <c r="X279" s="33"/>
      <c r="Y279" s="33"/>
      <c r="Z279" s="33"/>
      <c r="AA279" s="33"/>
      <c r="AB279" s="33"/>
      <c r="AC279" s="33"/>
    </row>
    <row r="280" hidden="1">
      <c r="A280" s="17" t="s">
        <v>302</v>
      </c>
      <c r="B280" s="33"/>
      <c r="C280" s="33"/>
      <c r="D280" s="33"/>
      <c r="E280" s="33"/>
      <c r="F280" s="33"/>
      <c r="G280" s="33"/>
      <c r="H280" s="23" t="str">
        <f>IFERROR(__xludf.DUMMYFUNCTION("if(REGEXMATCH(join("", "",$F280:$G280),H$1)=TRUE,""✓"",""✗"")"),"✗")</f>
        <v>✗</v>
      </c>
      <c r="I280" s="23" t="str">
        <f>IFERROR(__xludf.DUMMYFUNCTION("if(REGEXMATCH(join("", "",$F280:$G280),I$1)=TRUE,""✓"",""✗"")"),"✗")</f>
        <v>✗</v>
      </c>
      <c r="J280" s="23" t="str">
        <f>IFERROR(__xludf.DUMMYFUNCTION("if(REGEXMATCH(join("", "",$F280:$G280),J$1)=TRUE,""✓"",""✗"")"),"✗")</f>
        <v>✗</v>
      </c>
      <c r="K280" s="23" t="str">
        <f>IFERROR(__xludf.DUMMYFUNCTION("if(REGEXMATCH(join("", "",$F280:$G280),K$1)=TRUE,""✓"",""✗"")"),"✗")</f>
        <v>✗</v>
      </c>
      <c r="L280" s="23" t="str">
        <f>IFERROR(__xludf.DUMMYFUNCTION("if(REGEXMATCH(join("", "",$F280:$G280),L$1)=TRUE,""✓"",""✗"")"),"✗")</f>
        <v>✗</v>
      </c>
      <c r="M280" s="23" t="str">
        <f>IFERROR(__xludf.DUMMYFUNCTION("if(REGEXMATCH(join("", "",$F280:$G280),M$1)=TRUE,""✓"",""✗"")"),"✗")</f>
        <v>✗</v>
      </c>
      <c r="N280" s="23" t="str">
        <f>IFERROR(__xludf.DUMMYFUNCTION("if(REGEXMATCH(join("", "",$F280:$G280),N$1)=TRUE,""✓"",""✗"")"),"✗")</f>
        <v>✗</v>
      </c>
      <c r="O280" s="23" t="str">
        <f>IFERROR(__xludf.DUMMYFUNCTION("if(REGEXMATCH(join("", "",$F280:$G280),O$1)=TRUE,""✓"",""✗"")"),"✗")</f>
        <v>✗</v>
      </c>
      <c r="P280" s="23" t="str">
        <f>IFERROR(__xludf.DUMMYFUNCTION("if(REGEXMATCH(join("", "",$F280:$G280),P$1)=TRUE,""✓"",""✗"")"),"✗")</f>
        <v>✗</v>
      </c>
      <c r="Q280" s="23" t="str">
        <f>IFERROR(__xludf.DUMMYFUNCTION("if(REGEXMATCH(join("", "",$F280:$G280),Q$1)=TRUE,""✓"",""✗"")"),"✗")</f>
        <v>✗</v>
      </c>
      <c r="R280" s="23" t="str">
        <f>IFERROR(__xludf.DUMMYFUNCTION("if(REGEXMATCH(join("", "",$F280:$G280),R$1)=TRUE,""✓"",""✗"")"),"✗")</f>
        <v>✗</v>
      </c>
      <c r="S280" s="23" t="str">
        <f>IFERROR(__xludf.DUMMYFUNCTION("if(REGEXMATCH(join("", "",$F280:$G280),S$1)=TRUE,""✓"",""✗"")"),"✗")</f>
        <v>✗</v>
      </c>
      <c r="T280" s="23" t="str">
        <f>IFERROR(__xludf.DUMMYFUNCTION("if(REGEXMATCH(join("", "",$F280:$G280),T$1)=TRUE,""✓"",""✗"")"),"✗")</f>
        <v>✗</v>
      </c>
      <c r="U280" s="33"/>
      <c r="V280" s="33"/>
      <c r="W280" s="33"/>
      <c r="X280" s="33"/>
      <c r="Y280" s="33"/>
      <c r="Z280" s="33"/>
      <c r="AA280" s="33"/>
      <c r="AB280" s="33"/>
      <c r="AC280" s="33"/>
    </row>
    <row r="281" hidden="1">
      <c r="A281" s="17" t="s">
        <v>302</v>
      </c>
      <c r="B281" s="33"/>
      <c r="C281" s="33"/>
      <c r="D281" s="33"/>
      <c r="E281" s="33"/>
      <c r="F281" s="33"/>
      <c r="G281" s="33"/>
      <c r="H281" s="23" t="str">
        <f>IFERROR(__xludf.DUMMYFUNCTION("if(REGEXMATCH(join("", "",$F281:$G281),H$1)=TRUE,""✓"",""✗"")"),"✗")</f>
        <v>✗</v>
      </c>
      <c r="I281" s="23" t="str">
        <f>IFERROR(__xludf.DUMMYFUNCTION("if(REGEXMATCH(join("", "",$F281:$G281),I$1)=TRUE,""✓"",""✗"")"),"✗")</f>
        <v>✗</v>
      </c>
      <c r="J281" s="23" t="str">
        <f>IFERROR(__xludf.DUMMYFUNCTION("if(REGEXMATCH(join("", "",$F281:$G281),J$1)=TRUE,""✓"",""✗"")"),"✗")</f>
        <v>✗</v>
      </c>
      <c r="K281" s="23" t="str">
        <f>IFERROR(__xludf.DUMMYFUNCTION("if(REGEXMATCH(join("", "",$F281:$G281),K$1)=TRUE,""✓"",""✗"")"),"✗")</f>
        <v>✗</v>
      </c>
      <c r="L281" s="23" t="str">
        <f>IFERROR(__xludf.DUMMYFUNCTION("if(REGEXMATCH(join("", "",$F281:$G281),L$1)=TRUE,""✓"",""✗"")"),"✗")</f>
        <v>✗</v>
      </c>
      <c r="M281" s="23" t="str">
        <f>IFERROR(__xludf.DUMMYFUNCTION("if(REGEXMATCH(join("", "",$F281:$G281),M$1)=TRUE,""✓"",""✗"")"),"✗")</f>
        <v>✗</v>
      </c>
      <c r="N281" s="23" t="str">
        <f>IFERROR(__xludf.DUMMYFUNCTION("if(REGEXMATCH(join("", "",$F281:$G281),N$1)=TRUE,""✓"",""✗"")"),"✗")</f>
        <v>✗</v>
      </c>
      <c r="O281" s="23" t="str">
        <f>IFERROR(__xludf.DUMMYFUNCTION("if(REGEXMATCH(join("", "",$F281:$G281),O$1)=TRUE,""✓"",""✗"")"),"✗")</f>
        <v>✗</v>
      </c>
      <c r="P281" s="23" t="str">
        <f>IFERROR(__xludf.DUMMYFUNCTION("if(REGEXMATCH(join("", "",$F281:$G281),P$1)=TRUE,""✓"",""✗"")"),"✗")</f>
        <v>✗</v>
      </c>
      <c r="Q281" s="23" t="str">
        <f>IFERROR(__xludf.DUMMYFUNCTION("if(REGEXMATCH(join("", "",$F281:$G281),Q$1)=TRUE,""✓"",""✗"")"),"✗")</f>
        <v>✗</v>
      </c>
      <c r="R281" s="23" t="str">
        <f>IFERROR(__xludf.DUMMYFUNCTION("if(REGEXMATCH(join("", "",$F281:$G281),R$1)=TRUE,""✓"",""✗"")"),"✗")</f>
        <v>✗</v>
      </c>
      <c r="S281" s="23" t="str">
        <f>IFERROR(__xludf.DUMMYFUNCTION("if(REGEXMATCH(join("", "",$F281:$G281),S$1)=TRUE,""✓"",""✗"")"),"✗")</f>
        <v>✗</v>
      </c>
      <c r="T281" s="23" t="str">
        <f>IFERROR(__xludf.DUMMYFUNCTION("if(REGEXMATCH(join("", "",$F281:$G281),T$1)=TRUE,""✓"",""✗"")"),"✗")</f>
        <v>✗</v>
      </c>
      <c r="U281" s="33"/>
      <c r="V281" s="33"/>
      <c r="W281" s="33"/>
      <c r="X281" s="33"/>
      <c r="Y281" s="33"/>
      <c r="Z281" s="33"/>
      <c r="AA281" s="33"/>
      <c r="AB281" s="33"/>
      <c r="AC281" s="33"/>
    </row>
    <row r="282" hidden="1">
      <c r="A282" s="17" t="s">
        <v>302</v>
      </c>
      <c r="B282" s="33"/>
      <c r="C282" s="33"/>
      <c r="D282" s="33"/>
      <c r="E282" s="33"/>
      <c r="F282" s="33"/>
      <c r="G282" s="33"/>
      <c r="H282" s="23" t="str">
        <f>IFERROR(__xludf.DUMMYFUNCTION("if(REGEXMATCH(join("", "",$F282:$G282),H$1)=TRUE,""✓"",""✗"")"),"✗")</f>
        <v>✗</v>
      </c>
      <c r="I282" s="23" t="str">
        <f>IFERROR(__xludf.DUMMYFUNCTION("if(REGEXMATCH(join("", "",$F282:$G282),I$1)=TRUE,""✓"",""✗"")"),"✗")</f>
        <v>✗</v>
      </c>
      <c r="J282" s="23" t="str">
        <f>IFERROR(__xludf.DUMMYFUNCTION("if(REGEXMATCH(join("", "",$F282:$G282),J$1)=TRUE,""✓"",""✗"")"),"✗")</f>
        <v>✗</v>
      </c>
      <c r="K282" s="23" t="str">
        <f>IFERROR(__xludf.DUMMYFUNCTION("if(REGEXMATCH(join("", "",$F282:$G282),K$1)=TRUE,""✓"",""✗"")"),"✗")</f>
        <v>✗</v>
      </c>
      <c r="L282" s="23" t="str">
        <f>IFERROR(__xludf.DUMMYFUNCTION("if(REGEXMATCH(join("", "",$F282:$G282),L$1)=TRUE,""✓"",""✗"")"),"✗")</f>
        <v>✗</v>
      </c>
      <c r="M282" s="23" t="str">
        <f>IFERROR(__xludf.DUMMYFUNCTION("if(REGEXMATCH(join("", "",$F282:$G282),M$1)=TRUE,""✓"",""✗"")"),"✗")</f>
        <v>✗</v>
      </c>
      <c r="N282" s="23" t="str">
        <f>IFERROR(__xludf.DUMMYFUNCTION("if(REGEXMATCH(join("", "",$F282:$G282),N$1)=TRUE,""✓"",""✗"")"),"✗")</f>
        <v>✗</v>
      </c>
      <c r="O282" s="23" t="str">
        <f>IFERROR(__xludf.DUMMYFUNCTION("if(REGEXMATCH(join("", "",$F282:$G282),O$1)=TRUE,""✓"",""✗"")"),"✗")</f>
        <v>✗</v>
      </c>
      <c r="P282" s="23" t="str">
        <f>IFERROR(__xludf.DUMMYFUNCTION("if(REGEXMATCH(join("", "",$F282:$G282),P$1)=TRUE,""✓"",""✗"")"),"✗")</f>
        <v>✗</v>
      </c>
      <c r="Q282" s="23" t="str">
        <f>IFERROR(__xludf.DUMMYFUNCTION("if(REGEXMATCH(join("", "",$F282:$G282),Q$1)=TRUE,""✓"",""✗"")"),"✗")</f>
        <v>✗</v>
      </c>
      <c r="R282" s="23" t="str">
        <f>IFERROR(__xludf.DUMMYFUNCTION("if(REGEXMATCH(join("", "",$F282:$G282),R$1)=TRUE,""✓"",""✗"")"),"✗")</f>
        <v>✗</v>
      </c>
      <c r="S282" s="23" t="str">
        <f>IFERROR(__xludf.DUMMYFUNCTION("if(REGEXMATCH(join("", "",$F282:$G282),S$1)=TRUE,""✓"",""✗"")"),"✗")</f>
        <v>✗</v>
      </c>
      <c r="T282" s="23" t="str">
        <f>IFERROR(__xludf.DUMMYFUNCTION("if(REGEXMATCH(join("", "",$F282:$G282),T$1)=TRUE,""✓"",""✗"")"),"✗")</f>
        <v>✗</v>
      </c>
      <c r="U282" s="33"/>
      <c r="V282" s="33"/>
      <c r="W282" s="33"/>
      <c r="X282" s="33"/>
      <c r="Y282" s="33"/>
      <c r="Z282" s="33"/>
      <c r="AA282" s="33"/>
      <c r="AB282" s="33"/>
      <c r="AC282" s="33"/>
    </row>
    <row r="283" hidden="1">
      <c r="A283" s="17" t="s">
        <v>302</v>
      </c>
      <c r="B283" s="33"/>
      <c r="C283" s="33"/>
      <c r="D283" s="33"/>
      <c r="E283" s="33"/>
      <c r="F283" s="33"/>
      <c r="G283" s="33"/>
      <c r="H283" s="23" t="str">
        <f>IFERROR(__xludf.DUMMYFUNCTION("if(REGEXMATCH(join("", "",$F283:$G283),H$1)=TRUE,""✓"",""✗"")"),"✗")</f>
        <v>✗</v>
      </c>
      <c r="I283" s="23" t="str">
        <f>IFERROR(__xludf.DUMMYFUNCTION("if(REGEXMATCH(join("", "",$F283:$G283),I$1)=TRUE,""✓"",""✗"")"),"✗")</f>
        <v>✗</v>
      </c>
      <c r="J283" s="23" t="str">
        <f>IFERROR(__xludf.DUMMYFUNCTION("if(REGEXMATCH(join("", "",$F283:$G283),J$1)=TRUE,""✓"",""✗"")"),"✗")</f>
        <v>✗</v>
      </c>
      <c r="K283" s="23" t="str">
        <f>IFERROR(__xludf.DUMMYFUNCTION("if(REGEXMATCH(join("", "",$F283:$G283),K$1)=TRUE,""✓"",""✗"")"),"✗")</f>
        <v>✗</v>
      </c>
      <c r="L283" s="23" t="str">
        <f>IFERROR(__xludf.DUMMYFUNCTION("if(REGEXMATCH(join("", "",$F283:$G283),L$1)=TRUE,""✓"",""✗"")"),"✗")</f>
        <v>✗</v>
      </c>
      <c r="M283" s="23" t="str">
        <f>IFERROR(__xludf.DUMMYFUNCTION("if(REGEXMATCH(join("", "",$F283:$G283),M$1)=TRUE,""✓"",""✗"")"),"✗")</f>
        <v>✗</v>
      </c>
      <c r="N283" s="23" t="str">
        <f>IFERROR(__xludf.DUMMYFUNCTION("if(REGEXMATCH(join("", "",$F283:$G283),N$1)=TRUE,""✓"",""✗"")"),"✗")</f>
        <v>✗</v>
      </c>
      <c r="O283" s="23" t="str">
        <f>IFERROR(__xludf.DUMMYFUNCTION("if(REGEXMATCH(join("", "",$F283:$G283),O$1)=TRUE,""✓"",""✗"")"),"✗")</f>
        <v>✗</v>
      </c>
      <c r="P283" s="23" t="str">
        <f>IFERROR(__xludf.DUMMYFUNCTION("if(REGEXMATCH(join("", "",$F283:$G283),P$1)=TRUE,""✓"",""✗"")"),"✗")</f>
        <v>✗</v>
      </c>
      <c r="Q283" s="23" t="str">
        <f>IFERROR(__xludf.DUMMYFUNCTION("if(REGEXMATCH(join("", "",$F283:$G283),Q$1)=TRUE,""✓"",""✗"")"),"✗")</f>
        <v>✗</v>
      </c>
      <c r="R283" s="23" t="str">
        <f>IFERROR(__xludf.DUMMYFUNCTION("if(REGEXMATCH(join("", "",$F283:$G283),R$1)=TRUE,""✓"",""✗"")"),"✗")</f>
        <v>✗</v>
      </c>
      <c r="S283" s="23" t="str">
        <f>IFERROR(__xludf.DUMMYFUNCTION("if(REGEXMATCH(join("", "",$F283:$G283),S$1)=TRUE,""✓"",""✗"")"),"✗")</f>
        <v>✗</v>
      </c>
      <c r="T283" s="23" t="str">
        <f>IFERROR(__xludf.DUMMYFUNCTION("if(REGEXMATCH(join("", "",$F283:$G283),T$1)=TRUE,""✓"",""✗"")"),"✗")</f>
        <v>✗</v>
      </c>
      <c r="U283" s="33"/>
      <c r="V283" s="33"/>
      <c r="W283" s="33"/>
      <c r="X283" s="33"/>
      <c r="Y283" s="33"/>
      <c r="Z283" s="33"/>
      <c r="AA283" s="33"/>
      <c r="AB283" s="33"/>
      <c r="AC283" s="33"/>
    </row>
    <row r="284" hidden="1">
      <c r="A284" s="17" t="s">
        <v>302</v>
      </c>
      <c r="B284" s="33"/>
      <c r="C284" s="33"/>
      <c r="D284" s="33"/>
      <c r="E284" s="33"/>
      <c r="F284" s="33"/>
      <c r="G284" s="33"/>
      <c r="H284" s="23" t="str">
        <f>IFERROR(__xludf.DUMMYFUNCTION("if(REGEXMATCH(join("", "",$F284:$G284),H$1)=TRUE,""✓"",""✗"")"),"✗")</f>
        <v>✗</v>
      </c>
      <c r="I284" s="23" t="str">
        <f>IFERROR(__xludf.DUMMYFUNCTION("if(REGEXMATCH(join("", "",$F284:$G284),I$1)=TRUE,""✓"",""✗"")"),"✗")</f>
        <v>✗</v>
      </c>
      <c r="J284" s="23" t="str">
        <f>IFERROR(__xludf.DUMMYFUNCTION("if(REGEXMATCH(join("", "",$F284:$G284),J$1)=TRUE,""✓"",""✗"")"),"✗")</f>
        <v>✗</v>
      </c>
      <c r="K284" s="23" t="str">
        <f>IFERROR(__xludf.DUMMYFUNCTION("if(REGEXMATCH(join("", "",$F284:$G284),K$1)=TRUE,""✓"",""✗"")"),"✗")</f>
        <v>✗</v>
      </c>
      <c r="L284" s="23" t="str">
        <f>IFERROR(__xludf.DUMMYFUNCTION("if(REGEXMATCH(join("", "",$F284:$G284),L$1)=TRUE,""✓"",""✗"")"),"✗")</f>
        <v>✗</v>
      </c>
      <c r="M284" s="23" t="str">
        <f>IFERROR(__xludf.DUMMYFUNCTION("if(REGEXMATCH(join("", "",$F284:$G284),M$1)=TRUE,""✓"",""✗"")"),"✗")</f>
        <v>✗</v>
      </c>
      <c r="N284" s="23" t="str">
        <f>IFERROR(__xludf.DUMMYFUNCTION("if(REGEXMATCH(join("", "",$F284:$G284),N$1)=TRUE,""✓"",""✗"")"),"✗")</f>
        <v>✗</v>
      </c>
      <c r="O284" s="23" t="str">
        <f>IFERROR(__xludf.DUMMYFUNCTION("if(REGEXMATCH(join("", "",$F284:$G284),O$1)=TRUE,""✓"",""✗"")"),"✗")</f>
        <v>✗</v>
      </c>
      <c r="P284" s="23" t="str">
        <f>IFERROR(__xludf.DUMMYFUNCTION("if(REGEXMATCH(join("", "",$F284:$G284),P$1)=TRUE,""✓"",""✗"")"),"✗")</f>
        <v>✗</v>
      </c>
      <c r="Q284" s="23" t="str">
        <f>IFERROR(__xludf.DUMMYFUNCTION("if(REGEXMATCH(join("", "",$F284:$G284),Q$1)=TRUE,""✓"",""✗"")"),"✗")</f>
        <v>✗</v>
      </c>
      <c r="R284" s="23" t="str">
        <f>IFERROR(__xludf.DUMMYFUNCTION("if(REGEXMATCH(join("", "",$F284:$G284),R$1)=TRUE,""✓"",""✗"")"),"✗")</f>
        <v>✗</v>
      </c>
      <c r="S284" s="23" t="str">
        <f>IFERROR(__xludf.DUMMYFUNCTION("if(REGEXMATCH(join("", "",$F284:$G284),S$1)=TRUE,""✓"",""✗"")"),"✗")</f>
        <v>✗</v>
      </c>
      <c r="T284" s="23" t="str">
        <f>IFERROR(__xludf.DUMMYFUNCTION("if(REGEXMATCH(join("", "",$F284:$G284),T$1)=TRUE,""✓"",""✗"")"),"✗")</f>
        <v>✗</v>
      </c>
      <c r="U284" s="33"/>
      <c r="V284" s="33"/>
      <c r="W284" s="33"/>
      <c r="X284" s="33"/>
      <c r="Y284" s="33"/>
      <c r="Z284" s="33"/>
      <c r="AA284" s="33"/>
      <c r="AB284" s="33"/>
      <c r="AC284" s="33"/>
    </row>
    <row r="285" hidden="1">
      <c r="A285" s="17" t="s">
        <v>302</v>
      </c>
      <c r="B285" s="33"/>
      <c r="C285" s="33"/>
      <c r="D285" s="33"/>
      <c r="E285" s="33"/>
      <c r="F285" s="33"/>
      <c r="G285" s="33"/>
      <c r="H285" s="23" t="str">
        <f>IFERROR(__xludf.DUMMYFUNCTION("if(REGEXMATCH(join("", "",$F285:$G285),H$1)=TRUE,""✓"",""✗"")"),"✗")</f>
        <v>✗</v>
      </c>
      <c r="I285" s="23" t="str">
        <f>IFERROR(__xludf.DUMMYFUNCTION("if(REGEXMATCH(join("", "",$F285:$G285),I$1)=TRUE,""✓"",""✗"")"),"✗")</f>
        <v>✗</v>
      </c>
      <c r="J285" s="23" t="str">
        <f>IFERROR(__xludf.DUMMYFUNCTION("if(REGEXMATCH(join("", "",$F285:$G285),J$1)=TRUE,""✓"",""✗"")"),"✗")</f>
        <v>✗</v>
      </c>
      <c r="K285" s="23" t="str">
        <f>IFERROR(__xludf.DUMMYFUNCTION("if(REGEXMATCH(join("", "",$F285:$G285),K$1)=TRUE,""✓"",""✗"")"),"✗")</f>
        <v>✗</v>
      </c>
      <c r="L285" s="23" t="str">
        <f>IFERROR(__xludf.DUMMYFUNCTION("if(REGEXMATCH(join("", "",$F285:$G285),L$1)=TRUE,""✓"",""✗"")"),"✗")</f>
        <v>✗</v>
      </c>
      <c r="M285" s="23" t="str">
        <f>IFERROR(__xludf.DUMMYFUNCTION("if(REGEXMATCH(join("", "",$F285:$G285),M$1)=TRUE,""✓"",""✗"")"),"✗")</f>
        <v>✗</v>
      </c>
      <c r="N285" s="23" t="str">
        <f>IFERROR(__xludf.DUMMYFUNCTION("if(REGEXMATCH(join("", "",$F285:$G285),N$1)=TRUE,""✓"",""✗"")"),"✗")</f>
        <v>✗</v>
      </c>
      <c r="O285" s="23" t="str">
        <f>IFERROR(__xludf.DUMMYFUNCTION("if(REGEXMATCH(join("", "",$F285:$G285),O$1)=TRUE,""✓"",""✗"")"),"✗")</f>
        <v>✗</v>
      </c>
      <c r="P285" s="23" t="str">
        <f>IFERROR(__xludf.DUMMYFUNCTION("if(REGEXMATCH(join("", "",$F285:$G285),P$1)=TRUE,""✓"",""✗"")"),"✗")</f>
        <v>✗</v>
      </c>
      <c r="Q285" s="23" t="str">
        <f>IFERROR(__xludf.DUMMYFUNCTION("if(REGEXMATCH(join("", "",$F285:$G285),Q$1)=TRUE,""✓"",""✗"")"),"✗")</f>
        <v>✗</v>
      </c>
      <c r="R285" s="23" t="str">
        <f>IFERROR(__xludf.DUMMYFUNCTION("if(REGEXMATCH(join("", "",$F285:$G285),R$1)=TRUE,""✓"",""✗"")"),"✗")</f>
        <v>✗</v>
      </c>
      <c r="S285" s="23" t="str">
        <f>IFERROR(__xludf.DUMMYFUNCTION("if(REGEXMATCH(join("", "",$F285:$G285),S$1)=TRUE,""✓"",""✗"")"),"✗")</f>
        <v>✗</v>
      </c>
      <c r="T285" s="23" t="str">
        <f>IFERROR(__xludf.DUMMYFUNCTION("if(REGEXMATCH(join("", "",$F285:$G285),T$1)=TRUE,""✓"",""✗"")"),"✗")</f>
        <v>✗</v>
      </c>
      <c r="U285" s="33"/>
      <c r="V285" s="33"/>
      <c r="W285" s="33"/>
      <c r="X285" s="33"/>
      <c r="Y285" s="33"/>
      <c r="Z285" s="33"/>
      <c r="AA285" s="33"/>
      <c r="AB285" s="33"/>
      <c r="AC285" s="33"/>
    </row>
    <row r="286" hidden="1">
      <c r="A286" s="17" t="s">
        <v>302</v>
      </c>
      <c r="B286" s="33"/>
      <c r="C286" s="33"/>
      <c r="D286" s="33"/>
      <c r="E286" s="33"/>
      <c r="F286" s="33"/>
      <c r="G286" s="33"/>
      <c r="H286" s="23" t="str">
        <f>IFERROR(__xludf.DUMMYFUNCTION("if(REGEXMATCH(join("", "",$F286:$G286),H$1)=TRUE,""✓"",""✗"")"),"✗")</f>
        <v>✗</v>
      </c>
      <c r="I286" s="23" t="str">
        <f>IFERROR(__xludf.DUMMYFUNCTION("if(REGEXMATCH(join("", "",$F286:$G286),I$1)=TRUE,""✓"",""✗"")"),"✗")</f>
        <v>✗</v>
      </c>
      <c r="J286" s="23" t="str">
        <f>IFERROR(__xludf.DUMMYFUNCTION("if(REGEXMATCH(join("", "",$F286:$G286),J$1)=TRUE,""✓"",""✗"")"),"✗")</f>
        <v>✗</v>
      </c>
      <c r="K286" s="23" t="str">
        <f>IFERROR(__xludf.DUMMYFUNCTION("if(REGEXMATCH(join("", "",$F286:$G286),K$1)=TRUE,""✓"",""✗"")"),"✗")</f>
        <v>✗</v>
      </c>
      <c r="L286" s="23" t="str">
        <f>IFERROR(__xludf.DUMMYFUNCTION("if(REGEXMATCH(join("", "",$F286:$G286),L$1)=TRUE,""✓"",""✗"")"),"✗")</f>
        <v>✗</v>
      </c>
      <c r="M286" s="23" t="str">
        <f>IFERROR(__xludf.DUMMYFUNCTION("if(REGEXMATCH(join("", "",$F286:$G286),M$1)=TRUE,""✓"",""✗"")"),"✗")</f>
        <v>✗</v>
      </c>
      <c r="N286" s="23" t="str">
        <f>IFERROR(__xludf.DUMMYFUNCTION("if(REGEXMATCH(join("", "",$F286:$G286),N$1)=TRUE,""✓"",""✗"")"),"✗")</f>
        <v>✗</v>
      </c>
      <c r="O286" s="23" t="str">
        <f>IFERROR(__xludf.DUMMYFUNCTION("if(REGEXMATCH(join("", "",$F286:$G286),O$1)=TRUE,""✓"",""✗"")"),"✗")</f>
        <v>✗</v>
      </c>
      <c r="P286" s="23" t="str">
        <f>IFERROR(__xludf.DUMMYFUNCTION("if(REGEXMATCH(join("", "",$F286:$G286),P$1)=TRUE,""✓"",""✗"")"),"✗")</f>
        <v>✗</v>
      </c>
      <c r="Q286" s="23" t="str">
        <f>IFERROR(__xludf.DUMMYFUNCTION("if(REGEXMATCH(join("", "",$F286:$G286),Q$1)=TRUE,""✓"",""✗"")"),"✗")</f>
        <v>✗</v>
      </c>
      <c r="R286" s="23" t="str">
        <f>IFERROR(__xludf.DUMMYFUNCTION("if(REGEXMATCH(join("", "",$F286:$G286),R$1)=TRUE,""✓"",""✗"")"),"✗")</f>
        <v>✗</v>
      </c>
      <c r="S286" s="23" t="str">
        <f>IFERROR(__xludf.DUMMYFUNCTION("if(REGEXMATCH(join("", "",$F286:$G286),S$1)=TRUE,""✓"",""✗"")"),"✗")</f>
        <v>✗</v>
      </c>
      <c r="T286" s="23" t="str">
        <f>IFERROR(__xludf.DUMMYFUNCTION("if(REGEXMATCH(join("", "",$F286:$G286),T$1)=TRUE,""✓"",""✗"")"),"✗")</f>
        <v>✗</v>
      </c>
      <c r="U286" s="33"/>
      <c r="V286" s="33"/>
      <c r="W286" s="33"/>
      <c r="X286" s="33"/>
      <c r="Y286" s="33"/>
      <c r="Z286" s="33"/>
      <c r="AA286" s="33"/>
      <c r="AB286" s="33"/>
      <c r="AC286" s="33"/>
    </row>
    <row r="287" hidden="1">
      <c r="A287" s="17" t="s">
        <v>302</v>
      </c>
      <c r="B287" s="33"/>
      <c r="C287" s="33"/>
      <c r="D287" s="33"/>
      <c r="E287" s="33"/>
      <c r="F287" s="33"/>
      <c r="G287" s="33"/>
      <c r="H287" s="23" t="str">
        <f>IFERROR(__xludf.DUMMYFUNCTION("if(REGEXMATCH(join("", "",$F287:$G287),H$1)=TRUE,""✓"",""✗"")"),"✗")</f>
        <v>✗</v>
      </c>
      <c r="I287" s="23" t="str">
        <f>IFERROR(__xludf.DUMMYFUNCTION("if(REGEXMATCH(join("", "",$F287:$G287),I$1)=TRUE,""✓"",""✗"")"),"✗")</f>
        <v>✗</v>
      </c>
      <c r="J287" s="23" t="str">
        <f>IFERROR(__xludf.DUMMYFUNCTION("if(REGEXMATCH(join("", "",$F287:$G287),J$1)=TRUE,""✓"",""✗"")"),"✗")</f>
        <v>✗</v>
      </c>
      <c r="K287" s="23" t="str">
        <f>IFERROR(__xludf.DUMMYFUNCTION("if(REGEXMATCH(join("", "",$F287:$G287),K$1)=TRUE,""✓"",""✗"")"),"✗")</f>
        <v>✗</v>
      </c>
      <c r="L287" s="23" t="str">
        <f>IFERROR(__xludf.DUMMYFUNCTION("if(REGEXMATCH(join("", "",$F287:$G287),L$1)=TRUE,""✓"",""✗"")"),"✗")</f>
        <v>✗</v>
      </c>
      <c r="M287" s="23" t="str">
        <f>IFERROR(__xludf.DUMMYFUNCTION("if(REGEXMATCH(join("", "",$F287:$G287),M$1)=TRUE,""✓"",""✗"")"),"✗")</f>
        <v>✗</v>
      </c>
      <c r="N287" s="23" t="str">
        <f>IFERROR(__xludf.DUMMYFUNCTION("if(REGEXMATCH(join("", "",$F287:$G287),N$1)=TRUE,""✓"",""✗"")"),"✗")</f>
        <v>✗</v>
      </c>
      <c r="O287" s="23" t="str">
        <f>IFERROR(__xludf.DUMMYFUNCTION("if(REGEXMATCH(join("", "",$F287:$G287),O$1)=TRUE,""✓"",""✗"")"),"✗")</f>
        <v>✗</v>
      </c>
      <c r="P287" s="23" t="str">
        <f>IFERROR(__xludf.DUMMYFUNCTION("if(REGEXMATCH(join("", "",$F287:$G287),P$1)=TRUE,""✓"",""✗"")"),"✗")</f>
        <v>✗</v>
      </c>
      <c r="Q287" s="23" t="str">
        <f>IFERROR(__xludf.DUMMYFUNCTION("if(REGEXMATCH(join("", "",$F287:$G287),Q$1)=TRUE,""✓"",""✗"")"),"✗")</f>
        <v>✗</v>
      </c>
      <c r="R287" s="23" t="str">
        <f>IFERROR(__xludf.DUMMYFUNCTION("if(REGEXMATCH(join("", "",$F287:$G287),R$1)=TRUE,""✓"",""✗"")"),"✗")</f>
        <v>✗</v>
      </c>
      <c r="S287" s="23" t="str">
        <f>IFERROR(__xludf.DUMMYFUNCTION("if(REGEXMATCH(join("", "",$F287:$G287),S$1)=TRUE,""✓"",""✗"")"),"✗")</f>
        <v>✗</v>
      </c>
      <c r="T287" s="23" t="str">
        <f>IFERROR(__xludf.DUMMYFUNCTION("if(REGEXMATCH(join("", "",$F287:$G287),T$1)=TRUE,""✓"",""✗"")"),"✗")</f>
        <v>✗</v>
      </c>
      <c r="U287" s="33"/>
      <c r="V287" s="33"/>
      <c r="W287" s="33"/>
      <c r="X287" s="33"/>
      <c r="Y287" s="33"/>
      <c r="Z287" s="33"/>
      <c r="AA287" s="33"/>
      <c r="AB287" s="33"/>
      <c r="AC287" s="33"/>
    </row>
    <row r="288" hidden="1">
      <c r="A288" s="17" t="s">
        <v>302</v>
      </c>
      <c r="B288" s="33"/>
      <c r="C288" s="33"/>
      <c r="D288" s="33"/>
      <c r="E288" s="33"/>
      <c r="F288" s="33"/>
      <c r="G288" s="33"/>
      <c r="H288" s="23" t="str">
        <f>IFERROR(__xludf.DUMMYFUNCTION("if(REGEXMATCH(join("", "",$F288:$G288),H$1)=TRUE,""✓"",""✗"")"),"✗")</f>
        <v>✗</v>
      </c>
      <c r="I288" s="23" t="str">
        <f>IFERROR(__xludf.DUMMYFUNCTION("if(REGEXMATCH(join("", "",$F288:$G288),I$1)=TRUE,""✓"",""✗"")"),"✗")</f>
        <v>✗</v>
      </c>
      <c r="J288" s="23" t="str">
        <f>IFERROR(__xludf.DUMMYFUNCTION("if(REGEXMATCH(join("", "",$F288:$G288),J$1)=TRUE,""✓"",""✗"")"),"✗")</f>
        <v>✗</v>
      </c>
      <c r="K288" s="23" t="str">
        <f>IFERROR(__xludf.DUMMYFUNCTION("if(REGEXMATCH(join("", "",$F288:$G288),K$1)=TRUE,""✓"",""✗"")"),"✗")</f>
        <v>✗</v>
      </c>
      <c r="L288" s="23" t="str">
        <f>IFERROR(__xludf.DUMMYFUNCTION("if(REGEXMATCH(join("", "",$F288:$G288),L$1)=TRUE,""✓"",""✗"")"),"✗")</f>
        <v>✗</v>
      </c>
      <c r="M288" s="23" t="str">
        <f>IFERROR(__xludf.DUMMYFUNCTION("if(REGEXMATCH(join("", "",$F288:$G288),M$1)=TRUE,""✓"",""✗"")"),"✗")</f>
        <v>✗</v>
      </c>
      <c r="N288" s="23" t="str">
        <f>IFERROR(__xludf.DUMMYFUNCTION("if(REGEXMATCH(join("", "",$F288:$G288),N$1)=TRUE,""✓"",""✗"")"),"✗")</f>
        <v>✗</v>
      </c>
      <c r="O288" s="23" t="str">
        <f>IFERROR(__xludf.DUMMYFUNCTION("if(REGEXMATCH(join("", "",$F288:$G288),O$1)=TRUE,""✓"",""✗"")"),"✗")</f>
        <v>✗</v>
      </c>
      <c r="P288" s="23" t="str">
        <f>IFERROR(__xludf.DUMMYFUNCTION("if(REGEXMATCH(join("", "",$F288:$G288),P$1)=TRUE,""✓"",""✗"")"),"✗")</f>
        <v>✗</v>
      </c>
      <c r="Q288" s="23" t="str">
        <f>IFERROR(__xludf.DUMMYFUNCTION("if(REGEXMATCH(join("", "",$F288:$G288),Q$1)=TRUE,""✓"",""✗"")"),"✗")</f>
        <v>✗</v>
      </c>
      <c r="R288" s="23" t="str">
        <f>IFERROR(__xludf.DUMMYFUNCTION("if(REGEXMATCH(join("", "",$F288:$G288),R$1)=TRUE,""✓"",""✗"")"),"✗")</f>
        <v>✗</v>
      </c>
      <c r="S288" s="23" t="str">
        <f>IFERROR(__xludf.DUMMYFUNCTION("if(REGEXMATCH(join("", "",$F288:$G288),S$1)=TRUE,""✓"",""✗"")"),"✗")</f>
        <v>✗</v>
      </c>
      <c r="T288" s="23" t="str">
        <f>IFERROR(__xludf.DUMMYFUNCTION("if(REGEXMATCH(join("", "",$F288:$G288),T$1)=TRUE,""✓"",""✗"")"),"✗")</f>
        <v>✗</v>
      </c>
      <c r="U288" s="33"/>
      <c r="V288" s="33"/>
      <c r="W288" s="33"/>
      <c r="X288" s="33"/>
      <c r="Y288" s="33"/>
      <c r="Z288" s="33"/>
      <c r="AA288" s="33"/>
      <c r="AB288" s="33"/>
      <c r="AC288" s="33"/>
    </row>
    <row r="289" hidden="1">
      <c r="A289" s="17" t="s">
        <v>302</v>
      </c>
      <c r="B289" s="33"/>
      <c r="C289" s="33"/>
      <c r="D289" s="33"/>
      <c r="E289" s="33"/>
      <c r="F289" s="33"/>
      <c r="G289" s="33"/>
      <c r="H289" s="23" t="str">
        <f>IFERROR(__xludf.DUMMYFUNCTION("if(REGEXMATCH(join("", "",$F289:$G289),H$1)=TRUE,""✓"",""✗"")"),"✗")</f>
        <v>✗</v>
      </c>
      <c r="I289" s="23" t="str">
        <f>IFERROR(__xludf.DUMMYFUNCTION("if(REGEXMATCH(join("", "",$F289:$G289),I$1)=TRUE,""✓"",""✗"")"),"✗")</f>
        <v>✗</v>
      </c>
      <c r="J289" s="23" t="str">
        <f>IFERROR(__xludf.DUMMYFUNCTION("if(REGEXMATCH(join("", "",$F289:$G289),J$1)=TRUE,""✓"",""✗"")"),"✗")</f>
        <v>✗</v>
      </c>
      <c r="K289" s="23" t="str">
        <f>IFERROR(__xludf.DUMMYFUNCTION("if(REGEXMATCH(join("", "",$F289:$G289),K$1)=TRUE,""✓"",""✗"")"),"✗")</f>
        <v>✗</v>
      </c>
      <c r="L289" s="23" t="str">
        <f>IFERROR(__xludf.DUMMYFUNCTION("if(REGEXMATCH(join("", "",$F289:$G289),L$1)=TRUE,""✓"",""✗"")"),"✗")</f>
        <v>✗</v>
      </c>
      <c r="M289" s="23" t="str">
        <f>IFERROR(__xludf.DUMMYFUNCTION("if(REGEXMATCH(join("", "",$F289:$G289),M$1)=TRUE,""✓"",""✗"")"),"✗")</f>
        <v>✗</v>
      </c>
      <c r="N289" s="23" t="str">
        <f>IFERROR(__xludf.DUMMYFUNCTION("if(REGEXMATCH(join("", "",$F289:$G289),N$1)=TRUE,""✓"",""✗"")"),"✗")</f>
        <v>✗</v>
      </c>
      <c r="O289" s="23" t="str">
        <f>IFERROR(__xludf.DUMMYFUNCTION("if(REGEXMATCH(join("", "",$F289:$G289),O$1)=TRUE,""✓"",""✗"")"),"✗")</f>
        <v>✗</v>
      </c>
      <c r="P289" s="23" t="str">
        <f>IFERROR(__xludf.DUMMYFUNCTION("if(REGEXMATCH(join("", "",$F289:$G289),P$1)=TRUE,""✓"",""✗"")"),"✗")</f>
        <v>✗</v>
      </c>
      <c r="Q289" s="23" t="str">
        <f>IFERROR(__xludf.DUMMYFUNCTION("if(REGEXMATCH(join("", "",$F289:$G289),Q$1)=TRUE,""✓"",""✗"")"),"✗")</f>
        <v>✗</v>
      </c>
      <c r="R289" s="23" t="str">
        <f>IFERROR(__xludf.DUMMYFUNCTION("if(REGEXMATCH(join("", "",$F289:$G289),R$1)=TRUE,""✓"",""✗"")"),"✗")</f>
        <v>✗</v>
      </c>
      <c r="S289" s="23" t="str">
        <f>IFERROR(__xludf.DUMMYFUNCTION("if(REGEXMATCH(join("", "",$F289:$G289),S$1)=TRUE,""✓"",""✗"")"),"✗")</f>
        <v>✗</v>
      </c>
      <c r="T289" s="23" t="str">
        <f>IFERROR(__xludf.DUMMYFUNCTION("if(REGEXMATCH(join("", "",$F289:$G289),T$1)=TRUE,""✓"",""✗"")"),"✗")</f>
        <v>✗</v>
      </c>
      <c r="U289" s="33"/>
      <c r="V289" s="33"/>
      <c r="W289" s="33"/>
      <c r="X289" s="33"/>
      <c r="Y289" s="33"/>
      <c r="Z289" s="33"/>
      <c r="AA289" s="33"/>
      <c r="AB289" s="33"/>
      <c r="AC289" s="33"/>
    </row>
    <row r="290" hidden="1">
      <c r="A290" s="17" t="s">
        <v>302</v>
      </c>
      <c r="B290" s="33"/>
      <c r="C290" s="33"/>
      <c r="D290" s="33"/>
      <c r="E290" s="33"/>
      <c r="F290" s="33"/>
      <c r="G290" s="33"/>
      <c r="H290" s="23" t="str">
        <f>IFERROR(__xludf.DUMMYFUNCTION("if(REGEXMATCH(join("", "",$F290:$G290),H$1)=TRUE,""✓"",""✗"")"),"✗")</f>
        <v>✗</v>
      </c>
      <c r="I290" s="23" t="str">
        <f>IFERROR(__xludf.DUMMYFUNCTION("if(REGEXMATCH(join("", "",$F290:$G290),I$1)=TRUE,""✓"",""✗"")"),"✗")</f>
        <v>✗</v>
      </c>
      <c r="J290" s="23" t="str">
        <f>IFERROR(__xludf.DUMMYFUNCTION("if(REGEXMATCH(join("", "",$F290:$G290),J$1)=TRUE,""✓"",""✗"")"),"✗")</f>
        <v>✗</v>
      </c>
      <c r="K290" s="23" t="str">
        <f>IFERROR(__xludf.DUMMYFUNCTION("if(REGEXMATCH(join("", "",$F290:$G290),K$1)=TRUE,""✓"",""✗"")"),"✗")</f>
        <v>✗</v>
      </c>
      <c r="L290" s="23" t="str">
        <f>IFERROR(__xludf.DUMMYFUNCTION("if(REGEXMATCH(join("", "",$F290:$G290),L$1)=TRUE,""✓"",""✗"")"),"✗")</f>
        <v>✗</v>
      </c>
      <c r="M290" s="23" t="str">
        <f>IFERROR(__xludf.DUMMYFUNCTION("if(REGEXMATCH(join("", "",$F290:$G290),M$1)=TRUE,""✓"",""✗"")"),"✗")</f>
        <v>✗</v>
      </c>
      <c r="N290" s="23" t="str">
        <f>IFERROR(__xludf.DUMMYFUNCTION("if(REGEXMATCH(join("", "",$F290:$G290),N$1)=TRUE,""✓"",""✗"")"),"✗")</f>
        <v>✗</v>
      </c>
      <c r="O290" s="23" t="str">
        <f>IFERROR(__xludf.DUMMYFUNCTION("if(REGEXMATCH(join("", "",$F290:$G290),O$1)=TRUE,""✓"",""✗"")"),"✗")</f>
        <v>✗</v>
      </c>
      <c r="P290" s="23" t="str">
        <f>IFERROR(__xludf.DUMMYFUNCTION("if(REGEXMATCH(join("", "",$F290:$G290),P$1)=TRUE,""✓"",""✗"")"),"✗")</f>
        <v>✗</v>
      </c>
      <c r="Q290" s="23" t="str">
        <f>IFERROR(__xludf.DUMMYFUNCTION("if(REGEXMATCH(join("", "",$F290:$G290),Q$1)=TRUE,""✓"",""✗"")"),"✗")</f>
        <v>✗</v>
      </c>
      <c r="R290" s="23" t="str">
        <f>IFERROR(__xludf.DUMMYFUNCTION("if(REGEXMATCH(join("", "",$F290:$G290),R$1)=TRUE,""✓"",""✗"")"),"✗")</f>
        <v>✗</v>
      </c>
      <c r="S290" s="23" t="str">
        <f>IFERROR(__xludf.DUMMYFUNCTION("if(REGEXMATCH(join("", "",$F290:$G290),S$1)=TRUE,""✓"",""✗"")"),"✗")</f>
        <v>✗</v>
      </c>
      <c r="T290" s="23" t="str">
        <f>IFERROR(__xludf.DUMMYFUNCTION("if(REGEXMATCH(join("", "",$F290:$G290),T$1)=TRUE,""✓"",""✗"")"),"✗")</f>
        <v>✗</v>
      </c>
      <c r="U290" s="33"/>
      <c r="V290" s="33"/>
      <c r="W290" s="33"/>
      <c r="X290" s="33"/>
      <c r="Y290" s="33"/>
      <c r="Z290" s="33"/>
      <c r="AA290" s="33"/>
      <c r="AB290" s="33"/>
      <c r="AC290" s="33"/>
    </row>
    <row r="291" hidden="1">
      <c r="A291" s="17" t="s">
        <v>302</v>
      </c>
      <c r="B291" s="33"/>
      <c r="C291" s="33"/>
      <c r="D291" s="33"/>
      <c r="E291" s="33"/>
      <c r="F291" s="33"/>
      <c r="G291" s="33"/>
      <c r="H291" s="23" t="str">
        <f>IFERROR(__xludf.DUMMYFUNCTION("if(REGEXMATCH(join("", "",$F291:$G291),H$1)=TRUE,""✓"",""✗"")"),"✗")</f>
        <v>✗</v>
      </c>
      <c r="I291" s="23" t="str">
        <f>IFERROR(__xludf.DUMMYFUNCTION("if(REGEXMATCH(join("", "",$F291:$G291),I$1)=TRUE,""✓"",""✗"")"),"✗")</f>
        <v>✗</v>
      </c>
      <c r="J291" s="23" t="str">
        <f>IFERROR(__xludf.DUMMYFUNCTION("if(REGEXMATCH(join("", "",$F291:$G291),J$1)=TRUE,""✓"",""✗"")"),"✗")</f>
        <v>✗</v>
      </c>
      <c r="K291" s="23" t="str">
        <f>IFERROR(__xludf.DUMMYFUNCTION("if(REGEXMATCH(join("", "",$F291:$G291),K$1)=TRUE,""✓"",""✗"")"),"✗")</f>
        <v>✗</v>
      </c>
      <c r="L291" s="23" t="str">
        <f>IFERROR(__xludf.DUMMYFUNCTION("if(REGEXMATCH(join("", "",$F291:$G291),L$1)=TRUE,""✓"",""✗"")"),"✗")</f>
        <v>✗</v>
      </c>
      <c r="M291" s="23" t="str">
        <f>IFERROR(__xludf.DUMMYFUNCTION("if(REGEXMATCH(join("", "",$F291:$G291),M$1)=TRUE,""✓"",""✗"")"),"✗")</f>
        <v>✗</v>
      </c>
      <c r="N291" s="23" t="str">
        <f>IFERROR(__xludf.DUMMYFUNCTION("if(REGEXMATCH(join("", "",$F291:$G291),N$1)=TRUE,""✓"",""✗"")"),"✗")</f>
        <v>✗</v>
      </c>
      <c r="O291" s="23" t="str">
        <f>IFERROR(__xludf.DUMMYFUNCTION("if(REGEXMATCH(join("", "",$F291:$G291),O$1)=TRUE,""✓"",""✗"")"),"✗")</f>
        <v>✗</v>
      </c>
      <c r="P291" s="23" t="str">
        <f>IFERROR(__xludf.DUMMYFUNCTION("if(REGEXMATCH(join("", "",$F291:$G291),P$1)=TRUE,""✓"",""✗"")"),"✗")</f>
        <v>✗</v>
      </c>
      <c r="Q291" s="23" t="str">
        <f>IFERROR(__xludf.DUMMYFUNCTION("if(REGEXMATCH(join("", "",$F291:$G291),Q$1)=TRUE,""✓"",""✗"")"),"✗")</f>
        <v>✗</v>
      </c>
      <c r="R291" s="23" t="str">
        <f>IFERROR(__xludf.DUMMYFUNCTION("if(REGEXMATCH(join("", "",$F291:$G291),R$1)=TRUE,""✓"",""✗"")"),"✗")</f>
        <v>✗</v>
      </c>
      <c r="S291" s="23" t="str">
        <f>IFERROR(__xludf.DUMMYFUNCTION("if(REGEXMATCH(join("", "",$F291:$G291),S$1)=TRUE,""✓"",""✗"")"),"✗")</f>
        <v>✗</v>
      </c>
      <c r="T291" s="23" t="str">
        <f>IFERROR(__xludf.DUMMYFUNCTION("if(REGEXMATCH(join("", "",$F291:$G291),T$1)=TRUE,""✓"",""✗"")"),"✗")</f>
        <v>✗</v>
      </c>
      <c r="U291" s="33"/>
      <c r="V291" s="33"/>
      <c r="W291" s="33"/>
      <c r="X291" s="33"/>
      <c r="Y291" s="33"/>
      <c r="Z291" s="33"/>
      <c r="AA291" s="33"/>
      <c r="AB291" s="33"/>
      <c r="AC291" s="33"/>
    </row>
    <row r="292" hidden="1">
      <c r="A292" s="17" t="s">
        <v>302</v>
      </c>
      <c r="B292" s="33"/>
      <c r="C292" s="33"/>
      <c r="D292" s="33"/>
      <c r="E292" s="33"/>
      <c r="F292" s="33"/>
      <c r="G292" s="33"/>
      <c r="H292" s="23" t="str">
        <f>IFERROR(__xludf.DUMMYFUNCTION("if(REGEXMATCH(join("", "",$F292:$G292),H$1)=TRUE,""✓"",""✗"")"),"✗")</f>
        <v>✗</v>
      </c>
      <c r="I292" s="23" t="str">
        <f>IFERROR(__xludf.DUMMYFUNCTION("if(REGEXMATCH(join("", "",$F292:$G292),I$1)=TRUE,""✓"",""✗"")"),"✗")</f>
        <v>✗</v>
      </c>
      <c r="J292" s="23" t="str">
        <f>IFERROR(__xludf.DUMMYFUNCTION("if(REGEXMATCH(join("", "",$F292:$G292),J$1)=TRUE,""✓"",""✗"")"),"✗")</f>
        <v>✗</v>
      </c>
      <c r="K292" s="23" t="str">
        <f>IFERROR(__xludf.DUMMYFUNCTION("if(REGEXMATCH(join("", "",$F292:$G292),K$1)=TRUE,""✓"",""✗"")"),"✗")</f>
        <v>✗</v>
      </c>
      <c r="L292" s="23" t="str">
        <f>IFERROR(__xludf.DUMMYFUNCTION("if(REGEXMATCH(join("", "",$F292:$G292),L$1)=TRUE,""✓"",""✗"")"),"✗")</f>
        <v>✗</v>
      </c>
      <c r="M292" s="23" t="str">
        <f>IFERROR(__xludf.DUMMYFUNCTION("if(REGEXMATCH(join("", "",$F292:$G292),M$1)=TRUE,""✓"",""✗"")"),"✗")</f>
        <v>✗</v>
      </c>
      <c r="N292" s="23" t="str">
        <f>IFERROR(__xludf.DUMMYFUNCTION("if(REGEXMATCH(join("", "",$F292:$G292),N$1)=TRUE,""✓"",""✗"")"),"✗")</f>
        <v>✗</v>
      </c>
      <c r="O292" s="23" t="str">
        <f>IFERROR(__xludf.DUMMYFUNCTION("if(REGEXMATCH(join("", "",$F292:$G292),O$1)=TRUE,""✓"",""✗"")"),"✗")</f>
        <v>✗</v>
      </c>
      <c r="P292" s="23" t="str">
        <f>IFERROR(__xludf.DUMMYFUNCTION("if(REGEXMATCH(join("", "",$F292:$G292),P$1)=TRUE,""✓"",""✗"")"),"✗")</f>
        <v>✗</v>
      </c>
      <c r="Q292" s="23" t="str">
        <f>IFERROR(__xludf.DUMMYFUNCTION("if(REGEXMATCH(join("", "",$F292:$G292),Q$1)=TRUE,""✓"",""✗"")"),"✗")</f>
        <v>✗</v>
      </c>
      <c r="R292" s="23" t="str">
        <f>IFERROR(__xludf.DUMMYFUNCTION("if(REGEXMATCH(join("", "",$F292:$G292),R$1)=TRUE,""✓"",""✗"")"),"✗")</f>
        <v>✗</v>
      </c>
      <c r="S292" s="23" t="str">
        <f>IFERROR(__xludf.DUMMYFUNCTION("if(REGEXMATCH(join("", "",$F292:$G292),S$1)=TRUE,""✓"",""✗"")"),"✗")</f>
        <v>✗</v>
      </c>
      <c r="T292" s="23" t="str">
        <f>IFERROR(__xludf.DUMMYFUNCTION("if(REGEXMATCH(join("", "",$F292:$G292),T$1)=TRUE,""✓"",""✗"")"),"✗")</f>
        <v>✗</v>
      </c>
      <c r="U292" s="33"/>
      <c r="V292" s="33"/>
      <c r="W292" s="33"/>
      <c r="X292" s="33"/>
      <c r="Y292" s="33"/>
      <c r="Z292" s="33"/>
      <c r="AA292" s="33"/>
      <c r="AB292" s="33"/>
      <c r="AC292" s="33"/>
    </row>
    <row r="293" hidden="1">
      <c r="A293" s="17" t="s">
        <v>302</v>
      </c>
      <c r="B293" s="33"/>
      <c r="C293" s="33"/>
      <c r="D293" s="33"/>
      <c r="E293" s="33"/>
      <c r="F293" s="33"/>
      <c r="G293" s="33"/>
      <c r="H293" s="23" t="str">
        <f>IFERROR(__xludf.DUMMYFUNCTION("if(REGEXMATCH(join("", "",$F293:$G293),H$1)=TRUE,""✓"",""✗"")"),"✗")</f>
        <v>✗</v>
      </c>
      <c r="I293" s="23" t="str">
        <f>IFERROR(__xludf.DUMMYFUNCTION("if(REGEXMATCH(join("", "",$F293:$G293),I$1)=TRUE,""✓"",""✗"")"),"✗")</f>
        <v>✗</v>
      </c>
      <c r="J293" s="23" t="str">
        <f>IFERROR(__xludf.DUMMYFUNCTION("if(REGEXMATCH(join("", "",$F293:$G293),J$1)=TRUE,""✓"",""✗"")"),"✗")</f>
        <v>✗</v>
      </c>
      <c r="K293" s="23" t="str">
        <f>IFERROR(__xludf.DUMMYFUNCTION("if(REGEXMATCH(join("", "",$F293:$G293),K$1)=TRUE,""✓"",""✗"")"),"✗")</f>
        <v>✗</v>
      </c>
      <c r="L293" s="23" t="str">
        <f>IFERROR(__xludf.DUMMYFUNCTION("if(REGEXMATCH(join("", "",$F293:$G293),L$1)=TRUE,""✓"",""✗"")"),"✗")</f>
        <v>✗</v>
      </c>
      <c r="M293" s="23" t="str">
        <f>IFERROR(__xludf.DUMMYFUNCTION("if(REGEXMATCH(join("", "",$F293:$G293),M$1)=TRUE,""✓"",""✗"")"),"✗")</f>
        <v>✗</v>
      </c>
      <c r="N293" s="23" t="str">
        <f>IFERROR(__xludf.DUMMYFUNCTION("if(REGEXMATCH(join("", "",$F293:$G293),N$1)=TRUE,""✓"",""✗"")"),"✗")</f>
        <v>✗</v>
      </c>
      <c r="O293" s="23" t="str">
        <f>IFERROR(__xludf.DUMMYFUNCTION("if(REGEXMATCH(join("", "",$F293:$G293),O$1)=TRUE,""✓"",""✗"")"),"✗")</f>
        <v>✗</v>
      </c>
      <c r="P293" s="23" t="str">
        <f>IFERROR(__xludf.DUMMYFUNCTION("if(REGEXMATCH(join("", "",$F293:$G293),P$1)=TRUE,""✓"",""✗"")"),"✗")</f>
        <v>✗</v>
      </c>
      <c r="Q293" s="23" t="str">
        <f>IFERROR(__xludf.DUMMYFUNCTION("if(REGEXMATCH(join("", "",$F293:$G293),Q$1)=TRUE,""✓"",""✗"")"),"✗")</f>
        <v>✗</v>
      </c>
      <c r="R293" s="23" t="str">
        <f>IFERROR(__xludf.DUMMYFUNCTION("if(REGEXMATCH(join("", "",$F293:$G293),R$1)=TRUE,""✓"",""✗"")"),"✗")</f>
        <v>✗</v>
      </c>
      <c r="S293" s="23" t="str">
        <f>IFERROR(__xludf.DUMMYFUNCTION("if(REGEXMATCH(join("", "",$F293:$G293),S$1)=TRUE,""✓"",""✗"")"),"✗")</f>
        <v>✗</v>
      </c>
      <c r="T293" s="23" t="str">
        <f>IFERROR(__xludf.DUMMYFUNCTION("if(REGEXMATCH(join("", "",$F293:$G293),T$1)=TRUE,""✓"",""✗"")"),"✗")</f>
        <v>✗</v>
      </c>
      <c r="U293" s="33"/>
      <c r="V293" s="33"/>
      <c r="W293" s="33"/>
      <c r="X293" s="33"/>
      <c r="Y293" s="33"/>
      <c r="Z293" s="33"/>
      <c r="AA293" s="33"/>
      <c r="AB293" s="33"/>
      <c r="AC293" s="33"/>
    </row>
    <row r="294" hidden="1">
      <c r="A294" s="17" t="s">
        <v>302</v>
      </c>
      <c r="B294" s="33"/>
      <c r="C294" s="33"/>
      <c r="D294" s="33"/>
      <c r="E294" s="33"/>
      <c r="F294" s="33"/>
      <c r="G294" s="33"/>
      <c r="H294" s="23" t="str">
        <f>IFERROR(__xludf.DUMMYFUNCTION("if(REGEXMATCH(join("", "",$F294:$G294),H$1)=TRUE,""✓"",""✗"")"),"✗")</f>
        <v>✗</v>
      </c>
      <c r="I294" s="23" t="str">
        <f>IFERROR(__xludf.DUMMYFUNCTION("if(REGEXMATCH(join("", "",$F294:$G294),I$1)=TRUE,""✓"",""✗"")"),"✗")</f>
        <v>✗</v>
      </c>
      <c r="J294" s="23" t="str">
        <f>IFERROR(__xludf.DUMMYFUNCTION("if(REGEXMATCH(join("", "",$F294:$G294),J$1)=TRUE,""✓"",""✗"")"),"✗")</f>
        <v>✗</v>
      </c>
      <c r="K294" s="23" t="str">
        <f>IFERROR(__xludf.DUMMYFUNCTION("if(REGEXMATCH(join("", "",$F294:$G294),K$1)=TRUE,""✓"",""✗"")"),"✗")</f>
        <v>✗</v>
      </c>
      <c r="L294" s="23" t="str">
        <f>IFERROR(__xludf.DUMMYFUNCTION("if(REGEXMATCH(join("", "",$F294:$G294),L$1)=TRUE,""✓"",""✗"")"),"✗")</f>
        <v>✗</v>
      </c>
      <c r="M294" s="23" t="str">
        <f>IFERROR(__xludf.DUMMYFUNCTION("if(REGEXMATCH(join("", "",$F294:$G294),M$1)=TRUE,""✓"",""✗"")"),"✗")</f>
        <v>✗</v>
      </c>
      <c r="N294" s="23" t="str">
        <f>IFERROR(__xludf.DUMMYFUNCTION("if(REGEXMATCH(join("", "",$F294:$G294),N$1)=TRUE,""✓"",""✗"")"),"✗")</f>
        <v>✗</v>
      </c>
      <c r="O294" s="23" t="str">
        <f>IFERROR(__xludf.DUMMYFUNCTION("if(REGEXMATCH(join("", "",$F294:$G294),O$1)=TRUE,""✓"",""✗"")"),"✗")</f>
        <v>✗</v>
      </c>
      <c r="P294" s="23" t="str">
        <f>IFERROR(__xludf.DUMMYFUNCTION("if(REGEXMATCH(join("", "",$F294:$G294),P$1)=TRUE,""✓"",""✗"")"),"✗")</f>
        <v>✗</v>
      </c>
      <c r="Q294" s="23" t="str">
        <f>IFERROR(__xludf.DUMMYFUNCTION("if(REGEXMATCH(join("", "",$F294:$G294),Q$1)=TRUE,""✓"",""✗"")"),"✗")</f>
        <v>✗</v>
      </c>
      <c r="R294" s="23" t="str">
        <f>IFERROR(__xludf.DUMMYFUNCTION("if(REGEXMATCH(join("", "",$F294:$G294),R$1)=TRUE,""✓"",""✗"")"),"✗")</f>
        <v>✗</v>
      </c>
      <c r="S294" s="23" t="str">
        <f>IFERROR(__xludf.DUMMYFUNCTION("if(REGEXMATCH(join("", "",$F294:$G294),S$1)=TRUE,""✓"",""✗"")"),"✗")</f>
        <v>✗</v>
      </c>
      <c r="T294" s="23" t="str">
        <f>IFERROR(__xludf.DUMMYFUNCTION("if(REGEXMATCH(join("", "",$F294:$G294),T$1)=TRUE,""✓"",""✗"")"),"✗")</f>
        <v>✗</v>
      </c>
      <c r="U294" s="33"/>
      <c r="V294" s="33"/>
      <c r="W294" s="33"/>
      <c r="X294" s="33"/>
      <c r="Y294" s="33"/>
      <c r="Z294" s="33"/>
      <c r="AA294" s="33"/>
      <c r="AB294" s="33"/>
      <c r="AC294" s="33"/>
    </row>
    <row r="295" hidden="1">
      <c r="A295" s="17" t="s">
        <v>302</v>
      </c>
      <c r="B295" s="33"/>
      <c r="C295" s="33"/>
      <c r="D295" s="33"/>
      <c r="E295" s="33"/>
      <c r="F295" s="33"/>
      <c r="G295" s="33"/>
      <c r="H295" s="23" t="str">
        <f>IFERROR(__xludf.DUMMYFUNCTION("if(REGEXMATCH(join("", "",$F295:$G295),H$1)=TRUE,""✓"",""✗"")"),"✗")</f>
        <v>✗</v>
      </c>
      <c r="I295" s="23" t="str">
        <f>IFERROR(__xludf.DUMMYFUNCTION("if(REGEXMATCH(join("", "",$F295:$G295),I$1)=TRUE,""✓"",""✗"")"),"✗")</f>
        <v>✗</v>
      </c>
      <c r="J295" s="23" t="str">
        <f>IFERROR(__xludf.DUMMYFUNCTION("if(REGEXMATCH(join("", "",$F295:$G295),J$1)=TRUE,""✓"",""✗"")"),"✗")</f>
        <v>✗</v>
      </c>
      <c r="K295" s="23" t="str">
        <f>IFERROR(__xludf.DUMMYFUNCTION("if(REGEXMATCH(join("", "",$F295:$G295),K$1)=TRUE,""✓"",""✗"")"),"✗")</f>
        <v>✗</v>
      </c>
      <c r="L295" s="23" t="str">
        <f>IFERROR(__xludf.DUMMYFUNCTION("if(REGEXMATCH(join("", "",$F295:$G295),L$1)=TRUE,""✓"",""✗"")"),"✗")</f>
        <v>✗</v>
      </c>
      <c r="M295" s="23" t="str">
        <f>IFERROR(__xludf.DUMMYFUNCTION("if(REGEXMATCH(join("", "",$F295:$G295),M$1)=TRUE,""✓"",""✗"")"),"✗")</f>
        <v>✗</v>
      </c>
      <c r="N295" s="23" t="str">
        <f>IFERROR(__xludf.DUMMYFUNCTION("if(REGEXMATCH(join("", "",$F295:$G295),N$1)=TRUE,""✓"",""✗"")"),"✗")</f>
        <v>✗</v>
      </c>
      <c r="O295" s="23" t="str">
        <f>IFERROR(__xludf.DUMMYFUNCTION("if(REGEXMATCH(join("", "",$F295:$G295),O$1)=TRUE,""✓"",""✗"")"),"✗")</f>
        <v>✗</v>
      </c>
      <c r="P295" s="23" t="str">
        <f>IFERROR(__xludf.DUMMYFUNCTION("if(REGEXMATCH(join("", "",$F295:$G295),P$1)=TRUE,""✓"",""✗"")"),"✗")</f>
        <v>✗</v>
      </c>
      <c r="Q295" s="23" t="str">
        <f>IFERROR(__xludf.DUMMYFUNCTION("if(REGEXMATCH(join("", "",$F295:$G295),Q$1)=TRUE,""✓"",""✗"")"),"✗")</f>
        <v>✗</v>
      </c>
      <c r="R295" s="23" t="str">
        <f>IFERROR(__xludf.DUMMYFUNCTION("if(REGEXMATCH(join("", "",$F295:$G295),R$1)=TRUE,""✓"",""✗"")"),"✗")</f>
        <v>✗</v>
      </c>
      <c r="S295" s="23" t="str">
        <f>IFERROR(__xludf.DUMMYFUNCTION("if(REGEXMATCH(join("", "",$F295:$G295),S$1)=TRUE,""✓"",""✗"")"),"✗")</f>
        <v>✗</v>
      </c>
      <c r="T295" s="23" t="str">
        <f>IFERROR(__xludf.DUMMYFUNCTION("if(REGEXMATCH(join("", "",$F295:$G295),T$1)=TRUE,""✓"",""✗"")"),"✗")</f>
        <v>✗</v>
      </c>
      <c r="U295" s="33"/>
      <c r="V295" s="33"/>
      <c r="W295" s="33"/>
      <c r="X295" s="33"/>
      <c r="Y295" s="33"/>
      <c r="Z295" s="33"/>
      <c r="AA295" s="33"/>
      <c r="AB295" s="33"/>
      <c r="AC295" s="33"/>
    </row>
    <row r="296" hidden="1">
      <c r="A296" s="17" t="s">
        <v>302</v>
      </c>
      <c r="B296" s="33"/>
      <c r="C296" s="33"/>
      <c r="D296" s="33"/>
      <c r="E296" s="33"/>
      <c r="F296" s="33"/>
      <c r="G296" s="33"/>
      <c r="H296" s="23" t="str">
        <f>IFERROR(__xludf.DUMMYFUNCTION("if(REGEXMATCH(join("", "",$F296:$G296),H$1)=TRUE,""✓"",""✗"")"),"✗")</f>
        <v>✗</v>
      </c>
      <c r="I296" s="23" t="str">
        <f>IFERROR(__xludf.DUMMYFUNCTION("if(REGEXMATCH(join("", "",$F296:$G296),I$1)=TRUE,""✓"",""✗"")"),"✗")</f>
        <v>✗</v>
      </c>
      <c r="J296" s="23" t="str">
        <f>IFERROR(__xludf.DUMMYFUNCTION("if(REGEXMATCH(join("", "",$F296:$G296),J$1)=TRUE,""✓"",""✗"")"),"✗")</f>
        <v>✗</v>
      </c>
      <c r="K296" s="23" t="str">
        <f>IFERROR(__xludf.DUMMYFUNCTION("if(REGEXMATCH(join("", "",$F296:$G296),K$1)=TRUE,""✓"",""✗"")"),"✗")</f>
        <v>✗</v>
      </c>
      <c r="L296" s="23" t="str">
        <f>IFERROR(__xludf.DUMMYFUNCTION("if(REGEXMATCH(join("", "",$F296:$G296),L$1)=TRUE,""✓"",""✗"")"),"✗")</f>
        <v>✗</v>
      </c>
      <c r="M296" s="23" t="str">
        <f>IFERROR(__xludf.DUMMYFUNCTION("if(REGEXMATCH(join("", "",$F296:$G296),M$1)=TRUE,""✓"",""✗"")"),"✗")</f>
        <v>✗</v>
      </c>
      <c r="N296" s="23" t="str">
        <f>IFERROR(__xludf.DUMMYFUNCTION("if(REGEXMATCH(join("", "",$F296:$G296),N$1)=TRUE,""✓"",""✗"")"),"✗")</f>
        <v>✗</v>
      </c>
      <c r="O296" s="23" t="str">
        <f>IFERROR(__xludf.DUMMYFUNCTION("if(REGEXMATCH(join("", "",$F296:$G296),O$1)=TRUE,""✓"",""✗"")"),"✗")</f>
        <v>✗</v>
      </c>
      <c r="P296" s="23" t="str">
        <f>IFERROR(__xludf.DUMMYFUNCTION("if(REGEXMATCH(join("", "",$F296:$G296),P$1)=TRUE,""✓"",""✗"")"),"✗")</f>
        <v>✗</v>
      </c>
      <c r="Q296" s="23" t="str">
        <f>IFERROR(__xludf.DUMMYFUNCTION("if(REGEXMATCH(join("", "",$F296:$G296),Q$1)=TRUE,""✓"",""✗"")"),"✗")</f>
        <v>✗</v>
      </c>
      <c r="R296" s="23" t="str">
        <f>IFERROR(__xludf.DUMMYFUNCTION("if(REGEXMATCH(join("", "",$F296:$G296),R$1)=TRUE,""✓"",""✗"")"),"✗")</f>
        <v>✗</v>
      </c>
      <c r="S296" s="23" t="str">
        <f>IFERROR(__xludf.DUMMYFUNCTION("if(REGEXMATCH(join("", "",$F296:$G296),S$1)=TRUE,""✓"",""✗"")"),"✗")</f>
        <v>✗</v>
      </c>
      <c r="T296" s="23" t="str">
        <f>IFERROR(__xludf.DUMMYFUNCTION("if(REGEXMATCH(join("", "",$F296:$G296),T$1)=TRUE,""✓"",""✗"")"),"✗")</f>
        <v>✗</v>
      </c>
      <c r="U296" s="33"/>
      <c r="V296" s="33"/>
      <c r="W296" s="33"/>
      <c r="X296" s="33"/>
      <c r="Y296" s="33"/>
      <c r="Z296" s="33"/>
      <c r="AA296" s="33"/>
      <c r="AB296" s="33"/>
      <c r="AC296" s="33"/>
    </row>
    <row r="297" hidden="1">
      <c r="A297" s="17" t="s">
        <v>302</v>
      </c>
      <c r="B297" s="33"/>
      <c r="C297" s="33"/>
      <c r="D297" s="33"/>
      <c r="E297" s="33"/>
      <c r="F297" s="33"/>
      <c r="G297" s="33"/>
      <c r="H297" s="23" t="str">
        <f>IFERROR(__xludf.DUMMYFUNCTION("if(REGEXMATCH(join("", "",$F297:$G297),H$1)=TRUE,""✓"",""✗"")"),"✗")</f>
        <v>✗</v>
      </c>
      <c r="I297" s="23" t="str">
        <f>IFERROR(__xludf.DUMMYFUNCTION("if(REGEXMATCH(join("", "",$F297:$G297),I$1)=TRUE,""✓"",""✗"")"),"✗")</f>
        <v>✗</v>
      </c>
      <c r="J297" s="23" t="str">
        <f>IFERROR(__xludf.DUMMYFUNCTION("if(REGEXMATCH(join("", "",$F297:$G297),J$1)=TRUE,""✓"",""✗"")"),"✗")</f>
        <v>✗</v>
      </c>
      <c r="K297" s="23" t="str">
        <f>IFERROR(__xludf.DUMMYFUNCTION("if(REGEXMATCH(join("", "",$F297:$G297),K$1)=TRUE,""✓"",""✗"")"),"✗")</f>
        <v>✗</v>
      </c>
      <c r="L297" s="23" t="str">
        <f>IFERROR(__xludf.DUMMYFUNCTION("if(REGEXMATCH(join("", "",$F297:$G297),L$1)=TRUE,""✓"",""✗"")"),"✗")</f>
        <v>✗</v>
      </c>
      <c r="M297" s="23" t="str">
        <f>IFERROR(__xludf.DUMMYFUNCTION("if(REGEXMATCH(join("", "",$F297:$G297),M$1)=TRUE,""✓"",""✗"")"),"✗")</f>
        <v>✗</v>
      </c>
      <c r="N297" s="23" t="str">
        <f>IFERROR(__xludf.DUMMYFUNCTION("if(REGEXMATCH(join("", "",$F297:$G297),N$1)=TRUE,""✓"",""✗"")"),"✗")</f>
        <v>✗</v>
      </c>
      <c r="O297" s="23" t="str">
        <f>IFERROR(__xludf.DUMMYFUNCTION("if(REGEXMATCH(join("", "",$F297:$G297),O$1)=TRUE,""✓"",""✗"")"),"✗")</f>
        <v>✗</v>
      </c>
      <c r="P297" s="23" t="str">
        <f>IFERROR(__xludf.DUMMYFUNCTION("if(REGEXMATCH(join("", "",$F297:$G297),P$1)=TRUE,""✓"",""✗"")"),"✗")</f>
        <v>✗</v>
      </c>
      <c r="Q297" s="23" t="str">
        <f>IFERROR(__xludf.DUMMYFUNCTION("if(REGEXMATCH(join("", "",$F297:$G297),Q$1)=TRUE,""✓"",""✗"")"),"✗")</f>
        <v>✗</v>
      </c>
      <c r="R297" s="23" t="str">
        <f>IFERROR(__xludf.DUMMYFUNCTION("if(REGEXMATCH(join("", "",$F297:$G297),R$1)=TRUE,""✓"",""✗"")"),"✗")</f>
        <v>✗</v>
      </c>
      <c r="S297" s="23" t="str">
        <f>IFERROR(__xludf.DUMMYFUNCTION("if(REGEXMATCH(join("", "",$F297:$G297),S$1)=TRUE,""✓"",""✗"")"),"✗")</f>
        <v>✗</v>
      </c>
      <c r="T297" s="23" t="str">
        <f>IFERROR(__xludf.DUMMYFUNCTION("if(REGEXMATCH(join("", "",$F297:$G297),T$1)=TRUE,""✓"",""✗"")"),"✗")</f>
        <v>✗</v>
      </c>
      <c r="U297" s="33"/>
      <c r="V297" s="33"/>
      <c r="W297" s="33"/>
      <c r="X297" s="33"/>
      <c r="Y297" s="33"/>
      <c r="Z297" s="33"/>
      <c r="AA297" s="33"/>
      <c r="AB297" s="33"/>
      <c r="AC297" s="33"/>
    </row>
    <row r="298" hidden="1">
      <c r="A298" s="17" t="s">
        <v>302</v>
      </c>
      <c r="B298" s="33"/>
      <c r="C298" s="33"/>
      <c r="D298" s="33"/>
      <c r="E298" s="33"/>
      <c r="F298" s="33"/>
      <c r="G298" s="33"/>
      <c r="H298" s="23" t="str">
        <f>IFERROR(__xludf.DUMMYFUNCTION("if(REGEXMATCH(join("", "",$F298:$G298),H$1)=TRUE,""✓"",""✗"")"),"✗")</f>
        <v>✗</v>
      </c>
      <c r="I298" s="23" t="str">
        <f>IFERROR(__xludf.DUMMYFUNCTION("if(REGEXMATCH(join("", "",$F298:$G298),I$1)=TRUE,""✓"",""✗"")"),"✗")</f>
        <v>✗</v>
      </c>
      <c r="J298" s="23" t="str">
        <f>IFERROR(__xludf.DUMMYFUNCTION("if(REGEXMATCH(join("", "",$F298:$G298),J$1)=TRUE,""✓"",""✗"")"),"✗")</f>
        <v>✗</v>
      </c>
      <c r="K298" s="23" t="str">
        <f>IFERROR(__xludf.DUMMYFUNCTION("if(REGEXMATCH(join("", "",$F298:$G298),K$1)=TRUE,""✓"",""✗"")"),"✗")</f>
        <v>✗</v>
      </c>
      <c r="L298" s="23" t="str">
        <f>IFERROR(__xludf.DUMMYFUNCTION("if(REGEXMATCH(join("", "",$F298:$G298),L$1)=TRUE,""✓"",""✗"")"),"✗")</f>
        <v>✗</v>
      </c>
      <c r="M298" s="23" t="str">
        <f>IFERROR(__xludf.DUMMYFUNCTION("if(REGEXMATCH(join("", "",$F298:$G298),M$1)=TRUE,""✓"",""✗"")"),"✗")</f>
        <v>✗</v>
      </c>
      <c r="N298" s="23" t="str">
        <f>IFERROR(__xludf.DUMMYFUNCTION("if(REGEXMATCH(join("", "",$F298:$G298),N$1)=TRUE,""✓"",""✗"")"),"✗")</f>
        <v>✗</v>
      </c>
      <c r="O298" s="23" t="str">
        <f>IFERROR(__xludf.DUMMYFUNCTION("if(REGEXMATCH(join("", "",$F298:$G298),O$1)=TRUE,""✓"",""✗"")"),"✗")</f>
        <v>✗</v>
      </c>
      <c r="P298" s="23" t="str">
        <f>IFERROR(__xludf.DUMMYFUNCTION("if(REGEXMATCH(join("", "",$F298:$G298),P$1)=TRUE,""✓"",""✗"")"),"✗")</f>
        <v>✗</v>
      </c>
      <c r="Q298" s="23" t="str">
        <f>IFERROR(__xludf.DUMMYFUNCTION("if(REGEXMATCH(join("", "",$F298:$G298),Q$1)=TRUE,""✓"",""✗"")"),"✗")</f>
        <v>✗</v>
      </c>
      <c r="R298" s="23" t="str">
        <f>IFERROR(__xludf.DUMMYFUNCTION("if(REGEXMATCH(join("", "",$F298:$G298),R$1)=TRUE,""✓"",""✗"")"),"✗")</f>
        <v>✗</v>
      </c>
      <c r="S298" s="23" t="str">
        <f>IFERROR(__xludf.DUMMYFUNCTION("if(REGEXMATCH(join("", "",$F298:$G298),S$1)=TRUE,""✓"",""✗"")"),"✗")</f>
        <v>✗</v>
      </c>
      <c r="T298" s="23" t="str">
        <f>IFERROR(__xludf.DUMMYFUNCTION("if(REGEXMATCH(join("", "",$F298:$G298),T$1)=TRUE,""✓"",""✗"")"),"✗")</f>
        <v>✗</v>
      </c>
      <c r="U298" s="33"/>
      <c r="V298" s="33"/>
      <c r="W298" s="33"/>
      <c r="X298" s="33"/>
      <c r="Y298" s="33"/>
      <c r="Z298" s="33"/>
      <c r="AA298" s="33"/>
      <c r="AB298" s="33"/>
      <c r="AC298" s="33"/>
    </row>
    <row r="299" hidden="1">
      <c r="A299" s="17" t="s">
        <v>302</v>
      </c>
      <c r="B299" s="33"/>
      <c r="C299" s="33"/>
      <c r="D299" s="33"/>
      <c r="E299" s="33"/>
      <c r="F299" s="33"/>
      <c r="G299" s="33"/>
      <c r="H299" s="23" t="str">
        <f>IFERROR(__xludf.DUMMYFUNCTION("if(REGEXMATCH(join("", "",$F299:$G299),H$1)=TRUE,""✓"",""✗"")"),"✗")</f>
        <v>✗</v>
      </c>
      <c r="I299" s="23" t="str">
        <f>IFERROR(__xludf.DUMMYFUNCTION("if(REGEXMATCH(join("", "",$F299:$G299),I$1)=TRUE,""✓"",""✗"")"),"✗")</f>
        <v>✗</v>
      </c>
      <c r="J299" s="23" t="str">
        <f>IFERROR(__xludf.DUMMYFUNCTION("if(REGEXMATCH(join("", "",$F299:$G299),J$1)=TRUE,""✓"",""✗"")"),"✗")</f>
        <v>✗</v>
      </c>
      <c r="K299" s="23" t="str">
        <f>IFERROR(__xludf.DUMMYFUNCTION("if(REGEXMATCH(join("", "",$F299:$G299),K$1)=TRUE,""✓"",""✗"")"),"✗")</f>
        <v>✗</v>
      </c>
      <c r="L299" s="23" t="str">
        <f>IFERROR(__xludf.DUMMYFUNCTION("if(REGEXMATCH(join("", "",$F299:$G299),L$1)=TRUE,""✓"",""✗"")"),"✗")</f>
        <v>✗</v>
      </c>
      <c r="M299" s="23" t="str">
        <f>IFERROR(__xludf.DUMMYFUNCTION("if(REGEXMATCH(join("", "",$F299:$G299),M$1)=TRUE,""✓"",""✗"")"),"✗")</f>
        <v>✗</v>
      </c>
      <c r="N299" s="23" t="str">
        <f>IFERROR(__xludf.DUMMYFUNCTION("if(REGEXMATCH(join("", "",$F299:$G299),N$1)=TRUE,""✓"",""✗"")"),"✗")</f>
        <v>✗</v>
      </c>
      <c r="O299" s="23" t="str">
        <f>IFERROR(__xludf.DUMMYFUNCTION("if(REGEXMATCH(join("", "",$F299:$G299),O$1)=TRUE,""✓"",""✗"")"),"✗")</f>
        <v>✗</v>
      </c>
      <c r="P299" s="23" t="str">
        <f>IFERROR(__xludf.DUMMYFUNCTION("if(REGEXMATCH(join("", "",$F299:$G299),P$1)=TRUE,""✓"",""✗"")"),"✗")</f>
        <v>✗</v>
      </c>
      <c r="Q299" s="23" t="str">
        <f>IFERROR(__xludf.DUMMYFUNCTION("if(REGEXMATCH(join("", "",$F299:$G299),Q$1)=TRUE,""✓"",""✗"")"),"✗")</f>
        <v>✗</v>
      </c>
      <c r="R299" s="23" t="str">
        <f>IFERROR(__xludf.DUMMYFUNCTION("if(REGEXMATCH(join("", "",$F299:$G299),R$1)=TRUE,""✓"",""✗"")"),"✗")</f>
        <v>✗</v>
      </c>
      <c r="S299" s="23" t="str">
        <f>IFERROR(__xludf.DUMMYFUNCTION("if(REGEXMATCH(join("", "",$F299:$G299),S$1)=TRUE,""✓"",""✗"")"),"✗")</f>
        <v>✗</v>
      </c>
      <c r="T299" s="23" t="str">
        <f>IFERROR(__xludf.DUMMYFUNCTION("if(REGEXMATCH(join("", "",$F299:$G299),T$1)=TRUE,""✓"",""✗"")"),"✗")</f>
        <v>✗</v>
      </c>
      <c r="U299" s="33"/>
      <c r="V299" s="33"/>
      <c r="W299" s="33"/>
      <c r="X299" s="33"/>
      <c r="Y299" s="33"/>
      <c r="Z299" s="33"/>
      <c r="AA299" s="33"/>
      <c r="AB299" s="33"/>
      <c r="AC299" s="33"/>
    </row>
    <row r="300" hidden="1">
      <c r="A300" s="17" t="s">
        <v>302</v>
      </c>
      <c r="B300" s="33"/>
      <c r="C300" s="33"/>
      <c r="D300" s="33"/>
      <c r="E300" s="33"/>
      <c r="F300" s="33"/>
      <c r="G300" s="33"/>
      <c r="H300" s="23" t="str">
        <f>IFERROR(__xludf.DUMMYFUNCTION("if(REGEXMATCH(join("", "",$F300:$G300),H$1)=TRUE,""✓"",""✗"")"),"✗")</f>
        <v>✗</v>
      </c>
      <c r="I300" s="23" t="str">
        <f>IFERROR(__xludf.DUMMYFUNCTION("if(REGEXMATCH(join("", "",$F300:$G300),I$1)=TRUE,""✓"",""✗"")"),"✗")</f>
        <v>✗</v>
      </c>
      <c r="J300" s="23" t="str">
        <f>IFERROR(__xludf.DUMMYFUNCTION("if(REGEXMATCH(join("", "",$F300:$G300),J$1)=TRUE,""✓"",""✗"")"),"✗")</f>
        <v>✗</v>
      </c>
      <c r="K300" s="23" t="str">
        <f>IFERROR(__xludf.DUMMYFUNCTION("if(REGEXMATCH(join("", "",$F300:$G300),K$1)=TRUE,""✓"",""✗"")"),"✗")</f>
        <v>✗</v>
      </c>
      <c r="L300" s="23" t="str">
        <f>IFERROR(__xludf.DUMMYFUNCTION("if(REGEXMATCH(join("", "",$F300:$G300),L$1)=TRUE,""✓"",""✗"")"),"✗")</f>
        <v>✗</v>
      </c>
      <c r="M300" s="23" t="str">
        <f>IFERROR(__xludf.DUMMYFUNCTION("if(REGEXMATCH(join("", "",$F300:$G300),M$1)=TRUE,""✓"",""✗"")"),"✗")</f>
        <v>✗</v>
      </c>
      <c r="N300" s="23" t="str">
        <f>IFERROR(__xludf.DUMMYFUNCTION("if(REGEXMATCH(join("", "",$F300:$G300),N$1)=TRUE,""✓"",""✗"")"),"✗")</f>
        <v>✗</v>
      </c>
      <c r="O300" s="23" t="str">
        <f>IFERROR(__xludf.DUMMYFUNCTION("if(REGEXMATCH(join("", "",$F300:$G300),O$1)=TRUE,""✓"",""✗"")"),"✗")</f>
        <v>✗</v>
      </c>
      <c r="P300" s="23" t="str">
        <f>IFERROR(__xludf.DUMMYFUNCTION("if(REGEXMATCH(join("", "",$F300:$G300),P$1)=TRUE,""✓"",""✗"")"),"✗")</f>
        <v>✗</v>
      </c>
      <c r="Q300" s="23" t="str">
        <f>IFERROR(__xludf.DUMMYFUNCTION("if(REGEXMATCH(join("", "",$F300:$G300),Q$1)=TRUE,""✓"",""✗"")"),"✗")</f>
        <v>✗</v>
      </c>
      <c r="R300" s="23" t="str">
        <f>IFERROR(__xludf.DUMMYFUNCTION("if(REGEXMATCH(join("", "",$F300:$G300),R$1)=TRUE,""✓"",""✗"")"),"✗")</f>
        <v>✗</v>
      </c>
      <c r="S300" s="23" t="str">
        <f>IFERROR(__xludf.DUMMYFUNCTION("if(REGEXMATCH(join("", "",$F300:$G300),S$1)=TRUE,""✓"",""✗"")"),"✗")</f>
        <v>✗</v>
      </c>
      <c r="T300" s="23" t="str">
        <f>IFERROR(__xludf.DUMMYFUNCTION("if(REGEXMATCH(join("", "",$F300:$G300),T$1)=TRUE,""✓"",""✗"")"),"✗")</f>
        <v>✗</v>
      </c>
      <c r="U300" s="33"/>
      <c r="V300" s="33"/>
      <c r="W300" s="33"/>
      <c r="X300" s="33"/>
      <c r="Y300" s="33"/>
      <c r="Z300" s="33"/>
      <c r="AA300" s="33"/>
      <c r="AB300" s="33"/>
      <c r="AC300" s="33"/>
    </row>
    <row r="301" hidden="1">
      <c r="A301" s="17" t="s">
        <v>302</v>
      </c>
      <c r="B301" s="33"/>
      <c r="C301" s="33"/>
      <c r="D301" s="33"/>
      <c r="E301" s="33"/>
      <c r="F301" s="33"/>
      <c r="G301" s="33"/>
      <c r="H301" s="23" t="str">
        <f>IFERROR(__xludf.DUMMYFUNCTION("if(REGEXMATCH(join("", "",$F301:$G301),H$1)=TRUE,""✓"",""✗"")"),"✗")</f>
        <v>✗</v>
      </c>
      <c r="I301" s="23" t="str">
        <f>IFERROR(__xludf.DUMMYFUNCTION("if(REGEXMATCH(join("", "",$F301:$G301),I$1)=TRUE,""✓"",""✗"")"),"✗")</f>
        <v>✗</v>
      </c>
      <c r="J301" s="23" t="str">
        <f>IFERROR(__xludf.DUMMYFUNCTION("if(REGEXMATCH(join("", "",$F301:$G301),J$1)=TRUE,""✓"",""✗"")"),"✗")</f>
        <v>✗</v>
      </c>
      <c r="K301" s="23" t="str">
        <f>IFERROR(__xludf.DUMMYFUNCTION("if(REGEXMATCH(join("", "",$F301:$G301),K$1)=TRUE,""✓"",""✗"")"),"✗")</f>
        <v>✗</v>
      </c>
      <c r="L301" s="23" t="str">
        <f>IFERROR(__xludf.DUMMYFUNCTION("if(REGEXMATCH(join("", "",$F301:$G301),L$1)=TRUE,""✓"",""✗"")"),"✗")</f>
        <v>✗</v>
      </c>
      <c r="M301" s="23" t="str">
        <f>IFERROR(__xludf.DUMMYFUNCTION("if(REGEXMATCH(join("", "",$F301:$G301),M$1)=TRUE,""✓"",""✗"")"),"✗")</f>
        <v>✗</v>
      </c>
      <c r="N301" s="23" t="str">
        <f>IFERROR(__xludf.DUMMYFUNCTION("if(REGEXMATCH(join("", "",$F301:$G301),N$1)=TRUE,""✓"",""✗"")"),"✗")</f>
        <v>✗</v>
      </c>
      <c r="O301" s="23" t="str">
        <f>IFERROR(__xludf.DUMMYFUNCTION("if(REGEXMATCH(join("", "",$F301:$G301),O$1)=TRUE,""✓"",""✗"")"),"✗")</f>
        <v>✗</v>
      </c>
      <c r="P301" s="23" t="str">
        <f>IFERROR(__xludf.DUMMYFUNCTION("if(REGEXMATCH(join("", "",$F301:$G301),P$1)=TRUE,""✓"",""✗"")"),"✗")</f>
        <v>✗</v>
      </c>
      <c r="Q301" s="23" t="str">
        <f>IFERROR(__xludf.DUMMYFUNCTION("if(REGEXMATCH(join("", "",$F301:$G301),Q$1)=TRUE,""✓"",""✗"")"),"✗")</f>
        <v>✗</v>
      </c>
      <c r="R301" s="23" t="str">
        <f>IFERROR(__xludf.DUMMYFUNCTION("if(REGEXMATCH(join("", "",$F301:$G301),R$1)=TRUE,""✓"",""✗"")"),"✗")</f>
        <v>✗</v>
      </c>
      <c r="S301" s="23" t="str">
        <f>IFERROR(__xludf.DUMMYFUNCTION("if(REGEXMATCH(join("", "",$F301:$G301),S$1)=TRUE,""✓"",""✗"")"),"✗")</f>
        <v>✗</v>
      </c>
      <c r="T301" s="23" t="str">
        <f>IFERROR(__xludf.DUMMYFUNCTION("if(REGEXMATCH(join("", "",$F301:$G301),T$1)=TRUE,""✓"",""✗"")"),"✗")</f>
        <v>✗</v>
      </c>
      <c r="U301" s="33"/>
      <c r="V301" s="33"/>
      <c r="W301" s="33"/>
      <c r="X301" s="33"/>
      <c r="Y301" s="33"/>
      <c r="Z301" s="33"/>
      <c r="AA301" s="33"/>
      <c r="AB301" s="33"/>
      <c r="AC301" s="33"/>
    </row>
    <row r="302" hidden="1">
      <c r="A302" s="17" t="s">
        <v>302</v>
      </c>
      <c r="B302" s="33"/>
      <c r="C302" s="33"/>
      <c r="D302" s="33"/>
      <c r="E302" s="33"/>
      <c r="F302" s="33"/>
      <c r="G302" s="33"/>
      <c r="H302" s="23" t="str">
        <f>IFERROR(__xludf.DUMMYFUNCTION("if(REGEXMATCH(join("", "",$F302:$G302),H$1)=TRUE,""✓"",""✗"")"),"✗")</f>
        <v>✗</v>
      </c>
      <c r="I302" s="23" t="str">
        <f>IFERROR(__xludf.DUMMYFUNCTION("if(REGEXMATCH(join("", "",$F302:$G302),I$1)=TRUE,""✓"",""✗"")"),"✗")</f>
        <v>✗</v>
      </c>
      <c r="J302" s="23" t="str">
        <f>IFERROR(__xludf.DUMMYFUNCTION("if(REGEXMATCH(join("", "",$F302:$G302),J$1)=TRUE,""✓"",""✗"")"),"✗")</f>
        <v>✗</v>
      </c>
      <c r="K302" s="23" t="str">
        <f>IFERROR(__xludf.DUMMYFUNCTION("if(REGEXMATCH(join("", "",$F302:$G302),K$1)=TRUE,""✓"",""✗"")"),"✗")</f>
        <v>✗</v>
      </c>
      <c r="L302" s="23" t="str">
        <f>IFERROR(__xludf.DUMMYFUNCTION("if(REGEXMATCH(join("", "",$F302:$G302),L$1)=TRUE,""✓"",""✗"")"),"✗")</f>
        <v>✗</v>
      </c>
      <c r="M302" s="23" t="str">
        <f>IFERROR(__xludf.DUMMYFUNCTION("if(REGEXMATCH(join("", "",$F302:$G302),M$1)=TRUE,""✓"",""✗"")"),"✗")</f>
        <v>✗</v>
      </c>
      <c r="N302" s="23" t="str">
        <f>IFERROR(__xludf.DUMMYFUNCTION("if(REGEXMATCH(join("", "",$F302:$G302),N$1)=TRUE,""✓"",""✗"")"),"✗")</f>
        <v>✗</v>
      </c>
      <c r="O302" s="23" t="str">
        <f>IFERROR(__xludf.DUMMYFUNCTION("if(REGEXMATCH(join("", "",$F302:$G302),O$1)=TRUE,""✓"",""✗"")"),"✗")</f>
        <v>✗</v>
      </c>
      <c r="P302" s="23" t="str">
        <f>IFERROR(__xludf.DUMMYFUNCTION("if(REGEXMATCH(join("", "",$F302:$G302),P$1)=TRUE,""✓"",""✗"")"),"✗")</f>
        <v>✗</v>
      </c>
      <c r="Q302" s="23" t="str">
        <f>IFERROR(__xludf.DUMMYFUNCTION("if(REGEXMATCH(join("", "",$F302:$G302),Q$1)=TRUE,""✓"",""✗"")"),"✗")</f>
        <v>✗</v>
      </c>
      <c r="R302" s="23" t="str">
        <f>IFERROR(__xludf.DUMMYFUNCTION("if(REGEXMATCH(join("", "",$F302:$G302),R$1)=TRUE,""✓"",""✗"")"),"✗")</f>
        <v>✗</v>
      </c>
      <c r="S302" s="23" t="str">
        <f>IFERROR(__xludf.DUMMYFUNCTION("if(REGEXMATCH(join("", "",$F302:$G302),S$1)=TRUE,""✓"",""✗"")"),"✗")</f>
        <v>✗</v>
      </c>
      <c r="T302" s="23" t="str">
        <f>IFERROR(__xludf.DUMMYFUNCTION("if(REGEXMATCH(join("", "",$F302:$G302),T$1)=TRUE,""✓"",""✗"")"),"✗")</f>
        <v>✗</v>
      </c>
      <c r="U302" s="33"/>
      <c r="V302" s="33"/>
      <c r="W302" s="33"/>
      <c r="X302" s="33"/>
      <c r="Y302" s="33"/>
      <c r="Z302" s="33"/>
      <c r="AA302" s="33"/>
      <c r="AB302" s="33"/>
      <c r="AC302" s="33"/>
    </row>
    <row r="303" hidden="1">
      <c r="A303" s="17" t="s">
        <v>302</v>
      </c>
      <c r="B303" s="33"/>
      <c r="C303" s="33"/>
      <c r="D303" s="33"/>
      <c r="E303" s="33"/>
      <c r="F303" s="33"/>
      <c r="G303" s="33"/>
      <c r="H303" s="23" t="str">
        <f>IFERROR(__xludf.DUMMYFUNCTION("if(REGEXMATCH(join("", "",$F303:$G303),H$1)=TRUE,""✓"",""✗"")"),"✗")</f>
        <v>✗</v>
      </c>
      <c r="I303" s="23" t="str">
        <f>IFERROR(__xludf.DUMMYFUNCTION("if(REGEXMATCH(join("", "",$F303:$G303),I$1)=TRUE,""✓"",""✗"")"),"✗")</f>
        <v>✗</v>
      </c>
      <c r="J303" s="23" t="str">
        <f>IFERROR(__xludf.DUMMYFUNCTION("if(REGEXMATCH(join("", "",$F303:$G303),J$1)=TRUE,""✓"",""✗"")"),"✗")</f>
        <v>✗</v>
      </c>
      <c r="K303" s="23" t="str">
        <f>IFERROR(__xludf.DUMMYFUNCTION("if(REGEXMATCH(join("", "",$F303:$G303),K$1)=TRUE,""✓"",""✗"")"),"✗")</f>
        <v>✗</v>
      </c>
      <c r="L303" s="23" t="str">
        <f>IFERROR(__xludf.DUMMYFUNCTION("if(REGEXMATCH(join("", "",$F303:$G303),L$1)=TRUE,""✓"",""✗"")"),"✗")</f>
        <v>✗</v>
      </c>
      <c r="M303" s="23" t="str">
        <f>IFERROR(__xludf.DUMMYFUNCTION("if(REGEXMATCH(join("", "",$F303:$G303),M$1)=TRUE,""✓"",""✗"")"),"✗")</f>
        <v>✗</v>
      </c>
      <c r="N303" s="23" t="str">
        <f>IFERROR(__xludf.DUMMYFUNCTION("if(REGEXMATCH(join("", "",$F303:$G303),N$1)=TRUE,""✓"",""✗"")"),"✗")</f>
        <v>✗</v>
      </c>
      <c r="O303" s="23" t="str">
        <f>IFERROR(__xludf.DUMMYFUNCTION("if(REGEXMATCH(join("", "",$F303:$G303),O$1)=TRUE,""✓"",""✗"")"),"✗")</f>
        <v>✗</v>
      </c>
      <c r="P303" s="23" t="str">
        <f>IFERROR(__xludf.DUMMYFUNCTION("if(REGEXMATCH(join("", "",$F303:$G303),P$1)=TRUE,""✓"",""✗"")"),"✗")</f>
        <v>✗</v>
      </c>
      <c r="Q303" s="23" t="str">
        <f>IFERROR(__xludf.DUMMYFUNCTION("if(REGEXMATCH(join("", "",$F303:$G303),Q$1)=TRUE,""✓"",""✗"")"),"✗")</f>
        <v>✗</v>
      </c>
      <c r="R303" s="23" t="str">
        <f>IFERROR(__xludf.DUMMYFUNCTION("if(REGEXMATCH(join("", "",$F303:$G303),R$1)=TRUE,""✓"",""✗"")"),"✗")</f>
        <v>✗</v>
      </c>
      <c r="S303" s="23" t="str">
        <f>IFERROR(__xludf.DUMMYFUNCTION("if(REGEXMATCH(join("", "",$F303:$G303),S$1)=TRUE,""✓"",""✗"")"),"✗")</f>
        <v>✗</v>
      </c>
      <c r="T303" s="23" t="str">
        <f>IFERROR(__xludf.DUMMYFUNCTION("if(REGEXMATCH(join("", "",$F303:$G303),T$1)=TRUE,""✓"",""✗"")"),"✗")</f>
        <v>✗</v>
      </c>
      <c r="U303" s="33"/>
      <c r="V303" s="33"/>
      <c r="W303" s="33"/>
      <c r="X303" s="33"/>
      <c r="Y303" s="33"/>
      <c r="Z303" s="33"/>
      <c r="AA303" s="33"/>
      <c r="AB303" s="33"/>
      <c r="AC303" s="33"/>
    </row>
    <row r="304" hidden="1">
      <c r="A304" s="17" t="s">
        <v>302</v>
      </c>
      <c r="B304" s="33"/>
      <c r="C304" s="33"/>
      <c r="D304" s="33"/>
      <c r="E304" s="33"/>
      <c r="F304" s="33"/>
      <c r="G304" s="33"/>
      <c r="H304" s="23" t="str">
        <f>IFERROR(__xludf.DUMMYFUNCTION("if(REGEXMATCH(join("", "",$F304:$G304),H$1)=TRUE,""✓"",""✗"")"),"✗")</f>
        <v>✗</v>
      </c>
      <c r="I304" s="23" t="str">
        <f>IFERROR(__xludf.DUMMYFUNCTION("if(REGEXMATCH(join("", "",$F304:$G304),I$1)=TRUE,""✓"",""✗"")"),"✗")</f>
        <v>✗</v>
      </c>
      <c r="J304" s="23" t="str">
        <f>IFERROR(__xludf.DUMMYFUNCTION("if(REGEXMATCH(join("", "",$F304:$G304),J$1)=TRUE,""✓"",""✗"")"),"✗")</f>
        <v>✗</v>
      </c>
      <c r="K304" s="23" t="str">
        <f>IFERROR(__xludf.DUMMYFUNCTION("if(REGEXMATCH(join("", "",$F304:$G304),K$1)=TRUE,""✓"",""✗"")"),"✗")</f>
        <v>✗</v>
      </c>
      <c r="L304" s="23" t="str">
        <f>IFERROR(__xludf.DUMMYFUNCTION("if(REGEXMATCH(join("", "",$F304:$G304),L$1)=TRUE,""✓"",""✗"")"),"✗")</f>
        <v>✗</v>
      </c>
      <c r="M304" s="23" t="str">
        <f>IFERROR(__xludf.DUMMYFUNCTION("if(REGEXMATCH(join("", "",$F304:$G304),M$1)=TRUE,""✓"",""✗"")"),"✗")</f>
        <v>✗</v>
      </c>
      <c r="N304" s="23" t="str">
        <f>IFERROR(__xludf.DUMMYFUNCTION("if(REGEXMATCH(join("", "",$F304:$G304),N$1)=TRUE,""✓"",""✗"")"),"✗")</f>
        <v>✗</v>
      </c>
      <c r="O304" s="23" t="str">
        <f>IFERROR(__xludf.DUMMYFUNCTION("if(REGEXMATCH(join("", "",$F304:$G304),O$1)=TRUE,""✓"",""✗"")"),"✗")</f>
        <v>✗</v>
      </c>
      <c r="P304" s="23" t="str">
        <f>IFERROR(__xludf.DUMMYFUNCTION("if(REGEXMATCH(join("", "",$F304:$G304),P$1)=TRUE,""✓"",""✗"")"),"✗")</f>
        <v>✗</v>
      </c>
      <c r="Q304" s="23" t="str">
        <f>IFERROR(__xludf.DUMMYFUNCTION("if(REGEXMATCH(join("", "",$F304:$G304),Q$1)=TRUE,""✓"",""✗"")"),"✗")</f>
        <v>✗</v>
      </c>
      <c r="R304" s="23" t="str">
        <f>IFERROR(__xludf.DUMMYFUNCTION("if(REGEXMATCH(join("", "",$F304:$G304),R$1)=TRUE,""✓"",""✗"")"),"✗")</f>
        <v>✗</v>
      </c>
      <c r="S304" s="23" t="str">
        <f>IFERROR(__xludf.DUMMYFUNCTION("if(REGEXMATCH(join("", "",$F304:$G304),S$1)=TRUE,""✓"",""✗"")"),"✗")</f>
        <v>✗</v>
      </c>
      <c r="T304" s="23" t="str">
        <f>IFERROR(__xludf.DUMMYFUNCTION("if(REGEXMATCH(join("", "",$F304:$G304),T$1)=TRUE,""✓"",""✗"")"),"✗")</f>
        <v>✗</v>
      </c>
      <c r="U304" s="33"/>
      <c r="V304" s="33"/>
      <c r="W304" s="33"/>
      <c r="X304" s="33"/>
      <c r="Y304" s="33"/>
      <c r="Z304" s="33"/>
      <c r="AA304" s="33"/>
      <c r="AB304" s="33"/>
      <c r="AC304" s="33"/>
    </row>
    <row r="305" hidden="1">
      <c r="A305" s="17" t="s">
        <v>302</v>
      </c>
      <c r="B305" s="33"/>
      <c r="C305" s="33"/>
      <c r="D305" s="33"/>
      <c r="E305" s="33"/>
      <c r="F305" s="33"/>
      <c r="G305" s="33"/>
      <c r="H305" s="23" t="str">
        <f>IFERROR(__xludf.DUMMYFUNCTION("if(REGEXMATCH(join("", "",$F305:$G305),H$1)=TRUE,""✓"",""✗"")"),"✗")</f>
        <v>✗</v>
      </c>
      <c r="I305" s="23" t="str">
        <f>IFERROR(__xludf.DUMMYFUNCTION("if(REGEXMATCH(join("", "",$F305:$G305),I$1)=TRUE,""✓"",""✗"")"),"✗")</f>
        <v>✗</v>
      </c>
      <c r="J305" s="23" t="str">
        <f>IFERROR(__xludf.DUMMYFUNCTION("if(REGEXMATCH(join("", "",$F305:$G305),J$1)=TRUE,""✓"",""✗"")"),"✗")</f>
        <v>✗</v>
      </c>
      <c r="K305" s="23" t="str">
        <f>IFERROR(__xludf.DUMMYFUNCTION("if(REGEXMATCH(join("", "",$F305:$G305),K$1)=TRUE,""✓"",""✗"")"),"✗")</f>
        <v>✗</v>
      </c>
      <c r="L305" s="23" t="str">
        <f>IFERROR(__xludf.DUMMYFUNCTION("if(REGEXMATCH(join("", "",$F305:$G305),L$1)=TRUE,""✓"",""✗"")"),"✗")</f>
        <v>✗</v>
      </c>
      <c r="M305" s="23" t="str">
        <f>IFERROR(__xludf.DUMMYFUNCTION("if(REGEXMATCH(join("", "",$F305:$G305),M$1)=TRUE,""✓"",""✗"")"),"✗")</f>
        <v>✗</v>
      </c>
      <c r="N305" s="23" t="str">
        <f>IFERROR(__xludf.DUMMYFUNCTION("if(REGEXMATCH(join("", "",$F305:$G305),N$1)=TRUE,""✓"",""✗"")"),"✗")</f>
        <v>✗</v>
      </c>
      <c r="O305" s="23" t="str">
        <f>IFERROR(__xludf.DUMMYFUNCTION("if(REGEXMATCH(join("", "",$F305:$G305),O$1)=TRUE,""✓"",""✗"")"),"✗")</f>
        <v>✗</v>
      </c>
      <c r="P305" s="23" t="str">
        <f>IFERROR(__xludf.DUMMYFUNCTION("if(REGEXMATCH(join("", "",$F305:$G305),P$1)=TRUE,""✓"",""✗"")"),"✗")</f>
        <v>✗</v>
      </c>
      <c r="Q305" s="23" t="str">
        <f>IFERROR(__xludf.DUMMYFUNCTION("if(REGEXMATCH(join("", "",$F305:$G305),Q$1)=TRUE,""✓"",""✗"")"),"✗")</f>
        <v>✗</v>
      </c>
      <c r="R305" s="23" t="str">
        <f>IFERROR(__xludf.DUMMYFUNCTION("if(REGEXMATCH(join("", "",$F305:$G305),R$1)=TRUE,""✓"",""✗"")"),"✗")</f>
        <v>✗</v>
      </c>
      <c r="S305" s="23" t="str">
        <f>IFERROR(__xludf.DUMMYFUNCTION("if(REGEXMATCH(join("", "",$F305:$G305),S$1)=TRUE,""✓"",""✗"")"),"✗")</f>
        <v>✗</v>
      </c>
      <c r="T305" s="23" t="str">
        <f>IFERROR(__xludf.DUMMYFUNCTION("if(REGEXMATCH(join("", "",$F305:$G305),T$1)=TRUE,""✓"",""✗"")"),"✗")</f>
        <v>✗</v>
      </c>
      <c r="U305" s="33"/>
      <c r="V305" s="33"/>
      <c r="W305" s="33"/>
      <c r="X305" s="33"/>
      <c r="Y305" s="33"/>
      <c r="Z305" s="33"/>
      <c r="AA305" s="33"/>
      <c r="AB305" s="33"/>
      <c r="AC305" s="33"/>
    </row>
    <row r="306" hidden="1">
      <c r="A306" s="17" t="s">
        <v>302</v>
      </c>
      <c r="B306" s="33"/>
      <c r="C306" s="33"/>
      <c r="D306" s="33"/>
      <c r="E306" s="33"/>
      <c r="F306" s="33"/>
      <c r="G306" s="33"/>
      <c r="H306" s="23" t="str">
        <f>IFERROR(__xludf.DUMMYFUNCTION("if(REGEXMATCH(join("", "",$F306:$G306),H$1)=TRUE,""✓"",""✗"")"),"✗")</f>
        <v>✗</v>
      </c>
      <c r="I306" s="23" t="str">
        <f>IFERROR(__xludf.DUMMYFUNCTION("if(REGEXMATCH(join("", "",$F306:$G306),I$1)=TRUE,""✓"",""✗"")"),"✗")</f>
        <v>✗</v>
      </c>
      <c r="J306" s="23" t="str">
        <f>IFERROR(__xludf.DUMMYFUNCTION("if(REGEXMATCH(join("", "",$F306:$G306),J$1)=TRUE,""✓"",""✗"")"),"✗")</f>
        <v>✗</v>
      </c>
      <c r="K306" s="23" t="str">
        <f>IFERROR(__xludf.DUMMYFUNCTION("if(REGEXMATCH(join("", "",$F306:$G306),K$1)=TRUE,""✓"",""✗"")"),"✗")</f>
        <v>✗</v>
      </c>
      <c r="L306" s="23" t="str">
        <f>IFERROR(__xludf.DUMMYFUNCTION("if(REGEXMATCH(join("", "",$F306:$G306),L$1)=TRUE,""✓"",""✗"")"),"✗")</f>
        <v>✗</v>
      </c>
      <c r="M306" s="23" t="str">
        <f>IFERROR(__xludf.DUMMYFUNCTION("if(REGEXMATCH(join("", "",$F306:$G306),M$1)=TRUE,""✓"",""✗"")"),"✗")</f>
        <v>✗</v>
      </c>
      <c r="N306" s="23" t="str">
        <f>IFERROR(__xludf.DUMMYFUNCTION("if(REGEXMATCH(join("", "",$F306:$G306),N$1)=TRUE,""✓"",""✗"")"),"✗")</f>
        <v>✗</v>
      </c>
      <c r="O306" s="23" t="str">
        <f>IFERROR(__xludf.DUMMYFUNCTION("if(REGEXMATCH(join("", "",$F306:$G306),O$1)=TRUE,""✓"",""✗"")"),"✗")</f>
        <v>✗</v>
      </c>
      <c r="P306" s="23" t="str">
        <f>IFERROR(__xludf.DUMMYFUNCTION("if(REGEXMATCH(join("", "",$F306:$G306),P$1)=TRUE,""✓"",""✗"")"),"✗")</f>
        <v>✗</v>
      </c>
      <c r="Q306" s="23" t="str">
        <f>IFERROR(__xludf.DUMMYFUNCTION("if(REGEXMATCH(join("", "",$F306:$G306),Q$1)=TRUE,""✓"",""✗"")"),"✗")</f>
        <v>✗</v>
      </c>
      <c r="R306" s="23" t="str">
        <f>IFERROR(__xludf.DUMMYFUNCTION("if(REGEXMATCH(join("", "",$F306:$G306),R$1)=TRUE,""✓"",""✗"")"),"✗")</f>
        <v>✗</v>
      </c>
      <c r="S306" s="23" t="str">
        <f>IFERROR(__xludf.DUMMYFUNCTION("if(REGEXMATCH(join("", "",$F306:$G306),S$1)=TRUE,""✓"",""✗"")"),"✗")</f>
        <v>✗</v>
      </c>
      <c r="T306" s="23" t="str">
        <f>IFERROR(__xludf.DUMMYFUNCTION("if(REGEXMATCH(join("", "",$F306:$G306),T$1)=TRUE,""✓"",""✗"")"),"✗")</f>
        <v>✗</v>
      </c>
      <c r="U306" s="33"/>
      <c r="V306" s="33"/>
      <c r="W306" s="33"/>
      <c r="X306" s="33"/>
      <c r="Y306" s="33"/>
      <c r="Z306" s="33"/>
      <c r="AA306" s="33"/>
      <c r="AB306" s="33"/>
      <c r="AC306" s="33"/>
    </row>
    <row r="307" hidden="1">
      <c r="A307" s="17" t="s">
        <v>302</v>
      </c>
      <c r="B307" s="33"/>
      <c r="C307" s="33"/>
      <c r="D307" s="33"/>
      <c r="E307" s="33"/>
      <c r="F307" s="33"/>
      <c r="G307" s="33"/>
      <c r="H307" s="23" t="str">
        <f>IFERROR(__xludf.DUMMYFUNCTION("if(REGEXMATCH(join("", "",$F307:$G307),H$1)=TRUE,""✓"",""✗"")"),"✗")</f>
        <v>✗</v>
      </c>
      <c r="I307" s="23" t="str">
        <f>IFERROR(__xludf.DUMMYFUNCTION("if(REGEXMATCH(join("", "",$F307:$G307),I$1)=TRUE,""✓"",""✗"")"),"✗")</f>
        <v>✗</v>
      </c>
      <c r="J307" s="23" t="str">
        <f>IFERROR(__xludf.DUMMYFUNCTION("if(REGEXMATCH(join("", "",$F307:$G307),J$1)=TRUE,""✓"",""✗"")"),"✗")</f>
        <v>✗</v>
      </c>
      <c r="K307" s="23" t="str">
        <f>IFERROR(__xludf.DUMMYFUNCTION("if(REGEXMATCH(join("", "",$F307:$G307),K$1)=TRUE,""✓"",""✗"")"),"✗")</f>
        <v>✗</v>
      </c>
      <c r="L307" s="23" t="str">
        <f>IFERROR(__xludf.DUMMYFUNCTION("if(REGEXMATCH(join("", "",$F307:$G307),L$1)=TRUE,""✓"",""✗"")"),"✗")</f>
        <v>✗</v>
      </c>
      <c r="M307" s="23" t="str">
        <f>IFERROR(__xludf.DUMMYFUNCTION("if(REGEXMATCH(join("", "",$F307:$G307),M$1)=TRUE,""✓"",""✗"")"),"✗")</f>
        <v>✗</v>
      </c>
      <c r="N307" s="23" t="str">
        <f>IFERROR(__xludf.DUMMYFUNCTION("if(REGEXMATCH(join("", "",$F307:$G307),N$1)=TRUE,""✓"",""✗"")"),"✗")</f>
        <v>✗</v>
      </c>
      <c r="O307" s="23" t="str">
        <f>IFERROR(__xludf.DUMMYFUNCTION("if(REGEXMATCH(join("", "",$F307:$G307),O$1)=TRUE,""✓"",""✗"")"),"✗")</f>
        <v>✗</v>
      </c>
      <c r="P307" s="23" t="str">
        <f>IFERROR(__xludf.DUMMYFUNCTION("if(REGEXMATCH(join("", "",$F307:$G307),P$1)=TRUE,""✓"",""✗"")"),"✗")</f>
        <v>✗</v>
      </c>
      <c r="Q307" s="23" t="str">
        <f>IFERROR(__xludf.DUMMYFUNCTION("if(REGEXMATCH(join("", "",$F307:$G307),Q$1)=TRUE,""✓"",""✗"")"),"✗")</f>
        <v>✗</v>
      </c>
      <c r="R307" s="23" t="str">
        <f>IFERROR(__xludf.DUMMYFUNCTION("if(REGEXMATCH(join("", "",$F307:$G307),R$1)=TRUE,""✓"",""✗"")"),"✗")</f>
        <v>✗</v>
      </c>
      <c r="S307" s="23" t="str">
        <f>IFERROR(__xludf.DUMMYFUNCTION("if(REGEXMATCH(join("", "",$F307:$G307),S$1)=TRUE,""✓"",""✗"")"),"✗")</f>
        <v>✗</v>
      </c>
      <c r="T307" s="23" t="str">
        <f>IFERROR(__xludf.DUMMYFUNCTION("if(REGEXMATCH(join("", "",$F307:$G307),T$1)=TRUE,""✓"",""✗"")"),"✗")</f>
        <v>✗</v>
      </c>
      <c r="U307" s="33"/>
      <c r="V307" s="33"/>
      <c r="W307" s="33"/>
      <c r="X307" s="33"/>
      <c r="Y307" s="33"/>
      <c r="Z307" s="33"/>
      <c r="AA307" s="33"/>
      <c r="AB307" s="33"/>
      <c r="AC307" s="33"/>
    </row>
    <row r="308" hidden="1">
      <c r="A308" s="17" t="s">
        <v>302</v>
      </c>
      <c r="B308" s="33"/>
      <c r="C308" s="33"/>
      <c r="D308" s="33"/>
      <c r="E308" s="33"/>
      <c r="F308" s="33"/>
      <c r="G308" s="33"/>
      <c r="H308" s="23" t="str">
        <f>IFERROR(__xludf.DUMMYFUNCTION("if(REGEXMATCH(join("", "",$F308:$G308),H$1)=TRUE,""✓"",""✗"")"),"✗")</f>
        <v>✗</v>
      </c>
      <c r="I308" s="23" t="str">
        <f>IFERROR(__xludf.DUMMYFUNCTION("if(REGEXMATCH(join("", "",$F308:$G308),I$1)=TRUE,""✓"",""✗"")"),"✗")</f>
        <v>✗</v>
      </c>
      <c r="J308" s="23" t="str">
        <f>IFERROR(__xludf.DUMMYFUNCTION("if(REGEXMATCH(join("", "",$F308:$G308),J$1)=TRUE,""✓"",""✗"")"),"✗")</f>
        <v>✗</v>
      </c>
      <c r="K308" s="23" t="str">
        <f>IFERROR(__xludf.DUMMYFUNCTION("if(REGEXMATCH(join("", "",$F308:$G308),K$1)=TRUE,""✓"",""✗"")"),"✗")</f>
        <v>✗</v>
      </c>
      <c r="L308" s="23" t="str">
        <f>IFERROR(__xludf.DUMMYFUNCTION("if(REGEXMATCH(join("", "",$F308:$G308),L$1)=TRUE,""✓"",""✗"")"),"✗")</f>
        <v>✗</v>
      </c>
      <c r="M308" s="23" t="str">
        <f>IFERROR(__xludf.DUMMYFUNCTION("if(REGEXMATCH(join("", "",$F308:$G308),M$1)=TRUE,""✓"",""✗"")"),"✗")</f>
        <v>✗</v>
      </c>
      <c r="N308" s="23" t="str">
        <f>IFERROR(__xludf.DUMMYFUNCTION("if(REGEXMATCH(join("", "",$F308:$G308),N$1)=TRUE,""✓"",""✗"")"),"✗")</f>
        <v>✗</v>
      </c>
      <c r="O308" s="23" t="str">
        <f>IFERROR(__xludf.DUMMYFUNCTION("if(REGEXMATCH(join("", "",$F308:$G308),O$1)=TRUE,""✓"",""✗"")"),"✗")</f>
        <v>✗</v>
      </c>
      <c r="P308" s="23" t="str">
        <f>IFERROR(__xludf.DUMMYFUNCTION("if(REGEXMATCH(join("", "",$F308:$G308),P$1)=TRUE,""✓"",""✗"")"),"✗")</f>
        <v>✗</v>
      </c>
      <c r="Q308" s="23" t="str">
        <f>IFERROR(__xludf.DUMMYFUNCTION("if(REGEXMATCH(join("", "",$F308:$G308),Q$1)=TRUE,""✓"",""✗"")"),"✗")</f>
        <v>✗</v>
      </c>
      <c r="R308" s="23" t="str">
        <f>IFERROR(__xludf.DUMMYFUNCTION("if(REGEXMATCH(join("", "",$F308:$G308),R$1)=TRUE,""✓"",""✗"")"),"✗")</f>
        <v>✗</v>
      </c>
      <c r="S308" s="23" t="str">
        <f>IFERROR(__xludf.DUMMYFUNCTION("if(REGEXMATCH(join("", "",$F308:$G308),S$1)=TRUE,""✓"",""✗"")"),"✗")</f>
        <v>✗</v>
      </c>
      <c r="T308" s="23" t="str">
        <f>IFERROR(__xludf.DUMMYFUNCTION("if(REGEXMATCH(join("", "",$F308:$G308),T$1)=TRUE,""✓"",""✗"")"),"✗")</f>
        <v>✗</v>
      </c>
      <c r="U308" s="33"/>
      <c r="V308" s="33"/>
      <c r="W308" s="33"/>
      <c r="X308" s="33"/>
      <c r="Y308" s="33"/>
      <c r="Z308" s="33"/>
      <c r="AA308" s="33"/>
      <c r="AB308" s="33"/>
      <c r="AC308" s="33"/>
    </row>
    <row r="309" hidden="1">
      <c r="A309" s="17" t="s">
        <v>302</v>
      </c>
      <c r="B309" s="33"/>
      <c r="C309" s="33"/>
      <c r="D309" s="33"/>
      <c r="E309" s="33"/>
      <c r="F309" s="33"/>
      <c r="G309" s="33"/>
      <c r="H309" s="23" t="str">
        <f>IFERROR(__xludf.DUMMYFUNCTION("if(REGEXMATCH(join("", "",$F309:$G309),H$1)=TRUE,""✓"",""✗"")"),"✗")</f>
        <v>✗</v>
      </c>
      <c r="I309" s="23" t="str">
        <f>IFERROR(__xludf.DUMMYFUNCTION("if(REGEXMATCH(join("", "",$F309:$G309),I$1)=TRUE,""✓"",""✗"")"),"✗")</f>
        <v>✗</v>
      </c>
      <c r="J309" s="23" t="str">
        <f>IFERROR(__xludf.DUMMYFUNCTION("if(REGEXMATCH(join("", "",$F309:$G309),J$1)=TRUE,""✓"",""✗"")"),"✗")</f>
        <v>✗</v>
      </c>
      <c r="K309" s="23" t="str">
        <f>IFERROR(__xludf.DUMMYFUNCTION("if(REGEXMATCH(join("", "",$F309:$G309),K$1)=TRUE,""✓"",""✗"")"),"✗")</f>
        <v>✗</v>
      </c>
      <c r="L309" s="23" t="str">
        <f>IFERROR(__xludf.DUMMYFUNCTION("if(REGEXMATCH(join("", "",$F309:$G309),L$1)=TRUE,""✓"",""✗"")"),"✗")</f>
        <v>✗</v>
      </c>
      <c r="M309" s="23" t="str">
        <f>IFERROR(__xludf.DUMMYFUNCTION("if(REGEXMATCH(join("", "",$F309:$G309),M$1)=TRUE,""✓"",""✗"")"),"✗")</f>
        <v>✗</v>
      </c>
      <c r="N309" s="23" t="str">
        <f>IFERROR(__xludf.DUMMYFUNCTION("if(REGEXMATCH(join("", "",$F309:$G309),N$1)=TRUE,""✓"",""✗"")"),"✗")</f>
        <v>✗</v>
      </c>
      <c r="O309" s="23" t="str">
        <f>IFERROR(__xludf.DUMMYFUNCTION("if(REGEXMATCH(join("", "",$F309:$G309),O$1)=TRUE,""✓"",""✗"")"),"✗")</f>
        <v>✗</v>
      </c>
      <c r="P309" s="23" t="str">
        <f>IFERROR(__xludf.DUMMYFUNCTION("if(REGEXMATCH(join("", "",$F309:$G309),P$1)=TRUE,""✓"",""✗"")"),"✗")</f>
        <v>✗</v>
      </c>
      <c r="Q309" s="23" t="str">
        <f>IFERROR(__xludf.DUMMYFUNCTION("if(REGEXMATCH(join("", "",$F309:$G309),Q$1)=TRUE,""✓"",""✗"")"),"✗")</f>
        <v>✗</v>
      </c>
      <c r="R309" s="23" t="str">
        <f>IFERROR(__xludf.DUMMYFUNCTION("if(REGEXMATCH(join("", "",$F309:$G309),R$1)=TRUE,""✓"",""✗"")"),"✗")</f>
        <v>✗</v>
      </c>
      <c r="S309" s="23" t="str">
        <f>IFERROR(__xludf.DUMMYFUNCTION("if(REGEXMATCH(join("", "",$F309:$G309),S$1)=TRUE,""✓"",""✗"")"),"✗")</f>
        <v>✗</v>
      </c>
      <c r="T309" s="23" t="str">
        <f>IFERROR(__xludf.DUMMYFUNCTION("if(REGEXMATCH(join("", "",$F309:$G309),T$1)=TRUE,""✓"",""✗"")"),"✗")</f>
        <v>✗</v>
      </c>
      <c r="U309" s="33"/>
      <c r="V309" s="33"/>
      <c r="W309" s="33"/>
      <c r="X309" s="33"/>
      <c r="Y309" s="33"/>
      <c r="Z309" s="33"/>
      <c r="AA309" s="33"/>
      <c r="AB309" s="33"/>
      <c r="AC309" s="33"/>
    </row>
    <row r="310" hidden="1">
      <c r="A310" s="17" t="s">
        <v>302</v>
      </c>
      <c r="B310" s="33"/>
      <c r="C310" s="33"/>
      <c r="D310" s="33"/>
      <c r="E310" s="33"/>
      <c r="F310" s="33"/>
      <c r="G310" s="33"/>
      <c r="H310" s="23" t="str">
        <f>IFERROR(__xludf.DUMMYFUNCTION("if(REGEXMATCH(join("", "",$F310:$G310),H$1)=TRUE,""✓"",""✗"")"),"✗")</f>
        <v>✗</v>
      </c>
      <c r="I310" s="23" t="str">
        <f>IFERROR(__xludf.DUMMYFUNCTION("if(REGEXMATCH(join("", "",$F310:$G310),I$1)=TRUE,""✓"",""✗"")"),"✗")</f>
        <v>✗</v>
      </c>
      <c r="J310" s="23" t="str">
        <f>IFERROR(__xludf.DUMMYFUNCTION("if(REGEXMATCH(join("", "",$F310:$G310),J$1)=TRUE,""✓"",""✗"")"),"✗")</f>
        <v>✗</v>
      </c>
      <c r="K310" s="23" t="str">
        <f>IFERROR(__xludf.DUMMYFUNCTION("if(REGEXMATCH(join("", "",$F310:$G310),K$1)=TRUE,""✓"",""✗"")"),"✗")</f>
        <v>✗</v>
      </c>
      <c r="L310" s="23" t="str">
        <f>IFERROR(__xludf.DUMMYFUNCTION("if(REGEXMATCH(join("", "",$F310:$G310),L$1)=TRUE,""✓"",""✗"")"),"✗")</f>
        <v>✗</v>
      </c>
      <c r="M310" s="23" t="str">
        <f>IFERROR(__xludf.DUMMYFUNCTION("if(REGEXMATCH(join("", "",$F310:$G310),M$1)=TRUE,""✓"",""✗"")"),"✗")</f>
        <v>✗</v>
      </c>
      <c r="N310" s="23" t="str">
        <f>IFERROR(__xludf.DUMMYFUNCTION("if(REGEXMATCH(join("", "",$F310:$G310),N$1)=TRUE,""✓"",""✗"")"),"✗")</f>
        <v>✗</v>
      </c>
      <c r="O310" s="23" t="str">
        <f>IFERROR(__xludf.DUMMYFUNCTION("if(REGEXMATCH(join("", "",$F310:$G310),O$1)=TRUE,""✓"",""✗"")"),"✗")</f>
        <v>✗</v>
      </c>
      <c r="P310" s="23" t="str">
        <f>IFERROR(__xludf.DUMMYFUNCTION("if(REGEXMATCH(join("", "",$F310:$G310),P$1)=TRUE,""✓"",""✗"")"),"✗")</f>
        <v>✗</v>
      </c>
      <c r="Q310" s="23" t="str">
        <f>IFERROR(__xludf.DUMMYFUNCTION("if(REGEXMATCH(join("", "",$F310:$G310),Q$1)=TRUE,""✓"",""✗"")"),"✗")</f>
        <v>✗</v>
      </c>
      <c r="R310" s="23" t="str">
        <f>IFERROR(__xludf.DUMMYFUNCTION("if(REGEXMATCH(join("", "",$F310:$G310),R$1)=TRUE,""✓"",""✗"")"),"✗")</f>
        <v>✗</v>
      </c>
      <c r="S310" s="23" t="str">
        <f>IFERROR(__xludf.DUMMYFUNCTION("if(REGEXMATCH(join("", "",$F310:$G310),S$1)=TRUE,""✓"",""✗"")"),"✗")</f>
        <v>✗</v>
      </c>
      <c r="T310" s="23" t="str">
        <f>IFERROR(__xludf.DUMMYFUNCTION("if(REGEXMATCH(join("", "",$F310:$G310),T$1)=TRUE,""✓"",""✗"")"),"✗")</f>
        <v>✗</v>
      </c>
      <c r="U310" s="33"/>
      <c r="V310" s="33"/>
      <c r="W310" s="33"/>
      <c r="X310" s="33"/>
      <c r="Y310" s="33"/>
      <c r="Z310" s="33"/>
      <c r="AA310" s="33"/>
      <c r="AB310" s="33"/>
      <c r="AC310" s="33"/>
    </row>
    <row r="311" hidden="1">
      <c r="A311" s="17" t="s">
        <v>302</v>
      </c>
      <c r="B311" s="33"/>
      <c r="C311" s="33"/>
      <c r="D311" s="33"/>
      <c r="E311" s="33"/>
      <c r="F311" s="33"/>
      <c r="G311" s="33"/>
      <c r="H311" s="23" t="str">
        <f>IFERROR(__xludf.DUMMYFUNCTION("if(REGEXMATCH(join("", "",$F311:$G311),H$1)=TRUE,""✓"",""✗"")"),"✗")</f>
        <v>✗</v>
      </c>
      <c r="I311" s="23" t="str">
        <f>IFERROR(__xludf.DUMMYFUNCTION("if(REGEXMATCH(join("", "",$F311:$G311),I$1)=TRUE,""✓"",""✗"")"),"✗")</f>
        <v>✗</v>
      </c>
      <c r="J311" s="23" t="str">
        <f>IFERROR(__xludf.DUMMYFUNCTION("if(REGEXMATCH(join("", "",$F311:$G311),J$1)=TRUE,""✓"",""✗"")"),"✗")</f>
        <v>✗</v>
      </c>
      <c r="K311" s="23" t="str">
        <f>IFERROR(__xludf.DUMMYFUNCTION("if(REGEXMATCH(join("", "",$F311:$G311),K$1)=TRUE,""✓"",""✗"")"),"✗")</f>
        <v>✗</v>
      </c>
      <c r="L311" s="23" t="str">
        <f>IFERROR(__xludf.DUMMYFUNCTION("if(REGEXMATCH(join("", "",$F311:$G311),L$1)=TRUE,""✓"",""✗"")"),"✗")</f>
        <v>✗</v>
      </c>
      <c r="M311" s="23" t="str">
        <f>IFERROR(__xludf.DUMMYFUNCTION("if(REGEXMATCH(join("", "",$F311:$G311),M$1)=TRUE,""✓"",""✗"")"),"✗")</f>
        <v>✗</v>
      </c>
      <c r="N311" s="23" t="str">
        <f>IFERROR(__xludf.DUMMYFUNCTION("if(REGEXMATCH(join("", "",$F311:$G311),N$1)=TRUE,""✓"",""✗"")"),"✗")</f>
        <v>✗</v>
      </c>
      <c r="O311" s="23" t="str">
        <f>IFERROR(__xludf.DUMMYFUNCTION("if(REGEXMATCH(join("", "",$F311:$G311),O$1)=TRUE,""✓"",""✗"")"),"✗")</f>
        <v>✗</v>
      </c>
      <c r="P311" s="23" t="str">
        <f>IFERROR(__xludf.DUMMYFUNCTION("if(REGEXMATCH(join("", "",$F311:$G311),P$1)=TRUE,""✓"",""✗"")"),"✗")</f>
        <v>✗</v>
      </c>
      <c r="Q311" s="23" t="str">
        <f>IFERROR(__xludf.DUMMYFUNCTION("if(REGEXMATCH(join("", "",$F311:$G311),Q$1)=TRUE,""✓"",""✗"")"),"✗")</f>
        <v>✗</v>
      </c>
      <c r="R311" s="23" t="str">
        <f>IFERROR(__xludf.DUMMYFUNCTION("if(REGEXMATCH(join("", "",$F311:$G311),R$1)=TRUE,""✓"",""✗"")"),"✗")</f>
        <v>✗</v>
      </c>
      <c r="S311" s="23" t="str">
        <f>IFERROR(__xludf.DUMMYFUNCTION("if(REGEXMATCH(join("", "",$F311:$G311),S$1)=TRUE,""✓"",""✗"")"),"✗")</f>
        <v>✗</v>
      </c>
      <c r="T311" s="23" t="str">
        <f>IFERROR(__xludf.DUMMYFUNCTION("if(REGEXMATCH(join("", "",$F311:$G311),T$1)=TRUE,""✓"",""✗"")"),"✗")</f>
        <v>✗</v>
      </c>
      <c r="U311" s="33"/>
      <c r="V311" s="33"/>
      <c r="W311" s="33"/>
      <c r="X311" s="33"/>
      <c r="Y311" s="33"/>
      <c r="Z311" s="33"/>
      <c r="AA311" s="33"/>
      <c r="AB311" s="33"/>
      <c r="AC311" s="33"/>
    </row>
    <row r="312" hidden="1">
      <c r="A312" s="17" t="s">
        <v>302</v>
      </c>
      <c r="B312" s="33"/>
      <c r="C312" s="33"/>
      <c r="D312" s="33"/>
      <c r="E312" s="33"/>
      <c r="F312" s="33"/>
      <c r="G312" s="33"/>
      <c r="H312" s="23" t="str">
        <f>IFERROR(__xludf.DUMMYFUNCTION("if(REGEXMATCH(join("", "",$F312:$G312),H$1)=TRUE,""✓"",""✗"")"),"✗")</f>
        <v>✗</v>
      </c>
      <c r="I312" s="23" t="str">
        <f>IFERROR(__xludf.DUMMYFUNCTION("if(REGEXMATCH(join("", "",$F312:$G312),I$1)=TRUE,""✓"",""✗"")"),"✗")</f>
        <v>✗</v>
      </c>
      <c r="J312" s="23" t="str">
        <f>IFERROR(__xludf.DUMMYFUNCTION("if(REGEXMATCH(join("", "",$F312:$G312),J$1)=TRUE,""✓"",""✗"")"),"✗")</f>
        <v>✗</v>
      </c>
      <c r="K312" s="23" t="str">
        <f>IFERROR(__xludf.DUMMYFUNCTION("if(REGEXMATCH(join("", "",$F312:$G312),K$1)=TRUE,""✓"",""✗"")"),"✗")</f>
        <v>✗</v>
      </c>
      <c r="L312" s="23" t="str">
        <f>IFERROR(__xludf.DUMMYFUNCTION("if(REGEXMATCH(join("", "",$F312:$G312),L$1)=TRUE,""✓"",""✗"")"),"✗")</f>
        <v>✗</v>
      </c>
      <c r="M312" s="23" t="str">
        <f>IFERROR(__xludf.DUMMYFUNCTION("if(REGEXMATCH(join("", "",$F312:$G312),M$1)=TRUE,""✓"",""✗"")"),"✗")</f>
        <v>✗</v>
      </c>
      <c r="N312" s="23" t="str">
        <f>IFERROR(__xludf.DUMMYFUNCTION("if(REGEXMATCH(join("", "",$F312:$G312),N$1)=TRUE,""✓"",""✗"")"),"✗")</f>
        <v>✗</v>
      </c>
      <c r="O312" s="23" t="str">
        <f>IFERROR(__xludf.DUMMYFUNCTION("if(REGEXMATCH(join("", "",$F312:$G312),O$1)=TRUE,""✓"",""✗"")"),"✗")</f>
        <v>✗</v>
      </c>
      <c r="P312" s="23" t="str">
        <f>IFERROR(__xludf.DUMMYFUNCTION("if(REGEXMATCH(join("", "",$F312:$G312),P$1)=TRUE,""✓"",""✗"")"),"✗")</f>
        <v>✗</v>
      </c>
      <c r="Q312" s="23" t="str">
        <f>IFERROR(__xludf.DUMMYFUNCTION("if(REGEXMATCH(join("", "",$F312:$G312),Q$1)=TRUE,""✓"",""✗"")"),"✗")</f>
        <v>✗</v>
      </c>
      <c r="R312" s="23" t="str">
        <f>IFERROR(__xludf.DUMMYFUNCTION("if(REGEXMATCH(join("", "",$F312:$G312),R$1)=TRUE,""✓"",""✗"")"),"✗")</f>
        <v>✗</v>
      </c>
      <c r="S312" s="23" t="str">
        <f>IFERROR(__xludf.DUMMYFUNCTION("if(REGEXMATCH(join("", "",$F312:$G312),S$1)=TRUE,""✓"",""✗"")"),"✗")</f>
        <v>✗</v>
      </c>
      <c r="T312" s="23" t="str">
        <f>IFERROR(__xludf.DUMMYFUNCTION("if(REGEXMATCH(join("", "",$F312:$G312),T$1)=TRUE,""✓"",""✗"")"),"✗")</f>
        <v>✗</v>
      </c>
      <c r="U312" s="33"/>
      <c r="V312" s="33"/>
      <c r="W312" s="33"/>
      <c r="X312" s="33"/>
      <c r="Y312" s="33"/>
      <c r="Z312" s="33"/>
      <c r="AA312" s="33"/>
      <c r="AB312" s="33"/>
      <c r="AC312" s="33"/>
    </row>
    <row r="313" hidden="1">
      <c r="A313" s="17" t="s">
        <v>302</v>
      </c>
      <c r="B313" s="33"/>
      <c r="C313" s="33"/>
      <c r="D313" s="33"/>
      <c r="E313" s="33"/>
      <c r="F313" s="33"/>
      <c r="G313" s="33"/>
      <c r="H313" s="23" t="str">
        <f>IFERROR(__xludf.DUMMYFUNCTION("if(REGEXMATCH(join("", "",$F313:$G313),H$1)=TRUE,""✓"",""✗"")"),"✗")</f>
        <v>✗</v>
      </c>
      <c r="I313" s="23" t="str">
        <f>IFERROR(__xludf.DUMMYFUNCTION("if(REGEXMATCH(join("", "",$F313:$G313),I$1)=TRUE,""✓"",""✗"")"),"✗")</f>
        <v>✗</v>
      </c>
      <c r="J313" s="23" t="str">
        <f>IFERROR(__xludf.DUMMYFUNCTION("if(REGEXMATCH(join("", "",$F313:$G313),J$1)=TRUE,""✓"",""✗"")"),"✗")</f>
        <v>✗</v>
      </c>
      <c r="K313" s="23" t="str">
        <f>IFERROR(__xludf.DUMMYFUNCTION("if(REGEXMATCH(join("", "",$F313:$G313),K$1)=TRUE,""✓"",""✗"")"),"✗")</f>
        <v>✗</v>
      </c>
      <c r="L313" s="23" t="str">
        <f>IFERROR(__xludf.DUMMYFUNCTION("if(REGEXMATCH(join("", "",$F313:$G313),L$1)=TRUE,""✓"",""✗"")"),"✗")</f>
        <v>✗</v>
      </c>
      <c r="M313" s="23" t="str">
        <f>IFERROR(__xludf.DUMMYFUNCTION("if(REGEXMATCH(join("", "",$F313:$G313),M$1)=TRUE,""✓"",""✗"")"),"✗")</f>
        <v>✗</v>
      </c>
      <c r="N313" s="23" t="str">
        <f>IFERROR(__xludf.DUMMYFUNCTION("if(REGEXMATCH(join("", "",$F313:$G313),N$1)=TRUE,""✓"",""✗"")"),"✗")</f>
        <v>✗</v>
      </c>
      <c r="O313" s="23" t="str">
        <f>IFERROR(__xludf.DUMMYFUNCTION("if(REGEXMATCH(join("", "",$F313:$G313),O$1)=TRUE,""✓"",""✗"")"),"✗")</f>
        <v>✗</v>
      </c>
      <c r="P313" s="23" t="str">
        <f>IFERROR(__xludf.DUMMYFUNCTION("if(REGEXMATCH(join("", "",$F313:$G313),P$1)=TRUE,""✓"",""✗"")"),"✗")</f>
        <v>✗</v>
      </c>
      <c r="Q313" s="23" t="str">
        <f>IFERROR(__xludf.DUMMYFUNCTION("if(REGEXMATCH(join("", "",$F313:$G313),Q$1)=TRUE,""✓"",""✗"")"),"✗")</f>
        <v>✗</v>
      </c>
      <c r="R313" s="23" t="str">
        <f>IFERROR(__xludf.DUMMYFUNCTION("if(REGEXMATCH(join("", "",$F313:$G313),R$1)=TRUE,""✓"",""✗"")"),"✗")</f>
        <v>✗</v>
      </c>
      <c r="S313" s="23" t="str">
        <f>IFERROR(__xludf.DUMMYFUNCTION("if(REGEXMATCH(join("", "",$F313:$G313),S$1)=TRUE,""✓"",""✗"")"),"✗")</f>
        <v>✗</v>
      </c>
      <c r="T313" s="23" t="str">
        <f>IFERROR(__xludf.DUMMYFUNCTION("if(REGEXMATCH(join("", "",$F313:$G313),T$1)=TRUE,""✓"",""✗"")"),"✗")</f>
        <v>✗</v>
      </c>
      <c r="U313" s="33"/>
      <c r="V313" s="33"/>
      <c r="W313" s="33"/>
      <c r="X313" s="33"/>
      <c r="Y313" s="33"/>
      <c r="Z313" s="33"/>
      <c r="AA313" s="33"/>
      <c r="AB313" s="33"/>
      <c r="AC313" s="33"/>
    </row>
    <row r="314" hidden="1">
      <c r="A314" s="17" t="s">
        <v>302</v>
      </c>
      <c r="B314" s="33"/>
      <c r="C314" s="33"/>
      <c r="D314" s="33"/>
      <c r="E314" s="33"/>
      <c r="F314" s="33"/>
      <c r="G314" s="33"/>
      <c r="H314" s="23" t="str">
        <f>IFERROR(__xludf.DUMMYFUNCTION("if(REGEXMATCH(join("", "",$F314:$G314),H$1)=TRUE,""✓"",""✗"")"),"✗")</f>
        <v>✗</v>
      </c>
      <c r="I314" s="23" t="str">
        <f>IFERROR(__xludf.DUMMYFUNCTION("if(REGEXMATCH(join("", "",$F314:$G314),I$1)=TRUE,""✓"",""✗"")"),"✗")</f>
        <v>✗</v>
      </c>
      <c r="J314" s="23" t="str">
        <f>IFERROR(__xludf.DUMMYFUNCTION("if(REGEXMATCH(join("", "",$F314:$G314),J$1)=TRUE,""✓"",""✗"")"),"✗")</f>
        <v>✗</v>
      </c>
      <c r="K314" s="23" t="str">
        <f>IFERROR(__xludf.DUMMYFUNCTION("if(REGEXMATCH(join("", "",$F314:$G314),K$1)=TRUE,""✓"",""✗"")"),"✗")</f>
        <v>✗</v>
      </c>
      <c r="L314" s="23" t="str">
        <f>IFERROR(__xludf.DUMMYFUNCTION("if(REGEXMATCH(join("", "",$F314:$G314),L$1)=TRUE,""✓"",""✗"")"),"✗")</f>
        <v>✗</v>
      </c>
      <c r="M314" s="23" t="str">
        <f>IFERROR(__xludf.DUMMYFUNCTION("if(REGEXMATCH(join("", "",$F314:$G314),M$1)=TRUE,""✓"",""✗"")"),"✗")</f>
        <v>✗</v>
      </c>
      <c r="N314" s="23" t="str">
        <f>IFERROR(__xludf.DUMMYFUNCTION("if(REGEXMATCH(join("", "",$F314:$G314),N$1)=TRUE,""✓"",""✗"")"),"✗")</f>
        <v>✗</v>
      </c>
      <c r="O314" s="23" t="str">
        <f>IFERROR(__xludf.DUMMYFUNCTION("if(REGEXMATCH(join("", "",$F314:$G314),O$1)=TRUE,""✓"",""✗"")"),"✗")</f>
        <v>✗</v>
      </c>
      <c r="P314" s="23" t="str">
        <f>IFERROR(__xludf.DUMMYFUNCTION("if(REGEXMATCH(join("", "",$F314:$G314),P$1)=TRUE,""✓"",""✗"")"),"✗")</f>
        <v>✗</v>
      </c>
      <c r="Q314" s="23" t="str">
        <f>IFERROR(__xludf.DUMMYFUNCTION("if(REGEXMATCH(join("", "",$F314:$G314),Q$1)=TRUE,""✓"",""✗"")"),"✗")</f>
        <v>✗</v>
      </c>
      <c r="R314" s="23" t="str">
        <f>IFERROR(__xludf.DUMMYFUNCTION("if(REGEXMATCH(join("", "",$F314:$G314),R$1)=TRUE,""✓"",""✗"")"),"✗")</f>
        <v>✗</v>
      </c>
      <c r="S314" s="23" t="str">
        <f>IFERROR(__xludf.DUMMYFUNCTION("if(REGEXMATCH(join("", "",$F314:$G314),S$1)=TRUE,""✓"",""✗"")"),"✗")</f>
        <v>✗</v>
      </c>
      <c r="T314" s="23" t="str">
        <f>IFERROR(__xludf.DUMMYFUNCTION("if(REGEXMATCH(join("", "",$F314:$G314),T$1)=TRUE,""✓"",""✗"")"),"✗")</f>
        <v>✗</v>
      </c>
      <c r="U314" s="33"/>
      <c r="V314" s="33"/>
      <c r="W314" s="33"/>
      <c r="X314" s="33"/>
      <c r="Y314" s="33"/>
      <c r="Z314" s="33"/>
      <c r="AA314" s="33"/>
      <c r="AB314" s="33"/>
      <c r="AC314" s="33"/>
    </row>
    <row r="315" hidden="1">
      <c r="A315" s="17" t="s">
        <v>302</v>
      </c>
      <c r="B315" s="33"/>
      <c r="C315" s="33"/>
      <c r="D315" s="33"/>
      <c r="E315" s="33"/>
      <c r="F315" s="33"/>
      <c r="G315" s="33"/>
      <c r="H315" s="23" t="str">
        <f>IFERROR(__xludf.DUMMYFUNCTION("if(REGEXMATCH(join("", "",$F315:$G315),H$1)=TRUE,""✓"",""✗"")"),"✗")</f>
        <v>✗</v>
      </c>
      <c r="I315" s="23" t="str">
        <f>IFERROR(__xludf.DUMMYFUNCTION("if(REGEXMATCH(join("", "",$F315:$G315),I$1)=TRUE,""✓"",""✗"")"),"✗")</f>
        <v>✗</v>
      </c>
      <c r="J315" s="23" t="str">
        <f>IFERROR(__xludf.DUMMYFUNCTION("if(REGEXMATCH(join("", "",$F315:$G315),J$1)=TRUE,""✓"",""✗"")"),"✗")</f>
        <v>✗</v>
      </c>
      <c r="K315" s="23" t="str">
        <f>IFERROR(__xludf.DUMMYFUNCTION("if(REGEXMATCH(join("", "",$F315:$G315),K$1)=TRUE,""✓"",""✗"")"),"✗")</f>
        <v>✗</v>
      </c>
      <c r="L315" s="23" t="str">
        <f>IFERROR(__xludf.DUMMYFUNCTION("if(REGEXMATCH(join("", "",$F315:$G315),L$1)=TRUE,""✓"",""✗"")"),"✗")</f>
        <v>✗</v>
      </c>
      <c r="M315" s="23" t="str">
        <f>IFERROR(__xludf.DUMMYFUNCTION("if(REGEXMATCH(join("", "",$F315:$G315),M$1)=TRUE,""✓"",""✗"")"),"✗")</f>
        <v>✗</v>
      </c>
      <c r="N315" s="23" t="str">
        <f>IFERROR(__xludf.DUMMYFUNCTION("if(REGEXMATCH(join("", "",$F315:$G315),N$1)=TRUE,""✓"",""✗"")"),"✗")</f>
        <v>✗</v>
      </c>
      <c r="O315" s="23" t="str">
        <f>IFERROR(__xludf.DUMMYFUNCTION("if(REGEXMATCH(join("", "",$F315:$G315),O$1)=TRUE,""✓"",""✗"")"),"✗")</f>
        <v>✗</v>
      </c>
      <c r="P315" s="23" t="str">
        <f>IFERROR(__xludf.DUMMYFUNCTION("if(REGEXMATCH(join("", "",$F315:$G315),P$1)=TRUE,""✓"",""✗"")"),"✗")</f>
        <v>✗</v>
      </c>
      <c r="Q315" s="23" t="str">
        <f>IFERROR(__xludf.DUMMYFUNCTION("if(REGEXMATCH(join("", "",$F315:$G315),Q$1)=TRUE,""✓"",""✗"")"),"✗")</f>
        <v>✗</v>
      </c>
      <c r="R315" s="23" t="str">
        <f>IFERROR(__xludf.DUMMYFUNCTION("if(REGEXMATCH(join("", "",$F315:$G315),R$1)=TRUE,""✓"",""✗"")"),"✗")</f>
        <v>✗</v>
      </c>
      <c r="S315" s="23" t="str">
        <f>IFERROR(__xludf.DUMMYFUNCTION("if(REGEXMATCH(join("", "",$F315:$G315),S$1)=TRUE,""✓"",""✗"")"),"✗")</f>
        <v>✗</v>
      </c>
      <c r="T315" s="23" t="str">
        <f>IFERROR(__xludf.DUMMYFUNCTION("if(REGEXMATCH(join("", "",$F315:$G315),T$1)=TRUE,""✓"",""✗"")"),"✗")</f>
        <v>✗</v>
      </c>
      <c r="U315" s="33"/>
      <c r="V315" s="33"/>
      <c r="W315" s="33"/>
      <c r="X315" s="33"/>
      <c r="Y315" s="33"/>
      <c r="Z315" s="33"/>
      <c r="AA315" s="33"/>
      <c r="AB315" s="33"/>
      <c r="AC315" s="33"/>
    </row>
    <row r="316" hidden="1">
      <c r="A316" s="17" t="s">
        <v>302</v>
      </c>
      <c r="B316" s="33"/>
      <c r="C316" s="33"/>
      <c r="D316" s="33"/>
      <c r="E316" s="33"/>
      <c r="F316" s="33"/>
      <c r="G316" s="33"/>
      <c r="H316" s="23" t="str">
        <f>IFERROR(__xludf.DUMMYFUNCTION("if(REGEXMATCH(join("", "",$F316:$G316),H$1)=TRUE,""✓"",""✗"")"),"✗")</f>
        <v>✗</v>
      </c>
      <c r="I316" s="23" t="str">
        <f>IFERROR(__xludf.DUMMYFUNCTION("if(REGEXMATCH(join("", "",$F316:$G316),I$1)=TRUE,""✓"",""✗"")"),"✗")</f>
        <v>✗</v>
      </c>
      <c r="J316" s="23" t="str">
        <f>IFERROR(__xludf.DUMMYFUNCTION("if(REGEXMATCH(join("", "",$F316:$G316),J$1)=TRUE,""✓"",""✗"")"),"✗")</f>
        <v>✗</v>
      </c>
      <c r="K316" s="23" t="str">
        <f>IFERROR(__xludf.DUMMYFUNCTION("if(REGEXMATCH(join("", "",$F316:$G316),K$1)=TRUE,""✓"",""✗"")"),"✗")</f>
        <v>✗</v>
      </c>
      <c r="L316" s="23" t="str">
        <f>IFERROR(__xludf.DUMMYFUNCTION("if(REGEXMATCH(join("", "",$F316:$G316),L$1)=TRUE,""✓"",""✗"")"),"✗")</f>
        <v>✗</v>
      </c>
      <c r="M316" s="23" t="str">
        <f>IFERROR(__xludf.DUMMYFUNCTION("if(REGEXMATCH(join("", "",$F316:$G316),M$1)=TRUE,""✓"",""✗"")"),"✗")</f>
        <v>✗</v>
      </c>
      <c r="N316" s="23" t="str">
        <f>IFERROR(__xludf.DUMMYFUNCTION("if(REGEXMATCH(join("", "",$F316:$G316),N$1)=TRUE,""✓"",""✗"")"),"✗")</f>
        <v>✗</v>
      </c>
      <c r="O316" s="23" t="str">
        <f>IFERROR(__xludf.DUMMYFUNCTION("if(REGEXMATCH(join("", "",$F316:$G316),O$1)=TRUE,""✓"",""✗"")"),"✗")</f>
        <v>✗</v>
      </c>
      <c r="P316" s="23" t="str">
        <f>IFERROR(__xludf.DUMMYFUNCTION("if(REGEXMATCH(join("", "",$F316:$G316),P$1)=TRUE,""✓"",""✗"")"),"✗")</f>
        <v>✗</v>
      </c>
      <c r="Q316" s="23" t="str">
        <f>IFERROR(__xludf.DUMMYFUNCTION("if(REGEXMATCH(join("", "",$F316:$G316),Q$1)=TRUE,""✓"",""✗"")"),"✗")</f>
        <v>✗</v>
      </c>
      <c r="R316" s="23" t="str">
        <f>IFERROR(__xludf.DUMMYFUNCTION("if(REGEXMATCH(join("", "",$F316:$G316),R$1)=TRUE,""✓"",""✗"")"),"✗")</f>
        <v>✗</v>
      </c>
      <c r="S316" s="23" t="str">
        <f>IFERROR(__xludf.DUMMYFUNCTION("if(REGEXMATCH(join("", "",$F316:$G316),S$1)=TRUE,""✓"",""✗"")"),"✗")</f>
        <v>✗</v>
      </c>
      <c r="T316" s="23" t="str">
        <f>IFERROR(__xludf.DUMMYFUNCTION("if(REGEXMATCH(join("", "",$F316:$G316),T$1)=TRUE,""✓"",""✗"")"),"✗")</f>
        <v>✗</v>
      </c>
      <c r="U316" s="33"/>
      <c r="V316" s="33"/>
      <c r="W316" s="33"/>
      <c r="X316" s="33"/>
      <c r="Y316" s="33"/>
      <c r="Z316" s="33"/>
      <c r="AA316" s="33"/>
      <c r="AB316" s="33"/>
      <c r="AC316" s="33"/>
    </row>
    <row r="317" hidden="1">
      <c r="A317" s="17" t="s">
        <v>302</v>
      </c>
      <c r="B317" s="33"/>
      <c r="C317" s="33"/>
      <c r="D317" s="33"/>
      <c r="E317" s="33"/>
      <c r="F317" s="33"/>
      <c r="G317" s="33"/>
      <c r="H317" s="23" t="str">
        <f>IFERROR(__xludf.DUMMYFUNCTION("if(REGEXMATCH(join("", "",$F317:$G317),H$1)=TRUE,""✓"",""✗"")"),"✗")</f>
        <v>✗</v>
      </c>
      <c r="I317" s="23" t="str">
        <f>IFERROR(__xludf.DUMMYFUNCTION("if(REGEXMATCH(join("", "",$F317:$G317),I$1)=TRUE,""✓"",""✗"")"),"✗")</f>
        <v>✗</v>
      </c>
      <c r="J317" s="23" t="str">
        <f>IFERROR(__xludf.DUMMYFUNCTION("if(REGEXMATCH(join("", "",$F317:$G317),J$1)=TRUE,""✓"",""✗"")"),"✗")</f>
        <v>✗</v>
      </c>
      <c r="K317" s="23" t="str">
        <f>IFERROR(__xludf.DUMMYFUNCTION("if(REGEXMATCH(join("", "",$F317:$G317),K$1)=TRUE,""✓"",""✗"")"),"✗")</f>
        <v>✗</v>
      </c>
      <c r="L317" s="23" t="str">
        <f>IFERROR(__xludf.DUMMYFUNCTION("if(REGEXMATCH(join("", "",$F317:$G317),L$1)=TRUE,""✓"",""✗"")"),"✗")</f>
        <v>✗</v>
      </c>
      <c r="M317" s="23" t="str">
        <f>IFERROR(__xludf.DUMMYFUNCTION("if(REGEXMATCH(join("", "",$F317:$G317),M$1)=TRUE,""✓"",""✗"")"),"✗")</f>
        <v>✗</v>
      </c>
      <c r="N317" s="23" t="str">
        <f>IFERROR(__xludf.DUMMYFUNCTION("if(REGEXMATCH(join("", "",$F317:$G317),N$1)=TRUE,""✓"",""✗"")"),"✗")</f>
        <v>✗</v>
      </c>
      <c r="O317" s="23" t="str">
        <f>IFERROR(__xludf.DUMMYFUNCTION("if(REGEXMATCH(join("", "",$F317:$G317),O$1)=TRUE,""✓"",""✗"")"),"✗")</f>
        <v>✗</v>
      </c>
      <c r="P317" s="23" t="str">
        <f>IFERROR(__xludf.DUMMYFUNCTION("if(REGEXMATCH(join("", "",$F317:$G317),P$1)=TRUE,""✓"",""✗"")"),"✗")</f>
        <v>✗</v>
      </c>
      <c r="Q317" s="23" t="str">
        <f>IFERROR(__xludf.DUMMYFUNCTION("if(REGEXMATCH(join("", "",$F317:$G317),Q$1)=TRUE,""✓"",""✗"")"),"✗")</f>
        <v>✗</v>
      </c>
      <c r="R317" s="23" t="str">
        <f>IFERROR(__xludf.DUMMYFUNCTION("if(REGEXMATCH(join("", "",$F317:$G317),R$1)=TRUE,""✓"",""✗"")"),"✗")</f>
        <v>✗</v>
      </c>
      <c r="S317" s="23" t="str">
        <f>IFERROR(__xludf.DUMMYFUNCTION("if(REGEXMATCH(join("", "",$F317:$G317),S$1)=TRUE,""✓"",""✗"")"),"✗")</f>
        <v>✗</v>
      </c>
      <c r="T317" s="23" t="str">
        <f>IFERROR(__xludf.DUMMYFUNCTION("if(REGEXMATCH(join("", "",$F317:$G317),T$1)=TRUE,""✓"",""✗"")"),"✗")</f>
        <v>✗</v>
      </c>
      <c r="U317" s="33"/>
      <c r="V317" s="33"/>
      <c r="W317" s="33"/>
      <c r="X317" s="33"/>
      <c r="Y317" s="33"/>
      <c r="Z317" s="33"/>
      <c r="AA317" s="33"/>
      <c r="AB317" s="33"/>
      <c r="AC317" s="33"/>
    </row>
    <row r="318" hidden="1">
      <c r="A318" s="17" t="s">
        <v>302</v>
      </c>
      <c r="B318" s="33"/>
      <c r="C318" s="33"/>
      <c r="D318" s="33"/>
      <c r="E318" s="33"/>
      <c r="F318" s="33"/>
      <c r="G318" s="33"/>
      <c r="H318" s="23" t="str">
        <f>IFERROR(__xludf.DUMMYFUNCTION("if(REGEXMATCH(join("", "",$F318:$G318),H$1)=TRUE,""✓"",""✗"")"),"✗")</f>
        <v>✗</v>
      </c>
      <c r="I318" s="23" t="str">
        <f>IFERROR(__xludf.DUMMYFUNCTION("if(REGEXMATCH(join("", "",$F318:$G318),I$1)=TRUE,""✓"",""✗"")"),"✗")</f>
        <v>✗</v>
      </c>
      <c r="J318" s="23" t="str">
        <f>IFERROR(__xludf.DUMMYFUNCTION("if(REGEXMATCH(join("", "",$F318:$G318),J$1)=TRUE,""✓"",""✗"")"),"✗")</f>
        <v>✗</v>
      </c>
      <c r="K318" s="23" t="str">
        <f>IFERROR(__xludf.DUMMYFUNCTION("if(REGEXMATCH(join("", "",$F318:$G318),K$1)=TRUE,""✓"",""✗"")"),"✗")</f>
        <v>✗</v>
      </c>
      <c r="L318" s="23" t="str">
        <f>IFERROR(__xludf.DUMMYFUNCTION("if(REGEXMATCH(join("", "",$F318:$G318),L$1)=TRUE,""✓"",""✗"")"),"✗")</f>
        <v>✗</v>
      </c>
      <c r="M318" s="23" t="str">
        <f>IFERROR(__xludf.DUMMYFUNCTION("if(REGEXMATCH(join("", "",$F318:$G318),M$1)=TRUE,""✓"",""✗"")"),"✗")</f>
        <v>✗</v>
      </c>
      <c r="N318" s="23" t="str">
        <f>IFERROR(__xludf.DUMMYFUNCTION("if(REGEXMATCH(join("", "",$F318:$G318),N$1)=TRUE,""✓"",""✗"")"),"✗")</f>
        <v>✗</v>
      </c>
      <c r="O318" s="23" t="str">
        <f>IFERROR(__xludf.DUMMYFUNCTION("if(REGEXMATCH(join("", "",$F318:$G318),O$1)=TRUE,""✓"",""✗"")"),"✗")</f>
        <v>✗</v>
      </c>
      <c r="P318" s="23" t="str">
        <f>IFERROR(__xludf.DUMMYFUNCTION("if(REGEXMATCH(join("", "",$F318:$G318),P$1)=TRUE,""✓"",""✗"")"),"✗")</f>
        <v>✗</v>
      </c>
      <c r="Q318" s="23" t="str">
        <f>IFERROR(__xludf.DUMMYFUNCTION("if(REGEXMATCH(join("", "",$F318:$G318),Q$1)=TRUE,""✓"",""✗"")"),"✗")</f>
        <v>✗</v>
      </c>
      <c r="R318" s="23" t="str">
        <f>IFERROR(__xludf.DUMMYFUNCTION("if(REGEXMATCH(join("", "",$F318:$G318),R$1)=TRUE,""✓"",""✗"")"),"✗")</f>
        <v>✗</v>
      </c>
      <c r="S318" s="23" t="str">
        <f>IFERROR(__xludf.DUMMYFUNCTION("if(REGEXMATCH(join("", "",$F318:$G318),S$1)=TRUE,""✓"",""✗"")"),"✗")</f>
        <v>✗</v>
      </c>
      <c r="T318" s="23" t="str">
        <f>IFERROR(__xludf.DUMMYFUNCTION("if(REGEXMATCH(join("", "",$F318:$G318),T$1)=TRUE,""✓"",""✗"")"),"✗")</f>
        <v>✗</v>
      </c>
      <c r="U318" s="33"/>
      <c r="V318" s="33"/>
      <c r="W318" s="33"/>
      <c r="X318" s="33"/>
      <c r="Y318" s="33"/>
      <c r="Z318" s="33"/>
      <c r="AA318" s="33"/>
      <c r="AB318" s="33"/>
      <c r="AC318" s="33"/>
    </row>
    <row r="319" hidden="1">
      <c r="A319" s="17" t="s">
        <v>302</v>
      </c>
      <c r="B319" s="33"/>
      <c r="C319" s="33"/>
      <c r="D319" s="33"/>
      <c r="E319" s="33"/>
      <c r="F319" s="33"/>
      <c r="G319" s="33"/>
      <c r="H319" s="23" t="str">
        <f>IFERROR(__xludf.DUMMYFUNCTION("if(REGEXMATCH(join("", "",$F319:$G319),H$1)=TRUE,""✓"",""✗"")"),"✗")</f>
        <v>✗</v>
      </c>
      <c r="I319" s="23" t="str">
        <f>IFERROR(__xludf.DUMMYFUNCTION("if(REGEXMATCH(join("", "",$F319:$G319),I$1)=TRUE,""✓"",""✗"")"),"✗")</f>
        <v>✗</v>
      </c>
      <c r="J319" s="23" t="str">
        <f>IFERROR(__xludf.DUMMYFUNCTION("if(REGEXMATCH(join("", "",$F319:$G319),J$1)=TRUE,""✓"",""✗"")"),"✗")</f>
        <v>✗</v>
      </c>
      <c r="K319" s="23" t="str">
        <f>IFERROR(__xludf.DUMMYFUNCTION("if(REGEXMATCH(join("", "",$F319:$G319),K$1)=TRUE,""✓"",""✗"")"),"✗")</f>
        <v>✗</v>
      </c>
      <c r="L319" s="23" t="str">
        <f>IFERROR(__xludf.DUMMYFUNCTION("if(REGEXMATCH(join("", "",$F319:$G319),L$1)=TRUE,""✓"",""✗"")"),"✗")</f>
        <v>✗</v>
      </c>
      <c r="M319" s="23" t="str">
        <f>IFERROR(__xludf.DUMMYFUNCTION("if(REGEXMATCH(join("", "",$F319:$G319),M$1)=TRUE,""✓"",""✗"")"),"✗")</f>
        <v>✗</v>
      </c>
      <c r="N319" s="23" t="str">
        <f>IFERROR(__xludf.DUMMYFUNCTION("if(REGEXMATCH(join("", "",$F319:$G319),N$1)=TRUE,""✓"",""✗"")"),"✗")</f>
        <v>✗</v>
      </c>
      <c r="O319" s="23" t="str">
        <f>IFERROR(__xludf.DUMMYFUNCTION("if(REGEXMATCH(join("", "",$F319:$G319),O$1)=TRUE,""✓"",""✗"")"),"✗")</f>
        <v>✗</v>
      </c>
      <c r="P319" s="23" t="str">
        <f>IFERROR(__xludf.DUMMYFUNCTION("if(REGEXMATCH(join("", "",$F319:$G319),P$1)=TRUE,""✓"",""✗"")"),"✗")</f>
        <v>✗</v>
      </c>
      <c r="Q319" s="23" t="str">
        <f>IFERROR(__xludf.DUMMYFUNCTION("if(REGEXMATCH(join("", "",$F319:$G319),Q$1)=TRUE,""✓"",""✗"")"),"✗")</f>
        <v>✗</v>
      </c>
      <c r="R319" s="23" t="str">
        <f>IFERROR(__xludf.DUMMYFUNCTION("if(REGEXMATCH(join("", "",$F319:$G319),R$1)=TRUE,""✓"",""✗"")"),"✗")</f>
        <v>✗</v>
      </c>
      <c r="S319" s="23" t="str">
        <f>IFERROR(__xludf.DUMMYFUNCTION("if(REGEXMATCH(join("", "",$F319:$G319),S$1)=TRUE,""✓"",""✗"")"),"✗")</f>
        <v>✗</v>
      </c>
      <c r="T319" s="23" t="str">
        <f>IFERROR(__xludf.DUMMYFUNCTION("if(REGEXMATCH(join("", "",$F319:$G319),T$1)=TRUE,""✓"",""✗"")"),"✗")</f>
        <v>✗</v>
      </c>
      <c r="U319" s="33"/>
      <c r="V319" s="33"/>
      <c r="W319" s="33"/>
      <c r="X319" s="33"/>
      <c r="Y319" s="33"/>
      <c r="Z319" s="33"/>
      <c r="AA319" s="33"/>
      <c r="AB319" s="33"/>
      <c r="AC319" s="33"/>
    </row>
    <row r="320" hidden="1">
      <c r="A320" s="17" t="s">
        <v>302</v>
      </c>
      <c r="B320" s="33"/>
      <c r="C320" s="33"/>
      <c r="D320" s="33"/>
      <c r="E320" s="33"/>
      <c r="F320" s="33"/>
      <c r="G320" s="33"/>
      <c r="H320" s="23" t="str">
        <f>IFERROR(__xludf.DUMMYFUNCTION("if(REGEXMATCH(join("", "",$F320:$G320),H$1)=TRUE,""✓"",""✗"")"),"✗")</f>
        <v>✗</v>
      </c>
      <c r="I320" s="23" t="str">
        <f>IFERROR(__xludf.DUMMYFUNCTION("if(REGEXMATCH(join("", "",$F320:$G320),I$1)=TRUE,""✓"",""✗"")"),"✗")</f>
        <v>✗</v>
      </c>
      <c r="J320" s="23" t="str">
        <f>IFERROR(__xludf.DUMMYFUNCTION("if(REGEXMATCH(join("", "",$F320:$G320),J$1)=TRUE,""✓"",""✗"")"),"✗")</f>
        <v>✗</v>
      </c>
      <c r="K320" s="23" t="str">
        <f>IFERROR(__xludf.DUMMYFUNCTION("if(REGEXMATCH(join("", "",$F320:$G320),K$1)=TRUE,""✓"",""✗"")"),"✗")</f>
        <v>✗</v>
      </c>
      <c r="L320" s="23" t="str">
        <f>IFERROR(__xludf.DUMMYFUNCTION("if(REGEXMATCH(join("", "",$F320:$G320),L$1)=TRUE,""✓"",""✗"")"),"✗")</f>
        <v>✗</v>
      </c>
      <c r="M320" s="23" t="str">
        <f>IFERROR(__xludf.DUMMYFUNCTION("if(REGEXMATCH(join("", "",$F320:$G320),M$1)=TRUE,""✓"",""✗"")"),"✗")</f>
        <v>✗</v>
      </c>
      <c r="N320" s="23" t="str">
        <f>IFERROR(__xludf.DUMMYFUNCTION("if(REGEXMATCH(join("", "",$F320:$G320),N$1)=TRUE,""✓"",""✗"")"),"✗")</f>
        <v>✗</v>
      </c>
      <c r="O320" s="23" t="str">
        <f>IFERROR(__xludf.DUMMYFUNCTION("if(REGEXMATCH(join("", "",$F320:$G320),O$1)=TRUE,""✓"",""✗"")"),"✗")</f>
        <v>✗</v>
      </c>
      <c r="P320" s="23" t="str">
        <f>IFERROR(__xludf.DUMMYFUNCTION("if(REGEXMATCH(join("", "",$F320:$G320),P$1)=TRUE,""✓"",""✗"")"),"✗")</f>
        <v>✗</v>
      </c>
      <c r="Q320" s="23" t="str">
        <f>IFERROR(__xludf.DUMMYFUNCTION("if(REGEXMATCH(join("", "",$F320:$G320),Q$1)=TRUE,""✓"",""✗"")"),"✗")</f>
        <v>✗</v>
      </c>
      <c r="R320" s="23" t="str">
        <f>IFERROR(__xludf.DUMMYFUNCTION("if(REGEXMATCH(join("", "",$F320:$G320),R$1)=TRUE,""✓"",""✗"")"),"✗")</f>
        <v>✗</v>
      </c>
      <c r="S320" s="23" t="str">
        <f>IFERROR(__xludf.DUMMYFUNCTION("if(REGEXMATCH(join("", "",$F320:$G320),S$1)=TRUE,""✓"",""✗"")"),"✗")</f>
        <v>✗</v>
      </c>
      <c r="T320" s="23" t="str">
        <f>IFERROR(__xludf.DUMMYFUNCTION("if(REGEXMATCH(join("", "",$F320:$G320),T$1)=TRUE,""✓"",""✗"")"),"✗")</f>
        <v>✗</v>
      </c>
      <c r="U320" s="33"/>
      <c r="V320" s="33"/>
      <c r="W320" s="33"/>
      <c r="X320" s="33"/>
      <c r="Y320" s="33"/>
      <c r="Z320" s="33"/>
      <c r="AA320" s="33"/>
      <c r="AB320" s="33"/>
      <c r="AC320" s="33"/>
    </row>
    <row r="321" hidden="1">
      <c r="A321" s="17" t="s">
        <v>302</v>
      </c>
      <c r="B321" s="33"/>
      <c r="C321" s="33"/>
      <c r="D321" s="33"/>
      <c r="E321" s="33"/>
      <c r="F321" s="33"/>
      <c r="G321" s="33"/>
      <c r="H321" s="23" t="str">
        <f>IFERROR(__xludf.DUMMYFUNCTION("if(REGEXMATCH(join("", "",$F321:$G321),H$1)=TRUE,""✓"",""✗"")"),"✗")</f>
        <v>✗</v>
      </c>
      <c r="I321" s="23" t="str">
        <f>IFERROR(__xludf.DUMMYFUNCTION("if(REGEXMATCH(join("", "",$F321:$G321),I$1)=TRUE,""✓"",""✗"")"),"✗")</f>
        <v>✗</v>
      </c>
      <c r="J321" s="23" t="str">
        <f>IFERROR(__xludf.DUMMYFUNCTION("if(REGEXMATCH(join("", "",$F321:$G321),J$1)=TRUE,""✓"",""✗"")"),"✗")</f>
        <v>✗</v>
      </c>
      <c r="K321" s="23" t="str">
        <f>IFERROR(__xludf.DUMMYFUNCTION("if(REGEXMATCH(join("", "",$F321:$G321),K$1)=TRUE,""✓"",""✗"")"),"✗")</f>
        <v>✗</v>
      </c>
      <c r="L321" s="23" t="str">
        <f>IFERROR(__xludf.DUMMYFUNCTION("if(REGEXMATCH(join("", "",$F321:$G321),L$1)=TRUE,""✓"",""✗"")"),"✗")</f>
        <v>✗</v>
      </c>
      <c r="M321" s="23" t="str">
        <f>IFERROR(__xludf.DUMMYFUNCTION("if(REGEXMATCH(join("", "",$F321:$G321),M$1)=TRUE,""✓"",""✗"")"),"✗")</f>
        <v>✗</v>
      </c>
      <c r="N321" s="23" t="str">
        <f>IFERROR(__xludf.DUMMYFUNCTION("if(REGEXMATCH(join("", "",$F321:$G321),N$1)=TRUE,""✓"",""✗"")"),"✗")</f>
        <v>✗</v>
      </c>
      <c r="O321" s="23" t="str">
        <f>IFERROR(__xludf.DUMMYFUNCTION("if(REGEXMATCH(join("", "",$F321:$G321),O$1)=TRUE,""✓"",""✗"")"),"✗")</f>
        <v>✗</v>
      </c>
      <c r="P321" s="23" t="str">
        <f>IFERROR(__xludf.DUMMYFUNCTION("if(REGEXMATCH(join("", "",$F321:$G321),P$1)=TRUE,""✓"",""✗"")"),"✗")</f>
        <v>✗</v>
      </c>
      <c r="Q321" s="23" t="str">
        <f>IFERROR(__xludf.DUMMYFUNCTION("if(REGEXMATCH(join("", "",$F321:$G321),Q$1)=TRUE,""✓"",""✗"")"),"✗")</f>
        <v>✗</v>
      </c>
      <c r="R321" s="23" t="str">
        <f>IFERROR(__xludf.DUMMYFUNCTION("if(REGEXMATCH(join("", "",$F321:$G321),R$1)=TRUE,""✓"",""✗"")"),"✗")</f>
        <v>✗</v>
      </c>
      <c r="S321" s="23" t="str">
        <f>IFERROR(__xludf.DUMMYFUNCTION("if(REGEXMATCH(join("", "",$F321:$G321),S$1)=TRUE,""✓"",""✗"")"),"✗")</f>
        <v>✗</v>
      </c>
      <c r="T321" s="23" t="str">
        <f>IFERROR(__xludf.DUMMYFUNCTION("if(REGEXMATCH(join("", "",$F321:$G321),T$1)=TRUE,""✓"",""✗"")"),"✗")</f>
        <v>✗</v>
      </c>
      <c r="U321" s="33"/>
      <c r="V321" s="33"/>
      <c r="W321" s="33"/>
      <c r="X321" s="33"/>
      <c r="Y321" s="33"/>
      <c r="Z321" s="33"/>
      <c r="AA321" s="33"/>
      <c r="AB321" s="33"/>
      <c r="AC321" s="33"/>
    </row>
    <row r="322" hidden="1">
      <c r="A322" s="17" t="s">
        <v>302</v>
      </c>
      <c r="B322" s="33"/>
      <c r="C322" s="33"/>
      <c r="D322" s="33"/>
      <c r="E322" s="33"/>
      <c r="F322" s="33"/>
      <c r="G322" s="33"/>
      <c r="H322" s="23" t="str">
        <f>IFERROR(__xludf.DUMMYFUNCTION("if(REGEXMATCH(join("", "",$F322:$G322),H$1)=TRUE,""✓"",""✗"")"),"✗")</f>
        <v>✗</v>
      </c>
      <c r="I322" s="23" t="str">
        <f>IFERROR(__xludf.DUMMYFUNCTION("if(REGEXMATCH(join("", "",$F322:$G322),I$1)=TRUE,""✓"",""✗"")"),"✗")</f>
        <v>✗</v>
      </c>
      <c r="J322" s="23" t="str">
        <f>IFERROR(__xludf.DUMMYFUNCTION("if(REGEXMATCH(join("", "",$F322:$G322),J$1)=TRUE,""✓"",""✗"")"),"✗")</f>
        <v>✗</v>
      </c>
      <c r="K322" s="23" t="str">
        <f>IFERROR(__xludf.DUMMYFUNCTION("if(REGEXMATCH(join("", "",$F322:$G322),K$1)=TRUE,""✓"",""✗"")"),"✗")</f>
        <v>✗</v>
      </c>
      <c r="L322" s="23" t="str">
        <f>IFERROR(__xludf.DUMMYFUNCTION("if(REGEXMATCH(join("", "",$F322:$G322),L$1)=TRUE,""✓"",""✗"")"),"✗")</f>
        <v>✗</v>
      </c>
      <c r="M322" s="23" t="str">
        <f>IFERROR(__xludf.DUMMYFUNCTION("if(REGEXMATCH(join("", "",$F322:$G322),M$1)=TRUE,""✓"",""✗"")"),"✗")</f>
        <v>✗</v>
      </c>
      <c r="N322" s="23" t="str">
        <f>IFERROR(__xludf.DUMMYFUNCTION("if(REGEXMATCH(join("", "",$F322:$G322),N$1)=TRUE,""✓"",""✗"")"),"✗")</f>
        <v>✗</v>
      </c>
      <c r="O322" s="23" t="str">
        <f>IFERROR(__xludf.DUMMYFUNCTION("if(REGEXMATCH(join("", "",$F322:$G322),O$1)=TRUE,""✓"",""✗"")"),"✗")</f>
        <v>✗</v>
      </c>
      <c r="P322" s="23" t="str">
        <f>IFERROR(__xludf.DUMMYFUNCTION("if(REGEXMATCH(join("", "",$F322:$G322),P$1)=TRUE,""✓"",""✗"")"),"✗")</f>
        <v>✗</v>
      </c>
      <c r="Q322" s="23" t="str">
        <f>IFERROR(__xludf.DUMMYFUNCTION("if(REGEXMATCH(join("", "",$F322:$G322),Q$1)=TRUE,""✓"",""✗"")"),"✗")</f>
        <v>✗</v>
      </c>
      <c r="R322" s="23" t="str">
        <f>IFERROR(__xludf.DUMMYFUNCTION("if(REGEXMATCH(join("", "",$F322:$G322),R$1)=TRUE,""✓"",""✗"")"),"✗")</f>
        <v>✗</v>
      </c>
      <c r="S322" s="23" t="str">
        <f>IFERROR(__xludf.DUMMYFUNCTION("if(REGEXMATCH(join("", "",$F322:$G322),S$1)=TRUE,""✓"",""✗"")"),"✗")</f>
        <v>✗</v>
      </c>
      <c r="T322" s="23" t="str">
        <f>IFERROR(__xludf.DUMMYFUNCTION("if(REGEXMATCH(join("", "",$F322:$G322),T$1)=TRUE,""✓"",""✗"")"),"✗")</f>
        <v>✗</v>
      </c>
      <c r="U322" s="33"/>
      <c r="V322" s="33"/>
      <c r="W322" s="33"/>
      <c r="X322" s="33"/>
      <c r="Y322" s="33"/>
      <c r="Z322" s="33"/>
      <c r="AA322" s="33"/>
      <c r="AB322" s="33"/>
      <c r="AC322" s="33"/>
    </row>
    <row r="323" hidden="1">
      <c r="A323" s="17" t="s">
        <v>302</v>
      </c>
      <c r="B323" s="33"/>
      <c r="C323" s="33"/>
      <c r="D323" s="33"/>
      <c r="E323" s="33"/>
      <c r="F323" s="33"/>
      <c r="G323" s="33"/>
      <c r="H323" s="23" t="str">
        <f>IFERROR(__xludf.DUMMYFUNCTION("if(REGEXMATCH(join("", "",$F323:$G323),H$1)=TRUE,""✓"",""✗"")"),"✗")</f>
        <v>✗</v>
      </c>
      <c r="I323" s="23" t="str">
        <f>IFERROR(__xludf.DUMMYFUNCTION("if(REGEXMATCH(join("", "",$F323:$G323),I$1)=TRUE,""✓"",""✗"")"),"✗")</f>
        <v>✗</v>
      </c>
      <c r="J323" s="23" t="str">
        <f>IFERROR(__xludf.DUMMYFUNCTION("if(REGEXMATCH(join("", "",$F323:$G323),J$1)=TRUE,""✓"",""✗"")"),"✗")</f>
        <v>✗</v>
      </c>
      <c r="K323" s="23" t="str">
        <f>IFERROR(__xludf.DUMMYFUNCTION("if(REGEXMATCH(join("", "",$F323:$G323),K$1)=TRUE,""✓"",""✗"")"),"✗")</f>
        <v>✗</v>
      </c>
      <c r="L323" s="23" t="str">
        <f>IFERROR(__xludf.DUMMYFUNCTION("if(REGEXMATCH(join("", "",$F323:$G323),L$1)=TRUE,""✓"",""✗"")"),"✗")</f>
        <v>✗</v>
      </c>
      <c r="M323" s="23" t="str">
        <f>IFERROR(__xludf.DUMMYFUNCTION("if(REGEXMATCH(join("", "",$F323:$G323),M$1)=TRUE,""✓"",""✗"")"),"✗")</f>
        <v>✗</v>
      </c>
      <c r="N323" s="23" t="str">
        <f>IFERROR(__xludf.DUMMYFUNCTION("if(REGEXMATCH(join("", "",$F323:$G323),N$1)=TRUE,""✓"",""✗"")"),"✗")</f>
        <v>✗</v>
      </c>
      <c r="O323" s="23" t="str">
        <f>IFERROR(__xludf.DUMMYFUNCTION("if(REGEXMATCH(join("", "",$F323:$G323),O$1)=TRUE,""✓"",""✗"")"),"✗")</f>
        <v>✗</v>
      </c>
      <c r="P323" s="23" t="str">
        <f>IFERROR(__xludf.DUMMYFUNCTION("if(REGEXMATCH(join("", "",$F323:$G323),P$1)=TRUE,""✓"",""✗"")"),"✗")</f>
        <v>✗</v>
      </c>
      <c r="Q323" s="23" t="str">
        <f>IFERROR(__xludf.DUMMYFUNCTION("if(REGEXMATCH(join("", "",$F323:$G323),Q$1)=TRUE,""✓"",""✗"")"),"✗")</f>
        <v>✗</v>
      </c>
      <c r="R323" s="23" t="str">
        <f>IFERROR(__xludf.DUMMYFUNCTION("if(REGEXMATCH(join("", "",$F323:$G323),R$1)=TRUE,""✓"",""✗"")"),"✗")</f>
        <v>✗</v>
      </c>
      <c r="S323" s="23" t="str">
        <f>IFERROR(__xludf.DUMMYFUNCTION("if(REGEXMATCH(join("", "",$F323:$G323),S$1)=TRUE,""✓"",""✗"")"),"✗")</f>
        <v>✗</v>
      </c>
      <c r="T323" s="23" t="str">
        <f>IFERROR(__xludf.DUMMYFUNCTION("if(REGEXMATCH(join("", "",$F323:$G323),T$1)=TRUE,""✓"",""✗"")"),"✗")</f>
        <v>✗</v>
      </c>
      <c r="U323" s="33"/>
      <c r="V323" s="33"/>
      <c r="W323" s="33"/>
      <c r="X323" s="33"/>
      <c r="Y323" s="33"/>
      <c r="Z323" s="33"/>
      <c r="AA323" s="33"/>
      <c r="AB323" s="33"/>
      <c r="AC323" s="33"/>
    </row>
    <row r="324" hidden="1">
      <c r="A324" s="17" t="s">
        <v>302</v>
      </c>
      <c r="B324" s="33"/>
      <c r="C324" s="33"/>
      <c r="D324" s="33"/>
      <c r="E324" s="33"/>
      <c r="F324" s="33"/>
      <c r="G324" s="33"/>
      <c r="H324" s="23" t="str">
        <f>IFERROR(__xludf.DUMMYFUNCTION("if(REGEXMATCH(join("", "",$F324:$G324),H$1)=TRUE,""✓"",""✗"")"),"✗")</f>
        <v>✗</v>
      </c>
      <c r="I324" s="23" t="str">
        <f>IFERROR(__xludf.DUMMYFUNCTION("if(REGEXMATCH(join("", "",$F324:$G324),I$1)=TRUE,""✓"",""✗"")"),"✗")</f>
        <v>✗</v>
      </c>
      <c r="J324" s="23" t="str">
        <f>IFERROR(__xludf.DUMMYFUNCTION("if(REGEXMATCH(join("", "",$F324:$G324),J$1)=TRUE,""✓"",""✗"")"),"✗")</f>
        <v>✗</v>
      </c>
      <c r="K324" s="23" t="str">
        <f>IFERROR(__xludf.DUMMYFUNCTION("if(REGEXMATCH(join("", "",$F324:$G324),K$1)=TRUE,""✓"",""✗"")"),"✗")</f>
        <v>✗</v>
      </c>
      <c r="L324" s="23" t="str">
        <f>IFERROR(__xludf.DUMMYFUNCTION("if(REGEXMATCH(join("", "",$F324:$G324),L$1)=TRUE,""✓"",""✗"")"),"✗")</f>
        <v>✗</v>
      </c>
      <c r="M324" s="23" t="str">
        <f>IFERROR(__xludf.DUMMYFUNCTION("if(REGEXMATCH(join("", "",$F324:$G324),M$1)=TRUE,""✓"",""✗"")"),"✗")</f>
        <v>✗</v>
      </c>
      <c r="N324" s="23" t="str">
        <f>IFERROR(__xludf.DUMMYFUNCTION("if(REGEXMATCH(join("", "",$F324:$G324),N$1)=TRUE,""✓"",""✗"")"),"✗")</f>
        <v>✗</v>
      </c>
      <c r="O324" s="23" t="str">
        <f>IFERROR(__xludf.DUMMYFUNCTION("if(REGEXMATCH(join("", "",$F324:$G324),O$1)=TRUE,""✓"",""✗"")"),"✗")</f>
        <v>✗</v>
      </c>
      <c r="P324" s="23" t="str">
        <f>IFERROR(__xludf.DUMMYFUNCTION("if(REGEXMATCH(join("", "",$F324:$G324),P$1)=TRUE,""✓"",""✗"")"),"✗")</f>
        <v>✗</v>
      </c>
      <c r="Q324" s="23" t="str">
        <f>IFERROR(__xludf.DUMMYFUNCTION("if(REGEXMATCH(join("", "",$F324:$G324),Q$1)=TRUE,""✓"",""✗"")"),"✗")</f>
        <v>✗</v>
      </c>
      <c r="R324" s="23" t="str">
        <f>IFERROR(__xludf.DUMMYFUNCTION("if(REGEXMATCH(join("", "",$F324:$G324),R$1)=TRUE,""✓"",""✗"")"),"✗")</f>
        <v>✗</v>
      </c>
      <c r="S324" s="23" t="str">
        <f>IFERROR(__xludf.DUMMYFUNCTION("if(REGEXMATCH(join("", "",$F324:$G324),S$1)=TRUE,""✓"",""✗"")"),"✗")</f>
        <v>✗</v>
      </c>
      <c r="T324" s="23" t="str">
        <f>IFERROR(__xludf.DUMMYFUNCTION("if(REGEXMATCH(join("", "",$F324:$G324),T$1)=TRUE,""✓"",""✗"")"),"✗")</f>
        <v>✗</v>
      </c>
      <c r="U324" s="33"/>
      <c r="V324" s="33"/>
      <c r="W324" s="33"/>
      <c r="X324" s="33"/>
      <c r="Y324" s="33"/>
      <c r="Z324" s="33"/>
      <c r="AA324" s="33"/>
      <c r="AB324" s="33"/>
      <c r="AC324" s="33"/>
    </row>
    <row r="325" hidden="1">
      <c r="A325" s="17" t="s">
        <v>302</v>
      </c>
      <c r="B325" s="33"/>
      <c r="C325" s="33"/>
      <c r="D325" s="33"/>
      <c r="E325" s="33"/>
      <c r="F325" s="33"/>
      <c r="G325" s="33"/>
      <c r="H325" s="23" t="str">
        <f>IFERROR(__xludf.DUMMYFUNCTION("if(REGEXMATCH(join("", "",$F325:$G325),H$1)=TRUE,""✓"",""✗"")"),"✗")</f>
        <v>✗</v>
      </c>
      <c r="I325" s="23" t="str">
        <f>IFERROR(__xludf.DUMMYFUNCTION("if(REGEXMATCH(join("", "",$F325:$G325),I$1)=TRUE,""✓"",""✗"")"),"✗")</f>
        <v>✗</v>
      </c>
      <c r="J325" s="23" t="str">
        <f>IFERROR(__xludf.DUMMYFUNCTION("if(REGEXMATCH(join("", "",$F325:$G325),J$1)=TRUE,""✓"",""✗"")"),"✗")</f>
        <v>✗</v>
      </c>
      <c r="K325" s="23" t="str">
        <f>IFERROR(__xludf.DUMMYFUNCTION("if(REGEXMATCH(join("", "",$F325:$G325),K$1)=TRUE,""✓"",""✗"")"),"✗")</f>
        <v>✗</v>
      </c>
      <c r="L325" s="23" t="str">
        <f>IFERROR(__xludf.DUMMYFUNCTION("if(REGEXMATCH(join("", "",$F325:$G325),L$1)=TRUE,""✓"",""✗"")"),"✗")</f>
        <v>✗</v>
      </c>
      <c r="M325" s="23" t="str">
        <f>IFERROR(__xludf.DUMMYFUNCTION("if(REGEXMATCH(join("", "",$F325:$G325),M$1)=TRUE,""✓"",""✗"")"),"✗")</f>
        <v>✗</v>
      </c>
      <c r="N325" s="23" t="str">
        <f>IFERROR(__xludf.DUMMYFUNCTION("if(REGEXMATCH(join("", "",$F325:$G325),N$1)=TRUE,""✓"",""✗"")"),"✗")</f>
        <v>✗</v>
      </c>
      <c r="O325" s="23" t="str">
        <f>IFERROR(__xludf.DUMMYFUNCTION("if(REGEXMATCH(join("", "",$F325:$G325),O$1)=TRUE,""✓"",""✗"")"),"✗")</f>
        <v>✗</v>
      </c>
      <c r="P325" s="23" t="str">
        <f>IFERROR(__xludf.DUMMYFUNCTION("if(REGEXMATCH(join("", "",$F325:$G325),P$1)=TRUE,""✓"",""✗"")"),"✗")</f>
        <v>✗</v>
      </c>
      <c r="Q325" s="23" t="str">
        <f>IFERROR(__xludf.DUMMYFUNCTION("if(REGEXMATCH(join("", "",$F325:$G325),Q$1)=TRUE,""✓"",""✗"")"),"✗")</f>
        <v>✗</v>
      </c>
      <c r="R325" s="23" t="str">
        <f>IFERROR(__xludf.DUMMYFUNCTION("if(REGEXMATCH(join("", "",$F325:$G325),R$1)=TRUE,""✓"",""✗"")"),"✗")</f>
        <v>✗</v>
      </c>
      <c r="S325" s="23" t="str">
        <f>IFERROR(__xludf.DUMMYFUNCTION("if(REGEXMATCH(join("", "",$F325:$G325),S$1)=TRUE,""✓"",""✗"")"),"✗")</f>
        <v>✗</v>
      </c>
      <c r="T325" s="23" t="str">
        <f>IFERROR(__xludf.DUMMYFUNCTION("if(REGEXMATCH(join("", "",$F325:$G325),T$1)=TRUE,""✓"",""✗"")"),"✗")</f>
        <v>✗</v>
      </c>
      <c r="U325" s="33"/>
      <c r="V325" s="33"/>
      <c r="W325" s="33"/>
      <c r="X325" s="33"/>
      <c r="Y325" s="33"/>
      <c r="Z325" s="33"/>
      <c r="AA325" s="33"/>
      <c r="AB325" s="33"/>
      <c r="AC325" s="33"/>
    </row>
    <row r="326" hidden="1">
      <c r="A326" s="17" t="s">
        <v>302</v>
      </c>
      <c r="B326" s="33"/>
      <c r="C326" s="33"/>
      <c r="D326" s="33"/>
      <c r="E326" s="33"/>
      <c r="F326" s="33"/>
      <c r="G326" s="33"/>
      <c r="H326" s="23" t="str">
        <f>IFERROR(__xludf.DUMMYFUNCTION("if(REGEXMATCH(join("", "",$F326:$G326),H$1)=TRUE,""✓"",""✗"")"),"✗")</f>
        <v>✗</v>
      </c>
      <c r="I326" s="23" t="str">
        <f>IFERROR(__xludf.DUMMYFUNCTION("if(REGEXMATCH(join("", "",$F326:$G326),I$1)=TRUE,""✓"",""✗"")"),"✗")</f>
        <v>✗</v>
      </c>
      <c r="J326" s="23" t="str">
        <f>IFERROR(__xludf.DUMMYFUNCTION("if(REGEXMATCH(join("", "",$F326:$G326),J$1)=TRUE,""✓"",""✗"")"),"✗")</f>
        <v>✗</v>
      </c>
      <c r="K326" s="23" t="str">
        <f>IFERROR(__xludf.DUMMYFUNCTION("if(REGEXMATCH(join("", "",$F326:$G326),K$1)=TRUE,""✓"",""✗"")"),"✗")</f>
        <v>✗</v>
      </c>
      <c r="L326" s="23" t="str">
        <f>IFERROR(__xludf.DUMMYFUNCTION("if(REGEXMATCH(join("", "",$F326:$G326),L$1)=TRUE,""✓"",""✗"")"),"✗")</f>
        <v>✗</v>
      </c>
      <c r="M326" s="23" t="str">
        <f>IFERROR(__xludf.DUMMYFUNCTION("if(REGEXMATCH(join("", "",$F326:$G326),M$1)=TRUE,""✓"",""✗"")"),"✗")</f>
        <v>✗</v>
      </c>
      <c r="N326" s="23" t="str">
        <f>IFERROR(__xludf.DUMMYFUNCTION("if(REGEXMATCH(join("", "",$F326:$G326),N$1)=TRUE,""✓"",""✗"")"),"✗")</f>
        <v>✗</v>
      </c>
      <c r="O326" s="23" t="str">
        <f>IFERROR(__xludf.DUMMYFUNCTION("if(REGEXMATCH(join("", "",$F326:$G326),O$1)=TRUE,""✓"",""✗"")"),"✗")</f>
        <v>✗</v>
      </c>
      <c r="P326" s="23" t="str">
        <f>IFERROR(__xludf.DUMMYFUNCTION("if(REGEXMATCH(join("", "",$F326:$G326),P$1)=TRUE,""✓"",""✗"")"),"✗")</f>
        <v>✗</v>
      </c>
      <c r="Q326" s="23" t="str">
        <f>IFERROR(__xludf.DUMMYFUNCTION("if(REGEXMATCH(join("", "",$F326:$G326),Q$1)=TRUE,""✓"",""✗"")"),"✗")</f>
        <v>✗</v>
      </c>
      <c r="R326" s="23" t="str">
        <f>IFERROR(__xludf.DUMMYFUNCTION("if(REGEXMATCH(join("", "",$F326:$G326),R$1)=TRUE,""✓"",""✗"")"),"✗")</f>
        <v>✗</v>
      </c>
      <c r="S326" s="23" t="str">
        <f>IFERROR(__xludf.DUMMYFUNCTION("if(REGEXMATCH(join("", "",$F326:$G326),S$1)=TRUE,""✓"",""✗"")"),"✗")</f>
        <v>✗</v>
      </c>
      <c r="T326" s="23" t="str">
        <f>IFERROR(__xludf.DUMMYFUNCTION("if(REGEXMATCH(join("", "",$F326:$G326),T$1)=TRUE,""✓"",""✗"")"),"✗")</f>
        <v>✗</v>
      </c>
      <c r="U326" s="33"/>
      <c r="V326" s="33"/>
      <c r="W326" s="33"/>
      <c r="X326" s="33"/>
      <c r="Y326" s="33"/>
      <c r="Z326" s="33"/>
      <c r="AA326" s="33"/>
      <c r="AB326" s="33"/>
      <c r="AC326" s="33"/>
    </row>
    <row r="327" hidden="1">
      <c r="A327" s="17" t="s">
        <v>302</v>
      </c>
      <c r="B327" s="33"/>
      <c r="C327" s="33"/>
      <c r="D327" s="33"/>
      <c r="E327" s="33"/>
      <c r="F327" s="33"/>
      <c r="G327" s="33"/>
      <c r="H327" s="23" t="str">
        <f>IFERROR(__xludf.DUMMYFUNCTION("if(REGEXMATCH(join("", "",$F327:$G327),H$1)=TRUE,""✓"",""✗"")"),"✗")</f>
        <v>✗</v>
      </c>
      <c r="I327" s="23" t="str">
        <f>IFERROR(__xludf.DUMMYFUNCTION("if(REGEXMATCH(join("", "",$F327:$G327),I$1)=TRUE,""✓"",""✗"")"),"✗")</f>
        <v>✗</v>
      </c>
      <c r="J327" s="23" t="str">
        <f>IFERROR(__xludf.DUMMYFUNCTION("if(REGEXMATCH(join("", "",$F327:$G327),J$1)=TRUE,""✓"",""✗"")"),"✗")</f>
        <v>✗</v>
      </c>
      <c r="K327" s="23" t="str">
        <f>IFERROR(__xludf.DUMMYFUNCTION("if(REGEXMATCH(join("", "",$F327:$G327),K$1)=TRUE,""✓"",""✗"")"),"✗")</f>
        <v>✗</v>
      </c>
      <c r="L327" s="23" t="str">
        <f>IFERROR(__xludf.DUMMYFUNCTION("if(REGEXMATCH(join("", "",$F327:$G327),L$1)=TRUE,""✓"",""✗"")"),"✗")</f>
        <v>✗</v>
      </c>
      <c r="M327" s="23" t="str">
        <f>IFERROR(__xludf.DUMMYFUNCTION("if(REGEXMATCH(join("", "",$F327:$G327),M$1)=TRUE,""✓"",""✗"")"),"✗")</f>
        <v>✗</v>
      </c>
      <c r="N327" s="23" t="str">
        <f>IFERROR(__xludf.DUMMYFUNCTION("if(REGEXMATCH(join("", "",$F327:$G327),N$1)=TRUE,""✓"",""✗"")"),"✗")</f>
        <v>✗</v>
      </c>
      <c r="O327" s="23" t="str">
        <f>IFERROR(__xludf.DUMMYFUNCTION("if(REGEXMATCH(join("", "",$F327:$G327),O$1)=TRUE,""✓"",""✗"")"),"✗")</f>
        <v>✗</v>
      </c>
      <c r="P327" s="23" t="str">
        <f>IFERROR(__xludf.DUMMYFUNCTION("if(REGEXMATCH(join("", "",$F327:$G327),P$1)=TRUE,""✓"",""✗"")"),"✗")</f>
        <v>✗</v>
      </c>
      <c r="Q327" s="23" t="str">
        <f>IFERROR(__xludf.DUMMYFUNCTION("if(REGEXMATCH(join("", "",$F327:$G327),Q$1)=TRUE,""✓"",""✗"")"),"✗")</f>
        <v>✗</v>
      </c>
      <c r="R327" s="23" t="str">
        <f>IFERROR(__xludf.DUMMYFUNCTION("if(REGEXMATCH(join("", "",$F327:$G327),R$1)=TRUE,""✓"",""✗"")"),"✗")</f>
        <v>✗</v>
      </c>
      <c r="S327" s="23" t="str">
        <f>IFERROR(__xludf.DUMMYFUNCTION("if(REGEXMATCH(join("", "",$F327:$G327),S$1)=TRUE,""✓"",""✗"")"),"✗")</f>
        <v>✗</v>
      </c>
      <c r="T327" s="23" t="str">
        <f>IFERROR(__xludf.DUMMYFUNCTION("if(REGEXMATCH(join("", "",$F327:$G327),T$1)=TRUE,""✓"",""✗"")"),"✗")</f>
        <v>✗</v>
      </c>
      <c r="U327" s="33"/>
      <c r="V327" s="33"/>
      <c r="W327" s="33"/>
      <c r="X327" s="33"/>
      <c r="Y327" s="33"/>
      <c r="Z327" s="33"/>
      <c r="AA327" s="33"/>
      <c r="AB327" s="33"/>
      <c r="AC327" s="33"/>
    </row>
    <row r="328" hidden="1">
      <c r="A328" s="17" t="s">
        <v>302</v>
      </c>
      <c r="B328" s="33"/>
      <c r="C328" s="33"/>
      <c r="D328" s="33"/>
      <c r="E328" s="33"/>
      <c r="F328" s="33"/>
      <c r="G328" s="33"/>
      <c r="H328" s="23" t="str">
        <f>IFERROR(__xludf.DUMMYFUNCTION("if(REGEXMATCH(join("", "",$F328:$G328),H$1)=TRUE,""✓"",""✗"")"),"✗")</f>
        <v>✗</v>
      </c>
      <c r="I328" s="23" t="str">
        <f>IFERROR(__xludf.DUMMYFUNCTION("if(REGEXMATCH(join("", "",$F328:$G328),I$1)=TRUE,""✓"",""✗"")"),"✗")</f>
        <v>✗</v>
      </c>
      <c r="J328" s="23" t="str">
        <f>IFERROR(__xludf.DUMMYFUNCTION("if(REGEXMATCH(join("", "",$F328:$G328),J$1)=TRUE,""✓"",""✗"")"),"✗")</f>
        <v>✗</v>
      </c>
      <c r="K328" s="23" t="str">
        <f>IFERROR(__xludf.DUMMYFUNCTION("if(REGEXMATCH(join("", "",$F328:$G328),K$1)=TRUE,""✓"",""✗"")"),"✗")</f>
        <v>✗</v>
      </c>
      <c r="L328" s="23" t="str">
        <f>IFERROR(__xludf.DUMMYFUNCTION("if(REGEXMATCH(join("", "",$F328:$G328),L$1)=TRUE,""✓"",""✗"")"),"✗")</f>
        <v>✗</v>
      </c>
      <c r="M328" s="23" t="str">
        <f>IFERROR(__xludf.DUMMYFUNCTION("if(REGEXMATCH(join("", "",$F328:$G328),M$1)=TRUE,""✓"",""✗"")"),"✗")</f>
        <v>✗</v>
      </c>
      <c r="N328" s="23" t="str">
        <f>IFERROR(__xludf.DUMMYFUNCTION("if(REGEXMATCH(join("", "",$F328:$G328),N$1)=TRUE,""✓"",""✗"")"),"✗")</f>
        <v>✗</v>
      </c>
      <c r="O328" s="23" t="str">
        <f>IFERROR(__xludf.DUMMYFUNCTION("if(REGEXMATCH(join("", "",$F328:$G328),O$1)=TRUE,""✓"",""✗"")"),"✗")</f>
        <v>✗</v>
      </c>
      <c r="P328" s="23" t="str">
        <f>IFERROR(__xludf.DUMMYFUNCTION("if(REGEXMATCH(join("", "",$F328:$G328),P$1)=TRUE,""✓"",""✗"")"),"✗")</f>
        <v>✗</v>
      </c>
      <c r="Q328" s="23" t="str">
        <f>IFERROR(__xludf.DUMMYFUNCTION("if(REGEXMATCH(join("", "",$F328:$G328),Q$1)=TRUE,""✓"",""✗"")"),"✗")</f>
        <v>✗</v>
      </c>
      <c r="R328" s="23" t="str">
        <f>IFERROR(__xludf.DUMMYFUNCTION("if(REGEXMATCH(join("", "",$F328:$G328),R$1)=TRUE,""✓"",""✗"")"),"✗")</f>
        <v>✗</v>
      </c>
      <c r="S328" s="23" t="str">
        <f>IFERROR(__xludf.DUMMYFUNCTION("if(REGEXMATCH(join("", "",$F328:$G328),S$1)=TRUE,""✓"",""✗"")"),"✗")</f>
        <v>✗</v>
      </c>
      <c r="T328" s="23" t="str">
        <f>IFERROR(__xludf.DUMMYFUNCTION("if(REGEXMATCH(join("", "",$F328:$G328),T$1)=TRUE,""✓"",""✗"")"),"✗")</f>
        <v>✗</v>
      </c>
      <c r="U328" s="33"/>
      <c r="V328" s="33"/>
      <c r="W328" s="33"/>
      <c r="X328" s="33"/>
      <c r="Y328" s="33"/>
      <c r="Z328" s="33"/>
      <c r="AA328" s="33"/>
      <c r="AB328" s="33"/>
      <c r="AC328" s="33"/>
    </row>
    <row r="329" hidden="1">
      <c r="A329" s="17" t="s">
        <v>302</v>
      </c>
      <c r="B329" s="33"/>
      <c r="C329" s="33"/>
      <c r="D329" s="33"/>
      <c r="E329" s="33"/>
      <c r="F329" s="33"/>
      <c r="G329" s="33"/>
      <c r="H329" s="23" t="str">
        <f>IFERROR(__xludf.DUMMYFUNCTION("if(REGEXMATCH(join("", "",$F329:$G329),H$1)=TRUE,""✓"",""✗"")"),"✗")</f>
        <v>✗</v>
      </c>
      <c r="I329" s="23" t="str">
        <f>IFERROR(__xludf.DUMMYFUNCTION("if(REGEXMATCH(join("", "",$F329:$G329),I$1)=TRUE,""✓"",""✗"")"),"✗")</f>
        <v>✗</v>
      </c>
      <c r="J329" s="23" t="str">
        <f>IFERROR(__xludf.DUMMYFUNCTION("if(REGEXMATCH(join("", "",$F329:$G329),J$1)=TRUE,""✓"",""✗"")"),"✗")</f>
        <v>✗</v>
      </c>
      <c r="K329" s="23" t="str">
        <f>IFERROR(__xludf.DUMMYFUNCTION("if(REGEXMATCH(join("", "",$F329:$G329),K$1)=TRUE,""✓"",""✗"")"),"✗")</f>
        <v>✗</v>
      </c>
      <c r="L329" s="23" t="str">
        <f>IFERROR(__xludf.DUMMYFUNCTION("if(REGEXMATCH(join("", "",$F329:$G329),L$1)=TRUE,""✓"",""✗"")"),"✗")</f>
        <v>✗</v>
      </c>
      <c r="M329" s="23" t="str">
        <f>IFERROR(__xludf.DUMMYFUNCTION("if(REGEXMATCH(join("", "",$F329:$G329),M$1)=TRUE,""✓"",""✗"")"),"✗")</f>
        <v>✗</v>
      </c>
      <c r="N329" s="23" t="str">
        <f>IFERROR(__xludf.DUMMYFUNCTION("if(REGEXMATCH(join("", "",$F329:$G329),N$1)=TRUE,""✓"",""✗"")"),"✗")</f>
        <v>✗</v>
      </c>
      <c r="O329" s="23" t="str">
        <f>IFERROR(__xludf.DUMMYFUNCTION("if(REGEXMATCH(join("", "",$F329:$G329),O$1)=TRUE,""✓"",""✗"")"),"✗")</f>
        <v>✗</v>
      </c>
      <c r="P329" s="23" t="str">
        <f>IFERROR(__xludf.DUMMYFUNCTION("if(REGEXMATCH(join("", "",$F329:$G329),P$1)=TRUE,""✓"",""✗"")"),"✗")</f>
        <v>✗</v>
      </c>
      <c r="Q329" s="23" t="str">
        <f>IFERROR(__xludf.DUMMYFUNCTION("if(REGEXMATCH(join("", "",$F329:$G329),Q$1)=TRUE,""✓"",""✗"")"),"✗")</f>
        <v>✗</v>
      </c>
      <c r="R329" s="23" t="str">
        <f>IFERROR(__xludf.DUMMYFUNCTION("if(REGEXMATCH(join("", "",$F329:$G329),R$1)=TRUE,""✓"",""✗"")"),"✗")</f>
        <v>✗</v>
      </c>
      <c r="S329" s="23" t="str">
        <f>IFERROR(__xludf.DUMMYFUNCTION("if(REGEXMATCH(join("", "",$F329:$G329),S$1)=TRUE,""✓"",""✗"")"),"✗")</f>
        <v>✗</v>
      </c>
      <c r="T329" s="23" t="str">
        <f>IFERROR(__xludf.DUMMYFUNCTION("if(REGEXMATCH(join("", "",$F329:$G329),T$1)=TRUE,""✓"",""✗"")"),"✗")</f>
        <v>✗</v>
      </c>
      <c r="U329" s="33"/>
      <c r="V329" s="33"/>
      <c r="W329" s="33"/>
      <c r="X329" s="33"/>
      <c r="Y329" s="33"/>
      <c r="Z329" s="33"/>
      <c r="AA329" s="33"/>
      <c r="AB329" s="33"/>
      <c r="AC329" s="33"/>
    </row>
    <row r="330" hidden="1">
      <c r="A330" s="17" t="s">
        <v>302</v>
      </c>
      <c r="B330" s="33"/>
      <c r="C330" s="33"/>
      <c r="D330" s="33"/>
      <c r="E330" s="33"/>
      <c r="F330" s="33"/>
      <c r="G330" s="33"/>
      <c r="H330" s="51">
        <f t="shared" ref="H330:T330" si="17">countif(H222:H329,"✓")</f>
        <v>0</v>
      </c>
      <c r="I330" s="51">
        <f t="shared" si="17"/>
        <v>0</v>
      </c>
      <c r="J330" s="51">
        <f t="shared" si="17"/>
        <v>0</v>
      </c>
      <c r="K330" s="51">
        <f t="shared" si="17"/>
        <v>0</v>
      </c>
      <c r="L330" s="51">
        <f t="shared" si="17"/>
        <v>0</v>
      </c>
      <c r="M330" s="51">
        <f t="shared" si="17"/>
        <v>0</v>
      </c>
      <c r="N330" s="51">
        <f t="shared" si="17"/>
        <v>0</v>
      </c>
      <c r="O330" s="51">
        <f t="shared" si="17"/>
        <v>0</v>
      </c>
      <c r="P330" s="51">
        <f t="shared" si="17"/>
        <v>0</v>
      </c>
      <c r="Q330" s="51">
        <f t="shared" si="17"/>
        <v>0</v>
      </c>
      <c r="R330" s="51">
        <f t="shared" si="17"/>
        <v>0</v>
      </c>
      <c r="S330" s="51">
        <f t="shared" si="17"/>
        <v>0</v>
      </c>
      <c r="T330" s="51">
        <f t="shared" si="17"/>
        <v>0</v>
      </c>
      <c r="U330" s="33"/>
      <c r="V330" s="33"/>
      <c r="W330" s="33"/>
      <c r="X330" s="33"/>
      <c r="Y330" s="33"/>
      <c r="Z330" s="33"/>
      <c r="AA330" s="33"/>
      <c r="AB330" s="33"/>
      <c r="AC330" s="33"/>
    </row>
    <row r="331" hidden="1">
      <c r="A331" s="17" t="s">
        <v>302</v>
      </c>
      <c r="B331" s="33"/>
      <c r="C331" s="33"/>
      <c r="D331" s="33"/>
      <c r="E331" s="33"/>
      <c r="F331" s="33"/>
      <c r="G331" s="33"/>
      <c r="H331" s="13" t="s">
        <v>2</v>
      </c>
      <c r="I331" s="13" t="s">
        <v>9</v>
      </c>
      <c r="J331" s="13" t="s">
        <v>10</v>
      </c>
      <c r="K331" s="13" t="s">
        <v>11</v>
      </c>
      <c r="L331" s="13" t="s">
        <v>12</v>
      </c>
      <c r="M331" s="13" t="s">
        <v>13</v>
      </c>
      <c r="N331" s="13" t="s">
        <v>14</v>
      </c>
      <c r="O331" s="13" t="s">
        <v>15</v>
      </c>
      <c r="P331" s="13" t="s">
        <v>4</v>
      </c>
      <c r="Q331" s="13" t="s">
        <v>16</v>
      </c>
      <c r="R331" s="13" t="s">
        <v>17</v>
      </c>
      <c r="S331" s="13" t="s">
        <v>19</v>
      </c>
      <c r="T331" s="13" t="s">
        <v>20</v>
      </c>
      <c r="U331" s="33"/>
      <c r="V331" s="33"/>
      <c r="W331" s="33"/>
      <c r="X331" s="33"/>
      <c r="Y331" s="33"/>
      <c r="Z331" s="33"/>
      <c r="AA331" s="33"/>
      <c r="AB331" s="33"/>
      <c r="AC331" s="33"/>
    </row>
    <row r="332" hidden="1">
      <c r="A332" s="17" t="s">
        <v>302</v>
      </c>
      <c r="B332" s="33"/>
      <c r="C332" s="33"/>
      <c r="D332" s="33"/>
      <c r="E332" s="33"/>
      <c r="F332" s="33"/>
      <c r="G332" s="33"/>
      <c r="H332" s="23" t="str">
        <f>IFERROR(__xludf.DUMMYFUNCTION("if(REGEXMATCH(join("", "",$F332:$G332),H$1)=TRUE,""✓"",""✗"")"),"✗")</f>
        <v>✗</v>
      </c>
      <c r="I332" s="23" t="str">
        <f>IFERROR(__xludf.DUMMYFUNCTION("if(REGEXMATCH(join("", "",$F332:$G332),I$1)=TRUE,""✓"",""✗"")"),"✗")</f>
        <v>✗</v>
      </c>
      <c r="J332" s="23" t="str">
        <f>IFERROR(__xludf.DUMMYFUNCTION("if(REGEXMATCH(join("", "",$F332:$G332),J$1)=TRUE,""✓"",""✗"")"),"✗")</f>
        <v>✗</v>
      </c>
      <c r="K332" s="23" t="str">
        <f>IFERROR(__xludf.DUMMYFUNCTION("if(REGEXMATCH(join("", "",$F332:$G332),K$1)=TRUE,""✓"",""✗"")"),"✗")</f>
        <v>✗</v>
      </c>
      <c r="L332" s="23" t="str">
        <f>IFERROR(__xludf.DUMMYFUNCTION("if(REGEXMATCH(join("", "",$F332:$G332),L$1)=TRUE,""✓"",""✗"")"),"✗")</f>
        <v>✗</v>
      </c>
      <c r="M332" s="23" t="str">
        <f>IFERROR(__xludf.DUMMYFUNCTION("if(REGEXMATCH(join("", "",$F332:$G332),M$1)=TRUE,""✓"",""✗"")"),"✗")</f>
        <v>✗</v>
      </c>
      <c r="N332" s="23" t="str">
        <f>IFERROR(__xludf.DUMMYFUNCTION("if(REGEXMATCH(join("", "",$F332:$G332),N$1)=TRUE,""✓"",""✗"")"),"✗")</f>
        <v>✗</v>
      </c>
      <c r="O332" s="23" t="str">
        <f>IFERROR(__xludf.DUMMYFUNCTION("if(REGEXMATCH(join("", "",$F332:$G332),O$1)=TRUE,""✓"",""✗"")"),"✗")</f>
        <v>✗</v>
      </c>
      <c r="P332" s="23" t="str">
        <f>IFERROR(__xludf.DUMMYFUNCTION("if(REGEXMATCH(join("", "",$F332:$G332),P$1)=TRUE,""✓"",""✗"")"),"✗")</f>
        <v>✗</v>
      </c>
      <c r="Q332" s="23" t="str">
        <f>IFERROR(__xludf.DUMMYFUNCTION("if(REGEXMATCH(join("", "",$F332:$G332),Q$1)=TRUE,""✓"",""✗"")"),"✗")</f>
        <v>✗</v>
      </c>
      <c r="R332" s="23" t="str">
        <f>IFERROR(__xludf.DUMMYFUNCTION("if(REGEXMATCH(join("", "",$F332:$G332),R$1)=TRUE,""✓"",""✗"")"),"✗")</f>
        <v>✗</v>
      </c>
      <c r="S332" s="23" t="str">
        <f>IFERROR(__xludf.DUMMYFUNCTION("if(REGEXMATCH(join("", "",$F332:$G332),S$1)=TRUE,""✓"",""✗"")"),"✗")</f>
        <v>✗</v>
      </c>
      <c r="T332" s="23" t="str">
        <f>IFERROR(__xludf.DUMMYFUNCTION("if(REGEXMATCH(join("", "",$F332:$G332),T$1)=TRUE,""✓"",""✗"")"),"✗")</f>
        <v>✗</v>
      </c>
      <c r="U332" s="33"/>
      <c r="V332" s="33"/>
      <c r="W332" s="33"/>
      <c r="X332" s="33"/>
      <c r="Y332" s="33"/>
      <c r="Z332" s="33"/>
      <c r="AA332" s="33"/>
      <c r="AB332" s="33"/>
      <c r="AC332" s="33"/>
    </row>
    <row r="333" hidden="1">
      <c r="A333" s="17" t="s">
        <v>302</v>
      </c>
      <c r="B333" s="33"/>
      <c r="C333" s="33"/>
      <c r="D333" s="33"/>
      <c r="E333" s="33"/>
      <c r="F333" s="33"/>
      <c r="G333" s="33"/>
      <c r="H333" s="23" t="str">
        <f>IFERROR(__xludf.DUMMYFUNCTION("if(REGEXMATCH(join("", "",$F333:$G333),H$1)=TRUE,""✓"",""✗"")"),"✗")</f>
        <v>✗</v>
      </c>
      <c r="I333" s="23" t="str">
        <f>IFERROR(__xludf.DUMMYFUNCTION("if(REGEXMATCH(join("", "",$F333:$G333),I$1)=TRUE,""✓"",""✗"")"),"✗")</f>
        <v>✗</v>
      </c>
      <c r="J333" s="23" t="str">
        <f>IFERROR(__xludf.DUMMYFUNCTION("if(REGEXMATCH(join("", "",$F333:$G333),J$1)=TRUE,""✓"",""✗"")"),"✗")</f>
        <v>✗</v>
      </c>
      <c r="K333" s="23" t="str">
        <f>IFERROR(__xludf.DUMMYFUNCTION("if(REGEXMATCH(join("", "",$F333:$G333),K$1)=TRUE,""✓"",""✗"")"),"✗")</f>
        <v>✗</v>
      </c>
      <c r="L333" s="23" t="str">
        <f>IFERROR(__xludf.DUMMYFUNCTION("if(REGEXMATCH(join("", "",$F333:$G333),L$1)=TRUE,""✓"",""✗"")"),"✗")</f>
        <v>✗</v>
      </c>
      <c r="M333" s="23" t="str">
        <f>IFERROR(__xludf.DUMMYFUNCTION("if(REGEXMATCH(join("", "",$F333:$G333),M$1)=TRUE,""✓"",""✗"")"),"✗")</f>
        <v>✗</v>
      </c>
      <c r="N333" s="23" t="str">
        <f>IFERROR(__xludf.DUMMYFUNCTION("if(REGEXMATCH(join("", "",$F333:$G333),N$1)=TRUE,""✓"",""✗"")"),"✗")</f>
        <v>✗</v>
      </c>
      <c r="O333" s="23" t="str">
        <f>IFERROR(__xludf.DUMMYFUNCTION("if(REGEXMATCH(join("", "",$F333:$G333),O$1)=TRUE,""✓"",""✗"")"),"✗")</f>
        <v>✗</v>
      </c>
      <c r="P333" s="23" t="str">
        <f>IFERROR(__xludf.DUMMYFUNCTION("if(REGEXMATCH(join("", "",$F333:$G333),P$1)=TRUE,""✓"",""✗"")"),"✗")</f>
        <v>✗</v>
      </c>
      <c r="Q333" s="23" t="str">
        <f>IFERROR(__xludf.DUMMYFUNCTION("if(REGEXMATCH(join("", "",$F333:$G333),Q$1)=TRUE,""✓"",""✗"")"),"✗")</f>
        <v>✗</v>
      </c>
      <c r="R333" s="23" t="str">
        <f>IFERROR(__xludf.DUMMYFUNCTION("if(REGEXMATCH(join("", "",$F333:$G333),R$1)=TRUE,""✓"",""✗"")"),"✗")</f>
        <v>✗</v>
      </c>
      <c r="S333" s="23" t="str">
        <f>IFERROR(__xludf.DUMMYFUNCTION("if(REGEXMATCH(join("", "",$F333:$G333),S$1)=TRUE,""✓"",""✗"")"),"✗")</f>
        <v>✗</v>
      </c>
      <c r="T333" s="23" t="str">
        <f>IFERROR(__xludf.DUMMYFUNCTION("if(REGEXMATCH(join("", "",$F333:$G333),T$1)=TRUE,""✓"",""✗"")"),"✗")</f>
        <v>✗</v>
      </c>
      <c r="U333" s="33"/>
      <c r="V333" s="33"/>
      <c r="W333" s="33"/>
      <c r="X333" s="33"/>
      <c r="Y333" s="33"/>
      <c r="Z333" s="33"/>
      <c r="AA333" s="33"/>
      <c r="AB333" s="33"/>
      <c r="AC333" s="33"/>
    </row>
    <row r="334" hidden="1">
      <c r="A334" s="17" t="s">
        <v>302</v>
      </c>
      <c r="B334" s="33"/>
      <c r="C334" s="33"/>
      <c r="D334" s="33"/>
      <c r="E334" s="33"/>
      <c r="F334" s="33"/>
      <c r="G334" s="33"/>
      <c r="H334" s="23" t="str">
        <f>IFERROR(__xludf.DUMMYFUNCTION("if(REGEXMATCH(join("", "",$F334:$G334),H$1)=TRUE,""✓"",""✗"")"),"✗")</f>
        <v>✗</v>
      </c>
      <c r="I334" s="23" t="str">
        <f>IFERROR(__xludf.DUMMYFUNCTION("if(REGEXMATCH(join("", "",$F334:$G334),I$1)=TRUE,""✓"",""✗"")"),"✗")</f>
        <v>✗</v>
      </c>
      <c r="J334" s="23" t="str">
        <f>IFERROR(__xludf.DUMMYFUNCTION("if(REGEXMATCH(join("", "",$F334:$G334),J$1)=TRUE,""✓"",""✗"")"),"✗")</f>
        <v>✗</v>
      </c>
      <c r="K334" s="23" t="str">
        <f>IFERROR(__xludf.DUMMYFUNCTION("if(REGEXMATCH(join("", "",$F334:$G334),K$1)=TRUE,""✓"",""✗"")"),"✗")</f>
        <v>✗</v>
      </c>
      <c r="L334" s="23" t="str">
        <f>IFERROR(__xludf.DUMMYFUNCTION("if(REGEXMATCH(join("", "",$F334:$G334),L$1)=TRUE,""✓"",""✗"")"),"✗")</f>
        <v>✗</v>
      </c>
      <c r="M334" s="23" t="str">
        <f>IFERROR(__xludf.DUMMYFUNCTION("if(REGEXMATCH(join("", "",$F334:$G334),M$1)=TRUE,""✓"",""✗"")"),"✗")</f>
        <v>✗</v>
      </c>
      <c r="N334" s="23" t="str">
        <f>IFERROR(__xludf.DUMMYFUNCTION("if(REGEXMATCH(join("", "",$F334:$G334),N$1)=TRUE,""✓"",""✗"")"),"✗")</f>
        <v>✗</v>
      </c>
      <c r="O334" s="23" t="str">
        <f>IFERROR(__xludf.DUMMYFUNCTION("if(REGEXMATCH(join("", "",$F334:$G334),O$1)=TRUE,""✓"",""✗"")"),"✗")</f>
        <v>✗</v>
      </c>
      <c r="P334" s="23" t="str">
        <f>IFERROR(__xludf.DUMMYFUNCTION("if(REGEXMATCH(join("", "",$F334:$G334),P$1)=TRUE,""✓"",""✗"")"),"✗")</f>
        <v>✗</v>
      </c>
      <c r="Q334" s="23" t="str">
        <f>IFERROR(__xludf.DUMMYFUNCTION("if(REGEXMATCH(join("", "",$F334:$G334),Q$1)=TRUE,""✓"",""✗"")"),"✗")</f>
        <v>✗</v>
      </c>
      <c r="R334" s="23" t="str">
        <f>IFERROR(__xludf.DUMMYFUNCTION("if(REGEXMATCH(join("", "",$F334:$G334),R$1)=TRUE,""✓"",""✗"")"),"✗")</f>
        <v>✗</v>
      </c>
      <c r="S334" s="23" t="str">
        <f>IFERROR(__xludf.DUMMYFUNCTION("if(REGEXMATCH(join("", "",$F334:$G334),S$1)=TRUE,""✓"",""✗"")"),"✗")</f>
        <v>✗</v>
      </c>
      <c r="T334" s="23" t="str">
        <f>IFERROR(__xludf.DUMMYFUNCTION("if(REGEXMATCH(join("", "",$F334:$G334),T$1)=TRUE,""✓"",""✗"")"),"✗")</f>
        <v>✗</v>
      </c>
      <c r="U334" s="33"/>
      <c r="V334" s="33"/>
      <c r="W334" s="33"/>
      <c r="X334" s="33"/>
      <c r="Y334" s="33"/>
      <c r="Z334" s="33"/>
      <c r="AA334" s="33"/>
      <c r="AB334" s="33"/>
      <c r="AC334" s="33"/>
    </row>
    <row r="335" hidden="1">
      <c r="A335" s="17" t="s">
        <v>302</v>
      </c>
      <c r="B335" s="33"/>
      <c r="C335" s="33"/>
      <c r="D335" s="33"/>
      <c r="E335" s="33"/>
      <c r="F335" s="33"/>
      <c r="G335" s="33"/>
      <c r="H335" s="23" t="str">
        <f>IFERROR(__xludf.DUMMYFUNCTION("if(REGEXMATCH(join("", "",$F335:$G335),H$1)=TRUE,""✓"",""✗"")"),"✗")</f>
        <v>✗</v>
      </c>
      <c r="I335" s="23" t="str">
        <f>IFERROR(__xludf.DUMMYFUNCTION("if(REGEXMATCH(join("", "",$F335:$G335),I$1)=TRUE,""✓"",""✗"")"),"✗")</f>
        <v>✗</v>
      </c>
      <c r="J335" s="23" t="str">
        <f>IFERROR(__xludf.DUMMYFUNCTION("if(REGEXMATCH(join("", "",$F335:$G335),J$1)=TRUE,""✓"",""✗"")"),"✗")</f>
        <v>✗</v>
      </c>
      <c r="K335" s="23" t="str">
        <f>IFERROR(__xludf.DUMMYFUNCTION("if(REGEXMATCH(join("", "",$F335:$G335),K$1)=TRUE,""✓"",""✗"")"),"✗")</f>
        <v>✗</v>
      </c>
      <c r="L335" s="23" t="str">
        <f>IFERROR(__xludf.DUMMYFUNCTION("if(REGEXMATCH(join("", "",$F335:$G335),L$1)=TRUE,""✓"",""✗"")"),"✗")</f>
        <v>✗</v>
      </c>
      <c r="M335" s="23" t="str">
        <f>IFERROR(__xludf.DUMMYFUNCTION("if(REGEXMATCH(join("", "",$F335:$G335),M$1)=TRUE,""✓"",""✗"")"),"✗")</f>
        <v>✗</v>
      </c>
      <c r="N335" s="23" t="str">
        <f>IFERROR(__xludf.DUMMYFUNCTION("if(REGEXMATCH(join("", "",$F335:$G335),N$1)=TRUE,""✓"",""✗"")"),"✗")</f>
        <v>✗</v>
      </c>
      <c r="O335" s="23" t="str">
        <f>IFERROR(__xludf.DUMMYFUNCTION("if(REGEXMATCH(join("", "",$F335:$G335),O$1)=TRUE,""✓"",""✗"")"),"✗")</f>
        <v>✗</v>
      </c>
      <c r="P335" s="23" t="str">
        <f>IFERROR(__xludf.DUMMYFUNCTION("if(REGEXMATCH(join("", "",$F335:$G335),P$1)=TRUE,""✓"",""✗"")"),"✗")</f>
        <v>✗</v>
      </c>
      <c r="Q335" s="23" t="str">
        <f>IFERROR(__xludf.DUMMYFUNCTION("if(REGEXMATCH(join("", "",$F335:$G335),Q$1)=TRUE,""✓"",""✗"")"),"✗")</f>
        <v>✗</v>
      </c>
      <c r="R335" s="23" t="str">
        <f>IFERROR(__xludf.DUMMYFUNCTION("if(REGEXMATCH(join("", "",$F335:$G335),R$1)=TRUE,""✓"",""✗"")"),"✗")</f>
        <v>✗</v>
      </c>
      <c r="S335" s="23" t="str">
        <f>IFERROR(__xludf.DUMMYFUNCTION("if(REGEXMATCH(join("", "",$F335:$G335),S$1)=TRUE,""✓"",""✗"")"),"✗")</f>
        <v>✗</v>
      </c>
      <c r="T335" s="23" t="str">
        <f>IFERROR(__xludf.DUMMYFUNCTION("if(REGEXMATCH(join("", "",$F335:$G335),T$1)=TRUE,""✓"",""✗"")"),"✗")</f>
        <v>✗</v>
      </c>
      <c r="U335" s="33"/>
      <c r="V335" s="33"/>
      <c r="W335" s="33"/>
      <c r="X335" s="33"/>
      <c r="Y335" s="33"/>
      <c r="Z335" s="33"/>
      <c r="AA335" s="33"/>
      <c r="AB335" s="33"/>
      <c r="AC335" s="33"/>
    </row>
    <row r="336" hidden="1">
      <c r="A336" s="17" t="s">
        <v>302</v>
      </c>
      <c r="B336" s="33"/>
      <c r="C336" s="33"/>
      <c r="D336" s="33"/>
      <c r="E336" s="33"/>
      <c r="F336" s="33"/>
      <c r="G336" s="33"/>
      <c r="H336" s="23" t="str">
        <f>IFERROR(__xludf.DUMMYFUNCTION("if(REGEXMATCH(join("", "",$F336:$G336),H$1)=TRUE,""✓"",""✗"")"),"✗")</f>
        <v>✗</v>
      </c>
      <c r="I336" s="23" t="str">
        <f>IFERROR(__xludf.DUMMYFUNCTION("if(REGEXMATCH(join("", "",$F336:$G336),I$1)=TRUE,""✓"",""✗"")"),"✗")</f>
        <v>✗</v>
      </c>
      <c r="J336" s="23" t="str">
        <f>IFERROR(__xludf.DUMMYFUNCTION("if(REGEXMATCH(join("", "",$F336:$G336),J$1)=TRUE,""✓"",""✗"")"),"✗")</f>
        <v>✗</v>
      </c>
      <c r="K336" s="23" t="str">
        <f>IFERROR(__xludf.DUMMYFUNCTION("if(REGEXMATCH(join("", "",$F336:$G336),K$1)=TRUE,""✓"",""✗"")"),"✗")</f>
        <v>✗</v>
      </c>
      <c r="L336" s="23" t="str">
        <f>IFERROR(__xludf.DUMMYFUNCTION("if(REGEXMATCH(join("", "",$F336:$G336),L$1)=TRUE,""✓"",""✗"")"),"✗")</f>
        <v>✗</v>
      </c>
      <c r="M336" s="23" t="str">
        <f>IFERROR(__xludf.DUMMYFUNCTION("if(REGEXMATCH(join("", "",$F336:$G336),M$1)=TRUE,""✓"",""✗"")"),"✗")</f>
        <v>✗</v>
      </c>
      <c r="N336" s="23" t="str">
        <f>IFERROR(__xludf.DUMMYFUNCTION("if(REGEXMATCH(join("", "",$F336:$G336),N$1)=TRUE,""✓"",""✗"")"),"✗")</f>
        <v>✗</v>
      </c>
      <c r="O336" s="23" t="str">
        <f>IFERROR(__xludf.DUMMYFUNCTION("if(REGEXMATCH(join("", "",$F336:$G336),O$1)=TRUE,""✓"",""✗"")"),"✗")</f>
        <v>✗</v>
      </c>
      <c r="P336" s="23" t="str">
        <f>IFERROR(__xludf.DUMMYFUNCTION("if(REGEXMATCH(join("", "",$F336:$G336),P$1)=TRUE,""✓"",""✗"")"),"✗")</f>
        <v>✗</v>
      </c>
      <c r="Q336" s="23" t="str">
        <f>IFERROR(__xludf.DUMMYFUNCTION("if(REGEXMATCH(join("", "",$F336:$G336),Q$1)=TRUE,""✓"",""✗"")"),"✗")</f>
        <v>✗</v>
      </c>
      <c r="R336" s="23" t="str">
        <f>IFERROR(__xludf.DUMMYFUNCTION("if(REGEXMATCH(join("", "",$F336:$G336),R$1)=TRUE,""✓"",""✗"")"),"✗")</f>
        <v>✗</v>
      </c>
      <c r="S336" s="23" t="str">
        <f>IFERROR(__xludf.DUMMYFUNCTION("if(REGEXMATCH(join("", "",$F336:$G336),S$1)=TRUE,""✓"",""✗"")"),"✗")</f>
        <v>✗</v>
      </c>
      <c r="T336" s="23" t="str">
        <f>IFERROR(__xludf.DUMMYFUNCTION("if(REGEXMATCH(join("", "",$F336:$G336),T$1)=TRUE,""✓"",""✗"")"),"✗")</f>
        <v>✗</v>
      </c>
      <c r="U336" s="33"/>
      <c r="V336" s="33"/>
      <c r="W336" s="33"/>
      <c r="X336" s="33"/>
      <c r="Y336" s="33"/>
      <c r="Z336" s="33"/>
      <c r="AA336" s="33"/>
      <c r="AB336" s="33"/>
      <c r="AC336" s="33"/>
    </row>
    <row r="337" hidden="1">
      <c r="A337" s="17" t="s">
        <v>302</v>
      </c>
      <c r="B337" s="33"/>
      <c r="C337" s="33"/>
      <c r="D337" s="33"/>
      <c r="E337" s="33"/>
      <c r="F337" s="33"/>
      <c r="G337" s="33"/>
      <c r="H337" s="23" t="str">
        <f>IFERROR(__xludf.DUMMYFUNCTION("if(REGEXMATCH(join("", "",$F337:$G337),H$1)=TRUE,""✓"",""✗"")"),"✗")</f>
        <v>✗</v>
      </c>
      <c r="I337" s="23" t="str">
        <f>IFERROR(__xludf.DUMMYFUNCTION("if(REGEXMATCH(join("", "",$F337:$G337),I$1)=TRUE,""✓"",""✗"")"),"✗")</f>
        <v>✗</v>
      </c>
      <c r="J337" s="23" t="str">
        <f>IFERROR(__xludf.DUMMYFUNCTION("if(REGEXMATCH(join("", "",$F337:$G337),J$1)=TRUE,""✓"",""✗"")"),"✗")</f>
        <v>✗</v>
      </c>
      <c r="K337" s="23" t="str">
        <f>IFERROR(__xludf.DUMMYFUNCTION("if(REGEXMATCH(join("", "",$F337:$G337),K$1)=TRUE,""✓"",""✗"")"),"✗")</f>
        <v>✗</v>
      </c>
      <c r="L337" s="23" t="str">
        <f>IFERROR(__xludf.DUMMYFUNCTION("if(REGEXMATCH(join("", "",$F337:$G337),L$1)=TRUE,""✓"",""✗"")"),"✗")</f>
        <v>✗</v>
      </c>
      <c r="M337" s="23" t="str">
        <f>IFERROR(__xludf.DUMMYFUNCTION("if(REGEXMATCH(join("", "",$F337:$G337),M$1)=TRUE,""✓"",""✗"")"),"✗")</f>
        <v>✗</v>
      </c>
      <c r="N337" s="23" t="str">
        <f>IFERROR(__xludf.DUMMYFUNCTION("if(REGEXMATCH(join("", "",$F337:$G337),N$1)=TRUE,""✓"",""✗"")"),"✗")</f>
        <v>✗</v>
      </c>
      <c r="O337" s="23" t="str">
        <f>IFERROR(__xludf.DUMMYFUNCTION("if(REGEXMATCH(join("", "",$F337:$G337),O$1)=TRUE,""✓"",""✗"")"),"✗")</f>
        <v>✗</v>
      </c>
      <c r="P337" s="23" t="str">
        <f>IFERROR(__xludf.DUMMYFUNCTION("if(REGEXMATCH(join("", "",$F337:$G337),P$1)=TRUE,""✓"",""✗"")"),"✗")</f>
        <v>✗</v>
      </c>
      <c r="Q337" s="23" t="str">
        <f>IFERROR(__xludf.DUMMYFUNCTION("if(REGEXMATCH(join("", "",$F337:$G337),Q$1)=TRUE,""✓"",""✗"")"),"✗")</f>
        <v>✗</v>
      </c>
      <c r="R337" s="23" t="str">
        <f>IFERROR(__xludf.DUMMYFUNCTION("if(REGEXMATCH(join("", "",$F337:$G337),R$1)=TRUE,""✓"",""✗"")"),"✗")</f>
        <v>✗</v>
      </c>
      <c r="S337" s="23" t="str">
        <f>IFERROR(__xludf.DUMMYFUNCTION("if(REGEXMATCH(join("", "",$F337:$G337),S$1)=TRUE,""✓"",""✗"")"),"✗")</f>
        <v>✗</v>
      </c>
      <c r="T337" s="23" t="str">
        <f>IFERROR(__xludf.DUMMYFUNCTION("if(REGEXMATCH(join("", "",$F337:$G337),T$1)=TRUE,""✓"",""✗"")"),"✗")</f>
        <v>✗</v>
      </c>
      <c r="U337" s="33"/>
      <c r="V337" s="33"/>
      <c r="W337" s="33"/>
      <c r="X337" s="33"/>
      <c r="Y337" s="33"/>
      <c r="Z337" s="33"/>
      <c r="AA337" s="33"/>
      <c r="AB337" s="33"/>
      <c r="AC337" s="33"/>
    </row>
    <row r="338" hidden="1">
      <c r="A338" s="17" t="s">
        <v>302</v>
      </c>
      <c r="B338" s="33"/>
      <c r="C338" s="33"/>
      <c r="D338" s="33"/>
      <c r="E338" s="33"/>
      <c r="F338" s="33"/>
      <c r="G338" s="33"/>
      <c r="H338" s="23" t="str">
        <f>IFERROR(__xludf.DUMMYFUNCTION("if(REGEXMATCH(join("", "",$F338:$G338),H$1)=TRUE,""✓"",""✗"")"),"✗")</f>
        <v>✗</v>
      </c>
      <c r="I338" s="23" t="str">
        <f>IFERROR(__xludf.DUMMYFUNCTION("if(REGEXMATCH(join("", "",$F338:$G338),I$1)=TRUE,""✓"",""✗"")"),"✗")</f>
        <v>✗</v>
      </c>
      <c r="J338" s="23" t="str">
        <f>IFERROR(__xludf.DUMMYFUNCTION("if(REGEXMATCH(join("", "",$F338:$G338),J$1)=TRUE,""✓"",""✗"")"),"✗")</f>
        <v>✗</v>
      </c>
      <c r="K338" s="23" t="str">
        <f>IFERROR(__xludf.DUMMYFUNCTION("if(REGEXMATCH(join("", "",$F338:$G338),K$1)=TRUE,""✓"",""✗"")"),"✗")</f>
        <v>✗</v>
      </c>
      <c r="L338" s="23" t="str">
        <f>IFERROR(__xludf.DUMMYFUNCTION("if(REGEXMATCH(join("", "",$F338:$G338),L$1)=TRUE,""✓"",""✗"")"),"✗")</f>
        <v>✗</v>
      </c>
      <c r="M338" s="23" t="str">
        <f>IFERROR(__xludf.DUMMYFUNCTION("if(REGEXMATCH(join("", "",$F338:$G338),M$1)=TRUE,""✓"",""✗"")"),"✗")</f>
        <v>✗</v>
      </c>
      <c r="N338" s="23" t="str">
        <f>IFERROR(__xludf.DUMMYFUNCTION("if(REGEXMATCH(join("", "",$F338:$G338),N$1)=TRUE,""✓"",""✗"")"),"✗")</f>
        <v>✗</v>
      </c>
      <c r="O338" s="23" t="str">
        <f>IFERROR(__xludf.DUMMYFUNCTION("if(REGEXMATCH(join("", "",$F338:$G338),O$1)=TRUE,""✓"",""✗"")"),"✗")</f>
        <v>✗</v>
      </c>
      <c r="P338" s="23" t="str">
        <f>IFERROR(__xludf.DUMMYFUNCTION("if(REGEXMATCH(join("", "",$F338:$G338),P$1)=TRUE,""✓"",""✗"")"),"✗")</f>
        <v>✗</v>
      </c>
      <c r="Q338" s="23" t="str">
        <f>IFERROR(__xludf.DUMMYFUNCTION("if(REGEXMATCH(join("", "",$F338:$G338),Q$1)=TRUE,""✓"",""✗"")"),"✗")</f>
        <v>✗</v>
      </c>
      <c r="R338" s="23" t="str">
        <f>IFERROR(__xludf.DUMMYFUNCTION("if(REGEXMATCH(join("", "",$F338:$G338),R$1)=TRUE,""✓"",""✗"")"),"✗")</f>
        <v>✗</v>
      </c>
      <c r="S338" s="23" t="str">
        <f>IFERROR(__xludf.DUMMYFUNCTION("if(REGEXMATCH(join("", "",$F338:$G338),S$1)=TRUE,""✓"",""✗"")"),"✗")</f>
        <v>✗</v>
      </c>
      <c r="T338" s="23" t="str">
        <f>IFERROR(__xludf.DUMMYFUNCTION("if(REGEXMATCH(join("", "",$F338:$G338),T$1)=TRUE,""✓"",""✗"")"),"✗")</f>
        <v>✗</v>
      </c>
      <c r="U338" s="33"/>
      <c r="V338" s="33"/>
      <c r="W338" s="33"/>
      <c r="X338" s="33"/>
      <c r="Y338" s="33"/>
      <c r="Z338" s="33"/>
      <c r="AA338" s="33"/>
      <c r="AB338" s="33"/>
      <c r="AC338" s="33"/>
    </row>
    <row r="339" hidden="1">
      <c r="A339" s="17" t="s">
        <v>302</v>
      </c>
      <c r="B339" s="33"/>
      <c r="C339" s="33"/>
      <c r="D339" s="33"/>
      <c r="E339" s="33"/>
      <c r="F339" s="33"/>
      <c r="G339" s="33"/>
      <c r="H339" s="23" t="str">
        <f>IFERROR(__xludf.DUMMYFUNCTION("if(REGEXMATCH(join("", "",$F339:$G339),H$1)=TRUE,""✓"",""✗"")"),"✗")</f>
        <v>✗</v>
      </c>
      <c r="I339" s="23" t="str">
        <f>IFERROR(__xludf.DUMMYFUNCTION("if(REGEXMATCH(join("", "",$F339:$G339),I$1)=TRUE,""✓"",""✗"")"),"✗")</f>
        <v>✗</v>
      </c>
      <c r="J339" s="23" t="str">
        <f>IFERROR(__xludf.DUMMYFUNCTION("if(REGEXMATCH(join("", "",$F339:$G339),J$1)=TRUE,""✓"",""✗"")"),"✗")</f>
        <v>✗</v>
      </c>
      <c r="K339" s="23" t="str">
        <f>IFERROR(__xludf.DUMMYFUNCTION("if(REGEXMATCH(join("", "",$F339:$G339),K$1)=TRUE,""✓"",""✗"")"),"✗")</f>
        <v>✗</v>
      </c>
      <c r="L339" s="23" t="str">
        <f>IFERROR(__xludf.DUMMYFUNCTION("if(REGEXMATCH(join("", "",$F339:$G339),L$1)=TRUE,""✓"",""✗"")"),"✗")</f>
        <v>✗</v>
      </c>
      <c r="M339" s="23" t="str">
        <f>IFERROR(__xludf.DUMMYFUNCTION("if(REGEXMATCH(join("", "",$F339:$G339),M$1)=TRUE,""✓"",""✗"")"),"✗")</f>
        <v>✗</v>
      </c>
      <c r="N339" s="23" t="str">
        <f>IFERROR(__xludf.DUMMYFUNCTION("if(REGEXMATCH(join("", "",$F339:$G339),N$1)=TRUE,""✓"",""✗"")"),"✗")</f>
        <v>✗</v>
      </c>
      <c r="O339" s="23" t="str">
        <f>IFERROR(__xludf.DUMMYFUNCTION("if(REGEXMATCH(join("", "",$F339:$G339),O$1)=TRUE,""✓"",""✗"")"),"✗")</f>
        <v>✗</v>
      </c>
      <c r="P339" s="23" t="str">
        <f>IFERROR(__xludf.DUMMYFUNCTION("if(REGEXMATCH(join("", "",$F339:$G339),P$1)=TRUE,""✓"",""✗"")"),"✗")</f>
        <v>✗</v>
      </c>
      <c r="Q339" s="23" t="str">
        <f>IFERROR(__xludf.DUMMYFUNCTION("if(REGEXMATCH(join("", "",$F339:$G339),Q$1)=TRUE,""✓"",""✗"")"),"✗")</f>
        <v>✗</v>
      </c>
      <c r="R339" s="23" t="str">
        <f>IFERROR(__xludf.DUMMYFUNCTION("if(REGEXMATCH(join("", "",$F339:$G339),R$1)=TRUE,""✓"",""✗"")"),"✗")</f>
        <v>✗</v>
      </c>
      <c r="S339" s="23" t="str">
        <f>IFERROR(__xludf.DUMMYFUNCTION("if(REGEXMATCH(join("", "",$F339:$G339),S$1)=TRUE,""✓"",""✗"")"),"✗")</f>
        <v>✗</v>
      </c>
      <c r="T339" s="23" t="str">
        <f>IFERROR(__xludf.DUMMYFUNCTION("if(REGEXMATCH(join("", "",$F339:$G339),T$1)=TRUE,""✓"",""✗"")"),"✗")</f>
        <v>✗</v>
      </c>
      <c r="U339" s="33"/>
      <c r="V339" s="33"/>
      <c r="W339" s="33"/>
      <c r="X339" s="33"/>
      <c r="Y339" s="33"/>
      <c r="Z339" s="33"/>
      <c r="AA339" s="33"/>
      <c r="AB339" s="33"/>
      <c r="AC339" s="33"/>
    </row>
    <row r="340" hidden="1">
      <c r="A340" s="17" t="s">
        <v>302</v>
      </c>
      <c r="B340" s="33"/>
      <c r="C340" s="33"/>
      <c r="D340" s="33"/>
      <c r="E340" s="33"/>
      <c r="F340" s="33"/>
      <c r="G340" s="33"/>
      <c r="H340" s="23" t="str">
        <f>IFERROR(__xludf.DUMMYFUNCTION("if(REGEXMATCH(join("", "",$F340:$G340),H$1)=TRUE,""✓"",""✗"")"),"✗")</f>
        <v>✗</v>
      </c>
      <c r="I340" s="23" t="str">
        <f>IFERROR(__xludf.DUMMYFUNCTION("if(REGEXMATCH(join("", "",$F340:$G340),I$1)=TRUE,""✓"",""✗"")"),"✗")</f>
        <v>✗</v>
      </c>
      <c r="J340" s="23" t="str">
        <f>IFERROR(__xludf.DUMMYFUNCTION("if(REGEXMATCH(join("", "",$F340:$G340),J$1)=TRUE,""✓"",""✗"")"),"✗")</f>
        <v>✗</v>
      </c>
      <c r="K340" s="23" t="str">
        <f>IFERROR(__xludf.DUMMYFUNCTION("if(REGEXMATCH(join("", "",$F340:$G340),K$1)=TRUE,""✓"",""✗"")"),"✗")</f>
        <v>✗</v>
      </c>
      <c r="L340" s="23" t="str">
        <f>IFERROR(__xludf.DUMMYFUNCTION("if(REGEXMATCH(join("", "",$F340:$G340),L$1)=TRUE,""✓"",""✗"")"),"✗")</f>
        <v>✗</v>
      </c>
      <c r="M340" s="23" t="str">
        <f>IFERROR(__xludf.DUMMYFUNCTION("if(REGEXMATCH(join("", "",$F340:$G340),M$1)=TRUE,""✓"",""✗"")"),"✗")</f>
        <v>✗</v>
      </c>
      <c r="N340" s="23" t="str">
        <f>IFERROR(__xludf.DUMMYFUNCTION("if(REGEXMATCH(join("", "",$F340:$G340),N$1)=TRUE,""✓"",""✗"")"),"✗")</f>
        <v>✗</v>
      </c>
      <c r="O340" s="23" t="str">
        <f>IFERROR(__xludf.DUMMYFUNCTION("if(REGEXMATCH(join("", "",$F340:$G340),O$1)=TRUE,""✓"",""✗"")"),"✗")</f>
        <v>✗</v>
      </c>
      <c r="P340" s="23" t="str">
        <f>IFERROR(__xludf.DUMMYFUNCTION("if(REGEXMATCH(join("", "",$F340:$G340),P$1)=TRUE,""✓"",""✗"")"),"✗")</f>
        <v>✗</v>
      </c>
      <c r="Q340" s="23" t="str">
        <f>IFERROR(__xludf.DUMMYFUNCTION("if(REGEXMATCH(join("", "",$F340:$G340),Q$1)=TRUE,""✓"",""✗"")"),"✗")</f>
        <v>✗</v>
      </c>
      <c r="R340" s="23" t="str">
        <f>IFERROR(__xludf.DUMMYFUNCTION("if(REGEXMATCH(join("", "",$F340:$G340),R$1)=TRUE,""✓"",""✗"")"),"✗")</f>
        <v>✗</v>
      </c>
      <c r="S340" s="23" t="str">
        <f>IFERROR(__xludf.DUMMYFUNCTION("if(REGEXMATCH(join("", "",$F340:$G340),S$1)=TRUE,""✓"",""✗"")"),"✗")</f>
        <v>✗</v>
      </c>
      <c r="T340" s="23" t="str">
        <f>IFERROR(__xludf.DUMMYFUNCTION("if(REGEXMATCH(join("", "",$F340:$G340),T$1)=TRUE,""✓"",""✗"")"),"✗")</f>
        <v>✗</v>
      </c>
      <c r="U340" s="33"/>
      <c r="V340" s="33"/>
      <c r="W340" s="33"/>
      <c r="X340" s="33"/>
      <c r="Y340" s="33"/>
      <c r="Z340" s="33"/>
      <c r="AA340" s="33"/>
      <c r="AB340" s="33"/>
      <c r="AC340" s="33"/>
    </row>
    <row r="341" hidden="1">
      <c r="A341" s="17" t="s">
        <v>302</v>
      </c>
      <c r="B341" s="33"/>
      <c r="C341" s="33"/>
      <c r="D341" s="33"/>
      <c r="E341" s="33"/>
      <c r="F341" s="33"/>
      <c r="G341" s="33"/>
      <c r="H341" s="23" t="str">
        <f>IFERROR(__xludf.DUMMYFUNCTION("if(REGEXMATCH(join("", "",$F341:$G341),H$1)=TRUE,""✓"",""✗"")"),"✗")</f>
        <v>✗</v>
      </c>
      <c r="I341" s="23" t="str">
        <f>IFERROR(__xludf.DUMMYFUNCTION("if(REGEXMATCH(join("", "",$F341:$G341),I$1)=TRUE,""✓"",""✗"")"),"✗")</f>
        <v>✗</v>
      </c>
      <c r="J341" s="23" t="str">
        <f>IFERROR(__xludf.DUMMYFUNCTION("if(REGEXMATCH(join("", "",$F341:$G341),J$1)=TRUE,""✓"",""✗"")"),"✗")</f>
        <v>✗</v>
      </c>
      <c r="K341" s="23" t="str">
        <f>IFERROR(__xludf.DUMMYFUNCTION("if(REGEXMATCH(join("", "",$F341:$G341),K$1)=TRUE,""✓"",""✗"")"),"✗")</f>
        <v>✗</v>
      </c>
      <c r="L341" s="23" t="str">
        <f>IFERROR(__xludf.DUMMYFUNCTION("if(REGEXMATCH(join("", "",$F341:$G341),L$1)=TRUE,""✓"",""✗"")"),"✗")</f>
        <v>✗</v>
      </c>
      <c r="M341" s="23" t="str">
        <f>IFERROR(__xludf.DUMMYFUNCTION("if(REGEXMATCH(join("", "",$F341:$G341),M$1)=TRUE,""✓"",""✗"")"),"✗")</f>
        <v>✗</v>
      </c>
      <c r="N341" s="23" t="str">
        <f>IFERROR(__xludf.DUMMYFUNCTION("if(REGEXMATCH(join("", "",$F341:$G341),N$1)=TRUE,""✓"",""✗"")"),"✗")</f>
        <v>✗</v>
      </c>
      <c r="O341" s="23" t="str">
        <f>IFERROR(__xludf.DUMMYFUNCTION("if(REGEXMATCH(join("", "",$F341:$G341),O$1)=TRUE,""✓"",""✗"")"),"✗")</f>
        <v>✗</v>
      </c>
      <c r="P341" s="23" t="str">
        <f>IFERROR(__xludf.DUMMYFUNCTION("if(REGEXMATCH(join("", "",$F341:$G341),P$1)=TRUE,""✓"",""✗"")"),"✗")</f>
        <v>✗</v>
      </c>
      <c r="Q341" s="23" t="str">
        <f>IFERROR(__xludf.DUMMYFUNCTION("if(REGEXMATCH(join("", "",$F341:$G341),Q$1)=TRUE,""✓"",""✗"")"),"✗")</f>
        <v>✗</v>
      </c>
      <c r="R341" s="23" t="str">
        <f>IFERROR(__xludf.DUMMYFUNCTION("if(REGEXMATCH(join("", "",$F341:$G341),R$1)=TRUE,""✓"",""✗"")"),"✗")</f>
        <v>✗</v>
      </c>
      <c r="S341" s="23" t="str">
        <f>IFERROR(__xludf.DUMMYFUNCTION("if(REGEXMATCH(join("", "",$F341:$G341),S$1)=TRUE,""✓"",""✗"")"),"✗")</f>
        <v>✗</v>
      </c>
      <c r="T341" s="23" t="str">
        <f>IFERROR(__xludf.DUMMYFUNCTION("if(REGEXMATCH(join("", "",$F341:$G341),T$1)=TRUE,""✓"",""✗"")"),"✗")</f>
        <v>✗</v>
      </c>
      <c r="U341" s="33"/>
      <c r="V341" s="33"/>
      <c r="W341" s="33"/>
      <c r="X341" s="33"/>
      <c r="Y341" s="33"/>
      <c r="Z341" s="33"/>
      <c r="AA341" s="33"/>
      <c r="AB341" s="33"/>
      <c r="AC341" s="33"/>
    </row>
    <row r="342" hidden="1">
      <c r="A342" s="17" t="s">
        <v>302</v>
      </c>
      <c r="B342" s="33"/>
      <c r="C342" s="33"/>
      <c r="D342" s="33"/>
      <c r="E342" s="33"/>
      <c r="F342" s="33"/>
      <c r="G342" s="33"/>
      <c r="H342" s="23" t="str">
        <f>IFERROR(__xludf.DUMMYFUNCTION("if(REGEXMATCH(join("", "",$F342:$G342),H$1)=TRUE,""✓"",""✗"")"),"✗")</f>
        <v>✗</v>
      </c>
      <c r="I342" s="23" t="str">
        <f>IFERROR(__xludf.DUMMYFUNCTION("if(REGEXMATCH(join("", "",$F342:$G342),I$1)=TRUE,""✓"",""✗"")"),"✗")</f>
        <v>✗</v>
      </c>
      <c r="J342" s="23" t="str">
        <f>IFERROR(__xludf.DUMMYFUNCTION("if(REGEXMATCH(join("", "",$F342:$G342),J$1)=TRUE,""✓"",""✗"")"),"✗")</f>
        <v>✗</v>
      </c>
      <c r="K342" s="23" t="str">
        <f>IFERROR(__xludf.DUMMYFUNCTION("if(REGEXMATCH(join("", "",$F342:$G342),K$1)=TRUE,""✓"",""✗"")"),"✗")</f>
        <v>✗</v>
      </c>
      <c r="L342" s="23" t="str">
        <f>IFERROR(__xludf.DUMMYFUNCTION("if(REGEXMATCH(join("", "",$F342:$G342),L$1)=TRUE,""✓"",""✗"")"),"✗")</f>
        <v>✗</v>
      </c>
      <c r="M342" s="23" t="str">
        <f>IFERROR(__xludf.DUMMYFUNCTION("if(REGEXMATCH(join("", "",$F342:$G342),M$1)=TRUE,""✓"",""✗"")"),"✗")</f>
        <v>✗</v>
      </c>
      <c r="N342" s="23" t="str">
        <f>IFERROR(__xludf.DUMMYFUNCTION("if(REGEXMATCH(join("", "",$F342:$G342),N$1)=TRUE,""✓"",""✗"")"),"✗")</f>
        <v>✗</v>
      </c>
      <c r="O342" s="23" t="str">
        <f>IFERROR(__xludf.DUMMYFUNCTION("if(REGEXMATCH(join("", "",$F342:$G342),O$1)=TRUE,""✓"",""✗"")"),"✗")</f>
        <v>✗</v>
      </c>
      <c r="P342" s="23" t="str">
        <f>IFERROR(__xludf.DUMMYFUNCTION("if(REGEXMATCH(join("", "",$F342:$G342),P$1)=TRUE,""✓"",""✗"")"),"✗")</f>
        <v>✗</v>
      </c>
      <c r="Q342" s="23" t="str">
        <f>IFERROR(__xludf.DUMMYFUNCTION("if(REGEXMATCH(join("", "",$F342:$G342),Q$1)=TRUE,""✓"",""✗"")"),"✗")</f>
        <v>✗</v>
      </c>
      <c r="R342" s="23" t="str">
        <f>IFERROR(__xludf.DUMMYFUNCTION("if(REGEXMATCH(join("", "",$F342:$G342),R$1)=TRUE,""✓"",""✗"")"),"✗")</f>
        <v>✗</v>
      </c>
      <c r="S342" s="23" t="str">
        <f>IFERROR(__xludf.DUMMYFUNCTION("if(REGEXMATCH(join("", "",$F342:$G342),S$1)=TRUE,""✓"",""✗"")"),"✗")</f>
        <v>✗</v>
      </c>
      <c r="T342" s="23" t="str">
        <f>IFERROR(__xludf.DUMMYFUNCTION("if(REGEXMATCH(join("", "",$F342:$G342),T$1)=TRUE,""✓"",""✗"")"),"✗")</f>
        <v>✗</v>
      </c>
      <c r="U342" s="33"/>
      <c r="V342" s="33"/>
      <c r="W342" s="33"/>
      <c r="X342" s="33"/>
      <c r="Y342" s="33"/>
      <c r="Z342" s="33"/>
      <c r="AA342" s="33"/>
      <c r="AB342" s="33"/>
      <c r="AC342" s="33"/>
    </row>
    <row r="343" hidden="1">
      <c r="A343" s="17" t="s">
        <v>302</v>
      </c>
      <c r="B343" s="33"/>
      <c r="C343" s="33"/>
      <c r="D343" s="33"/>
      <c r="E343" s="33"/>
      <c r="F343" s="33"/>
      <c r="G343" s="33"/>
      <c r="H343" s="23" t="str">
        <f>IFERROR(__xludf.DUMMYFUNCTION("if(REGEXMATCH(join("", "",$F343:$G343),H$1)=TRUE,""✓"",""✗"")"),"✗")</f>
        <v>✗</v>
      </c>
      <c r="I343" s="23" t="str">
        <f>IFERROR(__xludf.DUMMYFUNCTION("if(REGEXMATCH(join("", "",$F343:$G343),I$1)=TRUE,""✓"",""✗"")"),"✗")</f>
        <v>✗</v>
      </c>
      <c r="J343" s="23" t="str">
        <f>IFERROR(__xludf.DUMMYFUNCTION("if(REGEXMATCH(join("", "",$F343:$G343),J$1)=TRUE,""✓"",""✗"")"),"✗")</f>
        <v>✗</v>
      </c>
      <c r="K343" s="23" t="str">
        <f>IFERROR(__xludf.DUMMYFUNCTION("if(REGEXMATCH(join("", "",$F343:$G343),K$1)=TRUE,""✓"",""✗"")"),"✗")</f>
        <v>✗</v>
      </c>
      <c r="L343" s="23" t="str">
        <f>IFERROR(__xludf.DUMMYFUNCTION("if(REGEXMATCH(join("", "",$F343:$G343),L$1)=TRUE,""✓"",""✗"")"),"✗")</f>
        <v>✗</v>
      </c>
      <c r="M343" s="23" t="str">
        <f>IFERROR(__xludf.DUMMYFUNCTION("if(REGEXMATCH(join("", "",$F343:$G343),M$1)=TRUE,""✓"",""✗"")"),"✗")</f>
        <v>✗</v>
      </c>
      <c r="N343" s="23" t="str">
        <f>IFERROR(__xludf.DUMMYFUNCTION("if(REGEXMATCH(join("", "",$F343:$G343),N$1)=TRUE,""✓"",""✗"")"),"✗")</f>
        <v>✗</v>
      </c>
      <c r="O343" s="23" t="str">
        <f>IFERROR(__xludf.DUMMYFUNCTION("if(REGEXMATCH(join("", "",$F343:$G343),O$1)=TRUE,""✓"",""✗"")"),"✗")</f>
        <v>✗</v>
      </c>
      <c r="P343" s="23" t="str">
        <f>IFERROR(__xludf.DUMMYFUNCTION("if(REGEXMATCH(join("", "",$F343:$G343),P$1)=TRUE,""✓"",""✗"")"),"✗")</f>
        <v>✗</v>
      </c>
      <c r="Q343" s="23" t="str">
        <f>IFERROR(__xludf.DUMMYFUNCTION("if(REGEXMATCH(join("", "",$F343:$G343),Q$1)=TRUE,""✓"",""✗"")"),"✗")</f>
        <v>✗</v>
      </c>
      <c r="R343" s="23" t="str">
        <f>IFERROR(__xludf.DUMMYFUNCTION("if(REGEXMATCH(join("", "",$F343:$G343),R$1)=TRUE,""✓"",""✗"")"),"✗")</f>
        <v>✗</v>
      </c>
      <c r="S343" s="23" t="str">
        <f>IFERROR(__xludf.DUMMYFUNCTION("if(REGEXMATCH(join("", "",$F343:$G343),S$1)=TRUE,""✓"",""✗"")"),"✗")</f>
        <v>✗</v>
      </c>
      <c r="T343" s="23" t="str">
        <f>IFERROR(__xludf.DUMMYFUNCTION("if(REGEXMATCH(join("", "",$F343:$G343),T$1)=TRUE,""✓"",""✗"")"),"✗")</f>
        <v>✗</v>
      </c>
      <c r="U343" s="33"/>
      <c r="V343" s="33"/>
      <c r="W343" s="33"/>
      <c r="X343" s="33"/>
      <c r="Y343" s="33"/>
      <c r="Z343" s="33"/>
      <c r="AA343" s="33"/>
      <c r="AB343" s="33"/>
      <c r="AC343" s="33"/>
    </row>
    <row r="344" hidden="1">
      <c r="A344" s="17" t="s">
        <v>302</v>
      </c>
      <c r="B344" s="33"/>
      <c r="C344" s="33"/>
      <c r="D344" s="33"/>
      <c r="E344" s="33"/>
      <c r="F344" s="33"/>
      <c r="G344" s="33"/>
      <c r="H344" s="23" t="str">
        <f>IFERROR(__xludf.DUMMYFUNCTION("if(REGEXMATCH(join("", "",$F344:$G344),H$1)=TRUE,""✓"",""✗"")"),"✗")</f>
        <v>✗</v>
      </c>
      <c r="I344" s="23" t="str">
        <f>IFERROR(__xludf.DUMMYFUNCTION("if(REGEXMATCH(join("", "",$F344:$G344),I$1)=TRUE,""✓"",""✗"")"),"✗")</f>
        <v>✗</v>
      </c>
      <c r="J344" s="23" t="str">
        <f>IFERROR(__xludf.DUMMYFUNCTION("if(REGEXMATCH(join("", "",$F344:$G344),J$1)=TRUE,""✓"",""✗"")"),"✗")</f>
        <v>✗</v>
      </c>
      <c r="K344" s="23" t="str">
        <f>IFERROR(__xludf.DUMMYFUNCTION("if(REGEXMATCH(join("", "",$F344:$G344),K$1)=TRUE,""✓"",""✗"")"),"✗")</f>
        <v>✗</v>
      </c>
      <c r="L344" s="23" t="str">
        <f>IFERROR(__xludf.DUMMYFUNCTION("if(REGEXMATCH(join("", "",$F344:$G344),L$1)=TRUE,""✓"",""✗"")"),"✗")</f>
        <v>✗</v>
      </c>
      <c r="M344" s="23" t="str">
        <f>IFERROR(__xludf.DUMMYFUNCTION("if(REGEXMATCH(join("", "",$F344:$G344),M$1)=TRUE,""✓"",""✗"")"),"✗")</f>
        <v>✗</v>
      </c>
      <c r="N344" s="23" t="str">
        <f>IFERROR(__xludf.DUMMYFUNCTION("if(REGEXMATCH(join("", "",$F344:$G344),N$1)=TRUE,""✓"",""✗"")"),"✗")</f>
        <v>✗</v>
      </c>
      <c r="O344" s="23" t="str">
        <f>IFERROR(__xludf.DUMMYFUNCTION("if(REGEXMATCH(join("", "",$F344:$G344),O$1)=TRUE,""✓"",""✗"")"),"✗")</f>
        <v>✗</v>
      </c>
      <c r="P344" s="23" t="str">
        <f>IFERROR(__xludf.DUMMYFUNCTION("if(REGEXMATCH(join("", "",$F344:$G344),P$1)=TRUE,""✓"",""✗"")"),"✗")</f>
        <v>✗</v>
      </c>
      <c r="Q344" s="23" t="str">
        <f>IFERROR(__xludf.DUMMYFUNCTION("if(REGEXMATCH(join("", "",$F344:$G344),Q$1)=TRUE,""✓"",""✗"")"),"✗")</f>
        <v>✗</v>
      </c>
      <c r="R344" s="23" t="str">
        <f>IFERROR(__xludf.DUMMYFUNCTION("if(REGEXMATCH(join("", "",$F344:$G344),R$1)=TRUE,""✓"",""✗"")"),"✗")</f>
        <v>✗</v>
      </c>
      <c r="S344" s="23" t="str">
        <f>IFERROR(__xludf.DUMMYFUNCTION("if(REGEXMATCH(join("", "",$F344:$G344),S$1)=TRUE,""✓"",""✗"")"),"✗")</f>
        <v>✗</v>
      </c>
      <c r="T344" s="23" t="str">
        <f>IFERROR(__xludf.DUMMYFUNCTION("if(REGEXMATCH(join("", "",$F344:$G344),T$1)=TRUE,""✓"",""✗"")"),"✗")</f>
        <v>✗</v>
      </c>
      <c r="U344" s="33"/>
      <c r="V344" s="33"/>
      <c r="W344" s="33"/>
      <c r="X344" s="33"/>
      <c r="Y344" s="33"/>
      <c r="Z344" s="33"/>
      <c r="AA344" s="33"/>
      <c r="AB344" s="33"/>
      <c r="AC344" s="33"/>
    </row>
    <row r="345" hidden="1">
      <c r="A345" s="17" t="s">
        <v>302</v>
      </c>
      <c r="B345" s="33"/>
      <c r="C345" s="33"/>
      <c r="D345" s="33"/>
      <c r="E345" s="33"/>
      <c r="F345" s="33"/>
      <c r="G345" s="33"/>
      <c r="H345" s="23" t="str">
        <f>IFERROR(__xludf.DUMMYFUNCTION("if(REGEXMATCH(join("", "",$F345:$G345),H$1)=TRUE,""✓"",""✗"")"),"✗")</f>
        <v>✗</v>
      </c>
      <c r="I345" s="23" t="str">
        <f>IFERROR(__xludf.DUMMYFUNCTION("if(REGEXMATCH(join("", "",$F345:$G345),I$1)=TRUE,""✓"",""✗"")"),"✗")</f>
        <v>✗</v>
      </c>
      <c r="J345" s="23" t="str">
        <f>IFERROR(__xludf.DUMMYFUNCTION("if(REGEXMATCH(join("", "",$F345:$G345),J$1)=TRUE,""✓"",""✗"")"),"✗")</f>
        <v>✗</v>
      </c>
      <c r="K345" s="23" t="str">
        <f>IFERROR(__xludf.DUMMYFUNCTION("if(REGEXMATCH(join("", "",$F345:$G345),K$1)=TRUE,""✓"",""✗"")"),"✗")</f>
        <v>✗</v>
      </c>
      <c r="L345" s="23" t="str">
        <f>IFERROR(__xludf.DUMMYFUNCTION("if(REGEXMATCH(join("", "",$F345:$G345),L$1)=TRUE,""✓"",""✗"")"),"✗")</f>
        <v>✗</v>
      </c>
      <c r="M345" s="23" t="str">
        <f>IFERROR(__xludf.DUMMYFUNCTION("if(REGEXMATCH(join("", "",$F345:$G345),M$1)=TRUE,""✓"",""✗"")"),"✗")</f>
        <v>✗</v>
      </c>
      <c r="N345" s="23" t="str">
        <f>IFERROR(__xludf.DUMMYFUNCTION("if(REGEXMATCH(join("", "",$F345:$G345),N$1)=TRUE,""✓"",""✗"")"),"✗")</f>
        <v>✗</v>
      </c>
      <c r="O345" s="23" t="str">
        <f>IFERROR(__xludf.DUMMYFUNCTION("if(REGEXMATCH(join("", "",$F345:$G345),O$1)=TRUE,""✓"",""✗"")"),"✗")</f>
        <v>✗</v>
      </c>
      <c r="P345" s="23" t="str">
        <f>IFERROR(__xludf.DUMMYFUNCTION("if(REGEXMATCH(join("", "",$F345:$G345),P$1)=TRUE,""✓"",""✗"")"),"✗")</f>
        <v>✗</v>
      </c>
      <c r="Q345" s="23" t="str">
        <f>IFERROR(__xludf.DUMMYFUNCTION("if(REGEXMATCH(join("", "",$F345:$G345),Q$1)=TRUE,""✓"",""✗"")"),"✗")</f>
        <v>✗</v>
      </c>
      <c r="R345" s="23" t="str">
        <f>IFERROR(__xludf.DUMMYFUNCTION("if(REGEXMATCH(join("", "",$F345:$G345),R$1)=TRUE,""✓"",""✗"")"),"✗")</f>
        <v>✗</v>
      </c>
      <c r="S345" s="23" t="str">
        <f>IFERROR(__xludf.DUMMYFUNCTION("if(REGEXMATCH(join("", "",$F345:$G345),S$1)=TRUE,""✓"",""✗"")"),"✗")</f>
        <v>✗</v>
      </c>
      <c r="T345" s="23" t="str">
        <f>IFERROR(__xludf.DUMMYFUNCTION("if(REGEXMATCH(join("", "",$F345:$G345),T$1)=TRUE,""✓"",""✗"")"),"✗")</f>
        <v>✗</v>
      </c>
      <c r="U345" s="33"/>
      <c r="V345" s="33"/>
      <c r="W345" s="33"/>
      <c r="X345" s="33"/>
      <c r="Y345" s="33"/>
      <c r="Z345" s="33"/>
      <c r="AA345" s="33"/>
      <c r="AB345" s="33"/>
      <c r="AC345" s="33"/>
    </row>
    <row r="346" hidden="1">
      <c r="A346" s="17" t="s">
        <v>302</v>
      </c>
      <c r="B346" s="33"/>
      <c r="C346" s="33"/>
      <c r="D346" s="33"/>
      <c r="E346" s="33"/>
      <c r="F346" s="33"/>
      <c r="G346" s="33"/>
      <c r="H346" s="23" t="str">
        <f>IFERROR(__xludf.DUMMYFUNCTION("if(REGEXMATCH(join("", "",$F346:$G346),H$1)=TRUE,""✓"",""✗"")"),"✗")</f>
        <v>✗</v>
      </c>
      <c r="I346" s="23" t="str">
        <f>IFERROR(__xludf.DUMMYFUNCTION("if(REGEXMATCH(join("", "",$F346:$G346),I$1)=TRUE,""✓"",""✗"")"),"✗")</f>
        <v>✗</v>
      </c>
      <c r="J346" s="23" t="str">
        <f>IFERROR(__xludf.DUMMYFUNCTION("if(REGEXMATCH(join("", "",$F346:$G346),J$1)=TRUE,""✓"",""✗"")"),"✗")</f>
        <v>✗</v>
      </c>
      <c r="K346" s="23" t="str">
        <f>IFERROR(__xludf.DUMMYFUNCTION("if(REGEXMATCH(join("", "",$F346:$G346),K$1)=TRUE,""✓"",""✗"")"),"✗")</f>
        <v>✗</v>
      </c>
      <c r="L346" s="23" t="str">
        <f>IFERROR(__xludf.DUMMYFUNCTION("if(REGEXMATCH(join("", "",$F346:$G346),L$1)=TRUE,""✓"",""✗"")"),"✗")</f>
        <v>✗</v>
      </c>
      <c r="M346" s="23" t="str">
        <f>IFERROR(__xludf.DUMMYFUNCTION("if(REGEXMATCH(join("", "",$F346:$G346),M$1)=TRUE,""✓"",""✗"")"),"✗")</f>
        <v>✗</v>
      </c>
      <c r="N346" s="23" t="str">
        <f>IFERROR(__xludf.DUMMYFUNCTION("if(REGEXMATCH(join("", "",$F346:$G346),N$1)=TRUE,""✓"",""✗"")"),"✗")</f>
        <v>✗</v>
      </c>
      <c r="O346" s="23" t="str">
        <f>IFERROR(__xludf.DUMMYFUNCTION("if(REGEXMATCH(join("", "",$F346:$G346),O$1)=TRUE,""✓"",""✗"")"),"✗")</f>
        <v>✗</v>
      </c>
      <c r="P346" s="23" t="str">
        <f>IFERROR(__xludf.DUMMYFUNCTION("if(REGEXMATCH(join("", "",$F346:$G346),P$1)=TRUE,""✓"",""✗"")"),"✗")</f>
        <v>✗</v>
      </c>
      <c r="Q346" s="23" t="str">
        <f>IFERROR(__xludf.DUMMYFUNCTION("if(REGEXMATCH(join("", "",$F346:$G346),Q$1)=TRUE,""✓"",""✗"")"),"✗")</f>
        <v>✗</v>
      </c>
      <c r="R346" s="23" t="str">
        <f>IFERROR(__xludf.DUMMYFUNCTION("if(REGEXMATCH(join("", "",$F346:$G346),R$1)=TRUE,""✓"",""✗"")"),"✗")</f>
        <v>✗</v>
      </c>
      <c r="S346" s="23" t="str">
        <f>IFERROR(__xludf.DUMMYFUNCTION("if(REGEXMATCH(join("", "",$F346:$G346),S$1)=TRUE,""✓"",""✗"")"),"✗")</f>
        <v>✗</v>
      </c>
      <c r="T346" s="23" t="str">
        <f>IFERROR(__xludf.DUMMYFUNCTION("if(REGEXMATCH(join("", "",$F346:$G346),T$1)=TRUE,""✓"",""✗"")"),"✗")</f>
        <v>✗</v>
      </c>
      <c r="U346" s="33"/>
      <c r="V346" s="33"/>
      <c r="W346" s="33"/>
      <c r="X346" s="33"/>
      <c r="Y346" s="33"/>
      <c r="Z346" s="33"/>
      <c r="AA346" s="33"/>
      <c r="AB346" s="33"/>
      <c r="AC346" s="33"/>
    </row>
    <row r="347" hidden="1">
      <c r="A347" s="17" t="s">
        <v>302</v>
      </c>
      <c r="B347" s="33"/>
      <c r="C347" s="33"/>
      <c r="D347" s="33"/>
      <c r="E347" s="33"/>
      <c r="F347" s="33"/>
      <c r="G347" s="33"/>
      <c r="H347" s="23" t="str">
        <f>IFERROR(__xludf.DUMMYFUNCTION("if(REGEXMATCH(join("", "",$F347:$G347),H$1)=TRUE,""✓"",""✗"")"),"✗")</f>
        <v>✗</v>
      </c>
      <c r="I347" s="23" t="str">
        <f>IFERROR(__xludf.DUMMYFUNCTION("if(REGEXMATCH(join("", "",$F347:$G347),I$1)=TRUE,""✓"",""✗"")"),"✗")</f>
        <v>✗</v>
      </c>
      <c r="J347" s="23" t="str">
        <f>IFERROR(__xludf.DUMMYFUNCTION("if(REGEXMATCH(join("", "",$F347:$G347),J$1)=TRUE,""✓"",""✗"")"),"✗")</f>
        <v>✗</v>
      </c>
      <c r="K347" s="23" t="str">
        <f>IFERROR(__xludf.DUMMYFUNCTION("if(REGEXMATCH(join("", "",$F347:$G347),K$1)=TRUE,""✓"",""✗"")"),"✗")</f>
        <v>✗</v>
      </c>
      <c r="L347" s="23" t="str">
        <f>IFERROR(__xludf.DUMMYFUNCTION("if(REGEXMATCH(join("", "",$F347:$G347),L$1)=TRUE,""✓"",""✗"")"),"✗")</f>
        <v>✗</v>
      </c>
      <c r="M347" s="23" t="str">
        <f>IFERROR(__xludf.DUMMYFUNCTION("if(REGEXMATCH(join("", "",$F347:$G347),M$1)=TRUE,""✓"",""✗"")"),"✗")</f>
        <v>✗</v>
      </c>
      <c r="N347" s="23" t="str">
        <f>IFERROR(__xludf.DUMMYFUNCTION("if(REGEXMATCH(join("", "",$F347:$G347),N$1)=TRUE,""✓"",""✗"")"),"✗")</f>
        <v>✗</v>
      </c>
      <c r="O347" s="23" t="str">
        <f>IFERROR(__xludf.DUMMYFUNCTION("if(REGEXMATCH(join("", "",$F347:$G347),O$1)=TRUE,""✓"",""✗"")"),"✗")</f>
        <v>✗</v>
      </c>
      <c r="P347" s="23" t="str">
        <f>IFERROR(__xludf.DUMMYFUNCTION("if(REGEXMATCH(join("", "",$F347:$G347),P$1)=TRUE,""✓"",""✗"")"),"✗")</f>
        <v>✗</v>
      </c>
      <c r="Q347" s="23" t="str">
        <f>IFERROR(__xludf.DUMMYFUNCTION("if(REGEXMATCH(join("", "",$F347:$G347),Q$1)=TRUE,""✓"",""✗"")"),"✗")</f>
        <v>✗</v>
      </c>
      <c r="R347" s="23" t="str">
        <f>IFERROR(__xludf.DUMMYFUNCTION("if(REGEXMATCH(join("", "",$F347:$G347),R$1)=TRUE,""✓"",""✗"")"),"✗")</f>
        <v>✗</v>
      </c>
      <c r="S347" s="23" t="str">
        <f>IFERROR(__xludf.DUMMYFUNCTION("if(REGEXMATCH(join("", "",$F347:$G347),S$1)=TRUE,""✓"",""✗"")"),"✗")</f>
        <v>✗</v>
      </c>
      <c r="T347" s="23" t="str">
        <f>IFERROR(__xludf.DUMMYFUNCTION("if(REGEXMATCH(join("", "",$F347:$G347),T$1)=TRUE,""✓"",""✗"")"),"✗")</f>
        <v>✗</v>
      </c>
      <c r="U347" s="33"/>
      <c r="V347" s="33"/>
      <c r="W347" s="33"/>
      <c r="X347" s="33"/>
      <c r="Y347" s="33"/>
      <c r="Z347" s="33"/>
      <c r="AA347" s="33"/>
      <c r="AB347" s="33"/>
      <c r="AC347" s="33"/>
    </row>
    <row r="348" hidden="1">
      <c r="A348" s="17" t="s">
        <v>302</v>
      </c>
      <c r="B348" s="33"/>
      <c r="C348" s="33"/>
      <c r="D348" s="33"/>
      <c r="E348" s="33"/>
      <c r="F348" s="33"/>
      <c r="G348" s="33"/>
      <c r="H348" s="23" t="str">
        <f>IFERROR(__xludf.DUMMYFUNCTION("if(REGEXMATCH(join("", "",$F348:$G348),H$1)=TRUE,""✓"",""✗"")"),"✗")</f>
        <v>✗</v>
      </c>
      <c r="I348" s="23" t="str">
        <f>IFERROR(__xludf.DUMMYFUNCTION("if(REGEXMATCH(join("", "",$F348:$G348),I$1)=TRUE,""✓"",""✗"")"),"✗")</f>
        <v>✗</v>
      </c>
      <c r="J348" s="23" t="str">
        <f>IFERROR(__xludf.DUMMYFUNCTION("if(REGEXMATCH(join("", "",$F348:$G348),J$1)=TRUE,""✓"",""✗"")"),"✗")</f>
        <v>✗</v>
      </c>
      <c r="K348" s="23" t="str">
        <f>IFERROR(__xludf.DUMMYFUNCTION("if(REGEXMATCH(join("", "",$F348:$G348),K$1)=TRUE,""✓"",""✗"")"),"✗")</f>
        <v>✗</v>
      </c>
      <c r="L348" s="23" t="str">
        <f>IFERROR(__xludf.DUMMYFUNCTION("if(REGEXMATCH(join("", "",$F348:$G348),L$1)=TRUE,""✓"",""✗"")"),"✗")</f>
        <v>✗</v>
      </c>
      <c r="M348" s="23" t="str">
        <f>IFERROR(__xludf.DUMMYFUNCTION("if(REGEXMATCH(join("", "",$F348:$G348),M$1)=TRUE,""✓"",""✗"")"),"✗")</f>
        <v>✗</v>
      </c>
      <c r="N348" s="23" t="str">
        <f>IFERROR(__xludf.DUMMYFUNCTION("if(REGEXMATCH(join("", "",$F348:$G348),N$1)=TRUE,""✓"",""✗"")"),"✗")</f>
        <v>✗</v>
      </c>
      <c r="O348" s="23" t="str">
        <f>IFERROR(__xludf.DUMMYFUNCTION("if(REGEXMATCH(join("", "",$F348:$G348),O$1)=TRUE,""✓"",""✗"")"),"✗")</f>
        <v>✗</v>
      </c>
      <c r="P348" s="23" t="str">
        <f>IFERROR(__xludf.DUMMYFUNCTION("if(REGEXMATCH(join("", "",$F348:$G348),P$1)=TRUE,""✓"",""✗"")"),"✗")</f>
        <v>✗</v>
      </c>
      <c r="Q348" s="23" t="str">
        <f>IFERROR(__xludf.DUMMYFUNCTION("if(REGEXMATCH(join("", "",$F348:$G348),Q$1)=TRUE,""✓"",""✗"")"),"✗")</f>
        <v>✗</v>
      </c>
      <c r="R348" s="23" t="str">
        <f>IFERROR(__xludf.DUMMYFUNCTION("if(REGEXMATCH(join("", "",$F348:$G348),R$1)=TRUE,""✓"",""✗"")"),"✗")</f>
        <v>✗</v>
      </c>
      <c r="S348" s="23" t="str">
        <f>IFERROR(__xludf.DUMMYFUNCTION("if(REGEXMATCH(join("", "",$F348:$G348),S$1)=TRUE,""✓"",""✗"")"),"✗")</f>
        <v>✗</v>
      </c>
      <c r="T348" s="23" t="str">
        <f>IFERROR(__xludf.DUMMYFUNCTION("if(REGEXMATCH(join("", "",$F348:$G348),T$1)=TRUE,""✓"",""✗"")"),"✗")</f>
        <v>✗</v>
      </c>
      <c r="U348" s="33"/>
      <c r="V348" s="33"/>
      <c r="W348" s="33"/>
      <c r="X348" s="33"/>
      <c r="Y348" s="33"/>
      <c r="Z348" s="33"/>
      <c r="AA348" s="33"/>
      <c r="AB348" s="33"/>
      <c r="AC348" s="33"/>
    </row>
    <row r="349" hidden="1">
      <c r="A349" s="17" t="s">
        <v>302</v>
      </c>
      <c r="B349" s="33"/>
      <c r="C349" s="33"/>
      <c r="D349" s="33"/>
      <c r="E349" s="33"/>
      <c r="F349" s="33"/>
      <c r="G349" s="33"/>
      <c r="H349" s="23" t="str">
        <f>IFERROR(__xludf.DUMMYFUNCTION("if(REGEXMATCH(join("", "",$F349:$G349),H$1)=TRUE,""✓"",""✗"")"),"✗")</f>
        <v>✗</v>
      </c>
      <c r="I349" s="23" t="str">
        <f>IFERROR(__xludf.DUMMYFUNCTION("if(REGEXMATCH(join("", "",$F349:$G349),I$1)=TRUE,""✓"",""✗"")"),"✗")</f>
        <v>✗</v>
      </c>
      <c r="J349" s="23" t="str">
        <f>IFERROR(__xludf.DUMMYFUNCTION("if(REGEXMATCH(join("", "",$F349:$G349),J$1)=TRUE,""✓"",""✗"")"),"✗")</f>
        <v>✗</v>
      </c>
      <c r="K349" s="23" t="str">
        <f>IFERROR(__xludf.DUMMYFUNCTION("if(REGEXMATCH(join("", "",$F349:$G349),K$1)=TRUE,""✓"",""✗"")"),"✗")</f>
        <v>✗</v>
      </c>
      <c r="L349" s="23" t="str">
        <f>IFERROR(__xludf.DUMMYFUNCTION("if(REGEXMATCH(join("", "",$F349:$G349),L$1)=TRUE,""✓"",""✗"")"),"✗")</f>
        <v>✗</v>
      </c>
      <c r="M349" s="23" t="str">
        <f>IFERROR(__xludf.DUMMYFUNCTION("if(REGEXMATCH(join("", "",$F349:$G349),M$1)=TRUE,""✓"",""✗"")"),"✗")</f>
        <v>✗</v>
      </c>
      <c r="N349" s="23" t="str">
        <f>IFERROR(__xludf.DUMMYFUNCTION("if(REGEXMATCH(join("", "",$F349:$G349),N$1)=TRUE,""✓"",""✗"")"),"✗")</f>
        <v>✗</v>
      </c>
      <c r="O349" s="23" t="str">
        <f>IFERROR(__xludf.DUMMYFUNCTION("if(REGEXMATCH(join("", "",$F349:$G349),O$1)=TRUE,""✓"",""✗"")"),"✗")</f>
        <v>✗</v>
      </c>
      <c r="P349" s="23" t="str">
        <f>IFERROR(__xludf.DUMMYFUNCTION("if(REGEXMATCH(join("", "",$F349:$G349),P$1)=TRUE,""✓"",""✗"")"),"✗")</f>
        <v>✗</v>
      </c>
      <c r="Q349" s="23" t="str">
        <f>IFERROR(__xludf.DUMMYFUNCTION("if(REGEXMATCH(join("", "",$F349:$G349),Q$1)=TRUE,""✓"",""✗"")"),"✗")</f>
        <v>✗</v>
      </c>
      <c r="R349" s="23" t="str">
        <f>IFERROR(__xludf.DUMMYFUNCTION("if(REGEXMATCH(join("", "",$F349:$G349),R$1)=TRUE,""✓"",""✗"")"),"✗")</f>
        <v>✗</v>
      </c>
      <c r="S349" s="23" t="str">
        <f>IFERROR(__xludf.DUMMYFUNCTION("if(REGEXMATCH(join("", "",$F349:$G349),S$1)=TRUE,""✓"",""✗"")"),"✗")</f>
        <v>✗</v>
      </c>
      <c r="T349" s="23" t="str">
        <f>IFERROR(__xludf.DUMMYFUNCTION("if(REGEXMATCH(join("", "",$F349:$G349),T$1)=TRUE,""✓"",""✗"")"),"✗")</f>
        <v>✗</v>
      </c>
      <c r="U349" s="33"/>
      <c r="V349" s="33"/>
      <c r="W349" s="33"/>
      <c r="X349" s="33"/>
      <c r="Y349" s="33"/>
      <c r="Z349" s="33"/>
      <c r="AA349" s="33"/>
      <c r="AB349" s="33"/>
      <c r="AC349" s="33"/>
    </row>
    <row r="350" hidden="1">
      <c r="A350" s="17" t="s">
        <v>302</v>
      </c>
      <c r="B350" s="33"/>
      <c r="C350" s="33"/>
      <c r="D350" s="33"/>
      <c r="E350" s="33"/>
      <c r="F350" s="33"/>
      <c r="G350" s="33"/>
      <c r="H350" s="23" t="str">
        <f>IFERROR(__xludf.DUMMYFUNCTION("if(REGEXMATCH(join("", "",$F350:$G350),H$1)=TRUE,""✓"",""✗"")"),"✗")</f>
        <v>✗</v>
      </c>
      <c r="I350" s="23" t="str">
        <f>IFERROR(__xludf.DUMMYFUNCTION("if(REGEXMATCH(join("", "",$F350:$G350),I$1)=TRUE,""✓"",""✗"")"),"✗")</f>
        <v>✗</v>
      </c>
      <c r="J350" s="23" t="str">
        <f>IFERROR(__xludf.DUMMYFUNCTION("if(REGEXMATCH(join("", "",$F350:$G350),J$1)=TRUE,""✓"",""✗"")"),"✗")</f>
        <v>✗</v>
      </c>
      <c r="K350" s="23" t="str">
        <f>IFERROR(__xludf.DUMMYFUNCTION("if(REGEXMATCH(join("", "",$F350:$G350),K$1)=TRUE,""✓"",""✗"")"),"✗")</f>
        <v>✗</v>
      </c>
      <c r="L350" s="23" t="str">
        <f>IFERROR(__xludf.DUMMYFUNCTION("if(REGEXMATCH(join("", "",$F350:$G350),L$1)=TRUE,""✓"",""✗"")"),"✗")</f>
        <v>✗</v>
      </c>
      <c r="M350" s="23" t="str">
        <f>IFERROR(__xludf.DUMMYFUNCTION("if(REGEXMATCH(join("", "",$F350:$G350),M$1)=TRUE,""✓"",""✗"")"),"✗")</f>
        <v>✗</v>
      </c>
      <c r="N350" s="23" t="str">
        <f>IFERROR(__xludf.DUMMYFUNCTION("if(REGEXMATCH(join("", "",$F350:$G350),N$1)=TRUE,""✓"",""✗"")"),"✗")</f>
        <v>✗</v>
      </c>
      <c r="O350" s="23" t="str">
        <f>IFERROR(__xludf.DUMMYFUNCTION("if(REGEXMATCH(join("", "",$F350:$G350),O$1)=TRUE,""✓"",""✗"")"),"✗")</f>
        <v>✗</v>
      </c>
      <c r="P350" s="23" t="str">
        <f>IFERROR(__xludf.DUMMYFUNCTION("if(REGEXMATCH(join("", "",$F350:$G350),P$1)=TRUE,""✓"",""✗"")"),"✗")</f>
        <v>✗</v>
      </c>
      <c r="Q350" s="23" t="str">
        <f>IFERROR(__xludf.DUMMYFUNCTION("if(REGEXMATCH(join("", "",$F350:$G350),Q$1)=TRUE,""✓"",""✗"")"),"✗")</f>
        <v>✗</v>
      </c>
      <c r="R350" s="23" t="str">
        <f>IFERROR(__xludf.DUMMYFUNCTION("if(REGEXMATCH(join("", "",$F350:$G350),R$1)=TRUE,""✓"",""✗"")"),"✗")</f>
        <v>✗</v>
      </c>
      <c r="S350" s="23" t="str">
        <f>IFERROR(__xludf.DUMMYFUNCTION("if(REGEXMATCH(join("", "",$F350:$G350),S$1)=TRUE,""✓"",""✗"")"),"✗")</f>
        <v>✗</v>
      </c>
      <c r="T350" s="23" t="str">
        <f>IFERROR(__xludf.DUMMYFUNCTION("if(REGEXMATCH(join("", "",$F350:$G350),T$1)=TRUE,""✓"",""✗"")"),"✗")</f>
        <v>✗</v>
      </c>
      <c r="U350" s="33"/>
      <c r="V350" s="33"/>
      <c r="W350" s="33"/>
      <c r="X350" s="33"/>
      <c r="Y350" s="33"/>
      <c r="Z350" s="33"/>
      <c r="AA350" s="33"/>
      <c r="AB350" s="33"/>
      <c r="AC350" s="33"/>
    </row>
    <row r="351" hidden="1">
      <c r="A351" s="17" t="s">
        <v>302</v>
      </c>
      <c r="B351" s="33"/>
      <c r="C351" s="33"/>
      <c r="D351" s="33"/>
      <c r="E351" s="33"/>
      <c r="F351" s="33"/>
      <c r="G351" s="33"/>
      <c r="H351" s="23" t="str">
        <f>IFERROR(__xludf.DUMMYFUNCTION("if(REGEXMATCH(join("", "",$F351:$G351),H$1)=TRUE,""✓"",""✗"")"),"✗")</f>
        <v>✗</v>
      </c>
      <c r="I351" s="23" t="str">
        <f>IFERROR(__xludf.DUMMYFUNCTION("if(REGEXMATCH(join("", "",$F351:$G351),I$1)=TRUE,""✓"",""✗"")"),"✗")</f>
        <v>✗</v>
      </c>
      <c r="J351" s="23" t="str">
        <f>IFERROR(__xludf.DUMMYFUNCTION("if(REGEXMATCH(join("", "",$F351:$G351),J$1)=TRUE,""✓"",""✗"")"),"✗")</f>
        <v>✗</v>
      </c>
      <c r="K351" s="23" t="str">
        <f>IFERROR(__xludf.DUMMYFUNCTION("if(REGEXMATCH(join("", "",$F351:$G351),K$1)=TRUE,""✓"",""✗"")"),"✗")</f>
        <v>✗</v>
      </c>
      <c r="L351" s="23" t="str">
        <f>IFERROR(__xludf.DUMMYFUNCTION("if(REGEXMATCH(join("", "",$F351:$G351),L$1)=TRUE,""✓"",""✗"")"),"✗")</f>
        <v>✗</v>
      </c>
      <c r="M351" s="23" t="str">
        <f>IFERROR(__xludf.DUMMYFUNCTION("if(REGEXMATCH(join("", "",$F351:$G351),M$1)=TRUE,""✓"",""✗"")"),"✗")</f>
        <v>✗</v>
      </c>
      <c r="N351" s="23" t="str">
        <f>IFERROR(__xludf.DUMMYFUNCTION("if(REGEXMATCH(join("", "",$F351:$G351),N$1)=TRUE,""✓"",""✗"")"),"✗")</f>
        <v>✗</v>
      </c>
      <c r="O351" s="23" t="str">
        <f>IFERROR(__xludf.DUMMYFUNCTION("if(REGEXMATCH(join("", "",$F351:$G351),O$1)=TRUE,""✓"",""✗"")"),"✗")</f>
        <v>✗</v>
      </c>
      <c r="P351" s="23" t="str">
        <f>IFERROR(__xludf.DUMMYFUNCTION("if(REGEXMATCH(join("", "",$F351:$G351),P$1)=TRUE,""✓"",""✗"")"),"✗")</f>
        <v>✗</v>
      </c>
      <c r="Q351" s="23" t="str">
        <f>IFERROR(__xludf.DUMMYFUNCTION("if(REGEXMATCH(join("", "",$F351:$G351),Q$1)=TRUE,""✓"",""✗"")"),"✗")</f>
        <v>✗</v>
      </c>
      <c r="R351" s="23" t="str">
        <f>IFERROR(__xludf.DUMMYFUNCTION("if(REGEXMATCH(join("", "",$F351:$G351),R$1)=TRUE,""✓"",""✗"")"),"✗")</f>
        <v>✗</v>
      </c>
      <c r="S351" s="23" t="str">
        <f>IFERROR(__xludf.DUMMYFUNCTION("if(REGEXMATCH(join("", "",$F351:$G351),S$1)=TRUE,""✓"",""✗"")"),"✗")</f>
        <v>✗</v>
      </c>
      <c r="T351" s="23" t="str">
        <f>IFERROR(__xludf.DUMMYFUNCTION("if(REGEXMATCH(join("", "",$F351:$G351),T$1)=TRUE,""✓"",""✗"")"),"✗")</f>
        <v>✗</v>
      </c>
      <c r="U351" s="33"/>
      <c r="V351" s="33"/>
      <c r="W351" s="33"/>
      <c r="X351" s="33"/>
      <c r="Y351" s="33"/>
      <c r="Z351" s="33"/>
      <c r="AA351" s="33"/>
      <c r="AB351" s="33"/>
      <c r="AC351" s="33"/>
    </row>
    <row r="352" hidden="1">
      <c r="A352" s="17" t="s">
        <v>302</v>
      </c>
      <c r="B352" s="33"/>
      <c r="C352" s="33"/>
      <c r="D352" s="33"/>
      <c r="E352" s="33"/>
      <c r="F352" s="33"/>
      <c r="G352" s="33"/>
      <c r="H352" s="23" t="str">
        <f>IFERROR(__xludf.DUMMYFUNCTION("if(REGEXMATCH(join("", "",$F352:$G352),H$1)=TRUE,""✓"",""✗"")"),"✗")</f>
        <v>✗</v>
      </c>
      <c r="I352" s="23" t="str">
        <f>IFERROR(__xludf.DUMMYFUNCTION("if(REGEXMATCH(join("", "",$F352:$G352),I$1)=TRUE,""✓"",""✗"")"),"✗")</f>
        <v>✗</v>
      </c>
      <c r="J352" s="23" t="str">
        <f>IFERROR(__xludf.DUMMYFUNCTION("if(REGEXMATCH(join("", "",$F352:$G352),J$1)=TRUE,""✓"",""✗"")"),"✗")</f>
        <v>✗</v>
      </c>
      <c r="K352" s="23" t="str">
        <f>IFERROR(__xludf.DUMMYFUNCTION("if(REGEXMATCH(join("", "",$F352:$G352),K$1)=TRUE,""✓"",""✗"")"),"✗")</f>
        <v>✗</v>
      </c>
      <c r="L352" s="23" t="str">
        <f>IFERROR(__xludf.DUMMYFUNCTION("if(REGEXMATCH(join("", "",$F352:$G352),L$1)=TRUE,""✓"",""✗"")"),"✗")</f>
        <v>✗</v>
      </c>
      <c r="M352" s="23" t="str">
        <f>IFERROR(__xludf.DUMMYFUNCTION("if(REGEXMATCH(join("", "",$F352:$G352),M$1)=TRUE,""✓"",""✗"")"),"✗")</f>
        <v>✗</v>
      </c>
      <c r="N352" s="23" t="str">
        <f>IFERROR(__xludf.DUMMYFUNCTION("if(REGEXMATCH(join("", "",$F352:$G352),N$1)=TRUE,""✓"",""✗"")"),"✗")</f>
        <v>✗</v>
      </c>
      <c r="O352" s="23" t="str">
        <f>IFERROR(__xludf.DUMMYFUNCTION("if(REGEXMATCH(join("", "",$F352:$G352),O$1)=TRUE,""✓"",""✗"")"),"✗")</f>
        <v>✗</v>
      </c>
      <c r="P352" s="23" t="str">
        <f>IFERROR(__xludf.DUMMYFUNCTION("if(REGEXMATCH(join("", "",$F352:$G352),P$1)=TRUE,""✓"",""✗"")"),"✗")</f>
        <v>✗</v>
      </c>
      <c r="Q352" s="23" t="str">
        <f>IFERROR(__xludf.DUMMYFUNCTION("if(REGEXMATCH(join("", "",$F352:$G352),Q$1)=TRUE,""✓"",""✗"")"),"✗")</f>
        <v>✗</v>
      </c>
      <c r="R352" s="23" t="str">
        <f>IFERROR(__xludf.DUMMYFUNCTION("if(REGEXMATCH(join("", "",$F352:$G352),R$1)=TRUE,""✓"",""✗"")"),"✗")</f>
        <v>✗</v>
      </c>
      <c r="S352" s="23" t="str">
        <f>IFERROR(__xludf.DUMMYFUNCTION("if(REGEXMATCH(join("", "",$F352:$G352),S$1)=TRUE,""✓"",""✗"")"),"✗")</f>
        <v>✗</v>
      </c>
      <c r="T352" s="23" t="str">
        <f>IFERROR(__xludf.DUMMYFUNCTION("if(REGEXMATCH(join("", "",$F352:$G352),T$1)=TRUE,""✓"",""✗"")"),"✗")</f>
        <v>✗</v>
      </c>
      <c r="U352" s="33"/>
      <c r="V352" s="33"/>
      <c r="W352" s="33"/>
      <c r="X352" s="33"/>
      <c r="Y352" s="33"/>
      <c r="Z352" s="33"/>
      <c r="AA352" s="33"/>
      <c r="AB352" s="33"/>
      <c r="AC352" s="33"/>
    </row>
    <row r="353" hidden="1">
      <c r="A353" s="17" t="s">
        <v>302</v>
      </c>
      <c r="B353" s="33"/>
      <c r="C353" s="33"/>
      <c r="D353" s="33"/>
      <c r="E353" s="33"/>
      <c r="F353" s="33"/>
      <c r="G353" s="33"/>
      <c r="H353" s="23" t="str">
        <f>IFERROR(__xludf.DUMMYFUNCTION("if(REGEXMATCH(join("", "",$F353:$G353),H$1)=TRUE,""✓"",""✗"")"),"✗")</f>
        <v>✗</v>
      </c>
      <c r="I353" s="23" t="str">
        <f>IFERROR(__xludf.DUMMYFUNCTION("if(REGEXMATCH(join("", "",$F353:$G353),I$1)=TRUE,""✓"",""✗"")"),"✗")</f>
        <v>✗</v>
      </c>
      <c r="J353" s="23" t="str">
        <f>IFERROR(__xludf.DUMMYFUNCTION("if(REGEXMATCH(join("", "",$F353:$G353),J$1)=TRUE,""✓"",""✗"")"),"✗")</f>
        <v>✗</v>
      </c>
      <c r="K353" s="23" t="str">
        <f>IFERROR(__xludf.DUMMYFUNCTION("if(REGEXMATCH(join("", "",$F353:$G353),K$1)=TRUE,""✓"",""✗"")"),"✗")</f>
        <v>✗</v>
      </c>
      <c r="L353" s="23" t="str">
        <f>IFERROR(__xludf.DUMMYFUNCTION("if(REGEXMATCH(join("", "",$F353:$G353),L$1)=TRUE,""✓"",""✗"")"),"✗")</f>
        <v>✗</v>
      </c>
      <c r="M353" s="23" t="str">
        <f>IFERROR(__xludf.DUMMYFUNCTION("if(REGEXMATCH(join("", "",$F353:$G353),M$1)=TRUE,""✓"",""✗"")"),"✗")</f>
        <v>✗</v>
      </c>
      <c r="N353" s="23" t="str">
        <f>IFERROR(__xludf.DUMMYFUNCTION("if(REGEXMATCH(join("", "",$F353:$G353),N$1)=TRUE,""✓"",""✗"")"),"✗")</f>
        <v>✗</v>
      </c>
      <c r="O353" s="23" t="str">
        <f>IFERROR(__xludf.DUMMYFUNCTION("if(REGEXMATCH(join("", "",$F353:$G353),O$1)=TRUE,""✓"",""✗"")"),"✗")</f>
        <v>✗</v>
      </c>
      <c r="P353" s="23" t="str">
        <f>IFERROR(__xludf.DUMMYFUNCTION("if(REGEXMATCH(join("", "",$F353:$G353),P$1)=TRUE,""✓"",""✗"")"),"✗")</f>
        <v>✗</v>
      </c>
      <c r="Q353" s="23" t="str">
        <f>IFERROR(__xludf.DUMMYFUNCTION("if(REGEXMATCH(join("", "",$F353:$G353),Q$1)=TRUE,""✓"",""✗"")"),"✗")</f>
        <v>✗</v>
      </c>
      <c r="R353" s="23" t="str">
        <f>IFERROR(__xludf.DUMMYFUNCTION("if(REGEXMATCH(join("", "",$F353:$G353),R$1)=TRUE,""✓"",""✗"")"),"✗")</f>
        <v>✗</v>
      </c>
      <c r="S353" s="23" t="str">
        <f>IFERROR(__xludf.DUMMYFUNCTION("if(REGEXMATCH(join("", "",$F353:$G353),S$1)=TRUE,""✓"",""✗"")"),"✗")</f>
        <v>✗</v>
      </c>
      <c r="T353" s="23" t="str">
        <f>IFERROR(__xludf.DUMMYFUNCTION("if(REGEXMATCH(join("", "",$F353:$G353),T$1)=TRUE,""✓"",""✗"")"),"✗")</f>
        <v>✗</v>
      </c>
      <c r="U353" s="33"/>
      <c r="V353" s="33"/>
      <c r="W353" s="33"/>
      <c r="X353" s="33"/>
      <c r="Y353" s="33"/>
      <c r="Z353" s="33"/>
      <c r="AA353" s="33"/>
      <c r="AB353" s="33"/>
      <c r="AC353" s="33"/>
    </row>
    <row r="354" hidden="1">
      <c r="A354" s="17" t="s">
        <v>302</v>
      </c>
      <c r="B354" s="33"/>
      <c r="C354" s="33"/>
      <c r="D354" s="33"/>
      <c r="E354" s="33"/>
      <c r="F354" s="33"/>
      <c r="G354" s="33"/>
      <c r="H354" s="23" t="str">
        <f>IFERROR(__xludf.DUMMYFUNCTION("if(REGEXMATCH(join("", "",$F354:$G354),H$1)=TRUE,""✓"",""✗"")"),"✗")</f>
        <v>✗</v>
      </c>
      <c r="I354" s="23" t="str">
        <f>IFERROR(__xludf.DUMMYFUNCTION("if(REGEXMATCH(join("", "",$F354:$G354),I$1)=TRUE,""✓"",""✗"")"),"✗")</f>
        <v>✗</v>
      </c>
      <c r="J354" s="23" t="str">
        <f>IFERROR(__xludf.DUMMYFUNCTION("if(REGEXMATCH(join("", "",$F354:$G354),J$1)=TRUE,""✓"",""✗"")"),"✗")</f>
        <v>✗</v>
      </c>
      <c r="K354" s="23" t="str">
        <f>IFERROR(__xludf.DUMMYFUNCTION("if(REGEXMATCH(join("", "",$F354:$G354),K$1)=TRUE,""✓"",""✗"")"),"✗")</f>
        <v>✗</v>
      </c>
      <c r="L354" s="23" t="str">
        <f>IFERROR(__xludf.DUMMYFUNCTION("if(REGEXMATCH(join("", "",$F354:$G354),L$1)=TRUE,""✓"",""✗"")"),"✗")</f>
        <v>✗</v>
      </c>
      <c r="M354" s="23" t="str">
        <f>IFERROR(__xludf.DUMMYFUNCTION("if(REGEXMATCH(join("", "",$F354:$G354),M$1)=TRUE,""✓"",""✗"")"),"✗")</f>
        <v>✗</v>
      </c>
      <c r="N354" s="23" t="str">
        <f>IFERROR(__xludf.DUMMYFUNCTION("if(REGEXMATCH(join("", "",$F354:$G354),N$1)=TRUE,""✓"",""✗"")"),"✗")</f>
        <v>✗</v>
      </c>
      <c r="O354" s="23" t="str">
        <f>IFERROR(__xludf.DUMMYFUNCTION("if(REGEXMATCH(join("", "",$F354:$G354),O$1)=TRUE,""✓"",""✗"")"),"✗")</f>
        <v>✗</v>
      </c>
      <c r="P354" s="23" t="str">
        <f>IFERROR(__xludf.DUMMYFUNCTION("if(REGEXMATCH(join("", "",$F354:$G354),P$1)=TRUE,""✓"",""✗"")"),"✗")</f>
        <v>✗</v>
      </c>
      <c r="Q354" s="23" t="str">
        <f>IFERROR(__xludf.DUMMYFUNCTION("if(REGEXMATCH(join("", "",$F354:$G354),Q$1)=TRUE,""✓"",""✗"")"),"✗")</f>
        <v>✗</v>
      </c>
      <c r="R354" s="23" t="str">
        <f>IFERROR(__xludf.DUMMYFUNCTION("if(REGEXMATCH(join("", "",$F354:$G354),R$1)=TRUE,""✓"",""✗"")"),"✗")</f>
        <v>✗</v>
      </c>
      <c r="S354" s="23" t="str">
        <f>IFERROR(__xludf.DUMMYFUNCTION("if(REGEXMATCH(join("", "",$F354:$G354),S$1)=TRUE,""✓"",""✗"")"),"✗")</f>
        <v>✗</v>
      </c>
      <c r="T354" s="23" t="str">
        <f>IFERROR(__xludf.DUMMYFUNCTION("if(REGEXMATCH(join("", "",$F354:$G354),T$1)=TRUE,""✓"",""✗"")"),"✗")</f>
        <v>✗</v>
      </c>
      <c r="U354" s="33"/>
      <c r="V354" s="33"/>
      <c r="W354" s="33"/>
      <c r="X354" s="33"/>
      <c r="Y354" s="33"/>
      <c r="Z354" s="33"/>
      <c r="AA354" s="33"/>
      <c r="AB354" s="33"/>
      <c r="AC354" s="33"/>
    </row>
    <row r="355" hidden="1">
      <c r="A355" s="17" t="s">
        <v>302</v>
      </c>
      <c r="B355" s="33"/>
      <c r="C355" s="33"/>
      <c r="D355" s="33"/>
      <c r="E355" s="33"/>
      <c r="F355" s="33"/>
      <c r="G355" s="33"/>
      <c r="H355" s="23" t="str">
        <f>IFERROR(__xludf.DUMMYFUNCTION("if(REGEXMATCH(join("", "",$F355:$G355),H$1)=TRUE,""✓"",""✗"")"),"✗")</f>
        <v>✗</v>
      </c>
      <c r="I355" s="23" t="str">
        <f>IFERROR(__xludf.DUMMYFUNCTION("if(REGEXMATCH(join("", "",$F355:$G355),I$1)=TRUE,""✓"",""✗"")"),"✗")</f>
        <v>✗</v>
      </c>
      <c r="J355" s="23" t="str">
        <f>IFERROR(__xludf.DUMMYFUNCTION("if(REGEXMATCH(join("", "",$F355:$G355),J$1)=TRUE,""✓"",""✗"")"),"✗")</f>
        <v>✗</v>
      </c>
      <c r="K355" s="23" t="str">
        <f>IFERROR(__xludf.DUMMYFUNCTION("if(REGEXMATCH(join("", "",$F355:$G355),K$1)=TRUE,""✓"",""✗"")"),"✗")</f>
        <v>✗</v>
      </c>
      <c r="L355" s="23" t="str">
        <f>IFERROR(__xludf.DUMMYFUNCTION("if(REGEXMATCH(join("", "",$F355:$G355),L$1)=TRUE,""✓"",""✗"")"),"✗")</f>
        <v>✗</v>
      </c>
      <c r="M355" s="23" t="str">
        <f>IFERROR(__xludf.DUMMYFUNCTION("if(REGEXMATCH(join("", "",$F355:$G355),M$1)=TRUE,""✓"",""✗"")"),"✗")</f>
        <v>✗</v>
      </c>
      <c r="N355" s="23" t="str">
        <f>IFERROR(__xludf.DUMMYFUNCTION("if(REGEXMATCH(join("", "",$F355:$G355),N$1)=TRUE,""✓"",""✗"")"),"✗")</f>
        <v>✗</v>
      </c>
      <c r="O355" s="23" t="str">
        <f>IFERROR(__xludf.DUMMYFUNCTION("if(REGEXMATCH(join("", "",$F355:$G355),O$1)=TRUE,""✓"",""✗"")"),"✗")</f>
        <v>✗</v>
      </c>
      <c r="P355" s="23" t="str">
        <f>IFERROR(__xludf.DUMMYFUNCTION("if(REGEXMATCH(join("", "",$F355:$G355),P$1)=TRUE,""✓"",""✗"")"),"✗")</f>
        <v>✗</v>
      </c>
      <c r="Q355" s="23" t="str">
        <f>IFERROR(__xludf.DUMMYFUNCTION("if(REGEXMATCH(join("", "",$F355:$G355),Q$1)=TRUE,""✓"",""✗"")"),"✗")</f>
        <v>✗</v>
      </c>
      <c r="R355" s="23" t="str">
        <f>IFERROR(__xludf.DUMMYFUNCTION("if(REGEXMATCH(join("", "",$F355:$G355),R$1)=TRUE,""✓"",""✗"")"),"✗")</f>
        <v>✗</v>
      </c>
      <c r="S355" s="23" t="str">
        <f>IFERROR(__xludf.DUMMYFUNCTION("if(REGEXMATCH(join("", "",$F355:$G355),S$1)=TRUE,""✓"",""✗"")"),"✗")</f>
        <v>✗</v>
      </c>
      <c r="T355" s="23" t="str">
        <f>IFERROR(__xludf.DUMMYFUNCTION("if(REGEXMATCH(join("", "",$F355:$G355),T$1)=TRUE,""✓"",""✗"")"),"✗")</f>
        <v>✗</v>
      </c>
      <c r="U355" s="33"/>
      <c r="V355" s="33"/>
      <c r="W355" s="33"/>
      <c r="X355" s="33"/>
      <c r="Y355" s="33"/>
      <c r="Z355" s="33"/>
      <c r="AA355" s="33"/>
      <c r="AB355" s="33"/>
      <c r="AC355" s="33"/>
    </row>
    <row r="356" hidden="1">
      <c r="A356" s="17" t="s">
        <v>302</v>
      </c>
      <c r="B356" s="33"/>
      <c r="C356" s="33"/>
      <c r="D356" s="33"/>
      <c r="E356" s="33"/>
      <c r="F356" s="33"/>
      <c r="G356" s="33"/>
      <c r="H356" s="23" t="str">
        <f>IFERROR(__xludf.DUMMYFUNCTION("if(REGEXMATCH(join("", "",$F356:$G356),H$1)=TRUE,""✓"",""✗"")"),"✗")</f>
        <v>✗</v>
      </c>
      <c r="I356" s="23" t="str">
        <f>IFERROR(__xludf.DUMMYFUNCTION("if(REGEXMATCH(join("", "",$F356:$G356),I$1)=TRUE,""✓"",""✗"")"),"✗")</f>
        <v>✗</v>
      </c>
      <c r="J356" s="23" t="str">
        <f>IFERROR(__xludf.DUMMYFUNCTION("if(REGEXMATCH(join("", "",$F356:$G356),J$1)=TRUE,""✓"",""✗"")"),"✗")</f>
        <v>✗</v>
      </c>
      <c r="K356" s="23" t="str">
        <f>IFERROR(__xludf.DUMMYFUNCTION("if(REGEXMATCH(join("", "",$F356:$G356),K$1)=TRUE,""✓"",""✗"")"),"✗")</f>
        <v>✗</v>
      </c>
      <c r="L356" s="23" t="str">
        <f>IFERROR(__xludf.DUMMYFUNCTION("if(REGEXMATCH(join("", "",$F356:$G356),L$1)=TRUE,""✓"",""✗"")"),"✗")</f>
        <v>✗</v>
      </c>
      <c r="M356" s="23" t="str">
        <f>IFERROR(__xludf.DUMMYFUNCTION("if(REGEXMATCH(join("", "",$F356:$G356),M$1)=TRUE,""✓"",""✗"")"),"✗")</f>
        <v>✗</v>
      </c>
      <c r="N356" s="23" t="str">
        <f>IFERROR(__xludf.DUMMYFUNCTION("if(REGEXMATCH(join("", "",$F356:$G356),N$1)=TRUE,""✓"",""✗"")"),"✗")</f>
        <v>✗</v>
      </c>
      <c r="O356" s="23" t="str">
        <f>IFERROR(__xludf.DUMMYFUNCTION("if(REGEXMATCH(join("", "",$F356:$G356),O$1)=TRUE,""✓"",""✗"")"),"✗")</f>
        <v>✗</v>
      </c>
      <c r="P356" s="23" t="str">
        <f>IFERROR(__xludf.DUMMYFUNCTION("if(REGEXMATCH(join("", "",$F356:$G356),P$1)=TRUE,""✓"",""✗"")"),"✗")</f>
        <v>✗</v>
      </c>
      <c r="Q356" s="23" t="str">
        <f>IFERROR(__xludf.DUMMYFUNCTION("if(REGEXMATCH(join("", "",$F356:$G356),Q$1)=TRUE,""✓"",""✗"")"),"✗")</f>
        <v>✗</v>
      </c>
      <c r="R356" s="23" t="str">
        <f>IFERROR(__xludf.DUMMYFUNCTION("if(REGEXMATCH(join("", "",$F356:$G356),R$1)=TRUE,""✓"",""✗"")"),"✗")</f>
        <v>✗</v>
      </c>
      <c r="S356" s="23" t="str">
        <f>IFERROR(__xludf.DUMMYFUNCTION("if(REGEXMATCH(join("", "",$F356:$G356),S$1)=TRUE,""✓"",""✗"")"),"✗")</f>
        <v>✗</v>
      </c>
      <c r="T356" s="23" t="str">
        <f>IFERROR(__xludf.DUMMYFUNCTION("if(REGEXMATCH(join("", "",$F356:$G356),T$1)=TRUE,""✓"",""✗"")"),"✗")</f>
        <v>✗</v>
      </c>
      <c r="U356" s="33"/>
      <c r="V356" s="33"/>
      <c r="W356" s="33"/>
      <c r="X356" s="33"/>
      <c r="Y356" s="33"/>
      <c r="Z356" s="33"/>
      <c r="AA356" s="33"/>
      <c r="AB356" s="33"/>
      <c r="AC356" s="33"/>
    </row>
    <row r="357" hidden="1">
      <c r="A357" s="17" t="s">
        <v>302</v>
      </c>
      <c r="B357" s="33"/>
      <c r="C357" s="33"/>
      <c r="D357" s="33"/>
      <c r="E357" s="33"/>
      <c r="F357" s="33"/>
      <c r="G357" s="33"/>
      <c r="H357" s="23" t="str">
        <f>IFERROR(__xludf.DUMMYFUNCTION("if(REGEXMATCH(join("", "",$F357:$G357),H$1)=TRUE,""✓"",""✗"")"),"✗")</f>
        <v>✗</v>
      </c>
      <c r="I357" s="23" t="str">
        <f>IFERROR(__xludf.DUMMYFUNCTION("if(REGEXMATCH(join("", "",$F357:$G357),I$1)=TRUE,""✓"",""✗"")"),"✗")</f>
        <v>✗</v>
      </c>
      <c r="J357" s="23" t="str">
        <f>IFERROR(__xludf.DUMMYFUNCTION("if(REGEXMATCH(join("", "",$F357:$G357),J$1)=TRUE,""✓"",""✗"")"),"✗")</f>
        <v>✗</v>
      </c>
      <c r="K357" s="23" t="str">
        <f>IFERROR(__xludf.DUMMYFUNCTION("if(REGEXMATCH(join("", "",$F357:$G357),K$1)=TRUE,""✓"",""✗"")"),"✗")</f>
        <v>✗</v>
      </c>
      <c r="L357" s="23" t="str">
        <f>IFERROR(__xludf.DUMMYFUNCTION("if(REGEXMATCH(join("", "",$F357:$G357),L$1)=TRUE,""✓"",""✗"")"),"✗")</f>
        <v>✗</v>
      </c>
      <c r="M357" s="23" t="str">
        <f>IFERROR(__xludf.DUMMYFUNCTION("if(REGEXMATCH(join("", "",$F357:$G357),M$1)=TRUE,""✓"",""✗"")"),"✗")</f>
        <v>✗</v>
      </c>
      <c r="N357" s="23" t="str">
        <f>IFERROR(__xludf.DUMMYFUNCTION("if(REGEXMATCH(join("", "",$F357:$G357),N$1)=TRUE,""✓"",""✗"")"),"✗")</f>
        <v>✗</v>
      </c>
      <c r="O357" s="23" t="str">
        <f>IFERROR(__xludf.DUMMYFUNCTION("if(REGEXMATCH(join("", "",$F357:$G357),O$1)=TRUE,""✓"",""✗"")"),"✗")</f>
        <v>✗</v>
      </c>
      <c r="P357" s="23" t="str">
        <f>IFERROR(__xludf.DUMMYFUNCTION("if(REGEXMATCH(join("", "",$F357:$G357),P$1)=TRUE,""✓"",""✗"")"),"✗")</f>
        <v>✗</v>
      </c>
      <c r="Q357" s="23" t="str">
        <f>IFERROR(__xludf.DUMMYFUNCTION("if(REGEXMATCH(join("", "",$F357:$G357),Q$1)=TRUE,""✓"",""✗"")"),"✗")</f>
        <v>✗</v>
      </c>
      <c r="R357" s="23" t="str">
        <f>IFERROR(__xludf.DUMMYFUNCTION("if(REGEXMATCH(join("", "",$F357:$G357),R$1)=TRUE,""✓"",""✗"")"),"✗")</f>
        <v>✗</v>
      </c>
      <c r="S357" s="23" t="str">
        <f>IFERROR(__xludf.DUMMYFUNCTION("if(REGEXMATCH(join("", "",$F357:$G357),S$1)=TRUE,""✓"",""✗"")"),"✗")</f>
        <v>✗</v>
      </c>
      <c r="T357" s="23" t="str">
        <f>IFERROR(__xludf.DUMMYFUNCTION("if(REGEXMATCH(join("", "",$F357:$G357),T$1)=TRUE,""✓"",""✗"")"),"✗")</f>
        <v>✗</v>
      </c>
      <c r="U357" s="33"/>
      <c r="V357" s="33"/>
      <c r="W357" s="33"/>
      <c r="X357" s="33"/>
      <c r="Y357" s="33"/>
      <c r="Z357" s="33"/>
      <c r="AA357" s="33"/>
      <c r="AB357" s="33"/>
      <c r="AC357" s="33"/>
    </row>
    <row r="358" hidden="1">
      <c r="A358" s="17" t="s">
        <v>302</v>
      </c>
      <c r="B358" s="33"/>
      <c r="C358" s="33"/>
      <c r="D358" s="33"/>
      <c r="E358" s="33"/>
      <c r="F358" s="33"/>
      <c r="G358" s="33"/>
      <c r="H358" s="23" t="str">
        <f>IFERROR(__xludf.DUMMYFUNCTION("if(REGEXMATCH(join("", "",$F358:$G358),H$1)=TRUE,""✓"",""✗"")"),"✗")</f>
        <v>✗</v>
      </c>
      <c r="I358" s="23" t="str">
        <f>IFERROR(__xludf.DUMMYFUNCTION("if(REGEXMATCH(join("", "",$F358:$G358),I$1)=TRUE,""✓"",""✗"")"),"✗")</f>
        <v>✗</v>
      </c>
      <c r="J358" s="23" t="str">
        <f>IFERROR(__xludf.DUMMYFUNCTION("if(REGEXMATCH(join("", "",$F358:$G358),J$1)=TRUE,""✓"",""✗"")"),"✗")</f>
        <v>✗</v>
      </c>
      <c r="K358" s="23" t="str">
        <f>IFERROR(__xludf.DUMMYFUNCTION("if(REGEXMATCH(join("", "",$F358:$G358),K$1)=TRUE,""✓"",""✗"")"),"✗")</f>
        <v>✗</v>
      </c>
      <c r="L358" s="23" t="str">
        <f>IFERROR(__xludf.DUMMYFUNCTION("if(REGEXMATCH(join("", "",$F358:$G358),L$1)=TRUE,""✓"",""✗"")"),"✗")</f>
        <v>✗</v>
      </c>
      <c r="M358" s="23" t="str">
        <f>IFERROR(__xludf.DUMMYFUNCTION("if(REGEXMATCH(join("", "",$F358:$G358),M$1)=TRUE,""✓"",""✗"")"),"✗")</f>
        <v>✗</v>
      </c>
      <c r="N358" s="23" t="str">
        <f>IFERROR(__xludf.DUMMYFUNCTION("if(REGEXMATCH(join("", "",$F358:$G358),N$1)=TRUE,""✓"",""✗"")"),"✗")</f>
        <v>✗</v>
      </c>
      <c r="O358" s="23" t="str">
        <f>IFERROR(__xludf.DUMMYFUNCTION("if(REGEXMATCH(join("", "",$F358:$G358),O$1)=TRUE,""✓"",""✗"")"),"✗")</f>
        <v>✗</v>
      </c>
      <c r="P358" s="23" t="str">
        <f>IFERROR(__xludf.DUMMYFUNCTION("if(REGEXMATCH(join("", "",$F358:$G358),P$1)=TRUE,""✓"",""✗"")"),"✗")</f>
        <v>✗</v>
      </c>
      <c r="Q358" s="23" t="str">
        <f>IFERROR(__xludf.DUMMYFUNCTION("if(REGEXMATCH(join("", "",$F358:$G358),Q$1)=TRUE,""✓"",""✗"")"),"✗")</f>
        <v>✗</v>
      </c>
      <c r="R358" s="23" t="str">
        <f>IFERROR(__xludf.DUMMYFUNCTION("if(REGEXMATCH(join("", "",$F358:$G358),R$1)=TRUE,""✓"",""✗"")"),"✗")</f>
        <v>✗</v>
      </c>
      <c r="S358" s="23" t="str">
        <f>IFERROR(__xludf.DUMMYFUNCTION("if(REGEXMATCH(join("", "",$F358:$G358),S$1)=TRUE,""✓"",""✗"")"),"✗")</f>
        <v>✗</v>
      </c>
      <c r="T358" s="23" t="str">
        <f>IFERROR(__xludf.DUMMYFUNCTION("if(REGEXMATCH(join("", "",$F358:$G358),T$1)=TRUE,""✓"",""✗"")"),"✗")</f>
        <v>✗</v>
      </c>
      <c r="U358" s="33"/>
      <c r="V358" s="33"/>
      <c r="W358" s="33"/>
      <c r="X358" s="33"/>
      <c r="Y358" s="33"/>
      <c r="Z358" s="33"/>
      <c r="AA358" s="33"/>
      <c r="AB358" s="33"/>
      <c r="AC358" s="33"/>
    </row>
    <row r="359" hidden="1">
      <c r="A359" s="17" t="s">
        <v>302</v>
      </c>
      <c r="B359" s="33"/>
      <c r="C359" s="33"/>
      <c r="D359" s="33"/>
      <c r="E359" s="33"/>
      <c r="F359" s="33"/>
      <c r="G359" s="33"/>
      <c r="H359" s="23" t="str">
        <f>IFERROR(__xludf.DUMMYFUNCTION("if(REGEXMATCH(join("", "",$F359:$G359),H$1)=TRUE,""✓"",""✗"")"),"✗")</f>
        <v>✗</v>
      </c>
      <c r="I359" s="23" t="str">
        <f>IFERROR(__xludf.DUMMYFUNCTION("if(REGEXMATCH(join("", "",$F359:$G359),I$1)=TRUE,""✓"",""✗"")"),"✗")</f>
        <v>✗</v>
      </c>
      <c r="J359" s="23" t="str">
        <f>IFERROR(__xludf.DUMMYFUNCTION("if(REGEXMATCH(join("", "",$F359:$G359),J$1)=TRUE,""✓"",""✗"")"),"✗")</f>
        <v>✗</v>
      </c>
      <c r="K359" s="23" t="str">
        <f>IFERROR(__xludf.DUMMYFUNCTION("if(REGEXMATCH(join("", "",$F359:$G359),K$1)=TRUE,""✓"",""✗"")"),"✗")</f>
        <v>✗</v>
      </c>
      <c r="L359" s="23" t="str">
        <f>IFERROR(__xludf.DUMMYFUNCTION("if(REGEXMATCH(join("", "",$F359:$G359),L$1)=TRUE,""✓"",""✗"")"),"✗")</f>
        <v>✗</v>
      </c>
      <c r="M359" s="23" t="str">
        <f>IFERROR(__xludf.DUMMYFUNCTION("if(REGEXMATCH(join("", "",$F359:$G359),M$1)=TRUE,""✓"",""✗"")"),"✗")</f>
        <v>✗</v>
      </c>
      <c r="N359" s="23" t="str">
        <f>IFERROR(__xludf.DUMMYFUNCTION("if(REGEXMATCH(join("", "",$F359:$G359),N$1)=TRUE,""✓"",""✗"")"),"✗")</f>
        <v>✗</v>
      </c>
      <c r="O359" s="23" t="str">
        <f>IFERROR(__xludf.DUMMYFUNCTION("if(REGEXMATCH(join("", "",$F359:$G359),O$1)=TRUE,""✓"",""✗"")"),"✗")</f>
        <v>✗</v>
      </c>
      <c r="P359" s="23" t="str">
        <f>IFERROR(__xludf.DUMMYFUNCTION("if(REGEXMATCH(join("", "",$F359:$G359),P$1)=TRUE,""✓"",""✗"")"),"✗")</f>
        <v>✗</v>
      </c>
      <c r="Q359" s="23" t="str">
        <f>IFERROR(__xludf.DUMMYFUNCTION("if(REGEXMATCH(join("", "",$F359:$G359),Q$1)=TRUE,""✓"",""✗"")"),"✗")</f>
        <v>✗</v>
      </c>
      <c r="R359" s="23" t="str">
        <f>IFERROR(__xludf.DUMMYFUNCTION("if(REGEXMATCH(join("", "",$F359:$G359),R$1)=TRUE,""✓"",""✗"")"),"✗")</f>
        <v>✗</v>
      </c>
      <c r="S359" s="23" t="str">
        <f>IFERROR(__xludf.DUMMYFUNCTION("if(REGEXMATCH(join("", "",$F359:$G359),S$1)=TRUE,""✓"",""✗"")"),"✗")</f>
        <v>✗</v>
      </c>
      <c r="T359" s="23" t="str">
        <f>IFERROR(__xludf.DUMMYFUNCTION("if(REGEXMATCH(join("", "",$F359:$G359),T$1)=TRUE,""✓"",""✗"")"),"✗")</f>
        <v>✗</v>
      </c>
      <c r="U359" s="33"/>
      <c r="V359" s="33"/>
      <c r="W359" s="33"/>
      <c r="X359" s="33"/>
      <c r="Y359" s="33"/>
      <c r="Z359" s="33"/>
      <c r="AA359" s="33"/>
      <c r="AB359" s="33"/>
      <c r="AC359" s="33"/>
    </row>
    <row r="360" hidden="1">
      <c r="A360" s="17" t="s">
        <v>302</v>
      </c>
      <c r="B360" s="33"/>
      <c r="C360" s="33"/>
      <c r="D360" s="33"/>
      <c r="E360" s="33"/>
      <c r="F360" s="33"/>
      <c r="G360" s="33"/>
      <c r="H360" s="23" t="str">
        <f>IFERROR(__xludf.DUMMYFUNCTION("if(REGEXMATCH(join("", "",$F360:$G360),H$1)=TRUE,""✓"",""✗"")"),"✗")</f>
        <v>✗</v>
      </c>
      <c r="I360" s="23" t="str">
        <f>IFERROR(__xludf.DUMMYFUNCTION("if(REGEXMATCH(join("", "",$F360:$G360),I$1)=TRUE,""✓"",""✗"")"),"✗")</f>
        <v>✗</v>
      </c>
      <c r="J360" s="23" t="str">
        <f>IFERROR(__xludf.DUMMYFUNCTION("if(REGEXMATCH(join("", "",$F360:$G360),J$1)=TRUE,""✓"",""✗"")"),"✗")</f>
        <v>✗</v>
      </c>
      <c r="K360" s="23" t="str">
        <f>IFERROR(__xludf.DUMMYFUNCTION("if(REGEXMATCH(join("", "",$F360:$G360),K$1)=TRUE,""✓"",""✗"")"),"✗")</f>
        <v>✗</v>
      </c>
      <c r="L360" s="23" t="str">
        <f>IFERROR(__xludf.DUMMYFUNCTION("if(REGEXMATCH(join("", "",$F360:$G360),L$1)=TRUE,""✓"",""✗"")"),"✗")</f>
        <v>✗</v>
      </c>
      <c r="M360" s="23" t="str">
        <f>IFERROR(__xludf.DUMMYFUNCTION("if(REGEXMATCH(join("", "",$F360:$G360),M$1)=TRUE,""✓"",""✗"")"),"✗")</f>
        <v>✗</v>
      </c>
      <c r="N360" s="23" t="str">
        <f>IFERROR(__xludf.DUMMYFUNCTION("if(REGEXMATCH(join("", "",$F360:$G360),N$1)=TRUE,""✓"",""✗"")"),"✗")</f>
        <v>✗</v>
      </c>
      <c r="O360" s="23" t="str">
        <f>IFERROR(__xludf.DUMMYFUNCTION("if(REGEXMATCH(join("", "",$F360:$G360),O$1)=TRUE,""✓"",""✗"")"),"✗")</f>
        <v>✗</v>
      </c>
      <c r="P360" s="23" t="str">
        <f>IFERROR(__xludf.DUMMYFUNCTION("if(REGEXMATCH(join("", "",$F360:$G360),P$1)=TRUE,""✓"",""✗"")"),"✗")</f>
        <v>✗</v>
      </c>
      <c r="Q360" s="23" t="str">
        <f>IFERROR(__xludf.DUMMYFUNCTION("if(REGEXMATCH(join("", "",$F360:$G360),Q$1)=TRUE,""✓"",""✗"")"),"✗")</f>
        <v>✗</v>
      </c>
      <c r="R360" s="23" t="str">
        <f>IFERROR(__xludf.DUMMYFUNCTION("if(REGEXMATCH(join("", "",$F360:$G360),R$1)=TRUE,""✓"",""✗"")"),"✗")</f>
        <v>✗</v>
      </c>
      <c r="S360" s="23" t="str">
        <f>IFERROR(__xludf.DUMMYFUNCTION("if(REGEXMATCH(join("", "",$F360:$G360),S$1)=TRUE,""✓"",""✗"")"),"✗")</f>
        <v>✗</v>
      </c>
      <c r="T360" s="23" t="str">
        <f>IFERROR(__xludf.DUMMYFUNCTION("if(REGEXMATCH(join("", "",$F360:$G360),T$1)=TRUE,""✓"",""✗"")"),"✗")</f>
        <v>✗</v>
      </c>
      <c r="U360" s="33"/>
      <c r="V360" s="33"/>
      <c r="W360" s="33"/>
      <c r="X360" s="33"/>
      <c r="Y360" s="33"/>
      <c r="Z360" s="33"/>
      <c r="AA360" s="33"/>
      <c r="AB360" s="33"/>
      <c r="AC360" s="33"/>
    </row>
    <row r="361" hidden="1">
      <c r="A361" s="17" t="s">
        <v>302</v>
      </c>
      <c r="B361" s="33"/>
      <c r="C361" s="33"/>
      <c r="D361" s="33"/>
      <c r="E361" s="33"/>
      <c r="F361" s="33"/>
      <c r="G361" s="33"/>
      <c r="H361" s="23" t="str">
        <f>IFERROR(__xludf.DUMMYFUNCTION("if(REGEXMATCH(join("", "",$F361:$G361),H$1)=TRUE,""✓"",""✗"")"),"✗")</f>
        <v>✗</v>
      </c>
      <c r="I361" s="23" t="str">
        <f>IFERROR(__xludf.DUMMYFUNCTION("if(REGEXMATCH(join("", "",$F361:$G361),I$1)=TRUE,""✓"",""✗"")"),"✗")</f>
        <v>✗</v>
      </c>
      <c r="J361" s="23" t="str">
        <f>IFERROR(__xludf.DUMMYFUNCTION("if(REGEXMATCH(join("", "",$F361:$G361),J$1)=TRUE,""✓"",""✗"")"),"✗")</f>
        <v>✗</v>
      </c>
      <c r="K361" s="23" t="str">
        <f>IFERROR(__xludf.DUMMYFUNCTION("if(REGEXMATCH(join("", "",$F361:$G361),K$1)=TRUE,""✓"",""✗"")"),"✗")</f>
        <v>✗</v>
      </c>
      <c r="L361" s="23" t="str">
        <f>IFERROR(__xludf.DUMMYFUNCTION("if(REGEXMATCH(join("", "",$F361:$G361),L$1)=TRUE,""✓"",""✗"")"),"✗")</f>
        <v>✗</v>
      </c>
      <c r="M361" s="23" t="str">
        <f>IFERROR(__xludf.DUMMYFUNCTION("if(REGEXMATCH(join("", "",$F361:$G361),M$1)=TRUE,""✓"",""✗"")"),"✗")</f>
        <v>✗</v>
      </c>
      <c r="N361" s="23" t="str">
        <f>IFERROR(__xludf.DUMMYFUNCTION("if(REGEXMATCH(join("", "",$F361:$G361),N$1)=TRUE,""✓"",""✗"")"),"✗")</f>
        <v>✗</v>
      </c>
      <c r="O361" s="23" t="str">
        <f>IFERROR(__xludf.DUMMYFUNCTION("if(REGEXMATCH(join("", "",$F361:$G361),O$1)=TRUE,""✓"",""✗"")"),"✗")</f>
        <v>✗</v>
      </c>
      <c r="P361" s="23" t="str">
        <f>IFERROR(__xludf.DUMMYFUNCTION("if(REGEXMATCH(join("", "",$F361:$G361),P$1)=TRUE,""✓"",""✗"")"),"✗")</f>
        <v>✗</v>
      </c>
      <c r="Q361" s="23" t="str">
        <f>IFERROR(__xludf.DUMMYFUNCTION("if(REGEXMATCH(join("", "",$F361:$G361),Q$1)=TRUE,""✓"",""✗"")"),"✗")</f>
        <v>✗</v>
      </c>
      <c r="R361" s="23" t="str">
        <f>IFERROR(__xludf.DUMMYFUNCTION("if(REGEXMATCH(join("", "",$F361:$G361),R$1)=TRUE,""✓"",""✗"")"),"✗")</f>
        <v>✗</v>
      </c>
      <c r="S361" s="23" t="str">
        <f>IFERROR(__xludf.DUMMYFUNCTION("if(REGEXMATCH(join("", "",$F361:$G361),S$1)=TRUE,""✓"",""✗"")"),"✗")</f>
        <v>✗</v>
      </c>
      <c r="T361" s="23" t="str">
        <f>IFERROR(__xludf.DUMMYFUNCTION("if(REGEXMATCH(join("", "",$F361:$G361),T$1)=TRUE,""✓"",""✗"")"),"✗")</f>
        <v>✗</v>
      </c>
      <c r="U361" s="33"/>
      <c r="V361" s="33"/>
      <c r="W361" s="33"/>
      <c r="X361" s="33"/>
      <c r="Y361" s="33"/>
      <c r="Z361" s="33"/>
      <c r="AA361" s="33"/>
      <c r="AB361" s="33"/>
      <c r="AC361" s="33"/>
    </row>
    <row r="362" hidden="1">
      <c r="A362" s="17" t="s">
        <v>302</v>
      </c>
      <c r="B362" s="33"/>
      <c r="C362" s="33"/>
      <c r="D362" s="33"/>
      <c r="E362" s="33"/>
      <c r="F362" s="33"/>
      <c r="G362" s="33"/>
      <c r="H362" s="23" t="str">
        <f>IFERROR(__xludf.DUMMYFUNCTION("if(REGEXMATCH(join("", "",$F362:$G362),H$1)=TRUE,""✓"",""✗"")"),"✗")</f>
        <v>✗</v>
      </c>
      <c r="I362" s="23" t="str">
        <f>IFERROR(__xludf.DUMMYFUNCTION("if(REGEXMATCH(join("", "",$F362:$G362),I$1)=TRUE,""✓"",""✗"")"),"✗")</f>
        <v>✗</v>
      </c>
      <c r="J362" s="23" t="str">
        <f>IFERROR(__xludf.DUMMYFUNCTION("if(REGEXMATCH(join("", "",$F362:$G362),J$1)=TRUE,""✓"",""✗"")"),"✗")</f>
        <v>✗</v>
      </c>
      <c r="K362" s="23" t="str">
        <f>IFERROR(__xludf.DUMMYFUNCTION("if(REGEXMATCH(join("", "",$F362:$G362),K$1)=TRUE,""✓"",""✗"")"),"✗")</f>
        <v>✗</v>
      </c>
      <c r="L362" s="23" t="str">
        <f>IFERROR(__xludf.DUMMYFUNCTION("if(REGEXMATCH(join("", "",$F362:$G362),L$1)=TRUE,""✓"",""✗"")"),"✗")</f>
        <v>✗</v>
      </c>
      <c r="M362" s="23" t="str">
        <f>IFERROR(__xludf.DUMMYFUNCTION("if(REGEXMATCH(join("", "",$F362:$G362),M$1)=TRUE,""✓"",""✗"")"),"✗")</f>
        <v>✗</v>
      </c>
      <c r="N362" s="23" t="str">
        <f>IFERROR(__xludf.DUMMYFUNCTION("if(REGEXMATCH(join("", "",$F362:$G362),N$1)=TRUE,""✓"",""✗"")"),"✗")</f>
        <v>✗</v>
      </c>
      <c r="O362" s="23" t="str">
        <f>IFERROR(__xludf.DUMMYFUNCTION("if(REGEXMATCH(join("", "",$F362:$G362),O$1)=TRUE,""✓"",""✗"")"),"✗")</f>
        <v>✗</v>
      </c>
      <c r="P362" s="23" t="str">
        <f>IFERROR(__xludf.DUMMYFUNCTION("if(REGEXMATCH(join("", "",$F362:$G362),P$1)=TRUE,""✓"",""✗"")"),"✗")</f>
        <v>✗</v>
      </c>
      <c r="Q362" s="23" t="str">
        <f>IFERROR(__xludf.DUMMYFUNCTION("if(REGEXMATCH(join("", "",$F362:$G362),Q$1)=TRUE,""✓"",""✗"")"),"✗")</f>
        <v>✗</v>
      </c>
      <c r="R362" s="23" t="str">
        <f>IFERROR(__xludf.DUMMYFUNCTION("if(REGEXMATCH(join("", "",$F362:$G362),R$1)=TRUE,""✓"",""✗"")"),"✗")</f>
        <v>✗</v>
      </c>
      <c r="S362" s="23" t="str">
        <f>IFERROR(__xludf.DUMMYFUNCTION("if(REGEXMATCH(join("", "",$F362:$G362),S$1)=TRUE,""✓"",""✗"")"),"✗")</f>
        <v>✗</v>
      </c>
      <c r="T362" s="23" t="str">
        <f>IFERROR(__xludf.DUMMYFUNCTION("if(REGEXMATCH(join("", "",$F362:$G362),T$1)=TRUE,""✓"",""✗"")"),"✗")</f>
        <v>✗</v>
      </c>
      <c r="U362" s="33"/>
      <c r="V362" s="33"/>
      <c r="W362" s="33"/>
      <c r="X362" s="33"/>
      <c r="Y362" s="33"/>
      <c r="Z362" s="33"/>
      <c r="AA362" s="33"/>
      <c r="AB362" s="33"/>
      <c r="AC362" s="33"/>
    </row>
    <row r="363" hidden="1">
      <c r="A363" s="17" t="s">
        <v>302</v>
      </c>
      <c r="B363" s="33"/>
      <c r="C363" s="33"/>
      <c r="D363" s="33"/>
      <c r="E363" s="33"/>
      <c r="F363" s="33"/>
      <c r="G363" s="33"/>
      <c r="H363" s="23" t="str">
        <f>IFERROR(__xludf.DUMMYFUNCTION("if(REGEXMATCH(join("", "",$F363:$G363),H$1)=TRUE,""✓"",""✗"")"),"✗")</f>
        <v>✗</v>
      </c>
      <c r="I363" s="23" t="str">
        <f>IFERROR(__xludf.DUMMYFUNCTION("if(REGEXMATCH(join("", "",$F363:$G363),I$1)=TRUE,""✓"",""✗"")"),"✗")</f>
        <v>✗</v>
      </c>
      <c r="J363" s="23" t="str">
        <f>IFERROR(__xludf.DUMMYFUNCTION("if(REGEXMATCH(join("", "",$F363:$G363),J$1)=TRUE,""✓"",""✗"")"),"✗")</f>
        <v>✗</v>
      </c>
      <c r="K363" s="23" t="str">
        <f>IFERROR(__xludf.DUMMYFUNCTION("if(REGEXMATCH(join("", "",$F363:$G363),K$1)=TRUE,""✓"",""✗"")"),"✗")</f>
        <v>✗</v>
      </c>
      <c r="L363" s="23" t="str">
        <f>IFERROR(__xludf.DUMMYFUNCTION("if(REGEXMATCH(join("", "",$F363:$G363),L$1)=TRUE,""✓"",""✗"")"),"✗")</f>
        <v>✗</v>
      </c>
      <c r="M363" s="23" t="str">
        <f>IFERROR(__xludf.DUMMYFUNCTION("if(REGEXMATCH(join("", "",$F363:$G363),M$1)=TRUE,""✓"",""✗"")"),"✗")</f>
        <v>✗</v>
      </c>
      <c r="N363" s="23" t="str">
        <f>IFERROR(__xludf.DUMMYFUNCTION("if(REGEXMATCH(join("", "",$F363:$G363),N$1)=TRUE,""✓"",""✗"")"),"✗")</f>
        <v>✗</v>
      </c>
      <c r="O363" s="23" t="str">
        <f>IFERROR(__xludf.DUMMYFUNCTION("if(REGEXMATCH(join("", "",$F363:$G363),O$1)=TRUE,""✓"",""✗"")"),"✗")</f>
        <v>✗</v>
      </c>
      <c r="P363" s="23" t="str">
        <f>IFERROR(__xludf.DUMMYFUNCTION("if(REGEXMATCH(join("", "",$F363:$G363),P$1)=TRUE,""✓"",""✗"")"),"✗")</f>
        <v>✗</v>
      </c>
      <c r="Q363" s="23" t="str">
        <f>IFERROR(__xludf.DUMMYFUNCTION("if(REGEXMATCH(join("", "",$F363:$G363),Q$1)=TRUE,""✓"",""✗"")"),"✗")</f>
        <v>✗</v>
      </c>
      <c r="R363" s="23" t="str">
        <f>IFERROR(__xludf.DUMMYFUNCTION("if(REGEXMATCH(join("", "",$F363:$G363),R$1)=TRUE,""✓"",""✗"")"),"✗")</f>
        <v>✗</v>
      </c>
      <c r="S363" s="23" t="str">
        <f>IFERROR(__xludf.DUMMYFUNCTION("if(REGEXMATCH(join("", "",$F363:$G363),S$1)=TRUE,""✓"",""✗"")"),"✗")</f>
        <v>✗</v>
      </c>
      <c r="T363" s="23" t="str">
        <f>IFERROR(__xludf.DUMMYFUNCTION("if(REGEXMATCH(join("", "",$F363:$G363),T$1)=TRUE,""✓"",""✗"")"),"✗")</f>
        <v>✗</v>
      </c>
      <c r="U363" s="33"/>
      <c r="V363" s="33"/>
      <c r="W363" s="33"/>
      <c r="X363" s="33"/>
      <c r="Y363" s="33"/>
      <c r="Z363" s="33"/>
      <c r="AA363" s="33"/>
      <c r="AB363" s="33"/>
      <c r="AC363" s="33"/>
    </row>
    <row r="364" hidden="1">
      <c r="A364" s="17" t="s">
        <v>302</v>
      </c>
      <c r="B364" s="33"/>
      <c r="C364" s="33"/>
      <c r="D364" s="33"/>
      <c r="E364" s="33"/>
      <c r="F364" s="33"/>
      <c r="G364" s="33"/>
      <c r="H364" s="23" t="str">
        <f>IFERROR(__xludf.DUMMYFUNCTION("if(REGEXMATCH(join("", "",$F364:$G364),H$1)=TRUE,""✓"",""✗"")"),"✗")</f>
        <v>✗</v>
      </c>
      <c r="I364" s="23" t="str">
        <f>IFERROR(__xludf.DUMMYFUNCTION("if(REGEXMATCH(join("", "",$F364:$G364),I$1)=TRUE,""✓"",""✗"")"),"✗")</f>
        <v>✗</v>
      </c>
      <c r="J364" s="23" t="str">
        <f>IFERROR(__xludf.DUMMYFUNCTION("if(REGEXMATCH(join("", "",$F364:$G364),J$1)=TRUE,""✓"",""✗"")"),"✗")</f>
        <v>✗</v>
      </c>
      <c r="K364" s="23" t="str">
        <f>IFERROR(__xludf.DUMMYFUNCTION("if(REGEXMATCH(join("", "",$F364:$G364),K$1)=TRUE,""✓"",""✗"")"),"✗")</f>
        <v>✗</v>
      </c>
      <c r="L364" s="23" t="str">
        <f>IFERROR(__xludf.DUMMYFUNCTION("if(REGEXMATCH(join("", "",$F364:$G364),L$1)=TRUE,""✓"",""✗"")"),"✗")</f>
        <v>✗</v>
      </c>
      <c r="M364" s="23" t="str">
        <f>IFERROR(__xludf.DUMMYFUNCTION("if(REGEXMATCH(join("", "",$F364:$G364),M$1)=TRUE,""✓"",""✗"")"),"✗")</f>
        <v>✗</v>
      </c>
      <c r="N364" s="23" t="str">
        <f>IFERROR(__xludf.DUMMYFUNCTION("if(REGEXMATCH(join("", "",$F364:$G364),N$1)=TRUE,""✓"",""✗"")"),"✗")</f>
        <v>✗</v>
      </c>
      <c r="O364" s="23" t="str">
        <f>IFERROR(__xludf.DUMMYFUNCTION("if(REGEXMATCH(join("", "",$F364:$G364),O$1)=TRUE,""✓"",""✗"")"),"✗")</f>
        <v>✗</v>
      </c>
      <c r="P364" s="23" t="str">
        <f>IFERROR(__xludf.DUMMYFUNCTION("if(REGEXMATCH(join("", "",$F364:$G364),P$1)=TRUE,""✓"",""✗"")"),"✗")</f>
        <v>✗</v>
      </c>
      <c r="Q364" s="23" t="str">
        <f>IFERROR(__xludf.DUMMYFUNCTION("if(REGEXMATCH(join("", "",$F364:$G364),Q$1)=TRUE,""✓"",""✗"")"),"✗")</f>
        <v>✗</v>
      </c>
      <c r="R364" s="23" t="str">
        <f>IFERROR(__xludf.DUMMYFUNCTION("if(REGEXMATCH(join("", "",$F364:$G364),R$1)=TRUE,""✓"",""✗"")"),"✗")</f>
        <v>✗</v>
      </c>
      <c r="S364" s="23" t="str">
        <f>IFERROR(__xludf.DUMMYFUNCTION("if(REGEXMATCH(join("", "",$F364:$G364),S$1)=TRUE,""✓"",""✗"")"),"✗")</f>
        <v>✗</v>
      </c>
      <c r="T364" s="23" t="str">
        <f>IFERROR(__xludf.DUMMYFUNCTION("if(REGEXMATCH(join("", "",$F364:$G364),T$1)=TRUE,""✓"",""✗"")"),"✗")</f>
        <v>✗</v>
      </c>
      <c r="U364" s="33"/>
      <c r="V364" s="33"/>
      <c r="W364" s="33"/>
      <c r="X364" s="33"/>
      <c r="Y364" s="33"/>
      <c r="Z364" s="33"/>
      <c r="AA364" s="33"/>
      <c r="AB364" s="33"/>
      <c r="AC364" s="33"/>
    </row>
    <row r="365" hidden="1">
      <c r="A365" s="17" t="s">
        <v>302</v>
      </c>
      <c r="B365" s="33"/>
      <c r="C365" s="33"/>
      <c r="D365" s="33"/>
      <c r="E365" s="33"/>
      <c r="F365" s="33"/>
      <c r="G365" s="33"/>
      <c r="H365" s="23" t="str">
        <f>IFERROR(__xludf.DUMMYFUNCTION("if(REGEXMATCH(join("", "",$F365:$G365),H$1)=TRUE,""✓"",""✗"")"),"✗")</f>
        <v>✗</v>
      </c>
      <c r="I365" s="23" t="str">
        <f>IFERROR(__xludf.DUMMYFUNCTION("if(REGEXMATCH(join("", "",$F365:$G365),I$1)=TRUE,""✓"",""✗"")"),"✗")</f>
        <v>✗</v>
      </c>
      <c r="J365" s="23" t="str">
        <f>IFERROR(__xludf.DUMMYFUNCTION("if(REGEXMATCH(join("", "",$F365:$G365),J$1)=TRUE,""✓"",""✗"")"),"✗")</f>
        <v>✗</v>
      </c>
      <c r="K365" s="23" t="str">
        <f>IFERROR(__xludf.DUMMYFUNCTION("if(REGEXMATCH(join("", "",$F365:$G365),K$1)=TRUE,""✓"",""✗"")"),"✗")</f>
        <v>✗</v>
      </c>
      <c r="L365" s="23" t="str">
        <f>IFERROR(__xludf.DUMMYFUNCTION("if(REGEXMATCH(join("", "",$F365:$G365),L$1)=TRUE,""✓"",""✗"")"),"✗")</f>
        <v>✗</v>
      </c>
      <c r="M365" s="23" t="str">
        <f>IFERROR(__xludf.DUMMYFUNCTION("if(REGEXMATCH(join("", "",$F365:$G365),M$1)=TRUE,""✓"",""✗"")"),"✗")</f>
        <v>✗</v>
      </c>
      <c r="N365" s="23" t="str">
        <f>IFERROR(__xludf.DUMMYFUNCTION("if(REGEXMATCH(join("", "",$F365:$G365),N$1)=TRUE,""✓"",""✗"")"),"✗")</f>
        <v>✗</v>
      </c>
      <c r="O365" s="23" t="str">
        <f>IFERROR(__xludf.DUMMYFUNCTION("if(REGEXMATCH(join("", "",$F365:$G365),O$1)=TRUE,""✓"",""✗"")"),"✗")</f>
        <v>✗</v>
      </c>
      <c r="P365" s="23" t="str">
        <f>IFERROR(__xludf.DUMMYFUNCTION("if(REGEXMATCH(join("", "",$F365:$G365),P$1)=TRUE,""✓"",""✗"")"),"✗")</f>
        <v>✗</v>
      </c>
      <c r="Q365" s="23" t="str">
        <f>IFERROR(__xludf.DUMMYFUNCTION("if(REGEXMATCH(join("", "",$F365:$G365),Q$1)=TRUE,""✓"",""✗"")"),"✗")</f>
        <v>✗</v>
      </c>
      <c r="R365" s="23" t="str">
        <f>IFERROR(__xludf.DUMMYFUNCTION("if(REGEXMATCH(join("", "",$F365:$G365),R$1)=TRUE,""✓"",""✗"")"),"✗")</f>
        <v>✗</v>
      </c>
      <c r="S365" s="23" t="str">
        <f>IFERROR(__xludf.DUMMYFUNCTION("if(REGEXMATCH(join("", "",$F365:$G365),S$1)=TRUE,""✓"",""✗"")"),"✗")</f>
        <v>✗</v>
      </c>
      <c r="T365" s="23" t="str">
        <f>IFERROR(__xludf.DUMMYFUNCTION("if(REGEXMATCH(join("", "",$F365:$G365),T$1)=TRUE,""✓"",""✗"")"),"✗")</f>
        <v>✗</v>
      </c>
      <c r="U365" s="33"/>
      <c r="V365" s="33"/>
      <c r="W365" s="33"/>
      <c r="X365" s="33"/>
      <c r="Y365" s="33"/>
      <c r="Z365" s="33"/>
      <c r="AA365" s="33"/>
      <c r="AB365" s="33"/>
      <c r="AC365" s="33"/>
    </row>
    <row r="366" hidden="1">
      <c r="A366" s="17" t="s">
        <v>302</v>
      </c>
      <c r="B366" s="33"/>
      <c r="C366" s="33"/>
      <c r="D366" s="33"/>
      <c r="E366" s="33"/>
      <c r="F366" s="33"/>
      <c r="G366" s="33"/>
      <c r="H366" s="23" t="str">
        <f>IFERROR(__xludf.DUMMYFUNCTION("if(REGEXMATCH(join("", "",$F366:$G366),H$1)=TRUE,""✓"",""✗"")"),"✗")</f>
        <v>✗</v>
      </c>
      <c r="I366" s="23" t="str">
        <f>IFERROR(__xludf.DUMMYFUNCTION("if(REGEXMATCH(join("", "",$F366:$G366),I$1)=TRUE,""✓"",""✗"")"),"✗")</f>
        <v>✗</v>
      </c>
      <c r="J366" s="23" t="str">
        <f>IFERROR(__xludf.DUMMYFUNCTION("if(REGEXMATCH(join("", "",$F366:$G366),J$1)=TRUE,""✓"",""✗"")"),"✗")</f>
        <v>✗</v>
      </c>
      <c r="K366" s="23" t="str">
        <f>IFERROR(__xludf.DUMMYFUNCTION("if(REGEXMATCH(join("", "",$F366:$G366),K$1)=TRUE,""✓"",""✗"")"),"✗")</f>
        <v>✗</v>
      </c>
      <c r="L366" s="23" t="str">
        <f>IFERROR(__xludf.DUMMYFUNCTION("if(REGEXMATCH(join("", "",$F366:$G366),L$1)=TRUE,""✓"",""✗"")"),"✗")</f>
        <v>✗</v>
      </c>
      <c r="M366" s="23" t="str">
        <f>IFERROR(__xludf.DUMMYFUNCTION("if(REGEXMATCH(join("", "",$F366:$G366),M$1)=TRUE,""✓"",""✗"")"),"✗")</f>
        <v>✗</v>
      </c>
      <c r="N366" s="23" t="str">
        <f>IFERROR(__xludf.DUMMYFUNCTION("if(REGEXMATCH(join("", "",$F366:$G366),N$1)=TRUE,""✓"",""✗"")"),"✗")</f>
        <v>✗</v>
      </c>
      <c r="O366" s="23" t="str">
        <f>IFERROR(__xludf.DUMMYFUNCTION("if(REGEXMATCH(join("", "",$F366:$G366),O$1)=TRUE,""✓"",""✗"")"),"✗")</f>
        <v>✗</v>
      </c>
      <c r="P366" s="23" t="str">
        <f>IFERROR(__xludf.DUMMYFUNCTION("if(REGEXMATCH(join("", "",$F366:$G366),P$1)=TRUE,""✓"",""✗"")"),"✗")</f>
        <v>✗</v>
      </c>
      <c r="Q366" s="23" t="str">
        <f>IFERROR(__xludf.DUMMYFUNCTION("if(REGEXMATCH(join("", "",$F366:$G366),Q$1)=TRUE,""✓"",""✗"")"),"✗")</f>
        <v>✗</v>
      </c>
      <c r="R366" s="23" t="str">
        <f>IFERROR(__xludf.DUMMYFUNCTION("if(REGEXMATCH(join("", "",$F366:$G366),R$1)=TRUE,""✓"",""✗"")"),"✗")</f>
        <v>✗</v>
      </c>
      <c r="S366" s="23" t="str">
        <f>IFERROR(__xludf.DUMMYFUNCTION("if(REGEXMATCH(join("", "",$F366:$G366),S$1)=TRUE,""✓"",""✗"")"),"✗")</f>
        <v>✗</v>
      </c>
      <c r="T366" s="23" t="str">
        <f>IFERROR(__xludf.DUMMYFUNCTION("if(REGEXMATCH(join("", "",$F366:$G366),T$1)=TRUE,""✓"",""✗"")"),"✗")</f>
        <v>✗</v>
      </c>
      <c r="U366" s="33"/>
      <c r="V366" s="33"/>
      <c r="W366" s="33"/>
      <c r="X366" s="33"/>
      <c r="Y366" s="33"/>
      <c r="Z366" s="33"/>
      <c r="AA366" s="33"/>
      <c r="AB366" s="33"/>
      <c r="AC366" s="33"/>
    </row>
    <row r="367" hidden="1">
      <c r="A367" s="17" t="s">
        <v>302</v>
      </c>
      <c r="B367" s="33"/>
      <c r="C367" s="33"/>
      <c r="D367" s="33"/>
      <c r="E367" s="33"/>
      <c r="F367" s="33"/>
      <c r="G367" s="33"/>
      <c r="H367" s="23" t="str">
        <f>IFERROR(__xludf.DUMMYFUNCTION("if(REGEXMATCH(join("", "",$F367:$G367),H$1)=TRUE,""✓"",""✗"")"),"✗")</f>
        <v>✗</v>
      </c>
      <c r="I367" s="23" t="str">
        <f>IFERROR(__xludf.DUMMYFUNCTION("if(REGEXMATCH(join("", "",$F367:$G367),I$1)=TRUE,""✓"",""✗"")"),"✗")</f>
        <v>✗</v>
      </c>
      <c r="J367" s="23" t="str">
        <f>IFERROR(__xludf.DUMMYFUNCTION("if(REGEXMATCH(join("", "",$F367:$G367),J$1)=TRUE,""✓"",""✗"")"),"✗")</f>
        <v>✗</v>
      </c>
      <c r="K367" s="23" t="str">
        <f>IFERROR(__xludf.DUMMYFUNCTION("if(REGEXMATCH(join("", "",$F367:$G367),K$1)=TRUE,""✓"",""✗"")"),"✗")</f>
        <v>✗</v>
      </c>
      <c r="L367" s="23" t="str">
        <f>IFERROR(__xludf.DUMMYFUNCTION("if(REGEXMATCH(join("", "",$F367:$G367),L$1)=TRUE,""✓"",""✗"")"),"✗")</f>
        <v>✗</v>
      </c>
      <c r="M367" s="23" t="str">
        <f>IFERROR(__xludf.DUMMYFUNCTION("if(REGEXMATCH(join("", "",$F367:$G367),M$1)=TRUE,""✓"",""✗"")"),"✗")</f>
        <v>✗</v>
      </c>
      <c r="N367" s="23" t="str">
        <f>IFERROR(__xludf.DUMMYFUNCTION("if(REGEXMATCH(join("", "",$F367:$G367),N$1)=TRUE,""✓"",""✗"")"),"✗")</f>
        <v>✗</v>
      </c>
      <c r="O367" s="23" t="str">
        <f>IFERROR(__xludf.DUMMYFUNCTION("if(REGEXMATCH(join("", "",$F367:$G367),O$1)=TRUE,""✓"",""✗"")"),"✗")</f>
        <v>✗</v>
      </c>
      <c r="P367" s="23" t="str">
        <f>IFERROR(__xludf.DUMMYFUNCTION("if(REGEXMATCH(join("", "",$F367:$G367),P$1)=TRUE,""✓"",""✗"")"),"✗")</f>
        <v>✗</v>
      </c>
      <c r="Q367" s="23" t="str">
        <f>IFERROR(__xludf.DUMMYFUNCTION("if(REGEXMATCH(join("", "",$F367:$G367),Q$1)=TRUE,""✓"",""✗"")"),"✗")</f>
        <v>✗</v>
      </c>
      <c r="R367" s="23" t="str">
        <f>IFERROR(__xludf.DUMMYFUNCTION("if(REGEXMATCH(join("", "",$F367:$G367),R$1)=TRUE,""✓"",""✗"")"),"✗")</f>
        <v>✗</v>
      </c>
      <c r="S367" s="23" t="str">
        <f>IFERROR(__xludf.DUMMYFUNCTION("if(REGEXMATCH(join("", "",$F367:$G367),S$1)=TRUE,""✓"",""✗"")"),"✗")</f>
        <v>✗</v>
      </c>
      <c r="T367" s="23" t="str">
        <f>IFERROR(__xludf.DUMMYFUNCTION("if(REGEXMATCH(join("", "",$F367:$G367),T$1)=TRUE,""✓"",""✗"")"),"✗")</f>
        <v>✗</v>
      </c>
      <c r="U367" s="33"/>
      <c r="V367" s="33"/>
      <c r="W367" s="33"/>
      <c r="X367" s="33"/>
      <c r="Y367" s="33"/>
      <c r="Z367" s="33"/>
      <c r="AA367" s="33"/>
      <c r="AB367" s="33"/>
      <c r="AC367" s="33"/>
    </row>
    <row r="368" hidden="1">
      <c r="A368" s="17" t="s">
        <v>302</v>
      </c>
      <c r="B368" s="33"/>
      <c r="C368" s="33"/>
      <c r="D368" s="33"/>
      <c r="E368" s="33"/>
      <c r="F368" s="33"/>
      <c r="G368" s="33"/>
      <c r="H368" s="23" t="str">
        <f>IFERROR(__xludf.DUMMYFUNCTION("if(REGEXMATCH(join("", "",$F368:$G368),H$1)=TRUE,""✓"",""✗"")"),"✗")</f>
        <v>✗</v>
      </c>
      <c r="I368" s="23" t="str">
        <f>IFERROR(__xludf.DUMMYFUNCTION("if(REGEXMATCH(join("", "",$F368:$G368),I$1)=TRUE,""✓"",""✗"")"),"✗")</f>
        <v>✗</v>
      </c>
      <c r="J368" s="23" t="str">
        <f>IFERROR(__xludf.DUMMYFUNCTION("if(REGEXMATCH(join("", "",$F368:$G368),J$1)=TRUE,""✓"",""✗"")"),"✗")</f>
        <v>✗</v>
      </c>
      <c r="K368" s="23" t="str">
        <f>IFERROR(__xludf.DUMMYFUNCTION("if(REGEXMATCH(join("", "",$F368:$G368),K$1)=TRUE,""✓"",""✗"")"),"✗")</f>
        <v>✗</v>
      </c>
      <c r="L368" s="23" t="str">
        <f>IFERROR(__xludf.DUMMYFUNCTION("if(REGEXMATCH(join("", "",$F368:$G368),L$1)=TRUE,""✓"",""✗"")"),"✗")</f>
        <v>✗</v>
      </c>
      <c r="M368" s="23" t="str">
        <f>IFERROR(__xludf.DUMMYFUNCTION("if(REGEXMATCH(join("", "",$F368:$G368),M$1)=TRUE,""✓"",""✗"")"),"✗")</f>
        <v>✗</v>
      </c>
      <c r="N368" s="23" t="str">
        <f>IFERROR(__xludf.DUMMYFUNCTION("if(REGEXMATCH(join("", "",$F368:$G368),N$1)=TRUE,""✓"",""✗"")"),"✗")</f>
        <v>✗</v>
      </c>
      <c r="O368" s="23" t="str">
        <f>IFERROR(__xludf.DUMMYFUNCTION("if(REGEXMATCH(join("", "",$F368:$G368),O$1)=TRUE,""✓"",""✗"")"),"✗")</f>
        <v>✗</v>
      </c>
      <c r="P368" s="23" t="str">
        <f>IFERROR(__xludf.DUMMYFUNCTION("if(REGEXMATCH(join("", "",$F368:$G368),P$1)=TRUE,""✓"",""✗"")"),"✗")</f>
        <v>✗</v>
      </c>
      <c r="Q368" s="23" t="str">
        <f>IFERROR(__xludf.DUMMYFUNCTION("if(REGEXMATCH(join("", "",$F368:$G368),Q$1)=TRUE,""✓"",""✗"")"),"✗")</f>
        <v>✗</v>
      </c>
      <c r="R368" s="23" t="str">
        <f>IFERROR(__xludf.DUMMYFUNCTION("if(REGEXMATCH(join("", "",$F368:$G368),R$1)=TRUE,""✓"",""✗"")"),"✗")</f>
        <v>✗</v>
      </c>
      <c r="S368" s="23" t="str">
        <f>IFERROR(__xludf.DUMMYFUNCTION("if(REGEXMATCH(join("", "",$F368:$G368),S$1)=TRUE,""✓"",""✗"")"),"✗")</f>
        <v>✗</v>
      </c>
      <c r="T368" s="23" t="str">
        <f>IFERROR(__xludf.DUMMYFUNCTION("if(REGEXMATCH(join("", "",$F368:$G368),T$1)=TRUE,""✓"",""✗"")"),"✗")</f>
        <v>✗</v>
      </c>
      <c r="U368" s="33"/>
      <c r="V368" s="33"/>
      <c r="W368" s="33"/>
      <c r="X368" s="33"/>
      <c r="Y368" s="33"/>
      <c r="Z368" s="33"/>
      <c r="AA368" s="33"/>
      <c r="AB368" s="33"/>
      <c r="AC368" s="33"/>
    </row>
    <row r="369" hidden="1">
      <c r="A369" s="17" t="s">
        <v>302</v>
      </c>
      <c r="B369" s="33"/>
      <c r="C369" s="33"/>
      <c r="D369" s="33"/>
      <c r="E369" s="33"/>
      <c r="F369" s="33"/>
      <c r="G369" s="33"/>
      <c r="H369" s="23" t="str">
        <f>IFERROR(__xludf.DUMMYFUNCTION("if(REGEXMATCH(join("", "",$F369:$G369),H$1)=TRUE,""✓"",""✗"")"),"✗")</f>
        <v>✗</v>
      </c>
      <c r="I369" s="23" t="str">
        <f>IFERROR(__xludf.DUMMYFUNCTION("if(REGEXMATCH(join("", "",$F369:$G369),I$1)=TRUE,""✓"",""✗"")"),"✗")</f>
        <v>✗</v>
      </c>
      <c r="J369" s="23" t="str">
        <f>IFERROR(__xludf.DUMMYFUNCTION("if(REGEXMATCH(join("", "",$F369:$G369),J$1)=TRUE,""✓"",""✗"")"),"✗")</f>
        <v>✗</v>
      </c>
      <c r="K369" s="23" t="str">
        <f>IFERROR(__xludf.DUMMYFUNCTION("if(REGEXMATCH(join("", "",$F369:$G369),K$1)=TRUE,""✓"",""✗"")"),"✗")</f>
        <v>✗</v>
      </c>
      <c r="L369" s="23" t="str">
        <f>IFERROR(__xludf.DUMMYFUNCTION("if(REGEXMATCH(join("", "",$F369:$G369),L$1)=TRUE,""✓"",""✗"")"),"✗")</f>
        <v>✗</v>
      </c>
      <c r="M369" s="23" t="str">
        <f>IFERROR(__xludf.DUMMYFUNCTION("if(REGEXMATCH(join("", "",$F369:$G369),M$1)=TRUE,""✓"",""✗"")"),"✗")</f>
        <v>✗</v>
      </c>
      <c r="N369" s="23" t="str">
        <f>IFERROR(__xludf.DUMMYFUNCTION("if(REGEXMATCH(join("", "",$F369:$G369),N$1)=TRUE,""✓"",""✗"")"),"✗")</f>
        <v>✗</v>
      </c>
      <c r="O369" s="23" t="str">
        <f>IFERROR(__xludf.DUMMYFUNCTION("if(REGEXMATCH(join("", "",$F369:$G369),O$1)=TRUE,""✓"",""✗"")"),"✗")</f>
        <v>✗</v>
      </c>
      <c r="P369" s="23" t="str">
        <f>IFERROR(__xludf.DUMMYFUNCTION("if(REGEXMATCH(join("", "",$F369:$G369),P$1)=TRUE,""✓"",""✗"")"),"✗")</f>
        <v>✗</v>
      </c>
      <c r="Q369" s="23" t="str">
        <f>IFERROR(__xludf.DUMMYFUNCTION("if(REGEXMATCH(join("", "",$F369:$G369),Q$1)=TRUE,""✓"",""✗"")"),"✗")</f>
        <v>✗</v>
      </c>
      <c r="R369" s="23" t="str">
        <f>IFERROR(__xludf.DUMMYFUNCTION("if(REGEXMATCH(join("", "",$F369:$G369),R$1)=TRUE,""✓"",""✗"")"),"✗")</f>
        <v>✗</v>
      </c>
      <c r="S369" s="23" t="str">
        <f>IFERROR(__xludf.DUMMYFUNCTION("if(REGEXMATCH(join("", "",$F369:$G369),S$1)=TRUE,""✓"",""✗"")"),"✗")</f>
        <v>✗</v>
      </c>
      <c r="T369" s="23" t="str">
        <f>IFERROR(__xludf.DUMMYFUNCTION("if(REGEXMATCH(join("", "",$F369:$G369),T$1)=TRUE,""✓"",""✗"")"),"✗")</f>
        <v>✗</v>
      </c>
      <c r="U369" s="33"/>
      <c r="V369" s="33"/>
      <c r="W369" s="33"/>
      <c r="X369" s="33"/>
      <c r="Y369" s="33"/>
      <c r="Z369" s="33"/>
      <c r="AA369" s="33"/>
      <c r="AB369" s="33"/>
      <c r="AC369" s="33"/>
    </row>
    <row r="370" hidden="1">
      <c r="A370" s="17" t="s">
        <v>302</v>
      </c>
      <c r="B370" s="33"/>
      <c r="C370" s="33"/>
      <c r="D370" s="33"/>
      <c r="E370" s="33"/>
      <c r="F370" s="33"/>
      <c r="G370" s="33"/>
      <c r="H370" s="23" t="str">
        <f>IFERROR(__xludf.DUMMYFUNCTION("if(REGEXMATCH(join("", "",$F370:$G370),H$1)=TRUE,""✓"",""✗"")"),"✗")</f>
        <v>✗</v>
      </c>
      <c r="I370" s="23" t="str">
        <f>IFERROR(__xludf.DUMMYFUNCTION("if(REGEXMATCH(join("", "",$F370:$G370),I$1)=TRUE,""✓"",""✗"")"),"✗")</f>
        <v>✗</v>
      </c>
      <c r="J370" s="23" t="str">
        <f>IFERROR(__xludf.DUMMYFUNCTION("if(REGEXMATCH(join("", "",$F370:$G370),J$1)=TRUE,""✓"",""✗"")"),"✗")</f>
        <v>✗</v>
      </c>
      <c r="K370" s="23" t="str">
        <f>IFERROR(__xludf.DUMMYFUNCTION("if(REGEXMATCH(join("", "",$F370:$G370),K$1)=TRUE,""✓"",""✗"")"),"✗")</f>
        <v>✗</v>
      </c>
      <c r="L370" s="23" t="str">
        <f>IFERROR(__xludf.DUMMYFUNCTION("if(REGEXMATCH(join("", "",$F370:$G370),L$1)=TRUE,""✓"",""✗"")"),"✗")</f>
        <v>✗</v>
      </c>
      <c r="M370" s="23" t="str">
        <f>IFERROR(__xludf.DUMMYFUNCTION("if(REGEXMATCH(join("", "",$F370:$G370),M$1)=TRUE,""✓"",""✗"")"),"✗")</f>
        <v>✗</v>
      </c>
      <c r="N370" s="23" t="str">
        <f>IFERROR(__xludf.DUMMYFUNCTION("if(REGEXMATCH(join("", "",$F370:$G370),N$1)=TRUE,""✓"",""✗"")"),"✗")</f>
        <v>✗</v>
      </c>
      <c r="O370" s="23" t="str">
        <f>IFERROR(__xludf.DUMMYFUNCTION("if(REGEXMATCH(join("", "",$F370:$G370),O$1)=TRUE,""✓"",""✗"")"),"✗")</f>
        <v>✗</v>
      </c>
      <c r="P370" s="23" t="str">
        <f>IFERROR(__xludf.DUMMYFUNCTION("if(REGEXMATCH(join("", "",$F370:$G370),P$1)=TRUE,""✓"",""✗"")"),"✗")</f>
        <v>✗</v>
      </c>
      <c r="Q370" s="23" t="str">
        <f>IFERROR(__xludf.DUMMYFUNCTION("if(REGEXMATCH(join("", "",$F370:$G370),Q$1)=TRUE,""✓"",""✗"")"),"✗")</f>
        <v>✗</v>
      </c>
      <c r="R370" s="23" t="str">
        <f>IFERROR(__xludf.DUMMYFUNCTION("if(REGEXMATCH(join("", "",$F370:$G370),R$1)=TRUE,""✓"",""✗"")"),"✗")</f>
        <v>✗</v>
      </c>
      <c r="S370" s="23" t="str">
        <f>IFERROR(__xludf.DUMMYFUNCTION("if(REGEXMATCH(join("", "",$F370:$G370),S$1)=TRUE,""✓"",""✗"")"),"✗")</f>
        <v>✗</v>
      </c>
      <c r="T370" s="23" t="str">
        <f>IFERROR(__xludf.DUMMYFUNCTION("if(REGEXMATCH(join("", "",$F370:$G370),T$1)=TRUE,""✓"",""✗"")"),"✗")</f>
        <v>✗</v>
      </c>
      <c r="U370" s="33"/>
      <c r="V370" s="33"/>
      <c r="W370" s="33"/>
      <c r="X370" s="33"/>
      <c r="Y370" s="33"/>
      <c r="Z370" s="33"/>
      <c r="AA370" s="33"/>
      <c r="AB370" s="33"/>
      <c r="AC370" s="33"/>
    </row>
    <row r="371" hidden="1">
      <c r="A371" s="17" t="s">
        <v>302</v>
      </c>
      <c r="B371" s="33"/>
      <c r="C371" s="33"/>
      <c r="D371" s="33"/>
      <c r="E371" s="33"/>
      <c r="F371" s="33"/>
      <c r="G371" s="33"/>
      <c r="H371" s="23" t="str">
        <f>IFERROR(__xludf.DUMMYFUNCTION("if(REGEXMATCH(join("", "",$F371:$G371),H$1)=TRUE,""✓"",""✗"")"),"✗")</f>
        <v>✗</v>
      </c>
      <c r="I371" s="23" t="str">
        <f>IFERROR(__xludf.DUMMYFUNCTION("if(REGEXMATCH(join("", "",$F371:$G371),I$1)=TRUE,""✓"",""✗"")"),"✗")</f>
        <v>✗</v>
      </c>
      <c r="J371" s="23" t="str">
        <f>IFERROR(__xludf.DUMMYFUNCTION("if(REGEXMATCH(join("", "",$F371:$G371),J$1)=TRUE,""✓"",""✗"")"),"✗")</f>
        <v>✗</v>
      </c>
      <c r="K371" s="23" t="str">
        <f>IFERROR(__xludf.DUMMYFUNCTION("if(REGEXMATCH(join("", "",$F371:$G371),K$1)=TRUE,""✓"",""✗"")"),"✗")</f>
        <v>✗</v>
      </c>
      <c r="L371" s="23" t="str">
        <f>IFERROR(__xludf.DUMMYFUNCTION("if(REGEXMATCH(join("", "",$F371:$G371),L$1)=TRUE,""✓"",""✗"")"),"✗")</f>
        <v>✗</v>
      </c>
      <c r="M371" s="23" t="str">
        <f>IFERROR(__xludf.DUMMYFUNCTION("if(REGEXMATCH(join("", "",$F371:$G371),M$1)=TRUE,""✓"",""✗"")"),"✗")</f>
        <v>✗</v>
      </c>
      <c r="N371" s="23" t="str">
        <f>IFERROR(__xludf.DUMMYFUNCTION("if(REGEXMATCH(join("", "",$F371:$G371),N$1)=TRUE,""✓"",""✗"")"),"✗")</f>
        <v>✗</v>
      </c>
      <c r="O371" s="23" t="str">
        <f>IFERROR(__xludf.DUMMYFUNCTION("if(REGEXMATCH(join("", "",$F371:$G371),O$1)=TRUE,""✓"",""✗"")"),"✗")</f>
        <v>✗</v>
      </c>
      <c r="P371" s="23" t="str">
        <f>IFERROR(__xludf.DUMMYFUNCTION("if(REGEXMATCH(join("", "",$F371:$G371),P$1)=TRUE,""✓"",""✗"")"),"✗")</f>
        <v>✗</v>
      </c>
      <c r="Q371" s="23" t="str">
        <f>IFERROR(__xludf.DUMMYFUNCTION("if(REGEXMATCH(join("", "",$F371:$G371),Q$1)=TRUE,""✓"",""✗"")"),"✗")</f>
        <v>✗</v>
      </c>
      <c r="R371" s="23" t="str">
        <f>IFERROR(__xludf.DUMMYFUNCTION("if(REGEXMATCH(join("", "",$F371:$G371),R$1)=TRUE,""✓"",""✗"")"),"✗")</f>
        <v>✗</v>
      </c>
      <c r="S371" s="23" t="str">
        <f>IFERROR(__xludf.DUMMYFUNCTION("if(REGEXMATCH(join("", "",$F371:$G371),S$1)=TRUE,""✓"",""✗"")"),"✗")</f>
        <v>✗</v>
      </c>
      <c r="T371" s="23" t="str">
        <f>IFERROR(__xludf.DUMMYFUNCTION("if(REGEXMATCH(join("", "",$F371:$G371),T$1)=TRUE,""✓"",""✗"")"),"✗")</f>
        <v>✗</v>
      </c>
      <c r="U371" s="33"/>
      <c r="V371" s="33"/>
      <c r="W371" s="33"/>
      <c r="X371" s="33"/>
      <c r="Y371" s="33"/>
      <c r="Z371" s="33"/>
      <c r="AA371" s="33"/>
      <c r="AB371" s="33"/>
      <c r="AC371" s="33"/>
    </row>
    <row r="372" hidden="1">
      <c r="A372" s="17" t="s">
        <v>302</v>
      </c>
      <c r="B372" s="33"/>
      <c r="C372" s="33"/>
      <c r="D372" s="33"/>
      <c r="E372" s="33"/>
      <c r="F372" s="33"/>
      <c r="G372" s="33"/>
      <c r="H372" s="23" t="str">
        <f>IFERROR(__xludf.DUMMYFUNCTION("if(REGEXMATCH(join("", "",$F372:$G372),H$1)=TRUE,""✓"",""✗"")"),"✗")</f>
        <v>✗</v>
      </c>
      <c r="I372" s="23" t="str">
        <f>IFERROR(__xludf.DUMMYFUNCTION("if(REGEXMATCH(join("", "",$F372:$G372),I$1)=TRUE,""✓"",""✗"")"),"✗")</f>
        <v>✗</v>
      </c>
      <c r="J372" s="23" t="str">
        <f>IFERROR(__xludf.DUMMYFUNCTION("if(REGEXMATCH(join("", "",$F372:$G372),J$1)=TRUE,""✓"",""✗"")"),"✗")</f>
        <v>✗</v>
      </c>
      <c r="K372" s="23" t="str">
        <f>IFERROR(__xludf.DUMMYFUNCTION("if(REGEXMATCH(join("", "",$F372:$G372),K$1)=TRUE,""✓"",""✗"")"),"✗")</f>
        <v>✗</v>
      </c>
      <c r="L372" s="23" t="str">
        <f>IFERROR(__xludf.DUMMYFUNCTION("if(REGEXMATCH(join("", "",$F372:$G372),L$1)=TRUE,""✓"",""✗"")"),"✗")</f>
        <v>✗</v>
      </c>
      <c r="M372" s="23" t="str">
        <f>IFERROR(__xludf.DUMMYFUNCTION("if(REGEXMATCH(join("", "",$F372:$G372),M$1)=TRUE,""✓"",""✗"")"),"✗")</f>
        <v>✗</v>
      </c>
      <c r="N372" s="23" t="str">
        <f>IFERROR(__xludf.DUMMYFUNCTION("if(REGEXMATCH(join("", "",$F372:$G372),N$1)=TRUE,""✓"",""✗"")"),"✗")</f>
        <v>✗</v>
      </c>
      <c r="O372" s="23" t="str">
        <f>IFERROR(__xludf.DUMMYFUNCTION("if(REGEXMATCH(join("", "",$F372:$G372),O$1)=TRUE,""✓"",""✗"")"),"✗")</f>
        <v>✗</v>
      </c>
      <c r="P372" s="23" t="str">
        <f>IFERROR(__xludf.DUMMYFUNCTION("if(REGEXMATCH(join("", "",$F372:$G372),P$1)=TRUE,""✓"",""✗"")"),"✗")</f>
        <v>✗</v>
      </c>
      <c r="Q372" s="23" t="str">
        <f>IFERROR(__xludf.DUMMYFUNCTION("if(REGEXMATCH(join("", "",$F372:$G372),Q$1)=TRUE,""✓"",""✗"")"),"✗")</f>
        <v>✗</v>
      </c>
      <c r="R372" s="23" t="str">
        <f>IFERROR(__xludf.DUMMYFUNCTION("if(REGEXMATCH(join("", "",$F372:$G372),R$1)=TRUE,""✓"",""✗"")"),"✗")</f>
        <v>✗</v>
      </c>
      <c r="S372" s="23" t="str">
        <f>IFERROR(__xludf.DUMMYFUNCTION("if(REGEXMATCH(join("", "",$F372:$G372),S$1)=TRUE,""✓"",""✗"")"),"✗")</f>
        <v>✗</v>
      </c>
      <c r="T372" s="23" t="str">
        <f>IFERROR(__xludf.DUMMYFUNCTION("if(REGEXMATCH(join("", "",$F372:$G372),T$1)=TRUE,""✓"",""✗"")"),"✗")</f>
        <v>✗</v>
      </c>
      <c r="U372" s="33"/>
      <c r="V372" s="33"/>
      <c r="W372" s="33"/>
      <c r="X372" s="33"/>
      <c r="Y372" s="33"/>
      <c r="Z372" s="33"/>
      <c r="AA372" s="33"/>
      <c r="AB372" s="33"/>
      <c r="AC372" s="33"/>
    </row>
    <row r="373" hidden="1">
      <c r="A373" s="17" t="s">
        <v>302</v>
      </c>
      <c r="B373" s="33"/>
      <c r="C373" s="33"/>
      <c r="D373" s="33"/>
      <c r="E373" s="33"/>
      <c r="F373" s="33"/>
      <c r="G373" s="33"/>
      <c r="H373" s="23" t="str">
        <f>IFERROR(__xludf.DUMMYFUNCTION("if(REGEXMATCH(join("", "",$F373:$G373),H$1)=TRUE,""✓"",""✗"")"),"✗")</f>
        <v>✗</v>
      </c>
      <c r="I373" s="23" t="str">
        <f>IFERROR(__xludf.DUMMYFUNCTION("if(REGEXMATCH(join("", "",$F373:$G373),I$1)=TRUE,""✓"",""✗"")"),"✗")</f>
        <v>✗</v>
      </c>
      <c r="J373" s="23" t="str">
        <f>IFERROR(__xludf.DUMMYFUNCTION("if(REGEXMATCH(join("", "",$F373:$G373),J$1)=TRUE,""✓"",""✗"")"),"✗")</f>
        <v>✗</v>
      </c>
      <c r="K373" s="23" t="str">
        <f>IFERROR(__xludf.DUMMYFUNCTION("if(REGEXMATCH(join("", "",$F373:$G373),K$1)=TRUE,""✓"",""✗"")"),"✗")</f>
        <v>✗</v>
      </c>
      <c r="L373" s="23" t="str">
        <f>IFERROR(__xludf.DUMMYFUNCTION("if(REGEXMATCH(join("", "",$F373:$G373),L$1)=TRUE,""✓"",""✗"")"),"✗")</f>
        <v>✗</v>
      </c>
      <c r="M373" s="23" t="str">
        <f>IFERROR(__xludf.DUMMYFUNCTION("if(REGEXMATCH(join("", "",$F373:$G373),M$1)=TRUE,""✓"",""✗"")"),"✗")</f>
        <v>✗</v>
      </c>
      <c r="N373" s="23" t="str">
        <f>IFERROR(__xludf.DUMMYFUNCTION("if(REGEXMATCH(join("", "",$F373:$G373),N$1)=TRUE,""✓"",""✗"")"),"✗")</f>
        <v>✗</v>
      </c>
      <c r="O373" s="23" t="str">
        <f>IFERROR(__xludf.DUMMYFUNCTION("if(REGEXMATCH(join("", "",$F373:$G373),O$1)=TRUE,""✓"",""✗"")"),"✗")</f>
        <v>✗</v>
      </c>
      <c r="P373" s="23" t="str">
        <f>IFERROR(__xludf.DUMMYFUNCTION("if(REGEXMATCH(join("", "",$F373:$G373),P$1)=TRUE,""✓"",""✗"")"),"✗")</f>
        <v>✗</v>
      </c>
      <c r="Q373" s="23" t="str">
        <f>IFERROR(__xludf.DUMMYFUNCTION("if(REGEXMATCH(join("", "",$F373:$G373),Q$1)=TRUE,""✓"",""✗"")"),"✗")</f>
        <v>✗</v>
      </c>
      <c r="R373" s="23" t="str">
        <f>IFERROR(__xludf.DUMMYFUNCTION("if(REGEXMATCH(join("", "",$F373:$G373),R$1)=TRUE,""✓"",""✗"")"),"✗")</f>
        <v>✗</v>
      </c>
      <c r="S373" s="23" t="str">
        <f>IFERROR(__xludf.DUMMYFUNCTION("if(REGEXMATCH(join("", "",$F373:$G373),S$1)=TRUE,""✓"",""✗"")"),"✗")</f>
        <v>✗</v>
      </c>
      <c r="T373" s="23" t="str">
        <f>IFERROR(__xludf.DUMMYFUNCTION("if(REGEXMATCH(join("", "",$F373:$G373),T$1)=TRUE,""✓"",""✗"")"),"✗")</f>
        <v>✗</v>
      </c>
      <c r="U373" s="33"/>
      <c r="V373" s="33"/>
      <c r="W373" s="33"/>
      <c r="X373" s="33"/>
      <c r="Y373" s="33"/>
      <c r="Z373" s="33"/>
      <c r="AA373" s="33"/>
      <c r="AB373" s="33"/>
      <c r="AC373" s="33"/>
    </row>
    <row r="374" hidden="1">
      <c r="A374" s="17" t="s">
        <v>302</v>
      </c>
      <c r="B374" s="33"/>
      <c r="C374" s="33"/>
      <c r="D374" s="33"/>
      <c r="E374" s="33"/>
      <c r="F374" s="33"/>
      <c r="G374" s="33"/>
      <c r="H374" s="23" t="str">
        <f>IFERROR(__xludf.DUMMYFUNCTION("if(REGEXMATCH(join("", "",$F374:$G374),H$1)=TRUE,""✓"",""✗"")"),"✗")</f>
        <v>✗</v>
      </c>
      <c r="I374" s="23" t="str">
        <f>IFERROR(__xludf.DUMMYFUNCTION("if(REGEXMATCH(join("", "",$F374:$G374),I$1)=TRUE,""✓"",""✗"")"),"✗")</f>
        <v>✗</v>
      </c>
      <c r="J374" s="23" t="str">
        <f>IFERROR(__xludf.DUMMYFUNCTION("if(REGEXMATCH(join("", "",$F374:$G374),J$1)=TRUE,""✓"",""✗"")"),"✗")</f>
        <v>✗</v>
      </c>
      <c r="K374" s="23" t="str">
        <f>IFERROR(__xludf.DUMMYFUNCTION("if(REGEXMATCH(join("", "",$F374:$G374),K$1)=TRUE,""✓"",""✗"")"),"✗")</f>
        <v>✗</v>
      </c>
      <c r="L374" s="23" t="str">
        <f>IFERROR(__xludf.DUMMYFUNCTION("if(REGEXMATCH(join("", "",$F374:$G374),L$1)=TRUE,""✓"",""✗"")"),"✗")</f>
        <v>✗</v>
      </c>
      <c r="M374" s="23" t="str">
        <f>IFERROR(__xludf.DUMMYFUNCTION("if(REGEXMATCH(join("", "",$F374:$G374),M$1)=TRUE,""✓"",""✗"")"),"✗")</f>
        <v>✗</v>
      </c>
      <c r="N374" s="23" t="str">
        <f>IFERROR(__xludf.DUMMYFUNCTION("if(REGEXMATCH(join("", "",$F374:$G374),N$1)=TRUE,""✓"",""✗"")"),"✗")</f>
        <v>✗</v>
      </c>
      <c r="O374" s="23" t="str">
        <f>IFERROR(__xludf.DUMMYFUNCTION("if(REGEXMATCH(join("", "",$F374:$G374),O$1)=TRUE,""✓"",""✗"")"),"✗")</f>
        <v>✗</v>
      </c>
      <c r="P374" s="23" t="str">
        <f>IFERROR(__xludf.DUMMYFUNCTION("if(REGEXMATCH(join("", "",$F374:$G374),P$1)=TRUE,""✓"",""✗"")"),"✗")</f>
        <v>✗</v>
      </c>
      <c r="Q374" s="23" t="str">
        <f>IFERROR(__xludf.DUMMYFUNCTION("if(REGEXMATCH(join("", "",$F374:$G374),Q$1)=TRUE,""✓"",""✗"")"),"✗")</f>
        <v>✗</v>
      </c>
      <c r="R374" s="23" t="str">
        <f>IFERROR(__xludf.DUMMYFUNCTION("if(REGEXMATCH(join("", "",$F374:$G374),R$1)=TRUE,""✓"",""✗"")"),"✗")</f>
        <v>✗</v>
      </c>
      <c r="S374" s="23" t="str">
        <f>IFERROR(__xludf.DUMMYFUNCTION("if(REGEXMATCH(join("", "",$F374:$G374),S$1)=TRUE,""✓"",""✗"")"),"✗")</f>
        <v>✗</v>
      </c>
      <c r="T374" s="23" t="str">
        <f>IFERROR(__xludf.DUMMYFUNCTION("if(REGEXMATCH(join("", "",$F374:$G374),T$1)=TRUE,""✓"",""✗"")"),"✗")</f>
        <v>✗</v>
      </c>
      <c r="U374" s="33"/>
      <c r="V374" s="33"/>
      <c r="W374" s="33"/>
      <c r="X374" s="33"/>
      <c r="Y374" s="33"/>
      <c r="Z374" s="33"/>
      <c r="AA374" s="33"/>
      <c r="AB374" s="33"/>
      <c r="AC374" s="33"/>
    </row>
    <row r="375" hidden="1">
      <c r="A375" s="17" t="s">
        <v>302</v>
      </c>
      <c r="B375" s="33"/>
      <c r="C375" s="33"/>
      <c r="D375" s="33"/>
      <c r="E375" s="33"/>
      <c r="F375" s="33"/>
      <c r="G375" s="33"/>
      <c r="H375" s="23" t="str">
        <f>IFERROR(__xludf.DUMMYFUNCTION("if(REGEXMATCH(join("", "",$F375:$G375),H$1)=TRUE,""✓"",""✗"")"),"✗")</f>
        <v>✗</v>
      </c>
      <c r="I375" s="23" t="str">
        <f>IFERROR(__xludf.DUMMYFUNCTION("if(REGEXMATCH(join("", "",$F375:$G375),I$1)=TRUE,""✓"",""✗"")"),"✗")</f>
        <v>✗</v>
      </c>
      <c r="J375" s="23" t="str">
        <f>IFERROR(__xludf.DUMMYFUNCTION("if(REGEXMATCH(join("", "",$F375:$G375),J$1)=TRUE,""✓"",""✗"")"),"✗")</f>
        <v>✗</v>
      </c>
      <c r="K375" s="23" t="str">
        <f>IFERROR(__xludf.DUMMYFUNCTION("if(REGEXMATCH(join("", "",$F375:$G375),K$1)=TRUE,""✓"",""✗"")"),"✗")</f>
        <v>✗</v>
      </c>
      <c r="L375" s="23" t="str">
        <f>IFERROR(__xludf.DUMMYFUNCTION("if(REGEXMATCH(join("", "",$F375:$G375),L$1)=TRUE,""✓"",""✗"")"),"✗")</f>
        <v>✗</v>
      </c>
      <c r="M375" s="23" t="str">
        <f>IFERROR(__xludf.DUMMYFUNCTION("if(REGEXMATCH(join("", "",$F375:$G375),M$1)=TRUE,""✓"",""✗"")"),"✗")</f>
        <v>✗</v>
      </c>
      <c r="N375" s="23" t="str">
        <f>IFERROR(__xludf.DUMMYFUNCTION("if(REGEXMATCH(join("", "",$F375:$G375),N$1)=TRUE,""✓"",""✗"")"),"✗")</f>
        <v>✗</v>
      </c>
      <c r="O375" s="23" t="str">
        <f>IFERROR(__xludf.DUMMYFUNCTION("if(REGEXMATCH(join("", "",$F375:$G375),O$1)=TRUE,""✓"",""✗"")"),"✗")</f>
        <v>✗</v>
      </c>
      <c r="P375" s="23" t="str">
        <f>IFERROR(__xludf.DUMMYFUNCTION("if(REGEXMATCH(join("", "",$F375:$G375),P$1)=TRUE,""✓"",""✗"")"),"✗")</f>
        <v>✗</v>
      </c>
      <c r="Q375" s="23" t="str">
        <f>IFERROR(__xludf.DUMMYFUNCTION("if(REGEXMATCH(join("", "",$F375:$G375),Q$1)=TRUE,""✓"",""✗"")"),"✗")</f>
        <v>✗</v>
      </c>
      <c r="R375" s="23" t="str">
        <f>IFERROR(__xludf.DUMMYFUNCTION("if(REGEXMATCH(join("", "",$F375:$G375),R$1)=TRUE,""✓"",""✗"")"),"✗")</f>
        <v>✗</v>
      </c>
      <c r="S375" s="23" t="str">
        <f>IFERROR(__xludf.DUMMYFUNCTION("if(REGEXMATCH(join("", "",$F375:$G375),S$1)=TRUE,""✓"",""✗"")"),"✗")</f>
        <v>✗</v>
      </c>
      <c r="T375" s="23" t="str">
        <f>IFERROR(__xludf.DUMMYFUNCTION("if(REGEXMATCH(join("", "",$F375:$G375),T$1)=TRUE,""✓"",""✗"")"),"✗")</f>
        <v>✗</v>
      </c>
      <c r="U375" s="33"/>
      <c r="V375" s="33"/>
      <c r="W375" s="33"/>
      <c r="X375" s="33"/>
      <c r="Y375" s="33"/>
      <c r="Z375" s="33"/>
      <c r="AA375" s="33"/>
      <c r="AB375" s="33"/>
      <c r="AC375" s="33"/>
    </row>
    <row r="376" hidden="1">
      <c r="A376" s="17" t="s">
        <v>302</v>
      </c>
      <c r="B376" s="33"/>
      <c r="C376" s="33"/>
      <c r="D376" s="33"/>
      <c r="E376" s="33"/>
      <c r="F376" s="33"/>
      <c r="G376" s="33"/>
      <c r="H376" s="23" t="str">
        <f>IFERROR(__xludf.DUMMYFUNCTION("if(REGEXMATCH(join("", "",$F376:$G376),H$1)=TRUE,""✓"",""✗"")"),"✗")</f>
        <v>✗</v>
      </c>
      <c r="I376" s="23" t="str">
        <f>IFERROR(__xludf.DUMMYFUNCTION("if(REGEXMATCH(join("", "",$F376:$G376),I$1)=TRUE,""✓"",""✗"")"),"✗")</f>
        <v>✗</v>
      </c>
      <c r="J376" s="23" t="str">
        <f>IFERROR(__xludf.DUMMYFUNCTION("if(REGEXMATCH(join("", "",$F376:$G376),J$1)=TRUE,""✓"",""✗"")"),"✗")</f>
        <v>✗</v>
      </c>
      <c r="K376" s="23" t="str">
        <f>IFERROR(__xludf.DUMMYFUNCTION("if(REGEXMATCH(join("", "",$F376:$G376),K$1)=TRUE,""✓"",""✗"")"),"✗")</f>
        <v>✗</v>
      </c>
      <c r="L376" s="23" t="str">
        <f>IFERROR(__xludf.DUMMYFUNCTION("if(REGEXMATCH(join("", "",$F376:$G376),L$1)=TRUE,""✓"",""✗"")"),"✗")</f>
        <v>✗</v>
      </c>
      <c r="M376" s="23" t="str">
        <f>IFERROR(__xludf.DUMMYFUNCTION("if(REGEXMATCH(join("", "",$F376:$G376),M$1)=TRUE,""✓"",""✗"")"),"✗")</f>
        <v>✗</v>
      </c>
      <c r="N376" s="23" t="str">
        <f>IFERROR(__xludf.DUMMYFUNCTION("if(REGEXMATCH(join("", "",$F376:$G376),N$1)=TRUE,""✓"",""✗"")"),"✗")</f>
        <v>✗</v>
      </c>
      <c r="O376" s="23" t="str">
        <f>IFERROR(__xludf.DUMMYFUNCTION("if(REGEXMATCH(join("", "",$F376:$G376),O$1)=TRUE,""✓"",""✗"")"),"✗")</f>
        <v>✗</v>
      </c>
      <c r="P376" s="23" t="str">
        <f>IFERROR(__xludf.DUMMYFUNCTION("if(REGEXMATCH(join("", "",$F376:$G376),P$1)=TRUE,""✓"",""✗"")"),"✗")</f>
        <v>✗</v>
      </c>
      <c r="Q376" s="23" t="str">
        <f>IFERROR(__xludf.DUMMYFUNCTION("if(REGEXMATCH(join("", "",$F376:$G376),Q$1)=TRUE,""✓"",""✗"")"),"✗")</f>
        <v>✗</v>
      </c>
      <c r="R376" s="23" t="str">
        <f>IFERROR(__xludf.DUMMYFUNCTION("if(REGEXMATCH(join("", "",$F376:$G376),R$1)=TRUE,""✓"",""✗"")"),"✗")</f>
        <v>✗</v>
      </c>
      <c r="S376" s="23" t="str">
        <f>IFERROR(__xludf.DUMMYFUNCTION("if(REGEXMATCH(join("", "",$F376:$G376),S$1)=TRUE,""✓"",""✗"")"),"✗")</f>
        <v>✗</v>
      </c>
      <c r="T376" s="23" t="str">
        <f>IFERROR(__xludf.DUMMYFUNCTION("if(REGEXMATCH(join("", "",$F376:$G376),T$1)=TRUE,""✓"",""✗"")"),"✗")</f>
        <v>✗</v>
      </c>
      <c r="U376" s="33"/>
      <c r="V376" s="33"/>
      <c r="W376" s="33"/>
      <c r="X376" s="33"/>
      <c r="Y376" s="33"/>
      <c r="Z376" s="33"/>
      <c r="AA376" s="33"/>
      <c r="AB376" s="33"/>
      <c r="AC376" s="33"/>
    </row>
    <row r="377" hidden="1">
      <c r="A377" s="17" t="s">
        <v>302</v>
      </c>
      <c r="B377" s="33"/>
      <c r="C377" s="33"/>
      <c r="D377" s="33"/>
      <c r="E377" s="33"/>
      <c r="F377" s="33"/>
      <c r="G377" s="33"/>
      <c r="H377" s="23" t="str">
        <f>IFERROR(__xludf.DUMMYFUNCTION("if(REGEXMATCH(join("", "",$F377:$G377),H$1)=TRUE,""✓"",""✗"")"),"✗")</f>
        <v>✗</v>
      </c>
      <c r="I377" s="23" t="str">
        <f>IFERROR(__xludf.DUMMYFUNCTION("if(REGEXMATCH(join("", "",$F377:$G377),I$1)=TRUE,""✓"",""✗"")"),"✗")</f>
        <v>✗</v>
      </c>
      <c r="J377" s="23" t="str">
        <f>IFERROR(__xludf.DUMMYFUNCTION("if(REGEXMATCH(join("", "",$F377:$G377),J$1)=TRUE,""✓"",""✗"")"),"✗")</f>
        <v>✗</v>
      </c>
      <c r="K377" s="23" t="str">
        <f>IFERROR(__xludf.DUMMYFUNCTION("if(REGEXMATCH(join("", "",$F377:$G377),K$1)=TRUE,""✓"",""✗"")"),"✗")</f>
        <v>✗</v>
      </c>
      <c r="L377" s="23" t="str">
        <f>IFERROR(__xludf.DUMMYFUNCTION("if(REGEXMATCH(join("", "",$F377:$G377),L$1)=TRUE,""✓"",""✗"")"),"✗")</f>
        <v>✗</v>
      </c>
      <c r="M377" s="23" t="str">
        <f>IFERROR(__xludf.DUMMYFUNCTION("if(REGEXMATCH(join("", "",$F377:$G377),M$1)=TRUE,""✓"",""✗"")"),"✗")</f>
        <v>✗</v>
      </c>
      <c r="N377" s="23" t="str">
        <f>IFERROR(__xludf.DUMMYFUNCTION("if(REGEXMATCH(join("", "",$F377:$G377),N$1)=TRUE,""✓"",""✗"")"),"✗")</f>
        <v>✗</v>
      </c>
      <c r="O377" s="23" t="str">
        <f>IFERROR(__xludf.DUMMYFUNCTION("if(REGEXMATCH(join("", "",$F377:$G377),O$1)=TRUE,""✓"",""✗"")"),"✗")</f>
        <v>✗</v>
      </c>
      <c r="P377" s="23" t="str">
        <f>IFERROR(__xludf.DUMMYFUNCTION("if(REGEXMATCH(join("", "",$F377:$G377),P$1)=TRUE,""✓"",""✗"")"),"✗")</f>
        <v>✗</v>
      </c>
      <c r="Q377" s="23" t="str">
        <f>IFERROR(__xludf.DUMMYFUNCTION("if(REGEXMATCH(join("", "",$F377:$G377),Q$1)=TRUE,""✓"",""✗"")"),"✗")</f>
        <v>✗</v>
      </c>
      <c r="R377" s="23" t="str">
        <f>IFERROR(__xludf.DUMMYFUNCTION("if(REGEXMATCH(join("", "",$F377:$G377),R$1)=TRUE,""✓"",""✗"")"),"✗")</f>
        <v>✗</v>
      </c>
      <c r="S377" s="23" t="str">
        <f>IFERROR(__xludf.DUMMYFUNCTION("if(REGEXMATCH(join("", "",$F377:$G377),S$1)=TRUE,""✓"",""✗"")"),"✗")</f>
        <v>✗</v>
      </c>
      <c r="T377" s="23" t="str">
        <f>IFERROR(__xludf.DUMMYFUNCTION("if(REGEXMATCH(join("", "",$F377:$G377),T$1)=TRUE,""✓"",""✗"")"),"✗")</f>
        <v>✗</v>
      </c>
      <c r="U377" s="33"/>
      <c r="V377" s="33"/>
      <c r="W377" s="33"/>
      <c r="X377" s="33"/>
      <c r="Y377" s="33"/>
      <c r="Z377" s="33"/>
      <c r="AA377" s="33"/>
      <c r="AB377" s="33"/>
      <c r="AC377" s="33"/>
    </row>
    <row r="378" hidden="1">
      <c r="A378" s="17" t="s">
        <v>302</v>
      </c>
      <c r="B378" s="33"/>
      <c r="C378" s="33"/>
      <c r="D378" s="33"/>
      <c r="E378" s="33"/>
      <c r="F378" s="33"/>
      <c r="G378" s="33"/>
      <c r="H378" s="23" t="str">
        <f>IFERROR(__xludf.DUMMYFUNCTION("if(REGEXMATCH(join("", "",$F378:$G378),H$1)=TRUE,""✓"",""✗"")"),"✗")</f>
        <v>✗</v>
      </c>
      <c r="I378" s="23" t="str">
        <f>IFERROR(__xludf.DUMMYFUNCTION("if(REGEXMATCH(join("", "",$F378:$G378),I$1)=TRUE,""✓"",""✗"")"),"✗")</f>
        <v>✗</v>
      </c>
      <c r="J378" s="23" t="str">
        <f>IFERROR(__xludf.DUMMYFUNCTION("if(REGEXMATCH(join("", "",$F378:$G378),J$1)=TRUE,""✓"",""✗"")"),"✗")</f>
        <v>✗</v>
      </c>
      <c r="K378" s="23" t="str">
        <f>IFERROR(__xludf.DUMMYFUNCTION("if(REGEXMATCH(join("", "",$F378:$G378),K$1)=TRUE,""✓"",""✗"")"),"✗")</f>
        <v>✗</v>
      </c>
      <c r="L378" s="23" t="str">
        <f>IFERROR(__xludf.DUMMYFUNCTION("if(REGEXMATCH(join("", "",$F378:$G378),L$1)=TRUE,""✓"",""✗"")"),"✗")</f>
        <v>✗</v>
      </c>
      <c r="M378" s="23" t="str">
        <f>IFERROR(__xludf.DUMMYFUNCTION("if(REGEXMATCH(join("", "",$F378:$G378),M$1)=TRUE,""✓"",""✗"")"),"✗")</f>
        <v>✗</v>
      </c>
      <c r="N378" s="23" t="str">
        <f>IFERROR(__xludf.DUMMYFUNCTION("if(REGEXMATCH(join("", "",$F378:$G378),N$1)=TRUE,""✓"",""✗"")"),"✗")</f>
        <v>✗</v>
      </c>
      <c r="O378" s="23" t="str">
        <f>IFERROR(__xludf.DUMMYFUNCTION("if(REGEXMATCH(join("", "",$F378:$G378),O$1)=TRUE,""✓"",""✗"")"),"✗")</f>
        <v>✗</v>
      </c>
      <c r="P378" s="23" t="str">
        <f>IFERROR(__xludf.DUMMYFUNCTION("if(REGEXMATCH(join("", "",$F378:$G378),P$1)=TRUE,""✓"",""✗"")"),"✗")</f>
        <v>✗</v>
      </c>
      <c r="Q378" s="23" t="str">
        <f>IFERROR(__xludf.DUMMYFUNCTION("if(REGEXMATCH(join("", "",$F378:$G378),Q$1)=TRUE,""✓"",""✗"")"),"✗")</f>
        <v>✗</v>
      </c>
      <c r="R378" s="23" t="str">
        <f>IFERROR(__xludf.DUMMYFUNCTION("if(REGEXMATCH(join("", "",$F378:$G378),R$1)=TRUE,""✓"",""✗"")"),"✗")</f>
        <v>✗</v>
      </c>
      <c r="S378" s="23" t="str">
        <f>IFERROR(__xludf.DUMMYFUNCTION("if(REGEXMATCH(join("", "",$F378:$G378),S$1)=TRUE,""✓"",""✗"")"),"✗")</f>
        <v>✗</v>
      </c>
      <c r="T378" s="23" t="str">
        <f>IFERROR(__xludf.DUMMYFUNCTION("if(REGEXMATCH(join("", "",$F378:$G378),T$1)=TRUE,""✓"",""✗"")"),"✗")</f>
        <v>✗</v>
      </c>
      <c r="U378" s="33"/>
      <c r="V378" s="33"/>
      <c r="W378" s="33"/>
      <c r="X378" s="33"/>
      <c r="Y378" s="33"/>
      <c r="Z378" s="33"/>
      <c r="AA378" s="33"/>
      <c r="AB378" s="33"/>
      <c r="AC378" s="33"/>
    </row>
    <row r="379" hidden="1">
      <c r="A379" s="17" t="s">
        <v>302</v>
      </c>
      <c r="B379" s="33"/>
      <c r="C379" s="33"/>
      <c r="D379" s="33"/>
      <c r="E379" s="33"/>
      <c r="F379" s="33"/>
      <c r="G379" s="33"/>
      <c r="H379" s="23" t="str">
        <f>IFERROR(__xludf.DUMMYFUNCTION("if(REGEXMATCH(join("", "",$F379:$G379),H$1)=TRUE,""✓"",""✗"")"),"✗")</f>
        <v>✗</v>
      </c>
      <c r="I379" s="23" t="str">
        <f>IFERROR(__xludf.DUMMYFUNCTION("if(REGEXMATCH(join("", "",$F379:$G379),I$1)=TRUE,""✓"",""✗"")"),"✗")</f>
        <v>✗</v>
      </c>
      <c r="J379" s="23" t="str">
        <f>IFERROR(__xludf.DUMMYFUNCTION("if(REGEXMATCH(join("", "",$F379:$G379),J$1)=TRUE,""✓"",""✗"")"),"✗")</f>
        <v>✗</v>
      </c>
      <c r="K379" s="23" t="str">
        <f>IFERROR(__xludf.DUMMYFUNCTION("if(REGEXMATCH(join("", "",$F379:$G379),K$1)=TRUE,""✓"",""✗"")"),"✗")</f>
        <v>✗</v>
      </c>
      <c r="L379" s="23" t="str">
        <f>IFERROR(__xludf.DUMMYFUNCTION("if(REGEXMATCH(join("", "",$F379:$G379),L$1)=TRUE,""✓"",""✗"")"),"✗")</f>
        <v>✗</v>
      </c>
      <c r="M379" s="23" t="str">
        <f>IFERROR(__xludf.DUMMYFUNCTION("if(REGEXMATCH(join("", "",$F379:$G379),M$1)=TRUE,""✓"",""✗"")"),"✗")</f>
        <v>✗</v>
      </c>
      <c r="N379" s="23" t="str">
        <f>IFERROR(__xludf.DUMMYFUNCTION("if(REGEXMATCH(join("", "",$F379:$G379),N$1)=TRUE,""✓"",""✗"")"),"✗")</f>
        <v>✗</v>
      </c>
      <c r="O379" s="23" t="str">
        <f>IFERROR(__xludf.DUMMYFUNCTION("if(REGEXMATCH(join("", "",$F379:$G379),O$1)=TRUE,""✓"",""✗"")"),"✗")</f>
        <v>✗</v>
      </c>
      <c r="P379" s="23" t="str">
        <f>IFERROR(__xludf.DUMMYFUNCTION("if(REGEXMATCH(join("", "",$F379:$G379),P$1)=TRUE,""✓"",""✗"")"),"✗")</f>
        <v>✗</v>
      </c>
      <c r="Q379" s="23" t="str">
        <f>IFERROR(__xludf.DUMMYFUNCTION("if(REGEXMATCH(join("", "",$F379:$G379),Q$1)=TRUE,""✓"",""✗"")"),"✗")</f>
        <v>✗</v>
      </c>
      <c r="R379" s="23" t="str">
        <f>IFERROR(__xludf.DUMMYFUNCTION("if(REGEXMATCH(join("", "",$F379:$G379),R$1)=TRUE,""✓"",""✗"")"),"✗")</f>
        <v>✗</v>
      </c>
      <c r="S379" s="23" t="str">
        <f>IFERROR(__xludf.DUMMYFUNCTION("if(REGEXMATCH(join("", "",$F379:$G379),S$1)=TRUE,""✓"",""✗"")"),"✗")</f>
        <v>✗</v>
      </c>
      <c r="T379" s="23" t="str">
        <f>IFERROR(__xludf.DUMMYFUNCTION("if(REGEXMATCH(join("", "",$F379:$G379),T$1)=TRUE,""✓"",""✗"")"),"✗")</f>
        <v>✗</v>
      </c>
      <c r="U379" s="33"/>
      <c r="V379" s="33"/>
      <c r="W379" s="33"/>
      <c r="X379" s="33"/>
      <c r="Y379" s="33"/>
      <c r="Z379" s="33"/>
      <c r="AA379" s="33"/>
      <c r="AB379" s="33"/>
      <c r="AC379" s="33"/>
    </row>
    <row r="380" hidden="1">
      <c r="A380" s="17" t="s">
        <v>302</v>
      </c>
      <c r="B380" s="33"/>
      <c r="C380" s="33"/>
      <c r="D380" s="33"/>
      <c r="E380" s="33"/>
      <c r="F380" s="33"/>
      <c r="G380" s="33"/>
      <c r="H380" s="23" t="str">
        <f>IFERROR(__xludf.DUMMYFUNCTION("if(REGEXMATCH(join("", "",$F380:$G380),H$1)=TRUE,""✓"",""✗"")"),"✗")</f>
        <v>✗</v>
      </c>
      <c r="I380" s="23" t="str">
        <f>IFERROR(__xludf.DUMMYFUNCTION("if(REGEXMATCH(join("", "",$F380:$G380),I$1)=TRUE,""✓"",""✗"")"),"✗")</f>
        <v>✗</v>
      </c>
      <c r="J380" s="23" t="str">
        <f>IFERROR(__xludf.DUMMYFUNCTION("if(REGEXMATCH(join("", "",$F380:$G380),J$1)=TRUE,""✓"",""✗"")"),"✗")</f>
        <v>✗</v>
      </c>
      <c r="K380" s="23" t="str">
        <f>IFERROR(__xludf.DUMMYFUNCTION("if(REGEXMATCH(join("", "",$F380:$G380),K$1)=TRUE,""✓"",""✗"")"),"✗")</f>
        <v>✗</v>
      </c>
      <c r="L380" s="23" t="str">
        <f>IFERROR(__xludf.DUMMYFUNCTION("if(REGEXMATCH(join("", "",$F380:$G380),L$1)=TRUE,""✓"",""✗"")"),"✗")</f>
        <v>✗</v>
      </c>
      <c r="M380" s="23" t="str">
        <f>IFERROR(__xludf.DUMMYFUNCTION("if(REGEXMATCH(join("", "",$F380:$G380),M$1)=TRUE,""✓"",""✗"")"),"✗")</f>
        <v>✗</v>
      </c>
      <c r="N380" s="23" t="str">
        <f>IFERROR(__xludf.DUMMYFUNCTION("if(REGEXMATCH(join("", "",$F380:$G380),N$1)=TRUE,""✓"",""✗"")"),"✗")</f>
        <v>✗</v>
      </c>
      <c r="O380" s="23" t="str">
        <f>IFERROR(__xludf.DUMMYFUNCTION("if(REGEXMATCH(join("", "",$F380:$G380),O$1)=TRUE,""✓"",""✗"")"),"✗")</f>
        <v>✗</v>
      </c>
      <c r="P380" s="23" t="str">
        <f>IFERROR(__xludf.DUMMYFUNCTION("if(REGEXMATCH(join("", "",$F380:$G380),P$1)=TRUE,""✓"",""✗"")"),"✗")</f>
        <v>✗</v>
      </c>
      <c r="Q380" s="23" t="str">
        <f>IFERROR(__xludf.DUMMYFUNCTION("if(REGEXMATCH(join("", "",$F380:$G380),Q$1)=TRUE,""✓"",""✗"")"),"✗")</f>
        <v>✗</v>
      </c>
      <c r="R380" s="23" t="str">
        <f>IFERROR(__xludf.DUMMYFUNCTION("if(REGEXMATCH(join("", "",$F380:$G380),R$1)=TRUE,""✓"",""✗"")"),"✗")</f>
        <v>✗</v>
      </c>
      <c r="S380" s="23" t="str">
        <f>IFERROR(__xludf.DUMMYFUNCTION("if(REGEXMATCH(join("", "",$F380:$G380),S$1)=TRUE,""✓"",""✗"")"),"✗")</f>
        <v>✗</v>
      </c>
      <c r="T380" s="23" t="str">
        <f>IFERROR(__xludf.DUMMYFUNCTION("if(REGEXMATCH(join("", "",$F380:$G380),T$1)=TRUE,""✓"",""✗"")"),"✗")</f>
        <v>✗</v>
      </c>
      <c r="U380" s="33"/>
      <c r="V380" s="33"/>
      <c r="W380" s="33"/>
      <c r="X380" s="33"/>
      <c r="Y380" s="33"/>
      <c r="Z380" s="33"/>
      <c r="AA380" s="33"/>
      <c r="AB380" s="33"/>
      <c r="AC380" s="33"/>
    </row>
    <row r="381" hidden="1">
      <c r="A381" s="17" t="s">
        <v>302</v>
      </c>
      <c r="B381" s="33"/>
      <c r="C381" s="33"/>
      <c r="D381" s="33"/>
      <c r="E381" s="33"/>
      <c r="F381" s="33"/>
      <c r="G381" s="33"/>
      <c r="H381" s="23" t="str">
        <f>IFERROR(__xludf.DUMMYFUNCTION("if(REGEXMATCH(join("", "",$F381:$G381),H$1)=TRUE,""✓"",""✗"")"),"✗")</f>
        <v>✗</v>
      </c>
      <c r="I381" s="23" t="str">
        <f>IFERROR(__xludf.DUMMYFUNCTION("if(REGEXMATCH(join("", "",$F381:$G381),I$1)=TRUE,""✓"",""✗"")"),"✗")</f>
        <v>✗</v>
      </c>
      <c r="J381" s="23" t="str">
        <f>IFERROR(__xludf.DUMMYFUNCTION("if(REGEXMATCH(join("", "",$F381:$G381),J$1)=TRUE,""✓"",""✗"")"),"✗")</f>
        <v>✗</v>
      </c>
      <c r="K381" s="23" t="str">
        <f>IFERROR(__xludf.DUMMYFUNCTION("if(REGEXMATCH(join("", "",$F381:$G381),K$1)=TRUE,""✓"",""✗"")"),"✗")</f>
        <v>✗</v>
      </c>
      <c r="L381" s="23" t="str">
        <f>IFERROR(__xludf.DUMMYFUNCTION("if(REGEXMATCH(join("", "",$F381:$G381),L$1)=TRUE,""✓"",""✗"")"),"✗")</f>
        <v>✗</v>
      </c>
      <c r="M381" s="23" t="str">
        <f>IFERROR(__xludf.DUMMYFUNCTION("if(REGEXMATCH(join("", "",$F381:$G381),M$1)=TRUE,""✓"",""✗"")"),"✗")</f>
        <v>✗</v>
      </c>
      <c r="N381" s="23" t="str">
        <f>IFERROR(__xludf.DUMMYFUNCTION("if(REGEXMATCH(join("", "",$F381:$G381),N$1)=TRUE,""✓"",""✗"")"),"✗")</f>
        <v>✗</v>
      </c>
      <c r="O381" s="23" t="str">
        <f>IFERROR(__xludf.DUMMYFUNCTION("if(REGEXMATCH(join("", "",$F381:$G381),O$1)=TRUE,""✓"",""✗"")"),"✗")</f>
        <v>✗</v>
      </c>
      <c r="P381" s="23" t="str">
        <f>IFERROR(__xludf.DUMMYFUNCTION("if(REGEXMATCH(join("", "",$F381:$G381),P$1)=TRUE,""✓"",""✗"")"),"✗")</f>
        <v>✗</v>
      </c>
      <c r="Q381" s="23" t="str">
        <f>IFERROR(__xludf.DUMMYFUNCTION("if(REGEXMATCH(join("", "",$F381:$G381),Q$1)=TRUE,""✓"",""✗"")"),"✗")</f>
        <v>✗</v>
      </c>
      <c r="R381" s="23" t="str">
        <f>IFERROR(__xludf.DUMMYFUNCTION("if(REGEXMATCH(join("", "",$F381:$G381),R$1)=TRUE,""✓"",""✗"")"),"✗")</f>
        <v>✗</v>
      </c>
      <c r="S381" s="23" t="str">
        <f>IFERROR(__xludf.DUMMYFUNCTION("if(REGEXMATCH(join("", "",$F381:$G381),S$1)=TRUE,""✓"",""✗"")"),"✗")</f>
        <v>✗</v>
      </c>
      <c r="T381" s="23" t="str">
        <f>IFERROR(__xludf.DUMMYFUNCTION("if(REGEXMATCH(join("", "",$F381:$G381),T$1)=TRUE,""✓"",""✗"")"),"✗")</f>
        <v>✗</v>
      </c>
      <c r="U381" s="33"/>
      <c r="V381" s="33"/>
      <c r="W381" s="33"/>
      <c r="X381" s="33"/>
      <c r="Y381" s="33"/>
      <c r="Z381" s="33"/>
      <c r="AA381" s="33"/>
      <c r="AB381" s="33"/>
      <c r="AC381" s="33"/>
    </row>
    <row r="382" hidden="1">
      <c r="A382" s="17" t="s">
        <v>302</v>
      </c>
      <c r="B382" s="33"/>
      <c r="C382" s="33"/>
      <c r="D382" s="33"/>
      <c r="E382" s="33"/>
      <c r="F382" s="33"/>
      <c r="G382" s="33"/>
      <c r="H382" s="23" t="str">
        <f>IFERROR(__xludf.DUMMYFUNCTION("if(REGEXMATCH(join("", "",$F382:$G382),H$1)=TRUE,""✓"",""✗"")"),"✗")</f>
        <v>✗</v>
      </c>
      <c r="I382" s="23" t="str">
        <f>IFERROR(__xludf.DUMMYFUNCTION("if(REGEXMATCH(join("", "",$F382:$G382),I$1)=TRUE,""✓"",""✗"")"),"✗")</f>
        <v>✗</v>
      </c>
      <c r="J382" s="23" t="str">
        <f>IFERROR(__xludf.DUMMYFUNCTION("if(REGEXMATCH(join("", "",$F382:$G382),J$1)=TRUE,""✓"",""✗"")"),"✗")</f>
        <v>✗</v>
      </c>
      <c r="K382" s="23" t="str">
        <f>IFERROR(__xludf.DUMMYFUNCTION("if(REGEXMATCH(join("", "",$F382:$G382),K$1)=TRUE,""✓"",""✗"")"),"✗")</f>
        <v>✗</v>
      </c>
      <c r="L382" s="23" t="str">
        <f>IFERROR(__xludf.DUMMYFUNCTION("if(REGEXMATCH(join("", "",$F382:$G382),L$1)=TRUE,""✓"",""✗"")"),"✗")</f>
        <v>✗</v>
      </c>
      <c r="M382" s="23" t="str">
        <f>IFERROR(__xludf.DUMMYFUNCTION("if(REGEXMATCH(join("", "",$F382:$G382),M$1)=TRUE,""✓"",""✗"")"),"✗")</f>
        <v>✗</v>
      </c>
      <c r="N382" s="23" t="str">
        <f>IFERROR(__xludf.DUMMYFUNCTION("if(REGEXMATCH(join("", "",$F382:$G382),N$1)=TRUE,""✓"",""✗"")"),"✗")</f>
        <v>✗</v>
      </c>
      <c r="O382" s="23" t="str">
        <f>IFERROR(__xludf.DUMMYFUNCTION("if(REGEXMATCH(join("", "",$F382:$G382),O$1)=TRUE,""✓"",""✗"")"),"✗")</f>
        <v>✗</v>
      </c>
      <c r="P382" s="23" t="str">
        <f>IFERROR(__xludf.DUMMYFUNCTION("if(REGEXMATCH(join("", "",$F382:$G382),P$1)=TRUE,""✓"",""✗"")"),"✗")</f>
        <v>✗</v>
      </c>
      <c r="Q382" s="23" t="str">
        <f>IFERROR(__xludf.DUMMYFUNCTION("if(REGEXMATCH(join("", "",$F382:$G382),Q$1)=TRUE,""✓"",""✗"")"),"✗")</f>
        <v>✗</v>
      </c>
      <c r="R382" s="23" t="str">
        <f>IFERROR(__xludf.DUMMYFUNCTION("if(REGEXMATCH(join("", "",$F382:$G382),R$1)=TRUE,""✓"",""✗"")"),"✗")</f>
        <v>✗</v>
      </c>
      <c r="S382" s="23" t="str">
        <f>IFERROR(__xludf.DUMMYFUNCTION("if(REGEXMATCH(join("", "",$F382:$G382),S$1)=TRUE,""✓"",""✗"")"),"✗")</f>
        <v>✗</v>
      </c>
      <c r="T382" s="23" t="str">
        <f>IFERROR(__xludf.DUMMYFUNCTION("if(REGEXMATCH(join("", "",$F382:$G382),T$1)=TRUE,""✓"",""✗"")"),"✗")</f>
        <v>✗</v>
      </c>
      <c r="U382" s="33"/>
      <c r="V382" s="33"/>
      <c r="W382" s="33"/>
      <c r="X382" s="33"/>
      <c r="Y382" s="33"/>
      <c r="Z382" s="33"/>
      <c r="AA382" s="33"/>
      <c r="AB382" s="33"/>
      <c r="AC382" s="33"/>
    </row>
    <row r="383" hidden="1">
      <c r="A383" s="17" t="s">
        <v>302</v>
      </c>
      <c r="B383" s="33"/>
      <c r="C383" s="33"/>
      <c r="D383" s="33"/>
      <c r="E383" s="33"/>
      <c r="F383" s="33"/>
      <c r="G383" s="33"/>
      <c r="H383" s="23" t="str">
        <f>IFERROR(__xludf.DUMMYFUNCTION("if(REGEXMATCH(join("", "",$F383:$G383),H$1)=TRUE,""✓"",""✗"")"),"✗")</f>
        <v>✗</v>
      </c>
      <c r="I383" s="23" t="str">
        <f>IFERROR(__xludf.DUMMYFUNCTION("if(REGEXMATCH(join("", "",$F383:$G383),I$1)=TRUE,""✓"",""✗"")"),"✗")</f>
        <v>✗</v>
      </c>
      <c r="J383" s="23" t="str">
        <f>IFERROR(__xludf.DUMMYFUNCTION("if(REGEXMATCH(join("", "",$F383:$G383),J$1)=TRUE,""✓"",""✗"")"),"✗")</f>
        <v>✗</v>
      </c>
      <c r="K383" s="23" t="str">
        <f>IFERROR(__xludf.DUMMYFUNCTION("if(REGEXMATCH(join("", "",$F383:$G383),K$1)=TRUE,""✓"",""✗"")"),"✗")</f>
        <v>✗</v>
      </c>
      <c r="L383" s="23" t="str">
        <f>IFERROR(__xludf.DUMMYFUNCTION("if(REGEXMATCH(join("", "",$F383:$G383),L$1)=TRUE,""✓"",""✗"")"),"✗")</f>
        <v>✗</v>
      </c>
      <c r="M383" s="23" t="str">
        <f>IFERROR(__xludf.DUMMYFUNCTION("if(REGEXMATCH(join("", "",$F383:$G383),M$1)=TRUE,""✓"",""✗"")"),"✗")</f>
        <v>✗</v>
      </c>
      <c r="N383" s="23" t="str">
        <f>IFERROR(__xludf.DUMMYFUNCTION("if(REGEXMATCH(join("", "",$F383:$G383),N$1)=TRUE,""✓"",""✗"")"),"✗")</f>
        <v>✗</v>
      </c>
      <c r="O383" s="23" t="str">
        <f>IFERROR(__xludf.DUMMYFUNCTION("if(REGEXMATCH(join("", "",$F383:$G383),O$1)=TRUE,""✓"",""✗"")"),"✗")</f>
        <v>✗</v>
      </c>
      <c r="P383" s="23" t="str">
        <f>IFERROR(__xludf.DUMMYFUNCTION("if(REGEXMATCH(join("", "",$F383:$G383),P$1)=TRUE,""✓"",""✗"")"),"✗")</f>
        <v>✗</v>
      </c>
      <c r="Q383" s="23" t="str">
        <f>IFERROR(__xludf.DUMMYFUNCTION("if(REGEXMATCH(join("", "",$F383:$G383),Q$1)=TRUE,""✓"",""✗"")"),"✗")</f>
        <v>✗</v>
      </c>
      <c r="R383" s="23" t="str">
        <f>IFERROR(__xludf.DUMMYFUNCTION("if(REGEXMATCH(join("", "",$F383:$G383),R$1)=TRUE,""✓"",""✗"")"),"✗")</f>
        <v>✗</v>
      </c>
      <c r="S383" s="23" t="str">
        <f>IFERROR(__xludf.DUMMYFUNCTION("if(REGEXMATCH(join("", "",$F383:$G383),S$1)=TRUE,""✓"",""✗"")"),"✗")</f>
        <v>✗</v>
      </c>
      <c r="T383" s="23" t="str">
        <f>IFERROR(__xludf.DUMMYFUNCTION("if(REGEXMATCH(join("", "",$F383:$G383),T$1)=TRUE,""✓"",""✗"")"),"✗")</f>
        <v>✗</v>
      </c>
      <c r="U383" s="33"/>
      <c r="V383" s="33"/>
      <c r="W383" s="33"/>
      <c r="X383" s="33"/>
      <c r="Y383" s="33"/>
      <c r="Z383" s="33"/>
      <c r="AA383" s="33"/>
      <c r="AB383" s="33"/>
      <c r="AC383" s="33"/>
    </row>
    <row r="384" hidden="1">
      <c r="A384" s="17" t="s">
        <v>302</v>
      </c>
      <c r="B384" s="33"/>
      <c r="C384" s="33"/>
      <c r="D384" s="33"/>
      <c r="E384" s="33"/>
      <c r="F384" s="33"/>
      <c r="G384" s="33"/>
      <c r="H384" s="23" t="str">
        <f>IFERROR(__xludf.DUMMYFUNCTION("if(REGEXMATCH(join("", "",$F384:$G384),H$1)=TRUE,""✓"",""✗"")"),"✗")</f>
        <v>✗</v>
      </c>
      <c r="I384" s="23" t="str">
        <f>IFERROR(__xludf.DUMMYFUNCTION("if(REGEXMATCH(join("", "",$F384:$G384),I$1)=TRUE,""✓"",""✗"")"),"✗")</f>
        <v>✗</v>
      </c>
      <c r="J384" s="23" t="str">
        <f>IFERROR(__xludf.DUMMYFUNCTION("if(REGEXMATCH(join("", "",$F384:$G384),J$1)=TRUE,""✓"",""✗"")"),"✗")</f>
        <v>✗</v>
      </c>
      <c r="K384" s="23" t="str">
        <f>IFERROR(__xludf.DUMMYFUNCTION("if(REGEXMATCH(join("", "",$F384:$G384),K$1)=TRUE,""✓"",""✗"")"),"✗")</f>
        <v>✗</v>
      </c>
      <c r="L384" s="23" t="str">
        <f>IFERROR(__xludf.DUMMYFUNCTION("if(REGEXMATCH(join("", "",$F384:$G384),L$1)=TRUE,""✓"",""✗"")"),"✗")</f>
        <v>✗</v>
      </c>
      <c r="M384" s="23" t="str">
        <f>IFERROR(__xludf.DUMMYFUNCTION("if(REGEXMATCH(join("", "",$F384:$G384),M$1)=TRUE,""✓"",""✗"")"),"✗")</f>
        <v>✗</v>
      </c>
      <c r="N384" s="23" t="str">
        <f>IFERROR(__xludf.DUMMYFUNCTION("if(REGEXMATCH(join("", "",$F384:$G384),N$1)=TRUE,""✓"",""✗"")"),"✗")</f>
        <v>✗</v>
      </c>
      <c r="O384" s="23" t="str">
        <f>IFERROR(__xludf.DUMMYFUNCTION("if(REGEXMATCH(join("", "",$F384:$G384),O$1)=TRUE,""✓"",""✗"")"),"✗")</f>
        <v>✗</v>
      </c>
      <c r="P384" s="23" t="str">
        <f>IFERROR(__xludf.DUMMYFUNCTION("if(REGEXMATCH(join("", "",$F384:$G384),P$1)=TRUE,""✓"",""✗"")"),"✗")</f>
        <v>✗</v>
      </c>
      <c r="Q384" s="23" t="str">
        <f>IFERROR(__xludf.DUMMYFUNCTION("if(REGEXMATCH(join("", "",$F384:$G384),Q$1)=TRUE,""✓"",""✗"")"),"✗")</f>
        <v>✗</v>
      </c>
      <c r="R384" s="23" t="str">
        <f>IFERROR(__xludf.DUMMYFUNCTION("if(REGEXMATCH(join("", "",$F384:$G384),R$1)=TRUE,""✓"",""✗"")"),"✗")</f>
        <v>✗</v>
      </c>
      <c r="S384" s="23" t="str">
        <f>IFERROR(__xludf.DUMMYFUNCTION("if(REGEXMATCH(join("", "",$F384:$G384),S$1)=TRUE,""✓"",""✗"")"),"✗")</f>
        <v>✗</v>
      </c>
      <c r="T384" s="23" t="str">
        <f>IFERROR(__xludf.DUMMYFUNCTION("if(REGEXMATCH(join("", "",$F384:$G384),T$1)=TRUE,""✓"",""✗"")"),"✗")</f>
        <v>✗</v>
      </c>
      <c r="U384" s="33"/>
      <c r="V384" s="33"/>
      <c r="W384" s="33"/>
      <c r="X384" s="33"/>
      <c r="Y384" s="33"/>
      <c r="Z384" s="33"/>
      <c r="AA384" s="33"/>
      <c r="AB384" s="33"/>
      <c r="AC384" s="33"/>
    </row>
    <row r="385" hidden="1">
      <c r="A385" s="17" t="s">
        <v>302</v>
      </c>
      <c r="B385" s="33"/>
      <c r="C385" s="33"/>
      <c r="D385" s="33"/>
      <c r="E385" s="33"/>
      <c r="F385" s="33"/>
      <c r="G385" s="33"/>
      <c r="H385" s="23" t="str">
        <f>IFERROR(__xludf.DUMMYFUNCTION("if(REGEXMATCH(join("", "",$F385:$G385),H$1)=TRUE,""✓"",""✗"")"),"✗")</f>
        <v>✗</v>
      </c>
      <c r="I385" s="23" t="str">
        <f>IFERROR(__xludf.DUMMYFUNCTION("if(REGEXMATCH(join("", "",$F385:$G385),I$1)=TRUE,""✓"",""✗"")"),"✗")</f>
        <v>✗</v>
      </c>
      <c r="J385" s="23" t="str">
        <f>IFERROR(__xludf.DUMMYFUNCTION("if(REGEXMATCH(join("", "",$F385:$G385),J$1)=TRUE,""✓"",""✗"")"),"✗")</f>
        <v>✗</v>
      </c>
      <c r="K385" s="23" t="str">
        <f>IFERROR(__xludf.DUMMYFUNCTION("if(REGEXMATCH(join("", "",$F385:$G385),K$1)=TRUE,""✓"",""✗"")"),"✗")</f>
        <v>✗</v>
      </c>
      <c r="L385" s="23" t="str">
        <f>IFERROR(__xludf.DUMMYFUNCTION("if(REGEXMATCH(join("", "",$F385:$G385),L$1)=TRUE,""✓"",""✗"")"),"✗")</f>
        <v>✗</v>
      </c>
      <c r="M385" s="23" t="str">
        <f>IFERROR(__xludf.DUMMYFUNCTION("if(REGEXMATCH(join("", "",$F385:$G385),M$1)=TRUE,""✓"",""✗"")"),"✗")</f>
        <v>✗</v>
      </c>
      <c r="N385" s="23" t="str">
        <f>IFERROR(__xludf.DUMMYFUNCTION("if(REGEXMATCH(join("", "",$F385:$G385),N$1)=TRUE,""✓"",""✗"")"),"✗")</f>
        <v>✗</v>
      </c>
      <c r="O385" s="23" t="str">
        <f>IFERROR(__xludf.DUMMYFUNCTION("if(REGEXMATCH(join("", "",$F385:$G385),O$1)=TRUE,""✓"",""✗"")"),"✗")</f>
        <v>✗</v>
      </c>
      <c r="P385" s="23" t="str">
        <f>IFERROR(__xludf.DUMMYFUNCTION("if(REGEXMATCH(join("", "",$F385:$G385),P$1)=TRUE,""✓"",""✗"")"),"✗")</f>
        <v>✗</v>
      </c>
      <c r="Q385" s="23" t="str">
        <f>IFERROR(__xludf.DUMMYFUNCTION("if(REGEXMATCH(join("", "",$F385:$G385),Q$1)=TRUE,""✓"",""✗"")"),"✗")</f>
        <v>✗</v>
      </c>
      <c r="R385" s="23" t="str">
        <f>IFERROR(__xludf.DUMMYFUNCTION("if(REGEXMATCH(join("", "",$F385:$G385),R$1)=TRUE,""✓"",""✗"")"),"✗")</f>
        <v>✗</v>
      </c>
      <c r="S385" s="23" t="str">
        <f>IFERROR(__xludf.DUMMYFUNCTION("if(REGEXMATCH(join("", "",$F385:$G385),S$1)=TRUE,""✓"",""✗"")"),"✗")</f>
        <v>✗</v>
      </c>
      <c r="T385" s="23" t="str">
        <f>IFERROR(__xludf.DUMMYFUNCTION("if(REGEXMATCH(join("", "",$F385:$G385),T$1)=TRUE,""✓"",""✗"")"),"✗")</f>
        <v>✗</v>
      </c>
      <c r="U385" s="33"/>
      <c r="V385" s="33"/>
      <c r="W385" s="33"/>
      <c r="X385" s="33"/>
      <c r="Y385" s="33"/>
      <c r="Z385" s="33"/>
      <c r="AA385" s="33"/>
      <c r="AB385" s="33"/>
      <c r="AC385" s="33"/>
    </row>
    <row r="386" hidden="1">
      <c r="A386" s="17" t="s">
        <v>302</v>
      </c>
      <c r="B386" s="33"/>
      <c r="C386" s="33"/>
      <c r="D386" s="33"/>
      <c r="E386" s="33"/>
      <c r="F386" s="33"/>
      <c r="G386" s="33"/>
      <c r="H386" s="23" t="str">
        <f>IFERROR(__xludf.DUMMYFUNCTION("if(REGEXMATCH(join("", "",$F386:$G386),H$1)=TRUE,""✓"",""✗"")"),"✗")</f>
        <v>✗</v>
      </c>
      <c r="I386" s="23" t="str">
        <f>IFERROR(__xludf.DUMMYFUNCTION("if(REGEXMATCH(join("", "",$F386:$G386),I$1)=TRUE,""✓"",""✗"")"),"✗")</f>
        <v>✗</v>
      </c>
      <c r="J386" s="23" t="str">
        <f>IFERROR(__xludf.DUMMYFUNCTION("if(REGEXMATCH(join("", "",$F386:$G386),J$1)=TRUE,""✓"",""✗"")"),"✗")</f>
        <v>✗</v>
      </c>
      <c r="K386" s="23" t="str">
        <f>IFERROR(__xludf.DUMMYFUNCTION("if(REGEXMATCH(join("", "",$F386:$G386),K$1)=TRUE,""✓"",""✗"")"),"✗")</f>
        <v>✗</v>
      </c>
      <c r="L386" s="23" t="str">
        <f>IFERROR(__xludf.DUMMYFUNCTION("if(REGEXMATCH(join("", "",$F386:$G386),L$1)=TRUE,""✓"",""✗"")"),"✗")</f>
        <v>✗</v>
      </c>
      <c r="M386" s="23" t="str">
        <f>IFERROR(__xludf.DUMMYFUNCTION("if(REGEXMATCH(join("", "",$F386:$G386),M$1)=TRUE,""✓"",""✗"")"),"✗")</f>
        <v>✗</v>
      </c>
      <c r="N386" s="23" t="str">
        <f>IFERROR(__xludf.DUMMYFUNCTION("if(REGEXMATCH(join("", "",$F386:$G386),N$1)=TRUE,""✓"",""✗"")"),"✗")</f>
        <v>✗</v>
      </c>
      <c r="O386" s="23" t="str">
        <f>IFERROR(__xludf.DUMMYFUNCTION("if(REGEXMATCH(join("", "",$F386:$G386),O$1)=TRUE,""✓"",""✗"")"),"✗")</f>
        <v>✗</v>
      </c>
      <c r="P386" s="23" t="str">
        <f>IFERROR(__xludf.DUMMYFUNCTION("if(REGEXMATCH(join("", "",$F386:$G386),P$1)=TRUE,""✓"",""✗"")"),"✗")</f>
        <v>✗</v>
      </c>
      <c r="Q386" s="23" t="str">
        <f>IFERROR(__xludf.DUMMYFUNCTION("if(REGEXMATCH(join("", "",$F386:$G386),Q$1)=TRUE,""✓"",""✗"")"),"✗")</f>
        <v>✗</v>
      </c>
      <c r="R386" s="23" t="str">
        <f>IFERROR(__xludf.DUMMYFUNCTION("if(REGEXMATCH(join("", "",$F386:$G386),R$1)=TRUE,""✓"",""✗"")"),"✗")</f>
        <v>✗</v>
      </c>
      <c r="S386" s="23" t="str">
        <f>IFERROR(__xludf.DUMMYFUNCTION("if(REGEXMATCH(join("", "",$F386:$G386),S$1)=TRUE,""✓"",""✗"")"),"✗")</f>
        <v>✗</v>
      </c>
      <c r="T386" s="23" t="str">
        <f>IFERROR(__xludf.DUMMYFUNCTION("if(REGEXMATCH(join("", "",$F386:$G386),T$1)=TRUE,""✓"",""✗"")"),"✗")</f>
        <v>✗</v>
      </c>
      <c r="U386" s="33"/>
      <c r="V386" s="33"/>
      <c r="W386" s="33"/>
      <c r="X386" s="33"/>
      <c r="Y386" s="33"/>
      <c r="Z386" s="33"/>
      <c r="AA386" s="33"/>
      <c r="AB386" s="33"/>
      <c r="AC386" s="33"/>
    </row>
    <row r="387" hidden="1">
      <c r="A387" s="17" t="s">
        <v>302</v>
      </c>
      <c r="B387" s="33"/>
      <c r="C387" s="33"/>
      <c r="D387" s="33"/>
      <c r="E387" s="33"/>
      <c r="F387" s="33"/>
      <c r="G387" s="33"/>
      <c r="H387" s="23" t="str">
        <f>IFERROR(__xludf.DUMMYFUNCTION("if(REGEXMATCH(join("", "",$F387:$G387),H$1)=TRUE,""✓"",""✗"")"),"✗")</f>
        <v>✗</v>
      </c>
      <c r="I387" s="23" t="str">
        <f>IFERROR(__xludf.DUMMYFUNCTION("if(REGEXMATCH(join("", "",$F387:$G387),I$1)=TRUE,""✓"",""✗"")"),"✗")</f>
        <v>✗</v>
      </c>
      <c r="J387" s="23" t="str">
        <f>IFERROR(__xludf.DUMMYFUNCTION("if(REGEXMATCH(join("", "",$F387:$G387),J$1)=TRUE,""✓"",""✗"")"),"✗")</f>
        <v>✗</v>
      </c>
      <c r="K387" s="23" t="str">
        <f>IFERROR(__xludf.DUMMYFUNCTION("if(REGEXMATCH(join("", "",$F387:$G387),K$1)=TRUE,""✓"",""✗"")"),"✗")</f>
        <v>✗</v>
      </c>
      <c r="L387" s="23" t="str">
        <f>IFERROR(__xludf.DUMMYFUNCTION("if(REGEXMATCH(join("", "",$F387:$G387),L$1)=TRUE,""✓"",""✗"")"),"✗")</f>
        <v>✗</v>
      </c>
      <c r="M387" s="23" t="str">
        <f>IFERROR(__xludf.DUMMYFUNCTION("if(REGEXMATCH(join("", "",$F387:$G387),M$1)=TRUE,""✓"",""✗"")"),"✗")</f>
        <v>✗</v>
      </c>
      <c r="N387" s="23" t="str">
        <f>IFERROR(__xludf.DUMMYFUNCTION("if(REGEXMATCH(join("", "",$F387:$G387),N$1)=TRUE,""✓"",""✗"")"),"✗")</f>
        <v>✗</v>
      </c>
      <c r="O387" s="23" t="str">
        <f>IFERROR(__xludf.DUMMYFUNCTION("if(REGEXMATCH(join("", "",$F387:$G387),O$1)=TRUE,""✓"",""✗"")"),"✗")</f>
        <v>✗</v>
      </c>
      <c r="P387" s="23" t="str">
        <f>IFERROR(__xludf.DUMMYFUNCTION("if(REGEXMATCH(join("", "",$F387:$G387),P$1)=TRUE,""✓"",""✗"")"),"✗")</f>
        <v>✗</v>
      </c>
      <c r="Q387" s="23" t="str">
        <f>IFERROR(__xludf.DUMMYFUNCTION("if(REGEXMATCH(join("", "",$F387:$G387),Q$1)=TRUE,""✓"",""✗"")"),"✗")</f>
        <v>✗</v>
      </c>
      <c r="R387" s="23" t="str">
        <f>IFERROR(__xludf.DUMMYFUNCTION("if(REGEXMATCH(join("", "",$F387:$G387),R$1)=TRUE,""✓"",""✗"")"),"✗")</f>
        <v>✗</v>
      </c>
      <c r="S387" s="23" t="str">
        <f>IFERROR(__xludf.DUMMYFUNCTION("if(REGEXMATCH(join("", "",$F387:$G387),S$1)=TRUE,""✓"",""✗"")"),"✗")</f>
        <v>✗</v>
      </c>
      <c r="T387" s="23" t="str">
        <f>IFERROR(__xludf.DUMMYFUNCTION("if(REGEXMATCH(join("", "",$F387:$G387),T$1)=TRUE,""✓"",""✗"")"),"✗")</f>
        <v>✗</v>
      </c>
      <c r="U387" s="33"/>
      <c r="V387" s="33"/>
      <c r="W387" s="33"/>
      <c r="X387" s="33"/>
      <c r="Y387" s="33"/>
      <c r="Z387" s="33"/>
      <c r="AA387" s="33"/>
      <c r="AB387" s="33"/>
      <c r="AC387" s="33"/>
    </row>
    <row r="388" hidden="1">
      <c r="A388" s="17" t="s">
        <v>302</v>
      </c>
      <c r="B388" s="33"/>
      <c r="C388" s="33"/>
      <c r="D388" s="33"/>
      <c r="E388" s="33"/>
      <c r="F388" s="33"/>
      <c r="G388" s="33"/>
      <c r="H388" s="23" t="str">
        <f>IFERROR(__xludf.DUMMYFUNCTION("if(REGEXMATCH(join("", "",$F388:$G388),H$1)=TRUE,""✓"",""✗"")"),"✗")</f>
        <v>✗</v>
      </c>
      <c r="I388" s="23" t="str">
        <f>IFERROR(__xludf.DUMMYFUNCTION("if(REGEXMATCH(join("", "",$F388:$G388),I$1)=TRUE,""✓"",""✗"")"),"✗")</f>
        <v>✗</v>
      </c>
      <c r="J388" s="23" t="str">
        <f>IFERROR(__xludf.DUMMYFUNCTION("if(REGEXMATCH(join("", "",$F388:$G388),J$1)=TRUE,""✓"",""✗"")"),"✗")</f>
        <v>✗</v>
      </c>
      <c r="K388" s="23" t="str">
        <f>IFERROR(__xludf.DUMMYFUNCTION("if(REGEXMATCH(join("", "",$F388:$G388),K$1)=TRUE,""✓"",""✗"")"),"✗")</f>
        <v>✗</v>
      </c>
      <c r="L388" s="23" t="str">
        <f>IFERROR(__xludf.DUMMYFUNCTION("if(REGEXMATCH(join("", "",$F388:$G388),L$1)=TRUE,""✓"",""✗"")"),"✗")</f>
        <v>✗</v>
      </c>
      <c r="M388" s="23" t="str">
        <f>IFERROR(__xludf.DUMMYFUNCTION("if(REGEXMATCH(join("", "",$F388:$G388),M$1)=TRUE,""✓"",""✗"")"),"✗")</f>
        <v>✗</v>
      </c>
      <c r="N388" s="23" t="str">
        <f>IFERROR(__xludf.DUMMYFUNCTION("if(REGEXMATCH(join("", "",$F388:$G388),N$1)=TRUE,""✓"",""✗"")"),"✗")</f>
        <v>✗</v>
      </c>
      <c r="O388" s="23" t="str">
        <f>IFERROR(__xludf.DUMMYFUNCTION("if(REGEXMATCH(join("", "",$F388:$G388),O$1)=TRUE,""✓"",""✗"")"),"✗")</f>
        <v>✗</v>
      </c>
      <c r="P388" s="23" t="str">
        <f>IFERROR(__xludf.DUMMYFUNCTION("if(REGEXMATCH(join("", "",$F388:$G388),P$1)=TRUE,""✓"",""✗"")"),"✗")</f>
        <v>✗</v>
      </c>
      <c r="Q388" s="23" t="str">
        <f>IFERROR(__xludf.DUMMYFUNCTION("if(REGEXMATCH(join("", "",$F388:$G388),Q$1)=TRUE,""✓"",""✗"")"),"✗")</f>
        <v>✗</v>
      </c>
      <c r="R388" s="23" t="str">
        <f>IFERROR(__xludf.DUMMYFUNCTION("if(REGEXMATCH(join("", "",$F388:$G388),R$1)=TRUE,""✓"",""✗"")"),"✗")</f>
        <v>✗</v>
      </c>
      <c r="S388" s="23" t="str">
        <f>IFERROR(__xludf.DUMMYFUNCTION("if(REGEXMATCH(join("", "",$F388:$G388),S$1)=TRUE,""✓"",""✗"")"),"✗")</f>
        <v>✗</v>
      </c>
      <c r="T388" s="23" t="str">
        <f>IFERROR(__xludf.DUMMYFUNCTION("if(REGEXMATCH(join("", "",$F388:$G388),T$1)=TRUE,""✓"",""✗"")"),"✗")</f>
        <v>✗</v>
      </c>
      <c r="U388" s="33"/>
      <c r="V388" s="33"/>
      <c r="W388" s="33"/>
      <c r="X388" s="33"/>
      <c r="Y388" s="33"/>
      <c r="Z388" s="33"/>
      <c r="AA388" s="33"/>
      <c r="AB388" s="33"/>
      <c r="AC388" s="33"/>
    </row>
    <row r="389" hidden="1">
      <c r="A389" s="17" t="s">
        <v>302</v>
      </c>
      <c r="B389" s="33"/>
      <c r="C389" s="33"/>
      <c r="D389" s="33"/>
      <c r="E389" s="33"/>
      <c r="F389" s="33"/>
      <c r="G389" s="33"/>
      <c r="H389" s="23" t="str">
        <f>IFERROR(__xludf.DUMMYFUNCTION("if(REGEXMATCH(join("", "",$F389:$G389),H$1)=TRUE,""✓"",""✗"")"),"✗")</f>
        <v>✗</v>
      </c>
      <c r="I389" s="23" t="str">
        <f>IFERROR(__xludf.DUMMYFUNCTION("if(REGEXMATCH(join("", "",$F389:$G389),I$1)=TRUE,""✓"",""✗"")"),"✗")</f>
        <v>✗</v>
      </c>
      <c r="J389" s="23" t="str">
        <f>IFERROR(__xludf.DUMMYFUNCTION("if(REGEXMATCH(join("", "",$F389:$G389),J$1)=TRUE,""✓"",""✗"")"),"✗")</f>
        <v>✗</v>
      </c>
      <c r="K389" s="23" t="str">
        <f>IFERROR(__xludf.DUMMYFUNCTION("if(REGEXMATCH(join("", "",$F389:$G389),K$1)=TRUE,""✓"",""✗"")"),"✗")</f>
        <v>✗</v>
      </c>
      <c r="L389" s="23" t="str">
        <f>IFERROR(__xludf.DUMMYFUNCTION("if(REGEXMATCH(join("", "",$F389:$G389),L$1)=TRUE,""✓"",""✗"")"),"✗")</f>
        <v>✗</v>
      </c>
      <c r="M389" s="23" t="str">
        <f>IFERROR(__xludf.DUMMYFUNCTION("if(REGEXMATCH(join("", "",$F389:$G389),M$1)=TRUE,""✓"",""✗"")"),"✗")</f>
        <v>✗</v>
      </c>
      <c r="N389" s="23" t="str">
        <f>IFERROR(__xludf.DUMMYFUNCTION("if(REGEXMATCH(join("", "",$F389:$G389),N$1)=TRUE,""✓"",""✗"")"),"✗")</f>
        <v>✗</v>
      </c>
      <c r="O389" s="23" t="str">
        <f>IFERROR(__xludf.DUMMYFUNCTION("if(REGEXMATCH(join("", "",$F389:$G389),O$1)=TRUE,""✓"",""✗"")"),"✗")</f>
        <v>✗</v>
      </c>
      <c r="P389" s="23" t="str">
        <f>IFERROR(__xludf.DUMMYFUNCTION("if(REGEXMATCH(join("", "",$F389:$G389),P$1)=TRUE,""✓"",""✗"")"),"✗")</f>
        <v>✗</v>
      </c>
      <c r="Q389" s="23" t="str">
        <f>IFERROR(__xludf.DUMMYFUNCTION("if(REGEXMATCH(join("", "",$F389:$G389),Q$1)=TRUE,""✓"",""✗"")"),"✗")</f>
        <v>✗</v>
      </c>
      <c r="R389" s="23" t="str">
        <f>IFERROR(__xludf.DUMMYFUNCTION("if(REGEXMATCH(join("", "",$F389:$G389),R$1)=TRUE,""✓"",""✗"")"),"✗")</f>
        <v>✗</v>
      </c>
      <c r="S389" s="23" t="str">
        <f>IFERROR(__xludf.DUMMYFUNCTION("if(REGEXMATCH(join("", "",$F389:$G389),S$1)=TRUE,""✓"",""✗"")"),"✗")</f>
        <v>✗</v>
      </c>
      <c r="T389" s="23" t="str">
        <f>IFERROR(__xludf.DUMMYFUNCTION("if(REGEXMATCH(join("", "",$F389:$G389),T$1)=TRUE,""✓"",""✗"")"),"✗")</f>
        <v>✗</v>
      </c>
      <c r="U389" s="33"/>
      <c r="V389" s="33"/>
      <c r="W389" s="33"/>
      <c r="X389" s="33"/>
      <c r="Y389" s="33"/>
      <c r="Z389" s="33"/>
      <c r="AA389" s="33"/>
      <c r="AB389" s="33"/>
      <c r="AC389" s="33"/>
    </row>
    <row r="390" hidden="1">
      <c r="A390" s="17" t="s">
        <v>302</v>
      </c>
      <c r="B390" s="33"/>
      <c r="C390" s="33"/>
      <c r="D390" s="33"/>
      <c r="E390" s="33"/>
      <c r="F390" s="33"/>
      <c r="G390" s="33"/>
      <c r="H390" s="23" t="str">
        <f>IFERROR(__xludf.DUMMYFUNCTION("if(REGEXMATCH(join("", "",$F390:$G390),H$1)=TRUE,""✓"",""✗"")"),"✗")</f>
        <v>✗</v>
      </c>
      <c r="I390" s="23" t="str">
        <f>IFERROR(__xludf.DUMMYFUNCTION("if(REGEXMATCH(join("", "",$F390:$G390),I$1)=TRUE,""✓"",""✗"")"),"✗")</f>
        <v>✗</v>
      </c>
      <c r="J390" s="23" t="str">
        <f>IFERROR(__xludf.DUMMYFUNCTION("if(REGEXMATCH(join("", "",$F390:$G390),J$1)=TRUE,""✓"",""✗"")"),"✗")</f>
        <v>✗</v>
      </c>
      <c r="K390" s="23" t="str">
        <f>IFERROR(__xludf.DUMMYFUNCTION("if(REGEXMATCH(join("", "",$F390:$G390),K$1)=TRUE,""✓"",""✗"")"),"✗")</f>
        <v>✗</v>
      </c>
      <c r="L390" s="23" t="str">
        <f>IFERROR(__xludf.DUMMYFUNCTION("if(REGEXMATCH(join("", "",$F390:$G390),L$1)=TRUE,""✓"",""✗"")"),"✗")</f>
        <v>✗</v>
      </c>
      <c r="M390" s="23" t="str">
        <f>IFERROR(__xludf.DUMMYFUNCTION("if(REGEXMATCH(join("", "",$F390:$G390),M$1)=TRUE,""✓"",""✗"")"),"✗")</f>
        <v>✗</v>
      </c>
      <c r="N390" s="23" t="str">
        <f>IFERROR(__xludf.DUMMYFUNCTION("if(REGEXMATCH(join("", "",$F390:$G390),N$1)=TRUE,""✓"",""✗"")"),"✗")</f>
        <v>✗</v>
      </c>
      <c r="O390" s="23" t="str">
        <f>IFERROR(__xludf.DUMMYFUNCTION("if(REGEXMATCH(join("", "",$F390:$G390),O$1)=TRUE,""✓"",""✗"")"),"✗")</f>
        <v>✗</v>
      </c>
      <c r="P390" s="23" t="str">
        <f>IFERROR(__xludf.DUMMYFUNCTION("if(REGEXMATCH(join("", "",$F390:$G390),P$1)=TRUE,""✓"",""✗"")"),"✗")</f>
        <v>✗</v>
      </c>
      <c r="Q390" s="23" t="str">
        <f>IFERROR(__xludf.DUMMYFUNCTION("if(REGEXMATCH(join("", "",$F390:$G390),Q$1)=TRUE,""✓"",""✗"")"),"✗")</f>
        <v>✗</v>
      </c>
      <c r="R390" s="23" t="str">
        <f>IFERROR(__xludf.DUMMYFUNCTION("if(REGEXMATCH(join("", "",$F390:$G390),R$1)=TRUE,""✓"",""✗"")"),"✗")</f>
        <v>✗</v>
      </c>
      <c r="S390" s="23" t="str">
        <f>IFERROR(__xludf.DUMMYFUNCTION("if(REGEXMATCH(join("", "",$F390:$G390),S$1)=TRUE,""✓"",""✗"")"),"✗")</f>
        <v>✗</v>
      </c>
      <c r="T390" s="23" t="str">
        <f>IFERROR(__xludf.DUMMYFUNCTION("if(REGEXMATCH(join("", "",$F390:$G390),T$1)=TRUE,""✓"",""✗"")"),"✗")</f>
        <v>✗</v>
      </c>
      <c r="U390" s="33"/>
      <c r="V390" s="33"/>
      <c r="W390" s="33"/>
      <c r="X390" s="33"/>
      <c r="Y390" s="33"/>
      <c r="Z390" s="33"/>
      <c r="AA390" s="33"/>
      <c r="AB390" s="33"/>
      <c r="AC390" s="33"/>
    </row>
    <row r="391" hidden="1">
      <c r="A391" s="17" t="s">
        <v>302</v>
      </c>
      <c r="B391" s="33"/>
      <c r="C391" s="33"/>
      <c r="D391" s="33"/>
      <c r="E391" s="33"/>
      <c r="F391" s="33"/>
      <c r="G391" s="33"/>
      <c r="H391" s="23" t="str">
        <f>IFERROR(__xludf.DUMMYFUNCTION("if(REGEXMATCH(join("", "",$F391:$G391),H$1)=TRUE,""✓"",""✗"")"),"✗")</f>
        <v>✗</v>
      </c>
      <c r="I391" s="23" t="str">
        <f>IFERROR(__xludf.DUMMYFUNCTION("if(REGEXMATCH(join("", "",$F391:$G391),I$1)=TRUE,""✓"",""✗"")"),"✗")</f>
        <v>✗</v>
      </c>
      <c r="J391" s="23" t="str">
        <f>IFERROR(__xludf.DUMMYFUNCTION("if(REGEXMATCH(join("", "",$F391:$G391),J$1)=TRUE,""✓"",""✗"")"),"✗")</f>
        <v>✗</v>
      </c>
      <c r="K391" s="23" t="str">
        <f>IFERROR(__xludf.DUMMYFUNCTION("if(REGEXMATCH(join("", "",$F391:$G391),K$1)=TRUE,""✓"",""✗"")"),"✗")</f>
        <v>✗</v>
      </c>
      <c r="L391" s="23" t="str">
        <f>IFERROR(__xludf.DUMMYFUNCTION("if(REGEXMATCH(join("", "",$F391:$G391),L$1)=TRUE,""✓"",""✗"")"),"✗")</f>
        <v>✗</v>
      </c>
      <c r="M391" s="23" t="str">
        <f>IFERROR(__xludf.DUMMYFUNCTION("if(REGEXMATCH(join("", "",$F391:$G391),M$1)=TRUE,""✓"",""✗"")"),"✗")</f>
        <v>✗</v>
      </c>
      <c r="N391" s="23" t="str">
        <f>IFERROR(__xludf.DUMMYFUNCTION("if(REGEXMATCH(join("", "",$F391:$G391),N$1)=TRUE,""✓"",""✗"")"),"✗")</f>
        <v>✗</v>
      </c>
      <c r="O391" s="23" t="str">
        <f>IFERROR(__xludf.DUMMYFUNCTION("if(REGEXMATCH(join("", "",$F391:$G391),O$1)=TRUE,""✓"",""✗"")"),"✗")</f>
        <v>✗</v>
      </c>
      <c r="P391" s="23" t="str">
        <f>IFERROR(__xludf.DUMMYFUNCTION("if(REGEXMATCH(join("", "",$F391:$G391),P$1)=TRUE,""✓"",""✗"")"),"✗")</f>
        <v>✗</v>
      </c>
      <c r="Q391" s="23" t="str">
        <f>IFERROR(__xludf.DUMMYFUNCTION("if(REGEXMATCH(join("", "",$F391:$G391),Q$1)=TRUE,""✓"",""✗"")"),"✗")</f>
        <v>✗</v>
      </c>
      <c r="R391" s="23" t="str">
        <f>IFERROR(__xludf.DUMMYFUNCTION("if(REGEXMATCH(join("", "",$F391:$G391),R$1)=TRUE,""✓"",""✗"")"),"✗")</f>
        <v>✗</v>
      </c>
      <c r="S391" s="23" t="str">
        <f>IFERROR(__xludf.DUMMYFUNCTION("if(REGEXMATCH(join("", "",$F391:$G391),S$1)=TRUE,""✓"",""✗"")"),"✗")</f>
        <v>✗</v>
      </c>
      <c r="T391" s="23" t="str">
        <f>IFERROR(__xludf.DUMMYFUNCTION("if(REGEXMATCH(join("", "",$F391:$G391),T$1)=TRUE,""✓"",""✗"")"),"✗")</f>
        <v>✗</v>
      </c>
      <c r="U391" s="33"/>
      <c r="V391" s="33"/>
      <c r="W391" s="33"/>
      <c r="X391" s="33"/>
      <c r="Y391" s="33"/>
      <c r="Z391" s="33"/>
      <c r="AA391" s="33"/>
      <c r="AB391" s="33"/>
      <c r="AC391" s="33"/>
    </row>
    <row r="392" hidden="1">
      <c r="A392" s="17" t="s">
        <v>302</v>
      </c>
      <c r="B392" s="33"/>
      <c r="C392" s="33"/>
      <c r="D392" s="33"/>
      <c r="E392" s="33"/>
      <c r="F392" s="33"/>
      <c r="G392" s="33"/>
      <c r="H392" s="23" t="str">
        <f>IFERROR(__xludf.DUMMYFUNCTION("if(REGEXMATCH(join("", "",$F392:$G392),H$1)=TRUE,""✓"",""✗"")"),"✗")</f>
        <v>✗</v>
      </c>
      <c r="I392" s="23" t="str">
        <f>IFERROR(__xludf.DUMMYFUNCTION("if(REGEXMATCH(join("", "",$F392:$G392),I$1)=TRUE,""✓"",""✗"")"),"✗")</f>
        <v>✗</v>
      </c>
      <c r="J392" s="23" t="str">
        <f>IFERROR(__xludf.DUMMYFUNCTION("if(REGEXMATCH(join("", "",$F392:$G392),J$1)=TRUE,""✓"",""✗"")"),"✗")</f>
        <v>✗</v>
      </c>
      <c r="K392" s="23" t="str">
        <f>IFERROR(__xludf.DUMMYFUNCTION("if(REGEXMATCH(join("", "",$F392:$G392),K$1)=TRUE,""✓"",""✗"")"),"✗")</f>
        <v>✗</v>
      </c>
      <c r="L392" s="23" t="str">
        <f>IFERROR(__xludf.DUMMYFUNCTION("if(REGEXMATCH(join("", "",$F392:$G392),L$1)=TRUE,""✓"",""✗"")"),"✗")</f>
        <v>✗</v>
      </c>
      <c r="M392" s="23" t="str">
        <f>IFERROR(__xludf.DUMMYFUNCTION("if(REGEXMATCH(join("", "",$F392:$G392),M$1)=TRUE,""✓"",""✗"")"),"✗")</f>
        <v>✗</v>
      </c>
      <c r="N392" s="23" t="str">
        <f>IFERROR(__xludf.DUMMYFUNCTION("if(REGEXMATCH(join("", "",$F392:$G392),N$1)=TRUE,""✓"",""✗"")"),"✗")</f>
        <v>✗</v>
      </c>
      <c r="O392" s="23" t="str">
        <f>IFERROR(__xludf.DUMMYFUNCTION("if(REGEXMATCH(join("", "",$F392:$G392),O$1)=TRUE,""✓"",""✗"")"),"✗")</f>
        <v>✗</v>
      </c>
      <c r="P392" s="23" t="str">
        <f>IFERROR(__xludf.DUMMYFUNCTION("if(REGEXMATCH(join("", "",$F392:$G392),P$1)=TRUE,""✓"",""✗"")"),"✗")</f>
        <v>✗</v>
      </c>
      <c r="Q392" s="23" t="str">
        <f>IFERROR(__xludf.DUMMYFUNCTION("if(REGEXMATCH(join("", "",$F392:$G392),Q$1)=TRUE,""✓"",""✗"")"),"✗")</f>
        <v>✗</v>
      </c>
      <c r="R392" s="23" t="str">
        <f>IFERROR(__xludf.DUMMYFUNCTION("if(REGEXMATCH(join("", "",$F392:$G392),R$1)=TRUE,""✓"",""✗"")"),"✗")</f>
        <v>✗</v>
      </c>
      <c r="S392" s="23" t="str">
        <f>IFERROR(__xludf.DUMMYFUNCTION("if(REGEXMATCH(join("", "",$F392:$G392),S$1)=TRUE,""✓"",""✗"")"),"✗")</f>
        <v>✗</v>
      </c>
      <c r="T392" s="23" t="str">
        <f>IFERROR(__xludf.DUMMYFUNCTION("if(REGEXMATCH(join("", "",$F392:$G392),T$1)=TRUE,""✓"",""✗"")"),"✗")</f>
        <v>✗</v>
      </c>
      <c r="U392" s="33"/>
      <c r="V392" s="33"/>
      <c r="W392" s="33"/>
      <c r="X392" s="33"/>
      <c r="Y392" s="33"/>
      <c r="Z392" s="33"/>
      <c r="AA392" s="33"/>
      <c r="AB392" s="33"/>
      <c r="AC392" s="33"/>
    </row>
    <row r="393" hidden="1">
      <c r="A393" s="17" t="s">
        <v>302</v>
      </c>
      <c r="B393" s="33"/>
      <c r="C393" s="33"/>
      <c r="D393" s="33"/>
      <c r="E393" s="33"/>
      <c r="F393" s="33"/>
      <c r="G393" s="33"/>
      <c r="H393" s="23" t="str">
        <f>IFERROR(__xludf.DUMMYFUNCTION("if(REGEXMATCH(join("", "",$F393:$G393),H$1)=TRUE,""✓"",""✗"")"),"✗")</f>
        <v>✗</v>
      </c>
      <c r="I393" s="23" t="str">
        <f>IFERROR(__xludf.DUMMYFUNCTION("if(REGEXMATCH(join("", "",$F393:$G393),I$1)=TRUE,""✓"",""✗"")"),"✗")</f>
        <v>✗</v>
      </c>
      <c r="J393" s="23" t="str">
        <f>IFERROR(__xludf.DUMMYFUNCTION("if(REGEXMATCH(join("", "",$F393:$G393),J$1)=TRUE,""✓"",""✗"")"),"✗")</f>
        <v>✗</v>
      </c>
      <c r="K393" s="23" t="str">
        <f>IFERROR(__xludf.DUMMYFUNCTION("if(REGEXMATCH(join("", "",$F393:$G393),K$1)=TRUE,""✓"",""✗"")"),"✗")</f>
        <v>✗</v>
      </c>
      <c r="L393" s="23" t="str">
        <f>IFERROR(__xludf.DUMMYFUNCTION("if(REGEXMATCH(join("", "",$F393:$G393),L$1)=TRUE,""✓"",""✗"")"),"✗")</f>
        <v>✗</v>
      </c>
      <c r="M393" s="23" t="str">
        <f>IFERROR(__xludf.DUMMYFUNCTION("if(REGEXMATCH(join("", "",$F393:$G393),M$1)=TRUE,""✓"",""✗"")"),"✗")</f>
        <v>✗</v>
      </c>
      <c r="N393" s="23" t="str">
        <f>IFERROR(__xludf.DUMMYFUNCTION("if(REGEXMATCH(join("", "",$F393:$G393),N$1)=TRUE,""✓"",""✗"")"),"✗")</f>
        <v>✗</v>
      </c>
      <c r="O393" s="23" t="str">
        <f>IFERROR(__xludf.DUMMYFUNCTION("if(REGEXMATCH(join("", "",$F393:$G393),O$1)=TRUE,""✓"",""✗"")"),"✗")</f>
        <v>✗</v>
      </c>
      <c r="P393" s="23" t="str">
        <f>IFERROR(__xludf.DUMMYFUNCTION("if(REGEXMATCH(join("", "",$F393:$G393),P$1)=TRUE,""✓"",""✗"")"),"✗")</f>
        <v>✗</v>
      </c>
      <c r="Q393" s="23" t="str">
        <f>IFERROR(__xludf.DUMMYFUNCTION("if(REGEXMATCH(join("", "",$F393:$G393),Q$1)=TRUE,""✓"",""✗"")"),"✗")</f>
        <v>✗</v>
      </c>
      <c r="R393" s="23" t="str">
        <f>IFERROR(__xludf.DUMMYFUNCTION("if(REGEXMATCH(join("", "",$F393:$G393),R$1)=TRUE,""✓"",""✗"")"),"✗")</f>
        <v>✗</v>
      </c>
      <c r="S393" s="23" t="str">
        <f>IFERROR(__xludf.DUMMYFUNCTION("if(REGEXMATCH(join("", "",$F393:$G393),S$1)=TRUE,""✓"",""✗"")"),"✗")</f>
        <v>✗</v>
      </c>
      <c r="T393" s="23" t="str">
        <f>IFERROR(__xludf.DUMMYFUNCTION("if(REGEXMATCH(join("", "",$F393:$G393),T$1)=TRUE,""✓"",""✗"")"),"✗")</f>
        <v>✗</v>
      </c>
      <c r="U393" s="33"/>
      <c r="V393" s="33"/>
      <c r="W393" s="33"/>
      <c r="X393" s="33"/>
      <c r="Y393" s="33"/>
      <c r="Z393" s="33"/>
      <c r="AA393" s="33"/>
      <c r="AB393" s="33"/>
      <c r="AC393" s="33"/>
    </row>
    <row r="394" hidden="1">
      <c r="A394" s="17" t="s">
        <v>302</v>
      </c>
      <c r="B394" s="33"/>
      <c r="C394" s="33"/>
      <c r="D394" s="33"/>
      <c r="E394" s="33"/>
      <c r="F394" s="33"/>
      <c r="G394" s="33"/>
      <c r="H394" s="23" t="str">
        <f>IFERROR(__xludf.DUMMYFUNCTION("if(REGEXMATCH(join("", "",$F394:$G394),H$1)=TRUE,""✓"",""✗"")"),"✗")</f>
        <v>✗</v>
      </c>
      <c r="I394" s="23" t="str">
        <f>IFERROR(__xludf.DUMMYFUNCTION("if(REGEXMATCH(join("", "",$F394:$G394),I$1)=TRUE,""✓"",""✗"")"),"✗")</f>
        <v>✗</v>
      </c>
      <c r="J394" s="23" t="str">
        <f>IFERROR(__xludf.DUMMYFUNCTION("if(REGEXMATCH(join("", "",$F394:$G394),J$1)=TRUE,""✓"",""✗"")"),"✗")</f>
        <v>✗</v>
      </c>
      <c r="K394" s="23" t="str">
        <f>IFERROR(__xludf.DUMMYFUNCTION("if(REGEXMATCH(join("", "",$F394:$G394),K$1)=TRUE,""✓"",""✗"")"),"✗")</f>
        <v>✗</v>
      </c>
      <c r="L394" s="23" t="str">
        <f>IFERROR(__xludf.DUMMYFUNCTION("if(REGEXMATCH(join("", "",$F394:$G394),L$1)=TRUE,""✓"",""✗"")"),"✗")</f>
        <v>✗</v>
      </c>
      <c r="M394" s="23" t="str">
        <f>IFERROR(__xludf.DUMMYFUNCTION("if(REGEXMATCH(join("", "",$F394:$G394),M$1)=TRUE,""✓"",""✗"")"),"✗")</f>
        <v>✗</v>
      </c>
      <c r="N394" s="23" t="str">
        <f>IFERROR(__xludf.DUMMYFUNCTION("if(REGEXMATCH(join("", "",$F394:$G394),N$1)=TRUE,""✓"",""✗"")"),"✗")</f>
        <v>✗</v>
      </c>
      <c r="O394" s="23" t="str">
        <f>IFERROR(__xludf.DUMMYFUNCTION("if(REGEXMATCH(join("", "",$F394:$G394),O$1)=TRUE,""✓"",""✗"")"),"✗")</f>
        <v>✗</v>
      </c>
      <c r="P394" s="23" t="str">
        <f>IFERROR(__xludf.DUMMYFUNCTION("if(REGEXMATCH(join("", "",$F394:$G394),P$1)=TRUE,""✓"",""✗"")"),"✗")</f>
        <v>✗</v>
      </c>
      <c r="Q394" s="23" t="str">
        <f>IFERROR(__xludf.DUMMYFUNCTION("if(REGEXMATCH(join("", "",$F394:$G394),Q$1)=TRUE,""✓"",""✗"")"),"✗")</f>
        <v>✗</v>
      </c>
      <c r="R394" s="23" t="str">
        <f>IFERROR(__xludf.DUMMYFUNCTION("if(REGEXMATCH(join("", "",$F394:$G394),R$1)=TRUE,""✓"",""✗"")"),"✗")</f>
        <v>✗</v>
      </c>
      <c r="S394" s="23" t="str">
        <f>IFERROR(__xludf.DUMMYFUNCTION("if(REGEXMATCH(join("", "",$F394:$G394),S$1)=TRUE,""✓"",""✗"")"),"✗")</f>
        <v>✗</v>
      </c>
      <c r="T394" s="23" t="str">
        <f>IFERROR(__xludf.DUMMYFUNCTION("if(REGEXMATCH(join("", "",$F394:$G394),T$1)=TRUE,""✓"",""✗"")"),"✗")</f>
        <v>✗</v>
      </c>
      <c r="U394" s="33"/>
      <c r="V394" s="33"/>
      <c r="W394" s="33"/>
      <c r="X394" s="33"/>
      <c r="Y394" s="33"/>
      <c r="Z394" s="33"/>
      <c r="AA394" s="33"/>
      <c r="AB394" s="33"/>
      <c r="AC394" s="33"/>
    </row>
    <row r="395" hidden="1">
      <c r="A395" s="17" t="s">
        <v>302</v>
      </c>
      <c r="B395" s="33"/>
      <c r="C395" s="33"/>
      <c r="D395" s="33"/>
      <c r="E395" s="33"/>
      <c r="F395" s="33"/>
      <c r="G395" s="33"/>
      <c r="H395" s="23" t="str">
        <f>IFERROR(__xludf.DUMMYFUNCTION("if(REGEXMATCH(join("", "",$F395:$G395),H$1)=TRUE,""✓"",""✗"")"),"✗")</f>
        <v>✗</v>
      </c>
      <c r="I395" s="23" t="str">
        <f>IFERROR(__xludf.DUMMYFUNCTION("if(REGEXMATCH(join("", "",$F395:$G395),I$1)=TRUE,""✓"",""✗"")"),"✗")</f>
        <v>✗</v>
      </c>
      <c r="J395" s="23" t="str">
        <f>IFERROR(__xludf.DUMMYFUNCTION("if(REGEXMATCH(join("", "",$F395:$G395),J$1)=TRUE,""✓"",""✗"")"),"✗")</f>
        <v>✗</v>
      </c>
      <c r="K395" s="23" t="str">
        <f>IFERROR(__xludf.DUMMYFUNCTION("if(REGEXMATCH(join("", "",$F395:$G395),K$1)=TRUE,""✓"",""✗"")"),"✗")</f>
        <v>✗</v>
      </c>
      <c r="L395" s="23" t="str">
        <f>IFERROR(__xludf.DUMMYFUNCTION("if(REGEXMATCH(join("", "",$F395:$G395),L$1)=TRUE,""✓"",""✗"")"),"✗")</f>
        <v>✗</v>
      </c>
      <c r="M395" s="23" t="str">
        <f>IFERROR(__xludf.DUMMYFUNCTION("if(REGEXMATCH(join("", "",$F395:$G395),M$1)=TRUE,""✓"",""✗"")"),"✗")</f>
        <v>✗</v>
      </c>
      <c r="N395" s="23" t="str">
        <f>IFERROR(__xludf.DUMMYFUNCTION("if(REGEXMATCH(join("", "",$F395:$G395),N$1)=TRUE,""✓"",""✗"")"),"✗")</f>
        <v>✗</v>
      </c>
      <c r="O395" s="23" t="str">
        <f>IFERROR(__xludf.DUMMYFUNCTION("if(REGEXMATCH(join("", "",$F395:$G395),O$1)=TRUE,""✓"",""✗"")"),"✗")</f>
        <v>✗</v>
      </c>
      <c r="P395" s="23" t="str">
        <f>IFERROR(__xludf.DUMMYFUNCTION("if(REGEXMATCH(join("", "",$F395:$G395),P$1)=TRUE,""✓"",""✗"")"),"✗")</f>
        <v>✗</v>
      </c>
      <c r="Q395" s="23" t="str">
        <f>IFERROR(__xludf.DUMMYFUNCTION("if(REGEXMATCH(join("", "",$F395:$G395),Q$1)=TRUE,""✓"",""✗"")"),"✗")</f>
        <v>✗</v>
      </c>
      <c r="R395" s="23" t="str">
        <f>IFERROR(__xludf.DUMMYFUNCTION("if(REGEXMATCH(join("", "",$F395:$G395),R$1)=TRUE,""✓"",""✗"")"),"✗")</f>
        <v>✗</v>
      </c>
      <c r="S395" s="23" t="str">
        <f>IFERROR(__xludf.DUMMYFUNCTION("if(REGEXMATCH(join("", "",$F395:$G395),S$1)=TRUE,""✓"",""✗"")"),"✗")</f>
        <v>✗</v>
      </c>
      <c r="T395" s="23" t="str">
        <f>IFERROR(__xludf.DUMMYFUNCTION("if(REGEXMATCH(join("", "",$F395:$G395),T$1)=TRUE,""✓"",""✗"")"),"✗")</f>
        <v>✗</v>
      </c>
      <c r="U395" s="33"/>
      <c r="V395" s="33"/>
      <c r="W395" s="33"/>
      <c r="X395" s="33"/>
      <c r="Y395" s="33"/>
      <c r="Z395" s="33"/>
      <c r="AA395" s="33"/>
      <c r="AB395" s="33"/>
      <c r="AC395" s="33"/>
    </row>
    <row r="396" hidden="1">
      <c r="A396" s="17" t="s">
        <v>302</v>
      </c>
      <c r="B396" s="33"/>
      <c r="C396" s="33"/>
      <c r="D396" s="33"/>
      <c r="E396" s="33"/>
      <c r="F396" s="33"/>
      <c r="G396" s="33"/>
      <c r="H396" s="23" t="str">
        <f>IFERROR(__xludf.DUMMYFUNCTION("if(REGEXMATCH(join("", "",$F396:$G396),H$1)=TRUE,""✓"",""✗"")"),"✗")</f>
        <v>✗</v>
      </c>
      <c r="I396" s="23" t="str">
        <f>IFERROR(__xludf.DUMMYFUNCTION("if(REGEXMATCH(join("", "",$F396:$G396),I$1)=TRUE,""✓"",""✗"")"),"✗")</f>
        <v>✗</v>
      </c>
      <c r="J396" s="23" t="str">
        <f>IFERROR(__xludf.DUMMYFUNCTION("if(REGEXMATCH(join("", "",$F396:$G396),J$1)=TRUE,""✓"",""✗"")"),"✗")</f>
        <v>✗</v>
      </c>
      <c r="K396" s="23" t="str">
        <f>IFERROR(__xludf.DUMMYFUNCTION("if(REGEXMATCH(join("", "",$F396:$G396),K$1)=TRUE,""✓"",""✗"")"),"✗")</f>
        <v>✗</v>
      </c>
      <c r="L396" s="23" t="str">
        <f>IFERROR(__xludf.DUMMYFUNCTION("if(REGEXMATCH(join("", "",$F396:$G396),L$1)=TRUE,""✓"",""✗"")"),"✗")</f>
        <v>✗</v>
      </c>
      <c r="M396" s="23" t="str">
        <f>IFERROR(__xludf.DUMMYFUNCTION("if(REGEXMATCH(join("", "",$F396:$G396),M$1)=TRUE,""✓"",""✗"")"),"✗")</f>
        <v>✗</v>
      </c>
      <c r="N396" s="23" t="str">
        <f>IFERROR(__xludf.DUMMYFUNCTION("if(REGEXMATCH(join("", "",$F396:$G396),N$1)=TRUE,""✓"",""✗"")"),"✗")</f>
        <v>✗</v>
      </c>
      <c r="O396" s="23" t="str">
        <f>IFERROR(__xludf.DUMMYFUNCTION("if(REGEXMATCH(join("", "",$F396:$G396),O$1)=TRUE,""✓"",""✗"")"),"✗")</f>
        <v>✗</v>
      </c>
      <c r="P396" s="23" t="str">
        <f>IFERROR(__xludf.DUMMYFUNCTION("if(REGEXMATCH(join("", "",$F396:$G396),P$1)=TRUE,""✓"",""✗"")"),"✗")</f>
        <v>✗</v>
      </c>
      <c r="Q396" s="23" t="str">
        <f>IFERROR(__xludf.DUMMYFUNCTION("if(REGEXMATCH(join("", "",$F396:$G396),Q$1)=TRUE,""✓"",""✗"")"),"✗")</f>
        <v>✗</v>
      </c>
      <c r="R396" s="23" t="str">
        <f>IFERROR(__xludf.DUMMYFUNCTION("if(REGEXMATCH(join("", "",$F396:$G396),R$1)=TRUE,""✓"",""✗"")"),"✗")</f>
        <v>✗</v>
      </c>
      <c r="S396" s="23" t="str">
        <f>IFERROR(__xludf.DUMMYFUNCTION("if(REGEXMATCH(join("", "",$F396:$G396),S$1)=TRUE,""✓"",""✗"")"),"✗")</f>
        <v>✗</v>
      </c>
      <c r="T396" s="23" t="str">
        <f>IFERROR(__xludf.DUMMYFUNCTION("if(REGEXMATCH(join("", "",$F396:$G396),T$1)=TRUE,""✓"",""✗"")"),"✗")</f>
        <v>✗</v>
      </c>
      <c r="U396" s="33"/>
      <c r="V396" s="33"/>
      <c r="W396" s="33"/>
      <c r="X396" s="33"/>
      <c r="Y396" s="33"/>
      <c r="Z396" s="33"/>
      <c r="AA396" s="33"/>
      <c r="AB396" s="33"/>
      <c r="AC396" s="33"/>
    </row>
    <row r="397" hidden="1">
      <c r="A397" s="17" t="s">
        <v>302</v>
      </c>
      <c r="B397" s="33"/>
      <c r="C397" s="33"/>
      <c r="D397" s="33"/>
      <c r="E397" s="33"/>
      <c r="F397" s="33"/>
      <c r="G397" s="33"/>
      <c r="H397" s="23" t="str">
        <f>IFERROR(__xludf.DUMMYFUNCTION("if(REGEXMATCH(join("", "",$F397:$G397),H$1)=TRUE,""✓"",""✗"")"),"✗")</f>
        <v>✗</v>
      </c>
      <c r="I397" s="23" t="str">
        <f>IFERROR(__xludf.DUMMYFUNCTION("if(REGEXMATCH(join("", "",$F397:$G397),I$1)=TRUE,""✓"",""✗"")"),"✗")</f>
        <v>✗</v>
      </c>
      <c r="J397" s="23" t="str">
        <f>IFERROR(__xludf.DUMMYFUNCTION("if(REGEXMATCH(join("", "",$F397:$G397),J$1)=TRUE,""✓"",""✗"")"),"✗")</f>
        <v>✗</v>
      </c>
      <c r="K397" s="23" t="str">
        <f>IFERROR(__xludf.DUMMYFUNCTION("if(REGEXMATCH(join("", "",$F397:$G397),K$1)=TRUE,""✓"",""✗"")"),"✗")</f>
        <v>✗</v>
      </c>
      <c r="L397" s="23" t="str">
        <f>IFERROR(__xludf.DUMMYFUNCTION("if(REGEXMATCH(join("", "",$F397:$G397),L$1)=TRUE,""✓"",""✗"")"),"✗")</f>
        <v>✗</v>
      </c>
      <c r="M397" s="23" t="str">
        <f>IFERROR(__xludf.DUMMYFUNCTION("if(REGEXMATCH(join("", "",$F397:$G397),M$1)=TRUE,""✓"",""✗"")"),"✗")</f>
        <v>✗</v>
      </c>
      <c r="N397" s="23" t="str">
        <f>IFERROR(__xludf.DUMMYFUNCTION("if(REGEXMATCH(join("", "",$F397:$G397),N$1)=TRUE,""✓"",""✗"")"),"✗")</f>
        <v>✗</v>
      </c>
      <c r="O397" s="23" t="str">
        <f>IFERROR(__xludf.DUMMYFUNCTION("if(REGEXMATCH(join("", "",$F397:$G397),O$1)=TRUE,""✓"",""✗"")"),"✗")</f>
        <v>✗</v>
      </c>
      <c r="P397" s="23" t="str">
        <f>IFERROR(__xludf.DUMMYFUNCTION("if(REGEXMATCH(join("", "",$F397:$G397),P$1)=TRUE,""✓"",""✗"")"),"✗")</f>
        <v>✗</v>
      </c>
      <c r="Q397" s="23" t="str">
        <f>IFERROR(__xludf.DUMMYFUNCTION("if(REGEXMATCH(join("", "",$F397:$G397),Q$1)=TRUE,""✓"",""✗"")"),"✗")</f>
        <v>✗</v>
      </c>
      <c r="R397" s="23" t="str">
        <f>IFERROR(__xludf.DUMMYFUNCTION("if(REGEXMATCH(join("", "",$F397:$G397),R$1)=TRUE,""✓"",""✗"")"),"✗")</f>
        <v>✗</v>
      </c>
      <c r="S397" s="23" t="str">
        <f>IFERROR(__xludf.DUMMYFUNCTION("if(REGEXMATCH(join("", "",$F397:$G397),S$1)=TRUE,""✓"",""✗"")"),"✗")</f>
        <v>✗</v>
      </c>
      <c r="T397" s="23" t="str">
        <f>IFERROR(__xludf.DUMMYFUNCTION("if(REGEXMATCH(join("", "",$F397:$G397),T$1)=TRUE,""✓"",""✗"")"),"✗")</f>
        <v>✗</v>
      </c>
      <c r="U397" s="33"/>
      <c r="V397" s="33"/>
      <c r="W397" s="33"/>
      <c r="X397" s="33"/>
      <c r="Y397" s="33"/>
      <c r="Z397" s="33"/>
      <c r="AA397" s="33"/>
      <c r="AB397" s="33"/>
      <c r="AC397" s="33"/>
    </row>
    <row r="398" hidden="1">
      <c r="A398" s="17" t="s">
        <v>302</v>
      </c>
      <c r="B398" s="33"/>
      <c r="C398" s="33"/>
      <c r="D398" s="33"/>
      <c r="E398" s="33"/>
      <c r="F398" s="33"/>
      <c r="G398" s="33"/>
      <c r="H398" s="23" t="str">
        <f>IFERROR(__xludf.DUMMYFUNCTION("if(REGEXMATCH(join("", "",$F398:$G398),H$1)=TRUE,""✓"",""✗"")"),"✗")</f>
        <v>✗</v>
      </c>
      <c r="I398" s="23" t="str">
        <f>IFERROR(__xludf.DUMMYFUNCTION("if(REGEXMATCH(join("", "",$F398:$G398),I$1)=TRUE,""✓"",""✗"")"),"✗")</f>
        <v>✗</v>
      </c>
      <c r="J398" s="23" t="str">
        <f>IFERROR(__xludf.DUMMYFUNCTION("if(REGEXMATCH(join("", "",$F398:$G398),J$1)=TRUE,""✓"",""✗"")"),"✗")</f>
        <v>✗</v>
      </c>
      <c r="K398" s="23" t="str">
        <f>IFERROR(__xludf.DUMMYFUNCTION("if(REGEXMATCH(join("", "",$F398:$G398),K$1)=TRUE,""✓"",""✗"")"),"✗")</f>
        <v>✗</v>
      </c>
      <c r="L398" s="23" t="str">
        <f>IFERROR(__xludf.DUMMYFUNCTION("if(REGEXMATCH(join("", "",$F398:$G398),L$1)=TRUE,""✓"",""✗"")"),"✗")</f>
        <v>✗</v>
      </c>
      <c r="M398" s="23" t="str">
        <f>IFERROR(__xludf.DUMMYFUNCTION("if(REGEXMATCH(join("", "",$F398:$G398),M$1)=TRUE,""✓"",""✗"")"),"✗")</f>
        <v>✗</v>
      </c>
      <c r="N398" s="23" t="str">
        <f>IFERROR(__xludf.DUMMYFUNCTION("if(REGEXMATCH(join("", "",$F398:$G398),N$1)=TRUE,""✓"",""✗"")"),"✗")</f>
        <v>✗</v>
      </c>
      <c r="O398" s="23" t="str">
        <f>IFERROR(__xludf.DUMMYFUNCTION("if(REGEXMATCH(join("", "",$F398:$G398),O$1)=TRUE,""✓"",""✗"")"),"✗")</f>
        <v>✗</v>
      </c>
      <c r="P398" s="23" t="str">
        <f>IFERROR(__xludf.DUMMYFUNCTION("if(REGEXMATCH(join("", "",$F398:$G398),P$1)=TRUE,""✓"",""✗"")"),"✗")</f>
        <v>✗</v>
      </c>
      <c r="Q398" s="23" t="str">
        <f>IFERROR(__xludf.DUMMYFUNCTION("if(REGEXMATCH(join("", "",$F398:$G398),Q$1)=TRUE,""✓"",""✗"")"),"✗")</f>
        <v>✗</v>
      </c>
      <c r="R398" s="23" t="str">
        <f>IFERROR(__xludf.DUMMYFUNCTION("if(REGEXMATCH(join("", "",$F398:$G398),R$1)=TRUE,""✓"",""✗"")"),"✗")</f>
        <v>✗</v>
      </c>
      <c r="S398" s="23" t="str">
        <f>IFERROR(__xludf.DUMMYFUNCTION("if(REGEXMATCH(join("", "",$F398:$G398),S$1)=TRUE,""✓"",""✗"")"),"✗")</f>
        <v>✗</v>
      </c>
      <c r="T398" s="23" t="str">
        <f>IFERROR(__xludf.DUMMYFUNCTION("if(REGEXMATCH(join("", "",$F398:$G398),T$1)=TRUE,""✓"",""✗"")"),"✗")</f>
        <v>✗</v>
      </c>
      <c r="U398" s="33"/>
      <c r="V398" s="33"/>
      <c r="W398" s="33"/>
      <c r="X398" s="33"/>
      <c r="Y398" s="33"/>
      <c r="Z398" s="33"/>
      <c r="AA398" s="33"/>
      <c r="AB398" s="33"/>
      <c r="AC398" s="33"/>
    </row>
    <row r="399" hidden="1">
      <c r="A399" s="17" t="s">
        <v>302</v>
      </c>
      <c r="B399" s="33"/>
      <c r="C399" s="33"/>
      <c r="D399" s="33"/>
      <c r="E399" s="33"/>
      <c r="F399" s="33"/>
      <c r="G399" s="33"/>
      <c r="H399" s="23" t="str">
        <f>IFERROR(__xludf.DUMMYFUNCTION("if(REGEXMATCH(join("", "",$F399:$G399),H$1)=TRUE,""✓"",""✗"")"),"✗")</f>
        <v>✗</v>
      </c>
      <c r="I399" s="23" t="str">
        <f>IFERROR(__xludf.DUMMYFUNCTION("if(REGEXMATCH(join("", "",$F399:$G399),I$1)=TRUE,""✓"",""✗"")"),"✗")</f>
        <v>✗</v>
      </c>
      <c r="J399" s="23" t="str">
        <f>IFERROR(__xludf.DUMMYFUNCTION("if(REGEXMATCH(join("", "",$F399:$G399),J$1)=TRUE,""✓"",""✗"")"),"✗")</f>
        <v>✗</v>
      </c>
      <c r="K399" s="23" t="str">
        <f>IFERROR(__xludf.DUMMYFUNCTION("if(REGEXMATCH(join("", "",$F399:$G399),K$1)=TRUE,""✓"",""✗"")"),"✗")</f>
        <v>✗</v>
      </c>
      <c r="L399" s="23" t="str">
        <f>IFERROR(__xludf.DUMMYFUNCTION("if(REGEXMATCH(join("", "",$F399:$G399),L$1)=TRUE,""✓"",""✗"")"),"✗")</f>
        <v>✗</v>
      </c>
      <c r="M399" s="23" t="str">
        <f>IFERROR(__xludf.DUMMYFUNCTION("if(REGEXMATCH(join("", "",$F399:$G399),M$1)=TRUE,""✓"",""✗"")"),"✗")</f>
        <v>✗</v>
      </c>
      <c r="N399" s="23" t="str">
        <f>IFERROR(__xludf.DUMMYFUNCTION("if(REGEXMATCH(join("", "",$F399:$G399),N$1)=TRUE,""✓"",""✗"")"),"✗")</f>
        <v>✗</v>
      </c>
      <c r="O399" s="23" t="str">
        <f>IFERROR(__xludf.DUMMYFUNCTION("if(REGEXMATCH(join("", "",$F399:$G399),O$1)=TRUE,""✓"",""✗"")"),"✗")</f>
        <v>✗</v>
      </c>
      <c r="P399" s="23" t="str">
        <f>IFERROR(__xludf.DUMMYFUNCTION("if(REGEXMATCH(join("", "",$F399:$G399),P$1)=TRUE,""✓"",""✗"")"),"✗")</f>
        <v>✗</v>
      </c>
      <c r="Q399" s="23" t="str">
        <f>IFERROR(__xludf.DUMMYFUNCTION("if(REGEXMATCH(join("", "",$F399:$G399),Q$1)=TRUE,""✓"",""✗"")"),"✗")</f>
        <v>✗</v>
      </c>
      <c r="R399" s="23" t="str">
        <f>IFERROR(__xludf.DUMMYFUNCTION("if(REGEXMATCH(join("", "",$F399:$G399),R$1)=TRUE,""✓"",""✗"")"),"✗")</f>
        <v>✗</v>
      </c>
      <c r="S399" s="23" t="str">
        <f>IFERROR(__xludf.DUMMYFUNCTION("if(REGEXMATCH(join("", "",$F399:$G399),S$1)=TRUE,""✓"",""✗"")"),"✗")</f>
        <v>✗</v>
      </c>
      <c r="T399" s="23" t="str">
        <f>IFERROR(__xludf.DUMMYFUNCTION("if(REGEXMATCH(join("", "",$F399:$G399),T$1)=TRUE,""✓"",""✗"")"),"✗")</f>
        <v>✗</v>
      </c>
      <c r="U399" s="33"/>
      <c r="V399" s="33"/>
      <c r="W399" s="33"/>
      <c r="X399" s="33"/>
      <c r="Y399" s="33"/>
      <c r="Z399" s="33"/>
      <c r="AA399" s="33"/>
      <c r="AB399" s="33"/>
      <c r="AC399" s="33"/>
    </row>
    <row r="400" hidden="1">
      <c r="A400" s="17" t="s">
        <v>302</v>
      </c>
      <c r="B400" s="33"/>
      <c r="C400" s="33"/>
      <c r="D400" s="33"/>
      <c r="E400" s="33"/>
      <c r="F400" s="33"/>
      <c r="G400" s="33"/>
      <c r="H400" s="23" t="str">
        <f>IFERROR(__xludf.DUMMYFUNCTION("if(REGEXMATCH(join("", "",$F400:$G400),H$1)=TRUE,""✓"",""✗"")"),"✗")</f>
        <v>✗</v>
      </c>
      <c r="I400" s="23" t="str">
        <f>IFERROR(__xludf.DUMMYFUNCTION("if(REGEXMATCH(join("", "",$F400:$G400),I$1)=TRUE,""✓"",""✗"")"),"✗")</f>
        <v>✗</v>
      </c>
      <c r="J400" s="23" t="str">
        <f>IFERROR(__xludf.DUMMYFUNCTION("if(REGEXMATCH(join("", "",$F400:$G400),J$1)=TRUE,""✓"",""✗"")"),"✗")</f>
        <v>✗</v>
      </c>
      <c r="K400" s="23" t="str">
        <f>IFERROR(__xludf.DUMMYFUNCTION("if(REGEXMATCH(join("", "",$F400:$G400),K$1)=TRUE,""✓"",""✗"")"),"✗")</f>
        <v>✗</v>
      </c>
      <c r="L400" s="23" t="str">
        <f>IFERROR(__xludf.DUMMYFUNCTION("if(REGEXMATCH(join("", "",$F400:$G400),L$1)=TRUE,""✓"",""✗"")"),"✗")</f>
        <v>✗</v>
      </c>
      <c r="M400" s="23" t="str">
        <f>IFERROR(__xludf.DUMMYFUNCTION("if(REGEXMATCH(join("", "",$F400:$G400),M$1)=TRUE,""✓"",""✗"")"),"✗")</f>
        <v>✗</v>
      </c>
      <c r="N400" s="23" t="str">
        <f>IFERROR(__xludf.DUMMYFUNCTION("if(REGEXMATCH(join("", "",$F400:$G400),N$1)=TRUE,""✓"",""✗"")"),"✗")</f>
        <v>✗</v>
      </c>
      <c r="O400" s="23" t="str">
        <f>IFERROR(__xludf.DUMMYFUNCTION("if(REGEXMATCH(join("", "",$F400:$G400),O$1)=TRUE,""✓"",""✗"")"),"✗")</f>
        <v>✗</v>
      </c>
      <c r="P400" s="23" t="str">
        <f>IFERROR(__xludf.DUMMYFUNCTION("if(REGEXMATCH(join("", "",$F400:$G400),P$1)=TRUE,""✓"",""✗"")"),"✗")</f>
        <v>✗</v>
      </c>
      <c r="Q400" s="23" t="str">
        <f>IFERROR(__xludf.DUMMYFUNCTION("if(REGEXMATCH(join("", "",$F400:$G400),Q$1)=TRUE,""✓"",""✗"")"),"✗")</f>
        <v>✗</v>
      </c>
      <c r="R400" s="23" t="str">
        <f>IFERROR(__xludf.DUMMYFUNCTION("if(REGEXMATCH(join("", "",$F400:$G400),R$1)=TRUE,""✓"",""✗"")"),"✗")</f>
        <v>✗</v>
      </c>
      <c r="S400" s="23" t="str">
        <f>IFERROR(__xludf.DUMMYFUNCTION("if(REGEXMATCH(join("", "",$F400:$G400),S$1)=TRUE,""✓"",""✗"")"),"✗")</f>
        <v>✗</v>
      </c>
      <c r="T400" s="23" t="str">
        <f>IFERROR(__xludf.DUMMYFUNCTION("if(REGEXMATCH(join("", "",$F400:$G400),T$1)=TRUE,""✓"",""✗"")"),"✗")</f>
        <v>✗</v>
      </c>
      <c r="U400" s="33"/>
      <c r="V400" s="33"/>
      <c r="W400" s="33"/>
      <c r="X400" s="33"/>
      <c r="Y400" s="33"/>
      <c r="Z400" s="33"/>
      <c r="AA400" s="33"/>
      <c r="AB400" s="33"/>
      <c r="AC400" s="33"/>
    </row>
    <row r="401" hidden="1">
      <c r="A401" s="17" t="s">
        <v>302</v>
      </c>
      <c r="B401" s="33"/>
      <c r="C401" s="33"/>
      <c r="D401" s="33"/>
      <c r="E401" s="33"/>
      <c r="F401" s="33"/>
      <c r="G401" s="33"/>
      <c r="H401" s="23" t="str">
        <f>IFERROR(__xludf.DUMMYFUNCTION("if(REGEXMATCH(join("", "",$F401:$G401),H$1)=TRUE,""✓"",""✗"")"),"✗")</f>
        <v>✗</v>
      </c>
      <c r="I401" s="23" t="str">
        <f>IFERROR(__xludf.DUMMYFUNCTION("if(REGEXMATCH(join("", "",$F401:$G401),I$1)=TRUE,""✓"",""✗"")"),"✗")</f>
        <v>✗</v>
      </c>
      <c r="J401" s="23" t="str">
        <f>IFERROR(__xludf.DUMMYFUNCTION("if(REGEXMATCH(join("", "",$F401:$G401),J$1)=TRUE,""✓"",""✗"")"),"✗")</f>
        <v>✗</v>
      </c>
      <c r="K401" s="23" t="str">
        <f>IFERROR(__xludf.DUMMYFUNCTION("if(REGEXMATCH(join("", "",$F401:$G401),K$1)=TRUE,""✓"",""✗"")"),"✗")</f>
        <v>✗</v>
      </c>
      <c r="L401" s="23" t="str">
        <f>IFERROR(__xludf.DUMMYFUNCTION("if(REGEXMATCH(join("", "",$F401:$G401),L$1)=TRUE,""✓"",""✗"")"),"✗")</f>
        <v>✗</v>
      </c>
      <c r="M401" s="23" t="str">
        <f>IFERROR(__xludf.DUMMYFUNCTION("if(REGEXMATCH(join("", "",$F401:$G401),M$1)=TRUE,""✓"",""✗"")"),"✗")</f>
        <v>✗</v>
      </c>
      <c r="N401" s="23" t="str">
        <f>IFERROR(__xludf.DUMMYFUNCTION("if(REGEXMATCH(join("", "",$F401:$G401),N$1)=TRUE,""✓"",""✗"")"),"✗")</f>
        <v>✗</v>
      </c>
      <c r="O401" s="23" t="str">
        <f>IFERROR(__xludf.DUMMYFUNCTION("if(REGEXMATCH(join("", "",$F401:$G401),O$1)=TRUE,""✓"",""✗"")"),"✗")</f>
        <v>✗</v>
      </c>
      <c r="P401" s="23" t="str">
        <f>IFERROR(__xludf.DUMMYFUNCTION("if(REGEXMATCH(join("", "",$F401:$G401),P$1)=TRUE,""✓"",""✗"")"),"✗")</f>
        <v>✗</v>
      </c>
      <c r="Q401" s="23" t="str">
        <f>IFERROR(__xludf.DUMMYFUNCTION("if(REGEXMATCH(join("", "",$F401:$G401),Q$1)=TRUE,""✓"",""✗"")"),"✗")</f>
        <v>✗</v>
      </c>
      <c r="R401" s="23" t="str">
        <f>IFERROR(__xludf.DUMMYFUNCTION("if(REGEXMATCH(join("", "",$F401:$G401),R$1)=TRUE,""✓"",""✗"")"),"✗")</f>
        <v>✗</v>
      </c>
      <c r="S401" s="23" t="str">
        <f>IFERROR(__xludf.DUMMYFUNCTION("if(REGEXMATCH(join("", "",$F401:$G401),S$1)=TRUE,""✓"",""✗"")"),"✗")</f>
        <v>✗</v>
      </c>
      <c r="T401" s="23" t="str">
        <f>IFERROR(__xludf.DUMMYFUNCTION("if(REGEXMATCH(join("", "",$F401:$G401),T$1)=TRUE,""✓"",""✗"")"),"✗")</f>
        <v>✗</v>
      </c>
      <c r="U401" s="33"/>
      <c r="V401" s="33"/>
      <c r="W401" s="33"/>
      <c r="X401" s="33"/>
      <c r="Y401" s="33"/>
      <c r="Z401" s="33"/>
      <c r="AA401" s="33"/>
      <c r="AB401" s="33"/>
      <c r="AC401" s="33"/>
    </row>
    <row r="402" hidden="1">
      <c r="A402" s="17" t="s">
        <v>302</v>
      </c>
      <c r="B402" s="33"/>
      <c r="C402" s="33"/>
      <c r="D402" s="33"/>
      <c r="E402" s="33"/>
      <c r="F402" s="33"/>
      <c r="G402" s="33"/>
      <c r="H402" s="23" t="str">
        <f>IFERROR(__xludf.DUMMYFUNCTION("if(REGEXMATCH(join("", "",$F402:$G402),H$1)=TRUE,""✓"",""✗"")"),"✗")</f>
        <v>✗</v>
      </c>
      <c r="I402" s="23" t="str">
        <f>IFERROR(__xludf.DUMMYFUNCTION("if(REGEXMATCH(join("", "",$F402:$G402),I$1)=TRUE,""✓"",""✗"")"),"✗")</f>
        <v>✗</v>
      </c>
      <c r="J402" s="23" t="str">
        <f>IFERROR(__xludf.DUMMYFUNCTION("if(REGEXMATCH(join("", "",$F402:$G402),J$1)=TRUE,""✓"",""✗"")"),"✗")</f>
        <v>✗</v>
      </c>
      <c r="K402" s="23" t="str">
        <f>IFERROR(__xludf.DUMMYFUNCTION("if(REGEXMATCH(join("", "",$F402:$G402),K$1)=TRUE,""✓"",""✗"")"),"✗")</f>
        <v>✗</v>
      </c>
      <c r="L402" s="23" t="str">
        <f>IFERROR(__xludf.DUMMYFUNCTION("if(REGEXMATCH(join("", "",$F402:$G402),L$1)=TRUE,""✓"",""✗"")"),"✗")</f>
        <v>✗</v>
      </c>
      <c r="M402" s="23" t="str">
        <f>IFERROR(__xludf.DUMMYFUNCTION("if(REGEXMATCH(join("", "",$F402:$G402),M$1)=TRUE,""✓"",""✗"")"),"✗")</f>
        <v>✗</v>
      </c>
      <c r="N402" s="23" t="str">
        <f>IFERROR(__xludf.DUMMYFUNCTION("if(REGEXMATCH(join("", "",$F402:$G402),N$1)=TRUE,""✓"",""✗"")"),"✗")</f>
        <v>✗</v>
      </c>
      <c r="O402" s="23" t="str">
        <f>IFERROR(__xludf.DUMMYFUNCTION("if(REGEXMATCH(join("", "",$F402:$G402),O$1)=TRUE,""✓"",""✗"")"),"✗")</f>
        <v>✗</v>
      </c>
      <c r="P402" s="23" t="str">
        <f>IFERROR(__xludf.DUMMYFUNCTION("if(REGEXMATCH(join("", "",$F402:$G402),P$1)=TRUE,""✓"",""✗"")"),"✗")</f>
        <v>✗</v>
      </c>
      <c r="Q402" s="23" t="str">
        <f>IFERROR(__xludf.DUMMYFUNCTION("if(REGEXMATCH(join("", "",$F402:$G402),Q$1)=TRUE,""✓"",""✗"")"),"✗")</f>
        <v>✗</v>
      </c>
      <c r="R402" s="23" t="str">
        <f>IFERROR(__xludf.DUMMYFUNCTION("if(REGEXMATCH(join("", "",$F402:$G402),R$1)=TRUE,""✓"",""✗"")"),"✗")</f>
        <v>✗</v>
      </c>
      <c r="S402" s="23" t="str">
        <f>IFERROR(__xludf.DUMMYFUNCTION("if(REGEXMATCH(join("", "",$F402:$G402),S$1)=TRUE,""✓"",""✗"")"),"✗")</f>
        <v>✗</v>
      </c>
      <c r="T402" s="23" t="str">
        <f>IFERROR(__xludf.DUMMYFUNCTION("if(REGEXMATCH(join("", "",$F402:$G402),T$1)=TRUE,""✓"",""✗"")"),"✗")</f>
        <v>✗</v>
      </c>
      <c r="U402" s="33"/>
      <c r="V402" s="33"/>
      <c r="W402" s="33"/>
      <c r="X402" s="33"/>
      <c r="Y402" s="33"/>
      <c r="Z402" s="33"/>
      <c r="AA402" s="33"/>
      <c r="AB402" s="33"/>
      <c r="AC402" s="33"/>
    </row>
    <row r="403" hidden="1">
      <c r="A403" s="17" t="s">
        <v>302</v>
      </c>
      <c r="B403" s="33"/>
      <c r="C403" s="33"/>
      <c r="D403" s="33"/>
      <c r="E403" s="33"/>
      <c r="F403" s="33"/>
      <c r="G403" s="33"/>
      <c r="H403" s="23" t="str">
        <f>IFERROR(__xludf.DUMMYFUNCTION("if(REGEXMATCH(join("", "",$F403:$G403),H$1)=TRUE,""✓"",""✗"")"),"✗")</f>
        <v>✗</v>
      </c>
      <c r="I403" s="23" t="str">
        <f>IFERROR(__xludf.DUMMYFUNCTION("if(REGEXMATCH(join("", "",$F403:$G403),I$1)=TRUE,""✓"",""✗"")"),"✗")</f>
        <v>✗</v>
      </c>
      <c r="J403" s="23" t="str">
        <f>IFERROR(__xludf.DUMMYFUNCTION("if(REGEXMATCH(join("", "",$F403:$G403),J$1)=TRUE,""✓"",""✗"")"),"✗")</f>
        <v>✗</v>
      </c>
      <c r="K403" s="23" t="str">
        <f>IFERROR(__xludf.DUMMYFUNCTION("if(REGEXMATCH(join("", "",$F403:$G403),K$1)=TRUE,""✓"",""✗"")"),"✗")</f>
        <v>✗</v>
      </c>
      <c r="L403" s="23" t="str">
        <f>IFERROR(__xludf.DUMMYFUNCTION("if(REGEXMATCH(join("", "",$F403:$G403),L$1)=TRUE,""✓"",""✗"")"),"✗")</f>
        <v>✗</v>
      </c>
      <c r="M403" s="23" t="str">
        <f>IFERROR(__xludf.DUMMYFUNCTION("if(REGEXMATCH(join("", "",$F403:$G403),M$1)=TRUE,""✓"",""✗"")"),"✗")</f>
        <v>✗</v>
      </c>
      <c r="N403" s="23" t="str">
        <f>IFERROR(__xludf.DUMMYFUNCTION("if(REGEXMATCH(join("", "",$F403:$G403),N$1)=TRUE,""✓"",""✗"")"),"✗")</f>
        <v>✗</v>
      </c>
      <c r="O403" s="23" t="str">
        <f>IFERROR(__xludf.DUMMYFUNCTION("if(REGEXMATCH(join("", "",$F403:$G403),O$1)=TRUE,""✓"",""✗"")"),"✗")</f>
        <v>✗</v>
      </c>
      <c r="P403" s="23" t="str">
        <f>IFERROR(__xludf.DUMMYFUNCTION("if(REGEXMATCH(join("", "",$F403:$G403),P$1)=TRUE,""✓"",""✗"")"),"✗")</f>
        <v>✗</v>
      </c>
      <c r="Q403" s="23" t="str">
        <f>IFERROR(__xludf.DUMMYFUNCTION("if(REGEXMATCH(join("", "",$F403:$G403),Q$1)=TRUE,""✓"",""✗"")"),"✗")</f>
        <v>✗</v>
      </c>
      <c r="R403" s="23" t="str">
        <f>IFERROR(__xludf.DUMMYFUNCTION("if(REGEXMATCH(join("", "",$F403:$G403),R$1)=TRUE,""✓"",""✗"")"),"✗")</f>
        <v>✗</v>
      </c>
      <c r="S403" s="23" t="str">
        <f>IFERROR(__xludf.DUMMYFUNCTION("if(REGEXMATCH(join("", "",$F403:$G403),S$1)=TRUE,""✓"",""✗"")"),"✗")</f>
        <v>✗</v>
      </c>
      <c r="T403" s="23" t="str">
        <f>IFERROR(__xludf.DUMMYFUNCTION("if(REGEXMATCH(join("", "",$F403:$G403),T$1)=TRUE,""✓"",""✗"")"),"✗")</f>
        <v>✗</v>
      </c>
      <c r="U403" s="33"/>
      <c r="V403" s="33"/>
      <c r="W403" s="33"/>
      <c r="X403" s="33"/>
      <c r="Y403" s="33"/>
      <c r="Z403" s="33"/>
      <c r="AA403" s="33"/>
      <c r="AB403" s="33"/>
      <c r="AC403" s="33"/>
    </row>
    <row r="404" hidden="1">
      <c r="A404" s="17" t="s">
        <v>302</v>
      </c>
      <c r="B404" s="33"/>
      <c r="C404" s="33"/>
      <c r="D404" s="33"/>
      <c r="E404" s="33"/>
      <c r="F404" s="33"/>
      <c r="G404" s="33"/>
      <c r="H404" s="23" t="str">
        <f>IFERROR(__xludf.DUMMYFUNCTION("if(REGEXMATCH(join("", "",$F404:$G404),H$1)=TRUE,""✓"",""✗"")"),"✗")</f>
        <v>✗</v>
      </c>
      <c r="I404" s="23" t="str">
        <f>IFERROR(__xludf.DUMMYFUNCTION("if(REGEXMATCH(join("", "",$F404:$G404),I$1)=TRUE,""✓"",""✗"")"),"✗")</f>
        <v>✗</v>
      </c>
      <c r="J404" s="23" t="str">
        <f>IFERROR(__xludf.DUMMYFUNCTION("if(REGEXMATCH(join("", "",$F404:$G404),J$1)=TRUE,""✓"",""✗"")"),"✗")</f>
        <v>✗</v>
      </c>
      <c r="K404" s="23" t="str">
        <f>IFERROR(__xludf.DUMMYFUNCTION("if(REGEXMATCH(join("", "",$F404:$G404),K$1)=TRUE,""✓"",""✗"")"),"✗")</f>
        <v>✗</v>
      </c>
      <c r="L404" s="23" t="str">
        <f>IFERROR(__xludf.DUMMYFUNCTION("if(REGEXMATCH(join("", "",$F404:$G404),L$1)=TRUE,""✓"",""✗"")"),"✗")</f>
        <v>✗</v>
      </c>
      <c r="M404" s="23" t="str">
        <f>IFERROR(__xludf.DUMMYFUNCTION("if(REGEXMATCH(join("", "",$F404:$G404),M$1)=TRUE,""✓"",""✗"")"),"✗")</f>
        <v>✗</v>
      </c>
      <c r="N404" s="23" t="str">
        <f>IFERROR(__xludf.DUMMYFUNCTION("if(REGEXMATCH(join("", "",$F404:$G404),N$1)=TRUE,""✓"",""✗"")"),"✗")</f>
        <v>✗</v>
      </c>
      <c r="O404" s="23" t="str">
        <f>IFERROR(__xludf.DUMMYFUNCTION("if(REGEXMATCH(join("", "",$F404:$G404),O$1)=TRUE,""✓"",""✗"")"),"✗")</f>
        <v>✗</v>
      </c>
      <c r="P404" s="23" t="str">
        <f>IFERROR(__xludf.DUMMYFUNCTION("if(REGEXMATCH(join("", "",$F404:$G404),P$1)=TRUE,""✓"",""✗"")"),"✗")</f>
        <v>✗</v>
      </c>
      <c r="Q404" s="23" t="str">
        <f>IFERROR(__xludf.DUMMYFUNCTION("if(REGEXMATCH(join("", "",$F404:$G404),Q$1)=TRUE,""✓"",""✗"")"),"✗")</f>
        <v>✗</v>
      </c>
      <c r="R404" s="23" t="str">
        <f>IFERROR(__xludf.DUMMYFUNCTION("if(REGEXMATCH(join("", "",$F404:$G404),R$1)=TRUE,""✓"",""✗"")"),"✗")</f>
        <v>✗</v>
      </c>
      <c r="S404" s="23" t="str">
        <f>IFERROR(__xludf.DUMMYFUNCTION("if(REGEXMATCH(join("", "",$F404:$G404),S$1)=TRUE,""✓"",""✗"")"),"✗")</f>
        <v>✗</v>
      </c>
      <c r="T404" s="23" t="str">
        <f>IFERROR(__xludf.DUMMYFUNCTION("if(REGEXMATCH(join("", "",$F404:$G404),T$1)=TRUE,""✓"",""✗"")"),"✗")</f>
        <v>✗</v>
      </c>
      <c r="U404" s="33"/>
      <c r="V404" s="33"/>
      <c r="W404" s="33"/>
      <c r="X404" s="33"/>
      <c r="Y404" s="33"/>
      <c r="Z404" s="33"/>
      <c r="AA404" s="33"/>
      <c r="AB404" s="33"/>
      <c r="AC404" s="33"/>
    </row>
    <row r="405" hidden="1">
      <c r="A405" s="17" t="s">
        <v>302</v>
      </c>
      <c r="B405" s="33"/>
      <c r="C405" s="33"/>
      <c r="D405" s="33"/>
      <c r="E405" s="33"/>
      <c r="F405" s="33"/>
      <c r="G405" s="33"/>
      <c r="H405" s="23" t="str">
        <f>IFERROR(__xludf.DUMMYFUNCTION("if(REGEXMATCH(join("", "",$F405:$G405),H$1)=TRUE,""✓"",""✗"")"),"✗")</f>
        <v>✗</v>
      </c>
      <c r="I405" s="23" t="str">
        <f>IFERROR(__xludf.DUMMYFUNCTION("if(REGEXMATCH(join("", "",$F405:$G405),I$1)=TRUE,""✓"",""✗"")"),"✗")</f>
        <v>✗</v>
      </c>
      <c r="J405" s="23" t="str">
        <f>IFERROR(__xludf.DUMMYFUNCTION("if(REGEXMATCH(join("", "",$F405:$G405),J$1)=TRUE,""✓"",""✗"")"),"✗")</f>
        <v>✗</v>
      </c>
      <c r="K405" s="23" t="str">
        <f>IFERROR(__xludf.DUMMYFUNCTION("if(REGEXMATCH(join("", "",$F405:$G405),K$1)=TRUE,""✓"",""✗"")"),"✗")</f>
        <v>✗</v>
      </c>
      <c r="L405" s="23" t="str">
        <f>IFERROR(__xludf.DUMMYFUNCTION("if(REGEXMATCH(join("", "",$F405:$G405),L$1)=TRUE,""✓"",""✗"")"),"✗")</f>
        <v>✗</v>
      </c>
      <c r="M405" s="23" t="str">
        <f>IFERROR(__xludf.DUMMYFUNCTION("if(REGEXMATCH(join("", "",$F405:$G405),M$1)=TRUE,""✓"",""✗"")"),"✗")</f>
        <v>✗</v>
      </c>
      <c r="N405" s="23" t="str">
        <f>IFERROR(__xludf.DUMMYFUNCTION("if(REGEXMATCH(join("", "",$F405:$G405),N$1)=TRUE,""✓"",""✗"")"),"✗")</f>
        <v>✗</v>
      </c>
      <c r="O405" s="23" t="str">
        <f>IFERROR(__xludf.DUMMYFUNCTION("if(REGEXMATCH(join("", "",$F405:$G405),O$1)=TRUE,""✓"",""✗"")"),"✗")</f>
        <v>✗</v>
      </c>
      <c r="P405" s="23" t="str">
        <f>IFERROR(__xludf.DUMMYFUNCTION("if(REGEXMATCH(join("", "",$F405:$G405),P$1)=TRUE,""✓"",""✗"")"),"✗")</f>
        <v>✗</v>
      </c>
      <c r="Q405" s="23" t="str">
        <f>IFERROR(__xludf.DUMMYFUNCTION("if(REGEXMATCH(join("", "",$F405:$G405),Q$1)=TRUE,""✓"",""✗"")"),"✗")</f>
        <v>✗</v>
      </c>
      <c r="R405" s="23" t="str">
        <f>IFERROR(__xludf.DUMMYFUNCTION("if(REGEXMATCH(join("", "",$F405:$G405),R$1)=TRUE,""✓"",""✗"")"),"✗")</f>
        <v>✗</v>
      </c>
      <c r="S405" s="23" t="str">
        <f>IFERROR(__xludf.DUMMYFUNCTION("if(REGEXMATCH(join("", "",$F405:$G405),S$1)=TRUE,""✓"",""✗"")"),"✗")</f>
        <v>✗</v>
      </c>
      <c r="T405" s="23" t="str">
        <f>IFERROR(__xludf.DUMMYFUNCTION("if(REGEXMATCH(join("", "",$F405:$G405),T$1)=TRUE,""✓"",""✗"")"),"✗")</f>
        <v>✗</v>
      </c>
      <c r="U405" s="33"/>
      <c r="V405" s="33"/>
      <c r="W405" s="33"/>
      <c r="X405" s="33"/>
      <c r="Y405" s="33"/>
      <c r="Z405" s="33"/>
      <c r="AA405" s="33"/>
      <c r="AB405" s="33"/>
      <c r="AC405" s="33"/>
    </row>
    <row r="406" hidden="1">
      <c r="A406" s="17" t="s">
        <v>302</v>
      </c>
      <c r="B406" s="33"/>
      <c r="C406" s="33"/>
      <c r="D406" s="33"/>
      <c r="E406" s="33"/>
      <c r="F406" s="33"/>
      <c r="G406" s="33"/>
      <c r="H406" s="23" t="str">
        <f>IFERROR(__xludf.DUMMYFUNCTION("if(REGEXMATCH(join("", "",$F406:$G406),H$1)=TRUE,""✓"",""✗"")"),"✗")</f>
        <v>✗</v>
      </c>
      <c r="I406" s="23" t="str">
        <f>IFERROR(__xludf.DUMMYFUNCTION("if(REGEXMATCH(join("", "",$F406:$G406),I$1)=TRUE,""✓"",""✗"")"),"✗")</f>
        <v>✗</v>
      </c>
      <c r="J406" s="23" t="str">
        <f>IFERROR(__xludf.DUMMYFUNCTION("if(REGEXMATCH(join("", "",$F406:$G406),J$1)=TRUE,""✓"",""✗"")"),"✗")</f>
        <v>✗</v>
      </c>
      <c r="K406" s="23" t="str">
        <f>IFERROR(__xludf.DUMMYFUNCTION("if(REGEXMATCH(join("", "",$F406:$G406),K$1)=TRUE,""✓"",""✗"")"),"✗")</f>
        <v>✗</v>
      </c>
      <c r="L406" s="23" t="str">
        <f>IFERROR(__xludf.DUMMYFUNCTION("if(REGEXMATCH(join("", "",$F406:$G406),L$1)=TRUE,""✓"",""✗"")"),"✗")</f>
        <v>✗</v>
      </c>
      <c r="M406" s="23" t="str">
        <f>IFERROR(__xludf.DUMMYFUNCTION("if(REGEXMATCH(join("", "",$F406:$G406),M$1)=TRUE,""✓"",""✗"")"),"✗")</f>
        <v>✗</v>
      </c>
      <c r="N406" s="23" t="str">
        <f>IFERROR(__xludf.DUMMYFUNCTION("if(REGEXMATCH(join("", "",$F406:$G406),N$1)=TRUE,""✓"",""✗"")"),"✗")</f>
        <v>✗</v>
      </c>
      <c r="O406" s="23" t="str">
        <f>IFERROR(__xludf.DUMMYFUNCTION("if(REGEXMATCH(join("", "",$F406:$G406),O$1)=TRUE,""✓"",""✗"")"),"✗")</f>
        <v>✗</v>
      </c>
      <c r="P406" s="23" t="str">
        <f>IFERROR(__xludf.DUMMYFUNCTION("if(REGEXMATCH(join("", "",$F406:$G406),P$1)=TRUE,""✓"",""✗"")"),"✗")</f>
        <v>✗</v>
      </c>
      <c r="Q406" s="23" t="str">
        <f>IFERROR(__xludf.DUMMYFUNCTION("if(REGEXMATCH(join("", "",$F406:$G406),Q$1)=TRUE,""✓"",""✗"")"),"✗")</f>
        <v>✗</v>
      </c>
      <c r="R406" s="23" t="str">
        <f>IFERROR(__xludf.DUMMYFUNCTION("if(REGEXMATCH(join("", "",$F406:$G406),R$1)=TRUE,""✓"",""✗"")"),"✗")</f>
        <v>✗</v>
      </c>
      <c r="S406" s="23" t="str">
        <f>IFERROR(__xludf.DUMMYFUNCTION("if(REGEXMATCH(join("", "",$F406:$G406),S$1)=TRUE,""✓"",""✗"")"),"✗")</f>
        <v>✗</v>
      </c>
      <c r="T406" s="23" t="str">
        <f>IFERROR(__xludf.DUMMYFUNCTION("if(REGEXMATCH(join("", "",$F406:$G406),T$1)=TRUE,""✓"",""✗"")"),"✗")</f>
        <v>✗</v>
      </c>
      <c r="U406" s="33"/>
      <c r="V406" s="33"/>
      <c r="W406" s="33"/>
      <c r="X406" s="33"/>
      <c r="Y406" s="33"/>
      <c r="Z406" s="33"/>
      <c r="AA406" s="33"/>
      <c r="AB406" s="33"/>
      <c r="AC406" s="33"/>
    </row>
    <row r="407" hidden="1">
      <c r="A407" s="17" t="s">
        <v>302</v>
      </c>
      <c r="B407" s="33"/>
      <c r="C407" s="33"/>
      <c r="D407" s="33"/>
      <c r="E407" s="33"/>
      <c r="F407" s="33"/>
      <c r="G407" s="33"/>
      <c r="H407" s="23" t="str">
        <f>IFERROR(__xludf.DUMMYFUNCTION("if(REGEXMATCH(join("", "",$F407:$G407),H$1)=TRUE,""✓"",""✗"")"),"✗")</f>
        <v>✗</v>
      </c>
      <c r="I407" s="23" t="str">
        <f>IFERROR(__xludf.DUMMYFUNCTION("if(REGEXMATCH(join("", "",$F407:$G407),I$1)=TRUE,""✓"",""✗"")"),"✗")</f>
        <v>✗</v>
      </c>
      <c r="J407" s="23" t="str">
        <f>IFERROR(__xludf.DUMMYFUNCTION("if(REGEXMATCH(join("", "",$F407:$G407),J$1)=TRUE,""✓"",""✗"")"),"✗")</f>
        <v>✗</v>
      </c>
      <c r="K407" s="23" t="str">
        <f>IFERROR(__xludf.DUMMYFUNCTION("if(REGEXMATCH(join("", "",$F407:$G407),K$1)=TRUE,""✓"",""✗"")"),"✗")</f>
        <v>✗</v>
      </c>
      <c r="L407" s="23" t="str">
        <f>IFERROR(__xludf.DUMMYFUNCTION("if(REGEXMATCH(join("", "",$F407:$G407),L$1)=TRUE,""✓"",""✗"")"),"✗")</f>
        <v>✗</v>
      </c>
      <c r="M407" s="23" t="str">
        <f>IFERROR(__xludf.DUMMYFUNCTION("if(REGEXMATCH(join("", "",$F407:$G407),M$1)=TRUE,""✓"",""✗"")"),"✗")</f>
        <v>✗</v>
      </c>
      <c r="N407" s="23" t="str">
        <f>IFERROR(__xludf.DUMMYFUNCTION("if(REGEXMATCH(join("", "",$F407:$G407),N$1)=TRUE,""✓"",""✗"")"),"✗")</f>
        <v>✗</v>
      </c>
      <c r="O407" s="23" t="str">
        <f>IFERROR(__xludf.DUMMYFUNCTION("if(REGEXMATCH(join("", "",$F407:$G407),O$1)=TRUE,""✓"",""✗"")"),"✗")</f>
        <v>✗</v>
      </c>
      <c r="P407" s="23" t="str">
        <f>IFERROR(__xludf.DUMMYFUNCTION("if(REGEXMATCH(join("", "",$F407:$G407),P$1)=TRUE,""✓"",""✗"")"),"✗")</f>
        <v>✗</v>
      </c>
      <c r="Q407" s="23" t="str">
        <f>IFERROR(__xludf.DUMMYFUNCTION("if(REGEXMATCH(join("", "",$F407:$G407),Q$1)=TRUE,""✓"",""✗"")"),"✗")</f>
        <v>✗</v>
      </c>
      <c r="R407" s="23" t="str">
        <f>IFERROR(__xludf.DUMMYFUNCTION("if(REGEXMATCH(join("", "",$F407:$G407),R$1)=TRUE,""✓"",""✗"")"),"✗")</f>
        <v>✗</v>
      </c>
      <c r="S407" s="23" t="str">
        <f>IFERROR(__xludf.DUMMYFUNCTION("if(REGEXMATCH(join("", "",$F407:$G407),S$1)=TRUE,""✓"",""✗"")"),"✗")</f>
        <v>✗</v>
      </c>
      <c r="T407" s="23" t="str">
        <f>IFERROR(__xludf.DUMMYFUNCTION("if(REGEXMATCH(join("", "",$F407:$G407),T$1)=TRUE,""✓"",""✗"")"),"✗")</f>
        <v>✗</v>
      </c>
      <c r="U407" s="33"/>
      <c r="V407" s="33"/>
      <c r="W407" s="33"/>
      <c r="X407" s="33"/>
      <c r="Y407" s="33"/>
      <c r="Z407" s="33"/>
      <c r="AA407" s="33"/>
      <c r="AB407" s="33"/>
      <c r="AC407" s="33"/>
    </row>
    <row r="408" hidden="1">
      <c r="A408" s="17" t="s">
        <v>302</v>
      </c>
      <c r="B408" s="33"/>
      <c r="C408" s="33"/>
      <c r="D408" s="33"/>
      <c r="E408" s="33"/>
      <c r="F408" s="33"/>
      <c r="G408" s="33"/>
      <c r="H408" s="23" t="str">
        <f>IFERROR(__xludf.DUMMYFUNCTION("if(REGEXMATCH(join("", "",$F408:$G408),H$1)=TRUE,""✓"",""✗"")"),"✗")</f>
        <v>✗</v>
      </c>
      <c r="I408" s="23" t="str">
        <f>IFERROR(__xludf.DUMMYFUNCTION("if(REGEXMATCH(join("", "",$F408:$G408),I$1)=TRUE,""✓"",""✗"")"),"✗")</f>
        <v>✗</v>
      </c>
      <c r="J408" s="23" t="str">
        <f>IFERROR(__xludf.DUMMYFUNCTION("if(REGEXMATCH(join("", "",$F408:$G408),J$1)=TRUE,""✓"",""✗"")"),"✗")</f>
        <v>✗</v>
      </c>
      <c r="K408" s="23" t="str">
        <f>IFERROR(__xludf.DUMMYFUNCTION("if(REGEXMATCH(join("", "",$F408:$G408),K$1)=TRUE,""✓"",""✗"")"),"✗")</f>
        <v>✗</v>
      </c>
      <c r="L408" s="23" t="str">
        <f>IFERROR(__xludf.DUMMYFUNCTION("if(REGEXMATCH(join("", "",$F408:$G408),L$1)=TRUE,""✓"",""✗"")"),"✗")</f>
        <v>✗</v>
      </c>
      <c r="M408" s="23" t="str">
        <f>IFERROR(__xludf.DUMMYFUNCTION("if(REGEXMATCH(join("", "",$F408:$G408),M$1)=TRUE,""✓"",""✗"")"),"✗")</f>
        <v>✗</v>
      </c>
      <c r="N408" s="23" t="str">
        <f>IFERROR(__xludf.DUMMYFUNCTION("if(REGEXMATCH(join("", "",$F408:$G408),N$1)=TRUE,""✓"",""✗"")"),"✗")</f>
        <v>✗</v>
      </c>
      <c r="O408" s="23" t="str">
        <f>IFERROR(__xludf.DUMMYFUNCTION("if(REGEXMATCH(join("", "",$F408:$G408),O$1)=TRUE,""✓"",""✗"")"),"✗")</f>
        <v>✗</v>
      </c>
      <c r="P408" s="23" t="str">
        <f>IFERROR(__xludf.DUMMYFUNCTION("if(REGEXMATCH(join("", "",$F408:$G408),P$1)=TRUE,""✓"",""✗"")"),"✗")</f>
        <v>✗</v>
      </c>
      <c r="Q408" s="23" t="str">
        <f>IFERROR(__xludf.DUMMYFUNCTION("if(REGEXMATCH(join("", "",$F408:$G408),Q$1)=TRUE,""✓"",""✗"")"),"✗")</f>
        <v>✗</v>
      </c>
      <c r="R408" s="23" t="str">
        <f>IFERROR(__xludf.DUMMYFUNCTION("if(REGEXMATCH(join("", "",$F408:$G408),R$1)=TRUE,""✓"",""✗"")"),"✗")</f>
        <v>✗</v>
      </c>
      <c r="S408" s="23" t="str">
        <f>IFERROR(__xludf.DUMMYFUNCTION("if(REGEXMATCH(join("", "",$F408:$G408),S$1)=TRUE,""✓"",""✗"")"),"✗")</f>
        <v>✗</v>
      </c>
      <c r="T408" s="23" t="str">
        <f>IFERROR(__xludf.DUMMYFUNCTION("if(REGEXMATCH(join("", "",$F408:$G408),T$1)=TRUE,""✓"",""✗"")"),"✗")</f>
        <v>✗</v>
      </c>
      <c r="U408" s="33"/>
      <c r="V408" s="33"/>
      <c r="W408" s="33"/>
      <c r="X408" s="33"/>
      <c r="Y408" s="33"/>
      <c r="Z408" s="33"/>
      <c r="AA408" s="33"/>
      <c r="AB408" s="33"/>
      <c r="AC408" s="33"/>
    </row>
    <row r="409" hidden="1">
      <c r="A409" s="17" t="s">
        <v>302</v>
      </c>
      <c r="B409" s="33"/>
      <c r="C409" s="33"/>
      <c r="D409" s="33"/>
      <c r="E409" s="33"/>
      <c r="F409" s="33"/>
      <c r="G409" s="33"/>
      <c r="H409" s="23" t="str">
        <f>IFERROR(__xludf.DUMMYFUNCTION("if(REGEXMATCH(join("", "",$F409:$G409),H$1)=TRUE,""✓"",""✗"")"),"✗")</f>
        <v>✗</v>
      </c>
      <c r="I409" s="23" t="str">
        <f>IFERROR(__xludf.DUMMYFUNCTION("if(REGEXMATCH(join("", "",$F409:$G409),I$1)=TRUE,""✓"",""✗"")"),"✗")</f>
        <v>✗</v>
      </c>
      <c r="J409" s="23" t="str">
        <f>IFERROR(__xludf.DUMMYFUNCTION("if(REGEXMATCH(join("", "",$F409:$G409),J$1)=TRUE,""✓"",""✗"")"),"✗")</f>
        <v>✗</v>
      </c>
      <c r="K409" s="23" t="str">
        <f>IFERROR(__xludf.DUMMYFUNCTION("if(REGEXMATCH(join("", "",$F409:$G409),K$1)=TRUE,""✓"",""✗"")"),"✗")</f>
        <v>✗</v>
      </c>
      <c r="L409" s="23" t="str">
        <f>IFERROR(__xludf.DUMMYFUNCTION("if(REGEXMATCH(join("", "",$F409:$G409),L$1)=TRUE,""✓"",""✗"")"),"✗")</f>
        <v>✗</v>
      </c>
      <c r="M409" s="23" t="str">
        <f>IFERROR(__xludf.DUMMYFUNCTION("if(REGEXMATCH(join("", "",$F409:$G409),M$1)=TRUE,""✓"",""✗"")"),"✗")</f>
        <v>✗</v>
      </c>
      <c r="N409" s="23" t="str">
        <f>IFERROR(__xludf.DUMMYFUNCTION("if(REGEXMATCH(join("", "",$F409:$G409),N$1)=TRUE,""✓"",""✗"")"),"✗")</f>
        <v>✗</v>
      </c>
      <c r="O409" s="23" t="str">
        <f>IFERROR(__xludf.DUMMYFUNCTION("if(REGEXMATCH(join("", "",$F409:$G409),O$1)=TRUE,""✓"",""✗"")"),"✗")</f>
        <v>✗</v>
      </c>
      <c r="P409" s="23" t="str">
        <f>IFERROR(__xludf.DUMMYFUNCTION("if(REGEXMATCH(join("", "",$F409:$G409),P$1)=TRUE,""✓"",""✗"")"),"✗")</f>
        <v>✗</v>
      </c>
      <c r="Q409" s="23" t="str">
        <f>IFERROR(__xludf.DUMMYFUNCTION("if(REGEXMATCH(join("", "",$F409:$G409),Q$1)=TRUE,""✓"",""✗"")"),"✗")</f>
        <v>✗</v>
      </c>
      <c r="R409" s="23" t="str">
        <f>IFERROR(__xludf.DUMMYFUNCTION("if(REGEXMATCH(join("", "",$F409:$G409),R$1)=TRUE,""✓"",""✗"")"),"✗")</f>
        <v>✗</v>
      </c>
      <c r="S409" s="23" t="str">
        <f>IFERROR(__xludf.DUMMYFUNCTION("if(REGEXMATCH(join("", "",$F409:$G409),S$1)=TRUE,""✓"",""✗"")"),"✗")</f>
        <v>✗</v>
      </c>
      <c r="T409" s="23" t="str">
        <f>IFERROR(__xludf.DUMMYFUNCTION("if(REGEXMATCH(join("", "",$F409:$G409),T$1)=TRUE,""✓"",""✗"")"),"✗")</f>
        <v>✗</v>
      </c>
      <c r="U409" s="33"/>
      <c r="V409" s="33"/>
      <c r="W409" s="33"/>
      <c r="X409" s="33"/>
      <c r="Y409" s="33"/>
      <c r="Z409" s="33"/>
      <c r="AA409" s="33"/>
      <c r="AB409" s="33"/>
      <c r="AC409" s="33"/>
    </row>
    <row r="410" hidden="1">
      <c r="A410" s="17" t="s">
        <v>302</v>
      </c>
      <c r="B410" s="33"/>
      <c r="C410" s="33"/>
      <c r="D410" s="33"/>
      <c r="E410" s="33"/>
      <c r="F410" s="33"/>
      <c r="G410" s="33"/>
      <c r="H410" s="23" t="str">
        <f>IFERROR(__xludf.DUMMYFUNCTION("if(REGEXMATCH(join("", "",$F410:$G410),H$1)=TRUE,""✓"",""✗"")"),"✗")</f>
        <v>✗</v>
      </c>
      <c r="I410" s="23" t="str">
        <f>IFERROR(__xludf.DUMMYFUNCTION("if(REGEXMATCH(join("", "",$F410:$G410),I$1)=TRUE,""✓"",""✗"")"),"✗")</f>
        <v>✗</v>
      </c>
      <c r="J410" s="23" t="str">
        <f>IFERROR(__xludf.DUMMYFUNCTION("if(REGEXMATCH(join("", "",$F410:$G410),J$1)=TRUE,""✓"",""✗"")"),"✗")</f>
        <v>✗</v>
      </c>
      <c r="K410" s="23" t="str">
        <f>IFERROR(__xludf.DUMMYFUNCTION("if(REGEXMATCH(join("", "",$F410:$G410),K$1)=TRUE,""✓"",""✗"")"),"✗")</f>
        <v>✗</v>
      </c>
      <c r="L410" s="23" t="str">
        <f>IFERROR(__xludf.DUMMYFUNCTION("if(REGEXMATCH(join("", "",$F410:$G410),L$1)=TRUE,""✓"",""✗"")"),"✗")</f>
        <v>✗</v>
      </c>
      <c r="M410" s="23" t="str">
        <f>IFERROR(__xludf.DUMMYFUNCTION("if(REGEXMATCH(join("", "",$F410:$G410),M$1)=TRUE,""✓"",""✗"")"),"✗")</f>
        <v>✗</v>
      </c>
      <c r="N410" s="23" t="str">
        <f>IFERROR(__xludf.DUMMYFUNCTION("if(REGEXMATCH(join("", "",$F410:$G410),N$1)=TRUE,""✓"",""✗"")"),"✗")</f>
        <v>✗</v>
      </c>
      <c r="O410" s="23" t="str">
        <f>IFERROR(__xludf.DUMMYFUNCTION("if(REGEXMATCH(join("", "",$F410:$G410),O$1)=TRUE,""✓"",""✗"")"),"✗")</f>
        <v>✗</v>
      </c>
      <c r="P410" s="23" t="str">
        <f>IFERROR(__xludf.DUMMYFUNCTION("if(REGEXMATCH(join("", "",$F410:$G410),P$1)=TRUE,""✓"",""✗"")"),"✗")</f>
        <v>✗</v>
      </c>
      <c r="Q410" s="23" t="str">
        <f>IFERROR(__xludf.DUMMYFUNCTION("if(REGEXMATCH(join("", "",$F410:$G410),Q$1)=TRUE,""✓"",""✗"")"),"✗")</f>
        <v>✗</v>
      </c>
      <c r="R410" s="23" t="str">
        <f>IFERROR(__xludf.DUMMYFUNCTION("if(REGEXMATCH(join("", "",$F410:$G410),R$1)=TRUE,""✓"",""✗"")"),"✗")</f>
        <v>✗</v>
      </c>
      <c r="S410" s="23" t="str">
        <f>IFERROR(__xludf.DUMMYFUNCTION("if(REGEXMATCH(join("", "",$F410:$G410),S$1)=TRUE,""✓"",""✗"")"),"✗")</f>
        <v>✗</v>
      </c>
      <c r="T410" s="23" t="str">
        <f>IFERROR(__xludf.DUMMYFUNCTION("if(REGEXMATCH(join("", "",$F410:$G410),T$1)=TRUE,""✓"",""✗"")"),"✗")</f>
        <v>✗</v>
      </c>
      <c r="U410" s="33"/>
      <c r="V410" s="33"/>
      <c r="W410" s="33"/>
      <c r="X410" s="33"/>
      <c r="Y410" s="33"/>
      <c r="Z410" s="33"/>
      <c r="AA410" s="33"/>
      <c r="AB410" s="33"/>
      <c r="AC410" s="33"/>
    </row>
    <row r="411" hidden="1">
      <c r="A411" s="17" t="s">
        <v>302</v>
      </c>
      <c r="B411" s="33"/>
      <c r="C411" s="33"/>
      <c r="D411" s="33"/>
      <c r="E411" s="33"/>
      <c r="F411" s="33"/>
      <c r="G411" s="33"/>
      <c r="H411" s="23" t="str">
        <f>IFERROR(__xludf.DUMMYFUNCTION("if(REGEXMATCH(join("", "",$F411:$G411),H$1)=TRUE,""✓"",""✗"")"),"✗")</f>
        <v>✗</v>
      </c>
      <c r="I411" s="23" t="str">
        <f>IFERROR(__xludf.DUMMYFUNCTION("if(REGEXMATCH(join("", "",$F411:$G411),I$1)=TRUE,""✓"",""✗"")"),"✗")</f>
        <v>✗</v>
      </c>
      <c r="J411" s="23" t="str">
        <f>IFERROR(__xludf.DUMMYFUNCTION("if(REGEXMATCH(join("", "",$F411:$G411),J$1)=TRUE,""✓"",""✗"")"),"✗")</f>
        <v>✗</v>
      </c>
      <c r="K411" s="23" t="str">
        <f>IFERROR(__xludf.DUMMYFUNCTION("if(REGEXMATCH(join("", "",$F411:$G411),K$1)=TRUE,""✓"",""✗"")"),"✗")</f>
        <v>✗</v>
      </c>
      <c r="L411" s="23" t="str">
        <f>IFERROR(__xludf.DUMMYFUNCTION("if(REGEXMATCH(join("", "",$F411:$G411),L$1)=TRUE,""✓"",""✗"")"),"✗")</f>
        <v>✗</v>
      </c>
      <c r="M411" s="23" t="str">
        <f>IFERROR(__xludf.DUMMYFUNCTION("if(REGEXMATCH(join("", "",$F411:$G411),M$1)=TRUE,""✓"",""✗"")"),"✗")</f>
        <v>✗</v>
      </c>
      <c r="N411" s="23" t="str">
        <f>IFERROR(__xludf.DUMMYFUNCTION("if(REGEXMATCH(join("", "",$F411:$G411),N$1)=TRUE,""✓"",""✗"")"),"✗")</f>
        <v>✗</v>
      </c>
      <c r="O411" s="23" t="str">
        <f>IFERROR(__xludf.DUMMYFUNCTION("if(REGEXMATCH(join("", "",$F411:$G411),O$1)=TRUE,""✓"",""✗"")"),"✗")</f>
        <v>✗</v>
      </c>
      <c r="P411" s="23" t="str">
        <f>IFERROR(__xludf.DUMMYFUNCTION("if(REGEXMATCH(join("", "",$F411:$G411),P$1)=TRUE,""✓"",""✗"")"),"✗")</f>
        <v>✗</v>
      </c>
      <c r="Q411" s="23" t="str">
        <f>IFERROR(__xludf.DUMMYFUNCTION("if(REGEXMATCH(join("", "",$F411:$G411),Q$1)=TRUE,""✓"",""✗"")"),"✗")</f>
        <v>✗</v>
      </c>
      <c r="R411" s="23" t="str">
        <f>IFERROR(__xludf.DUMMYFUNCTION("if(REGEXMATCH(join("", "",$F411:$G411),R$1)=TRUE,""✓"",""✗"")"),"✗")</f>
        <v>✗</v>
      </c>
      <c r="S411" s="23" t="str">
        <f>IFERROR(__xludf.DUMMYFUNCTION("if(REGEXMATCH(join("", "",$F411:$G411),S$1)=TRUE,""✓"",""✗"")"),"✗")</f>
        <v>✗</v>
      </c>
      <c r="T411" s="23" t="str">
        <f>IFERROR(__xludf.DUMMYFUNCTION("if(REGEXMATCH(join("", "",$F411:$G411),T$1)=TRUE,""✓"",""✗"")"),"✗")</f>
        <v>✗</v>
      </c>
      <c r="U411" s="33"/>
      <c r="V411" s="33"/>
      <c r="W411" s="33"/>
      <c r="X411" s="33"/>
      <c r="Y411" s="33"/>
      <c r="Z411" s="33"/>
      <c r="AA411" s="33"/>
      <c r="AB411" s="33"/>
      <c r="AC411" s="33"/>
    </row>
    <row r="412" hidden="1">
      <c r="A412" s="17" t="s">
        <v>302</v>
      </c>
      <c r="B412" s="33"/>
      <c r="C412" s="33"/>
      <c r="D412" s="33"/>
      <c r="E412" s="33"/>
      <c r="F412" s="33"/>
      <c r="G412" s="33"/>
      <c r="H412" s="23" t="str">
        <f>IFERROR(__xludf.DUMMYFUNCTION("if(REGEXMATCH(join("", "",$F412:$G412),H$1)=TRUE,""✓"",""✗"")"),"✗")</f>
        <v>✗</v>
      </c>
      <c r="I412" s="23" t="str">
        <f>IFERROR(__xludf.DUMMYFUNCTION("if(REGEXMATCH(join("", "",$F412:$G412),I$1)=TRUE,""✓"",""✗"")"),"✗")</f>
        <v>✗</v>
      </c>
      <c r="J412" s="23" t="str">
        <f>IFERROR(__xludf.DUMMYFUNCTION("if(REGEXMATCH(join("", "",$F412:$G412),J$1)=TRUE,""✓"",""✗"")"),"✗")</f>
        <v>✗</v>
      </c>
      <c r="K412" s="23" t="str">
        <f>IFERROR(__xludf.DUMMYFUNCTION("if(REGEXMATCH(join("", "",$F412:$G412),K$1)=TRUE,""✓"",""✗"")"),"✗")</f>
        <v>✗</v>
      </c>
      <c r="L412" s="23" t="str">
        <f>IFERROR(__xludf.DUMMYFUNCTION("if(REGEXMATCH(join("", "",$F412:$G412),L$1)=TRUE,""✓"",""✗"")"),"✗")</f>
        <v>✗</v>
      </c>
      <c r="M412" s="23" t="str">
        <f>IFERROR(__xludf.DUMMYFUNCTION("if(REGEXMATCH(join("", "",$F412:$G412),M$1)=TRUE,""✓"",""✗"")"),"✗")</f>
        <v>✗</v>
      </c>
      <c r="N412" s="23" t="str">
        <f>IFERROR(__xludf.DUMMYFUNCTION("if(REGEXMATCH(join("", "",$F412:$G412),N$1)=TRUE,""✓"",""✗"")"),"✗")</f>
        <v>✗</v>
      </c>
      <c r="O412" s="23" t="str">
        <f>IFERROR(__xludf.DUMMYFUNCTION("if(REGEXMATCH(join("", "",$F412:$G412),O$1)=TRUE,""✓"",""✗"")"),"✗")</f>
        <v>✗</v>
      </c>
      <c r="P412" s="23" t="str">
        <f>IFERROR(__xludf.DUMMYFUNCTION("if(REGEXMATCH(join("", "",$F412:$G412),P$1)=TRUE,""✓"",""✗"")"),"✗")</f>
        <v>✗</v>
      </c>
      <c r="Q412" s="23" t="str">
        <f>IFERROR(__xludf.DUMMYFUNCTION("if(REGEXMATCH(join("", "",$F412:$G412),Q$1)=TRUE,""✓"",""✗"")"),"✗")</f>
        <v>✗</v>
      </c>
      <c r="R412" s="23" t="str">
        <f>IFERROR(__xludf.DUMMYFUNCTION("if(REGEXMATCH(join("", "",$F412:$G412),R$1)=TRUE,""✓"",""✗"")"),"✗")</f>
        <v>✗</v>
      </c>
      <c r="S412" s="23" t="str">
        <f>IFERROR(__xludf.DUMMYFUNCTION("if(REGEXMATCH(join("", "",$F412:$G412),S$1)=TRUE,""✓"",""✗"")"),"✗")</f>
        <v>✗</v>
      </c>
      <c r="T412" s="23" t="str">
        <f>IFERROR(__xludf.DUMMYFUNCTION("if(REGEXMATCH(join("", "",$F412:$G412),T$1)=TRUE,""✓"",""✗"")"),"✗")</f>
        <v>✗</v>
      </c>
      <c r="U412" s="33"/>
      <c r="V412" s="33"/>
      <c r="W412" s="33"/>
      <c r="X412" s="33"/>
      <c r="Y412" s="33"/>
      <c r="Z412" s="33"/>
      <c r="AA412" s="33"/>
      <c r="AB412" s="33"/>
      <c r="AC412" s="33"/>
    </row>
    <row r="413" hidden="1">
      <c r="A413" s="17" t="s">
        <v>302</v>
      </c>
      <c r="B413" s="33"/>
      <c r="C413" s="33"/>
      <c r="D413" s="33"/>
      <c r="E413" s="33"/>
      <c r="F413" s="33"/>
      <c r="G413" s="33"/>
      <c r="H413" s="23" t="str">
        <f>IFERROR(__xludf.DUMMYFUNCTION("if(REGEXMATCH(join("", "",$F413:$G413),H$1)=TRUE,""✓"",""✗"")"),"✗")</f>
        <v>✗</v>
      </c>
      <c r="I413" s="23" t="str">
        <f>IFERROR(__xludf.DUMMYFUNCTION("if(REGEXMATCH(join("", "",$F413:$G413),I$1)=TRUE,""✓"",""✗"")"),"✗")</f>
        <v>✗</v>
      </c>
      <c r="J413" s="23" t="str">
        <f>IFERROR(__xludf.DUMMYFUNCTION("if(REGEXMATCH(join("", "",$F413:$G413),J$1)=TRUE,""✓"",""✗"")"),"✗")</f>
        <v>✗</v>
      </c>
      <c r="K413" s="23" t="str">
        <f>IFERROR(__xludf.DUMMYFUNCTION("if(REGEXMATCH(join("", "",$F413:$G413),K$1)=TRUE,""✓"",""✗"")"),"✗")</f>
        <v>✗</v>
      </c>
      <c r="L413" s="23" t="str">
        <f>IFERROR(__xludf.DUMMYFUNCTION("if(REGEXMATCH(join("", "",$F413:$G413),L$1)=TRUE,""✓"",""✗"")"),"✗")</f>
        <v>✗</v>
      </c>
      <c r="M413" s="23" t="str">
        <f>IFERROR(__xludf.DUMMYFUNCTION("if(REGEXMATCH(join("", "",$F413:$G413),M$1)=TRUE,""✓"",""✗"")"),"✗")</f>
        <v>✗</v>
      </c>
      <c r="N413" s="23" t="str">
        <f>IFERROR(__xludf.DUMMYFUNCTION("if(REGEXMATCH(join("", "",$F413:$G413),N$1)=TRUE,""✓"",""✗"")"),"✗")</f>
        <v>✗</v>
      </c>
      <c r="O413" s="23" t="str">
        <f>IFERROR(__xludf.DUMMYFUNCTION("if(REGEXMATCH(join("", "",$F413:$G413),O$1)=TRUE,""✓"",""✗"")"),"✗")</f>
        <v>✗</v>
      </c>
      <c r="P413" s="23" t="str">
        <f>IFERROR(__xludf.DUMMYFUNCTION("if(REGEXMATCH(join("", "",$F413:$G413),P$1)=TRUE,""✓"",""✗"")"),"✗")</f>
        <v>✗</v>
      </c>
      <c r="Q413" s="23" t="str">
        <f>IFERROR(__xludf.DUMMYFUNCTION("if(REGEXMATCH(join("", "",$F413:$G413),Q$1)=TRUE,""✓"",""✗"")"),"✗")</f>
        <v>✗</v>
      </c>
      <c r="R413" s="23" t="str">
        <f>IFERROR(__xludf.DUMMYFUNCTION("if(REGEXMATCH(join("", "",$F413:$G413),R$1)=TRUE,""✓"",""✗"")"),"✗")</f>
        <v>✗</v>
      </c>
      <c r="S413" s="23" t="str">
        <f>IFERROR(__xludf.DUMMYFUNCTION("if(REGEXMATCH(join("", "",$F413:$G413),S$1)=TRUE,""✓"",""✗"")"),"✗")</f>
        <v>✗</v>
      </c>
      <c r="T413" s="23" t="str">
        <f>IFERROR(__xludf.DUMMYFUNCTION("if(REGEXMATCH(join("", "",$F413:$G413),T$1)=TRUE,""✓"",""✗"")"),"✗")</f>
        <v>✗</v>
      </c>
      <c r="U413" s="33"/>
      <c r="V413" s="33"/>
      <c r="W413" s="33"/>
      <c r="X413" s="33"/>
      <c r="Y413" s="33"/>
      <c r="Z413" s="33"/>
      <c r="AA413" s="33"/>
      <c r="AB413" s="33"/>
      <c r="AC413" s="33"/>
    </row>
    <row r="414" hidden="1">
      <c r="A414" s="17" t="s">
        <v>302</v>
      </c>
      <c r="B414" s="33"/>
      <c r="C414" s="33"/>
      <c r="D414" s="33"/>
      <c r="E414" s="33"/>
      <c r="F414" s="33"/>
      <c r="G414" s="33"/>
      <c r="H414" s="23" t="str">
        <f>IFERROR(__xludf.DUMMYFUNCTION("if(REGEXMATCH(join("", "",$F414:$G414),H$1)=TRUE,""✓"",""✗"")"),"✗")</f>
        <v>✗</v>
      </c>
      <c r="I414" s="23" t="str">
        <f>IFERROR(__xludf.DUMMYFUNCTION("if(REGEXMATCH(join("", "",$F414:$G414),I$1)=TRUE,""✓"",""✗"")"),"✗")</f>
        <v>✗</v>
      </c>
      <c r="J414" s="23" t="str">
        <f>IFERROR(__xludf.DUMMYFUNCTION("if(REGEXMATCH(join("", "",$F414:$G414),J$1)=TRUE,""✓"",""✗"")"),"✗")</f>
        <v>✗</v>
      </c>
      <c r="K414" s="23" t="str">
        <f>IFERROR(__xludf.DUMMYFUNCTION("if(REGEXMATCH(join("", "",$F414:$G414),K$1)=TRUE,""✓"",""✗"")"),"✗")</f>
        <v>✗</v>
      </c>
      <c r="L414" s="23" t="str">
        <f>IFERROR(__xludf.DUMMYFUNCTION("if(REGEXMATCH(join("", "",$F414:$G414),L$1)=TRUE,""✓"",""✗"")"),"✗")</f>
        <v>✗</v>
      </c>
      <c r="M414" s="23" t="str">
        <f>IFERROR(__xludf.DUMMYFUNCTION("if(REGEXMATCH(join("", "",$F414:$G414),M$1)=TRUE,""✓"",""✗"")"),"✗")</f>
        <v>✗</v>
      </c>
      <c r="N414" s="23" t="str">
        <f>IFERROR(__xludf.DUMMYFUNCTION("if(REGEXMATCH(join("", "",$F414:$G414),N$1)=TRUE,""✓"",""✗"")"),"✗")</f>
        <v>✗</v>
      </c>
      <c r="O414" s="23" t="str">
        <f>IFERROR(__xludf.DUMMYFUNCTION("if(REGEXMATCH(join("", "",$F414:$G414),O$1)=TRUE,""✓"",""✗"")"),"✗")</f>
        <v>✗</v>
      </c>
      <c r="P414" s="23" t="str">
        <f>IFERROR(__xludf.DUMMYFUNCTION("if(REGEXMATCH(join("", "",$F414:$G414),P$1)=TRUE,""✓"",""✗"")"),"✗")</f>
        <v>✗</v>
      </c>
      <c r="Q414" s="23" t="str">
        <f>IFERROR(__xludf.DUMMYFUNCTION("if(REGEXMATCH(join("", "",$F414:$G414),Q$1)=TRUE,""✓"",""✗"")"),"✗")</f>
        <v>✗</v>
      </c>
      <c r="R414" s="23" t="str">
        <f>IFERROR(__xludf.DUMMYFUNCTION("if(REGEXMATCH(join("", "",$F414:$G414),R$1)=TRUE,""✓"",""✗"")"),"✗")</f>
        <v>✗</v>
      </c>
      <c r="S414" s="23" t="str">
        <f>IFERROR(__xludf.DUMMYFUNCTION("if(REGEXMATCH(join("", "",$F414:$G414),S$1)=TRUE,""✓"",""✗"")"),"✗")</f>
        <v>✗</v>
      </c>
      <c r="T414" s="23" t="str">
        <f>IFERROR(__xludf.DUMMYFUNCTION("if(REGEXMATCH(join("", "",$F414:$G414),T$1)=TRUE,""✓"",""✗"")"),"✗")</f>
        <v>✗</v>
      </c>
      <c r="U414" s="33"/>
      <c r="V414" s="33"/>
      <c r="W414" s="33"/>
      <c r="X414" s="33"/>
      <c r="Y414" s="33"/>
      <c r="Z414" s="33"/>
      <c r="AA414" s="33"/>
      <c r="AB414" s="33"/>
      <c r="AC414" s="33"/>
    </row>
    <row r="415" hidden="1">
      <c r="A415" s="17" t="s">
        <v>302</v>
      </c>
      <c r="B415" s="33"/>
      <c r="C415" s="33"/>
      <c r="D415" s="33"/>
      <c r="E415" s="33"/>
      <c r="F415" s="33"/>
      <c r="G415" s="33"/>
      <c r="H415" s="23" t="str">
        <f>IFERROR(__xludf.DUMMYFUNCTION("if(REGEXMATCH(join("", "",$F415:$G415),H$1)=TRUE,""✓"",""✗"")"),"✗")</f>
        <v>✗</v>
      </c>
      <c r="I415" s="23" t="str">
        <f>IFERROR(__xludf.DUMMYFUNCTION("if(REGEXMATCH(join("", "",$F415:$G415),I$1)=TRUE,""✓"",""✗"")"),"✗")</f>
        <v>✗</v>
      </c>
      <c r="J415" s="23" t="str">
        <f>IFERROR(__xludf.DUMMYFUNCTION("if(REGEXMATCH(join("", "",$F415:$G415),J$1)=TRUE,""✓"",""✗"")"),"✗")</f>
        <v>✗</v>
      </c>
      <c r="K415" s="23" t="str">
        <f>IFERROR(__xludf.DUMMYFUNCTION("if(REGEXMATCH(join("", "",$F415:$G415),K$1)=TRUE,""✓"",""✗"")"),"✗")</f>
        <v>✗</v>
      </c>
      <c r="L415" s="23" t="str">
        <f>IFERROR(__xludf.DUMMYFUNCTION("if(REGEXMATCH(join("", "",$F415:$G415),L$1)=TRUE,""✓"",""✗"")"),"✗")</f>
        <v>✗</v>
      </c>
      <c r="M415" s="23" t="str">
        <f>IFERROR(__xludf.DUMMYFUNCTION("if(REGEXMATCH(join("", "",$F415:$G415),M$1)=TRUE,""✓"",""✗"")"),"✗")</f>
        <v>✗</v>
      </c>
      <c r="N415" s="23" t="str">
        <f>IFERROR(__xludf.DUMMYFUNCTION("if(REGEXMATCH(join("", "",$F415:$G415),N$1)=TRUE,""✓"",""✗"")"),"✗")</f>
        <v>✗</v>
      </c>
      <c r="O415" s="23" t="str">
        <f>IFERROR(__xludf.DUMMYFUNCTION("if(REGEXMATCH(join("", "",$F415:$G415),O$1)=TRUE,""✓"",""✗"")"),"✗")</f>
        <v>✗</v>
      </c>
      <c r="P415" s="23" t="str">
        <f>IFERROR(__xludf.DUMMYFUNCTION("if(REGEXMATCH(join("", "",$F415:$G415),P$1)=TRUE,""✓"",""✗"")"),"✗")</f>
        <v>✗</v>
      </c>
      <c r="Q415" s="23" t="str">
        <f>IFERROR(__xludf.DUMMYFUNCTION("if(REGEXMATCH(join("", "",$F415:$G415),Q$1)=TRUE,""✓"",""✗"")"),"✗")</f>
        <v>✗</v>
      </c>
      <c r="R415" s="23" t="str">
        <f>IFERROR(__xludf.DUMMYFUNCTION("if(REGEXMATCH(join("", "",$F415:$G415),R$1)=TRUE,""✓"",""✗"")"),"✗")</f>
        <v>✗</v>
      </c>
      <c r="S415" s="23" t="str">
        <f>IFERROR(__xludf.DUMMYFUNCTION("if(REGEXMATCH(join("", "",$F415:$G415),S$1)=TRUE,""✓"",""✗"")"),"✗")</f>
        <v>✗</v>
      </c>
      <c r="T415" s="23" t="str">
        <f>IFERROR(__xludf.DUMMYFUNCTION("if(REGEXMATCH(join("", "",$F415:$G415),T$1)=TRUE,""✓"",""✗"")"),"✗")</f>
        <v>✗</v>
      </c>
      <c r="U415" s="33"/>
      <c r="V415" s="33"/>
      <c r="W415" s="33"/>
      <c r="X415" s="33"/>
      <c r="Y415" s="33"/>
      <c r="Z415" s="33"/>
      <c r="AA415" s="33"/>
      <c r="AB415" s="33"/>
      <c r="AC415" s="33"/>
    </row>
    <row r="416" hidden="1">
      <c r="A416" s="17" t="s">
        <v>302</v>
      </c>
      <c r="B416" s="33"/>
      <c r="C416" s="33"/>
      <c r="D416" s="33"/>
      <c r="E416" s="33"/>
      <c r="F416" s="33"/>
      <c r="G416" s="33"/>
      <c r="H416" s="23" t="str">
        <f>IFERROR(__xludf.DUMMYFUNCTION("if(REGEXMATCH(join("", "",$F416:$G416),H$1)=TRUE,""✓"",""✗"")"),"✗")</f>
        <v>✗</v>
      </c>
      <c r="I416" s="23" t="str">
        <f>IFERROR(__xludf.DUMMYFUNCTION("if(REGEXMATCH(join("", "",$F416:$G416),I$1)=TRUE,""✓"",""✗"")"),"✗")</f>
        <v>✗</v>
      </c>
      <c r="J416" s="23" t="str">
        <f>IFERROR(__xludf.DUMMYFUNCTION("if(REGEXMATCH(join("", "",$F416:$G416),J$1)=TRUE,""✓"",""✗"")"),"✗")</f>
        <v>✗</v>
      </c>
      <c r="K416" s="23" t="str">
        <f>IFERROR(__xludf.DUMMYFUNCTION("if(REGEXMATCH(join("", "",$F416:$G416),K$1)=TRUE,""✓"",""✗"")"),"✗")</f>
        <v>✗</v>
      </c>
      <c r="L416" s="23" t="str">
        <f>IFERROR(__xludf.DUMMYFUNCTION("if(REGEXMATCH(join("", "",$F416:$G416),L$1)=TRUE,""✓"",""✗"")"),"✗")</f>
        <v>✗</v>
      </c>
      <c r="M416" s="23" t="str">
        <f>IFERROR(__xludf.DUMMYFUNCTION("if(REGEXMATCH(join("", "",$F416:$G416),M$1)=TRUE,""✓"",""✗"")"),"✗")</f>
        <v>✗</v>
      </c>
      <c r="N416" s="23" t="str">
        <f>IFERROR(__xludf.DUMMYFUNCTION("if(REGEXMATCH(join("", "",$F416:$G416),N$1)=TRUE,""✓"",""✗"")"),"✗")</f>
        <v>✗</v>
      </c>
      <c r="O416" s="23" t="str">
        <f>IFERROR(__xludf.DUMMYFUNCTION("if(REGEXMATCH(join("", "",$F416:$G416),O$1)=TRUE,""✓"",""✗"")"),"✗")</f>
        <v>✗</v>
      </c>
      <c r="P416" s="23" t="str">
        <f>IFERROR(__xludf.DUMMYFUNCTION("if(REGEXMATCH(join("", "",$F416:$G416),P$1)=TRUE,""✓"",""✗"")"),"✗")</f>
        <v>✗</v>
      </c>
      <c r="Q416" s="23" t="str">
        <f>IFERROR(__xludf.DUMMYFUNCTION("if(REGEXMATCH(join("", "",$F416:$G416),Q$1)=TRUE,""✓"",""✗"")"),"✗")</f>
        <v>✗</v>
      </c>
      <c r="R416" s="23" t="str">
        <f>IFERROR(__xludf.DUMMYFUNCTION("if(REGEXMATCH(join("", "",$F416:$G416),R$1)=TRUE,""✓"",""✗"")"),"✗")</f>
        <v>✗</v>
      </c>
      <c r="S416" s="23" t="str">
        <f>IFERROR(__xludf.DUMMYFUNCTION("if(REGEXMATCH(join("", "",$F416:$G416),S$1)=TRUE,""✓"",""✗"")"),"✗")</f>
        <v>✗</v>
      </c>
      <c r="T416" s="23" t="str">
        <f>IFERROR(__xludf.DUMMYFUNCTION("if(REGEXMATCH(join("", "",$F416:$G416),T$1)=TRUE,""✓"",""✗"")"),"✗")</f>
        <v>✗</v>
      </c>
      <c r="U416" s="33"/>
      <c r="V416" s="33"/>
      <c r="W416" s="33"/>
      <c r="X416" s="33"/>
      <c r="Y416" s="33"/>
      <c r="Z416" s="33"/>
      <c r="AA416" s="33"/>
      <c r="AB416" s="33"/>
      <c r="AC416" s="33"/>
    </row>
    <row r="417" hidden="1">
      <c r="A417" s="17" t="s">
        <v>302</v>
      </c>
      <c r="B417" s="33"/>
      <c r="C417" s="33"/>
      <c r="D417" s="33"/>
      <c r="E417" s="33"/>
      <c r="F417" s="33"/>
      <c r="G417" s="33"/>
      <c r="H417" s="23" t="str">
        <f>IFERROR(__xludf.DUMMYFUNCTION("if(REGEXMATCH(join("", "",$F417:$G417),H$1)=TRUE,""✓"",""✗"")"),"✗")</f>
        <v>✗</v>
      </c>
      <c r="I417" s="23" t="str">
        <f>IFERROR(__xludf.DUMMYFUNCTION("if(REGEXMATCH(join("", "",$F417:$G417),I$1)=TRUE,""✓"",""✗"")"),"✗")</f>
        <v>✗</v>
      </c>
      <c r="J417" s="23" t="str">
        <f>IFERROR(__xludf.DUMMYFUNCTION("if(REGEXMATCH(join("", "",$F417:$G417),J$1)=TRUE,""✓"",""✗"")"),"✗")</f>
        <v>✗</v>
      </c>
      <c r="K417" s="23" t="str">
        <f>IFERROR(__xludf.DUMMYFUNCTION("if(REGEXMATCH(join("", "",$F417:$G417),K$1)=TRUE,""✓"",""✗"")"),"✗")</f>
        <v>✗</v>
      </c>
      <c r="L417" s="23" t="str">
        <f>IFERROR(__xludf.DUMMYFUNCTION("if(REGEXMATCH(join("", "",$F417:$G417),L$1)=TRUE,""✓"",""✗"")"),"✗")</f>
        <v>✗</v>
      </c>
      <c r="M417" s="23" t="str">
        <f>IFERROR(__xludf.DUMMYFUNCTION("if(REGEXMATCH(join("", "",$F417:$G417),M$1)=TRUE,""✓"",""✗"")"),"✗")</f>
        <v>✗</v>
      </c>
      <c r="N417" s="23" t="str">
        <f>IFERROR(__xludf.DUMMYFUNCTION("if(REGEXMATCH(join("", "",$F417:$G417),N$1)=TRUE,""✓"",""✗"")"),"✗")</f>
        <v>✗</v>
      </c>
      <c r="O417" s="23" t="str">
        <f>IFERROR(__xludf.DUMMYFUNCTION("if(REGEXMATCH(join("", "",$F417:$G417),O$1)=TRUE,""✓"",""✗"")"),"✗")</f>
        <v>✗</v>
      </c>
      <c r="P417" s="23" t="str">
        <f>IFERROR(__xludf.DUMMYFUNCTION("if(REGEXMATCH(join("", "",$F417:$G417),P$1)=TRUE,""✓"",""✗"")"),"✗")</f>
        <v>✗</v>
      </c>
      <c r="Q417" s="23" t="str">
        <f>IFERROR(__xludf.DUMMYFUNCTION("if(REGEXMATCH(join("", "",$F417:$G417),Q$1)=TRUE,""✓"",""✗"")"),"✗")</f>
        <v>✗</v>
      </c>
      <c r="R417" s="23" t="str">
        <f>IFERROR(__xludf.DUMMYFUNCTION("if(REGEXMATCH(join("", "",$F417:$G417),R$1)=TRUE,""✓"",""✗"")"),"✗")</f>
        <v>✗</v>
      </c>
      <c r="S417" s="23" t="str">
        <f>IFERROR(__xludf.DUMMYFUNCTION("if(REGEXMATCH(join("", "",$F417:$G417),S$1)=TRUE,""✓"",""✗"")"),"✗")</f>
        <v>✗</v>
      </c>
      <c r="T417" s="23" t="str">
        <f>IFERROR(__xludf.DUMMYFUNCTION("if(REGEXMATCH(join("", "",$F417:$G417),T$1)=TRUE,""✓"",""✗"")"),"✗")</f>
        <v>✗</v>
      </c>
      <c r="U417" s="33"/>
      <c r="V417" s="33"/>
      <c r="W417" s="33"/>
      <c r="X417" s="33"/>
      <c r="Y417" s="33"/>
      <c r="Z417" s="33"/>
      <c r="AA417" s="33"/>
      <c r="AB417" s="33"/>
      <c r="AC417" s="33"/>
    </row>
    <row r="418" hidden="1">
      <c r="A418" s="17" t="s">
        <v>302</v>
      </c>
      <c r="B418" s="33"/>
      <c r="C418" s="33"/>
      <c r="D418" s="33"/>
      <c r="E418" s="33"/>
      <c r="F418" s="33"/>
      <c r="G418" s="33"/>
      <c r="H418" s="23" t="str">
        <f>IFERROR(__xludf.DUMMYFUNCTION("if(REGEXMATCH(join("", "",$F418:$G418),H$1)=TRUE,""✓"",""✗"")"),"✗")</f>
        <v>✗</v>
      </c>
      <c r="I418" s="23" t="str">
        <f>IFERROR(__xludf.DUMMYFUNCTION("if(REGEXMATCH(join("", "",$F418:$G418),I$1)=TRUE,""✓"",""✗"")"),"✗")</f>
        <v>✗</v>
      </c>
      <c r="J418" s="23" t="str">
        <f>IFERROR(__xludf.DUMMYFUNCTION("if(REGEXMATCH(join("", "",$F418:$G418),J$1)=TRUE,""✓"",""✗"")"),"✗")</f>
        <v>✗</v>
      </c>
      <c r="K418" s="23" t="str">
        <f>IFERROR(__xludf.DUMMYFUNCTION("if(REGEXMATCH(join("", "",$F418:$G418),K$1)=TRUE,""✓"",""✗"")"),"✗")</f>
        <v>✗</v>
      </c>
      <c r="L418" s="23" t="str">
        <f>IFERROR(__xludf.DUMMYFUNCTION("if(REGEXMATCH(join("", "",$F418:$G418),L$1)=TRUE,""✓"",""✗"")"),"✗")</f>
        <v>✗</v>
      </c>
      <c r="M418" s="23" t="str">
        <f>IFERROR(__xludf.DUMMYFUNCTION("if(REGEXMATCH(join("", "",$F418:$G418),M$1)=TRUE,""✓"",""✗"")"),"✗")</f>
        <v>✗</v>
      </c>
      <c r="N418" s="23" t="str">
        <f>IFERROR(__xludf.DUMMYFUNCTION("if(REGEXMATCH(join("", "",$F418:$G418),N$1)=TRUE,""✓"",""✗"")"),"✗")</f>
        <v>✗</v>
      </c>
      <c r="O418" s="23" t="str">
        <f>IFERROR(__xludf.DUMMYFUNCTION("if(REGEXMATCH(join("", "",$F418:$G418),O$1)=TRUE,""✓"",""✗"")"),"✗")</f>
        <v>✗</v>
      </c>
      <c r="P418" s="23" t="str">
        <f>IFERROR(__xludf.DUMMYFUNCTION("if(REGEXMATCH(join("", "",$F418:$G418),P$1)=TRUE,""✓"",""✗"")"),"✗")</f>
        <v>✗</v>
      </c>
      <c r="Q418" s="23" t="str">
        <f>IFERROR(__xludf.DUMMYFUNCTION("if(REGEXMATCH(join("", "",$F418:$G418),Q$1)=TRUE,""✓"",""✗"")"),"✗")</f>
        <v>✗</v>
      </c>
      <c r="R418" s="23" t="str">
        <f>IFERROR(__xludf.DUMMYFUNCTION("if(REGEXMATCH(join("", "",$F418:$G418),R$1)=TRUE,""✓"",""✗"")"),"✗")</f>
        <v>✗</v>
      </c>
      <c r="S418" s="23" t="str">
        <f>IFERROR(__xludf.DUMMYFUNCTION("if(REGEXMATCH(join("", "",$F418:$G418),S$1)=TRUE,""✓"",""✗"")"),"✗")</f>
        <v>✗</v>
      </c>
      <c r="T418" s="23" t="str">
        <f>IFERROR(__xludf.DUMMYFUNCTION("if(REGEXMATCH(join("", "",$F418:$G418),T$1)=TRUE,""✓"",""✗"")"),"✗")</f>
        <v>✗</v>
      </c>
      <c r="U418" s="33"/>
      <c r="V418" s="33"/>
      <c r="W418" s="33"/>
      <c r="X418" s="33"/>
      <c r="Y418" s="33"/>
      <c r="Z418" s="33"/>
      <c r="AA418" s="33"/>
      <c r="AB418" s="33"/>
      <c r="AC418" s="33"/>
    </row>
    <row r="419" hidden="1">
      <c r="A419" s="17" t="s">
        <v>302</v>
      </c>
      <c r="B419" s="33"/>
      <c r="C419" s="33"/>
      <c r="D419" s="33"/>
      <c r="E419" s="33"/>
      <c r="F419" s="33"/>
      <c r="G419" s="33"/>
      <c r="H419" s="23" t="str">
        <f>IFERROR(__xludf.DUMMYFUNCTION("if(REGEXMATCH(join("", "",$F419:$G419),H$1)=TRUE,""✓"",""✗"")"),"✗")</f>
        <v>✗</v>
      </c>
      <c r="I419" s="23" t="str">
        <f>IFERROR(__xludf.DUMMYFUNCTION("if(REGEXMATCH(join("", "",$F419:$G419),I$1)=TRUE,""✓"",""✗"")"),"✗")</f>
        <v>✗</v>
      </c>
      <c r="J419" s="23" t="str">
        <f>IFERROR(__xludf.DUMMYFUNCTION("if(REGEXMATCH(join("", "",$F419:$G419),J$1)=TRUE,""✓"",""✗"")"),"✗")</f>
        <v>✗</v>
      </c>
      <c r="K419" s="23" t="str">
        <f>IFERROR(__xludf.DUMMYFUNCTION("if(REGEXMATCH(join("", "",$F419:$G419),K$1)=TRUE,""✓"",""✗"")"),"✗")</f>
        <v>✗</v>
      </c>
      <c r="L419" s="23" t="str">
        <f>IFERROR(__xludf.DUMMYFUNCTION("if(REGEXMATCH(join("", "",$F419:$G419),L$1)=TRUE,""✓"",""✗"")"),"✗")</f>
        <v>✗</v>
      </c>
      <c r="M419" s="23" t="str">
        <f>IFERROR(__xludf.DUMMYFUNCTION("if(REGEXMATCH(join("", "",$F419:$G419),M$1)=TRUE,""✓"",""✗"")"),"✗")</f>
        <v>✗</v>
      </c>
      <c r="N419" s="23" t="str">
        <f>IFERROR(__xludf.DUMMYFUNCTION("if(REGEXMATCH(join("", "",$F419:$G419),N$1)=TRUE,""✓"",""✗"")"),"✗")</f>
        <v>✗</v>
      </c>
      <c r="O419" s="23" t="str">
        <f>IFERROR(__xludf.DUMMYFUNCTION("if(REGEXMATCH(join("", "",$F419:$G419),O$1)=TRUE,""✓"",""✗"")"),"✗")</f>
        <v>✗</v>
      </c>
      <c r="P419" s="23" t="str">
        <f>IFERROR(__xludf.DUMMYFUNCTION("if(REGEXMATCH(join("", "",$F419:$G419),P$1)=TRUE,""✓"",""✗"")"),"✗")</f>
        <v>✗</v>
      </c>
      <c r="Q419" s="23" t="str">
        <f>IFERROR(__xludf.DUMMYFUNCTION("if(REGEXMATCH(join("", "",$F419:$G419),Q$1)=TRUE,""✓"",""✗"")"),"✗")</f>
        <v>✗</v>
      </c>
      <c r="R419" s="23" t="str">
        <f>IFERROR(__xludf.DUMMYFUNCTION("if(REGEXMATCH(join("", "",$F419:$G419),R$1)=TRUE,""✓"",""✗"")"),"✗")</f>
        <v>✗</v>
      </c>
      <c r="S419" s="23" t="str">
        <f>IFERROR(__xludf.DUMMYFUNCTION("if(REGEXMATCH(join("", "",$F419:$G419),S$1)=TRUE,""✓"",""✗"")"),"✗")</f>
        <v>✗</v>
      </c>
      <c r="T419" s="23" t="str">
        <f>IFERROR(__xludf.DUMMYFUNCTION("if(REGEXMATCH(join("", "",$F419:$G419),T$1)=TRUE,""✓"",""✗"")"),"✗")</f>
        <v>✗</v>
      </c>
      <c r="U419" s="33"/>
      <c r="V419" s="33"/>
      <c r="W419" s="33"/>
      <c r="X419" s="33"/>
      <c r="Y419" s="33"/>
      <c r="Z419" s="33"/>
      <c r="AA419" s="33"/>
      <c r="AB419" s="33"/>
      <c r="AC419" s="33"/>
    </row>
    <row r="420" hidden="1">
      <c r="A420" s="17" t="s">
        <v>302</v>
      </c>
      <c r="B420" s="33"/>
      <c r="C420" s="33"/>
      <c r="D420" s="33"/>
      <c r="E420" s="33"/>
      <c r="F420" s="33"/>
      <c r="G420" s="33"/>
      <c r="H420" s="23" t="str">
        <f>IFERROR(__xludf.DUMMYFUNCTION("if(REGEXMATCH(join("", "",$F420:$G420),H$1)=TRUE,""✓"",""✗"")"),"✗")</f>
        <v>✗</v>
      </c>
      <c r="I420" s="23" t="str">
        <f>IFERROR(__xludf.DUMMYFUNCTION("if(REGEXMATCH(join("", "",$F420:$G420),I$1)=TRUE,""✓"",""✗"")"),"✗")</f>
        <v>✗</v>
      </c>
      <c r="J420" s="23" t="str">
        <f>IFERROR(__xludf.DUMMYFUNCTION("if(REGEXMATCH(join("", "",$F420:$G420),J$1)=TRUE,""✓"",""✗"")"),"✗")</f>
        <v>✗</v>
      </c>
      <c r="K420" s="23" t="str">
        <f>IFERROR(__xludf.DUMMYFUNCTION("if(REGEXMATCH(join("", "",$F420:$G420),K$1)=TRUE,""✓"",""✗"")"),"✗")</f>
        <v>✗</v>
      </c>
      <c r="L420" s="23" t="str">
        <f>IFERROR(__xludf.DUMMYFUNCTION("if(REGEXMATCH(join("", "",$F420:$G420),L$1)=TRUE,""✓"",""✗"")"),"✗")</f>
        <v>✗</v>
      </c>
      <c r="M420" s="23" t="str">
        <f>IFERROR(__xludf.DUMMYFUNCTION("if(REGEXMATCH(join("", "",$F420:$G420),M$1)=TRUE,""✓"",""✗"")"),"✗")</f>
        <v>✗</v>
      </c>
      <c r="N420" s="23" t="str">
        <f>IFERROR(__xludf.DUMMYFUNCTION("if(REGEXMATCH(join("", "",$F420:$G420),N$1)=TRUE,""✓"",""✗"")"),"✗")</f>
        <v>✗</v>
      </c>
      <c r="O420" s="23" t="str">
        <f>IFERROR(__xludf.DUMMYFUNCTION("if(REGEXMATCH(join("", "",$F420:$G420),O$1)=TRUE,""✓"",""✗"")"),"✗")</f>
        <v>✗</v>
      </c>
      <c r="P420" s="23" t="str">
        <f>IFERROR(__xludf.DUMMYFUNCTION("if(REGEXMATCH(join("", "",$F420:$G420),P$1)=TRUE,""✓"",""✗"")"),"✗")</f>
        <v>✗</v>
      </c>
      <c r="Q420" s="23" t="str">
        <f>IFERROR(__xludf.DUMMYFUNCTION("if(REGEXMATCH(join("", "",$F420:$G420),Q$1)=TRUE,""✓"",""✗"")"),"✗")</f>
        <v>✗</v>
      </c>
      <c r="R420" s="23" t="str">
        <f>IFERROR(__xludf.DUMMYFUNCTION("if(REGEXMATCH(join("", "",$F420:$G420),R$1)=TRUE,""✓"",""✗"")"),"✗")</f>
        <v>✗</v>
      </c>
      <c r="S420" s="23" t="str">
        <f>IFERROR(__xludf.DUMMYFUNCTION("if(REGEXMATCH(join("", "",$F420:$G420),S$1)=TRUE,""✓"",""✗"")"),"✗")</f>
        <v>✗</v>
      </c>
      <c r="T420" s="23" t="str">
        <f>IFERROR(__xludf.DUMMYFUNCTION("if(REGEXMATCH(join("", "",$F420:$G420),T$1)=TRUE,""✓"",""✗"")"),"✗")</f>
        <v>✗</v>
      </c>
      <c r="U420" s="33"/>
      <c r="V420" s="33"/>
      <c r="W420" s="33"/>
      <c r="X420" s="33"/>
      <c r="Y420" s="33"/>
      <c r="Z420" s="33"/>
      <c r="AA420" s="33"/>
      <c r="AB420" s="33"/>
      <c r="AC420" s="33"/>
    </row>
    <row r="421" hidden="1">
      <c r="A421" s="17" t="s">
        <v>302</v>
      </c>
      <c r="B421" s="33"/>
      <c r="C421" s="33"/>
      <c r="D421" s="33"/>
      <c r="E421" s="33"/>
      <c r="F421" s="33"/>
      <c r="G421" s="33"/>
      <c r="H421" s="23" t="str">
        <f>IFERROR(__xludf.DUMMYFUNCTION("if(REGEXMATCH(join("", "",$F421:$G421),H$1)=TRUE,""✓"",""✗"")"),"✗")</f>
        <v>✗</v>
      </c>
      <c r="I421" s="23" t="str">
        <f>IFERROR(__xludf.DUMMYFUNCTION("if(REGEXMATCH(join("", "",$F421:$G421),I$1)=TRUE,""✓"",""✗"")"),"✗")</f>
        <v>✗</v>
      </c>
      <c r="J421" s="23" t="str">
        <f>IFERROR(__xludf.DUMMYFUNCTION("if(REGEXMATCH(join("", "",$F421:$G421),J$1)=TRUE,""✓"",""✗"")"),"✗")</f>
        <v>✗</v>
      </c>
      <c r="K421" s="23" t="str">
        <f>IFERROR(__xludf.DUMMYFUNCTION("if(REGEXMATCH(join("", "",$F421:$G421),K$1)=TRUE,""✓"",""✗"")"),"✗")</f>
        <v>✗</v>
      </c>
      <c r="L421" s="23" t="str">
        <f>IFERROR(__xludf.DUMMYFUNCTION("if(REGEXMATCH(join("", "",$F421:$G421),L$1)=TRUE,""✓"",""✗"")"),"✗")</f>
        <v>✗</v>
      </c>
      <c r="M421" s="23" t="str">
        <f>IFERROR(__xludf.DUMMYFUNCTION("if(REGEXMATCH(join("", "",$F421:$G421),M$1)=TRUE,""✓"",""✗"")"),"✗")</f>
        <v>✗</v>
      </c>
      <c r="N421" s="23" t="str">
        <f>IFERROR(__xludf.DUMMYFUNCTION("if(REGEXMATCH(join("", "",$F421:$G421),N$1)=TRUE,""✓"",""✗"")"),"✗")</f>
        <v>✗</v>
      </c>
      <c r="O421" s="23" t="str">
        <f>IFERROR(__xludf.DUMMYFUNCTION("if(REGEXMATCH(join("", "",$F421:$G421),O$1)=TRUE,""✓"",""✗"")"),"✗")</f>
        <v>✗</v>
      </c>
      <c r="P421" s="23" t="str">
        <f>IFERROR(__xludf.DUMMYFUNCTION("if(REGEXMATCH(join("", "",$F421:$G421),P$1)=TRUE,""✓"",""✗"")"),"✗")</f>
        <v>✗</v>
      </c>
      <c r="Q421" s="23" t="str">
        <f>IFERROR(__xludf.DUMMYFUNCTION("if(REGEXMATCH(join("", "",$F421:$G421),Q$1)=TRUE,""✓"",""✗"")"),"✗")</f>
        <v>✗</v>
      </c>
      <c r="R421" s="23" t="str">
        <f>IFERROR(__xludf.DUMMYFUNCTION("if(REGEXMATCH(join("", "",$F421:$G421),R$1)=TRUE,""✓"",""✗"")"),"✗")</f>
        <v>✗</v>
      </c>
      <c r="S421" s="23" t="str">
        <f>IFERROR(__xludf.DUMMYFUNCTION("if(REGEXMATCH(join("", "",$F421:$G421),S$1)=TRUE,""✓"",""✗"")"),"✗")</f>
        <v>✗</v>
      </c>
      <c r="T421" s="23" t="str">
        <f>IFERROR(__xludf.DUMMYFUNCTION("if(REGEXMATCH(join("", "",$F421:$G421),T$1)=TRUE,""✓"",""✗"")"),"✗")</f>
        <v>✗</v>
      </c>
      <c r="U421" s="33"/>
      <c r="V421" s="33"/>
      <c r="W421" s="33"/>
      <c r="X421" s="33"/>
      <c r="Y421" s="33"/>
      <c r="Z421" s="33"/>
      <c r="AA421" s="33"/>
      <c r="AB421" s="33"/>
      <c r="AC421" s="33"/>
    </row>
    <row r="422" hidden="1">
      <c r="A422" s="17" t="s">
        <v>302</v>
      </c>
      <c r="B422" s="33"/>
      <c r="C422" s="33"/>
      <c r="D422" s="33"/>
      <c r="E422" s="33"/>
      <c r="F422" s="33"/>
      <c r="G422" s="33"/>
      <c r="H422" s="23" t="str">
        <f>IFERROR(__xludf.DUMMYFUNCTION("if(REGEXMATCH(join("", "",$F422:$G422),H$1)=TRUE,""✓"",""✗"")"),"✗")</f>
        <v>✗</v>
      </c>
      <c r="I422" s="23" t="str">
        <f>IFERROR(__xludf.DUMMYFUNCTION("if(REGEXMATCH(join("", "",$F422:$G422),I$1)=TRUE,""✓"",""✗"")"),"✗")</f>
        <v>✗</v>
      </c>
      <c r="J422" s="23" t="str">
        <f>IFERROR(__xludf.DUMMYFUNCTION("if(REGEXMATCH(join("", "",$F422:$G422),J$1)=TRUE,""✓"",""✗"")"),"✗")</f>
        <v>✗</v>
      </c>
      <c r="K422" s="23" t="str">
        <f>IFERROR(__xludf.DUMMYFUNCTION("if(REGEXMATCH(join("", "",$F422:$G422),K$1)=TRUE,""✓"",""✗"")"),"✗")</f>
        <v>✗</v>
      </c>
      <c r="L422" s="23" t="str">
        <f>IFERROR(__xludf.DUMMYFUNCTION("if(REGEXMATCH(join("", "",$F422:$G422),L$1)=TRUE,""✓"",""✗"")"),"✗")</f>
        <v>✗</v>
      </c>
      <c r="M422" s="23" t="str">
        <f>IFERROR(__xludf.DUMMYFUNCTION("if(REGEXMATCH(join("", "",$F422:$G422),M$1)=TRUE,""✓"",""✗"")"),"✗")</f>
        <v>✗</v>
      </c>
      <c r="N422" s="23" t="str">
        <f>IFERROR(__xludf.DUMMYFUNCTION("if(REGEXMATCH(join("", "",$F422:$G422),N$1)=TRUE,""✓"",""✗"")"),"✗")</f>
        <v>✗</v>
      </c>
      <c r="O422" s="23" t="str">
        <f>IFERROR(__xludf.DUMMYFUNCTION("if(REGEXMATCH(join("", "",$F422:$G422),O$1)=TRUE,""✓"",""✗"")"),"✗")</f>
        <v>✗</v>
      </c>
      <c r="P422" s="23" t="str">
        <f>IFERROR(__xludf.DUMMYFUNCTION("if(REGEXMATCH(join("", "",$F422:$G422),P$1)=TRUE,""✓"",""✗"")"),"✗")</f>
        <v>✗</v>
      </c>
      <c r="Q422" s="23" t="str">
        <f>IFERROR(__xludf.DUMMYFUNCTION("if(REGEXMATCH(join("", "",$F422:$G422),Q$1)=TRUE,""✓"",""✗"")"),"✗")</f>
        <v>✗</v>
      </c>
      <c r="R422" s="23" t="str">
        <f>IFERROR(__xludf.DUMMYFUNCTION("if(REGEXMATCH(join("", "",$F422:$G422),R$1)=TRUE,""✓"",""✗"")"),"✗")</f>
        <v>✗</v>
      </c>
      <c r="S422" s="23" t="str">
        <f>IFERROR(__xludf.DUMMYFUNCTION("if(REGEXMATCH(join("", "",$F422:$G422),S$1)=TRUE,""✓"",""✗"")"),"✗")</f>
        <v>✗</v>
      </c>
      <c r="T422" s="23" t="str">
        <f>IFERROR(__xludf.DUMMYFUNCTION("if(REGEXMATCH(join("", "",$F422:$G422),T$1)=TRUE,""✓"",""✗"")"),"✗")</f>
        <v>✗</v>
      </c>
      <c r="U422" s="33"/>
      <c r="V422" s="33"/>
      <c r="W422" s="33"/>
      <c r="X422" s="33"/>
      <c r="Y422" s="33"/>
      <c r="Z422" s="33"/>
      <c r="AA422" s="33"/>
      <c r="AB422" s="33"/>
      <c r="AC422" s="33"/>
    </row>
    <row r="423" hidden="1">
      <c r="A423" s="17" t="s">
        <v>302</v>
      </c>
      <c r="B423" s="33"/>
      <c r="C423" s="33"/>
      <c r="D423" s="33"/>
      <c r="E423" s="33"/>
      <c r="F423" s="33"/>
      <c r="G423" s="33"/>
      <c r="H423" s="23" t="str">
        <f>IFERROR(__xludf.DUMMYFUNCTION("if(REGEXMATCH(join("", "",$F423:$G423),H$1)=TRUE,""✓"",""✗"")"),"✗")</f>
        <v>✗</v>
      </c>
      <c r="I423" s="23" t="str">
        <f>IFERROR(__xludf.DUMMYFUNCTION("if(REGEXMATCH(join("", "",$F423:$G423),I$1)=TRUE,""✓"",""✗"")"),"✗")</f>
        <v>✗</v>
      </c>
      <c r="J423" s="23" t="str">
        <f>IFERROR(__xludf.DUMMYFUNCTION("if(REGEXMATCH(join("", "",$F423:$G423),J$1)=TRUE,""✓"",""✗"")"),"✗")</f>
        <v>✗</v>
      </c>
      <c r="K423" s="23" t="str">
        <f>IFERROR(__xludf.DUMMYFUNCTION("if(REGEXMATCH(join("", "",$F423:$G423),K$1)=TRUE,""✓"",""✗"")"),"✗")</f>
        <v>✗</v>
      </c>
      <c r="L423" s="23" t="str">
        <f>IFERROR(__xludf.DUMMYFUNCTION("if(REGEXMATCH(join("", "",$F423:$G423),L$1)=TRUE,""✓"",""✗"")"),"✗")</f>
        <v>✗</v>
      </c>
      <c r="M423" s="23" t="str">
        <f>IFERROR(__xludf.DUMMYFUNCTION("if(REGEXMATCH(join("", "",$F423:$G423),M$1)=TRUE,""✓"",""✗"")"),"✗")</f>
        <v>✗</v>
      </c>
      <c r="N423" s="23" t="str">
        <f>IFERROR(__xludf.DUMMYFUNCTION("if(REGEXMATCH(join("", "",$F423:$G423),N$1)=TRUE,""✓"",""✗"")"),"✗")</f>
        <v>✗</v>
      </c>
      <c r="O423" s="23" t="str">
        <f>IFERROR(__xludf.DUMMYFUNCTION("if(REGEXMATCH(join("", "",$F423:$G423),O$1)=TRUE,""✓"",""✗"")"),"✗")</f>
        <v>✗</v>
      </c>
      <c r="P423" s="23" t="str">
        <f>IFERROR(__xludf.DUMMYFUNCTION("if(REGEXMATCH(join("", "",$F423:$G423),P$1)=TRUE,""✓"",""✗"")"),"✗")</f>
        <v>✗</v>
      </c>
      <c r="Q423" s="23" t="str">
        <f>IFERROR(__xludf.DUMMYFUNCTION("if(REGEXMATCH(join("", "",$F423:$G423),Q$1)=TRUE,""✓"",""✗"")"),"✗")</f>
        <v>✗</v>
      </c>
      <c r="R423" s="23" t="str">
        <f>IFERROR(__xludf.DUMMYFUNCTION("if(REGEXMATCH(join("", "",$F423:$G423),R$1)=TRUE,""✓"",""✗"")"),"✗")</f>
        <v>✗</v>
      </c>
      <c r="S423" s="23" t="str">
        <f>IFERROR(__xludf.DUMMYFUNCTION("if(REGEXMATCH(join("", "",$F423:$G423),S$1)=TRUE,""✓"",""✗"")"),"✗")</f>
        <v>✗</v>
      </c>
      <c r="T423" s="23" t="str">
        <f>IFERROR(__xludf.DUMMYFUNCTION("if(REGEXMATCH(join("", "",$F423:$G423),T$1)=TRUE,""✓"",""✗"")"),"✗")</f>
        <v>✗</v>
      </c>
      <c r="U423" s="33"/>
      <c r="V423" s="33"/>
      <c r="W423" s="33"/>
      <c r="X423" s="33"/>
      <c r="Y423" s="33"/>
      <c r="Z423" s="33"/>
      <c r="AA423" s="33"/>
      <c r="AB423" s="33"/>
      <c r="AC423" s="33"/>
    </row>
    <row r="424" hidden="1">
      <c r="A424" s="17" t="s">
        <v>302</v>
      </c>
      <c r="B424" s="33"/>
      <c r="C424" s="33"/>
      <c r="D424" s="33"/>
      <c r="E424" s="33"/>
      <c r="F424" s="33"/>
      <c r="G424" s="33"/>
      <c r="H424" s="23" t="str">
        <f>IFERROR(__xludf.DUMMYFUNCTION("if(REGEXMATCH(join("", "",$F424:$G424),H$1)=TRUE,""✓"",""✗"")"),"✗")</f>
        <v>✗</v>
      </c>
      <c r="I424" s="23" t="str">
        <f>IFERROR(__xludf.DUMMYFUNCTION("if(REGEXMATCH(join("", "",$F424:$G424),I$1)=TRUE,""✓"",""✗"")"),"✗")</f>
        <v>✗</v>
      </c>
      <c r="J424" s="23" t="str">
        <f>IFERROR(__xludf.DUMMYFUNCTION("if(REGEXMATCH(join("", "",$F424:$G424),J$1)=TRUE,""✓"",""✗"")"),"✗")</f>
        <v>✗</v>
      </c>
      <c r="K424" s="23" t="str">
        <f>IFERROR(__xludf.DUMMYFUNCTION("if(REGEXMATCH(join("", "",$F424:$G424),K$1)=TRUE,""✓"",""✗"")"),"✗")</f>
        <v>✗</v>
      </c>
      <c r="L424" s="23" t="str">
        <f>IFERROR(__xludf.DUMMYFUNCTION("if(REGEXMATCH(join("", "",$F424:$G424),L$1)=TRUE,""✓"",""✗"")"),"✗")</f>
        <v>✗</v>
      </c>
      <c r="M424" s="23" t="str">
        <f>IFERROR(__xludf.DUMMYFUNCTION("if(REGEXMATCH(join("", "",$F424:$G424),M$1)=TRUE,""✓"",""✗"")"),"✗")</f>
        <v>✗</v>
      </c>
      <c r="N424" s="23" t="str">
        <f>IFERROR(__xludf.DUMMYFUNCTION("if(REGEXMATCH(join("", "",$F424:$G424),N$1)=TRUE,""✓"",""✗"")"),"✗")</f>
        <v>✗</v>
      </c>
      <c r="O424" s="23" t="str">
        <f>IFERROR(__xludf.DUMMYFUNCTION("if(REGEXMATCH(join("", "",$F424:$G424),O$1)=TRUE,""✓"",""✗"")"),"✗")</f>
        <v>✗</v>
      </c>
      <c r="P424" s="23" t="str">
        <f>IFERROR(__xludf.DUMMYFUNCTION("if(REGEXMATCH(join("", "",$F424:$G424),P$1)=TRUE,""✓"",""✗"")"),"✗")</f>
        <v>✗</v>
      </c>
      <c r="Q424" s="23" t="str">
        <f>IFERROR(__xludf.DUMMYFUNCTION("if(REGEXMATCH(join("", "",$F424:$G424),Q$1)=TRUE,""✓"",""✗"")"),"✗")</f>
        <v>✗</v>
      </c>
      <c r="R424" s="23" t="str">
        <f>IFERROR(__xludf.DUMMYFUNCTION("if(REGEXMATCH(join("", "",$F424:$G424),R$1)=TRUE,""✓"",""✗"")"),"✗")</f>
        <v>✗</v>
      </c>
      <c r="S424" s="23" t="str">
        <f>IFERROR(__xludf.DUMMYFUNCTION("if(REGEXMATCH(join("", "",$F424:$G424),S$1)=TRUE,""✓"",""✗"")"),"✗")</f>
        <v>✗</v>
      </c>
      <c r="T424" s="23" t="str">
        <f>IFERROR(__xludf.DUMMYFUNCTION("if(REGEXMATCH(join("", "",$F424:$G424),T$1)=TRUE,""✓"",""✗"")"),"✗")</f>
        <v>✗</v>
      </c>
      <c r="U424" s="33"/>
      <c r="V424" s="33"/>
      <c r="W424" s="33"/>
      <c r="X424" s="33"/>
      <c r="Y424" s="33"/>
      <c r="Z424" s="33"/>
      <c r="AA424" s="33"/>
      <c r="AB424" s="33"/>
      <c r="AC424" s="33"/>
    </row>
    <row r="425" hidden="1">
      <c r="A425" s="17" t="s">
        <v>302</v>
      </c>
      <c r="B425" s="33"/>
      <c r="C425" s="33"/>
      <c r="D425" s="33"/>
      <c r="E425" s="33"/>
      <c r="F425" s="33"/>
      <c r="G425" s="33"/>
      <c r="H425" s="23" t="str">
        <f>IFERROR(__xludf.DUMMYFUNCTION("if(REGEXMATCH(join("", "",$F425:$G425),H$1)=TRUE,""✓"",""✗"")"),"✗")</f>
        <v>✗</v>
      </c>
      <c r="I425" s="23" t="str">
        <f>IFERROR(__xludf.DUMMYFUNCTION("if(REGEXMATCH(join("", "",$F425:$G425),I$1)=TRUE,""✓"",""✗"")"),"✗")</f>
        <v>✗</v>
      </c>
      <c r="J425" s="23" t="str">
        <f>IFERROR(__xludf.DUMMYFUNCTION("if(REGEXMATCH(join("", "",$F425:$G425),J$1)=TRUE,""✓"",""✗"")"),"✗")</f>
        <v>✗</v>
      </c>
      <c r="K425" s="23" t="str">
        <f>IFERROR(__xludf.DUMMYFUNCTION("if(REGEXMATCH(join("", "",$F425:$G425),K$1)=TRUE,""✓"",""✗"")"),"✗")</f>
        <v>✗</v>
      </c>
      <c r="L425" s="23" t="str">
        <f>IFERROR(__xludf.DUMMYFUNCTION("if(REGEXMATCH(join("", "",$F425:$G425),L$1)=TRUE,""✓"",""✗"")"),"✗")</f>
        <v>✗</v>
      </c>
      <c r="M425" s="23" t="str">
        <f>IFERROR(__xludf.DUMMYFUNCTION("if(REGEXMATCH(join("", "",$F425:$G425),M$1)=TRUE,""✓"",""✗"")"),"✗")</f>
        <v>✗</v>
      </c>
      <c r="N425" s="23" t="str">
        <f>IFERROR(__xludf.DUMMYFUNCTION("if(REGEXMATCH(join("", "",$F425:$G425),N$1)=TRUE,""✓"",""✗"")"),"✗")</f>
        <v>✗</v>
      </c>
      <c r="O425" s="23" t="str">
        <f>IFERROR(__xludf.DUMMYFUNCTION("if(REGEXMATCH(join("", "",$F425:$G425),O$1)=TRUE,""✓"",""✗"")"),"✗")</f>
        <v>✗</v>
      </c>
      <c r="P425" s="23" t="str">
        <f>IFERROR(__xludf.DUMMYFUNCTION("if(REGEXMATCH(join("", "",$F425:$G425),P$1)=TRUE,""✓"",""✗"")"),"✗")</f>
        <v>✗</v>
      </c>
      <c r="Q425" s="23" t="str">
        <f>IFERROR(__xludf.DUMMYFUNCTION("if(REGEXMATCH(join("", "",$F425:$G425),Q$1)=TRUE,""✓"",""✗"")"),"✗")</f>
        <v>✗</v>
      </c>
      <c r="R425" s="23" t="str">
        <f>IFERROR(__xludf.DUMMYFUNCTION("if(REGEXMATCH(join("", "",$F425:$G425),R$1)=TRUE,""✓"",""✗"")"),"✗")</f>
        <v>✗</v>
      </c>
      <c r="S425" s="23" t="str">
        <f>IFERROR(__xludf.DUMMYFUNCTION("if(REGEXMATCH(join("", "",$F425:$G425),S$1)=TRUE,""✓"",""✗"")"),"✗")</f>
        <v>✗</v>
      </c>
      <c r="T425" s="23" t="str">
        <f>IFERROR(__xludf.DUMMYFUNCTION("if(REGEXMATCH(join("", "",$F425:$G425),T$1)=TRUE,""✓"",""✗"")"),"✗")</f>
        <v>✗</v>
      </c>
      <c r="U425" s="33"/>
      <c r="V425" s="33"/>
      <c r="W425" s="33"/>
      <c r="X425" s="33"/>
      <c r="Y425" s="33"/>
      <c r="Z425" s="33"/>
      <c r="AA425" s="33"/>
      <c r="AB425" s="33"/>
      <c r="AC425" s="33"/>
    </row>
    <row r="426" hidden="1">
      <c r="A426" s="17" t="s">
        <v>302</v>
      </c>
      <c r="B426" s="33"/>
      <c r="C426" s="33"/>
      <c r="D426" s="33"/>
      <c r="E426" s="33"/>
      <c r="F426" s="33"/>
      <c r="G426" s="33"/>
      <c r="H426" s="23" t="str">
        <f>IFERROR(__xludf.DUMMYFUNCTION("if(REGEXMATCH(join("", "",$F426:$G426),H$1)=TRUE,""✓"",""✗"")"),"✗")</f>
        <v>✗</v>
      </c>
      <c r="I426" s="23" t="str">
        <f>IFERROR(__xludf.DUMMYFUNCTION("if(REGEXMATCH(join("", "",$F426:$G426),I$1)=TRUE,""✓"",""✗"")"),"✗")</f>
        <v>✗</v>
      </c>
      <c r="J426" s="23" t="str">
        <f>IFERROR(__xludf.DUMMYFUNCTION("if(REGEXMATCH(join("", "",$F426:$G426),J$1)=TRUE,""✓"",""✗"")"),"✗")</f>
        <v>✗</v>
      </c>
      <c r="K426" s="23" t="str">
        <f>IFERROR(__xludf.DUMMYFUNCTION("if(REGEXMATCH(join("", "",$F426:$G426),K$1)=TRUE,""✓"",""✗"")"),"✗")</f>
        <v>✗</v>
      </c>
      <c r="L426" s="23" t="str">
        <f>IFERROR(__xludf.DUMMYFUNCTION("if(REGEXMATCH(join("", "",$F426:$G426),L$1)=TRUE,""✓"",""✗"")"),"✗")</f>
        <v>✗</v>
      </c>
      <c r="M426" s="23" t="str">
        <f>IFERROR(__xludf.DUMMYFUNCTION("if(REGEXMATCH(join("", "",$F426:$G426),M$1)=TRUE,""✓"",""✗"")"),"✗")</f>
        <v>✗</v>
      </c>
      <c r="N426" s="23" t="str">
        <f>IFERROR(__xludf.DUMMYFUNCTION("if(REGEXMATCH(join("", "",$F426:$G426),N$1)=TRUE,""✓"",""✗"")"),"✗")</f>
        <v>✗</v>
      </c>
      <c r="O426" s="23" t="str">
        <f>IFERROR(__xludf.DUMMYFUNCTION("if(REGEXMATCH(join("", "",$F426:$G426),O$1)=TRUE,""✓"",""✗"")"),"✗")</f>
        <v>✗</v>
      </c>
      <c r="P426" s="23" t="str">
        <f>IFERROR(__xludf.DUMMYFUNCTION("if(REGEXMATCH(join("", "",$F426:$G426),P$1)=TRUE,""✓"",""✗"")"),"✗")</f>
        <v>✗</v>
      </c>
      <c r="Q426" s="23" t="str">
        <f>IFERROR(__xludf.DUMMYFUNCTION("if(REGEXMATCH(join("", "",$F426:$G426),Q$1)=TRUE,""✓"",""✗"")"),"✗")</f>
        <v>✗</v>
      </c>
      <c r="R426" s="23" t="str">
        <f>IFERROR(__xludf.DUMMYFUNCTION("if(REGEXMATCH(join("", "",$F426:$G426),R$1)=TRUE,""✓"",""✗"")"),"✗")</f>
        <v>✗</v>
      </c>
      <c r="S426" s="23" t="str">
        <f>IFERROR(__xludf.DUMMYFUNCTION("if(REGEXMATCH(join("", "",$F426:$G426),S$1)=TRUE,""✓"",""✗"")"),"✗")</f>
        <v>✗</v>
      </c>
      <c r="T426" s="23" t="str">
        <f>IFERROR(__xludf.DUMMYFUNCTION("if(REGEXMATCH(join("", "",$F426:$G426),T$1)=TRUE,""✓"",""✗"")"),"✗")</f>
        <v>✗</v>
      </c>
      <c r="U426" s="33"/>
      <c r="V426" s="33"/>
      <c r="W426" s="33"/>
      <c r="X426" s="33"/>
      <c r="Y426" s="33"/>
      <c r="Z426" s="33"/>
      <c r="AA426" s="33"/>
      <c r="AB426" s="33"/>
      <c r="AC426" s="33"/>
    </row>
    <row r="427" hidden="1">
      <c r="A427" s="17" t="s">
        <v>302</v>
      </c>
      <c r="B427" s="33"/>
      <c r="C427" s="33"/>
      <c r="D427" s="33"/>
      <c r="E427" s="33"/>
      <c r="F427" s="33"/>
      <c r="G427" s="33"/>
      <c r="H427" s="23" t="str">
        <f>IFERROR(__xludf.DUMMYFUNCTION("if(REGEXMATCH(join("", "",$F427:$G427),H$1)=TRUE,""✓"",""✗"")"),"✗")</f>
        <v>✗</v>
      </c>
      <c r="I427" s="23" t="str">
        <f>IFERROR(__xludf.DUMMYFUNCTION("if(REGEXMATCH(join("", "",$F427:$G427),I$1)=TRUE,""✓"",""✗"")"),"✗")</f>
        <v>✗</v>
      </c>
      <c r="J427" s="23" t="str">
        <f>IFERROR(__xludf.DUMMYFUNCTION("if(REGEXMATCH(join("", "",$F427:$G427),J$1)=TRUE,""✓"",""✗"")"),"✗")</f>
        <v>✗</v>
      </c>
      <c r="K427" s="23" t="str">
        <f>IFERROR(__xludf.DUMMYFUNCTION("if(REGEXMATCH(join("", "",$F427:$G427),K$1)=TRUE,""✓"",""✗"")"),"✗")</f>
        <v>✗</v>
      </c>
      <c r="L427" s="23" t="str">
        <f>IFERROR(__xludf.DUMMYFUNCTION("if(REGEXMATCH(join("", "",$F427:$G427),L$1)=TRUE,""✓"",""✗"")"),"✗")</f>
        <v>✗</v>
      </c>
      <c r="M427" s="23" t="str">
        <f>IFERROR(__xludf.DUMMYFUNCTION("if(REGEXMATCH(join("", "",$F427:$G427),M$1)=TRUE,""✓"",""✗"")"),"✗")</f>
        <v>✗</v>
      </c>
      <c r="N427" s="23" t="str">
        <f>IFERROR(__xludf.DUMMYFUNCTION("if(REGEXMATCH(join("", "",$F427:$G427),N$1)=TRUE,""✓"",""✗"")"),"✗")</f>
        <v>✗</v>
      </c>
      <c r="O427" s="23" t="str">
        <f>IFERROR(__xludf.DUMMYFUNCTION("if(REGEXMATCH(join("", "",$F427:$G427),O$1)=TRUE,""✓"",""✗"")"),"✗")</f>
        <v>✗</v>
      </c>
      <c r="P427" s="23" t="str">
        <f>IFERROR(__xludf.DUMMYFUNCTION("if(REGEXMATCH(join("", "",$F427:$G427),P$1)=TRUE,""✓"",""✗"")"),"✗")</f>
        <v>✗</v>
      </c>
      <c r="Q427" s="23" t="str">
        <f>IFERROR(__xludf.DUMMYFUNCTION("if(REGEXMATCH(join("", "",$F427:$G427),Q$1)=TRUE,""✓"",""✗"")"),"✗")</f>
        <v>✗</v>
      </c>
      <c r="R427" s="23" t="str">
        <f>IFERROR(__xludf.DUMMYFUNCTION("if(REGEXMATCH(join("", "",$F427:$G427),R$1)=TRUE,""✓"",""✗"")"),"✗")</f>
        <v>✗</v>
      </c>
      <c r="S427" s="23" t="str">
        <f>IFERROR(__xludf.DUMMYFUNCTION("if(REGEXMATCH(join("", "",$F427:$G427),S$1)=TRUE,""✓"",""✗"")"),"✗")</f>
        <v>✗</v>
      </c>
      <c r="T427" s="23" t="str">
        <f>IFERROR(__xludf.DUMMYFUNCTION("if(REGEXMATCH(join("", "",$F427:$G427),T$1)=TRUE,""✓"",""✗"")"),"✗")</f>
        <v>✗</v>
      </c>
      <c r="U427" s="33"/>
      <c r="V427" s="33"/>
      <c r="W427" s="33"/>
      <c r="X427" s="33"/>
      <c r="Y427" s="33"/>
      <c r="Z427" s="33"/>
      <c r="AA427" s="33"/>
      <c r="AB427" s="33"/>
      <c r="AC427" s="33"/>
    </row>
    <row r="428" hidden="1">
      <c r="A428" s="17" t="s">
        <v>302</v>
      </c>
      <c r="B428" s="33"/>
      <c r="C428" s="33"/>
      <c r="D428" s="33"/>
      <c r="E428" s="33"/>
      <c r="F428" s="33"/>
      <c r="G428" s="33"/>
      <c r="H428" s="23" t="str">
        <f>IFERROR(__xludf.DUMMYFUNCTION("if(REGEXMATCH(join("", "",$F428:$G428),H$1)=TRUE,""✓"",""✗"")"),"✗")</f>
        <v>✗</v>
      </c>
      <c r="I428" s="23" t="str">
        <f>IFERROR(__xludf.DUMMYFUNCTION("if(REGEXMATCH(join("", "",$F428:$G428),I$1)=TRUE,""✓"",""✗"")"),"✗")</f>
        <v>✗</v>
      </c>
      <c r="J428" s="23" t="str">
        <f>IFERROR(__xludf.DUMMYFUNCTION("if(REGEXMATCH(join("", "",$F428:$G428),J$1)=TRUE,""✓"",""✗"")"),"✗")</f>
        <v>✗</v>
      </c>
      <c r="K428" s="23" t="str">
        <f>IFERROR(__xludf.DUMMYFUNCTION("if(REGEXMATCH(join("", "",$F428:$G428),K$1)=TRUE,""✓"",""✗"")"),"✗")</f>
        <v>✗</v>
      </c>
      <c r="L428" s="23" t="str">
        <f>IFERROR(__xludf.DUMMYFUNCTION("if(REGEXMATCH(join("", "",$F428:$G428),L$1)=TRUE,""✓"",""✗"")"),"✗")</f>
        <v>✗</v>
      </c>
      <c r="M428" s="23" t="str">
        <f>IFERROR(__xludf.DUMMYFUNCTION("if(REGEXMATCH(join("", "",$F428:$G428),M$1)=TRUE,""✓"",""✗"")"),"✗")</f>
        <v>✗</v>
      </c>
      <c r="N428" s="23" t="str">
        <f>IFERROR(__xludf.DUMMYFUNCTION("if(REGEXMATCH(join("", "",$F428:$G428),N$1)=TRUE,""✓"",""✗"")"),"✗")</f>
        <v>✗</v>
      </c>
      <c r="O428" s="23" t="str">
        <f>IFERROR(__xludf.DUMMYFUNCTION("if(REGEXMATCH(join("", "",$F428:$G428),O$1)=TRUE,""✓"",""✗"")"),"✗")</f>
        <v>✗</v>
      </c>
      <c r="P428" s="23" t="str">
        <f>IFERROR(__xludf.DUMMYFUNCTION("if(REGEXMATCH(join("", "",$F428:$G428),P$1)=TRUE,""✓"",""✗"")"),"✗")</f>
        <v>✗</v>
      </c>
      <c r="Q428" s="23" t="str">
        <f>IFERROR(__xludf.DUMMYFUNCTION("if(REGEXMATCH(join("", "",$F428:$G428),Q$1)=TRUE,""✓"",""✗"")"),"✗")</f>
        <v>✗</v>
      </c>
      <c r="R428" s="23" t="str">
        <f>IFERROR(__xludf.DUMMYFUNCTION("if(REGEXMATCH(join("", "",$F428:$G428),R$1)=TRUE,""✓"",""✗"")"),"✗")</f>
        <v>✗</v>
      </c>
      <c r="S428" s="23" t="str">
        <f>IFERROR(__xludf.DUMMYFUNCTION("if(REGEXMATCH(join("", "",$F428:$G428),S$1)=TRUE,""✓"",""✗"")"),"✗")</f>
        <v>✗</v>
      </c>
      <c r="T428" s="23" t="str">
        <f>IFERROR(__xludf.DUMMYFUNCTION("if(REGEXMATCH(join("", "",$F428:$G428),T$1)=TRUE,""✓"",""✗"")"),"✗")</f>
        <v>✗</v>
      </c>
      <c r="U428" s="33"/>
      <c r="V428" s="33"/>
      <c r="W428" s="33"/>
      <c r="X428" s="33"/>
      <c r="Y428" s="33"/>
      <c r="Z428" s="33"/>
      <c r="AA428" s="33"/>
      <c r="AB428" s="33"/>
      <c r="AC428" s="33"/>
    </row>
    <row r="429" hidden="1">
      <c r="A429" s="17" t="s">
        <v>302</v>
      </c>
      <c r="B429" s="33"/>
      <c r="C429" s="33"/>
      <c r="D429" s="33"/>
      <c r="E429" s="33"/>
      <c r="F429" s="33"/>
      <c r="G429" s="33"/>
      <c r="H429" s="23" t="str">
        <f>IFERROR(__xludf.DUMMYFUNCTION("if(REGEXMATCH(join("", "",$F429:$G429),H$1)=TRUE,""✓"",""✗"")"),"✗")</f>
        <v>✗</v>
      </c>
      <c r="I429" s="23" t="str">
        <f>IFERROR(__xludf.DUMMYFUNCTION("if(REGEXMATCH(join("", "",$F429:$G429),I$1)=TRUE,""✓"",""✗"")"),"✗")</f>
        <v>✗</v>
      </c>
      <c r="J429" s="23" t="str">
        <f>IFERROR(__xludf.DUMMYFUNCTION("if(REGEXMATCH(join("", "",$F429:$G429),J$1)=TRUE,""✓"",""✗"")"),"✗")</f>
        <v>✗</v>
      </c>
      <c r="K429" s="23" t="str">
        <f>IFERROR(__xludf.DUMMYFUNCTION("if(REGEXMATCH(join("", "",$F429:$G429),K$1)=TRUE,""✓"",""✗"")"),"✗")</f>
        <v>✗</v>
      </c>
      <c r="L429" s="23" t="str">
        <f>IFERROR(__xludf.DUMMYFUNCTION("if(REGEXMATCH(join("", "",$F429:$G429),L$1)=TRUE,""✓"",""✗"")"),"✗")</f>
        <v>✗</v>
      </c>
      <c r="M429" s="23" t="str">
        <f>IFERROR(__xludf.DUMMYFUNCTION("if(REGEXMATCH(join("", "",$F429:$G429),M$1)=TRUE,""✓"",""✗"")"),"✗")</f>
        <v>✗</v>
      </c>
      <c r="N429" s="23" t="str">
        <f>IFERROR(__xludf.DUMMYFUNCTION("if(REGEXMATCH(join("", "",$F429:$G429),N$1)=TRUE,""✓"",""✗"")"),"✗")</f>
        <v>✗</v>
      </c>
      <c r="O429" s="23" t="str">
        <f>IFERROR(__xludf.DUMMYFUNCTION("if(REGEXMATCH(join("", "",$F429:$G429),O$1)=TRUE,""✓"",""✗"")"),"✗")</f>
        <v>✗</v>
      </c>
      <c r="P429" s="23" t="str">
        <f>IFERROR(__xludf.DUMMYFUNCTION("if(REGEXMATCH(join("", "",$F429:$G429),P$1)=TRUE,""✓"",""✗"")"),"✗")</f>
        <v>✗</v>
      </c>
      <c r="Q429" s="23" t="str">
        <f>IFERROR(__xludf.DUMMYFUNCTION("if(REGEXMATCH(join("", "",$F429:$G429),Q$1)=TRUE,""✓"",""✗"")"),"✗")</f>
        <v>✗</v>
      </c>
      <c r="R429" s="23" t="str">
        <f>IFERROR(__xludf.DUMMYFUNCTION("if(REGEXMATCH(join("", "",$F429:$G429),R$1)=TRUE,""✓"",""✗"")"),"✗")</f>
        <v>✗</v>
      </c>
      <c r="S429" s="23" t="str">
        <f>IFERROR(__xludf.DUMMYFUNCTION("if(REGEXMATCH(join("", "",$F429:$G429),S$1)=TRUE,""✓"",""✗"")"),"✗")</f>
        <v>✗</v>
      </c>
      <c r="T429" s="23" t="str">
        <f>IFERROR(__xludf.DUMMYFUNCTION("if(REGEXMATCH(join("", "",$F429:$G429),T$1)=TRUE,""✓"",""✗"")"),"✗")</f>
        <v>✗</v>
      </c>
      <c r="U429" s="33"/>
      <c r="V429" s="33"/>
      <c r="W429" s="33"/>
      <c r="X429" s="33"/>
      <c r="Y429" s="33"/>
      <c r="Z429" s="33"/>
      <c r="AA429" s="33"/>
      <c r="AB429" s="33"/>
      <c r="AC429" s="33"/>
    </row>
    <row r="430" hidden="1">
      <c r="A430" s="17" t="s">
        <v>302</v>
      </c>
      <c r="B430" s="33"/>
      <c r="C430" s="33"/>
      <c r="D430" s="33"/>
      <c r="E430" s="33"/>
      <c r="F430" s="33"/>
      <c r="G430" s="33"/>
      <c r="H430" s="23" t="str">
        <f>IFERROR(__xludf.DUMMYFUNCTION("if(REGEXMATCH(join("", "",$F430:$G430),H$1)=TRUE,""✓"",""✗"")"),"✗")</f>
        <v>✗</v>
      </c>
      <c r="I430" s="23" t="str">
        <f>IFERROR(__xludf.DUMMYFUNCTION("if(REGEXMATCH(join("", "",$F430:$G430),I$1)=TRUE,""✓"",""✗"")"),"✗")</f>
        <v>✗</v>
      </c>
      <c r="J430" s="23" t="str">
        <f>IFERROR(__xludf.DUMMYFUNCTION("if(REGEXMATCH(join("", "",$F430:$G430),J$1)=TRUE,""✓"",""✗"")"),"✗")</f>
        <v>✗</v>
      </c>
      <c r="K430" s="23" t="str">
        <f>IFERROR(__xludf.DUMMYFUNCTION("if(REGEXMATCH(join("", "",$F430:$G430),K$1)=TRUE,""✓"",""✗"")"),"✗")</f>
        <v>✗</v>
      </c>
      <c r="L430" s="23" t="str">
        <f>IFERROR(__xludf.DUMMYFUNCTION("if(REGEXMATCH(join("", "",$F430:$G430),L$1)=TRUE,""✓"",""✗"")"),"✗")</f>
        <v>✗</v>
      </c>
      <c r="M430" s="23" t="str">
        <f>IFERROR(__xludf.DUMMYFUNCTION("if(REGEXMATCH(join("", "",$F430:$G430),M$1)=TRUE,""✓"",""✗"")"),"✗")</f>
        <v>✗</v>
      </c>
      <c r="N430" s="23" t="str">
        <f>IFERROR(__xludf.DUMMYFUNCTION("if(REGEXMATCH(join("", "",$F430:$G430),N$1)=TRUE,""✓"",""✗"")"),"✗")</f>
        <v>✗</v>
      </c>
      <c r="O430" s="23" t="str">
        <f>IFERROR(__xludf.DUMMYFUNCTION("if(REGEXMATCH(join("", "",$F430:$G430),O$1)=TRUE,""✓"",""✗"")"),"✗")</f>
        <v>✗</v>
      </c>
      <c r="P430" s="23" t="str">
        <f>IFERROR(__xludf.DUMMYFUNCTION("if(REGEXMATCH(join("", "",$F430:$G430),P$1)=TRUE,""✓"",""✗"")"),"✗")</f>
        <v>✗</v>
      </c>
      <c r="Q430" s="23" t="str">
        <f>IFERROR(__xludf.DUMMYFUNCTION("if(REGEXMATCH(join("", "",$F430:$G430),Q$1)=TRUE,""✓"",""✗"")"),"✗")</f>
        <v>✗</v>
      </c>
      <c r="R430" s="23" t="str">
        <f>IFERROR(__xludf.DUMMYFUNCTION("if(REGEXMATCH(join("", "",$F430:$G430),R$1)=TRUE,""✓"",""✗"")"),"✗")</f>
        <v>✗</v>
      </c>
      <c r="S430" s="23" t="str">
        <f>IFERROR(__xludf.DUMMYFUNCTION("if(REGEXMATCH(join("", "",$F430:$G430),S$1)=TRUE,""✓"",""✗"")"),"✗")</f>
        <v>✗</v>
      </c>
      <c r="T430" s="23" t="str">
        <f>IFERROR(__xludf.DUMMYFUNCTION("if(REGEXMATCH(join("", "",$F430:$G430),T$1)=TRUE,""✓"",""✗"")"),"✗")</f>
        <v>✗</v>
      </c>
      <c r="U430" s="33"/>
      <c r="V430" s="33"/>
      <c r="W430" s="33"/>
      <c r="X430" s="33"/>
      <c r="Y430" s="33"/>
      <c r="Z430" s="33"/>
      <c r="AA430" s="33"/>
      <c r="AB430" s="33"/>
      <c r="AC430" s="33"/>
    </row>
    <row r="431" hidden="1">
      <c r="A431" s="17" t="s">
        <v>302</v>
      </c>
      <c r="B431" s="33"/>
      <c r="C431" s="33"/>
      <c r="D431" s="33"/>
      <c r="E431" s="33"/>
      <c r="F431" s="33"/>
      <c r="G431" s="33"/>
      <c r="H431" s="23" t="str">
        <f>IFERROR(__xludf.DUMMYFUNCTION("if(REGEXMATCH(join("", "",$F431:$G431),H$1)=TRUE,""✓"",""✗"")"),"✗")</f>
        <v>✗</v>
      </c>
      <c r="I431" s="23" t="str">
        <f>IFERROR(__xludf.DUMMYFUNCTION("if(REGEXMATCH(join("", "",$F431:$G431),I$1)=TRUE,""✓"",""✗"")"),"✗")</f>
        <v>✗</v>
      </c>
      <c r="J431" s="23" t="str">
        <f>IFERROR(__xludf.DUMMYFUNCTION("if(REGEXMATCH(join("", "",$F431:$G431),J$1)=TRUE,""✓"",""✗"")"),"✗")</f>
        <v>✗</v>
      </c>
      <c r="K431" s="23" t="str">
        <f>IFERROR(__xludf.DUMMYFUNCTION("if(REGEXMATCH(join("", "",$F431:$G431),K$1)=TRUE,""✓"",""✗"")"),"✗")</f>
        <v>✗</v>
      </c>
      <c r="L431" s="23" t="str">
        <f>IFERROR(__xludf.DUMMYFUNCTION("if(REGEXMATCH(join("", "",$F431:$G431),L$1)=TRUE,""✓"",""✗"")"),"✗")</f>
        <v>✗</v>
      </c>
      <c r="M431" s="23" t="str">
        <f>IFERROR(__xludf.DUMMYFUNCTION("if(REGEXMATCH(join("", "",$F431:$G431),M$1)=TRUE,""✓"",""✗"")"),"✗")</f>
        <v>✗</v>
      </c>
      <c r="N431" s="23" t="str">
        <f>IFERROR(__xludf.DUMMYFUNCTION("if(REGEXMATCH(join("", "",$F431:$G431),N$1)=TRUE,""✓"",""✗"")"),"✗")</f>
        <v>✗</v>
      </c>
      <c r="O431" s="23" t="str">
        <f>IFERROR(__xludf.DUMMYFUNCTION("if(REGEXMATCH(join("", "",$F431:$G431),O$1)=TRUE,""✓"",""✗"")"),"✗")</f>
        <v>✗</v>
      </c>
      <c r="P431" s="23" t="str">
        <f>IFERROR(__xludf.DUMMYFUNCTION("if(REGEXMATCH(join("", "",$F431:$G431),P$1)=TRUE,""✓"",""✗"")"),"✗")</f>
        <v>✗</v>
      </c>
      <c r="Q431" s="23" t="str">
        <f>IFERROR(__xludf.DUMMYFUNCTION("if(REGEXMATCH(join("", "",$F431:$G431),Q$1)=TRUE,""✓"",""✗"")"),"✗")</f>
        <v>✗</v>
      </c>
      <c r="R431" s="23" t="str">
        <f>IFERROR(__xludf.DUMMYFUNCTION("if(REGEXMATCH(join("", "",$F431:$G431),R$1)=TRUE,""✓"",""✗"")"),"✗")</f>
        <v>✗</v>
      </c>
      <c r="S431" s="23" t="str">
        <f>IFERROR(__xludf.DUMMYFUNCTION("if(REGEXMATCH(join("", "",$F431:$G431),S$1)=TRUE,""✓"",""✗"")"),"✗")</f>
        <v>✗</v>
      </c>
      <c r="T431" s="23" t="str">
        <f>IFERROR(__xludf.DUMMYFUNCTION("if(REGEXMATCH(join("", "",$F431:$G431),T$1)=TRUE,""✓"",""✗"")"),"✗")</f>
        <v>✗</v>
      </c>
      <c r="U431" s="33"/>
      <c r="V431" s="33"/>
      <c r="W431" s="33"/>
      <c r="X431" s="33"/>
      <c r="Y431" s="33"/>
      <c r="Z431" s="33"/>
      <c r="AA431" s="33"/>
      <c r="AB431" s="33"/>
      <c r="AC431" s="33"/>
    </row>
    <row r="432" hidden="1">
      <c r="A432" s="17" t="s">
        <v>302</v>
      </c>
      <c r="B432" s="33"/>
      <c r="C432" s="33"/>
      <c r="D432" s="33"/>
      <c r="E432" s="33"/>
      <c r="F432" s="33"/>
      <c r="G432" s="33"/>
      <c r="H432" s="23" t="str">
        <f>IFERROR(__xludf.DUMMYFUNCTION("if(REGEXMATCH(join("", "",$F432:$G432),H$1)=TRUE,""✓"",""✗"")"),"✗")</f>
        <v>✗</v>
      </c>
      <c r="I432" s="23" t="str">
        <f>IFERROR(__xludf.DUMMYFUNCTION("if(REGEXMATCH(join("", "",$F432:$G432),I$1)=TRUE,""✓"",""✗"")"),"✗")</f>
        <v>✗</v>
      </c>
      <c r="J432" s="23" t="str">
        <f>IFERROR(__xludf.DUMMYFUNCTION("if(REGEXMATCH(join("", "",$F432:$G432),J$1)=TRUE,""✓"",""✗"")"),"✗")</f>
        <v>✗</v>
      </c>
      <c r="K432" s="23" t="str">
        <f>IFERROR(__xludf.DUMMYFUNCTION("if(REGEXMATCH(join("", "",$F432:$G432),K$1)=TRUE,""✓"",""✗"")"),"✗")</f>
        <v>✗</v>
      </c>
      <c r="L432" s="23" t="str">
        <f>IFERROR(__xludf.DUMMYFUNCTION("if(REGEXMATCH(join("", "",$F432:$G432),L$1)=TRUE,""✓"",""✗"")"),"✗")</f>
        <v>✗</v>
      </c>
      <c r="M432" s="23" t="str">
        <f>IFERROR(__xludf.DUMMYFUNCTION("if(REGEXMATCH(join("", "",$F432:$G432),M$1)=TRUE,""✓"",""✗"")"),"✗")</f>
        <v>✗</v>
      </c>
      <c r="N432" s="23" t="str">
        <f>IFERROR(__xludf.DUMMYFUNCTION("if(REGEXMATCH(join("", "",$F432:$G432),N$1)=TRUE,""✓"",""✗"")"),"✗")</f>
        <v>✗</v>
      </c>
      <c r="O432" s="23" t="str">
        <f>IFERROR(__xludf.DUMMYFUNCTION("if(REGEXMATCH(join("", "",$F432:$G432),O$1)=TRUE,""✓"",""✗"")"),"✗")</f>
        <v>✗</v>
      </c>
      <c r="P432" s="23" t="str">
        <f>IFERROR(__xludf.DUMMYFUNCTION("if(REGEXMATCH(join("", "",$F432:$G432),P$1)=TRUE,""✓"",""✗"")"),"✗")</f>
        <v>✗</v>
      </c>
      <c r="Q432" s="23" t="str">
        <f>IFERROR(__xludf.DUMMYFUNCTION("if(REGEXMATCH(join("", "",$F432:$G432),Q$1)=TRUE,""✓"",""✗"")"),"✗")</f>
        <v>✗</v>
      </c>
      <c r="R432" s="23" t="str">
        <f>IFERROR(__xludf.DUMMYFUNCTION("if(REGEXMATCH(join("", "",$F432:$G432),R$1)=TRUE,""✓"",""✗"")"),"✗")</f>
        <v>✗</v>
      </c>
      <c r="S432" s="23" t="str">
        <f>IFERROR(__xludf.DUMMYFUNCTION("if(REGEXMATCH(join("", "",$F432:$G432),S$1)=TRUE,""✓"",""✗"")"),"✗")</f>
        <v>✗</v>
      </c>
      <c r="T432" s="23" t="str">
        <f>IFERROR(__xludf.DUMMYFUNCTION("if(REGEXMATCH(join("", "",$F432:$G432),T$1)=TRUE,""✓"",""✗"")"),"✗")</f>
        <v>✗</v>
      </c>
      <c r="U432" s="33"/>
      <c r="V432" s="33"/>
      <c r="W432" s="33"/>
      <c r="X432" s="33"/>
      <c r="Y432" s="33"/>
      <c r="Z432" s="33"/>
      <c r="AA432" s="33"/>
      <c r="AB432" s="33"/>
      <c r="AC432" s="33"/>
    </row>
    <row r="433" hidden="1">
      <c r="A433" s="17" t="s">
        <v>302</v>
      </c>
      <c r="B433" s="33"/>
      <c r="C433" s="33"/>
      <c r="D433" s="33"/>
      <c r="E433" s="33"/>
      <c r="F433" s="33"/>
      <c r="G433" s="33"/>
      <c r="H433" s="23" t="str">
        <f>IFERROR(__xludf.DUMMYFUNCTION("if(REGEXMATCH(join("", "",$F433:$G433),H$1)=TRUE,""✓"",""✗"")"),"✗")</f>
        <v>✗</v>
      </c>
      <c r="I433" s="23" t="str">
        <f>IFERROR(__xludf.DUMMYFUNCTION("if(REGEXMATCH(join("", "",$F433:$G433),I$1)=TRUE,""✓"",""✗"")"),"✗")</f>
        <v>✗</v>
      </c>
      <c r="J433" s="23" t="str">
        <f>IFERROR(__xludf.DUMMYFUNCTION("if(REGEXMATCH(join("", "",$F433:$G433),J$1)=TRUE,""✓"",""✗"")"),"✗")</f>
        <v>✗</v>
      </c>
      <c r="K433" s="23" t="str">
        <f>IFERROR(__xludf.DUMMYFUNCTION("if(REGEXMATCH(join("", "",$F433:$G433),K$1)=TRUE,""✓"",""✗"")"),"✗")</f>
        <v>✗</v>
      </c>
      <c r="L433" s="23" t="str">
        <f>IFERROR(__xludf.DUMMYFUNCTION("if(REGEXMATCH(join("", "",$F433:$G433),L$1)=TRUE,""✓"",""✗"")"),"✗")</f>
        <v>✗</v>
      </c>
      <c r="M433" s="23" t="str">
        <f>IFERROR(__xludf.DUMMYFUNCTION("if(REGEXMATCH(join("", "",$F433:$G433),M$1)=TRUE,""✓"",""✗"")"),"✗")</f>
        <v>✗</v>
      </c>
      <c r="N433" s="23" t="str">
        <f>IFERROR(__xludf.DUMMYFUNCTION("if(REGEXMATCH(join("", "",$F433:$G433),N$1)=TRUE,""✓"",""✗"")"),"✗")</f>
        <v>✗</v>
      </c>
      <c r="O433" s="23" t="str">
        <f>IFERROR(__xludf.DUMMYFUNCTION("if(REGEXMATCH(join("", "",$F433:$G433),O$1)=TRUE,""✓"",""✗"")"),"✗")</f>
        <v>✗</v>
      </c>
      <c r="P433" s="23" t="str">
        <f>IFERROR(__xludf.DUMMYFUNCTION("if(REGEXMATCH(join("", "",$F433:$G433),P$1)=TRUE,""✓"",""✗"")"),"✗")</f>
        <v>✗</v>
      </c>
      <c r="Q433" s="23" t="str">
        <f>IFERROR(__xludf.DUMMYFUNCTION("if(REGEXMATCH(join("", "",$F433:$G433),Q$1)=TRUE,""✓"",""✗"")"),"✗")</f>
        <v>✗</v>
      </c>
      <c r="R433" s="23" t="str">
        <f>IFERROR(__xludf.DUMMYFUNCTION("if(REGEXMATCH(join("", "",$F433:$G433),R$1)=TRUE,""✓"",""✗"")"),"✗")</f>
        <v>✗</v>
      </c>
      <c r="S433" s="23" t="str">
        <f>IFERROR(__xludf.DUMMYFUNCTION("if(REGEXMATCH(join("", "",$F433:$G433),S$1)=TRUE,""✓"",""✗"")"),"✗")</f>
        <v>✗</v>
      </c>
      <c r="T433" s="23" t="str">
        <f>IFERROR(__xludf.DUMMYFUNCTION("if(REGEXMATCH(join("", "",$F433:$G433),T$1)=TRUE,""✓"",""✗"")"),"✗")</f>
        <v>✗</v>
      </c>
      <c r="U433" s="33"/>
      <c r="V433" s="33"/>
      <c r="W433" s="33"/>
      <c r="X433" s="33"/>
      <c r="Y433" s="33"/>
      <c r="Z433" s="33"/>
      <c r="AA433" s="33"/>
      <c r="AB433" s="33"/>
      <c r="AC433" s="33"/>
    </row>
    <row r="434" hidden="1">
      <c r="A434" s="17" t="s">
        <v>302</v>
      </c>
      <c r="B434" s="33"/>
      <c r="C434" s="33"/>
      <c r="D434" s="33"/>
      <c r="E434" s="33"/>
      <c r="F434" s="33"/>
      <c r="G434" s="33"/>
      <c r="H434" s="23" t="str">
        <f>IFERROR(__xludf.DUMMYFUNCTION("if(REGEXMATCH(join("", "",$F434:$G434),H$1)=TRUE,""✓"",""✗"")"),"✗")</f>
        <v>✗</v>
      </c>
      <c r="I434" s="23" t="str">
        <f>IFERROR(__xludf.DUMMYFUNCTION("if(REGEXMATCH(join("", "",$F434:$G434),I$1)=TRUE,""✓"",""✗"")"),"✗")</f>
        <v>✗</v>
      </c>
      <c r="J434" s="23" t="str">
        <f>IFERROR(__xludf.DUMMYFUNCTION("if(REGEXMATCH(join("", "",$F434:$G434),J$1)=TRUE,""✓"",""✗"")"),"✗")</f>
        <v>✗</v>
      </c>
      <c r="K434" s="23" t="str">
        <f>IFERROR(__xludf.DUMMYFUNCTION("if(REGEXMATCH(join("", "",$F434:$G434),K$1)=TRUE,""✓"",""✗"")"),"✗")</f>
        <v>✗</v>
      </c>
      <c r="L434" s="23" t="str">
        <f>IFERROR(__xludf.DUMMYFUNCTION("if(REGEXMATCH(join("", "",$F434:$G434),L$1)=TRUE,""✓"",""✗"")"),"✗")</f>
        <v>✗</v>
      </c>
      <c r="M434" s="23" t="str">
        <f>IFERROR(__xludf.DUMMYFUNCTION("if(REGEXMATCH(join("", "",$F434:$G434),M$1)=TRUE,""✓"",""✗"")"),"✗")</f>
        <v>✗</v>
      </c>
      <c r="N434" s="23" t="str">
        <f>IFERROR(__xludf.DUMMYFUNCTION("if(REGEXMATCH(join("", "",$F434:$G434),N$1)=TRUE,""✓"",""✗"")"),"✗")</f>
        <v>✗</v>
      </c>
      <c r="O434" s="23" t="str">
        <f>IFERROR(__xludf.DUMMYFUNCTION("if(REGEXMATCH(join("", "",$F434:$G434),O$1)=TRUE,""✓"",""✗"")"),"✗")</f>
        <v>✗</v>
      </c>
      <c r="P434" s="23" t="str">
        <f>IFERROR(__xludf.DUMMYFUNCTION("if(REGEXMATCH(join("", "",$F434:$G434),P$1)=TRUE,""✓"",""✗"")"),"✗")</f>
        <v>✗</v>
      </c>
      <c r="Q434" s="23" t="str">
        <f>IFERROR(__xludf.DUMMYFUNCTION("if(REGEXMATCH(join("", "",$F434:$G434),Q$1)=TRUE,""✓"",""✗"")"),"✗")</f>
        <v>✗</v>
      </c>
      <c r="R434" s="23" t="str">
        <f>IFERROR(__xludf.DUMMYFUNCTION("if(REGEXMATCH(join("", "",$F434:$G434),R$1)=TRUE,""✓"",""✗"")"),"✗")</f>
        <v>✗</v>
      </c>
      <c r="S434" s="23" t="str">
        <f>IFERROR(__xludf.DUMMYFUNCTION("if(REGEXMATCH(join("", "",$F434:$G434),S$1)=TRUE,""✓"",""✗"")"),"✗")</f>
        <v>✗</v>
      </c>
      <c r="T434" s="23" t="str">
        <f>IFERROR(__xludf.DUMMYFUNCTION("if(REGEXMATCH(join("", "",$F434:$G434),T$1)=TRUE,""✓"",""✗"")"),"✗")</f>
        <v>✗</v>
      </c>
      <c r="U434" s="33"/>
      <c r="V434" s="33"/>
      <c r="W434" s="33"/>
      <c r="X434" s="33"/>
      <c r="Y434" s="33"/>
      <c r="Z434" s="33"/>
      <c r="AA434" s="33"/>
      <c r="AB434" s="33"/>
      <c r="AC434" s="33"/>
    </row>
    <row r="435" hidden="1">
      <c r="A435" s="17" t="s">
        <v>302</v>
      </c>
      <c r="B435" s="33"/>
      <c r="C435" s="33"/>
      <c r="D435" s="33"/>
      <c r="E435" s="33"/>
      <c r="F435" s="33"/>
      <c r="G435" s="33"/>
      <c r="H435" s="23" t="str">
        <f>IFERROR(__xludf.DUMMYFUNCTION("if(REGEXMATCH(join("", "",$F435:$G435),H$1)=TRUE,""✓"",""✗"")"),"✗")</f>
        <v>✗</v>
      </c>
      <c r="I435" s="23" t="str">
        <f>IFERROR(__xludf.DUMMYFUNCTION("if(REGEXMATCH(join("", "",$F435:$G435),I$1)=TRUE,""✓"",""✗"")"),"✗")</f>
        <v>✗</v>
      </c>
      <c r="J435" s="23" t="str">
        <f>IFERROR(__xludf.DUMMYFUNCTION("if(REGEXMATCH(join("", "",$F435:$G435),J$1)=TRUE,""✓"",""✗"")"),"✗")</f>
        <v>✗</v>
      </c>
      <c r="K435" s="23" t="str">
        <f>IFERROR(__xludf.DUMMYFUNCTION("if(REGEXMATCH(join("", "",$F435:$G435),K$1)=TRUE,""✓"",""✗"")"),"✗")</f>
        <v>✗</v>
      </c>
      <c r="L435" s="23" t="str">
        <f>IFERROR(__xludf.DUMMYFUNCTION("if(REGEXMATCH(join("", "",$F435:$G435),L$1)=TRUE,""✓"",""✗"")"),"✗")</f>
        <v>✗</v>
      </c>
      <c r="M435" s="23" t="str">
        <f>IFERROR(__xludf.DUMMYFUNCTION("if(REGEXMATCH(join("", "",$F435:$G435),M$1)=TRUE,""✓"",""✗"")"),"✗")</f>
        <v>✗</v>
      </c>
      <c r="N435" s="23" t="str">
        <f>IFERROR(__xludf.DUMMYFUNCTION("if(REGEXMATCH(join("", "",$F435:$G435),N$1)=TRUE,""✓"",""✗"")"),"✗")</f>
        <v>✗</v>
      </c>
      <c r="O435" s="23" t="str">
        <f>IFERROR(__xludf.DUMMYFUNCTION("if(REGEXMATCH(join("", "",$F435:$G435),O$1)=TRUE,""✓"",""✗"")"),"✗")</f>
        <v>✗</v>
      </c>
      <c r="P435" s="23" t="str">
        <f>IFERROR(__xludf.DUMMYFUNCTION("if(REGEXMATCH(join("", "",$F435:$G435),P$1)=TRUE,""✓"",""✗"")"),"✗")</f>
        <v>✗</v>
      </c>
      <c r="Q435" s="23" t="str">
        <f>IFERROR(__xludf.DUMMYFUNCTION("if(REGEXMATCH(join("", "",$F435:$G435),Q$1)=TRUE,""✓"",""✗"")"),"✗")</f>
        <v>✗</v>
      </c>
      <c r="R435" s="23" t="str">
        <f>IFERROR(__xludf.DUMMYFUNCTION("if(REGEXMATCH(join("", "",$F435:$G435),R$1)=TRUE,""✓"",""✗"")"),"✗")</f>
        <v>✗</v>
      </c>
      <c r="S435" s="23" t="str">
        <f>IFERROR(__xludf.DUMMYFUNCTION("if(REGEXMATCH(join("", "",$F435:$G435),S$1)=TRUE,""✓"",""✗"")"),"✗")</f>
        <v>✗</v>
      </c>
      <c r="T435" s="23" t="str">
        <f>IFERROR(__xludf.DUMMYFUNCTION("if(REGEXMATCH(join("", "",$F435:$G435),T$1)=TRUE,""✓"",""✗"")"),"✗")</f>
        <v>✗</v>
      </c>
      <c r="U435" s="33"/>
      <c r="V435" s="33"/>
      <c r="W435" s="33"/>
      <c r="X435" s="33"/>
      <c r="Y435" s="33"/>
      <c r="Z435" s="33"/>
      <c r="AA435" s="33"/>
      <c r="AB435" s="33"/>
      <c r="AC435" s="33"/>
    </row>
    <row r="436" hidden="1">
      <c r="A436" s="17" t="s">
        <v>302</v>
      </c>
      <c r="B436" s="33"/>
      <c r="C436" s="33"/>
      <c r="D436" s="33"/>
      <c r="E436" s="33"/>
      <c r="F436" s="33"/>
      <c r="G436" s="33"/>
      <c r="H436" s="23" t="str">
        <f>IFERROR(__xludf.DUMMYFUNCTION("if(REGEXMATCH(join("", "",$F436:$G436),H$1)=TRUE,""✓"",""✗"")"),"✗")</f>
        <v>✗</v>
      </c>
      <c r="I436" s="23" t="str">
        <f>IFERROR(__xludf.DUMMYFUNCTION("if(REGEXMATCH(join("", "",$F436:$G436),I$1)=TRUE,""✓"",""✗"")"),"✗")</f>
        <v>✗</v>
      </c>
      <c r="J436" s="23" t="str">
        <f>IFERROR(__xludf.DUMMYFUNCTION("if(REGEXMATCH(join("", "",$F436:$G436),J$1)=TRUE,""✓"",""✗"")"),"✗")</f>
        <v>✗</v>
      </c>
      <c r="K436" s="23" t="str">
        <f>IFERROR(__xludf.DUMMYFUNCTION("if(REGEXMATCH(join("", "",$F436:$G436),K$1)=TRUE,""✓"",""✗"")"),"✗")</f>
        <v>✗</v>
      </c>
      <c r="L436" s="23" t="str">
        <f>IFERROR(__xludf.DUMMYFUNCTION("if(REGEXMATCH(join("", "",$F436:$G436),L$1)=TRUE,""✓"",""✗"")"),"✗")</f>
        <v>✗</v>
      </c>
      <c r="M436" s="23" t="str">
        <f>IFERROR(__xludf.DUMMYFUNCTION("if(REGEXMATCH(join("", "",$F436:$G436),M$1)=TRUE,""✓"",""✗"")"),"✗")</f>
        <v>✗</v>
      </c>
      <c r="N436" s="23" t="str">
        <f>IFERROR(__xludf.DUMMYFUNCTION("if(REGEXMATCH(join("", "",$F436:$G436),N$1)=TRUE,""✓"",""✗"")"),"✗")</f>
        <v>✗</v>
      </c>
      <c r="O436" s="23" t="str">
        <f>IFERROR(__xludf.DUMMYFUNCTION("if(REGEXMATCH(join("", "",$F436:$G436),O$1)=TRUE,""✓"",""✗"")"),"✗")</f>
        <v>✗</v>
      </c>
      <c r="P436" s="23" t="str">
        <f>IFERROR(__xludf.DUMMYFUNCTION("if(REGEXMATCH(join("", "",$F436:$G436),P$1)=TRUE,""✓"",""✗"")"),"✗")</f>
        <v>✗</v>
      </c>
      <c r="Q436" s="23" t="str">
        <f>IFERROR(__xludf.DUMMYFUNCTION("if(REGEXMATCH(join("", "",$F436:$G436),Q$1)=TRUE,""✓"",""✗"")"),"✗")</f>
        <v>✗</v>
      </c>
      <c r="R436" s="23" t="str">
        <f>IFERROR(__xludf.DUMMYFUNCTION("if(REGEXMATCH(join("", "",$F436:$G436),R$1)=TRUE,""✓"",""✗"")"),"✗")</f>
        <v>✗</v>
      </c>
      <c r="S436" s="23" t="str">
        <f>IFERROR(__xludf.DUMMYFUNCTION("if(REGEXMATCH(join("", "",$F436:$G436),S$1)=TRUE,""✓"",""✗"")"),"✗")</f>
        <v>✗</v>
      </c>
      <c r="T436" s="23" t="str">
        <f>IFERROR(__xludf.DUMMYFUNCTION("if(REGEXMATCH(join("", "",$F436:$G436),T$1)=TRUE,""✓"",""✗"")"),"✗")</f>
        <v>✗</v>
      </c>
      <c r="U436" s="33"/>
      <c r="V436" s="33"/>
      <c r="W436" s="33"/>
      <c r="X436" s="33"/>
      <c r="Y436" s="33"/>
      <c r="Z436" s="33"/>
      <c r="AA436" s="33"/>
      <c r="AB436" s="33"/>
      <c r="AC436" s="33"/>
    </row>
    <row r="437" hidden="1">
      <c r="A437" s="17" t="s">
        <v>302</v>
      </c>
      <c r="B437" s="33"/>
      <c r="C437" s="33"/>
      <c r="D437" s="33"/>
      <c r="E437" s="33"/>
      <c r="F437" s="33"/>
      <c r="G437" s="33"/>
      <c r="H437" s="23" t="str">
        <f>IFERROR(__xludf.DUMMYFUNCTION("if(REGEXMATCH(join("", "",$F437:$G437),H$1)=TRUE,""✓"",""✗"")"),"✗")</f>
        <v>✗</v>
      </c>
      <c r="I437" s="23" t="str">
        <f>IFERROR(__xludf.DUMMYFUNCTION("if(REGEXMATCH(join("", "",$F437:$G437),I$1)=TRUE,""✓"",""✗"")"),"✗")</f>
        <v>✗</v>
      </c>
      <c r="J437" s="23" t="str">
        <f>IFERROR(__xludf.DUMMYFUNCTION("if(REGEXMATCH(join("", "",$F437:$G437),J$1)=TRUE,""✓"",""✗"")"),"✗")</f>
        <v>✗</v>
      </c>
      <c r="K437" s="23" t="str">
        <f>IFERROR(__xludf.DUMMYFUNCTION("if(REGEXMATCH(join("", "",$F437:$G437),K$1)=TRUE,""✓"",""✗"")"),"✗")</f>
        <v>✗</v>
      </c>
      <c r="L437" s="23" t="str">
        <f>IFERROR(__xludf.DUMMYFUNCTION("if(REGEXMATCH(join("", "",$F437:$G437),L$1)=TRUE,""✓"",""✗"")"),"✗")</f>
        <v>✗</v>
      </c>
      <c r="M437" s="23" t="str">
        <f>IFERROR(__xludf.DUMMYFUNCTION("if(REGEXMATCH(join("", "",$F437:$G437),M$1)=TRUE,""✓"",""✗"")"),"✗")</f>
        <v>✗</v>
      </c>
      <c r="N437" s="23" t="str">
        <f>IFERROR(__xludf.DUMMYFUNCTION("if(REGEXMATCH(join("", "",$F437:$G437),N$1)=TRUE,""✓"",""✗"")"),"✗")</f>
        <v>✗</v>
      </c>
      <c r="O437" s="23" t="str">
        <f>IFERROR(__xludf.DUMMYFUNCTION("if(REGEXMATCH(join("", "",$F437:$G437),O$1)=TRUE,""✓"",""✗"")"),"✗")</f>
        <v>✗</v>
      </c>
      <c r="P437" s="23" t="str">
        <f>IFERROR(__xludf.DUMMYFUNCTION("if(REGEXMATCH(join("", "",$F437:$G437),P$1)=TRUE,""✓"",""✗"")"),"✗")</f>
        <v>✗</v>
      </c>
      <c r="Q437" s="23" t="str">
        <f>IFERROR(__xludf.DUMMYFUNCTION("if(REGEXMATCH(join("", "",$F437:$G437),Q$1)=TRUE,""✓"",""✗"")"),"✗")</f>
        <v>✗</v>
      </c>
      <c r="R437" s="23" t="str">
        <f>IFERROR(__xludf.DUMMYFUNCTION("if(REGEXMATCH(join("", "",$F437:$G437),R$1)=TRUE,""✓"",""✗"")"),"✗")</f>
        <v>✗</v>
      </c>
      <c r="S437" s="23" t="str">
        <f>IFERROR(__xludf.DUMMYFUNCTION("if(REGEXMATCH(join("", "",$F437:$G437),S$1)=TRUE,""✓"",""✗"")"),"✗")</f>
        <v>✗</v>
      </c>
      <c r="T437" s="23" t="str">
        <f>IFERROR(__xludf.DUMMYFUNCTION("if(REGEXMATCH(join("", "",$F437:$G437),T$1)=TRUE,""✓"",""✗"")"),"✗")</f>
        <v>✗</v>
      </c>
      <c r="U437" s="33"/>
      <c r="V437" s="33"/>
      <c r="W437" s="33"/>
      <c r="X437" s="33"/>
      <c r="Y437" s="33"/>
      <c r="Z437" s="33"/>
      <c r="AA437" s="33"/>
      <c r="AB437" s="33"/>
      <c r="AC437" s="33"/>
    </row>
    <row r="438" hidden="1">
      <c r="A438" s="17" t="s">
        <v>302</v>
      </c>
      <c r="B438" s="33"/>
      <c r="C438" s="33"/>
      <c r="D438" s="33"/>
      <c r="E438" s="33"/>
      <c r="F438" s="33"/>
      <c r="G438" s="33"/>
      <c r="H438" s="23" t="str">
        <f>IFERROR(__xludf.DUMMYFUNCTION("if(REGEXMATCH(join("", "",$F438:$G438),H$1)=TRUE,""✓"",""✗"")"),"✗")</f>
        <v>✗</v>
      </c>
      <c r="I438" s="23" t="str">
        <f>IFERROR(__xludf.DUMMYFUNCTION("if(REGEXMATCH(join("", "",$F438:$G438),I$1)=TRUE,""✓"",""✗"")"),"✗")</f>
        <v>✗</v>
      </c>
      <c r="J438" s="23" t="str">
        <f>IFERROR(__xludf.DUMMYFUNCTION("if(REGEXMATCH(join("", "",$F438:$G438),J$1)=TRUE,""✓"",""✗"")"),"✗")</f>
        <v>✗</v>
      </c>
      <c r="K438" s="23" t="str">
        <f>IFERROR(__xludf.DUMMYFUNCTION("if(REGEXMATCH(join("", "",$F438:$G438),K$1)=TRUE,""✓"",""✗"")"),"✗")</f>
        <v>✗</v>
      </c>
      <c r="L438" s="23" t="str">
        <f>IFERROR(__xludf.DUMMYFUNCTION("if(REGEXMATCH(join("", "",$F438:$G438),L$1)=TRUE,""✓"",""✗"")"),"✗")</f>
        <v>✗</v>
      </c>
      <c r="M438" s="23" t="str">
        <f>IFERROR(__xludf.DUMMYFUNCTION("if(REGEXMATCH(join("", "",$F438:$G438),M$1)=TRUE,""✓"",""✗"")"),"✗")</f>
        <v>✗</v>
      </c>
      <c r="N438" s="23" t="str">
        <f>IFERROR(__xludf.DUMMYFUNCTION("if(REGEXMATCH(join("", "",$F438:$G438),N$1)=TRUE,""✓"",""✗"")"),"✗")</f>
        <v>✗</v>
      </c>
      <c r="O438" s="23" t="str">
        <f>IFERROR(__xludf.DUMMYFUNCTION("if(REGEXMATCH(join("", "",$F438:$G438),O$1)=TRUE,""✓"",""✗"")"),"✗")</f>
        <v>✗</v>
      </c>
      <c r="P438" s="23" t="str">
        <f>IFERROR(__xludf.DUMMYFUNCTION("if(REGEXMATCH(join("", "",$F438:$G438),P$1)=TRUE,""✓"",""✗"")"),"✗")</f>
        <v>✗</v>
      </c>
      <c r="Q438" s="23" t="str">
        <f>IFERROR(__xludf.DUMMYFUNCTION("if(REGEXMATCH(join("", "",$F438:$G438),Q$1)=TRUE,""✓"",""✗"")"),"✗")</f>
        <v>✗</v>
      </c>
      <c r="R438" s="23" t="str">
        <f>IFERROR(__xludf.DUMMYFUNCTION("if(REGEXMATCH(join("", "",$F438:$G438),R$1)=TRUE,""✓"",""✗"")"),"✗")</f>
        <v>✗</v>
      </c>
      <c r="S438" s="23" t="str">
        <f>IFERROR(__xludf.DUMMYFUNCTION("if(REGEXMATCH(join("", "",$F438:$G438),S$1)=TRUE,""✓"",""✗"")"),"✗")</f>
        <v>✗</v>
      </c>
      <c r="T438" s="23" t="str">
        <f>IFERROR(__xludf.DUMMYFUNCTION("if(REGEXMATCH(join("", "",$F438:$G438),T$1)=TRUE,""✓"",""✗"")"),"✗")</f>
        <v>✗</v>
      </c>
      <c r="U438" s="33"/>
      <c r="V438" s="33"/>
      <c r="W438" s="33"/>
      <c r="X438" s="33"/>
      <c r="Y438" s="33"/>
      <c r="Z438" s="33"/>
      <c r="AA438" s="33"/>
      <c r="AB438" s="33"/>
      <c r="AC438" s="33"/>
    </row>
    <row r="439" hidden="1">
      <c r="A439" s="17" t="s">
        <v>302</v>
      </c>
      <c r="B439" s="33"/>
      <c r="C439" s="33"/>
      <c r="D439" s="33"/>
      <c r="E439" s="33"/>
      <c r="F439" s="33"/>
      <c r="G439" s="33"/>
      <c r="H439" s="23" t="str">
        <f>IFERROR(__xludf.DUMMYFUNCTION("if(REGEXMATCH(join("", "",$F439:$G439),H$1)=TRUE,""✓"",""✗"")"),"✗")</f>
        <v>✗</v>
      </c>
      <c r="I439" s="23" t="str">
        <f>IFERROR(__xludf.DUMMYFUNCTION("if(REGEXMATCH(join("", "",$F439:$G439),I$1)=TRUE,""✓"",""✗"")"),"✗")</f>
        <v>✗</v>
      </c>
      <c r="J439" s="23" t="str">
        <f>IFERROR(__xludf.DUMMYFUNCTION("if(REGEXMATCH(join("", "",$F439:$G439),J$1)=TRUE,""✓"",""✗"")"),"✗")</f>
        <v>✗</v>
      </c>
      <c r="K439" s="23" t="str">
        <f>IFERROR(__xludf.DUMMYFUNCTION("if(REGEXMATCH(join("", "",$F439:$G439),K$1)=TRUE,""✓"",""✗"")"),"✗")</f>
        <v>✗</v>
      </c>
      <c r="L439" s="23" t="str">
        <f>IFERROR(__xludf.DUMMYFUNCTION("if(REGEXMATCH(join("", "",$F439:$G439),L$1)=TRUE,""✓"",""✗"")"),"✗")</f>
        <v>✗</v>
      </c>
      <c r="M439" s="23" t="str">
        <f>IFERROR(__xludf.DUMMYFUNCTION("if(REGEXMATCH(join("", "",$F439:$G439),M$1)=TRUE,""✓"",""✗"")"),"✗")</f>
        <v>✗</v>
      </c>
      <c r="N439" s="23" t="str">
        <f>IFERROR(__xludf.DUMMYFUNCTION("if(REGEXMATCH(join("", "",$F439:$G439),N$1)=TRUE,""✓"",""✗"")"),"✗")</f>
        <v>✗</v>
      </c>
      <c r="O439" s="23" t="str">
        <f>IFERROR(__xludf.DUMMYFUNCTION("if(REGEXMATCH(join("", "",$F439:$G439),O$1)=TRUE,""✓"",""✗"")"),"✗")</f>
        <v>✗</v>
      </c>
      <c r="P439" s="23" t="str">
        <f>IFERROR(__xludf.DUMMYFUNCTION("if(REGEXMATCH(join("", "",$F439:$G439),P$1)=TRUE,""✓"",""✗"")"),"✗")</f>
        <v>✗</v>
      </c>
      <c r="Q439" s="23" t="str">
        <f>IFERROR(__xludf.DUMMYFUNCTION("if(REGEXMATCH(join("", "",$F439:$G439),Q$1)=TRUE,""✓"",""✗"")"),"✗")</f>
        <v>✗</v>
      </c>
      <c r="R439" s="23" t="str">
        <f>IFERROR(__xludf.DUMMYFUNCTION("if(REGEXMATCH(join("", "",$F439:$G439),R$1)=TRUE,""✓"",""✗"")"),"✗")</f>
        <v>✗</v>
      </c>
      <c r="S439" s="23" t="str">
        <f>IFERROR(__xludf.DUMMYFUNCTION("if(REGEXMATCH(join("", "",$F439:$G439),S$1)=TRUE,""✓"",""✗"")"),"✗")</f>
        <v>✗</v>
      </c>
      <c r="T439" s="23" t="str">
        <f>IFERROR(__xludf.DUMMYFUNCTION("if(REGEXMATCH(join("", "",$F439:$G439),T$1)=TRUE,""✓"",""✗"")"),"✗")</f>
        <v>✗</v>
      </c>
      <c r="U439" s="33"/>
      <c r="V439" s="33"/>
      <c r="W439" s="33"/>
      <c r="X439" s="33"/>
      <c r="Y439" s="33"/>
      <c r="Z439" s="33"/>
      <c r="AA439" s="33"/>
      <c r="AB439" s="33"/>
      <c r="AC439" s="33"/>
    </row>
    <row r="440" hidden="1">
      <c r="A440" s="17" t="s">
        <v>302</v>
      </c>
      <c r="B440" s="33"/>
      <c r="C440" s="33"/>
      <c r="D440" s="33"/>
      <c r="E440" s="33"/>
      <c r="F440" s="33"/>
      <c r="G440" s="33"/>
      <c r="H440" s="51">
        <f t="shared" ref="H440:T440" si="18">countif(H332:H439,"✓")</f>
        <v>0</v>
      </c>
      <c r="I440" s="51">
        <f t="shared" si="18"/>
        <v>0</v>
      </c>
      <c r="J440" s="51">
        <f t="shared" si="18"/>
        <v>0</v>
      </c>
      <c r="K440" s="51">
        <f t="shared" si="18"/>
        <v>0</v>
      </c>
      <c r="L440" s="51">
        <f t="shared" si="18"/>
        <v>0</v>
      </c>
      <c r="M440" s="51">
        <f t="shared" si="18"/>
        <v>0</v>
      </c>
      <c r="N440" s="51">
        <f t="shared" si="18"/>
        <v>0</v>
      </c>
      <c r="O440" s="51">
        <f t="shared" si="18"/>
        <v>0</v>
      </c>
      <c r="P440" s="51">
        <f t="shared" si="18"/>
        <v>0</v>
      </c>
      <c r="Q440" s="51">
        <f t="shared" si="18"/>
        <v>0</v>
      </c>
      <c r="R440" s="51">
        <f t="shared" si="18"/>
        <v>0</v>
      </c>
      <c r="S440" s="51">
        <f t="shared" si="18"/>
        <v>0</v>
      </c>
      <c r="T440" s="51">
        <f t="shared" si="18"/>
        <v>0</v>
      </c>
      <c r="U440" s="33"/>
      <c r="V440" s="33"/>
      <c r="W440" s="33"/>
      <c r="X440" s="33"/>
      <c r="Y440" s="33"/>
      <c r="Z440" s="33"/>
      <c r="AA440" s="33"/>
      <c r="AB440" s="33"/>
      <c r="AC440" s="33"/>
    </row>
    <row r="441" hidden="1">
      <c r="A441" s="17" t="s">
        <v>302</v>
      </c>
      <c r="B441" s="33"/>
      <c r="C441" s="33"/>
      <c r="D441" s="33"/>
      <c r="E441" s="33"/>
      <c r="F441" s="33"/>
      <c r="G441" s="33"/>
      <c r="H441" s="13" t="s">
        <v>2</v>
      </c>
      <c r="I441" s="13" t="s">
        <v>9</v>
      </c>
      <c r="J441" s="13" t="s">
        <v>10</v>
      </c>
      <c r="K441" s="13" t="s">
        <v>11</v>
      </c>
      <c r="L441" s="13" t="s">
        <v>12</v>
      </c>
      <c r="M441" s="13" t="s">
        <v>13</v>
      </c>
      <c r="N441" s="13" t="s">
        <v>14</v>
      </c>
      <c r="O441" s="13" t="s">
        <v>15</v>
      </c>
      <c r="P441" s="13" t="s">
        <v>4</v>
      </c>
      <c r="Q441" s="13" t="s">
        <v>16</v>
      </c>
      <c r="R441" s="13" t="s">
        <v>17</v>
      </c>
      <c r="S441" s="13" t="s">
        <v>19</v>
      </c>
      <c r="T441" s="13" t="s">
        <v>20</v>
      </c>
      <c r="U441" s="33"/>
      <c r="V441" s="33"/>
      <c r="W441" s="33"/>
      <c r="X441" s="33"/>
      <c r="Y441" s="33"/>
      <c r="Z441" s="33"/>
      <c r="AA441" s="33"/>
      <c r="AB441" s="33"/>
      <c r="AC441" s="33"/>
    </row>
    <row r="442" hidden="1">
      <c r="A442" s="17" t="s">
        <v>302</v>
      </c>
      <c r="B442" s="33"/>
      <c r="C442" s="33"/>
      <c r="D442" s="33"/>
      <c r="E442" s="33"/>
      <c r="F442" s="33"/>
      <c r="G442" s="33"/>
      <c r="H442" s="23" t="str">
        <f>IFERROR(__xludf.DUMMYFUNCTION("if(REGEXMATCH(join("", "",$F442:$G442),H$1)=TRUE,""✓"",""✗"")"),"✗")</f>
        <v>✗</v>
      </c>
      <c r="I442" s="23" t="str">
        <f>IFERROR(__xludf.DUMMYFUNCTION("if(REGEXMATCH(join("", "",$F442:$G442),I$1)=TRUE,""✓"",""✗"")"),"✗")</f>
        <v>✗</v>
      </c>
      <c r="J442" s="23" t="str">
        <f>IFERROR(__xludf.DUMMYFUNCTION("if(REGEXMATCH(join("", "",$F442:$G442),J$1)=TRUE,""✓"",""✗"")"),"✗")</f>
        <v>✗</v>
      </c>
      <c r="K442" s="23" t="str">
        <f>IFERROR(__xludf.DUMMYFUNCTION("if(REGEXMATCH(join("", "",$F442:$G442),K$1)=TRUE,""✓"",""✗"")"),"✗")</f>
        <v>✗</v>
      </c>
      <c r="L442" s="23" t="str">
        <f>IFERROR(__xludf.DUMMYFUNCTION("if(REGEXMATCH(join("", "",$F442:$G442),L$1)=TRUE,""✓"",""✗"")"),"✗")</f>
        <v>✗</v>
      </c>
      <c r="M442" s="23" t="str">
        <f>IFERROR(__xludf.DUMMYFUNCTION("if(REGEXMATCH(join("", "",$F442:$G442),M$1)=TRUE,""✓"",""✗"")"),"✗")</f>
        <v>✗</v>
      </c>
      <c r="N442" s="23" t="str">
        <f>IFERROR(__xludf.DUMMYFUNCTION("if(REGEXMATCH(join("", "",$F442:$G442),N$1)=TRUE,""✓"",""✗"")"),"✗")</f>
        <v>✗</v>
      </c>
      <c r="O442" s="23" t="str">
        <f>IFERROR(__xludf.DUMMYFUNCTION("if(REGEXMATCH(join("", "",$F442:$G442),O$1)=TRUE,""✓"",""✗"")"),"✗")</f>
        <v>✗</v>
      </c>
      <c r="P442" s="23" t="str">
        <f>IFERROR(__xludf.DUMMYFUNCTION("if(REGEXMATCH(join("", "",$F442:$G442),P$1)=TRUE,""✓"",""✗"")"),"✗")</f>
        <v>✗</v>
      </c>
      <c r="Q442" s="23" t="str">
        <f>IFERROR(__xludf.DUMMYFUNCTION("if(REGEXMATCH(join("", "",$F442:$G442),Q$1)=TRUE,""✓"",""✗"")"),"✗")</f>
        <v>✗</v>
      </c>
      <c r="R442" s="23" t="str">
        <f>IFERROR(__xludf.DUMMYFUNCTION("if(REGEXMATCH(join("", "",$F442:$G442),R$1)=TRUE,""✓"",""✗"")"),"✗")</f>
        <v>✗</v>
      </c>
      <c r="S442" s="23" t="str">
        <f>IFERROR(__xludf.DUMMYFUNCTION("if(REGEXMATCH(join("", "",$F442:$G442),S$1)=TRUE,""✓"",""✗"")"),"✗")</f>
        <v>✗</v>
      </c>
      <c r="T442" s="23" t="str">
        <f>IFERROR(__xludf.DUMMYFUNCTION("if(REGEXMATCH(join("", "",$F442:$G442),T$1)=TRUE,""✓"",""✗"")"),"✗")</f>
        <v>✗</v>
      </c>
      <c r="U442" s="33"/>
      <c r="V442" s="33"/>
      <c r="W442" s="33"/>
      <c r="X442" s="33"/>
      <c r="Y442" s="33"/>
      <c r="Z442" s="33"/>
      <c r="AA442" s="33"/>
      <c r="AB442" s="33"/>
      <c r="AC442" s="33"/>
    </row>
    <row r="443" hidden="1">
      <c r="A443" s="17" t="s">
        <v>302</v>
      </c>
      <c r="B443" s="33"/>
      <c r="C443" s="33"/>
      <c r="D443" s="33"/>
      <c r="E443" s="33"/>
      <c r="F443" s="33"/>
      <c r="G443" s="33"/>
      <c r="H443" s="23" t="str">
        <f>IFERROR(__xludf.DUMMYFUNCTION("if(REGEXMATCH(join("", "",$F443:$G443),H$1)=TRUE,""✓"",""✗"")"),"✗")</f>
        <v>✗</v>
      </c>
      <c r="I443" s="23" t="str">
        <f>IFERROR(__xludf.DUMMYFUNCTION("if(REGEXMATCH(join("", "",$F443:$G443),I$1)=TRUE,""✓"",""✗"")"),"✗")</f>
        <v>✗</v>
      </c>
      <c r="J443" s="23" t="str">
        <f>IFERROR(__xludf.DUMMYFUNCTION("if(REGEXMATCH(join("", "",$F443:$G443),J$1)=TRUE,""✓"",""✗"")"),"✗")</f>
        <v>✗</v>
      </c>
      <c r="K443" s="23" t="str">
        <f>IFERROR(__xludf.DUMMYFUNCTION("if(REGEXMATCH(join("", "",$F443:$G443),K$1)=TRUE,""✓"",""✗"")"),"✗")</f>
        <v>✗</v>
      </c>
      <c r="L443" s="23" t="str">
        <f>IFERROR(__xludf.DUMMYFUNCTION("if(REGEXMATCH(join("", "",$F443:$G443),L$1)=TRUE,""✓"",""✗"")"),"✗")</f>
        <v>✗</v>
      </c>
      <c r="M443" s="23" t="str">
        <f>IFERROR(__xludf.DUMMYFUNCTION("if(REGEXMATCH(join("", "",$F443:$G443),M$1)=TRUE,""✓"",""✗"")"),"✗")</f>
        <v>✗</v>
      </c>
      <c r="N443" s="23" t="str">
        <f>IFERROR(__xludf.DUMMYFUNCTION("if(REGEXMATCH(join("", "",$F443:$G443),N$1)=TRUE,""✓"",""✗"")"),"✗")</f>
        <v>✗</v>
      </c>
      <c r="O443" s="23" t="str">
        <f>IFERROR(__xludf.DUMMYFUNCTION("if(REGEXMATCH(join("", "",$F443:$G443),O$1)=TRUE,""✓"",""✗"")"),"✗")</f>
        <v>✗</v>
      </c>
      <c r="P443" s="23" t="str">
        <f>IFERROR(__xludf.DUMMYFUNCTION("if(REGEXMATCH(join("", "",$F443:$G443),P$1)=TRUE,""✓"",""✗"")"),"✗")</f>
        <v>✗</v>
      </c>
      <c r="Q443" s="23" t="str">
        <f>IFERROR(__xludf.DUMMYFUNCTION("if(REGEXMATCH(join("", "",$F443:$G443),Q$1)=TRUE,""✓"",""✗"")"),"✗")</f>
        <v>✗</v>
      </c>
      <c r="R443" s="23" t="str">
        <f>IFERROR(__xludf.DUMMYFUNCTION("if(REGEXMATCH(join("", "",$F443:$G443),R$1)=TRUE,""✓"",""✗"")"),"✗")</f>
        <v>✗</v>
      </c>
      <c r="S443" s="23" t="str">
        <f>IFERROR(__xludf.DUMMYFUNCTION("if(REGEXMATCH(join("", "",$F443:$G443),S$1)=TRUE,""✓"",""✗"")"),"✗")</f>
        <v>✗</v>
      </c>
      <c r="T443" s="23" t="str">
        <f>IFERROR(__xludf.DUMMYFUNCTION("if(REGEXMATCH(join("", "",$F443:$G443),T$1)=TRUE,""✓"",""✗"")"),"✗")</f>
        <v>✗</v>
      </c>
      <c r="U443" s="33"/>
      <c r="V443" s="33"/>
      <c r="W443" s="33"/>
      <c r="X443" s="33"/>
      <c r="Y443" s="33"/>
      <c r="Z443" s="33"/>
      <c r="AA443" s="33"/>
      <c r="AB443" s="33"/>
      <c r="AC443" s="33"/>
    </row>
    <row r="444" hidden="1">
      <c r="A444" s="17" t="s">
        <v>302</v>
      </c>
      <c r="B444" s="33"/>
      <c r="C444" s="33"/>
      <c r="D444" s="33"/>
      <c r="E444" s="33"/>
      <c r="F444" s="33"/>
      <c r="G444" s="33"/>
      <c r="H444" s="23" t="str">
        <f>IFERROR(__xludf.DUMMYFUNCTION("if(REGEXMATCH(join("", "",$F444:$G444),H$1)=TRUE,""✓"",""✗"")"),"✗")</f>
        <v>✗</v>
      </c>
      <c r="I444" s="23" t="str">
        <f>IFERROR(__xludf.DUMMYFUNCTION("if(REGEXMATCH(join("", "",$F444:$G444),I$1)=TRUE,""✓"",""✗"")"),"✗")</f>
        <v>✗</v>
      </c>
      <c r="J444" s="23" t="str">
        <f>IFERROR(__xludf.DUMMYFUNCTION("if(REGEXMATCH(join("", "",$F444:$G444),J$1)=TRUE,""✓"",""✗"")"),"✗")</f>
        <v>✗</v>
      </c>
      <c r="K444" s="23" t="str">
        <f>IFERROR(__xludf.DUMMYFUNCTION("if(REGEXMATCH(join("", "",$F444:$G444),K$1)=TRUE,""✓"",""✗"")"),"✗")</f>
        <v>✗</v>
      </c>
      <c r="L444" s="23" t="str">
        <f>IFERROR(__xludf.DUMMYFUNCTION("if(REGEXMATCH(join("", "",$F444:$G444),L$1)=TRUE,""✓"",""✗"")"),"✗")</f>
        <v>✗</v>
      </c>
      <c r="M444" s="23" t="str">
        <f>IFERROR(__xludf.DUMMYFUNCTION("if(REGEXMATCH(join("", "",$F444:$G444),M$1)=TRUE,""✓"",""✗"")"),"✗")</f>
        <v>✗</v>
      </c>
      <c r="N444" s="23" t="str">
        <f>IFERROR(__xludf.DUMMYFUNCTION("if(REGEXMATCH(join("", "",$F444:$G444),N$1)=TRUE,""✓"",""✗"")"),"✗")</f>
        <v>✗</v>
      </c>
      <c r="O444" s="23" t="str">
        <f>IFERROR(__xludf.DUMMYFUNCTION("if(REGEXMATCH(join("", "",$F444:$G444),O$1)=TRUE,""✓"",""✗"")"),"✗")</f>
        <v>✗</v>
      </c>
      <c r="P444" s="23" t="str">
        <f>IFERROR(__xludf.DUMMYFUNCTION("if(REGEXMATCH(join("", "",$F444:$G444),P$1)=TRUE,""✓"",""✗"")"),"✗")</f>
        <v>✗</v>
      </c>
      <c r="Q444" s="23" t="str">
        <f>IFERROR(__xludf.DUMMYFUNCTION("if(REGEXMATCH(join("", "",$F444:$G444),Q$1)=TRUE,""✓"",""✗"")"),"✗")</f>
        <v>✗</v>
      </c>
      <c r="R444" s="23" t="str">
        <f>IFERROR(__xludf.DUMMYFUNCTION("if(REGEXMATCH(join("", "",$F444:$G444),R$1)=TRUE,""✓"",""✗"")"),"✗")</f>
        <v>✗</v>
      </c>
      <c r="S444" s="23" t="str">
        <f>IFERROR(__xludf.DUMMYFUNCTION("if(REGEXMATCH(join("", "",$F444:$G444),S$1)=TRUE,""✓"",""✗"")"),"✗")</f>
        <v>✗</v>
      </c>
      <c r="T444" s="23" t="str">
        <f>IFERROR(__xludf.DUMMYFUNCTION("if(REGEXMATCH(join("", "",$F444:$G444),T$1)=TRUE,""✓"",""✗"")"),"✗")</f>
        <v>✗</v>
      </c>
      <c r="U444" s="33"/>
      <c r="V444" s="33"/>
      <c r="W444" s="33"/>
      <c r="X444" s="33"/>
      <c r="Y444" s="33"/>
      <c r="Z444" s="33"/>
      <c r="AA444" s="33"/>
      <c r="AB444" s="33"/>
      <c r="AC444" s="33"/>
    </row>
    <row r="445" hidden="1">
      <c r="A445" s="17" t="s">
        <v>302</v>
      </c>
      <c r="B445" s="33"/>
      <c r="C445" s="33"/>
      <c r="D445" s="33"/>
      <c r="E445" s="33"/>
      <c r="F445" s="33"/>
      <c r="G445" s="33"/>
      <c r="H445" s="23" t="str">
        <f>IFERROR(__xludf.DUMMYFUNCTION("if(REGEXMATCH(join("", "",$F445:$G445),H$1)=TRUE,""✓"",""✗"")"),"✗")</f>
        <v>✗</v>
      </c>
      <c r="I445" s="23" t="str">
        <f>IFERROR(__xludf.DUMMYFUNCTION("if(REGEXMATCH(join("", "",$F445:$G445),I$1)=TRUE,""✓"",""✗"")"),"✗")</f>
        <v>✗</v>
      </c>
      <c r="J445" s="23" t="str">
        <f>IFERROR(__xludf.DUMMYFUNCTION("if(REGEXMATCH(join("", "",$F445:$G445),J$1)=TRUE,""✓"",""✗"")"),"✗")</f>
        <v>✗</v>
      </c>
      <c r="K445" s="23" t="str">
        <f>IFERROR(__xludf.DUMMYFUNCTION("if(REGEXMATCH(join("", "",$F445:$G445),K$1)=TRUE,""✓"",""✗"")"),"✗")</f>
        <v>✗</v>
      </c>
      <c r="L445" s="23" t="str">
        <f>IFERROR(__xludf.DUMMYFUNCTION("if(REGEXMATCH(join("", "",$F445:$G445),L$1)=TRUE,""✓"",""✗"")"),"✗")</f>
        <v>✗</v>
      </c>
      <c r="M445" s="23" t="str">
        <f>IFERROR(__xludf.DUMMYFUNCTION("if(REGEXMATCH(join("", "",$F445:$G445),M$1)=TRUE,""✓"",""✗"")"),"✗")</f>
        <v>✗</v>
      </c>
      <c r="N445" s="23" t="str">
        <f>IFERROR(__xludf.DUMMYFUNCTION("if(REGEXMATCH(join("", "",$F445:$G445),N$1)=TRUE,""✓"",""✗"")"),"✗")</f>
        <v>✗</v>
      </c>
      <c r="O445" s="23" t="str">
        <f>IFERROR(__xludf.DUMMYFUNCTION("if(REGEXMATCH(join("", "",$F445:$G445),O$1)=TRUE,""✓"",""✗"")"),"✗")</f>
        <v>✗</v>
      </c>
      <c r="P445" s="23" t="str">
        <f>IFERROR(__xludf.DUMMYFUNCTION("if(REGEXMATCH(join("", "",$F445:$G445),P$1)=TRUE,""✓"",""✗"")"),"✗")</f>
        <v>✗</v>
      </c>
      <c r="Q445" s="23" t="str">
        <f>IFERROR(__xludf.DUMMYFUNCTION("if(REGEXMATCH(join("", "",$F445:$G445),Q$1)=TRUE,""✓"",""✗"")"),"✗")</f>
        <v>✗</v>
      </c>
      <c r="R445" s="23" t="str">
        <f>IFERROR(__xludf.DUMMYFUNCTION("if(REGEXMATCH(join("", "",$F445:$G445),R$1)=TRUE,""✓"",""✗"")"),"✗")</f>
        <v>✗</v>
      </c>
      <c r="S445" s="23" t="str">
        <f>IFERROR(__xludf.DUMMYFUNCTION("if(REGEXMATCH(join("", "",$F445:$G445),S$1)=TRUE,""✓"",""✗"")"),"✗")</f>
        <v>✗</v>
      </c>
      <c r="T445" s="23" t="str">
        <f>IFERROR(__xludf.DUMMYFUNCTION("if(REGEXMATCH(join("", "",$F445:$G445),T$1)=TRUE,""✓"",""✗"")"),"✗")</f>
        <v>✗</v>
      </c>
      <c r="U445" s="33"/>
      <c r="V445" s="33"/>
      <c r="W445" s="33"/>
      <c r="X445" s="33"/>
      <c r="Y445" s="33"/>
      <c r="Z445" s="33"/>
      <c r="AA445" s="33"/>
      <c r="AB445" s="33"/>
      <c r="AC445" s="33"/>
    </row>
    <row r="446" hidden="1">
      <c r="A446" s="17" t="s">
        <v>302</v>
      </c>
      <c r="B446" s="33"/>
      <c r="C446" s="33"/>
      <c r="D446" s="33"/>
      <c r="E446" s="33"/>
      <c r="F446" s="33"/>
      <c r="G446" s="33"/>
      <c r="H446" s="23" t="str">
        <f>IFERROR(__xludf.DUMMYFUNCTION("if(REGEXMATCH(join("", "",$F446:$G446),H$1)=TRUE,""✓"",""✗"")"),"✗")</f>
        <v>✗</v>
      </c>
      <c r="I446" s="23" t="str">
        <f>IFERROR(__xludf.DUMMYFUNCTION("if(REGEXMATCH(join("", "",$F446:$G446),I$1)=TRUE,""✓"",""✗"")"),"✗")</f>
        <v>✗</v>
      </c>
      <c r="J446" s="23" t="str">
        <f>IFERROR(__xludf.DUMMYFUNCTION("if(REGEXMATCH(join("", "",$F446:$G446),J$1)=TRUE,""✓"",""✗"")"),"✗")</f>
        <v>✗</v>
      </c>
      <c r="K446" s="23" t="str">
        <f>IFERROR(__xludf.DUMMYFUNCTION("if(REGEXMATCH(join("", "",$F446:$G446),K$1)=TRUE,""✓"",""✗"")"),"✗")</f>
        <v>✗</v>
      </c>
      <c r="L446" s="23" t="str">
        <f>IFERROR(__xludf.DUMMYFUNCTION("if(REGEXMATCH(join("", "",$F446:$G446),L$1)=TRUE,""✓"",""✗"")"),"✗")</f>
        <v>✗</v>
      </c>
      <c r="M446" s="23" t="str">
        <f>IFERROR(__xludf.DUMMYFUNCTION("if(REGEXMATCH(join("", "",$F446:$G446),M$1)=TRUE,""✓"",""✗"")"),"✗")</f>
        <v>✗</v>
      </c>
      <c r="N446" s="23" t="str">
        <f>IFERROR(__xludf.DUMMYFUNCTION("if(REGEXMATCH(join("", "",$F446:$G446),N$1)=TRUE,""✓"",""✗"")"),"✗")</f>
        <v>✗</v>
      </c>
      <c r="O446" s="23" t="str">
        <f>IFERROR(__xludf.DUMMYFUNCTION("if(REGEXMATCH(join("", "",$F446:$G446),O$1)=TRUE,""✓"",""✗"")"),"✗")</f>
        <v>✗</v>
      </c>
      <c r="P446" s="23" t="str">
        <f>IFERROR(__xludf.DUMMYFUNCTION("if(REGEXMATCH(join("", "",$F446:$G446),P$1)=TRUE,""✓"",""✗"")"),"✗")</f>
        <v>✗</v>
      </c>
      <c r="Q446" s="23" t="str">
        <f>IFERROR(__xludf.DUMMYFUNCTION("if(REGEXMATCH(join("", "",$F446:$G446),Q$1)=TRUE,""✓"",""✗"")"),"✗")</f>
        <v>✗</v>
      </c>
      <c r="R446" s="23" t="str">
        <f>IFERROR(__xludf.DUMMYFUNCTION("if(REGEXMATCH(join("", "",$F446:$G446),R$1)=TRUE,""✓"",""✗"")"),"✗")</f>
        <v>✗</v>
      </c>
      <c r="S446" s="23" t="str">
        <f>IFERROR(__xludf.DUMMYFUNCTION("if(REGEXMATCH(join("", "",$F446:$G446),S$1)=TRUE,""✓"",""✗"")"),"✗")</f>
        <v>✗</v>
      </c>
      <c r="T446" s="23" t="str">
        <f>IFERROR(__xludf.DUMMYFUNCTION("if(REGEXMATCH(join("", "",$F446:$G446),T$1)=TRUE,""✓"",""✗"")"),"✗")</f>
        <v>✗</v>
      </c>
      <c r="U446" s="33"/>
      <c r="V446" s="33"/>
      <c r="W446" s="33"/>
      <c r="X446" s="33"/>
      <c r="Y446" s="33"/>
      <c r="Z446" s="33"/>
      <c r="AA446" s="33"/>
      <c r="AB446" s="33"/>
      <c r="AC446" s="33"/>
    </row>
    <row r="447" hidden="1">
      <c r="A447" s="17" t="s">
        <v>302</v>
      </c>
      <c r="B447" s="33"/>
      <c r="C447" s="33"/>
      <c r="D447" s="33"/>
      <c r="E447" s="33"/>
      <c r="F447" s="33"/>
      <c r="G447" s="33"/>
      <c r="H447" s="23" t="str">
        <f>IFERROR(__xludf.DUMMYFUNCTION("if(REGEXMATCH(join("", "",$F447:$G447),H$1)=TRUE,""✓"",""✗"")"),"✗")</f>
        <v>✗</v>
      </c>
      <c r="I447" s="23" t="str">
        <f>IFERROR(__xludf.DUMMYFUNCTION("if(REGEXMATCH(join("", "",$F447:$G447),I$1)=TRUE,""✓"",""✗"")"),"✗")</f>
        <v>✗</v>
      </c>
      <c r="J447" s="23" t="str">
        <f>IFERROR(__xludf.DUMMYFUNCTION("if(REGEXMATCH(join("", "",$F447:$G447),J$1)=TRUE,""✓"",""✗"")"),"✗")</f>
        <v>✗</v>
      </c>
      <c r="K447" s="23" t="str">
        <f>IFERROR(__xludf.DUMMYFUNCTION("if(REGEXMATCH(join("", "",$F447:$G447),K$1)=TRUE,""✓"",""✗"")"),"✗")</f>
        <v>✗</v>
      </c>
      <c r="L447" s="23" t="str">
        <f>IFERROR(__xludf.DUMMYFUNCTION("if(REGEXMATCH(join("", "",$F447:$G447),L$1)=TRUE,""✓"",""✗"")"),"✗")</f>
        <v>✗</v>
      </c>
      <c r="M447" s="23" t="str">
        <f>IFERROR(__xludf.DUMMYFUNCTION("if(REGEXMATCH(join("", "",$F447:$G447),M$1)=TRUE,""✓"",""✗"")"),"✗")</f>
        <v>✗</v>
      </c>
      <c r="N447" s="23" t="str">
        <f>IFERROR(__xludf.DUMMYFUNCTION("if(REGEXMATCH(join("", "",$F447:$G447),N$1)=TRUE,""✓"",""✗"")"),"✗")</f>
        <v>✗</v>
      </c>
      <c r="O447" s="23" t="str">
        <f>IFERROR(__xludf.DUMMYFUNCTION("if(REGEXMATCH(join("", "",$F447:$G447),O$1)=TRUE,""✓"",""✗"")"),"✗")</f>
        <v>✗</v>
      </c>
      <c r="P447" s="23" t="str">
        <f>IFERROR(__xludf.DUMMYFUNCTION("if(REGEXMATCH(join("", "",$F447:$G447),P$1)=TRUE,""✓"",""✗"")"),"✗")</f>
        <v>✗</v>
      </c>
      <c r="Q447" s="23" t="str">
        <f>IFERROR(__xludf.DUMMYFUNCTION("if(REGEXMATCH(join("", "",$F447:$G447),Q$1)=TRUE,""✓"",""✗"")"),"✗")</f>
        <v>✗</v>
      </c>
      <c r="R447" s="23" t="str">
        <f>IFERROR(__xludf.DUMMYFUNCTION("if(REGEXMATCH(join("", "",$F447:$G447),R$1)=TRUE,""✓"",""✗"")"),"✗")</f>
        <v>✗</v>
      </c>
      <c r="S447" s="23" t="str">
        <f>IFERROR(__xludf.DUMMYFUNCTION("if(REGEXMATCH(join("", "",$F447:$G447),S$1)=TRUE,""✓"",""✗"")"),"✗")</f>
        <v>✗</v>
      </c>
      <c r="T447" s="23" t="str">
        <f>IFERROR(__xludf.DUMMYFUNCTION("if(REGEXMATCH(join("", "",$F447:$G447),T$1)=TRUE,""✓"",""✗"")"),"✗")</f>
        <v>✗</v>
      </c>
      <c r="U447" s="33"/>
      <c r="V447" s="33"/>
      <c r="W447" s="33"/>
      <c r="X447" s="33"/>
      <c r="Y447" s="33"/>
      <c r="Z447" s="33"/>
      <c r="AA447" s="33"/>
      <c r="AB447" s="33"/>
      <c r="AC447" s="33"/>
    </row>
    <row r="448" hidden="1">
      <c r="A448" s="17" t="s">
        <v>302</v>
      </c>
      <c r="B448" s="33"/>
      <c r="C448" s="33"/>
      <c r="D448" s="33"/>
      <c r="E448" s="33"/>
      <c r="F448" s="33"/>
      <c r="G448" s="33"/>
      <c r="H448" s="23" t="str">
        <f>IFERROR(__xludf.DUMMYFUNCTION("if(REGEXMATCH(join("", "",$F448:$G448),H$1)=TRUE,""✓"",""✗"")"),"✗")</f>
        <v>✗</v>
      </c>
      <c r="I448" s="23" t="str">
        <f>IFERROR(__xludf.DUMMYFUNCTION("if(REGEXMATCH(join("", "",$F448:$G448),I$1)=TRUE,""✓"",""✗"")"),"✗")</f>
        <v>✗</v>
      </c>
      <c r="J448" s="23" t="str">
        <f>IFERROR(__xludf.DUMMYFUNCTION("if(REGEXMATCH(join("", "",$F448:$G448),J$1)=TRUE,""✓"",""✗"")"),"✗")</f>
        <v>✗</v>
      </c>
      <c r="K448" s="23" t="str">
        <f>IFERROR(__xludf.DUMMYFUNCTION("if(REGEXMATCH(join("", "",$F448:$G448),K$1)=TRUE,""✓"",""✗"")"),"✗")</f>
        <v>✗</v>
      </c>
      <c r="L448" s="23" t="str">
        <f>IFERROR(__xludf.DUMMYFUNCTION("if(REGEXMATCH(join("", "",$F448:$G448),L$1)=TRUE,""✓"",""✗"")"),"✗")</f>
        <v>✗</v>
      </c>
      <c r="M448" s="23" t="str">
        <f>IFERROR(__xludf.DUMMYFUNCTION("if(REGEXMATCH(join("", "",$F448:$G448),M$1)=TRUE,""✓"",""✗"")"),"✗")</f>
        <v>✗</v>
      </c>
      <c r="N448" s="23" t="str">
        <f>IFERROR(__xludf.DUMMYFUNCTION("if(REGEXMATCH(join("", "",$F448:$G448),N$1)=TRUE,""✓"",""✗"")"),"✗")</f>
        <v>✗</v>
      </c>
      <c r="O448" s="23" t="str">
        <f>IFERROR(__xludf.DUMMYFUNCTION("if(REGEXMATCH(join("", "",$F448:$G448),O$1)=TRUE,""✓"",""✗"")"),"✗")</f>
        <v>✗</v>
      </c>
      <c r="P448" s="23" t="str">
        <f>IFERROR(__xludf.DUMMYFUNCTION("if(REGEXMATCH(join("", "",$F448:$G448),P$1)=TRUE,""✓"",""✗"")"),"✗")</f>
        <v>✗</v>
      </c>
      <c r="Q448" s="23" t="str">
        <f>IFERROR(__xludf.DUMMYFUNCTION("if(REGEXMATCH(join("", "",$F448:$G448),Q$1)=TRUE,""✓"",""✗"")"),"✗")</f>
        <v>✗</v>
      </c>
      <c r="R448" s="23" t="str">
        <f>IFERROR(__xludf.DUMMYFUNCTION("if(REGEXMATCH(join("", "",$F448:$G448),R$1)=TRUE,""✓"",""✗"")"),"✗")</f>
        <v>✗</v>
      </c>
      <c r="S448" s="23" t="str">
        <f>IFERROR(__xludf.DUMMYFUNCTION("if(REGEXMATCH(join("", "",$F448:$G448),S$1)=TRUE,""✓"",""✗"")"),"✗")</f>
        <v>✗</v>
      </c>
      <c r="T448" s="23" t="str">
        <f>IFERROR(__xludf.DUMMYFUNCTION("if(REGEXMATCH(join("", "",$F448:$G448),T$1)=TRUE,""✓"",""✗"")"),"✗")</f>
        <v>✗</v>
      </c>
      <c r="U448" s="33"/>
      <c r="V448" s="33"/>
      <c r="W448" s="33"/>
      <c r="X448" s="33"/>
      <c r="Y448" s="33"/>
      <c r="Z448" s="33"/>
      <c r="AA448" s="33"/>
      <c r="AB448" s="33"/>
      <c r="AC448" s="33"/>
    </row>
    <row r="449" hidden="1">
      <c r="A449" s="17" t="s">
        <v>302</v>
      </c>
      <c r="B449" s="33"/>
      <c r="C449" s="33"/>
      <c r="D449" s="33"/>
      <c r="E449" s="33"/>
      <c r="F449" s="33"/>
      <c r="G449" s="33"/>
      <c r="H449" s="23" t="str">
        <f>IFERROR(__xludf.DUMMYFUNCTION("if(REGEXMATCH(join("", "",$F449:$G449),H$1)=TRUE,""✓"",""✗"")"),"✗")</f>
        <v>✗</v>
      </c>
      <c r="I449" s="23" t="str">
        <f>IFERROR(__xludf.DUMMYFUNCTION("if(REGEXMATCH(join("", "",$F449:$G449),I$1)=TRUE,""✓"",""✗"")"),"✗")</f>
        <v>✗</v>
      </c>
      <c r="J449" s="23" t="str">
        <f>IFERROR(__xludf.DUMMYFUNCTION("if(REGEXMATCH(join("", "",$F449:$G449),J$1)=TRUE,""✓"",""✗"")"),"✗")</f>
        <v>✗</v>
      </c>
      <c r="K449" s="23" t="str">
        <f>IFERROR(__xludf.DUMMYFUNCTION("if(REGEXMATCH(join("", "",$F449:$G449),K$1)=TRUE,""✓"",""✗"")"),"✗")</f>
        <v>✗</v>
      </c>
      <c r="L449" s="23" t="str">
        <f>IFERROR(__xludf.DUMMYFUNCTION("if(REGEXMATCH(join("", "",$F449:$G449),L$1)=TRUE,""✓"",""✗"")"),"✗")</f>
        <v>✗</v>
      </c>
      <c r="M449" s="23" t="str">
        <f>IFERROR(__xludf.DUMMYFUNCTION("if(REGEXMATCH(join("", "",$F449:$G449),M$1)=TRUE,""✓"",""✗"")"),"✗")</f>
        <v>✗</v>
      </c>
      <c r="N449" s="23" t="str">
        <f>IFERROR(__xludf.DUMMYFUNCTION("if(REGEXMATCH(join("", "",$F449:$G449),N$1)=TRUE,""✓"",""✗"")"),"✗")</f>
        <v>✗</v>
      </c>
      <c r="O449" s="23" t="str">
        <f>IFERROR(__xludf.DUMMYFUNCTION("if(REGEXMATCH(join("", "",$F449:$G449),O$1)=TRUE,""✓"",""✗"")"),"✗")</f>
        <v>✗</v>
      </c>
      <c r="P449" s="23" t="str">
        <f>IFERROR(__xludf.DUMMYFUNCTION("if(REGEXMATCH(join("", "",$F449:$G449),P$1)=TRUE,""✓"",""✗"")"),"✗")</f>
        <v>✗</v>
      </c>
      <c r="Q449" s="23" t="str">
        <f>IFERROR(__xludf.DUMMYFUNCTION("if(REGEXMATCH(join("", "",$F449:$G449),Q$1)=TRUE,""✓"",""✗"")"),"✗")</f>
        <v>✗</v>
      </c>
      <c r="R449" s="23" t="str">
        <f>IFERROR(__xludf.DUMMYFUNCTION("if(REGEXMATCH(join("", "",$F449:$G449),R$1)=TRUE,""✓"",""✗"")"),"✗")</f>
        <v>✗</v>
      </c>
      <c r="S449" s="23" t="str">
        <f>IFERROR(__xludf.DUMMYFUNCTION("if(REGEXMATCH(join("", "",$F449:$G449),S$1)=TRUE,""✓"",""✗"")"),"✗")</f>
        <v>✗</v>
      </c>
      <c r="T449" s="23" t="str">
        <f>IFERROR(__xludf.DUMMYFUNCTION("if(REGEXMATCH(join("", "",$F449:$G449),T$1)=TRUE,""✓"",""✗"")"),"✗")</f>
        <v>✗</v>
      </c>
      <c r="U449" s="33"/>
      <c r="V449" s="33"/>
      <c r="W449" s="33"/>
      <c r="X449" s="33"/>
      <c r="Y449" s="33"/>
      <c r="Z449" s="33"/>
      <c r="AA449" s="33"/>
      <c r="AB449" s="33"/>
      <c r="AC449" s="33"/>
    </row>
    <row r="450" hidden="1">
      <c r="A450" s="17" t="s">
        <v>302</v>
      </c>
      <c r="B450" s="33"/>
      <c r="C450" s="33"/>
      <c r="D450" s="33"/>
      <c r="E450" s="33"/>
      <c r="F450" s="33"/>
      <c r="G450" s="33"/>
      <c r="H450" s="23" t="str">
        <f>IFERROR(__xludf.DUMMYFUNCTION("if(REGEXMATCH(join("", "",$F450:$G450),H$1)=TRUE,""✓"",""✗"")"),"✗")</f>
        <v>✗</v>
      </c>
      <c r="I450" s="23" t="str">
        <f>IFERROR(__xludf.DUMMYFUNCTION("if(REGEXMATCH(join("", "",$F450:$G450),I$1)=TRUE,""✓"",""✗"")"),"✗")</f>
        <v>✗</v>
      </c>
      <c r="J450" s="23" t="str">
        <f>IFERROR(__xludf.DUMMYFUNCTION("if(REGEXMATCH(join("", "",$F450:$G450),J$1)=TRUE,""✓"",""✗"")"),"✗")</f>
        <v>✗</v>
      </c>
      <c r="K450" s="23" t="str">
        <f>IFERROR(__xludf.DUMMYFUNCTION("if(REGEXMATCH(join("", "",$F450:$G450),K$1)=TRUE,""✓"",""✗"")"),"✗")</f>
        <v>✗</v>
      </c>
      <c r="L450" s="23" t="str">
        <f>IFERROR(__xludf.DUMMYFUNCTION("if(REGEXMATCH(join("", "",$F450:$G450),L$1)=TRUE,""✓"",""✗"")"),"✗")</f>
        <v>✗</v>
      </c>
      <c r="M450" s="23" t="str">
        <f>IFERROR(__xludf.DUMMYFUNCTION("if(REGEXMATCH(join("", "",$F450:$G450),M$1)=TRUE,""✓"",""✗"")"),"✗")</f>
        <v>✗</v>
      </c>
      <c r="N450" s="23" t="str">
        <f>IFERROR(__xludf.DUMMYFUNCTION("if(REGEXMATCH(join("", "",$F450:$G450),N$1)=TRUE,""✓"",""✗"")"),"✗")</f>
        <v>✗</v>
      </c>
      <c r="O450" s="23" t="str">
        <f>IFERROR(__xludf.DUMMYFUNCTION("if(REGEXMATCH(join("", "",$F450:$G450),O$1)=TRUE,""✓"",""✗"")"),"✗")</f>
        <v>✗</v>
      </c>
      <c r="P450" s="23" t="str">
        <f>IFERROR(__xludf.DUMMYFUNCTION("if(REGEXMATCH(join("", "",$F450:$G450),P$1)=TRUE,""✓"",""✗"")"),"✗")</f>
        <v>✗</v>
      </c>
      <c r="Q450" s="23" t="str">
        <f>IFERROR(__xludf.DUMMYFUNCTION("if(REGEXMATCH(join("", "",$F450:$G450),Q$1)=TRUE,""✓"",""✗"")"),"✗")</f>
        <v>✗</v>
      </c>
      <c r="R450" s="23" t="str">
        <f>IFERROR(__xludf.DUMMYFUNCTION("if(REGEXMATCH(join("", "",$F450:$G450),R$1)=TRUE,""✓"",""✗"")"),"✗")</f>
        <v>✗</v>
      </c>
      <c r="S450" s="23" t="str">
        <f>IFERROR(__xludf.DUMMYFUNCTION("if(REGEXMATCH(join("", "",$F450:$G450),S$1)=TRUE,""✓"",""✗"")"),"✗")</f>
        <v>✗</v>
      </c>
      <c r="T450" s="23" t="str">
        <f>IFERROR(__xludf.DUMMYFUNCTION("if(REGEXMATCH(join("", "",$F450:$G450),T$1)=TRUE,""✓"",""✗"")"),"✗")</f>
        <v>✗</v>
      </c>
      <c r="U450" s="33"/>
      <c r="V450" s="33"/>
      <c r="W450" s="33"/>
      <c r="X450" s="33"/>
      <c r="Y450" s="33"/>
      <c r="Z450" s="33"/>
      <c r="AA450" s="33"/>
      <c r="AB450" s="33"/>
      <c r="AC450" s="33"/>
    </row>
    <row r="451" hidden="1">
      <c r="A451" s="17" t="s">
        <v>302</v>
      </c>
      <c r="B451" s="33"/>
      <c r="C451" s="33"/>
      <c r="D451" s="33"/>
      <c r="E451" s="33"/>
      <c r="F451" s="33"/>
      <c r="G451" s="33"/>
      <c r="H451" s="23" t="str">
        <f>IFERROR(__xludf.DUMMYFUNCTION("if(REGEXMATCH(join("", "",$F451:$G451),H$1)=TRUE,""✓"",""✗"")"),"✗")</f>
        <v>✗</v>
      </c>
      <c r="I451" s="23" t="str">
        <f>IFERROR(__xludf.DUMMYFUNCTION("if(REGEXMATCH(join("", "",$F451:$G451),I$1)=TRUE,""✓"",""✗"")"),"✗")</f>
        <v>✗</v>
      </c>
      <c r="J451" s="23" t="str">
        <f>IFERROR(__xludf.DUMMYFUNCTION("if(REGEXMATCH(join("", "",$F451:$G451),J$1)=TRUE,""✓"",""✗"")"),"✗")</f>
        <v>✗</v>
      </c>
      <c r="K451" s="23" t="str">
        <f>IFERROR(__xludf.DUMMYFUNCTION("if(REGEXMATCH(join("", "",$F451:$G451),K$1)=TRUE,""✓"",""✗"")"),"✗")</f>
        <v>✗</v>
      </c>
      <c r="L451" s="23" t="str">
        <f>IFERROR(__xludf.DUMMYFUNCTION("if(REGEXMATCH(join("", "",$F451:$G451),L$1)=TRUE,""✓"",""✗"")"),"✗")</f>
        <v>✗</v>
      </c>
      <c r="M451" s="23" t="str">
        <f>IFERROR(__xludf.DUMMYFUNCTION("if(REGEXMATCH(join("", "",$F451:$G451),M$1)=TRUE,""✓"",""✗"")"),"✗")</f>
        <v>✗</v>
      </c>
      <c r="N451" s="23" t="str">
        <f>IFERROR(__xludf.DUMMYFUNCTION("if(REGEXMATCH(join("", "",$F451:$G451),N$1)=TRUE,""✓"",""✗"")"),"✗")</f>
        <v>✗</v>
      </c>
      <c r="O451" s="23" t="str">
        <f>IFERROR(__xludf.DUMMYFUNCTION("if(REGEXMATCH(join("", "",$F451:$G451),O$1)=TRUE,""✓"",""✗"")"),"✗")</f>
        <v>✗</v>
      </c>
      <c r="P451" s="23" t="str">
        <f>IFERROR(__xludf.DUMMYFUNCTION("if(REGEXMATCH(join("", "",$F451:$G451),P$1)=TRUE,""✓"",""✗"")"),"✗")</f>
        <v>✗</v>
      </c>
      <c r="Q451" s="23" t="str">
        <f>IFERROR(__xludf.DUMMYFUNCTION("if(REGEXMATCH(join("", "",$F451:$G451),Q$1)=TRUE,""✓"",""✗"")"),"✗")</f>
        <v>✗</v>
      </c>
      <c r="R451" s="23" t="str">
        <f>IFERROR(__xludf.DUMMYFUNCTION("if(REGEXMATCH(join("", "",$F451:$G451),R$1)=TRUE,""✓"",""✗"")"),"✗")</f>
        <v>✗</v>
      </c>
      <c r="S451" s="23" t="str">
        <f>IFERROR(__xludf.DUMMYFUNCTION("if(REGEXMATCH(join("", "",$F451:$G451),S$1)=TRUE,""✓"",""✗"")"),"✗")</f>
        <v>✗</v>
      </c>
      <c r="T451" s="23" t="str">
        <f>IFERROR(__xludf.DUMMYFUNCTION("if(REGEXMATCH(join("", "",$F451:$G451),T$1)=TRUE,""✓"",""✗"")"),"✗")</f>
        <v>✗</v>
      </c>
      <c r="U451" s="33"/>
      <c r="V451" s="33"/>
      <c r="W451" s="33"/>
      <c r="X451" s="33"/>
      <c r="Y451" s="33"/>
      <c r="Z451" s="33"/>
      <c r="AA451" s="33"/>
      <c r="AB451" s="33"/>
      <c r="AC451" s="33"/>
    </row>
    <row r="452" hidden="1">
      <c r="A452" s="17" t="s">
        <v>302</v>
      </c>
      <c r="B452" s="33"/>
      <c r="C452" s="33"/>
      <c r="D452" s="33"/>
      <c r="E452" s="33"/>
      <c r="F452" s="33"/>
      <c r="G452" s="33"/>
      <c r="H452" s="23" t="str">
        <f>IFERROR(__xludf.DUMMYFUNCTION("if(REGEXMATCH(join("", "",$F452:$G452),H$1)=TRUE,""✓"",""✗"")"),"✗")</f>
        <v>✗</v>
      </c>
      <c r="I452" s="23" t="str">
        <f>IFERROR(__xludf.DUMMYFUNCTION("if(REGEXMATCH(join("", "",$F452:$G452),I$1)=TRUE,""✓"",""✗"")"),"✗")</f>
        <v>✗</v>
      </c>
      <c r="J452" s="23" t="str">
        <f>IFERROR(__xludf.DUMMYFUNCTION("if(REGEXMATCH(join("", "",$F452:$G452),J$1)=TRUE,""✓"",""✗"")"),"✗")</f>
        <v>✗</v>
      </c>
      <c r="K452" s="23" t="str">
        <f>IFERROR(__xludf.DUMMYFUNCTION("if(REGEXMATCH(join("", "",$F452:$G452),K$1)=TRUE,""✓"",""✗"")"),"✗")</f>
        <v>✗</v>
      </c>
      <c r="L452" s="23" t="str">
        <f>IFERROR(__xludf.DUMMYFUNCTION("if(REGEXMATCH(join("", "",$F452:$G452),L$1)=TRUE,""✓"",""✗"")"),"✗")</f>
        <v>✗</v>
      </c>
      <c r="M452" s="23" t="str">
        <f>IFERROR(__xludf.DUMMYFUNCTION("if(REGEXMATCH(join("", "",$F452:$G452),M$1)=TRUE,""✓"",""✗"")"),"✗")</f>
        <v>✗</v>
      </c>
      <c r="N452" s="23" t="str">
        <f>IFERROR(__xludf.DUMMYFUNCTION("if(REGEXMATCH(join("", "",$F452:$G452),N$1)=TRUE,""✓"",""✗"")"),"✗")</f>
        <v>✗</v>
      </c>
      <c r="O452" s="23" t="str">
        <f>IFERROR(__xludf.DUMMYFUNCTION("if(REGEXMATCH(join("", "",$F452:$G452),O$1)=TRUE,""✓"",""✗"")"),"✗")</f>
        <v>✗</v>
      </c>
      <c r="P452" s="23" t="str">
        <f>IFERROR(__xludf.DUMMYFUNCTION("if(REGEXMATCH(join("", "",$F452:$G452),P$1)=TRUE,""✓"",""✗"")"),"✗")</f>
        <v>✗</v>
      </c>
      <c r="Q452" s="23" t="str">
        <f>IFERROR(__xludf.DUMMYFUNCTION("if(REGEXMATCH(join("", "",$F452:$G452),Q$1)=TRUE,""✓"",""✗"")"),"✗")</f>
        <v>✗</v>
      </c>
      <c r="R452" s="23" t="str">
        <f>IFERROR(__xludf.DUMMYFUNCTION("if(REGEXMATCH(join("", "",$F452:$G452),R$1)=TRUE,""✓"",""✗"")"),"✗")</f>
        <v>✗</v>
      </c>
      <c r="S452" s="23" t="str">
        <f>IFERROR(__xludf.DUMMYFUNCTION("if(REGEXMATCH(join("", "",$F452:$G452),S$1)=TRUE,""✓"",""✗"")"),"✗")</f>
        <v>✗</v>
      </c>
      <c r="T452" s="23" t="str">
        <f>IFERROR(__xludf.DUMMYFUNCTION("if(REGEXMATCH(join("", "",$F452:$G452),T$1)=TRUE,""✓"",""✗"")"),"✗")</f>
        <v>✗</v>
      </c>
      <c r="U452" s="33"/>
      <c r="V452" s="33"/>
      <c r="W452" s="33"/>
      <c r="X452" s="33"/>
      <c r="Y452" s="33"/>
      <c r="Z452" s="33"/>
      <c r="AA452" s="33"/>
      <c r="AB452" s="33"/>
      <c r="AC452" s="33"/>
    </row>
    <row r="453" hidden="1">
      <c r="A453" s="17" t="s">
        <v>302</v>
      </c>
      <c r="B453" s="33"/>
      <c r="C453" s="33"/>
      <c r="D453" s="33"/>
      <c r="E453" s="33"/>
      <c r="F453" s="33"/>
      <c r="G453" s="33"/>
      <c r="H453" s="23" t="str">
        <f>IFERROR(__xludf.DUMMYFUNCTION("if(REGEXMATCH(join("", "",$F453:$G453),H$1)=TRUE,""✓"",""✗"")"),"✗")</f>
        <v>✗</v>
      </c>
      <c r="I453" s="23" t="str">
        <f>IFERROR(__xludf.DUMMYFUNCTION("if(REGEXMATCH(join("", "",$F453:$G453),I$1)=TRUE,""✓"",""✗"")"),"✗")</f>
        <v>✗</v>
      </c>
      <c r="J453" s="23" t="str">
        <f>IFERROR(__xludf.DUMMYFUNCTION("if(REGEXMATCH(join("", "",$F453:$G453),J$1)=TRUE,""✓"",""✗"")"),"✗")</f>
        <v>✗</v>
      </c>
      <c r="K453" s="23" t="str">
        <f>IFERROR(__xludf.DUMMYFUNCTION("if(REGEXMATCH(join("", "",$F453:$G453),K$1)=TRUE,""✓"",""✗"")"),"✗")</f>
        <v>✗</v>
      </c>
      <c r="L453" s="23" t="str">
        <f>IFERROR(__xludf.DUMMYFUNCTION("if(REGEXMATCH(join("", "",$F453:$G453),L$1)=TRUE,""✓"",""✗"")"),"✗")</f>
        <v>✗</v>
      </c>
      <c r="M453" s="23" t="str">
        <f>IFERROR(__xludf.DUMMYFUNCTION("if(REGEXMATCH(join("", "",$F453:$G453),M$1)=TRUE,""✓"",""✗"")"),"✗")</f>
        <v>✗</v>
      </c>
      <c r="N453" s="23" t="str">
        <f>IFERROR(__xludf.DUMMYFUNCTION("if(REGEXMATCH(join("", "",$F453:$G453),N$1)=TRUE,""✓"",""✗"")"),"✗")</f>
        <v>✗</v>
      </c>
      <c r="O453" s="23" t="str">
        <f>IFERROR(__xludf.DUMMYFUNCTION("if(REGEXMATCH(join("", "",$F453:$G453),O$1)=TRUE,""✓"",""✗"")"),"✗")</f>
        <v>✗</v>
      </c>
      <c r="P453" s="23" t="str">
        <f>IFERROR(__xludf.DUMMYFUNCTION("if(REGEXMATCH(join("", "",$F453:$G453),P$1)=TRUE,""✓"",""✗"")"),"✗")</f>
        <v>✗</v>
      </c>
      <c r="Q453" s="23" t="str">
        <f>IFERROR(__xludf.DUMMYFUNCTION("if(REGEXMATCH(join("", "",$F453:$G453),Q$1)=TRUE,""✓"",""✗"")"),"✗")</f>
        <v>✗</v>
      </c>
      <c r="R453" s="23" t="str">
        <f>IFERROR(__xludf.DUMMYFUNCTION("if(REGEXMATCH(join("", "",$F453:$G453),R$1)=TRUE,""✓"",""✗"")"),"✗")</f>
        <v>✗</v>
      </c>
      <c r="S453" s="23" t="str">
        <f>IFERROR(__xludf.DUMMYFUNCTION("if(REGEXMATCH(join("", "",$F453:$G453),S$1)=TRUE,""✓"",""✗"")"),"✗")</f>
        <v>✗</v>
      </c>
      <c r="T453" s="23" t="str">
        <f>IFERROR(__xludf.DUMMYFUNCTION("if(REGEXMATCH(join("", "",$F453:$G453),T$1)=TRUE,""✓"",""✗"")"),"✗")</f>
        <v>✗</v>
      </c>
      <c r="U453" s="33"/>
      <c r="V453" s="33"/>
      <c r="W453" s="33"/>
      <c r="X453" s="33"/>
      <c r="Y453" s="33"/>
      <c r="Z453" s="33"/>
      <c r="AA453" s="33"/>
      <c r="AB453" s="33"/>
      <c r="AC453" s="33"/>
    </row>
    <row r="454" hidden="1">
      <c r="A454" s="17" t="s">
        <v>302</v>
      </c>
      <c r="B454" s="33"/>
      <c r="C454" s="33"/>
      <c r="D454" s="33"/>
      <c r="E454" s="33"/>
      <c r="F454" s="33"/>
      <c r="G454" s="33"/>
      <c r="H454" s="23" t="str">
        <f>IFERROR(__xludf.DUMMYFUNCTION("if(REGEXMATCH(join("", "",$F454:$G454),H$1)=TRUE,""✓"",""✗"")"),"✗")</f>
        <v>✗</v>
      </c>
      <c r="I454" s="23" t="str">
        <f>IFERROR(__xludf.DUMMYFUNCTION("if(REGEXMATCH(join("", "",$F454:$G454),I$1)=TRUE,""✓"",""✗"")"),"✗")</f>
        <v>✗</v>
      </c>
      <c r="J454" s="23" t="str">
        <f>IFERROR(__xludf.DUMMYFUNCTION("if(REGEXMATCH(join("", "",$F454:$G454),J$1)=TRUE,""✓"",""✗"")"),"✗")</f>
        <v>✗</v>
      </c>
      <c r="K454" s="23" t="str">
        <f>IFERROR(__xludf.DUMMYFUNCTION("if(REGEXMATCH(join("", "",$F454:$G454),K$1)=TRUE,""✓"",""✗"")"),"✗")</f>
        <v>✗</v>
      </c>
      <c r="L454" s="23" t="str">
        <f>IFERROR(__xludf.DUMMYFUNCTION("if(REGEXMATCH(join("", "",$F454:$G454),L$1)=TRUE,""✓"",""✗"")"),"✗")</f>
        <v>✗</v>
      </c>
      <c r="M454" s="23" t="str">
        <f>IFERROR(__xludf.DUMMYFUNCTION("if(REGEXMATCH(join("", "",$F454:$G454),M$1)=TRUE,""✓"",""✗"")"),"✗")</f>
        <v>✗</v>
      </c>
      <c r="N454" s="23" t="str">
        <f>IFERROR(__xludf.DUMMYFUNCTION("if(REGEXMATCH(join("", "",$F454:$G454),N$1)=TRUE,""✓"",""✗"")"),"✗")</f>
        <v>✗</v>
      </c>
      <c r="O454" s="23" t="str">
        <f>IFERROR(__xludf.DUMMYFUNCTION("if(REGEXMATCH(join("", "",$F454:$G454),O$1)=TRUE,""✓"",""✗"")"),"✗")</f>
        <v>✗</v>
      </c>
      <c r="P454" s="23" t="str">
        <f>IFERROR(__xludf.DUMMYFUNCTION("if(REGEXMATCH(join("", "",$F454:$G454),P$1)=TRUE,""✓"",""✗"")"),"✗")</f>
        <v>✗</v>
      </c>
      <c r="Q454" s="23" t="str">
        <f>IFERROR(__xludf.DUMMYFUNCTION("if(REGEXMATCH(join("", "",$F454:$G454),Q$1)=TRUE,""✓"",""✗"")"),"✗")</f>
        <v>✗</v>
      </c>
      <c r="R454" s="23" t="str">
        <f>IFERROR(__xludf.DUMMYFUNCTION("if(REGEXMATCH(join("", "",$F454:$G454),R$1)=TRUE,""✓"",""✗"")"),"✗")</f>
        <v>✗</v>
      </c>
      <c r="S454" s="23" t="str">
        <f>IFERROR(__xludf.DUMMYFUNCTION("if(REGEXMATCH(join("", "",$F454:$G454),S$1)=TRUE,""✓"",""✗"")"),"✗")</f>
        <v>✗</v>
      </c>
      <c r="T454" s="23" t="str">
        <f>IFERROR(__xludf.DUMMYFUNCTION("if(REGEXMATCH(join("", "",$F454:$G454),T$1)=TRUE,""✓"",""✗"")"),"✗")</f>
        <v>✗</v>
      </c>
      <c r="U454" s="33"/>
      <c r="V454" s="33"/>
      <c r="W454" s="33"/>
      <c r="X454" s="33"/>
      <c r="Y454" s="33"/>
      <c r="Z454" s="33"/>
      <c r="AA454" s="33"/>
      <c r="AB454" s="33"/>
      <c r="AC454" s="33"/>
    </row>
    <row r="455" hidden="1">
      <c r="A455" s="17" t="s">
        <v>302</v>
      </c>
      <c r="B455" s="33"/>
      <c r="C455" s="33"/>
      <c r="D455" s="33"/>
      <c r="E455" s="33"/>
      <c r="F455" s="33"/>
      <c r="G455" s="33"/>
      <c r="H455" s="23" t="str">
        <f>IFERROR(__xludf.DUMMYFUNCTION("if(REGEXMATCH(join("", "",$F455:$G455),H$1)=TRUE,""✓"",""✗"")"),"✗")</f>
        <v>✗</v>
      </c>
      <c r="I455" s="23" t="str">
        <f>IFERROR(__xludf.DUMMYFUNCTION("if(REGEXMATCH(join("", "",$F455:$G455),I$1)=TRUE,""✓"",""✗"")"),"✗")</f>
        <v>✗</v>
      </c>
      <c r="J455" s="23" t="str">
        <f>IFERROR(__xludf.DUMMYFUNCTION("if(REGEXMATCH(join("", "",$F455:$G455),J$1)=TRUE,""✓"",""✗"")"),"✗")</f>
        <v>✗</v>
      </c>
      <c r="K455" s="23" t="str">
        <f>IFERROR(__xludf.DUMMYFUNCTION("if(REGEXMATCH(join("", "",$F455:$G455),K$1)=TRUE,""✓"",""✗"")"),"✗")</f>
        <v>✗</v>
      </c>
      <c r="L455" s="23" t="str">
        <f>IFERROR(__xludf.DUMMYFUNCTION("if(REGEXMATCH(join("", "",$F455:$G455),L$1)=TRUE,""✓"",""✗"")"),"✗")</f>
        <v>✗</v>
      </c>
      <c r="M455" s="23" t="str">
        <f>IFERROR(__xludf.DUMMYFUNCTION("if(REGEXMATCH(join("", "",$F455:$G455),M$1)=TRUE,""✓"",""✗"")"),"✗")</f>
        <v>✗</v>
      </c>
      <c r="N455" s="23" t="str">
        <f>IFERROR(__xludf.DUMMYFUNCTION("if(REGEXMATCH(join("", "",$F455:$G455),N$1)=TRUE,""✓"",""✗"")"),"✗")</f>
        <v>✗</v>
      </c>
      <c r="O455" s="23" t="str">
        <f>IFERROR(__xludf.DUMMYFUNCTION("if(REGEXMATCH(join("", "",$F455:$G455),O$1)=TRUE,""✓"",""✗"")"),"✗")</f>
        <v>✗</v>
      </c>
      <c r="P455" s="23" t="str">
        <f>IFERROR(__xludf.DUMMYFUNCTION("if(REGEXMATCH(join("", "",$F455:$G455),P$1)=TRUE,""✓"",""✗"")"),"✗")</f>
        <v>✗</v>
      </c>
      <c r="Q455" s="23" t="str">
        <f>IFERROR(__xludf.DUMMYFUNCTION("if(REGEXMATCH(join("", "",$F455:$G455),Q$1)=TRUE,""✓"",""✗"")"),"✗")</f>
        <v>✗</v>
      </c>
      <c r="R455" s="23" t="str">
        <f>IFERROR(__xludf.DUMMYFUNCTION("if(REGEXMATCH(join("", "",$F455:$G455),R$1)=TRUE,""✓"",""✗"")"),"✗")</f>
        <v>✗</v>
      </c>
      <c r="S455" s="23" t="str">
        <f>IFERROR(__xludf.DUMMYFUNCTION("if(REGEXMATCH(join("", "",$F455:$G455),S$1)=TRUE,""✓"",""✗"")"),"✗")</f>
        <v>✗</v>
      </c>
      <c r="T455" s="23" t="str">
        <f>IFERROR(__xludf.DUMMYFUNCTION("if(REGEXMATCH(join("", "",$F455:$G455),T$1)=TRUE,""✓"",""✗"")"),"✗")</f>
        <v>✗</v>
      </c>
      <c r="U455" s="33"/>
      <c r="V455" s="33"/>
      <c r="W455" s="33"/>
      <c r="X455" s="33"/>
      <c r="Y455" s="33"/>
      <c r="Z455" s="33"/>
      <c r="AA455" s="33"/>
      <c r="AB455" s="33"/>
      <c r="AC455" s="33"/>
    </row>
    <row r="456" hidden="1">
      <c r="A456" s="17" t="s">
        <v>302</v>
      </c>
      <c r="B456" s="33"/>
      <c r="C456" s="33"/>
      <c r="D456" s="33"/>
      <c r="E456" s="33"/>
      <c r="F456" s="33"/>
      <c r="G456" s="33"/>
      <c r="H456" s="23" t="str">
        <f>IFERROR(__xludf.DUMMYFUNCTION("if(REGEXMATCH(join("", "",$F456:$G456),H$1)=TRUE,""✓"",""✗"")"),"✗")</f>
        <v>✗</v>
      </c>
      <c r="I456" s="23" t="str">
        <f>IFERROR(__xludf.DUMMYFUNCTION("if(REGEXMATCH(join("", "",$F456:$G456),I$1)=TRUE,""✓"",""✗"")"),"✗")</f>
        <v>✗</v>
      </c>
      <c r="J456" s="23" t="str">
        <f>IFERROR(__xludf.DUMMYFUNCTION("if(REGEXMATCH(join("", "",$F456:$G456),J$1)=TRUE,""✓"",""✗"")"),"✗")</f>
        <v>✗</v>
      </c>
      <c r="K456" s="23" t="str">
        <f>IFERROR(__xludf.DUMMYFUNCTION("if(REGEXMATCH(join("", "",$F456:$G456),K$1)=TRUE,""✓"",""✗"")"),"✗")</f>
        <v>✗</v>
      </c>
      <c r="L456" s="23" t="str">
        <f>IFERROR(__xludf.DUMMYFUNCTION("if(REGEXMATCH(join("", "",$F456:$G456),L$1)=TRUE,""✓"",""✗"")"),"✗")</f>
        <v>✗</v>
      </c>
      <c r="M456" s="23" t="str">
        <f>IFERROR(__xludf.DUMMYFUNCTION("if(REGEXMATCH(join("", "",$F456:$G456),M$1)=TRUE,""✓"",""✗"")"),"✗")</f>
        <v>✗</v>
      </c>
      <c r="N456" s="23" t="str">
        <f>IFERROR(__xludf.DUMMYFUNCTION("if(REGEXMATCH(join("", "",$F456:$G456),N$1)=TRUE,""✓"",""✗"")"),"✗")</f>
        <v>✗</v>
      </c>
      <c r="O456" s="23" t="str">
        <f>IFERROR(__xludf.DUMMYFUNCTION("if(REGEXMATCH(join("", "",$F456:$G456),O$1)=TRUE,""✓"",""✗"")"),"✗")</f>
        <v>✗</v>
      </c>
      <c r="P456" s="23" t="str">
        <f>IFERROR(__xludf.DUMMYFUNCTION("if(REGEXMATCH(join("", "",$F456:$G456),P$1)=TRUE,""✓"",""✗"")"),"✗")</f>
        <v>✗</v>
      </c>
      <c r="Q456" s="23" t="str">
        <f>IFERROR(__xludf.DUMMYFUNCTION("if(REGEXMATCH(join("", "",$F456:$G456),Q$1)=TRUE,""✓"",""✗"")"),"✗")</f>
        <v>✗</v>
      </c>
      <c r="R456" s="23" t="str">
        <f>IFERROR(__xludf.DUMMYFUNCTION("if(REGEXMATCH(join("", "",$F456:$G456),R$1)=TRUE,""✓"",""✗"")"),"✗")</f>
        <v>✗</v>
      </c>
      <c r="S456" s="23" t="str">
        <f>IFERROR(__xludf.DUMMYFUNCTION("if(REGEXMATCH(join("", "",$F456:$G456),S$1)=TRUE,""✓"",""✗"")"),"✗")</f>
        <v>✗</v>
      </c>
      <c r="T456" s="23" t="str">
        <f>IFERROR(__xludf.DUMMYFUNCTION("if(REGEXMATCH(join("", "",$F456:$G456),T$1)=TRUE,""✓"",""✗"")"),"✗")</f>
        <v>✗</v>
      </c>
      <c r="U456" s="33"/>
      <c r="V456" s="33"/>
      <c r="W456" s="33"/>
      <c r="X456" s="33"/>
      <c r="Y456" s="33"/>
      <c r="Z456" s="33"/>
      <c r="AA456" s="33"/>
      <c r="AB456" s="33"/>
      <c r="AC456" s="33"/>
    </row>
    <row r="457" hidden="1">
      <c r="A457" s="17" t="s">
        <v>302</v>
      </c>
      <c r="B457" s="33"/>
      <c r="C457" s="33"/>
      <c r="D457" s="33"/>
      <c r="E457" s="33"/>
      <c r="F457" s="33"/>
      <c r="G457" s="33"/>
      <c r="H457" s="23" t="str">
        <f>IFERROR(__xludf.DUMMYFUNCTION("if(REGEXMATCH(join("", "",$F457:$G457),H$1)=TRUE,""✓"",""✗"")"),"✗")</f>
        <v>✗</v>
      </c>
      <c r="I457" s="23" t="str">
        <f>IFERROR(__xludf.DUMMYFUNCTION("if(REGEXMATCH(join("", "",$F457:$G457),I$1)=TRUE,""✓"",""✗"")"),"✗")</f>
        <v>✗</v>
      </c>
      <c r="J457" s="23" t="str">
        <f>IFERROR(__xludf.DUMMYFUNCTION("if(REGEXMATCH(join("", "",$F457:$G457),J$1)=TRUE,""✓"",""✗"")"),"✗")</f>
        <v>✗</v>
      </c>
      <c r="K457" s="23" t="str">
        <f>IFERROR(__xludf.DUMMYFUNCTION("if(REGEXMATCH(join("", "",$F457:$G457),K$1)=TRUE,""✓"",""✗"")"),"✗")</f>
        <v>✗</v>
      </c>
      <c r="L457" s="23" t="str">
        <f>IFERROR(__xludf.DUMMYFUNCTION("if(REGEXMATCH(join("", "",$F457:$G457),L$1)=TRUE,""✓"",""✗"")"),"✗")</f>
        <v>✗</v>
      </c>
      <c r="M457" s="23" t="str">
        <f>IFERROR(__xludf.DUMMYFUNCTION("if(REGEXMATCH(join("", "",$F457:$G457),M$1)=TRUE,""✓"",""✗"")"),"✗")</f>
        <v>✗</v>
      </c>
      <c r="N457" s="23" t="str">
        <f>IFERROR(__xludf.DUMMYFUNCTION("if(REGEXMATCH(join("", "",$F457:$G457),N$1)=TRUE,""✓"",""✗"")"),"✗")</f>
        <v>✗</v>
      </c>
      <c r="O457" s="23" t="str">
        <f>IFERROR(__xludf.DUMMYFUNCTION("if(REGEXMATCH(join("", "",$F457:$G457),O$1)=TRUE,""✓"",""✗"")"),"✗")</f>
        <v>✗</v>
      </c>
      <c r="P457" s="23" t="str">
        <f>IFERROR(__xludf.DUMMYFUNCTION("if(REGEXMATCH(join("", "",$F457:$G457),P$1)=TRUE,""✓"",""✗"")"),"✗")</f>
        <v>✗</v>
      </c>
      <c r="Q457" s="23" t="str">
        <f>IFERROR(__xludf.DUMMYFUNCTION("if(REGEXMATCH(join("", "",$F457:$G457),Q$1)=TRUE,""✓"",""✗"")"),"✗")</f>
        <v>✗</v>
      </c>
      <c r="R457" s="23" t="str">
        <f>IFERROR(__xludf.DUMMYFUNCTION("if(REGEXMATCH(join("", "",$F457:$G457),R$1)=TRUE,""✓"",""✗"")"),"✗")</f>
        <v>✗</v>
      </c>
      <c r="S457" s="23" t="str">
        <f>IFERROR(__xludf.DUMMYFUNCTION("if(REGEXMATCH(join("", "",$F457:$G457),S$1)=TRUE,""✓"",""✗"")"),"✗")</f>
        <v>✗</v>
      </c>
      <c r="T457" s="23" t="str">
        <f>IFERROR(__xludf.DUMMYFUNCTION("if(REGEXMATCH(join("", "",$F457:$G457),T$1)=TRUE,""✓"",""✗"")"),"✗")</f>
        <v>✗</v>
      </c>
      <c r="U457" s="33"/>
      <c r="V457" s="33"/>
      <c r="W457" s="33"/>
      <c r="X457" s="33"/>
      <c r="Y457" s="33"/>
      <c r="Z457" s="33"/>
      <c r="AA457" s="33"/>
      <c r="AB457" s="33"/>
      <c r="AC457" s="33"/>
    </row>
    <row r="458" hidden="1">
      <c r="A458" s="17" t="s">
        <v>302</v>
      </c>
      <c r="B458" s="33"/>
      <c r="C458" s="33"/>
      <c r="D458" s="33"/>
      <c r="E458" s="33"/>
      <c r="F458" s="33"/>
      <c r="G458" s="33"/>
      <c r="H458" s="23" t="str">
        <f>IFERROR(__xludf.DUMMYFUNCTION("if(REGEXMATCH(join("", "",$F458:$G458),H$1)=TRUE,""✓"",""✗"")"),"✗")</f>
        <v>✗</v>
      </c>
      <c r="I458" s="23" t="str">
        <f>IFERROR(__xludf.DUMMYFUNCTION("if(REGEXMATCH(join("", "",$F458:$G458),I$1)=TRUE,""✓"",""✗"")"),"✗")</f>
        <v>✗</v>
      </c>
      <c r="J458" s="23" t="str">
        <f>IFERROR(__xludf.DUMMYFUNCTION("if(REGEXMATCH(join("", "",$F458:$G458),J$1)=TRUE,""✓"",""✗"")"),"✗")</f>
        <v>✗</v>
      </c>
      <c r="K458" s="23" t="str">
        <f>IFERROR(__xludf.DUMMYFUNCTION("if(REGEXMATCH(join("", "",$F458:$G458),K$1)=TRUE,""✓"",""✗"")"),"✗")</f>
        <v>✗</v>
      </c>
      <c r="L458" s="23" t="str">
        <f>IFERROR(__xludf.DUMMYFUNCTION("if(REGEXMATCH(join("", "",$F458:$G458),L$1)=TRUE,""✓"",""✗"")"),"✗")</f>
        <v>✗</v>
      </c>
      <c r="M458" s="23" t="str">
        <f>IFERROR(__xludf.DUMMYFUNCTION("if(REGEXMATCH(join("", "",$F458:$G458),M$1)=TRUE,""✓"",""✗"")"),"✗")</f>
        <v>✗</v>
      </c>
      <c r="N458" s="23" t="str">
        <f>IFERROR(__xludf.DUMMYFUNCTION("if(REGEXMATCH(join("", "",$F458:$G458),N$1)=TRUE,""✓"",""✗"")"),"✗")</f>
        <v>✗</v>
      </c>
      <c r="O458" s="23" t="str">
        <f>IFERROR(__xludf.DUMMYFUNCTION("if(REGEXMATCH(join("", "",$F458:$G458),O$1)=TRUE,""✓"",""✗"")"),"✗")</f>
        <v>✗</v>
      </c>
      <c r="P458" s="23" t="str">
        <f>IFERROR(__xludf.DUMMYFUNCTION("if(REGEXMATCH(join("", "",$F458:$G458),P$1)=TRUE,""✓"",""✗"")"),"✗")</f>
        <v>✗</v>
      </c>
      <c r="Q458" s="23" t="str">
        <f>IFERROR(__xludf.DUMMYFUNCTION("if(REGEXMATCH(join("", "",$F458:$G458),Q$1)=TRUE,""✓"",""✗"")"),"✗")</f>
        <v>✗</v>
      </c>
      <c r="R458" s="23" t="str">
        <f>IFERROR(__xludf.DUMMYFUNCTION("if(REGEXMATCH(join("", "",$F458:$G458),R$1)=TRUE,""✓"",""✗"")"),"✗")</f>
        <v>✗</v>
      </c>
      <c r="S458" s="23" t="str">
        <f>IFERROR(__xludf.DUMMYFUNCTION("if(REGEXMATCH(join("", "",$F458:$G458),S$1)=TRUE,""✓"",""✗"")"),"✗")</f>
        <v>✗</v>
      </c>
      <c r="T458" s="23" t="str">
        <f>IFERROR(__xludf.DUMMYFUNCTION("if(REGEXMATCH(join("", "",$F458:$G458),T$1)=TRUE,""✓"",""✗"")"),"✗")</f>
        <v>✗</v>
      </c>
      <c r="U458" s="33"/>
      <c r="V458" s="33"/>
      <c r="W458" s="33"/>
      <c r="X458" s="33"/>
      <c r="Y458" s="33"/>
      <c r="Z458" s="33"/>
      <c r="AA458" s="33"/>
      <c r="AB458" s="33"/>
      <c r="AC458" s="33"/>
    </row>
    <row r="459" hidden="1">
      <c r="A459" s="17" t="s">
        <v>302</v>
      </c>
      <c r="B459" s="33"/>
      <c r="C459" s="33"/>
      <c r="D459" s="33"/>
      <c r="E459" s="33"/>
      <c r="F459" s="33"/>
      <c r="G459" s="33"/>
      <c r="H459" s="23" t="str">
        <f>IFERROR(__xludf.DUMMYFUNCTION("if(REGEXMATCH(join("", "",$F459:$G459),H$1)=TRUE,""✓"",""✗"")"),"✗")</f>
        <v>✗</v>
      </c>
      <c r="I459" s="23" t="str">
        <f>IFERROR(__xludf.DUMMYFUNCTION("if(REGEXMATCH(join("", "",$F459:$G459),I$1)=TRUE,""✓"",""✗"")"),"✗")</f>
        <v>✗</v>
      </c>
      <c r="J459" s="23" t="str">
        <f>IFERROR(__xludf.DUMMYFUNCTION("if(REGEXMATCH(join("", "",$F459:$G459),J$1)=TRUE,""✓"",""✗"")"),"✗")</f>
        <v>✗</v>
      </c>
      <c r="K459" s="23" t="str">
        <f>IFERROR(__xludf.DUMMYFUNCTION("if(REGEXMATCH(join("", "",$F459:$G459),K$1)=TRUE,""✓"",""✗"")"),"✗")</f>
        <v>✗</v>
      </c>
      <c r="L459" s="23" t="str">
        <f>IFERROR(__xludf.DUMMYFUNCTION("if(REGEXMATCH(join("", "",$F459:$G459),L$1)=TRUE,""✓"",""✗"")"),"✗")</f>
        <v>✗</v>
      </c>
      <c r="M459" s="23" t="str">
        <f>IFERROR(__xludf.DUMMYFUNCTION("if(REGEXMATCH(join("", "",$F459:$G459),M$1)=TRUE,""✓"",""✗"")"),"✗")</f>
        <v>✗</v>
      </c>
      <c r="N459" s="23" t="str">
        <f>IFERROR(__xludf.DUMMYFUNCTION("if(REGEXMATCH(join("", "",$F459:$G459),N$1)=TRUE,""✓"",""✗"")"),"✗")</f>
        <v>✗</v>
      </c>
      <c r="O459" s="23" t="str">
        <f>IFERROR(__xludf.DUMMYFUNCTION("if(REGEXMATCH(join("", "",$F459:$G459),O$1)=TRUE,""✓"",""✗"")"),"✗")</f>
        <v>✗</v>
      </c>
      <c r="P459" s="23" t="str">
        <f>IFERROR(__xludf.DUMMYFUNCTION("if(REGEXMATCH(join("", "",$F459:$G459),P$1)=TRUE,""✓"",""✗"")"),"✗")</f>
        <v>✗</v>
      </c>
      <c r="Q459" s="23" t="str">
        <f>IFERROR(__xludf.DUMMYFUNCTION("if(REGEXMATCH(join("", "",$F459:$G459),Q$1)=TRUE,""✓"",""✗"")"),"✗")</f>
        <v>✗</v>
      </c>
      <c r="R459" s="23" t="str">
        <f>IFERROR(__xludf.DUMMYFUNCTION("if(REGEXMATCH(join("", "",$F459:$G459),R$1)=TRUE,""✓"",""✗"")"),"✗")</f>
        <v>✗</v>
      </c>
      <c r="S459" s="23" t="str">
        <f>IFERROR(__xludf.DUMMYFUNCTION("if(REGEXMATCH(join("", "",$F459:$G459),S$1)=TRUE,""✓"",""✗"")"),"✗")</f>
        <v>✗</v>
      </c>
      <c r="T459" s="23" t="str">
        <f>IFERROR(__xludf.DUMMYFUNCTION("if(REGEXMATCH(join("", "",$F459:$G459),T$1)=TRUE,""✓"",""✗"")"),"✗")</f>
        <v>✗</v>
      </c>
      <c r="U459" s="33"/>
      <c r="V459" s="33"/>
      <c r="W459" s="33"/>
      <c r="X459" s="33"/>
      <c r="Y459" s="33"/>
      <c r="Z459" s="33"/>
      <c r="AA459" s="33"/>
      <c r="AB459" s="33"/>
      <c r="AC459" s="33"/>
    </row>
    <row r="460" hidden="1">
      <c r="A460" s="17" t="s">
        <v>302</v>
      </c>
      <c r="B460" s="33"/>
      <c r="C460" s="33"/>
      <c r="D460" s="33"/>
      <c r="E460" s="33"/>
      <c r="F460" s="33"/>
      <c r="G460" s="33"/>
      <c r="H460" s="23" t="str">
        <f>IFERROR(__xludf.DUMMYFUNCTION("if(REGEXMATCH(join("", "",$F460:$G460),H$1)=TRUE,""✓"",""✗"")"),"✗")</f>
        <v>✗</v>
      </c>
      <c r="I460" s="23" t="str">
        <f>IFERROR(__xludf.DUMMYFUNCTION("if(REGEXMATCH(join("", "",$F460:$G460),I$1)=TRUE,""✓"",""✗"")"),"✗")</f>
        <v>✗</v>
      </c>
      <c r="J460" s="23" t="str">
        <f>IFERROR(__xludf.DUMMYFUNCTION("if(REGEXMATCH(join("", "",$F460:$G460),J$1)=TRUE,""✓"",""✗"")"),"✗")</f>
        <v>✗</v>
      </c>
      <c r="K460" s="23" t="str">
        <f>IFERROR(__xludf.DUMMYFUNCTION("if(REGEXMATCH(join("", "",$F460:$G460),K$1)=TRUE,""✓"",""✗"")"),"✗")</f>
        <v>✗</v>
      </c>
      <c r="L460" s="23" t="str">
        <f>IFERROR(__xludf.DUMMYFUNCTION("if(REGEXMATCH(join("", "",$F460:$G460),L$1)=TRUE,""✓"",""✗"")"),"✗")</f>
        <v>✗</v>
      </c>
      <c r="M460" s="23" t="str">
        <f>IFERROR(__xludf.DUMMYFUNCTION("if(REGEXMATCH(join("", "",$F460:$G460),M$1)=TRUE,""✓"",""✗"")"),"✗")</f>
        <v>✗</v>
      </c>
      <c r="N460" s="23" t="str">
        <f>IFERROR(__xludf.DUMMYFUNCTION("if(REGEXMATCH(join("", "",$F460:$G460),N$1)=TRUE,""✓"",""✗"")"),"✗")</f>
        <v>✗</v>
      </c>
      <c r="O460" s="23" t="str">
        <f>IFERROR(__xludf.DUMMYFUNCTION("if(REGEXMATCH(join("", "",$F460:$G460),O$1)=TRUE,""✓"",""✗"")"),"✗")</f>
        <v>✗</v>
      </c>
      <c r="P460" s="23" t="str">
        <f>IFERROR(__xludf.DUMMYFUNCTION("if(REGEXMATCH(join("", "",$F460:$G460),P$1)=TRUE,""✓"",""✗"")"),"✗")</f>
        <v>✗</v>
      </c>
      <c r="Q460" s="23" t="str">
        <f>IFERROR(__xludf.DUMMYFUNCTION("if(REGEXMATCH(join("", "",$F460:$G460),Q$1)=TRUE,""✓"",""✗"")"),"✗")</f>
        <v>✗</v>
      </c>
      <c r="R460" s="23" t="str">
        <f>IFERROR(__xludf.DUMMYFUNCTION("if(REGEXMATCH(join("", "",$F460:$G460),R$1)=TRUE,""✓"",""✗"")"),"✗")</f>
        <v>✗</v>
      </c>
      <c r="S460" s="23" t="str">
        <f>IFERROR(__xludf.DUMMYFUNCTION("if(REGEXMATCH(join("", "",$F460:$G460),S$1)=TRUE,""✓"",""✗"")"),"✗")</f>
        <v>✗</v>
      </c>
      <c r="T460" s="23" t="str">
        <f>IFERROR(__xludf.DUMMYFUNCTION("if(REGEXMATCH(join("", "",$F460:$G460),T$1)=TRUE,""✓"",""✗"")"),"✗")</f>
        <v>✗</v>
      </c>
      <c r="U460" s="33"/>
      <c r="V460" s="33"/>
      <c r="W460" s="33"/>
      <c r="X460" s="33"/>
      <c r="Y460" s="33"/>
      <c r="Z460" s="33"/>
      <c r="AA460" s="33"/>
      <c r="AB460" s="33"/>
      <c r="AC460" s="33"/>
    </row>
    <row r="461" hidden="1">
      <c r="A461" s="17" t="s">
        <v>302</v>
      </c>
      <c r="B461" s="33"/>
      <c r="C461" s="33"/>
      <c r="D461" s="33"/>
      <c r="E461" s="33"/>
      <c r="F461" s="33"/>
      <c r="G461" s="33"/>
      <c r="H461" s="23" t="str">
        <f>IFERROR(__xludf.DUMMYFUNCTION("if(REGEXMATCH(join("", "",$F461:$G461),H$1)=TRUE,""✓"",""✗"")"),"✗")</f>
        <v>✗</v>
      </c>
      <c r="I461" s="23" t="str">
        <f>IFERROR(__xludf.DUMMYFUNCTION("if(REGEXMATCH(join("", "",$F461:$G461),I$1)=TRUE,""✓"",""✗"")"),"✗")</f>
        <v>✗</v>
      </c>
      <c r="J461" s="23" t="str">
        <f>IFERROR(__xludf.DUMMYFUNCTION("if(REGEXMATCH(join("", "",$F461:$G461),J$1)=TRUE,""✓"",""✗"")"),"✗")</f>
        <v>✗</v>
      </c>
      <c r="K461" s="23" t="str">
        <f>IFERROR(__xludf.DUMMYFUNCTION("if(REGEXMATCH(join("", "",$F461:$G461),K$1)=TRUE,""✓"",""✗"")"),"✗")</f>
        <v>✗</v>
      </c>
      <c r="L461" s="23" t="str">
        <f>IFERROR(__xludf.DUMMYFUNCTION("if(REGEXMATCH(join("", "",$F461:$G461),L$1)=TRUE,""✓"",""✗"")"),"✗")</f>
        <v>✗</v>
      </c>
      <c r="M461" s="23" t="str">
        <f>IFERROR(__xludf.DUMMYFUNCTION("if(REGEXMATCH(join("", "",$F461:$G461),M$1)=TRUE,""✓"",""✗"")"),"✗")</f>
        <v>✗</v>
      </c>
      <c r="N461" s="23" t="str">
        <f>IFERROR(__xludf.DUMMYFUNCTION("if(REGEXMATCH(join("", "",$F461:$G461),N$1)=TRUE,""✓"",""✗"")"),"✗")</f>
        <v>✗</v>
      </c>
      <c r="O461" s="23" t="str">
        <f>IFERROR(__xludf.DUMMYFUNCTION("if(REGEXMATCH(join("", "",$F461:$G461),O$1)=TRUE,""✓"",""✗"")"),"✗")</f>
        <v>✗</v>
      </c>
      <c r="P461" s="23" t="str">
        <f>IFERROR(__xludf.DUMMYFUNCTION("if(REGEXMATCH(join("", "",$F461:$G461),P$1)=TRUE,""✓"",""✗"")"),"✗")</f>
        <v>✗</v>
      </c>
      <c r="Q461" s="23" t="str">
        <f>IFERROR(__xludf.DUMMYFUNCTION("if(REGEXMATCH(join("", "",$F461:$G461),Q$1)=TRUE,""✓"",""✗"")"),"✗")</f>
        <v>✗</v>
      </c>
      <c r="R461" s="23" t="str">
        <f>IFERROR(__xludf.DUMMYFUNCTION("if(REGEXMATCH(join("", "",$F461:$G461),R$1)=TRUE,""✓"",""✗"")"),"✗")</f>
        <v>✗</v>
      </c>
      <c r="S461" s="23" t="str">
        <f>IFERROR(__xludf.DUMMYFUNCTION("if(REGEXMATCH(join("", "",$F461:$G461),S$1)=TRUE,""✓"",""✗"")"),"✗")</f>
        <v>✗</v>
      </c>
      <c r="T461" s="23" t="str">
        <f>IFERROR(__xludf.DUMMYFUNCTION("if(REGEXMATCH(join("", "",$F461:$G461),T$1)=TRUE,""✓"",""✗"")"),"✗")</f>
        <v>✗</v>
      </c>
      <c r="U461" s="33"/>
      <c r="V461" s="33"/>
      <c r="W461" s="33"/>
      <c r="X461" s="33"/>
      <c r="Y461" s="33"/>
      <c r="Z461" s="33"/>
      <c r="AA461" s="33"/>
      <c r="AB461" s="33"/>
      <c r="AC461" s="33"/>
    </row>
    <row r="462" hidden="1">
      <c r="A462" s="17" t="s">
        <v>302</v>
      </c>
      <c r="B462" s="33"/>
      <c r="C462" s="33"/>
      <c r="D462" s="33"/>
      <c r="E462" s="33"/>
      <c r="F462" s="33"/>
      <c r="G462" s="33"/>
      <c r="H462" s="23" t="str">
        <f>IFERROR(__xludf.DUMMYFUNCTION("if(REGEXMATCH(join("", "",$F462:$G462),H$1)=TRUE,""✓"",""✗"")"),"✗")</f>
        <v>✗</v>
      </c>
      <c r="I462" s="23" t="str">
        <f>IFERROR(__xludf.DUMMYFUNCTION("if(REGEXMATCH(join("", "",$F462:$G462),I$1)=TRUE,""✓"",""✗"")"),"✗")</f>
        <v>✗</v>
      </c>
      <c r="J462" s="23" t="str">
        <f>IFERROR(__xludf.DUMMYFUNCTION("if(REGEXMATCH(join("", "",$F462:$G462),J$1)=TRUE,""✓"",""✗"")"),"✗")</f>
        <v>✗</v>
      </c>
      <c r="K462" s="23" t="str">
        <f>IFERROR(__xludf.DUMMYFUNCTION("if(REGEXMATCH(join("", "",$F462:$G462),K$1)=TRUE,""✓"",""✗"")"),"✗")</f>
        <v>✗</v>
      </c>
      <c r="L462" s="23" t="str">
        <f>IFERROR(__xludf.DUMMYFUNCTION("if(REGEXMATCH(join("", "",$F462:$G462),L$1)=TRUE,""✓"",""✗"")"),"✗")</f>
        <v>✗</v>
      </c>
      <c r="M462" s="23" t="str">
        <f>IFERROR(__xludf.DUMMYFUNCTION("if(REGEXMATCH(join("", "",$F462:$G462),M$1)=TRUE,""✓"",""✗"")"),"✗")</f>
        <v>✗</v>
      </c>
      <c r="N462" s="23" t="str">
        <f>IFERROR(__xludf.DUMMYFUNCTION("if(REGEXMATCH(join("", "",$F462:$G462),N$1)=TRUE,""✓"",""✗"")"),"✗")</f>
        <v>✗</v>
      </c>
      <c r="O462" s="23" t="str">
        <f>IFERROR(__xludf.DUMMYFUNCTION("if(REGEXMATCH(join("", "",$F462:$G462),O$1)=TRUE,""✓"",""✗"")"),"✗")</f>
        <v>✗</v>
      </c>
      <c r="P462" s="23" t="str">
        <f>IFERROR(__xludf.DUMMYFUNCTION("if(REGEXMATCH(join("", "",$F462:$G462),P$1)=TRUE,""✓"",""✗"")"),"✗")</f>
        <v>✗</v>
      </c>
      <c r="Q462" s="23" t="str">
        <f>IFERROR(__xludf.DUMMYFUNCTION("if(REGEXMATCH(join("", "",$F462:$G462),Q$1)=TRUE,""✓"",""✗"")"),"✗")</f>
        <v>✗</v>
      </c>
      <c r="R462" s="23" t="str">
        <f>IFERROR(__xludf.DUMMYFUNCTION("if(REGEXMATCH(join("", "",$F462:$G462),R$1)=TRUE,""✓"",""✗"")"),"✗")</f>
        <v>✗</v>
      </c>
      <c r="S462" s="23" t="str">
        <f>IFERROR(__xludf.DUMMYFUNCTION("if(REGEXMATCH(join("", "",$F462:$G462),S$1)=TRUE,""✓"",""✗"")"),"✗")</f>
        <v>✗</v>
      </c>
      <c r="T462" s="23" t="str">
        <f>IFERROR(__xludf.DUMMYFUNCTION("if(REGEXMATCH(join("", "",$F462:$G462),T$1)=TRUE,""✓"",""✗"")"),"✗")</f>
        <v>✗</v>
      </c>
      <c r="U462" s="33"/>
      <c r="V462" s="33"/>
      <c r="W462" s="33"/>
      <c r="X462" s="33"/>
      <c r="Y462" s="33"/>
      <c r="Z462" s="33"/>
      <c r="AA462" s="33"/>
      <c r="AB462" s="33"/>
      <c r="AC462" s="33"/>
    </row>
    <row r="463" hidden="1">
      <c r="A463" s="17" t="s">
        <v>302</v>
      </c>
      <c r="B463" s="33"/>
      <c r="C463" s="33"/>
      <c r="D463" s="33"/>
      <c r="E463" s="33"/>
      <c r="F463" s="33"/>
      <c r="G463" s="33"/>
      <c r="H463" s="23" t="str">
        <f>IFERROR(__xludf.DUMMYFUNCTION("if(REGEXMATCH(join("", "",$F463:$G463),H$1)=TRUE,""✓"",""✗"")"),"✗")</f>
        <v>✗</v>
      </c>
      <c r="I463" s="23" t="str">
        <f>IFERROR(__xludf.DUMMYFUNCTION("if(REGEXMATCH(join("", "",$F463:$G463),I$1)=TRUE,""✓"",""✗"")"),"✗")</f>
        <v>✗</v>
      </c>
      <c r="J463" s="23" t="str">
        <f>IFERROR(__xludf.DUMMYFUNCTION("if(REGEXMATCH(join("", "",$F463:$G463),J$1)=TRUE,""✓"",""✗"")"),"✗")</f>
        <v>✗</v>
      </c>
      <c r="K463" s="23" t="str">
        <f>IFERROR(__xludf.DUMMYFUNCTION("if(REGEXMATCH(join("", "",$F463:$G463),K$1)=TRUE,""✓"",""✗"")"),"✗")</f>
        <v>✗</v>
      </c>
      <c r="L463" s="23" t="str">
        <f>IFERROR(__xludf.DUMMYFUNCTION("if(REGEXMATCH(join("", "",$F463:$G463),L$1)=TRUE,""✓"",""✗"")"),"✗")</f>
        <v>✗</v>
      </c>
      <c r="M463" s="23" t="str">
        <f>IFERROR(__xludf.DUMMYFUNCTION("if(REGEXMATCH(join("", "",$F463:$G463),M$1)=TRUE,""✓"",""✗"")"),"✗")</f>
        <v>✗</v>
      </c>
      <c r="N463" s="23" t="str">
        <f>IFERROR(__xludf.DUMMYFUNCTION("if(REGEXMATCH(join("", "",$F463:$G463),N$1)=TRUE,""✓"",""✗"")"),"✗")</f>
        <v>✗</v>
      </c>
      <c r="O463" s="23" t="str">
        <f>IFERROR(__xludf.DUMMYFUNCTION("if(REGEXMATCH(join("", "",$F463:$G463),O$1)=TRUE,""✓"",""✗"")"),"✗")</f>
        <v>✗</v>
      </c>
      <c r="P463" s="23" t="str">
        <f>IFERROR(__xludf.DUMMYFUNCTION("if(REGEXMATCH(join("", "",$F463:$G463),P$1)=TRUE,""✓"",""✗"")"),"✗")</f>
        <v>✗</v>
      </c>
      <c r="Q463" s="23" t="str">
        <f>IFERROR(__xludf.DUMMYFUNCTION("if(REGEXMATCH(join("", "",$F463:$G463),Q$1)=TRUE,""✓"",""✗"")"),"✗")</f>
        <v>✗</v>
      </c>
      <c r="R463" s="23" t="str">
        <f>IFERROR(__xludf.DUMMYFUNCTION("if(REGEXMATCH(join("", "",$F463:$G463),R$1)=TRUE,""✓"",""✗"")"),"✗")</f>
        <v>✗</v>
      </c>
      <c r="S463" s="23" t="str">
        <f>IFERROR(__xludf.DUMMYFUNCTION("if(REGEXMATCH(join("", "",$F463:$G463),S$1)=TRUE,""✓"",""✗"")"),"✗")</f>
        <v>✗</v>
      </c>
      <c r="T463" s="23" t="str">
        <f>IFERROR(__xludf.DUMMYFUNCTION("if(REGEXMATCH(join("", "",$F463:$G463),T$1)=TRUE,""✓"",""✗"")"),"✗")</f>
        <v>✗</v>
      </c>
      <c r="U463" s="33"/>
      <c r="V463" s="33"/>
      <c r="W463" s="33"/>
      <c r="X463" s="33"/>
      <c r="Y463" s="33"/>
      <c r="Z463" s="33"/>
      <c r="AA463" s="33"/>
      <c r="AB463" s="33"/>
      <c r="AC463" s="33"/>
    </row>
    <row r="464" hidden="1">
      <c r="A464" s="17" t="s">
        <v>302</v>
      </c>
      <c r="B464" s="33"/>
      <c r="C464" s="33"/>
      <c r="D464" s="33"/>
      <c r="E464" s="33"/>
      <c r="F464" s="33"/>
      <c r="G464" s="33"/>
      <c r="H464" s="23" t="str">
        <f>IFERROR(__xludf.DUMMYFUNCTION("if(REGEXMATCH(join("", "",$F464:$G464),H$1)=TRUE,""✓"",""✗"")"),"✗")</f>
        <v>✗</v>
      </c>
      <c r="I464" s="23" t="str">
        <f>IFERROR(__xludf.DUMMYFUNCTION("if(REGEXMATCH(join("", "",$F464:$G464),I$1)=TRUE,""✓"",""✗"")"),"✗")</f>
        <v>✗</v>
      </c>
      <c r="J464" s="23" t="str">
        <f>IFERROR(__xludf.DUMMYFUNCTION("if(REGEXMATCH(join("", "",$F464:$G464),J$1)=TRUE,""✓"",""✗"")"),"✗")</f>
        <v>✗</v>
      </c>
      <c r="K464" s="23" t="str">
        <f>IFERROR(__xludf.DUMMYFUNCTION("if(REGEXMATCH(join("", "",$F464:$G464),K$1)=TRUE,""✓"",""✗"")"),"✗")</f>
        <v>✗</v>
      </c>
      <c r="L464" s="23" t="str">
        <f>IFERROR(__xludf.DUMMYFUNCTION("if(REGEXMATCH(join("", "",$F464:$G464),L$1)=TRUE,""✓"",""✗"")"),"✗")</f>
        <v>✗</v>
      </c>
      <c r="M464" s="23" t="str">
        <f>IFERROR(__xludf.DUMMYFUNCTION("if(REGEXMATCH(join("", "",$F464:$G464),M$1)=TRUE,""✓"",""✗"")"),"✗")</f>
        <v>✗</v>
      </c>
      <c r="N464" s="23" t="str">
        <f>IFERROR(__xludf.DUMMYFUNCTION("if(REGEXMATCH(join("", "",$F464:$G464),N$1)=TRUE,""✓"",""✗"")"),"✗")</f>
        <v>✗</v>
      </c>
      <c r="O464" s="23" t="str">
        <f>IFERROR(__xludf.DUMMYFUNCTION("if(REGEXMATCH(join("", "",$F464:$G464),O$1)=TRUE,""✓"",""✗"")"),"✗")</f>
        <v>✗</v>
      </c>
      <c r="P464" s="23" t="str">
        <f>IFERROR(__xludf.DUMMYFUNCTION("if(REGEXMATCH(join("", "",$F464:$G464),P$1)=TRUE,""✓"",""✗"")"),"✗")</f>
        <v>✗</v>
      </c>
      <c r="Q464" s="23" t="str">
        <f>IFERROR(__xludf.DUMMYFUNCTION("if(REGEXMATCH(join("", "",$F464:$G464),Q$1)=TRUE,""✓"",""✗"")"),"✗")</f>
        <v>✗</v>
      </c>
      <c r="R464" s="23" t="str">
        <f>IFERROR(__xludf.DUMMYFUNCTION("if(REGEXMATCH(join("", "",$F464:$G464),R$1)=TRUE,""✓"",""✗"")"),"✗")</f>
        <v>✗</v>
      </c>
      <c r="S464" s="23" t="str">
        <f>IFERROR(__xludf.DUMMYFUNCTION("if(REGEXMATCH(join("", "",$F464:$G464),S$1)=TRUE,""✓"",""✗"")"),"✗")</f>
        <v>✗</v>
      </c>
      <c r="T464" s="23" t="str">
        <f>IFERROR(__xludf.DUMMYFUNCTION("if(REGEXMATCH(join("", "",$F464:$G464),T$1)=TRUE,""✓"",""✗"")"),"✗")</f>
        <v>✗</v>
      </c>
      <c r="U464" s="33"/>
      <c r="V464" s="33"/>
      <c r="W464" s="33"/>
      <c r="X464" s="33"/>
      <c r="Y464" s="33"/>
      <c r="Z464" s="33"/>
      <c r="AA464" s="33"/>
      <c r="AB464" s="33"/>
      <c r="AC464" s="33"/>
    </row>
    <row r="465" hidden="1">
      <c r="A465" s="17" t="s">
        <v>302</v>
      </c>
      <c r="B465" s="33"/>
      <c r="C465" s="33"/>
      <c r="D465" s="33"/>
      <c r="E465" s="33"/>
      <c r="F465" s="33"/>
      <c r="G465" s="33"/>
      <c r="H465" s="23" t="str">
        <f>IFERROR(__xludf.DUMMYFUNCTION("if(REGEXMATCH(join("", "",$F465:$G465),H$1)=TRUE,""✓"",""✗"")"),"✗")</f>
        <v>✗</v>
      </c>
      <c r="I465" s="23" t="str">
        <f>IFERROR(__xludf.DUMMYFUNCTION("if(REGEXMATCH(join("", "",$F465:$G465),I$1)=TRUE,""✓"",""✗"")"),"✗")</f>
        <v>✗</v>
      </c>
      <c r="J465" s="23" t="str">
        <f>IFERROR(__xludf.DUMMYFUNCTION("if(REGEXMATCH(join("", "",$F465:$G465),J$1)=TRUE,""✓"",""✗"")"),"✗")</f>
        <v>✗</v>
      </c>
      <c r="K465" s="23" t="str">
        <f>IFERROR(__xludf.DUMMYFUNCTION("if(REGEXMATCH(join("", "",$F465:$G465),K$1)=TRUE,""✓"",""✗"")"),"✗")</f>
        <v>✗</v>
      </c>
      <c r="L465" s="23" t="str">
        <f>IFERROR(__xludf.DUMMYFUNCTION("if(REGEXMATCH(join("", "",$F465:$G465),L$1)=TRUE,""✓"",""✗"")"),"✗")</f>
        <v>✗</v>
      </c>
      <c r="M465" s="23" t="str">
        <f>IFERROR(__xludf.DUMMYFUNCTION("if(REGEXMATCH(join("", "",$F465:$G465),M$1)=TRUE,""✓"",""✗"")"),"✗")</f>
        <v>✗</v>
      </c>
      <c r="N465" s="23" t="str">
        <f>IFERROR(__xludf.DUMMYFUNCTION("if(REGEXMATCH(join("", "",$F465:$G465),N$1)=TRUE,""✓"",""✗"")"),"✗")</f>
        <v>✗</v>
      </c>
      <c r="O465" s="23" t="str">
        <f>IFERROR(__xludf.DUMMYFUNCTION("if(REGEXMATCH(join("", "",$F465:$G465),O$1)=TRUE,""✓"",""✗"")"),"✗")</f>
        <v>✗</v>
      </c>
      <c r="P465" s="23" t="str">
        <f>IFERROR(__xludf.DUMMYFUNCTION("if(REGEXMATCH(join("", "",$F465:$G465),P$1)=TRUE,""✓"",""✗"")"),"✗")</f>
        <v>✗</v>
      </c>
      <c r="Q465" s="23" t="str">
        <f>IFERROR(__xludf.DUMMYFUNCTION("if(REGEXMATCH(join("", "",$F465:$G465),Q$1)=TRUE,""✓"",""✗"")"),"✗")</f>
        <v>✗</v>
      </c>
      <c r="R465" s="23" t="str">
        <f>IFERROR(__xludf.DUMMYFUNCTION("if(REGEXMATCH(join("", "",$F465:$G465),R$1)=TRUE,""✓"",""✗"")"),"✗")</f>
        <v>✗</v>
      </c>
      <c r="S465" s="23" t="str">
        <f>IFERROR(__xludf.DUMMYFUNCTION("if(REGEXMATCH(join("", "",$F465:$G465),S$1)=TRUE,""✓"",""✗"")"),"✗")</f>
        <v>✗</v>
      </c>
      <c r="T465" s="23" t="str">
        <f>IFERROR(__xludf.DUMMYFUNCTION("if(REGEXMATCH(join("", "",$F465:$G465),T$1)=TRUE,""✓"",""✗"")"),"✗")</f>
        <v>✗</v>
      </c>
      <c r="U465" s="33"/>
      <c r="V465" s="33"/>
      <c r="W465" s="33"/>
      <c r="X465" s="33"/>
      <c r="Y465" s="33"/>
      <c r="Z465" s="33"/>
      <c r="AA465" s="33"/>
      <c r="AB465" s="33"/>
      <c r="AC465" s="33"/>
    </row>
    <row r="466" hidden="1">
      <c r="A466" s="17" t="s">
        <v>302</v>
      </c>
      <c r="B466" s="33"/>
      <c r="C466" s="33"/>
      <c r="D466" s="33"/>
      <c r="E466" s="33"/>
      <c r="F466" s="33"/>
      <c r="G466" s="33"/>
      <c r="H466" s="23" t="str">
        <f>IFERROR(__xludf.DUMMYFUNCTION("if(REGEXMATCH(join("", "",$F466:$G466),H$1)=TRUE,""✓"",""✗"")"),"✗")</f>
        <v>✗</v>
      </c>
      <c r="I466" s="23" t="str">
        <f>IFERROR(__xludf.DUMMYFUNCTION("if(REGEXMATCH(join("", "",$F466:$G466),I$1)=TRUE,""✓"",""✗"")"),"✗")</f>
        <v>✗</v>
      </c>
      <c r="J466" s="23" t="str">
        <f>IFERROR(__xludf.DUMMYFUNCTION("if(REGEXMATCH(join("", "",$F466:$G466),J$1)=TRUE,""✓"",""✗"")"),"✗")</f>
        <v>✗</v>
      </c>
      <c r="K466" s="23" t="str">
        <f>IFERROR(__xludf.DUMMYFUNCTION("if(REGEXMATCH(join("", "",$F466:$G466),K$1)=TRUE,""✓"",""✗"")"),"✗")</f>
        <v>✗</v>
      </c>
      <c r="L466" s="23" t="str">
        <f>IFERROR(__xludf.DUMMYFUNCTION("if(REGEXMATCH(join("", "",$F466:$G466),L$1)=TRUE,""✓"",""✗"")"),"✗")</f>
        <v>✗</v>
      </c>
      <c r="M466" s="23" t="str">
        <f>IFERROR(__xludf.DUMMYFUNCTION("if(REGEXMATCH(join("", "",$F466:$G466),M$1)=TRUE,""✓"",""✗"")"),"✗")</f>
        <v>✗</v>
      </c>
      <c r="N466" s="23" t="str">
        <f>IFERROR(__xludf.DUMMYFUNCTION("if(REGEXMATCH(join("", "",$F466:$G466),N$1)=TRUE,""✓"",""✗"")"),"✗")</f>
        <v>✗</v>
      </c>
      <c r="O466" s="23" t="str">
        <f>IFERROR(__xludf.DUMMYFUNCTION("if(REGEXMATCH(join("", "",$F466:$G466),O$1)=TRUE,""✓"",""✗"")"),"✗")</f>
        <v>✗</v>
      </c>
      <c r="P466" s="23" t="str">
        <f>IFERROR(__xludf.DUMMYFUNCTION("if(REGEXMATCH(join("", "",$F466:$G466),P$1)=TRUE,""✓"",""✗"")"),"✗")</f>
        <v>✗</v>
      </c>
      <c r="Q466" s="23" t="str">
        <f>IFERROR(__xludf.DUMMYFUNCTION("if(REGEXMATCH(join("", "",$F466:$G466),Q$1)=TRUE,""✓"",""✗"")"),"✗")</f>
        <v>✗</v>
      </c>
      <c r="R466" s="23" t="str">
        <f>IFERROR(__xludf.DUMMYFUNCTION("if(REGEXMATCH(join("", "",$F466:$G466),R$1)=TRUE,""✓"",""✗"")"),"✗")</f>
        <v>✗</v>
      </c>
      <c r="S466" s="23" t="str">
        <f>IFERROR(__xludf.DUMMYFUNCTION("if(REGEXMATCH(join("", "",$F466:$G466),S$1)=TRUE,""✓"",""✗"")"),"✗")</f>
        <v>✗</v>
      </c>
      <c r="T466" s="23" t="str">
        <f>IFERROR(__xludf.DUMMYFUNCTION("if(REGEXMATCH(join("", "",$F466:$G466),T$1)=TRUE,""✓"",""✗"")"),"✗")</f>
        <v>✗</v>
      </c>
      <c r="U466" s="33"/>
      <c r="V466" s="33"/>
      <c r="W466" s="33"/>
      <c r="X466" s="33"/>
      <c r="Y466" s="33"/>
      <c r="Z466" s="33"/>
      <c r="AA466" s="33"/>
      <c r="AB466" s="33"/>
      <c r="AC466" s="33"/>
    </row>
    <row r="467" hidden="1">
      <c r="A467" s="17" t="s">
        <v>302</v>
      </c>
      <c r="B467" s="33"/>
      <c r="C467" s="33"/>
      <c r="D467" s="33"/>
      <c r="E467" s="33"/>
      <c r="F467" s="33"/>
      <c r="G467" s="33"/>
      <c r="H467" s="23" t="str">
        <f>IFERROR(__xludf.DUMMYFUNCTION("if(REGEXMATCH(join("", "",$F467:$G467),H$1)=TRUE,""✓"",""✗"")"),"✗")</f>
        <v>✗</v>
      </c>
      <c r="I467" s="23" t="str">
        <f>IFERROR(__xludf.DUMMYFUNCTION("if(REGEXMATCH(join("", "",$F467:$G467),I$1)=TRUE,""✓"",""✗"")"),"✗")</f>
        <v>✗</v>
      </c>
      <c r="J467" s="23" t="str">
        <f>IFERROR(__xludf.DUMMYFUNCTION("if(REGEXMATCH(join("", "",$F467:$G467),J$1)=TRUE,""✓"",""✗"")"),"✗")</f>
        <v>✗</v>
      </c>
      <c r="K467" s="23" t="str">
        <f>IFERROR(__xludf.DUMMYFUNCTION("if(REGEXMATCH(join("", "",$F467:$G467),K$1)=TRUE,""✓"",""✗"")"),"✗")</f>
        <v>✗</v>
      </c>
      <c r="L467" s="23" t="str">
        <f>IFERROR(__xludf.DUMMYFUNCTION("if(REGEXMATCH(join("", "",$F467:$G467),L$1)=TRUE,""✓"",""✗"")"),"✗")</f>
        <v>✗</v>
      </c>
      <c r="M467" s="23" t="str">
        <f>IFERROR(__xludf.DUMMYFUNCTION("if(REGEXMATCH(join("", "",$F467:$G467),M$1)=TRUE,""✓"",""✗"")"),"✗")</f>
        <v>✗</v>
      </c>
      <c r="N467" s="23" t="str">
        <f>IFERROR(__xludf.DUMMYFUNCTION("if(REGEXMATCH(join("", "",$F467:$G467),N$1)=TRUE,""✓"",""✗"")"),"✗")</f>
        <v>✗</v>
      </c>
      <c r="O467" s="23" t="str">
        <f>IFERROR(__xludf.DUMMYFUNCTION("if(REGEXMATCH(join("", "",$F467:$G467),O$1)=TRUE,""✓"",""✗"")"),"✗")</f>
        <v>✗</v>
      </c>
      <c r="P467" s="23" t="str">
        <f>IFERROR(__xludf.DUMMYFUNCTION("if(REGEXMATCH(join("", "",$F467:$G467),P$1)=TRUE,""✓"",""✗"")"),"✗")</f>
        <v>✗</v>
      </c>
      <c r="Q467" s="23" t="str">
        <f>IFERROR(__xludf.DUMMYFUNCTION("if(REGEXMATCH(join("", "",$F467:$G467),Q$1)=TRUE,""✓"",""✗"")"),"✗")</f>
        <v>✗</v>
      </c>
      <c r="R467" s="23" t="str">
        <f>IFERROR(__xludf.DUMMYFUNCTION("if(REGEXMATCH(join("", "",$F467:$G467),R$1)=TRUE,""✓"",""✗"")"),"✗")</f>
        <v>✗</v>
      </c>
      <c r="S467" s="23" t="str">
        <f>IFERROR(__xludf.DUMMYFUNCTION("if(REGEXMATCH(join("", "",$F467:$G467),S$1)=TRUE,""✓"",""✗"")"),"✗")</f>
        <v>✗</v>
      </c>
      <c r="T467" s="23" t="str">
        <f>IFERROR(__xludf.DUMMYFUNCTION("if(REGEXMATCH(join("", "",$F467:$G467),T$1)=TRUE,""✓"",""✗"")"),"✗")</f>
        <v>✗</v>
      </c>
      <c r="U467" s="33"/>
      <c r="V467" s="33"/>
      <c r="W467" s="33"/>
      <c r="X467" s="33"/>
      <c r="Y467" s="33"/>
      <c r="Z467" s="33"/>
      <c r="AA467" s="33"/>
      <c r="AB467" s="33"/>
      <c r="AC467" s="33"/>
    </row>
    <row r="468" hidden="1">
      <c r="A468" s="17" t="s">
        <v>302</v>
      </c>
      <c r="B468" s="33"/>
      <c r="C468" s="33"/>
      <c r="D468" s="33"/>
      <c r="E468" s="33"/>
      <c r="F468" s="33"/>
      <c r="G468" s="33"/>
      <c r="H468" s="23" t="str">
        <f>IFERROR(__xludf.DUMMYFUNCTION("if(REGEXMATCH(join("", "",$F468:$G468),H$1)=TRUE,""✓"",""✗"")"),"✗")</f>
        <v>✗</v>
      </c>
      <c r="I468" s="23" t="str">
        <f>IFERROR(__xludf.DUMMYFUNCTION("if(REGEXMATCH(join("", "",$F468:$G468),I$1)=TRUE,""✓"",""✗"")"),"✗")</f>
        <v>✗</v>
      </c>
      <c r="J468" s="23" t="str">
        <f>IFERROR(__xludf.DUMMYFUNCTION("if(REGEXMATCH(join("", "",$F468:$G468),J$1)=TRUE,""✓"",""✗"")"),"✗")</f>
        <v>✗</v>
      </c>
      <c r="K468" s="23" t="str">
        <f>IFERROR(__xludf.DUMMYFUNCTION("if(REGEXMATCH(join("", "",$F468:$G468),K$1)=TRUE,""✓"",""✗"")"),"✗")</f>
        <v>✗</v>
      </c>
      <c r="L468" s="23" t="str">
        <f>IFERROR(__xludf.DUMMYFUNCTION("if(REGEXMATCH(join("", "",$F468:$G468),L$1)=TRUE,""✓"",""✗"")"),"✗")</f>
        <v>✗</v>
      </c>
      <c r="M468" s="23" t="str">
        <f>IFERROR(__xludf.DUMMYFUNCTION("if(REGEXMATCH(join("", "",$F468:$G468),M$1)=TRUE,""✓"",""✗"")"),"✗")</f>
        <v>✗</v>
      </c>
      <c r="N468" s="23" t="str">
        <f>IFERROR(__xludf.DUMMYFUNCTION("if(REGEXMATCH(join("", "",$F468:$G468),N$1)=TRUE,""✓"",""✗"")"),"✗")</f>
        <v>✗</v>
      </c>
      <c r="O468" s="23" t="str">
        <f>IFERROR(__xludf.DUMMYFUNCTION("if(REGEXMATCH(join("", "",$F468:$G468),O$1)=TRUE,""✓"",""✗"")"),"✗")</f>
        <v>✗</v>
      </c>
      <c r="P468" s="23" t="str">
        <f>IFERROR(__xludf.DUMMYFUNCTION("if(REGEXMATCH(join("", "",$F468:$G468),P$1)=TRUE,""✓"",""✗"")"),"✗")</f>
        <v>✗</v>
      </c>
      <c r="Q468" s="23" t="str">
        <f>IFERROR(__xludf.DUMMYFUNCTION("if(REGEXMATCH(join("", "",$F468:$G468),Q$1)=TRUE,""✓"",""✗"")"),"✗")</f>
        <v>✗</v>
      </c>
      <c r="R468" s="23" t="str">
        <f>IFERROR(__xludf.DUMMYFUNCTION("if(REGEXMATCH(join("", "",$F468:$G468),R$1)=TRUE,""✓"",""✗"")"),"✗")</f>
        <v>✗</v>
      </c>
      <c r="S468" s="23" t="str">
        <f>IFERROR(__xludf.DUMMYFUNCTION("if(REGEXMATCH(join("", "",$F468:$G468),S$1)=TRUE,""✓"",""✗"")"),"✗")</f>
        <v>✗</v>
      </c>
      <c r="T468" s="23" t="str">
        <f>IFERROR(__xludf.DUMMYFUNCTION("if(REGEXMATCH(join("", "",$F468:$G468),T$1)=TRUE,""✓"",""✗"")"),"✗")</f>
        <v>✗</v>
      </c>
      <c r="U468" s="33"/>
      <c r="V468" s="33"/>
      <c r="W468" s="33"/>
      <c r="X468" s="33"/>
      <c r="Y468" s="33"/>
      <c r="Z468" s="33"/>
      <c r="AA468" s="33"/>
      <c r="AB468" s="33"/>
      <c r="AC468" s="33"/>
    </row>
    <row r="469" hidden="1">
      <c r="A469" s="17" t="s">
        <v>302</v>
      </c>
      <c r="B469" s="33"/>
      <c r="C469" s="33"/>
      <c r="D469" s="33"/>
      <c r="E469" s="33"/>
      <c r="F469" s="33"/>
      <c r="G469" s="33"/>
      <c r="H469" s="23" t="str">
        <f>IFERROR(__xludf.DUMMYFUNCTION("if(REGEXMATCH(join("", "",$F469:$G469),H$1)=TRUE,""✓"",""✗"")"),"✗")</f>
        <v>✗</v>
      </c>
      <c r="I469" s="23" t="str">
        <f>IFERROR(__xludf.DUMMYFUNCTION("if(REGEXMATCH(join("", "",$F469:$G469),I$1)=TRUE,""✓"",""✗"")"),"✗")</f>
        <v>✗</v>
      </c>
      <c r="J469" s="23" t="str">
        <f>IFERROR(__xludf.DUMMYFUNCTION("if(REGEXMATCH(join("", "",$F469:$G469),J$1)=TRUE,""✓"",""✗"")"),"✗")</f>
        <v>✗</v>
      </c>
      <c r="K469" s="23" t="str">
        <f>IFERROR(__xludf.DUMMYFUNCTION("if(REGEXMATCH(join("", "",$F469:$G469),K$1)=TRUE,""✓"",""✗"")"),"✗")</f>
        <v>✗</v>
      </c>
      <c r="L469" s="23" t="str">
        <f>IFERROR(__xludf.DUMMYFUNCTION("if(REGEXMATCH(join("", "",$F469:$G469),L$1)=TRUE,""✓"",""✗"")"),"✗")</f>
        <v>✗</v>
      </c>
      <c r="M469" s="23" t="str">
        <f>IFERROR(__xludf.DUMMYFUNCTION("if(REGEXMATCH(join("", "",$F469:$G469),M$1)=TRUE,""✓"",""✗"")"),"✗")</f>
        <v>✗</v>
      </c>
      <c r="N469" s="23" t="str">
        <f>IFERROR(__xludf.DUMMYFUNCTION("if(REGEXMATCH(join("", "",$F469:$G469),N$1)=TRUE,""✓"",""✗"")"),"✗")</f>
        <v>✗</v>
      </c>
      <c r="O469" s="23" t="str">
        <f>IFERROR(__xludf.DUMMYFUNCTION("if(REGEXMATCH(join("", "",$F469:$G469),O$1)=TRUE,""✓"",""✗"")"),"✗")</f>
        <v>✗</v>
      </c>
      <c r="P469" s="23" t="str">
        <f>IFERROR(__xludf.DUMMYFUNCTION("if(REGEXMATCH(join("", "",$F469:$G469),P$1)=TRUE,""✓"",""✗"")"),"✗")</f>
        <v>✗</v>
      </c>
      <c r="Q469" s="23" t="str">
        <f>IFERROR(__xludf.DUMMYFUNCTION("if(REGEXMATCH(join("", "",$F469:$G469),Q$1)=TRUE,""✓"",""✗"")"),"✗")</f>
        <v>✗</v>
      </c>
      <c r="R469" s="23" t="str">
        <f>IFERROR(__xludf.DUMMYFUNCTION("if(REGEXMATCH(join("", "",$F469:$G469),R$1)=TRUE,""✓"",""✗"")"),"✗")</f>
        <v>✗</v>
      </c>
      <c r="S469" s="23" t="str">
        <f>IFERROR(__xludf.DUMMYFUNCTION("if(REGEXMATCH(join("", "",$F469:$G469),S$1)=TRUE,""✓"",""✗"")"),"✗")</f>
        <v>✗</v>
      </c>
      <c r="T469" s="23" t="str">
        <f>IFERROR(__xludf.DUMMYFUNCTION("if(REGEXMATCH(join("", "",$F469:$G469),T$1)=TRUE,""✓"",""✗"")"),"✗")</f>
        <v>✗</v>
      </c>
      <c r="U469" s="33"/>
      <c r="V469" s="33"/>
      <c r="W469" s="33"/>
      <c r="X469" s="33"/>
      <c r="Y469" s="33"/>
      <c r="Z469" s="33"/>
      <c r="AA469" s="33"/>
      <c r="AB469" s="33"/>
      <c r="AC469" s="33"/>
    </row>
    <row r="470" hidden="1">
      <c r="A470" s="17" t="s">
        <v>302</v>
      </c>
      <c r="B470" s="33"/>
      <c r="C470" s="33"/>
      <c r="D470" s="33"/>
      <c r="E470" s="33"/>
      <c r="F470" s="33"/>
      <c r="G470" s="33"/>
      <c r="H470" s="23" t="str">
        <f>IFERROR(__xludf.DUMMYFUNCTION("if(REGEXMATCH(join("", "",$F470:$G470),H$1)=TRUE,""✓"",""✗"")"),"✗")</f>
        <v>✗</v>
      </c>
      <c r="I470" s="23" t="str">
        <f>IFERROR(__xludf.DUMMYFUNCTION("if(REGEXMATCH(join("", "",$F470:$G470),I$1)=TRUE,""✓"",""✗"")"),"✗")</f>
        <v>✗</v>
      </c>
      <c r="J470" s="23" t="str">
        <f>IFERROR(__xludf.DUMMYFUNCTION("if(REGEXMATCH(join("", "",$F470:$G470),J$1)=TRUE,""✓"",""✗"")"),"✗")</f>
        <v>✗</v>
      </c>
      <c r="K470" s="23" t="str">
        <f>IFERROR(__xludf.DUMMYFUNCTION("if(REGEXMATCH(join("", "",$F470:$G470),K$1)=TRUE,""✓"",""✗"")"),"✗")</f>
        <v>✗</v>
      </c>
      <c r="L470" s="23" t="str">
        <f>IFERROR(__xludf.DUMMYFUNCTION("if(REGEXMATCH(join("", "",$F470:$G470),L$1)=TRUE,""✓"",""✗"")"),"✗")</f>
        <v>✗</v>
      </c>
      <c r="M470" s="23" t="str">
        <f>IFERROR(__xludf.DUMMYFUNCTION("if(REGEXMATCH(join("", "",$F470:$G470),M$1)=TRUE,""✓"",""✗"")"),"✗")</f>
        <v>✗</v>
      </c>
      <c r="N470" s="23" t="str">
        <f>IFERROR(__xludf.DUMMYFUNCTION("if(REGEXMATCH(join("", "",$F470:$G470),N$1)=TRUE,""✓"",""✗"")"),"✗")</f>
        <v>✗</v>
      </c>
      <c r="O470" s="23" t="str">
        <f>IFERROR(__xludf.DUMMYFUNCTION("if(REGEXMATCH(join("", "",$F470:$G470),O$1)=TRUE,""✓"",""✗"")"),"✗")</f>
        <v>✗</v>
      </c>
      <c r="P470" s="23" t="str">
        <f>IFERROR(__xludf.DUMMYFUNCTION("if(REGEXMATCH(join("", "",$F470:$G470),P$1)=TRUE,""✓"",""✗"")"),"✗")</f>
        <v>✗</v>
      </c>
      <c r="Q470" s="23" t="str">
        <f>IFERROR(__xludf.DUMMYFUNCTION("if(REGEXMATCH(join("", "",$F470:$G470),Q$1)=TRUE,""✓"",""✗"")"),"✗")</f>
        <v>✗</v>
      </c>
      <c r="R470" s="23" t="str">
        <f>IFERROR(__xludf.DUMMYFUNCTION("if(REGEXMATCH(join("", "",$F470:$G470),R$1)=TRUE,""✓"",""✗"")"),"✗")</f>
        <v>✗</v>
      </c>
      <c r="S470" s="23" t="str">
        <f>IFERROR(__xludf.DUMMYFUNCTION("if(REGEXMATCH(join("", "",$F470:$G470),S$1)=TRUE,""✓"",""✗"")"),"✗")</f>
        <v>✗</v>
      </c>
      <c r="T470" s="23" t="str">
        <f>IFERROR(__xludf.DUMMYFUNCTION("if(REGEXMATCH(join("", "",$F470:$G470),T$1)=TRUE,""✓"",""✗"")"),"✗")</f>
        <v>✗</v>
      </c>
      <c r="U470" s="33"/>
      <c r="V470" s="33"/>
      <c r="W470" s="33"/>
      <c r="X470" s="33"/>
      <c r="Y470" s="33"/>
      <c r="Z470" s="33"/>
      <c r="AA470" s="33"/>
      <c r="AB470" s="33"/>
      <c r="AC470" s="33"/>
    </row>
    <row r="471" hidden="1">
      <c r="A471" s="17" t="s">
        <v>302</v>
      </c>
      <c r="B471" s="33"/>
      <c r="C471" s="33"/>
      <c r="D471" s="33"/>
      <c r="E471" s="33"/>
      <c r="F471" s="33"/>
      <c r="G471" s="33"/>
      <c r="H471" s="23" t="str">
        <f>IFERROR(__xludf.DUMMYFUNCTION("if(REGEXMATCH(join("", "",$F471:$G471),H$1)=TRUE,""✓"",""✗"")"),"✗")</f>
        <v>✗</v>
      </c>
      <c r="I471" s="23" t="str">
        <f>IFERROR(__xludf.DUMMYFUNCTION("if(REGEXMATCH(join("", "",$F471:$G471),I$1)=TRUE,""✓"",""✗"")"),"✗")</f>
        <v>✗</v>
      </c>
      <c r="J471" s="23" t="str">
        <f>IFERROR(__xludf.DUMMYFUNCTION("if(REGEXMATCH(join("", "",$F471:$G471),J$1)=TRUE,""✓"",""✗"")"),"✗")</f>
        <v>✗</v>
      </c>
      <c r="K471" s="23" t="str">
        <f>IFERROR(__xludf.DUMMYFUNCTION("if(REGEXMATCH(join("", "",$F471:$G471),K$1)=TRUE,""✓"",""✗"")"),"✗")</f>
        <v>✗</v>
      </c>
      <c r="L471" s="23" t="str">
        <f>IFERROR(__xludf.DUMMYFUNCTION("if(REGEXMATCH(join("", "",$F471:$G471),L$1)=TRUE,""✓"",""✗"")"),"✗")</f>
        <v>✗</v>
      </c>
      <c r="M471" s="23" t="str">
        <f>IFERROR(__xludf.DUMMYFUNCTION("if(REGEXMATCH(join("", "",$F471:$G471),M$1)=TRUE,""✓"",""✗"")"),"✗")</f>
        <v>✗</v>
      </c>
      <c r="N471" s="23" t="str">
        <f>IFERROR(__xludf.DUMMYFUNCTION("if(REGEXMATCH(join("", "",$F471:$G471),N$1)=TRUE,""✓"",""✗"")"),"✗")</f>
        <v>✗</v>
      </c>
      <c r="O471" s="23" t="str">
        <f>IFERROR(__xludf.DUMMYFUNCTION("if(REGEXMATCH(join("", "",$F471:$G471),O$1)=TRUE,""✓"",""✗"")"),"✗")</f>
        <v>✗</v>
      </c>
      <c r="P471" s="23" t="str">
        <f>IFERROR(__xludf.DUMMYFUNCTION("if(REGEXMATCH(join("", "",$F471:$G471),P$1)=TRUE,""✓"",""✗"")"),"✗")</f>
        <v>✗</v>
      </c>
      <c r="Q471" s="23" t="str">
        <f>IFERROR(__xludf.DUMMYFUNCTION("if(REGEXMATCH(join("", "",$F471:$G471),Q$1)=TRUE,""✓"",""✗"")"),"✗")</f>
        <v>✗</v>
      </c>
      <c r="R471" s="23" t="str">
        <f>IFERROR(__xludf.DUMMYFUNCTION("if(REGEXMATCH(join("", "",$F471:$G471),R$1)=TRUE,""✓"",""✗"")"),"✗")</f>
        <v>✗</v>
      </c>
      <c r="S471" s="23" t="str">
        <f>IFERROR(__xludf.DUMMYFUNCTION("if(REGEXMATCH(join("", "",$F471:$G471),S$1)=TRUE,""✓"",""✗"")"),"✗")</f>
        <v>✗</v>
      </c>
      <c r="T471" s="23" t="str">
        <f>IFERROR(__xludf.DUMMYFUNCTION("if(REGEXMATCH(join("", "",$F471:$G471),T$1)=TRUE,""✓"",""✗"")"),"✗")</f>
        <v>✗</v>
      </c>
      <c r="U471" s="33"/>
      <c r="V471" s="33"/>
      <c r="W471" s="33"/>
      <c r="X471" s="33"/>
      <c r="Y471" s="33"/>
      <c r="Z471" s="33"/>
      <c r="AA471" s="33"/>
      <c r="AB471" s="33"/>
      <c r="AC471" s="33"/>
    </row>
    <row r="472" hidden="1">
      <c r="A472" s="17" t="s">
        <v>302</v>
      </c>
      <c r="B472" s="33"/>
      <c r="C472" s="33"/>
      <c r="D472" s="33"/>
      <c r="E472" s="33"/>
      <c r="F472" s="33"/>
      <c r="G472" s="33"/>
      <c r="H472" s="23" t="str">
        <f>IFERROR(__xludf.DUMMYFUNCTION("if(REGEXMATCH(join("", "",$F472:$G472),H$1)=TRUE,""✓"",""✗"")"),"✗")</f>
        <v>✗</v>
      </c>
      <c r="I472" s="23" t="str">
        <f>IFERROR(__xludf.DUMMYFUNCTION("if(REGEXMATCH(join("", "",$F472:$G472),I$1)=TRUE,""✓"",""✗"")"),"✗")</f>
        <v>✗</v>
      </c>
      <c r="J472" s="23" t="str">
        <f>IFERROR(__xludf.DUMMYFUNCTION("if(REGEXMATCH(join("", "",$F472:$G472),J$1)=TRUE,""✓"",""✗"")"),"✗")</f>
        <v>✗</v>
      </c>
      <c r="K472" s="23" t="str">
        <f>IFERROR(__xludf.DUMMYFUNCTION("if(REGEXMATCH(join("", "",$F472:$G472),K$1)=TRUE,""✓"",""✗"")"),"✗")</f>
        <v>✗</v>
      </c>
      <c r="L472" s="23" t="str">
        <f>IFERROR(__xludf.DUMMYFUNCTION("if(REGEXMATCH(join("", "",$F472:$G472),L$1)=TRUE,""✓"",""✗"")"),"✗")</f>
        <v>✗</v>
      </c>
      <c r="M472" s="23" t="str">
        <f>IFERROR(__xludf.DUMMYFUNCTION("if(REGEXMATCH(join("", "",$F472:$G472),M$1)=TRUE,""✓"",""✗"")"),"✗")</f>
        <v>✗</v>
      </c>
      <c r="N472" s="23" t="str">
        <f>IFERROR(__xludf.DUMMYFUNCTION("if(REGEXMATCH(join("", "",$F472:$G472),N$1)=TRUE,""✓"",""✗"")"),"✗")</f>
        <v>✗</v>
      </c>
      <c r="O472" s="23" t="str">
        <f>IFERROR(__xludf.DUMMYFUNCTION("if(REGEXMATCH(join("", "",$F472:$G472),O$1)=TRUE,""✓"",""✗"")"),"✗")</f>
        <v>✗</v>
      </c>
      <c r="P472" s="23" t="str">
        <f>IFERROR(__xludf.DUMMYFUNCTION("if(REGEXMATCH(join("", "",$F472:$G472),P$1)=TRUE,""✓"",""✗"")"),"✗")</f>
        <v>✗</v>
      </c>
      <c r="Q472" s="23" t="str">
        <f>IFERROR(__xludf.DUMMYFUNCTION("if(REGEXMATCH(join("", "",$F472:$G472),Q$1)=TRUE,""✓"",""✗"")"),"✗")</f>
        <v>✗</v>
      </c>
      <c r="R472" s="23" t="str">
        <f>IFERROR(__xludf.DUMMYFUNCTION("if(REGEXMATCH(join("", "",$F472:$G472),R$1)=TRUE,""✓"",""✗"")"),"✗")</f>
        <v>✗</v>
      </c>
      <c r="S472" s="23" t="str">
        <f>IFERROR(__xludf.DUMMYFUNCTION("if(REGEXMATCH(join("", "",$F472:$G472),S$1)=TRUE,""✓"",""✗"")"),"✗")</f>
        <v>✗</v>
      </c>
      <c r="T472" s="23" t="str">
        <f>IFERROR(__xludf.DUMMYFUNCTION("if(REGEXMATCH(join("", "",$F472:$G472),T$1)=TRUE,""✓"",""✗"")"),"✗")</f>
        <v>✗</v>
      </c>
      <c r="U472" s="33"/>
      <c r="V472" s="33"/>
      <c r="W472" s="33"/>
      <c r="X472" s="33"/>
      <c r="Y472" s="33"/>
      <c r="Z472" s="33"/>
      <c r="AA472" s="33"/>
      <c r="AB472" s="33"/>
      <c r="AC472" s="33"/>
    </row>
    <row r="473" hidden="1">
      <c r="A473" s="17" t="s">
        <v>302</v>
      </c>
      <c r="B473" s="33"/>
      <c r="C473" s="33"/>
      <c r="D473" s="33"/>
      <c r="E473" s="33"/>
      <c r="F473" s="33"/>
      <c r="G473" s="33"/>
      <c r="H473" s="23" t="str">
        <f>IFERROR(__xludf.DUMMYFUNCTION("if(REGEXMATCH(join("", "",$F473:$G473),H$1)=TRUE,""✓"",""✗"")"),"✗")</f>
        <v>✗</v>
      </c>
      <c r="I473" s="23" t="str">
        <f>IFERROR(__xludf.DUMMYFUNCTION("if(REGEXMATCH(join("", "",$F473:$G473),I$1)=TRUE,""✓"",""✗"")"),"✗")</f>
        <v>✗</v>
      </c>
      <c r="J473" s="23" t="str">
        <f>IFERROR(__xludf.DUMMYFUNCTION("if(REGEXMATCH(join("", "",$F473:$G473),J$1)=TRUE,""✓"",""✗"")"),"✗")</f>
        <v>✗</v>
      </c>
      <c r="K473" s="23" t="str">
        <f>IFERROR(__xludf.DUMMYFUNCTION("if(REGEXMATCH(join("", "",$F473:$G473),K$1)=TRUE,""✓"",""✗"")"),"✗")</f>
        <v>✗</v>
      </c>
      <c r="L473" s="23" t="str">
        <f>IFERROR(__xludf.DUMMYFUNCTION("if(REGEXMATCH(join("", "",$F473:$G473),L$1)=TRUE,""✓"",""✗"")"),"✗")</f>
        <v>✗</v>
      </c>
      <c r="M473" s="23" t="str">
        <f>IFERROR(__xludf.DUMMYFUNCTION("if(REGEXMATCH(join("", "",$F473:$G473),M$1)=TRUE,""✓"",""✗"")"),"✗")</f>
        <v>✗</v>
      </c>
      <c r="N473" s="23" t="str">
        <f>IFERROR(__xludf.DUMMYFUNCTION("if(REGEXMATCH(join("", "",$F473:$G473),N$1)=TRUE,""✓"",""✗"")"),"✗")</f>
        <v>✗</v>
      </c>
      <c r="O473" s="23" t="str">
        <f>IFERROR(__xludf.DUMMYFUNCTION("if(REGEXMATCH(join("", "",$F473:$G473),O$1)=TRUE,""✓"",""✗"")"),"✗")</f>
        <v>✗</v>
      </c>
      <c r="P473" s="23" t="str">
        <f>IFERROR(__xludf.DUMMYFUNCTION("if(REGEXMATCH(join("", "",$F473:$G473),P$1)=TRUE,""✓"",""✗"")"),"✗")</f>
        <v>✗</v>
      </c>
      <c r="Q473" s="23" t="str">
        <f>IFERROR(__xludf.DUMMYFUNCTION("if(REGEXMATCH(join("", "",$F473:$G473),Q$1)=TRUE,""✓"",""✗"")"),"✗")</f>
        <v>✗</v>
      </c>
      <c r="R473" s="23" t="str">
        <f>IFERROR(__xludf.DUMMYFUNCTION("if(REGEXMATCH(join("", "",$F473:$G473),R$1)=TRUE,""✓"",""✗"")"),"✗")</f>
        <v>✗</v>
      </c>
      <c r="S473" s="23" t="str">
        <f>IFERROR(__xludf.DUMMYFUNCTION("if(REGEXMATCH(join("", "",$F473:$G473),S$1)=TRUE,""✓"",""✗"")"),"✗")</f>
        <v>✗</v>
      </c>
      <c r="T473" s="23" t="str">
        <f>IFERROR(__xludf.DUMMYFUNCTION("if(REGEXMATCH(join("", "",$F473:$G473),T$1)=TRUE,""✓"",""✗"")"),"✗")</f>
        <v>✗</v>
      </c>
      <c r="U473" s="33"/>
      <c r="V473" s="33"/>
      <c r="W473" s="33"/>
      <c r="X473" s="33"/>
      <c r="Y473" s="33"/>
      <c r="Z473" s="33"/>
      <c r="AA473" s="33"/>
      <c r="AB473" s="33"/>
      <c r="AC473" s="33"/>
    </row>
    <row r="474" hidden="1">
      <c r="A474" s="17" t="s">
        <v>302</v>
      </c>
      <c r="B474" s="33"/>
      <c r="C474" s="33"/>
      <c r="D474" s="33"/>
      <c r="E474" s="33"/>
      <c r="F474" s="33"/>
      <c r="G474" s="33"/>
      <c r="H474" s="23" t="str">
        <f>IFERROR(__xludf.DUMMYFUNCTION("if(REGEXMATCH(join("", "",$F474:$G474),H$1)=TRUE,""✓"",""✗"")"),"✗")</f>
        <v>✗</v>
      </c>
      <c r="I474" s="23" t="str">
        <f>IFERROR(__xludf.DUMMYFUNCTION("if(REGEXMATCH(join("", "",$F474:$G474),I$1)=TRUE,""✓"",""✗"")"),"✗")</f>
        <v>✗</v>
      </c>
      <c r="J474" s="23" t="str">
        <f>IFERROR(__xludf.DUMMYFUNCTION("if(REGEXMATCH(join("", "",$F474:$G474),J$1)=TRUE,""✓"",""✗"")"),"✗")</f>
        <v>✗</v>
      </c>
      <c r="K474" s="23" t="str">
        <f>IFERROR(__xludf.DUMMYFUNCTION("if(REGEXMATCH(join("", "",$F474:$G474),K$1)=TRUE,""✓"",""✗"")"),"✗")</f>
        <v>✗</v>
      </c>
      <c r="L474" s="23" t="str">
        <f>IFERROR(__xludf.DUMMYFUNCTION("if(REGEXMATCH(join("", "",$F474:$G474),L$1)=TRUE,""✓"",""✗"")"),"✗")</f>
        <v>✗</v>
      </c>
      <c r="M474" s="23" t="str">
        <f>IFERROR(__xludf.DUMMYFUNCTION("if(REGEXMATCH(join("", "",$F474:$G474),M$1)=TRUE,""✓"",""✗"")"),"✗")</f>
        <v>✗</v>
      </c>
      <c r="N474" s="23" t="str">
        <f>IFERROR(__xludf.DUMMYFUNCTION("if(REGEXMATCH(join("", "",$F474:$G474),N$1)=TRUE,""✓"",""✗"")"),"✗")</f>
        <v>✗</v>
      </c>
      <c r="O474" s="23" t="str">
        <f>IFERROR(__xludf.DUMMYFUNCTION("if(REGEXMATCH(join("", "",$F474:$G474),O$1)=TRUE,""✓"",""✗"")"),"✗")</f>
        <v>✗</v>
      </c>
      <c r="P474" s="23" t="str">
        <f>IFERROR(__xludf.DUMMYFUNCTION("if(REGEXMATCH(join("", "",$F474:$G474),P$1)=TRUE,""✓"",""✗"")"),"✗")</f>
        <v>✗</v>
      </c>
      <c r="Q474" s="23" t="str">
        <f>IFERROR(__xludf.DUMMYFUNCTION("if(REGEXMATCH(join("", "",$F474:$G474),Q$1)=TRUE,""✓"",""✗"")"),"✗")</f>
        <v>✗</v>
      </c>
      <c r="R474" s="23" t="str">
        <f>IFERROR(__xludf.DUMMYFUNCTION("if(REGEXMATCH(join("", "",$F474:$G474),R$1)=TRUE,""✓"",""✗"")"),"✗")</f>
        <v>✗</v>
      </c>
      <c r="S474" s="23" t="str">
        <f>IFERROR(__xludf.DUMMYFUNCTION("if(REGEXMATCH(join("", "",$F474:$G474),S$1)=TRUE,""✓"",""✗"")"),"✗")</f>
        <v>✗</v>
      </c>
      <c r="T474" s="23" t="str">
        <f>IFERROR(__xludf.DUMMYFUNCTION("if(REGEXMATCH(join("", "",$F474:$G474),T$1)=TRUE,""✓"",""✗"")"),"✗")</f>
        <v>✗</v>
      </c>
      <c r="U474" s="33"/>
      <c r="V474" s="33"/>
      <c r="W474" s="33"/>
      <c r="X474" s="33"/>
      <c r="Y474" s="33"/>
      <c r="Z474" s="33"/>
      <c r="AA474" s="33"/>
      <c r="AB474" s="33"/>
      <c r="AC474" s="33"/>
    </row>
    <row r="475" hidden="1">
      <c r="A475" s="17" t="s">
        <v>302</v>
      </c>
      <c r="B475" s="33"/>
      <c r="C475" s="33"/>
      <c r="D475" s="33"/>
      <c r="E475" s="33"/>
      <c r="F475" s="33"/>
      <c r="G475" s="33"/>
      <c r="H475" s="23" t="str">
        <f>IFERROR(__xludf.DUMMYFUNCTION("if(REGEXMATCH(join("", "",$F475:$G475),H$1)=TRUE,""✓"",""✗"")"),"✗")</f>
        <v>✗</v>
      </c>
      <c r="I475" s="23" t="str">
        <f>IFERROR(__xludf.DUMMYFUNCTION("if(REGEXMATCH(join("", "",$F475:$G475),I$1)=TRUE,""✓"",""✗"")"),"✗")</f>
        <v>✗</v>
      </c>
      <c r="J475" s="23" t="str">
        <f>IFERROR(__xludf.DUMMYFUNCTION("if(REGEXMATCH(join("", "",$F475:$G475),J$1)=TRUE,""✓"",""✗"")"),"✗")</f>
        <v>✗</v>
      </c>
      <c r="K475" s="23" t="str">
        <f>IFERROR(__xludf.DUMMYFUNCTION("if(REGEXMATCH(join("", "",$F475:$G475),K$1)=TRUE,""✓"",""✗"")"),"✗")</f>
        <v>✗</v>
      </c>
      <c r="L475" s="23" t="str">
        <f>IFERROR(__xludf.DUMMYFUNCTION("if(REGEXMATCH(join("", "",$F475:$G475),L$1)=TRUE,""✓"",""✗"")"),"✗")</f>
        <v>✗</v>
      </c>
      <c r="M475" s="23" t="str">
        <f>IFERROR(__xludf.DUMMYFUNCTION("if(REGEXMATCH(join("", "",$F475:$G475),M$1)=TRUE,""✓"",""✗"")"),"✗")</f>
        <v>✗</v>
      </c>
      <c r="N475" s="23" t="str">
        <f>IFERROR(__xludf.DUMMYFUNCTION("if(REGEXMATCH(join("", "",$F475:$G475),N$1)=TRUE,""✓"",""✗"")"),"✗")</f>
        <v>✗</v>
      </c>
      <c r="O475" s="23" t="str">
        <f>IFERROR(__xludf.DUMMYFUNCTION("if(REGEXMATCH(join("", "",$F475:$G475),O$1)=TRUE,""✓"",""✗"")"),"✗")</f>
        <v>✗</v>
      </c>
      <c r="P475" s="23" t="str">
        <f>IFERROR(__xludf.DUMMYFUNCTION("if(REGEXMATCH(join("", "",$F475:$G475),P$1)=TRUE,""✓"",""✗"")"),"✗")</f>
        <v>✗</v>
      </c>
      <c r="Q475" s="23" t="str">
        <f>IFERROR(__xludf.DUMMYFUNCTION("if(REGEXMATCH(join("", "",$F475:$G475),Q$1)=TRUE,""✓"",""✗"")"),"✗")</f>
        <v>✗</v>
      </c>
      <c r="R475" s="23" t="str">
        <f>IFERROR(__xludf.DUMMYFUNCTION("if(REGEXMATCH(join("", "",$F475:$G475),R$1)=TRUE,""✓"",""✗"")"),"✗")</f>
        <v>✗</v>
      </c>
      <c r="S475" s="23" t="str">
        <f>IFERROR(__xludf.DUMMYFUNCTION("if(REGEXMATCH(join("", "",$F475:$G475),S$1)=TRUE,""✓"",""✗"")"),"✗")</f>
        <v>✗</v>
      </c>
      <c r="T475" s="23" t="str">
        <f>IFERROR(__xludf.DUMMYFUNCTION("if(REGEXMATCH(join("", "",$F475:$G475),T$1)=TRUE,""✓"",""✗"")"),"✗")</f>
        <v>✗</v>
      </c>
      <c r="U475" s="33"/>
      <c r="V475" s="33"/>
      <c r="W475" s="33"/>
      <c r="X475" s="33"/>
      <c r="Y475" s="33"/>
      <c r="Z475" s="33"/>
      <c r="AA475" s="33"/>
      <c r="AB475" s="33"/>
      <c r="AC475" s="33"/>
    </row>
    <row r="476" hidden="1">
      <c r="A476" s="17" t="s">
        <v>302</v>
      </c>
      <c r="B476" s="33"/>
      <c r="C476" s="33"/>
      <c r="D476" s="33"/>
      <c r="E476" s="33"/>
      <c r="F476" s="33"/>
      <c r="G476" s="33"/>
      <c r="H476" s="23" t="str">
        <f>IFERROR(__xludf.DUMMYFUNCTION("if(REGEXMATCH(join("", "",$F476:$G476),H$1)=TRUE,""✓"",""✗"")"),"✗")</f>
        <v>✗</v>
      </c>
      <c r="I476" s="23" t="str">
        <f>IFERROR(__xludf.DUMMYFUNCTION("if(REGEXMATCH(join("", "",$F476:$G476),I$1)=TRUE,""✓"",""✗"")"),"✗")</f>
        <v>✗</v>
      </c>
      <c r="J476" s="23" t="str">
        <f>IFERROR(__xludf.DUMMYFUNCTION("if(REGEXMATCH(join("", "",$F476:$G476),J$1)=TRUE,""✓"",""✗"")"),"✗")</f>
        <v>✗</v>
      </c>
      <c r="K476" s="23" t="str">
        <f>IFERROR(__xludf.DUMMYFUNCTION("if(REGEXMATCH(join("", "",$F476:$G476),K$1)=TRUE,""✓"",""✗"")"),"✗")</f>
        <v>✗</v>
      </c>
      <c r="L476" s="23" t="str">
        <f>IFERROR(__xludf.DUMMYFUNCTION("if(REGEXMATCH(join("", "",$F476:$G476),L$1)=TRUE,""✓"",""✗"")"),"✗")</f>
        <v>✗</v>
      </c>
      <c r="M476" s="23" t="str">
        <f>IFERROR(__xludf.DUMMYFUNCTION("if(REGEXMATCH(join("", "",$F476:$G476),M$1)=TRUE,""✓"",""✗"")"),"✗")</f>
        <v>✗</v>
      </c>
      <c r="N476" s="23" t="str">
        <f>IFERROR(__xludf.DUMMYFUNCTION("if(REGEXMATCH(join("", "",$F476:$G476),N$1)=TRUE,""✓"",""✗"")"),"✗")</f>
        <v>✗</v>
      </c>
      <c r="O476" s="23" t="str">
        <f>IFERROR(__xludf.DUMMYFUNCTION("if(REGEXMATCH(join("", "",$F476:$G476),O$1)=TRUE,""✓"",""✗"")"),"✗")</f>
        <v>✗</v>
      </c>
      <c r="P476" s="23" t="str">
        <f>IFERROR(__xludf.DUMMYFUNCTION("if(REGEXMATCH(join("", "",$F476:$G476),P$1)=TRUE,""✓"",""✗"")"),"✗")</f>
        <v>✗</v>
      </c>
      <c r="Q476" s="23" t="str">
        <f>IFERROR(__xludf.DUMMYFUNCTION("if(REGEXMATCH(join("", "",$F476:$G476),Q$1)=TRUE,""✓"",""✗"")"),"✗")</f>
        <v>✗</v>
      </c>
      <c r="R476" s="23" t="str">
        <f>IFERROR(__xludf.DUMMYFUNCTION("if(REGEXMATCH(join("", "",$F476:$G476),R$1)=TRUE,""✓"",""✗"")"),"✗")</f>
        <v>✗</v>
      </c>
      <c r="S476" s="23" t="str">
        <f>IFERROR(__xludf.DUMMYFUNCTION("if(REGEXMATCH(join("", "",$F476:$G476),S$1)=TRUE,""✓"",""✗"")"),"✗")</f>
        <v>✗</v>
      </c>
      <c r="T476" s="23" t="str">
        <f>IFERROR(__xludf.DUMMYFUNCTION("if(REGEXMATCH(join("", "",$F476:$G476),T$1)=TRUE,""✓"",""✗"")"),"✗")</f>
        <v>✗</v>
      </c>
      <c r="U476" s="33"/>
      <c r="V476" s="33"/>
      <c r="W476" s="33"/>
      <c r="X476" s="33"/>
      <c r="Y476" s="33"/>
      <c r="Z476" s="33"/>
      <c r="AA476" s="33"/>
      <c r="AB476" s="33"/>
      <c r="AC476" s="33"/>
    </row>
    <row r="477" hidden="1">
      <c r="A477" s="17" t="s">
        <v>302</v>
      </c>
      <c r="B477" s="33"/>
      <c r="C477" s="33"/>
      <c r="D477" s="33"/>
      <c r="E477" s="33"/>
      <c r="F477" s="33"/>
      <c r="G477" s="33"/>
      <c r="H477" s="23" t="str">
        <f>IFERROR(__xludf.DUMMYFUNCTION("if(REGEXMATCH(join("", "",$F477:$G477),H$1)=TRUE,""✓"",""✗"")"),"✗")</f>
        <v>✗</v>
      </c>
      <c r="I477" s="23" t="str">
        <f>IFERROR(__xludf.DUMMYFUNCTION("if(REGEXMATCH(join("", "",$F477:$G477),I$1)=TRUE,""✓"",""✗"")"),"✗")</f>
        <v>✗</v>
      </c>
      <c r="J477" s="23" t="str">
        <f>IFERROR(__xludf.DUMMYFUNCTION("if(REGEXMATCH(join("", "",$F477:$G477),J$1)=TRUE,""✓"",""✗"")"),"✗")</f>
        <v>✗</v>
      </c>
      <c r="K477" s="23" t="str">
        <f>IFERROR(__xludf.DUMMYFUNCTION("if(REGEXMATCH(join("", "",$F477:$G477),K$1)=TRUE,""✓"",""✗"")"),"✗")</f>
        <v>✗</v>
      </c>
      <c r="L477" s="23" t="str">
        <f>IFERROR(__xludf.DUMMYFUNCTION("if(REGEXMATCH(join("", "",$F477:$G477),L$1)=TRUE,""✓"",""✗"")"),"✗")</f>
        <v>✗</v>
      </c>
      <c r="M477" s="23" t="str">
        <f>IFERROR(__xludf.DUMMYFUNCTION("if(REGEXMATCH(join("", "",$F477:$G477),M$1)=TRUE,""✓"",""✗"")"),"✗")</f>
        <v>✗</v>
      </c>
      <c r="N477" s="23" t="str">
        <f>IFERROR(__xludf.DUMMYFUNCTION("if(REGEXMATCH(join("", "",$F477:$G477),N$1)=TRUE,""✓"",""✗"")"),"✗")</f>
        <v>✗</v>
      </c>
      <c r="O477" s="23" t="str">
        <f>IFERROR(__xludf.DUMMYFUNCTION("if(REGEXMATCH(join("", "",$F477:$G477),O$1)=TRUE,""✓"",""✗"")"),"✗")</f>
        <v>✗</v>
      </c>
      <c r="P477" s="23" t="str">
        <f>IFERROR(__xludf.DUMMYFUNCTION("if(REGEXMATCH(join("", "",$F477:$G477),P$1)=TRUE,""✓"",""✗"")"),"✗")</f>
        <v>✗</v>
      </c>
      <c r="Q477" s="23" t="str">
        <f>IFERROR(__xludf.DUMMYFUNCTION("if(REGEXMATCH(join("", "",$F477:$G477),Q$1)=TRUE,""✓"",""✗"")"),"✗")</f>
        <v>✗</v>
      </c>
      <c r="R477" s="23" t="str">
        <f>IFERROR(__xludf.DUMMYFUNCTION("if(REGEXMATCH(join("", "",$F477:$G477),R$1)=TRUE,""✓"",""✗"")"),"✗")</f>
        <v>✗</v>
      </c>
      <c r="S477" s="23" t="str">
        <f>IFERROR(__xludf.DUMMYFUNCTION("if(REGEXMATCH(join("", "",$F477:$G477),S$1)=TRUE,""✓"",""✗"")"),"✗")</f>
        <v>✗</v>
      </c>
      <c r="T477" s="23" t="str">
        <f>IFERROR(__xludf.DUMMYFUNCTION("if(REGEXMATCH(join("", "",$F477:$G477),T$1)=TRUE,""✓"",""✗"")"),"✗")</f>
        <v>✗</v>
      </c>
      <c r="U477" s="33"/>
      <c r="V477" s="33"/>
      <c r="W477" s="33"/>
      <c r="X477" s="33"/>
      <c r="Y477" s="33"/>
      <c r="Z477" s="33"/>
      <c r="AA477" s="33"/>
      <c r="AB477" s="33"/>
      <c r="AC477" s="33"/>
    </row>
    <row r="478" hidden="1">
      <c r="A478" s="17" t="s">
        <v>302</v>
      </c>
      <c r="B478" s="33"/>
      <c r="C478" s="33"/>
      <c r="D478" s="33"/>
      <c r="E478" s="33"/>
      <c r="F478" s="33"/>
      <c r="G478" s="33"/>
      <c r="H478" s="23" t="str">
        <f>IFERROR(__xludf.DUMMYFUNCTION("if(REGEXMATCH(join("", "",$F478:$G478),H$1)=TRUE,""✓"",""✗"")"),"✗")</f>
        <v>✗</v>
      </c>
      <c r="I478" s="23" t="str">
        <f>IFERROR(__xludf.DUMMYFUNCTION("if(REGEXMATCH(join("", "",$F478:$G478),I$1)=TRUE,""✓"",""✗"")"),"✗")</f>
        <v>✗</v>
      </c>
      <c r="J478" s="23" t="str">
        <f>IFERROR(__xludf.DUMMYFUNCTION("if(REGEXMATCH(join("", "",$F478:$G478),J$1)=TRUE,""✓"",""✗"")"),"✗")</f>
        <v>✗</v>
      </c>
      <c r="K478" s="23" t="str">
        <f>IFERROR(__xludf.DUMMYFUNCTION("if(REGEXMATCH(join("", "",$F478:$G478),K$1)=TRUE,""✓"",""✗"")"),"✗")</f>
        <v>✗</v>
      </c>
      <c r="L478" s="23" t="str">
        <f>IFERROR(__xludf.DUMMYFUNCTION("if(REGEXMATCH(join("", "",$F478:$G478),L$1)=TRUE,""✓"",""✗"")"),"✗")</f>
        <v>✗</v>
      </c>
      <c r="M478" s="23" t="str">
        <f>IFERROR(__xludf.DUMMYFUNCTION("if(REGEXMATCH(join("", "",$F478:$G478),M$1)=TRUE,""✓"",""✗"")"),"✗")</f>
        <v>✗</v>
      </c>
      <c r="N478" s="23" t="str">
        <f>IFERROR(__xludf.DUMMYFUNCTION("if(REGEXMATCH(join("", "",$F478:$G478),N$1)=TRUE,""✓"",""✗"")"),"✗")</f>
        <v>✗</v>
      </c>
      <c r="O478" s="23" t="str">
        <f>IFERROR(__xludf.DUMMYFUNCTION("if(REGEXMATCH(join("", "",$F478:$G478),O$1)=TRUE,""✓"",""✗"")"),"✗")</f>
        <v>✗</v>
      </c>
      <c r="P478" s="23" t="str">
        <f>IFERROR(__xludf.DUMMYFUNCTION("if(REGEXMATCH(join("", "",$F478:$G478),P$1)=TRUE,""✓"",""✗"")"),"✗")</f>
        <v>✗</v>
      </c>
      <c r="Q478" s="23" t="str">
        <f>IFERROR(__xludf.DUMMYFUNCTION("if(REGEXMATCH(join("", "",$F478:$G478),Q$1)=TRUE,""✓"",""✗"")"),"✗")</f>
        <v>✗</v>
      </c>
      <c r="R478" s="23" t="str">
        <f>IFERROR(__xludf.DUMMYFUNCTION("if(REGEXMATCH(join("", "",$F478:$G478),R$1)=TRUE,""✓"",""✗"")"),"✗")</f>
        <v>✗</v>
      </c>
      <c r="S478" s="23" t="str">
        <f>IFERROR(__xludf.DUMMYFUNCTION("if(REGEXMATCH(join("", "",$F478:$G478),S$1)=TRUE,""✓"",""✗"")"),"✗")</f>
        <v>✗</v>
      </c>
      <c r="T478" s="23" t="str">
        <f>IFERROR(__xludf.DUMMYFUNCTION("if(REGEXMATCH(join("", "",$F478:$G478),T$1)=TRUE,""✓"",""✗"")"),"✗")</f>
        <v>✗</v>
      </c>
      <c r="U478" s="33"/>
      <c r="V478" s="33"/>
      <c r="W478" s="33"/>
      <c r="X478" s="33"/>
      <c r="Y478" s="33"/>
      <c r="Z478" s="33"/>
      <c r="AA478" s="33"/>
      <c r="AB478" s="33"/>
      <c r="AC478" s="33"/>
    </row>
    <row r="479" hidden="1">
      <c r="A479" s="17" t="s">
        <v>302</v>
      </c>
      <c r="B479" s="33"/>
      <c r="C479" s="33"/>
      <c r="D479" s="33"/>
      <c r="E479" s="33"/>
      <c r="F479" s="33"/>
      <c r="G479" s="33"/>
      <c r="H479" s="23" t="str">
        <f>IFERROR(__xludf.DUMMYFUNCTION("if(REGEXMATCH(join("", "",$F479:$G479),H$1)=TRUE,""✓"",""✗"")"),"✗")</f>
        <v>✗</v>
      </c>
      <c r="I479" s="23" t="str">
        <f>IFERROR(__xludf.DUMMYFUNCTION("if(REGEXMATCH(join("", "",$F479:$G479),I$1)=TRUE,""✓"",""✗"")"),"✗")</f>
        <v>✗</v>
      </c>
      <c r="J479" s="23" t="str">
        <f>IFERROR(__xludf.DUMMYFUNCTION("if(REGEXMATCH(join("", "",$F479:$G479),J$1)=TRUE,""✓"",""✗"")"),"✗")</f>
        <v>✗</v>
      </c>
      <c r="K479" s="23" t="str">
        <f>IFERROR(__xludf.DUMMYFUNCTION("if(REGEXMATCH(join("", "",$F479:$G479),K$1)=TRUE,""✓"",""✗"")"),"✗")</f>
        <v>✗</v>
      </c>
      <c r="L479" s="23" t="str">
        <f>IFERROR(__xludf.DUMMYFUNCTION("if(REGEXMATCH(join("", "",$F479:$G479),L$1)=TRUE,""✓"",""✗"")"),"✗")</f>
        <v>✗</v>
      </c>
      <c r="M479" s="23" t="str">
        <f>IFERROR(__xludf.DUMMYFUNCTION("if(REGEXMATCH(join("", "",$F479:$G479),M$1)=TRUE,""✓"",""✗"")"),"✗")</f>
        <v>✗</v>
      </c>
      <c r="N479" s="23" t="str">
        <f>IFERROR(__xludf.DUMMYFUNCTION("if(REGEXMATCH(join("", "",$F479:$G479),N$1)=TRUE,""✓"",""✗"")"),"✗")</f>
        <v>✗</v>
      </c>
      <c r="O479" s="23" t="str">
        <f>IFERROR(__xludf.DUMMYFUNCTION("if(REGEXMATCH(join("", "",$F479:$G479),O$1)=TRUE,""✓"",""✗"")"),"✗")</f>
        <v>✗</v>
      </c>
      <c r="P479" s="23" t="str">
        <f>IFERROR(__xludf.DUMMYFUNCTION("if(REGEXMATCH(join("", "",$F479:$G479),P$1)=TRUE,""✓"",""✗"")"),"✗")</f>
        <v>✗</v>
      </c>
      <c r="Q479" s="23" t="str">
        <f>IFERROR(__xludf.DUMMYFUNCTION("if(REGEXMATCH(join("", "",$F479:$G479),Q$1)=TRUE,""✓"",""✗"")"),"✗")</f>
        <v>✗</v>
      </c>
      <c r="R479" s="23" t="str">
        <f>IFERROR(__xludf.DUMMYFUNCTION("if(REGEXMATCH(join("", "",$F479:$G479),R$1)=TRUE,""✓"",""✗"")"),"✗")</f>
        <v>✗</v>
      </c>
      <c r="S479" s="23" t="str">
        <f>IFERROR(__xludf.DUMMYFUNCTION("if(REGEXMATCH(join("", "",$F479:$G479),S$1)=TRUE,""✓"",""✗"")"),"✗")</f>
        <v>✗</v>
      </c>
      <c r="T479" s="23" t="str">
        <f>IFERROR(__xludf.DUMMYFUNCTION("if(REGEXMATCH(join("", "",$F479:$G479),T$1)=TRUE,""✓"",""✗"")"),"✗")</f>
        <v>✗</v>
      </c>
      <c r="U479" s="33"/>
      <c r="V479" s="33"/>
      <c r="W479" s="33"/>
      <c r="X479" s="33"/>
      <c r="Y479" s="33"/>
      <c r="Z479" s="33"/>
      <c r="AA479" s="33"/>
      <c r="AB479" s="33"/>
      <c r="AC479" s="33"/>
    </row>
    <row r="480" hidden="1">
      <c r="A480" s="17" t="s">
        <v>302</v>
      </c>
      <c r="B480" s="33"/>
      <c r="C480" s="33"/>
      <c r="D480" s="33"/>
      <c r="E480" s="33"/>
      <c r="F480" s="33"/>
      <c r="G480" s="33"/>
      <c r="H480" s="23" t="str">
        <f>IFERROR(__xludf.DUMMYFUNCTION("if(REGEXMATCH(join("", "",$F480:$G480),H$1)=TRUE,""✓"",""✗"")"),"✗")</f>
        <v>✗</v>
      </c>
      <c r="I480" s="23" t="str">
        <f>IFERROR(__xludf.DUMMYFUNCTION("if(REGEXMATCH(join("", "",$F480:$G480),I$1)=TRUE,""✓"",""✗"")"),"✗")</f>
        <v>✗</v>
      </c>
      <c r="J480" s="23" t="str">
        <f>IFERROR(__xludf.DUMMYFUNCTION("if(REGEXMATCH(join("", "",$F480:$G480),J$1)=TRUE,""✓"",""✗"")"),"✗")</f>
        <v>✗</v>
      </c>
      <c r="K480" s="23" t="str">
        <f>IFERROR(__xludf.DUMMYFUNCTION("if(REGEXMATCH(join("", "",$F480:$G480),K$1)=TRUE,""✓"",""✗"")"),"✗")</f>
        <v>✗</v>
      </c>
      <c r="L480" s="23" t="str">
        <f>IFERROR(__xludf.DUMMYFUNCTION("if(REGEXMATCH(join("", "",$F480:$G480),L$1)=TRUE,""✓"",""✗"")"),"✗")</f>
        <v>✗</v>
      </c>
      <c r="M480" s="23" t="str">
        <f>IFERROR(__xludf.DUMMYFUNCTION("if(REGEXMATCH(join("", "",$F480:$G480),M$1)=TRUE,""✓"",""✗"")"),"✗")</f>
        <v>✗</v>
      </c>
      <c r="N480" s="23" t="str">
        <f>IFERROR(__xludf.DUMMYFUNCTION("if(REGEXMATCH(join("", "",$F480:$G480),N$1)=TRUE,""✓"",""✗"")"),"✗")</f>
        <v>✗</v>
      </c>
      <c r="O480" s="23" t="str">
        <f>IFERROR(__xludf.DUMMYFUNCTION("if(REGEXMATCH(join("", "",$F480:$G480),O$1)=TRUE,""✓"",""✗"")"),"✗")</f>
        <v>✗</v>
      </c>
      <c r="P480" s="23" t="str">
        <f>IFERROR(__xludf.DUMMYFUNCTION("if(REGEXMATCH(join("", "",$F480:$G480),P$1)=TRUE,""✓"",""✗"")"),"✗")</f>
        <v>✗</v>
      </c>
      <c r="Q480" s="23" t="str">
        <f>IFERROR(__xludf.DUMMYFUNCTION("if(REGEXMATCH(join("", "",$F480:$G480),Q$1)=TRUE,""✓"",""✗"")"),"✗")</f>
        <v>✗</v>
      </c>
      <c r="R480" s="23" t="str">
        <f>IFERROR(__xludf.DUMMYFUNCTION("if(REGEXMATCH(join("", "",$F480:$G480),R$1)=TRUE,""✓"",""✗"")"),"✗")</f>
        <v>✗</v>
      </c>
      <c r="S480" s="23" t="str">
        <f>IFERROR(__xludf.DUMMYFUNCTION("if(REGEXMATCH(join("", "",$F480:$G480),S$1)=TRUE,""✓"",""✗"")"),"✗")</f>
        <v>✗</v>
      </c>
      <c r="T480" s="23" t="str">
        <f>IFERROR(__xludf.DUMMYFUNCTION("if(REGEXMATCH(join("", "",$F480:$G480),T$1)=TRUE,""✓"",""✗"")"),"✗")</f>
        <v>✗</v>
      </c>
      <c r="U480" s="33"/>
      <c r="V480" s="33"/>
      <c r="W480" s="33"/>
      <c r="X480" s="33"/>
      <c r="Y480" s="33"/>
      <c r="Z480" s="33"/>
      <c r="AA480" s="33"/>
      <c r="AB480" s="33"/>
      <c r="AC480" s="33"/>
    </row>
    <row r="481" hidden="1">
      <c r="A481" s="17" t="s">
        <v>302</v>
      </c>
      <c r="B481" s="33"/>
      <c r="C481" s="33"/>
      <c r="D481" s="33"/>
      <c r="E481" s="33"/>
      <c r="F481" s="33"/>
      <c r="G481" s="33"/>
      <c r="H481" s="23" t="str">
        <f>IFERROR(__xludf.DUMMYFUNCTION("if(REGEXMATCH(join("", "",$F481:$G481),H$1)=TRUE,""✓"",""✗"")"),"✗")</f>
        <v>✗</v>
      </c>
      <c r="I481" s="23" t="str">
        <f>IFERROR(__xludf.DUMMYFUNCTION("if(REGEXMATCH(join("", "",$F481:$G481),I$1)=TRUE,""✓"",""✗"")"),"✗")</f>
        <v>✗</v>
      </c>
      <c r="J481" s="23" t="str">
        <f>IFERROR(__xludf.DUMMYFUNCTION("if(REGEXMATCH(join("", "",$F481:$G481),J$1)=TRUE,""✓"",""✗"")"),"✗")</f>
        <v>✗</v>
      </c>
      <c r="K481" s="23" t="str">
        <f>IFERROR(__xludf.DUMMYFUNCTION("if(REGEXMATCH(join("", "",$F481:$G481),K$1)=TRUE,""✓"",""✗"")"),"✗")</f>
        <v>✗</v>
      </c>
      <c r="L481" s="23" t="str">
        <f>IFERROR(__xludf.DUMMYFUNCTION("if(REGEXMATCH(join("", "",$F481:$G481),L$1)=TRUE,""✓"",""✗"")"),"✗")</f>
        <v>✗</v>
      </c>
      <c r="M481" s="23" t="str">
        <f>IFERROR(__xludf.DUMMYFUNCTION("if(REGEXMATCH(join("", "",$F481:$G481),M$1)=TRUE,""✓"",""✗"")"),"✗")</f>
        <v>✗</v>
      </c>
      <c r="N481" s="23" t="str">
        <f>IFERROR(__xludf.DUMMYFUNCTION("if(REGEXMATCH(join("", "",$F481:$G481),N$1)=TRUE,""✓"",""✗"")"),"✗")</f>
        <v>✗</v>
      </c>
      <c r="O481" s="23" t="str">
        <f>IFERROR(__xludf.DUMMYFUNCTION("if(REGEXMATCH(join("", "",$F481:$G481),O$1)=TRUE,""✓"",""✗"")"),"✗")</f>
        <v>✗</v>
      </c>
      <c r="P481" s="23" t="str">
        <f>IFERROR(__xludf.DUMMYFUNCTION("if(REGEXMATCH(join("", "",$F481:$G481),P$1)=TRUE,""✓"",""✗"")"),"✗")</f>
        <v>✗</v>
      </c>
      <c r="Q481" s="23" t="str">
        <f>IFERROR(__xludf.DUMMYFUNCTION("if(REGEXMATCH(join("", "",$F481:$G481),Q$1)=TRUE,""✓"",""✗"")"),"✗")</f>
        <v>✗</v>
      </c>
      <c r="R481" s="23" t="str">
        <f>IFERROR(__xludf.DUMMYFUNCTION("if(REGEXMATCH(join("", "",$F481:$G481),R$1)=TRUE,""✓"",""✗"")"),"✗")</f>
        <v>✗</v>
      </c>
      <c r="S481" s="23" t="str">
        <f>IFERROR(__xludf.DUMMYFUNCTION("if(REGEXMATCH(join("", "",$F481:$G481),S$1)=TRUE,""✓"",""✗"")"),"✗")</f>
        <v>✗</v>
      </c>
      <c r="T481" s="23" t="str">
        <f>IFERROR(__xludf.DUMMYFUNCTION("if(REGEXMATCH(join("", "",$F481:$G481),T$1)=TRUE,""✓"",""✗"")"),"✗")</f>
        <v>✗</v>
      </c>
      <c r="U481" s="33"/>
      <c r="V481" s="33"/>
      <c r="W481" s="33"/>
      <c r="X481" s="33"/>
      <c r="Y481" s="33"/>
      <c r="Z481" s="33"/>
      <c r="AA481" s="33"/>
      <c r="AB481" s="33"/>
      <c r="AC481" s="33"/>
    </row>
    <row r="482" hidden="1">
      <c r="A482" s="17" t="s">
        <v>302</v>
      </c>
      <c r="B482" s="33"/>
      <c r="C482" s="33"/>
      <c r="D482" s="33"/>
      <c r="E482" s="33"/>
      <c r="F482" s="33"/>
      <c r="G482" s="33"/>
      <c r="H482" s="23" t="str">
        <f>IFERROR(__xludf.DUMMYFUNCTION("if(REGEXMATCH(join("", "",$F482:$G482),H$1)=TRUE,""✓"",""✗"")"),"✗")</f>
        <v>✗</v>
      </c>
      <c r="I482" s="23" t="str">
        <f>IFERROR(__xludf.DUMMYFUNCTION("if(REGEXMATCH(join("", "",$F482:$G482),I$1)=TRUE,""✓"",""✗"")"),"✗")</f>
        <v>✗</v>
      </c>
      <c r="J482" s="23" t="str">
        <f>IFERROR(__xludf.DUMMYFUNCTION("if(REGEXMATCH(join("", "",$F482:$G482),J$1)=TRUE,""✓"",""✗"")"),"✗")</f>
        <v>✗</v>
      </c>
      <c r="K482" s="23" t="str">
        <f>IFERROR(__xludf.DUMMYFUNCTION("if(REGEXMATCH(join("", "",$F482:$G482),K$1)=TRUE,""✓"",""✗"")"),"✗")</f>
        <v>✗</v>
      </c>
      <c r="L482" s="23" t="str">
        <f>IFERROR(__xludf.DUMMYFUNCTION("if(REGEXMATCH(join("", "",$F482:$G482),L$1)=TRUE,""✓"",""✗"")"),"✗")</f>
        <v>✗</v>
      </c>
      <c r="M482" s="23" t="str">
        <f>IFERROR(__xludf.DUMMYFUNCTION("if(REGEXMATCH(join("", "",$F482:$G482),M$1)=TRUE,""✓"",""✗"")"),"✗")</f>
        <v>✗</v>
      </c>
      <c r="N482" s="23" t="str">
        <f>IFERROR(__xludf.DUMMYFUNCTION("if(REGEXMATCH(join("", "",$F482:$G482),N$1)=TRUE,""✓"",""✗"")"),"✗")</f>
        <v>✗</v>
      </c>
      <c r="O482" s="23" t="str">
        <f>IFERROR(__xludf.DUMMYFUNCTION("if(REGEXMATCH(join("", "",$F482:$G482),O$1)=TRUE,""✓"",""✗"")"),"✗")</f>
        <v>✗</v>
      </c>
      <c r="P482" s="23" t="str">
        <f>IFERROR(__xludf.DUMMYFUNCTION("if(REGEXMATCH(join("", "",$F482:$G482),P$1)=TRUE,""✓"",""✗"")"),"✗")</f>
        <v>✗</v>
      </c>
      <c r="Q482" s="23" t="str">
        <f>IFERROR(__xludf.DUMMYFUNCTION("if(REGEXMATCH(join("", "",$F482:$G482),Q$1)=TRUE,""✓"",""✗"")"),"✗")</f>
        <v>✗</v>
      </c>
      <c r="R482" s="23" t="str">
        <f>IFERROR(__xludf.DUMMYFUNCTION("if(REGEXMATCH(join("", "",$F482:$G482),R$1)=TRUE,""✓"",""✗"")"),"✗")</f>
        <v>✗</v>
      </c>
      <c r="S482" s="23" t="str">
        <f>IFERROR(__xludf.DUMMYFUNCTION("if(REGEXMATCH(join("", "",$F482:$G482),S$1)=TRUE,""✓"",""✗"")"),"✗")</f>
        <v>✗</v>
      </c>
      <c r="T482" s="23" t="str">
        <f>IFERROR(__xludf.DUMMYFUNCTION("if(REGEXMATCH(join("", "",$F482:$G482),T$1)=TRUE,""✓"",""✗"")"),"✗")</f>
        <v>✗</v>
      </c>
      <c r="U482" s="33"/>
      <c r="V482" s="33"/>
      <c r="W482" s="33"/>
      <c r="X482" s="33"/>
      <c r="Y482" s="33"/>
      <c r="Z482" s="33"/>
      <c r="AA482" s="33"/>
      <c r="AB482" s="33"/>
      <c r="AC482" s="33"/>
    </row>
    <row r="483" hidden="1">
      <c r="A483" s="17" t="s">
        <v>302</v>
      </c>
      <c r="B483" s="33"/>
      <c r="C483" s="33"/>
      <c r="D483" s="33"/>
      <c r="E483" s="33"/>
      <c r="F483" s="33"/>
      <c r="G483" s="33"/>
      <c r="H483" s="23" t="str">
        <f>IFERROR(__xludf.DUMMYFUNCTION("if(REGEXMATCH(join("", "",$F483:$G483),H$1)=TRUE,""✓"",""✗"")"),"✗")</f>
        <v>✗</v>
      </c>
      <c r="I483" s="23" t="str">
        <f>IFERROR(__xludf.DUMMYFUNCTION("if(REGEXMATCH(join("", "",$F483:$G483),I$1)=TRUE,""✓"",""✗"")"),"✗")</f>
        <v>✗</v>
      </c>
      <c r="J483" s="23" t="str">
        <f>IFERROR(__xludf.DUMMYFUNCTION("if(REGEXMATCH(join("", "",$F483:$G483),J$1)=TRUE,""✓"",""✗"")"),"✗")</f>
        <v>✗</v>
      </c>
      <c r="K483" s="23" t="str">
        <f>IFERROR(__xludf.DUMMYFUNCTION("if(REGEXMATCH(join("", "",$F483:$G483),K$1)=TRUE,""✓"",""✗"")"),"✗")</f>
        <v>✗</v>
      </c>
      <c r="L483" s="23" t="str">
        <f>IFERROR(__xludf.DUMMYFUNCTION("if(REGEXMATCH(join("", "",$F483:$G483),L$1)=TRUE,""✓"",""✗"")"),"✗")</f>
        <v>✗</v>
      </c>
      <c r="M483" s="23" t="str">
        <f>IFERROR(__xludf.DUMMYFUNCTION("if(REGEXMATCH(join("", "",$F483:$G483),M$1)=TRUE,""✓"",""✗"")"),"✗")</f>
        <v>✗</v>
      </c>
      <c r="N483" s="23" t="str">
        <f>IFERROR(__xludf.DUMMYFUNCTION("if(REGEXMATCH(join("", "",$F483:$G483),N$1)=TRUE,""✓"",""✗"")"),"✗")</f>
        <v>✗</v>
      </c>
      <c r="O483" s="23" t="str">
        <f>IFERROR(__xludf.DUMMYFUNCTION("if(REGEXMATCH(join("", "",$F483:$G483),O$1)=TRUE,""✓"",""✗"")"),"✗")</f>
        <v>✗</v>
      </c>
      <c r="P483" s="23" t="str">
        <f>IFERROR(__xludf.DUMMYFUNCTION("if(REGEXMATCH(join("", "",$F483:$G483),P$1)=TRUE,""✓"",""✗"")"),"✗")</f>
        <v>✗</v>
      </c>
      <c r="Q483" s="23" t="str">
        <f>IFERROR(__xludf.DUMMYFUNCTION("if(REGEXMATCH(join("", "",$F483:$G483),Q$1)=TRUE,""✓"",""✗"")"),"✗")</f>
        <v>✗</v>
      </c>
      <c r="R483" s="23" t="str">
        <f>IFERROR(__xludf.DUMMYFUNCTION("if(REGEXMATCH(join("", "",$F483:$G483),R$1)=TRUE,""✓"",""✗"")"),"✗")</f>
        <v>✗</v>
      </c>
      <c r="S483" s="23" t="str">
        <f>IFERROR(__xludf.DUMMYFUNCTION("if(REGEXMATCH(join("", "",$F483:$G483),S$1)=TRUE,""✓"",""✗"")"),"✗")</f>
        <v>✗</v>
      </c>
      <c r="T483" s="23" t="str">
        <f>IFERROR(__xludf.DUMMYFUNCTION("if(REGEXMATCH(join("", "",$F483:$G483),T$1)=TRUE,""✓"",""✗"")"),"✗")</f>
        <v>✗</v>
      </c>
      <c r="U483" s="33"/>
      <c r="V483" s="33"/>
      <c r="W483" s="33"/>
      <c r="X483" s="33"/>
      <c r="Y483" s="33"/>
      <c r="Z483" s="33"/>
      <c r="AA483" s="33"/>
      <c r="AB483" s="33"/>
      <c r="AC483" s="33"/>
    </row>
    <row r="484" hidden="1">
      <c r="A484" s="17" t="s">
        <v>302</v>
      </c>
      <c r="B484" s="33"/>
      <c r="C484" s="33"/>
      <c r="D484" s="33"/>
      <c r="E484" s="33"/>
      <c r="F484" s="33"/>
      <c r="G484" s="33"/>
      <c r="H484" s="23" t="str">
        <f>IFERROR(__xludf.DUMMYFUNCTION("if(REGEXMATCH(join("", "",$F484:$G484),H$1)=TRUE,""✓"",""✗"")"),"✗")</f>
        <v>✗</v>
      </c>
      <c r="I484" s="23" t="str">
        <f>IFERROR(__xludf.DUMMYFUNCTION("if(REGEXMATCH(join("", "",$F484:$G484),I$1)=TRUE,""✓"",""✗"")"),"✗")</f>
        <v>✗</v>
      </c>
      <c r="J484" s="23" t="str">
        <f>IFERROR(__xludf.DUMMYFUNCTION("if(REGEXMATCH(join("", "",$F484:$G484),J$1)=TRUE,""✓"",""✗"")"),"✗")</f>
        <v>✗</v>
      </c>
      <c r="K484" s="23" t="str">
        <f>IFERROR(__xludf.DUMMYFUNCTION("if(REGEXMATCH(join("", "",$F484:$G484),K$1)=TRUE,""✓"",""✗"")"),"✗")</f>
        <v>✗</v>
      </c>
      <c r="L484" s="23" t="str">
        <f>IFERROR(__xludf.DUMMYFUNCTION("if(REGEXMATCH(join("", "",$F484:$G484),L$1)=TRUE,""✓"",""✗"")"),"✗")</f>
        <v>✗</v>
      </c>
      <c r="M484" s="23" t="str">
        <f>IFERROR(__xludf.DUMMYFUNCTION("if(REGEXMATCH(join("", "",$F484:$G484),M$1)=TRUE,""✓"",""✗"")"),"✗")</f>
        <v>✗</v>
      </c>
      <c r="N484" s="23" t="str">
        <f>IFERROR(__xludf.DUMMYFUNCTION("if(REGEXMATCH(join("", "",$F484:$G484),N$1)=TRUE,""✓"",""✗"")"),"✗")</f>
        <v>✗</v>
      </c>
      <c r="O484" s="23" t="str">
        <f>IFERROR(__xludf.DUMMYFUNCTION("if(REGEXMATCH(join("", "",$F484:$G484),O$1)=TRUE,""✓"",""✗"")"),"✗")</f>
        <v>✗</v>
      </c>
      <c r="P484" s="23" t="str">
        <f>IFERROR(__xludf.DUMMYFUNCTION("if(REGEXMATCH(join("", "",$F484:$G484),P$1)=TRUE,""✓"",""✗"")"),"✗")</f>
        <v>✗</v>
      </c>
      <c r="Q484" s="23" t="str">
        <f>IFERROR(__xludf.DUMMYFUNCTION("if(REGEXMATCH(join("", "",$F484:$G484),Q$1)=TRUE,""✓"",""✗"")"),"✗")</f>
        <v>✗</v>
      </c>
      <c r="R484" s="23" t="str">
        <f>IFERROR(__xludf.DUMMYFUNCTION("if(REGEXMATCH(join("", "",$F484:$G484),R$1)=TRUE,""✓"",""✗"")"),"✗")</f>
        <v>✗</v>
      </c>
      <c r="S484" s="23" t="str">
        <f>IFERROR(__xludf.DUMMYFUNCTION("if(REGEXMATCH(join("", "",$F484:$G484),S$1)=TRUE,""✓"",""✗"")"),"✗")</f>
        <v>✗</v>
      </c>
      <c r="T484" s="23" t="str">
        <f>IFERROR(__xludf.DUMMYFUNCTION("if(REGEXMATCH(join("", "",$F484:$G484),T$1)=TRUE,""✓"",""✗"")"),"✗")</f>
        <v>✗</v>
      </c>
      <c r="U484" s="33"/>
      <c r="V484" s="33"/>
      <c r="W484" s="33"/>
      <c r="X484" s="33"/>
      <c r="Y484" s="33"/>
      <c r="Z484" s="33"/>
      <c r="AA484" s="33"/>
      <c r="AB484" s="33"/>
      <c r="AC484" s="33"/>
    </row>
    <row r="485" hidden="1">
      <c r="A485" s="17" t="s">
        <v>302</v>
      </c>
      <c r="B485" s="33"/>
      <c r="C485" s="33"/>
      <c r="D485" s="33"/>
      <c r="E485" s="33"/>
      <c r="F485" s="33"/>
      <c r="G485" s="33"/>
      <c r="H485" s="23" t="str">
        <f>IFERROR(__xludf.DUMMYFUNCTION("if(REGEXMATCH(join("", "",$F485:$G485),H$1)=TRUE,""✓"",""✗"")"),"✗")</f>
        <v>✗</v>
      </c>
      <c r="I485" s="23" t="str">
        <f>IFERROR(__xludf.DUMMYFUNCTION("if(REGEXMATCH(join("", "",$F485:$G485),I$1)=TRUE,""✓"",""✗"")"),"✗")</f>
        <v>✗</v>
      </c>
      <c r="J485" s="23" t="str">
        <f>IFERROR(__xludf.DUMMYFUNCTION("if(REGEXMATCH(join("", "",$F485:$G485),J$1)=TRUE,""✓"",""✗"")"),"✗")</f>
        <v>✗</v>
      </c>
      <c r="K485" s="23" t="str">
        <f>IFERROR(__xludf.DUMMYFUNCTION("if(REGEXMATCH(join("", "",$F485:$G485),K$1)=TRUE,""✓"",""✗"")"),"✗")</f>
        <v>✗</v>
      </c>
      <c r="L485" s="23" t="str">
        <f>IFERROR(__xludf.DUMMYFUNCTION("if(REGEXMATCH(join("", "",$F485:$G485),L$1)=TRUE,""✓"",""✗"")"),"✗")</f>
        <v>✗</v>
      </c>
      <c r="M485" s="23" t="str">
        <f>IFERROR(__xludf.DUMMYFUNCTION("if(REGEXMATCH(join("", "",$F485:$G485),M$1)=TRUE,""✓"",""✗"")"),"✗")</f>
        <v>✗</v>
      </c>
      <c r="N485" s="23" t="str">
        <f>IFERROR(__xludf.DUMMYFUNCTION("if(REGEXMATCH(join("", "",$F485:$G485),N$1)=TRUE,""✓"",""✗"")"),"✗")</f>
        <v>✗</v>
      </c>
      <c r="O485" s="23" t="str">
        <f>IFERROR(__xludf.DUMMYFUNCTION("if(REGEXMATCH(join("", "",$F485:$G485),O$1)=TRUE,""✓"",""✗"")"),"✗")</f>
        <v>✗</v>
      </c>
      <c r="P485" s="23" t="str">
        <f>IFERROR(__xludf.DUMMYFUNCTION("if(REGEXMATCH(join("", "",$F485:$G485),P$1)=TRUE,""✓"",""✗"")"),"✗")</f>
        <v>✗</v>
      </c>
      <c r="Q485" s="23" t="str">
        <f>IFERROR(__xludf.DUMMYFUNCTION("if(REGEXMATCH(join("", "",$F485:$G485),Q$1)=TRUE,""✓"",""✗"")"),"✗")</f>
        <v>✗</v>
      </c>
      <c r="R485" s="23" t="str">
        <f>IFERROR(__xludf.DUMMYFUNCTION("if(REGEXMATCH(join("", "",$F485:$G485),R$1)=TRUE,""✓"",""✗"")"),"✗")</f>
        <v>✗</v>
      </c>
      <c r="S485" s="23" t="str">
        <f>IFERROR(__xludf.DUMMYFUNCTION("if(REGEXMATCH(join("", "",$F485:$G485),S$1)=TRUE,""✓"",""✗"")"),"✗")</f>
        <v>✗</v>
      </c>
      <c r="T485" s="23" t="str">
        <f>IFERROR(__xludf.DUMMYFUNCTION("if(REGEXMATCH(join("", "",$F485:$G485),T$1)=TRUE,""✓"",""✗"")"),"✗")</f>
        <v>✗</v>
      </c>
      <c r="U485" s="33"/>
      <c r="V485" s="33"/>
      <c r="W485" s="33"/>
      <c r="X485" s="33"/>
      <c r="Y485" s="33"/>
      <c r="Z485" s="33"/>
      <c r="AA485" s="33"/>
      <c r="AB485" s="33"/>
      <c r="AC485" s="33"/>
    </row>
    <row r="486" hidden="1">
      <c r="A486" s="17" t="s">
        <v>302</v>
      </c>
      <c r="B486" s="33"/>
      <c r="C486" s="33"/>
      <c r="D486" s="33"/>
      <c r="E486" s="33"/>
      <c r="F486" s="33"/>
      <c r="G486" s="33"/>
      <c r="H486" s="23" t="str">
        <f>IFERROR(__xludf.DUMMYFUNCTION("if(REGEXMATCH(join("", "",$F486:$G486),H$1)=TRUE,""✓"",""✗"")"),"✗")</f>
        <v>✗</v>
      </c>
      <c r="I486" s="23" t="str">
        <f>IFERROR(__xludf.DUMMYFUNCTION("if(REGEXMATCH(join("", "",$F486:$G486),I$1)=TRUE,""✓"",""✗"")"),"✗")</f>
        <v>✗</v>
      </c>
      <c r="J486" s="23" t="str">
        <f>IFERROR(__xludf.DUMMYFUNCTION("if(REGEXMATCH(join("", "",$F486:$G486),J$1)=TRUE,""✓"",""✗"")"),"✗")</f>
        <v>✗</v>
      </c>
      <c r="K486" s="23" t="str">
        <f>IFERROR(__xludf.DUMMYFUNCTION("if(REGEXMATCH(join("", "",$F486:$G486),K$1)=TRUE,""✓"",""✗"")"),"✗")</f>
        <v>✗</v>
      </c>
      <c r="L486" s="23" t="str">
        <f>IFERROR(__xludf.DUMMYFUNCTION("if(REGEXMATCH(join("", "",$F486:$G486),L$1)=TRUE,""✓"",""✗"")"),"✗")</f>
        <v>✗</v>
      </c>
      <c r="M486" s="23" t="str">
        <f>IFERROR(__xludf.DUMMYFUNCTION("if(REGEXMATCH(join("", "",$F486:$G486),M$1)=TRUE,""✓"",""✗"")"),"✗")</f>
        <v>✗</v>
      </c>
      <c r="N486" s="23" t="str">
        <f>IFERROR(__xludf.DUMMYFUNCTION("if(REGEXMATCH(join("", "",$F486:$G486),N$1)=TRUE,""✓"",""✗"")"),"✗")</f>
        <v>✗</v>
      </c>
      <c r="O486" s="23" t="str">
        <f>IFERROR(__xludf.DUMMYFUNCTION("if(REGEXMATCH(join("", "",$F486:$G486),O$1)=TRUE,""✓"",""✗"")"),"✗")</f>
        <v>✗</v>
      </c>
      <c r="P486" s="23" t="str">
        <f>IFERROR(__xludf.DUMMYFUNCTION("if(REGEXMATCH(join("", "",$F486:$G486),P$1)=TRUE,""✓"",""✗"")"),"✗")</f>
        <v>✗</v>
      </c>
      <c r="Q486" s="23" t="str">
        <f>IFERROR(__xludf.DUMMYFUNCTION("if(REGEXMATCH(join("", "",$F486:$G486),Q$1)=TRUE,""✓"",""✗"")"),"✗")</f>
        <v>✗</v>
      </c>
      <c r="R486" s="23" t="str">
        <f>IFERROR(__xludf.DUMMYFUNCTION("if(REGEXMATCH(join("", "",$F486:$G486),R$1)=TRUE,""✓"",""✗"")"),"✗")</f>
        <v>✗</v>
      </c>
      <c r="S486" s="23" t="str">
        <f>IFERROR(__xludf.DUMMYFUNCTION("if(REGEXMATCH(join("", "",$F486:$G486),S$1)=TRUE,""✓"",""✗"")"),"✗")</f>
        <v>✗</v>
      </c>
      <c r="T486" s="23" t="str">
        <f>IFERROR(__xludf.DUMMYFUNCTION("if(REGEXMATCH(join("", "",$F486:$G486),T$1)=TRUE,""✓"",""✗"")"),"✗")</f>
        <v>✗</v>
      </c>
      <c r="U486" s="33"/>
      <c r="V486" s="33"/>
      <c r="W486" s="33"/>
      <c r="X486" s="33"/>
      <c r="Y486" s="33"/>
      <c r="Z486" s="33"/>
      <c r="AA486" s="33"/>
      <c r="AB486" s="33"/>
      <c r="AC486" s="33"/>
    </row>
    <row r="487" hidden="1">
      <c r="A487" s="17" t="s">
        <v>302</v>
      </c>
      <c r="B487" s="33"/>
      <c r="C487" s="33"/>
      <c r="D487" s="33"/>
      <c r="E487" s="33"/>
      <c r="F487" s="33"/>
      <c r="G487" s="33"/>
      <c r="H487" s="23" t="str">
        <f>IFERROR(__xludf.DUMMYFUNCTION("if(REGEXMATCH(join("", "",$F487:$G487),H$1)=TRUE,""✓"",""✗"")"),"✗")</f>
        <v>✗</v>
      </c>
      <c r="I487" s="23" t="str">
        <f>IFERROR(__xludf.DUMMYFUNCTION("if(REGEXMATCH(join("", "",$F487:$G487),I$1)=TRUE,""✓"",""✗"")"),"✗")</f>
        <v>✗</v>
      </c>
      <c r="J487" s="23" t="str">
        <f>IFERROR(__xludf.DUMMYFUNCTION("if(REGEXMATCH(join("", "",$F487:$G487),J$1)=TRUE,""✓"",""✗"")"),"✗")</f>
        <v>✗</v>
      </c>
      <c r="K487" s="23" t="str">
        <f>IFERROR(__xludf.DUMMYFUNCTION("if(REGEXMATCH(join("", "",$F487:$G487),K$1)=TRUE,""✓"",""✗"")"),"✗")</f>
        <v>✗</v>
      </c>
      <c r="L487" s="23" t="str">
        <f>IFERROR(__xludf.DUMMYFUNCTION("if(REGEXMATCH(join("", "",$F487:$G487),L$1)=TRUE,""✓"",""✗"")"),"✗")</f>
        <v>✗</v>
      </c>
      <c r="M487" s="23" t="str">
        <f>IFERROR(__xludf.DUMMYFUNCTION("if(REGEXMATCH(join("", "",$F487:$G487),M$1)=TRUE,""✓"",""✗"")"),"✗")</f>
        <v>✗</v>
      </c>
      <c r="N487" s="23" t="str">
        <f>IFERROR(__xludf.DUMMYFUNCTION("if(REGEXMATCH(join("", "",$F487:$G487),N$1)=TRUE,""✓"",""✗"")"),"✗")</f>
        <v>✗</v>
      </c>
      <c r="O487" s="23" t="str">
        <f>IFERROR(__xludf.DUMMYFUNCTION("if(REGEXMATCH(join("", "",$F487:$G487),O$1)=TRUE,""✓"",""✗"")"),"✗")</f>
        <v>✗</v>
      </c>
      <c r="P487" s="23" t="str">
        <f>IFERROR(__xludf.DUMMYFUNCTION("if(REGEXMATCH(join("", "",$F487:$G487),P$1)=TRUE,""✓"",""✗"")"),"✗")</f>
        <v>✗</v>
      </c>
      <c r="Q487" s="23" t="str">
        <f>IFERROR(__xludf.DUMMYFUNCTION("if(REGEXMATCH(join("", "",$F487:$G487),Q$1)=TRUE,""✓"",""✗"")"),"✗")</f>
        <v>✗</v>
      </c>
      <c r="R487" s="23" t="str">
        <f>IFERROR(__xludf.DUMMYFUNCTION("if(REGEXMATCH(join("", "",$F487:$G487),R$1)=TRUE,""✓"",""✗"")"),"✗")</f>
        <v>✗</v>
      </c>
      <c r="S487" s="23" t="str">
        <f>IFERROR(__xludf.DUMMYFUNCTION("if(REGEXMATCH(join("", "",$F487:$G487),S$1)=TRUE,""✓"",""✗"")"),"✗")</f>
        <v>✗</v>
      </c>
      <c r="T487" s="23" t="str">
        <f>IFERROR(__xludf.DUMMYFUNCTION("if(REGEXMATCH(join("", "",$F487:$G487),T$1)=TRUE,""✓"",""✗"")"),"✗")</f>
        <v>✗</v>
      </c>
      <c r="U487" s="33"/>
      <c r="V487" s="33"/>
      <c r="W487" s="33"/>
      <c r="X487" s="33"/>
      <c r="Y487" s="33"/>
      <c r="Z487" s="33"/>
      <c r="AA487" s="33"/>
      <c r="AB487" s="33"/>
      <c r="AC487" s="33"/>
    </row>
    <row r="488" hidden="1">
      <c r="A488" s="17" t="s">
        <v>302</v>
      </c>
      <c r="B488" s="33"/>
      <c r="C488" s="33"/>
      <c r="D488" s="33"/>
      <c r="E488" s="33"/>
      <c r="F488" s="33"/>
      <c r="G488" s="33"/>
      <c r="H488" s="23" t="str">
        <f>IFERROR(__xludf.DUMMYFUNCTION("if(REGEXMATCH(join("", "",$F488:$G488),H$1)=TRUE,""✓"",""✗"")"),"✗")</f>
        <v>✗</v>
      </c>
      <c r="I488" s="23" t="str">
        <f>IFERROR(__xludf.DUMMYFUNCTION("if(REGEXMATCH(join("", "",$F488:$G488),I$1)=TRUE,""✓"",""✗"")"),"✗")</f>
        <v>✗</v>
      </c>
      <c r="J488" s="23" t="str">
        <f>IFERROR(__xludf.DUMMYFUNCTION("if(REGEXMATCH(join("", "",$F488:$G488),J$1)=TRUE,""✓"",""✗"")"),"✗")</f>
        <v>✗</v>
      </c>
      <c r="K488" s="23" t="str">
        <f>IFERROR(__xludf.DUMMYFUNCTION("if(REGEXMATCH(join("", "",$F488:$G488),K$1)=TRUE,""✓"",""✗"")"),"✗")</f>
        <v>✗</v>
      </c>
      <c r="L488" s="23" t="str">
        <f>IFERROR(__xludf.DUMMYFUNCTION("if(REGEXMATCH(join("", "",$F488:$G488),L$1)=TRUE,""✓"",""✗"")"),"✗")</f>
        <v>✗</v>
      </c>
      <c r="M488" s="23" t="str">
        <f>IFERROR(__xludf.DUMMYFUNCTION("if(REGEXMATCH(join("", "",$F488:$G488),M$1)=TRUE,""✓"",""✗"")"),"✗")</f>
        <v>✗</v>
      </c>
      <c r="N488" s="23" t="str">
        <f>IFERROR(__xludf.DUMMYFUNCTION("if(REGEXMATCH(join("", "",$F488:$G488),N$1)=TRUE,""✓"",""✗"")"),"✗")</f>
        <v>✗</v>
      </c>
      <c r="O488" s="23" t="str">
        <f>IFERROR(__xludf.DUMMYFUNCTION("if(REGEXMATCH(join("", "",$F488:$G488),O$1)=TRUE,""✓"",""✗"")"),"✗")</f>
        <v>✗</v>
      </c>
      <c r="P488" s="23" t="str">
        <f>IFERROR(__xludf.DUMMYFUNCTION("if(REGEXMATCH(join("", "",$F488:$G488),P$1)=TRUE,""✓"",""✗"")"),"✗")</f>
        <v>✗</v>
      </c>
      <c r="Q488" s="23" t="str">
        <f>IFERROR(__xludf.DUMMYFUNCTION("if(REGEXMATCH(join("", "",$F488:$G488),Q$1)=TRUE,""✓"",""✗"")"),"✗")</f>
        <v>✗</v>
      </c>
      <c r="R488" s="23" t="str">
        <f>IFERROR(__xludf.DUMMYFUNCTION("if(REGEXMATCH(join("", "",$F488:$G488),R$1)=TRUE,""✓"",""✗"")"),"✗")</f>
        <v>✗</v>
      </c>
      <c r="S488" s="23" t="str">
        <f>IFERROR(__xludf.DUMMYFUNCTION("if(REGEXMATCH(join("", "",$F488:$G488),S$1)=TRUE,""✓"",""✗"")"),"✗")</f>
        <v>✗</v>
      </c>
      <c r="T488" s="23" t="str">
        <f>IFERROR(__xludf.DUMMYFUNCTION("if(REGEXMATCH(join("", "",$F488:$G488),T$1)=TRUE,""✓"",""✗"")"),"✗")</f>
        <v>✗</v>
      </c>
      <c r="U488" s="33"/>
      <c r="V488" s="33"/>
      <c r="W488" s="33"/>
      <c r="X488" s="33"/>
      <c r="Y488" s="33"/>
      <c r="Z488" s="33"/>
      <c r="AA488" s="33"/>
      <c r="AB488" s="33"/>
      <c r="AC488" s="33"/>
    </row>
    <row r="489" hidden="1">
      <c r="A489" s="17" t="s">
        <v>302</v>
      </c>
      <c r="B489" s="33"/>
      <c r="C489" s="33"/>
      <c r="D489" s="33"/>
      <c r="E489" s="33"/>
      <c r="F489" s="33"/>
      <c r="G489" s="33"/>
      <c r="H489" s="23" t="str">
        <f>IFERROR(__xludf.DUMMYFUNCTION("if(REGEXMATCH(join("", "",$F489:$G489),H$1)=TRUE,""✓"",""✗"")"),"✗")</f>
        <v>✗</v>
      </c>
      <c r="I489" s="23" t="str">
        <f>IFERROR(__xludf.DUMMYFUNCTION("if(REGEXMATCH(join("", "",$F489:$G489),I$1)=TRUE,""✓"",""✗"")"),"✗")</f>
        <v>✗</v>
      </c>
      <c r="J489" s="23" t="str">
        <f>IFERROR(__xludf.DUMMYFUNCTION("if(REGEXMATCH(join("", "",$F489:$G489),J$1)=TRUE,""✓"",""✗"")"),"✗")</f>
        <v>✗</v>
      </c>
      <c r="K489" s="23" t="str">
        <f>IFERROR(__xludf.DUMMYFUNCTION("if(REGEXMATCH(join("", "",$F489:$G489),K$1)=TRUE,""✓"",""✗"")"),"✗")</f>
        <v>✗</v>
      </c>
      <c r="L489" s="23" t="str">
        <f>IFERROR(__xludf.DUMMYFUNCTION("if(REGEXMATCH(join("", "",$F489:$G489),L$1)=TRUE,""✓"",""✗"")"),"✗")</f>
        <v>✗</v>
      </c>
      <c r="M489" s="23" t="str">
        <f>IFERROR(__xludf.DUMMYFUNCTION("if(REGEXMATCH(join("", "",$F489:$G489),M$1)=TRUE,""✓"",""✗"")"),"✗")</f>
        <v>✗</v>
      </c>
      <c r="N489" s="23" t="str">
        <f>IFERROR(__xludf.DUMMYFUNCTION("if(REGEXMATCH(join("", "",$F489:$G489),N$1)=TRUE,""✓"",""✗"")"),"✗")</f>
        <v>✗</v>
      </c>
      <c r="O489" s="23" t="str">
        <f>IFERROR(__xludf.DUMMYFUNCTION("if(REGEXMATCH(join("", "",$F489:$G489),O$1)=TRUE,""✓"",""✗"")"),"✗")</f>
        <v>✗</v>
      </c>
      <c r="P489" s="23" t="str">
        <f>IFERROR(__xludf.DUMMYFUNCTION("if(REGEXMATCH(join("", "",$F489:$G489),P$1)=TRUE,""✓"",""✗"")"),"✗")</f>
        <v>✗</v>
      </c>
      <c r="Q489" s="23" t="str">
        <f>IFERROR(__xludf.DUMMYFUNCTION("if(REGEXMATCH(join("", "",$F489:$G489),Q$1)=TRUE,""✓"",""✗"")"),"✗")</f>
        <v>✗</v>
      </c>
      <c r="R489" s="23" t="str">
        <f>IFERROR(__xludf.DUMMYFUNCTION("if(REGEXMATCH(join("", "",$F489:$G489),R$1)=TRUE,""✓"",""✗"")"),"✗")</f>
        <v>✗</v>
      </c>
      <c r="S489" s="23" t="str">
        <f>IFERROR(__xludf.DUMMYFUNCTION("if(REGEXMATCH(join("", "",$F489:$G489),S$1)=TRUE,""✓"",""✗"")"),"✗")</f>
        <v>✗</v>
      </c>
      <c r="T489" s="23" t="str">
        <f>IFERROR(__xludf.DUMMYFUNCTION("if(REGEXMATCH(join("", "",$F489:$G489),T$1)=TRUE,""✓"",""✗"")"),"✗")</f>
        <v>✗</v>
      </c>
      <c r="U489" s="33"/>
      <c r="V489" s="33"/>
      <c r="W489" s="33"/>
      <c r="X489" s="33"/>
      <c r="Y489" s="33"/>
      <c r="Z489" s="33"/>
      <c r="AA489" s="33"/>
      <c r="AB489" s="33"/>
      <c r="AC489" s="33"/>
    </row>
    <row r="490" hidden="1">
      <c r="A490" s="17" t="s">
        <v>302</v>
      </c>
      <c r="B490" s="33"/>
      <c r="C490" s="33"/>
      <c r="D490" s="33"/>
      <c r="E490" s="33"/>
      <c r="F490" s="33"/>
      <c r="G490" s="33"/>
      <c r="H490" s="23" t="str">
        <f>IFERROR(__xludf.DUMMYFUNCTION("if(REGEXMATCH(join("", "",$F490:$G490),H$1)=TRUE,""✓"",""✗"")"),"✗")</f>
        <v>✗</v>
      </c>
      <c r="I490" s="23" t="str">
        <f>IFERROR(__xludf.DUMMYFUNCTION("if(REGEXMATCH(join("", "",$F490:$G490),I$1)=TRUE,""✓"",""✗"")"),"✗")</f>
        <v>✗</v>
      </c>
      <c r="J490" s="23" t="str">
        <f>IFERROR(__xludf.DUMMYFUNCTION("if(REGEXMATCH(join("", "",$F490:$G490),J$1)=TRUE,""✓"",""✗"")"),"✗")</f>
        <v>✗</v>
      </c>
      <c r="K490" s="23" t="str">
        <f>IFERROR(__xludf.DUMMYFUNCTION("if(REGEXMATCH(join("", "",$F490:$G490),K$1)=TRUE,""✓"",""✗"")"),"✗")</f>
        <v>✗</v>
      </c>
      <c r="L490" s="23" t="str">
        <f>IFERROR(__xludf.DUMMYFUNCTION("if(REGEXMATCH(join("", "",$F490:$G490),L$1)=TRUE,""✓"",""✗"")"),"✗")</f>
        <v>✗</v>
      </c>
      <c r="M490" s="23" t="str">
        <f>IFERROR(__xludf.DUMMYFUNCTION("if(REGEXMATCH(join("", "",$F490:$G490),M$1)=TRUE,""✓"",""✗"")"),"✗")</f>
        <v>✗</v>
      </c>
      <c r="N490" s="23" t="str">
        <f>IFERROR(__xludf.DUMMYFUNCTION("if(REGEXMATCH(join("", "",$F490:$G490),N$1)=TRUE,""✓"",""✗"")"),"✗")</f>
        <v>✗</v>
      </c>
      <c r="O490" s="23" t="str">
        <f>IFERROR(__xludf.DUMMYFUNCTION("if(REGEXMATCH(join("", "",$F490:$G490),O$1)=TRUE,""✓"",""✗"")"),"✗")</f>
        <v>✗</v>
      </c>
      <c r="P490" s="23" t="str">
        <f>IFERROR(__xludf.DUMMYFUNCTION("if(REGEXMATCH(join("", "",$F490:$G490),P$1)=TRUE,""✓"",""✗"")"),"✗")</f>
        <v>✗</v>
      </c>
      <c r="Q490" s="23" t="str">
        <f>IFERROR(__xludf.DUMMYFUNCTION("if(REGEXMATCH(join("", "",$F490:$G490),Q$1)=TRUE,""✓"",""✗"")"),"✗")</f>
        <v>✗</v>
      </c>
      <c r="R490" s="23" t="str">
        <f>IFERROR(__xludf.DUMMYFUNCTION("if(REGEXMATCH(join("", "",$F490:$G490),R$1)=TRUE,""✓"",""✗"")"),"✗")</f>
        <v>✗</v>
      </c>
      <c r="S490" s="23" t="str">
        <f>IFERROR(__xludf.DUMMYFUNCTION("if(REGEXMATCH(join("", "",$F490:$G490),S$1)=TRUE,""✓"",""✗"")"),"✗")</f>
        <v>✗</v>
      </c>
      <c r="T490" s="23" t="str">
        <f>IFERROR(__xludf.DUMMYFUNCTION("if(REGEXMATCH(join("", "",$F490:$G490),T$1)=TRUE,""✓"",""✗"")"),"✗")</f>
        <v>✗</v>
      </c>
      <c r="U490" s="33"/>
      <c r="V490" s="33"/>
      <c r="W490" s="33"/>
      <c r="X490" s="33"/>
      <c r="Y490" s="33"/>
      <c r="Z490" s="33"/>
      <c r="AA490" s="33"/>
      <c r="AB490" s="33"/>
      <c r="AC490" s="33"/>
    </row>
    <row r="491" hidden="1">
      <c r="A491" s="17" t="s">
        <v>302</v>
      </c>
      <c r="B491" s="33"/>
      <c r="C491" s="33"/>
      <c r="D491" s="33"/>
      <c r="E491" s="33"/>
      <c r="F491" s="33"/>
      <c r="G491" s="33"/>
      <c r="H491" s="23" t="str">
        <f>IFERROR(__xludf.DUMMYFUNCTION("if(REGEXMATCH(join("", "",$F491:$G491),H$1)=TRUE,""✓"",""✗"")"),"✗")</f>
        <v>✗</v>
      </c>
      <c r="I491" s="23" t="str">
        <f>IFERROR(__xludf.DUMMYFUNCTION("if(REGEXMATCH(join("", "",$F491:$G491),I$1)=TRUE,""✓"",""✗"")"),"✗")</f>
        <v>✗</v>
      </c>
      <c r="J491" s="23" t="str">
        <f>IFERROR(__xludf.DUMMYFUNCTION("if(REGEXMATCH(join("", "",$F491:$G491),J$1)=TRUE,""✓"",""✗"")"),"✗")</f>
        <v>✗</v>
      </c>
      <c r="K491" s="23" t="str">
        <f>IFERROR(__xludf.DUMMYFUNCTION("if(REGEXMATCH(join("", "",$F491:$G491),K$1)=TRUE,""✓"",""✗"")"),"✗")</f>
        <v>✗</v>
      </c>
      <c r="L491" s="23" t="str">
        <f>IFERROR(__xludf.DUMMYFUNCTION("if(REGEXMATCH(join("", "",$F491:$G491),L$1)=TRUE,""✓"",""✗"")"),"✗")</f>
        <v>✗</v>
      </c>
      <c r="M491" s="23" t="str">
        <f>IFERROR(__xludf.DUMMYFUNCTION("if(REGEXMATCH(join("", "",$F491:$G491),M$1)=TRUE,""✓"",""✗"")"),"✗")</f>
        <v>✗</v>
      </c>
      <c r="N491" s="23" t="str">
        <f>IFERROR(__xludf.DUMMYFUNCTION("if(REGEXMATCH(join("", "",$F491:$G491),N$1)=TRUE,""✓"",""✗"")"),"✗")</f>
        <v>✗</v>
      </c>
      <c r="O491" s="23" t="str">
        <f>IFERROR(__xludf.DUMMYFUNCTION("if(REGEXMATCH(join("", "",$F491:$G491),O$1)=TRUE,""✓"",""✗"")"),"✗")</f>
        <v>✗</v>
      </c>
      <c r="P491" s="23" t="str">
        <f>IFERROR(__xludf.DUMMYFUNCTION("if(REGEXMATCH(join("", "",$F491:$G491),P$1)=TRUE,""✓"",""✗"")"),"✗")</f>
        <v>✗</v>
      </c>
      <c r="Q491" s="23" t="str">
        <f>IFERROR(__xludf.DUMMYFUNCTION("if(REGEXMATCH(join("", "",$F491:$G491),Q$1)=TRUE,""✓"",""✗"")"),"✗")</f>
        <v>✗</v>
      </c>
      <c r="R491" s="23" t="str">
        <f>IFERROR(__xludf.DUMMYFUNCTION("if(REGEXMATCH(join("", "",$F491:$G491),R$1)=TRUE,""✓"",""✗"")"),"✗")</f>
        <v>✗</v>
      </c>
      <c r="S491" s="23" t="str">
        <f>IFERROR(__xludf.DUMMYFUNCTION("if(REGEXMATCH(join("", "",$F491:$G491),S$1)=TRUE,""✓"",""✗"")"),"✗")</f>
        <v>✗</v>
      </c>
      <c r="T491" s="23" t="str">
        <f>IFERROR(__xludf.DUMMYFUNCTION("if(REGEXMATCH(join("", "",$F491:$G491),T$1)=TRUE,""✓"",""✗"")"),"✗")</f>
        <v>✗</v>
      </c>
      <c r="U491" s="33"/>
      <c r="V491" s="33"/>
      <c r="W491" s="33"/>
      <c r="X491" s="33"/>
      <c r="Y491" s="33"/>
      <c r="Z491" s="33"/>
      <c r="AA491" s="33"/>
      <c r="AB491" s="33"/>
      <c r="AC491" s="33"/>
    </row>
    <row r="492" hidden="1">
      <c r="A492" s="17" t="s">
        <v>302</v>
      </c>
      <c r="B492" s="33"/>
      <c r="C492" s="33"/>
      <c r="D492" s="33"/>
      <c r="E492" s="33"/>
      <c r="F492" s="33"/>
      <c r="G492" s="33"/>
      <c r="H492" s="23" t="str">
        <f>IFERROR(__xludf.DUMMYFUNCTION("if(REGEXMATCH(join("", "",$F492:$G492),H$1)=TRUE,""✓"",""✗"")"),"✗")</f>
        <v>✗</v>
      </c>
      <c r="I492" s="23" t="str">
        <f>IFERROR(__xludf.DUMMYFUNCTION("if(REGEXMATCH(join("", "",$F492:$G492),I$1)=TRUE,""✓"",""✗"")"),"✗")</f>
        <v>✗</v>
      </c>
      <c r="J492" s="23" t="str">
        <f>IFERROR(__xludf.DUMMYFUNCTION("if(REGEXMATCH(join("", "",$F492:$G492),J$1)=TRUE,""✓"",""✗"")"),"✗")</f>
        <v>✗</v>
      </c>
      <c r="K492" s="23" t="str">
        <f>IFERROR(__xludf.DUMMYFUNCTION("if(REGEXMATCH(join("", "",$F492:$G492),K$1)=TRUE,""✓"",""✗"")"),"✗")</f>
        <v>✗</v>
      </c>
      <c r="L492" s="23" t="str">
        <f>IFERROR(__xludf.DUMMYFUNCTION("if(REGEXMATCH(join("", "",$F492:$G492),L$1)=TRUE,""✓"",""✗"")"),"✗")</f>
        <v>✗</v>
      </c>
      <c r="M492" s="23" t="str">
        <f>IFERROR(__xludf.DUMMYFUNCTION("if(REGEXMATCH(join("", "",$F492:$G492),M$1)=TRUE,""✓"",""✗"")"),"✗")</f>
        <v>✗</v>
      </c>
      <c r="N492" s="23" t="str">
        <f>IFERROR(__xludf.DUMMYFUNCTION("if(REGEXMATCH(join("", "",$F492:$G492),N$1)=TRUE,""✓"",""✗"")"),"✗")</f>
        <v>✗</v>
      </c>
      <c r="O492" s="23" t="str">
        <f>IFERROR(__xludf.DUMMYFUNCTION("if(REGEXMATCH(join("", "",$F492:$G492),O$1)=TRUE,""✓"",""✗"")"),"✗")</f>
        <v>✗</v>
      </c>
      <c r="P492" s="23" t="str">
        <f>IFERROR(__xludf.DUMMYFUNCTION("if(REGEXMATCH(join("", "",$F492:$G492),P$1)=TRUE,""✓"",""✗"")"),"✗")</f>
        <v>✗</v>
      </c>
      <c r="Q492" s="23" t="str">
        <f>IFERROR(__xludf.DUMMYFUNCTION("if(REGEXMATCH(join("", "",$F492:$G492),Q$1)=TRUE,""✓"",""✗"")"),"✗")</f>
        <v>✗</v>
      </c>
      <c r="R492" s="23" t="str">
        <f>IFERROR(__xludf.DUMMYFUNCTION("if(REGEXMATCH(join("", "",$F492:$G492),R$1)=TRUE,""✓"",""✗"")"),"✗")</f>
        <v>✗</v>
      </c>
      <c r="S492" s="23" t="str">
        <f>IFERROR(__xludf.DUMMYFUNCTION("if(REGEXMATCH(join("", "",$F492:$G492),S$1)=TRUE,""✓"",""✗"")"),"✗")</f>
        <v>✗</v>
      </c>
      <c r="T492" s="23" t="str">
        <f>IFERROR(__xludf.DUMMYFUNCTION("if(REGEXMATCH(join("", "",$F492:$G492),T$1)=TRUE,""✓"",""✗"")"),"✗")</f>
        <v>✗</v>
      </c>
      <c r="U492" s="33"/>
      <c r="V492" s="33"/>
      <c r="W492" s="33"/>
      <c r="X492" s="33"/>
      <c r="Y492" s="33"/>
      <c r="Z492" s="33"/>
      <c r="AA492" s="33"/>
      <c r="AB492" s="33"/>
      <c r="AC492" s="33"/>
    </row>
    <row r="493" hidden="1">
      <c r="A493" s="17" t="s">
        <v>302</v>
      </c>
      <c r="B493" s="33"/>
      <c r="C493" s="33"/>
      <c r="D493" s="33"/>
      <c r="E493" s="33"/>
      <c r="F493" s="33"/>
      <c r="G493" s="33"/>
      <c r="H493" s="23" t="str">
        <f>IFERROR(__xludf.DUMMYFUNCTION("if(REGEXMATCH(join("", "",$F493:$G493),H$1)=TRUE,""✓"",""✗"")"),"✗")</f>
        <v>✗</v>
      </c>
      <c r="I493" s="23" t="str">
        <f>IFERROR(__xludf.DUMMYFUNCTION("if(REGEXMATCH(join("", "",$F493:$G493),I$1)=TRUE,""✓"",""✗"")"),"✗")</f>
        <v>✗</v>
      </c>
      <c r="J493" s="23" t="str">
        <f>IFERROR(__xludf.DUMMYFUNCTION("if(REGEXMATCH(join("", "",$F493:$G493),J$1)=TRUE,""✓"",""✗"")"),"✗")</f>
        <v>✗</v>
      </c>
      <c r="K493" s="23" t="str">
        <f>IFERROR(__xludf.DUMMYFUNCTION("if(REGEXMATCH(join("", "",$F493:$G493),K$1)=TRUE,""✓"",""✗"")"),"✗")</f>
        <v>✗</v>
      </c>
      <c r="L493" s="23" t="str">
        <f>IFERROR(__xludf.DUMMYFUNCTION("if(REGEXMATCH(join("", "",$F493:$G493),L$1)=TRUE,""✓"",""✗"")"),"✗")</f>
        <v>✗</v>
      </c>
      <c r="M493" s="23" t="str">
        <f>IFERROR(__xludf.DUMMYFUNCTION("if(REGEXMATCH(join("", "",$F493:$G493),M$1)=TRUE,""✓"",""✗"")"),"✗")</f>
        <v>✗</v>
      </c>
      <c r="N493" s="23" t="str">
        <f>IFERROR(__xludf.DUMMYFUNCTION("if(REGEXMATCH(join("", "",$F493:$G493),N$1)=TRUE,""✓"",""✗"")"),"✗")</f>
        <v>✗</v>
      </c>
      <c r="O493" s="23" t="str">
        <f>IFERROR(__xludf.DUMMYFUNCTION("if(REGEXMATCH(join("", "",$F493:$G493),O$1)=TRUE,""✓"",""✗"")"),"✗")</f>
        <v>✗</v>
      </c>
      <c r="P493" s="23" t="str">
        <f>IFERROR(__xludf.DUMMYFUNCTION("if(REGEXMATCH(join("", "",$F493:$G493),P$1)=TRUE,""✓"",""✗"")"),"✗")</f>
        <v>✗</v>
      </c>
      <c r="Q493" s="23" t="str">
        <f>IFERROR(__xludf.DUMMYFUNCTION("if(REGEXMATCH(join("", "",$F493:$G493),Q$1)=TRUE,""✓"",""✗"")"),"✗")</f>
        <v>✗</v>
      </c>
      <c r="R493" s="23" t="str">
        <f>IFERROR(__xludf.DUMMYFUNCTION("if(REGEXMATCH(join("", "",$F493:$G493),R$1)=TRUE,""✓"",""✗"")"),"✗")</f>
        <v>✗</v>
      </c>
      <c r="S493" s="23" t="str">
        <f>IFERROR(__xludf.DUMMYFUNCTION("if(REGEXMATCH(join("", "",$F493:$G493),S$1)=TRUE,""✓"",""✗"")"),"✗")</f>
        <v>✗</v>
      </c>
      <c r="T493" s="23" t="str">
        <f>IFERROR(__xludf.DUMMYFUNCTION("if(REGEXMATCH(join("", "",$F493:$G493),T$1)=TRUE,""✓"",""✗"")"),"✗")</f>
        <v>✗</v>
      </c>
      <c r="U493" s="33"/>
      <c r="V493" s="33"/>
      <c r="W493" s="33"/>
      <c r="X493" s="33"/>
      <c r="Y493" s="33"/>
      <c r="Z493" s="33"/>
      <c r="AA493" s="33"/>
      <c r="AB493" s="33"/>
      <c r="AC493" s="33"/>
    </row>
    <row r="494" hidden="1">
      <c r="A494" s="17" t="s">
        <v>302</v>
      </c>
      <c r="B494" s="33"/>
      <c r="C494" s="33"/>
      <c r="D494" s="33"/>
      <c r="E494" s="33"/>
      <c r="F494" s="33"/>
      <c r="G494" s="33"/>
      <c r="H494" s="23" t="str">
        <f>IFERROR(__xludf.DUMMYFUNCTION("if(REGEXMATCH(join("", "",$F494:$G494),H$1)=TRUE,""✓"",""✗"")"),"✗")</f>
        <v>✗</v>
      </c>
      <c r="I494" s="23" t="str">
        <f>IFERROR(__xludf.DUMMYFUNCTION("if(REGEXMATCH(join("", "",$F494:$G494),I$1)=TRUE,""✓"",""✗"")"),"✗")</f>
        <v>✗</v>
      </c>
      <c r="J494" s="23" t="str">
        <f>IFERROR(__xludf.DUMMYFUNCTION("if(REGEXMATCH(join("", "",$F494:$G494),J$1)=TRUE,""✓"",""✗"")"),"✗")</f>
        <v>✗</v>
      </c>
      <c r="K494" s="23" t="str">
        <f>IFERROR(__xludf.DUMMYFUNCTION("if(REGEXMATCH(join("", "",$F494:$G494),K$1)=TRUE,""✓"",""✗"")"),"✗")</f>
        <v>✗</v>
      </c>
      <c r="L494" s="23" t="str">
        <f>IFERROR(__xludf.DUMMYFUNCTION("if(REGEXMATCH(join("", "",$F494:$G494),L$1)=TRUE,""✓"",""✗"")"),"✗")</f>
        <v>✗</v>
      </c>
      <c r="M494" s="23" t="str">
        <f>IFERROR(__xludf.DUMMYFUNCTION("if(REGEXMATCH(join("", "",$F494:$G494),M$1)=TRUE,""✓"",""✗"")"),"✗")</f>
        <v>✗</v>
      </c>
      <c r="N494" s="23" t="str">
        <f>IFERROR(__xludf.DUMMYFUNCTION("if(REGEXMATCH(join("", "",$F494:$G494),N$1)=TRUE,""✓"",""✗"")"),"✗")</f>
        <v>✗</v>
      </c>
      <c r="O494" s="23" t="str">
        <f>IFERROR(__xludf.DUMMYFUNCTION("if(REGEXMATCH(join("", "",$F494:$G494),O$1)=TRUE,""✓"",""✗"")"),"✗")</f>
        <v>✗</v>
      </c>
      <c r="P494" s="23" t="str">
        <f>IFERROR(__xludf.DUMMYFUNCTION("if(REGEXMATCH(join("", "",$F494:$G494),P$1)=TRUE,""✓"",""✗"")"),"✗")</f>
        <v>✗</v>
      </c>
      <c r="Q494" s="23" t="str">
        <f>IFERROR(__xludf.DUMMYFUNCTION("if(REGEXMATCH(join("", "",$F494:$G494),Q$1)=TRUE,""✓"",""✗"")"),"✗")</f>
        <v>✗</v>
      </c>
      <c r="R494" s="23" t="str">
        <f>IFERROR(__xludf.DUMMYFUNCTION("if(REGEXMATCH(join("", "",$F494:$G494),R$1)=TRUE,""✓"",""✗"")"),"✗")</f>
        <v>✗</v>
      </c>
      <c r="S494" s="23" t="str">
        <f>IFERROR(__xludf.DUMMYFUNCTION("if(REGEXMATCH(join("", "",$F494:$G494),S$1)=TRUE,""✓"",""✗"")"),"✗")</f>
        <v>✗</v>
      </c>
      <c r="T494" s="23" t="str">
        <f>IFERROR(__xludf.DUMMYFUNCTION("if(REGEXMATCH(join("", "",$F494:$G494),T$1)=TRUE,""✓"",""✗"")"),"✗")</f>
        <v>✗</v>
      </c>
      <c r="U494" s="33"/>
      <c r="V494" s="33"/>
      <c r="W494" s="33"/>
      <c r="X494" s="33"/>
      <c r="Y494" s="33"/>
      <c r="Z494" s="33"/>
      <c r="AA494" s="33"/>
      <c r="AB494" s="33"/>
      <c r="AC494" s="33"/>
    </row>
    <row r="495" hidden="1">
      <c r="A495" s="17" t="s">
        <v>302</v>
      </c>
      <c r="B495" s="33"/>
      <c r="C495" s="33"/>
      <c r="D495" s="33"/>
      <c r="E495" s="33"/>
      <c r="F495" s="33"/>
      <c r="G495" s="33"/>
      <c r="H495" s="23" t="str">
        <f>IFERROR(__xludf.DUMMYFUNCTION("if(REGEXMATCH(join("", "",$F495:$G495),H$1)=TRUE,""✓"",""✗"")"),"✗")</f>
        <v>✗</v>
      </c>
      <c r="I495" s="23" t="str">
        <f>IFERROR(__xludf.DUMMYFUNCTION("if(REGEXMATCH(join("", "",$F495:$G495),I$1)=TRUE,""✓"",""✗"")"),"✗")</f>
        <v>✗</v>
      </c>
      <c r="J495" s="23" t="str">
        <f>IFERROR(__xludf.DUMMYFUNCTION("if(REGEXMATCH(join("", "",$F495:$G495),J$1)=TRUE,""✓"",""✗"")"),"✗")</f>
        <v>✗</v>
      </c>
      <c r="K495" s="23" t="str">
        <f>IFERROR(__xludf.DUMMYFUNCTION("if(REGEXMATCH(join("", "",$F495:$G495),K$1)=TRUE,""✓"",""✗"")"),"✗")</f>
        <v>✗</v>
      </c>
      <c r="L495" s="23" t="str">
        <f>IFERROR(__xludf.DUMMYFUNCTION("if(REGEXMATCH(join("", "",$F495:$G495),L$1)=TRUE,""✓"",""✗"")"),"✗")</f>
        <v>✗</v>
      </c>
      <c r="M495" s="23" t="str">
        <f>IFERROR(__xludf.DUMMYFUNCTION("if(REGEXMATCH(join("", "",$F495:$G495),M$1)=TRUE,""✓"",""✗"")"),"✗")</f>
        <v>✗</v>
      </c>
      <c r="N495" s="23" t="str">
        <f>IFERROR(__xludf.DUMMYFUNCTION("if(REGEXMATCH(join("", "",$F495:$G495),N$1)=TRUE,""✓"",""✗"")"),"✗")</f>
        <v>✗</v>
      </c>
      <c r="O495" s="23" t="str">
        <f>IFERROR(__xludf.DUMMYFUNCTION("if(REGEXMATCH(join("", "",$F495:$G495),O$1)=TRUE,""✓"",""✗"")"),"✗")</f>
        <v>✗</v>
      </c>
      <c r="P495" s="23" t="str">
        <f>IFERROR(__xludf.DUMMYFUNCTION("if(REGEXMATCH(join("", "",$F495:$G495),P$1)=TRUE,""✓"",""✗"")"),"✗")</f>
        <v>✗</v>
      </c>
      <c r="Q495" s="23" t="str">
        <f>IFERROR(__xludf.DUMMYFUNCTION("if(REGEXMATCH(join("", "",$F495:$G495),Q$1)=TRUE,""✓"",""✗"")"),"✗")</f>
        <v>✗</v>
      </c>
      <c r="R495" s="23" t="str">
        <f>IFERROR(__xludf.DUMMYFUNCTION("if(REGEXMATCH(join("", "",$F495:$G495),R$1)=TRUE,""✓"",""✗"")"),"✗")</f>
        <v>✗</v>
      </c>
      <c r="S495" s="23" t="str">
        <f>IFERROR(__xludf.DUMMYFUNCTION("if(REGEXMATCH(join("", "",$F495:$G495),S$1)=TRUE,""✓"",""✗"")"),"✗")</f>
        <v>✗</v>
      </c>
      <c r="T495" s="23" t="str">
        <f>IFERROR(__xludf.DUMMYFUNCTION("if(REGEXMATCH(join("", "",$F495:$G495),T$1)=TRUE,""✓"",""✗"")"),"✗")</f>
        <v>✗</v>
      </c>
      <c r="U495" s="33"/>
      <c r="V495" s="33"/>
      <c r="W495" s="33"/>
      <c r="X495" s="33"/>
      <c r="Y495" s="33"/>
      <c r="Z495" s="33"/>
      <c r="AA495" s="33"/>
      <c r="AB495" s="33"/>
      <c r="AC495" s="33"/>
    </row>
    <row r="496" hidden="1">
      <c r="A496" s="17" t="s">
        <v>302</v>
      </c>
      <c r="B496" s="33"/>
      <c r="C496" s="33"/>
      <c r="D496" s="33"/>
      <c r="E496" s="33"/>
      <c r="F496" s="33"/>
      <c r="G496" s="33"/>
      <c r="H496" s="23" t="str">
        <f>IFERROR(__xludf.DUMMYFUNCTION("if(REGEXMATCH(join("", "",$F496:$G496),H$1)=TRUE,""✓"",""✗"")"),"✗")</f>
        <v>✗</v>
      </c>
      <c r="I496" s="23" t="str">
        <f>IFERROR(__xludf.DUMMYFUNCTION("if(REGEXMATCH(join("", "",$F496:$G496),I$1)=TRUE,""✓"",""✗"")"),"✗")</f>
        <v>✗</v>
      </c>
      <c r="J496" s="23" t="str">
        <f>IFERROR(__xludf.DUMMYFUNCTION("if(REGEXMATCH(join("", "",$F496:$G496),J$1)=TRUE,""✓"",""✗"")"),"✗")</f>
        <v>✗</v>
      </c>
      <c r="K496" s="23" t="str">
        <f>IFERROR(__xludf.DUMMYFUNCTION("if(REGEXMATCH(join("", "",$F496:$G496),K$1)=TRUE,""✓"",""✗"")"),"✗")</f>
        <v>✗</v>
      </c>
      <c r="L496" s="23" t="str">
        <f>IFERROR(__xludf.DUMMYFUNCTION("if(REGEXMATCH(join("", "",$F496:$G496),L$1)=TRUE,""✓"",""✗"")"),"✗")</f>
        <v>✗</v>
      </c>
      <c r="M496" s="23" t="str">
        <f>IFERROR(__xludf.DUMMYFUNCTION("if(REGEXMATCH(join("", "",$F496:$G496),M$1)=TRUE,""✓"",""✗"")"),"✗")</f>
        <v>✗</v>
      </c>
      <c r="N496" s="23" t="str">
        <f>IFERROR(__xludf.DUMMYFUNCTION("if(REGEXMATCH(join("", "",$F496:$G496),N$1)=TRUE,""✓"",""✗"")"),"✗")</f>
        <v>✗</v>
      </c>
      <c r="O496" s="23" t="str">
        <f>IFERROR(__xludf.DUMMYFUNCTION("if(REGEXMATCH(join("", "",$F496:$G496),O$1)=TRUE,""✓"",""✗"")"),"✗")</f>
        <v>✗</v>
      </c>
      <c r="P496" s="23" t="str">
        <f>IFERROR(__xludf.DUMMYFUNCTION("if(REGEXMATCH(join("", "",$F496:$G496),P$1)=TRUE,""✓"",""✗"")"),"✗")</f>
        <v>✗</v>
      </c>
      <c r="Q496" s="23" t="str">
        <f>IFERROR(__xludf.DUMMYFUNCTION("if(REGEXMATCH(join("", "",$F496:$G496),Q$1)=TRUE,""✓"",""✗"")"),"✗")</f>
        <v>✗</v>
      </c>
      <c r="R496" s="23" t="str">
        <f>IFERROR(__xludf.DUMMYFUNCTION("if(REGEXMATCH(join("", "",$F496:$G496),R$1)=TRUE,""✓"",""✗"")"),"✗")</f>
        <v>✗</v>
      </c>
      <c r="S496" s="23" t="str">
        <f>IFERROR(__xludf.DUMMYFUNCTION("if(REGEXMATCH(join("", "",$F496:$G496),S$1)=TRUE,""✓"",""✗"")"),"✗")</f>
        <v>✗</v>
      </c>
      <c r="T496" s="23" t="str">
        <f>IFERROR(__xludf.DUMMYFUNCTION("if(REGEXMATCH(join("", "",$F496:$G496),T$1)=TRUE,""✓"",""✗"")"),"✗")</f>
        <v>✗</v>
      </c>
      <c r="U496" s="33"/>
      <c r="V496" s="33"/>
      <c r="W496" s="33"/>
      <c r="X496" s="33"/>
      <c r="Y496" s="33"/>
      <c r="Z496" s="33"/>
      <c r="AA496" s="33"/>
      <c r="AB496" s="33"/>
      <c r="AC496" s="33"/>
    </row>
    <row r="497" hidden="1">
      <c r="A497" s="17" t="s">
        <v>302</v>
      </c>
      <c r="B497" s="33"/>
      <c r="C497" s="33"/>
      <c r="D497" s="33"/>
      <c r="E497" s="33"/>
      <c r="F497" s="33"/>
      <c r="G497" s="33"/>
      <c r="H497" s="23" t="str">
        <f>IFERROR(__xludf.DUMMYFUNCTION("if(REGEXMATCH(join("", "",$F497:$G497),H$1)=TRUE,""✓"",""✗"")"),"✗")</f>
        <v>✗</v>
      </c>
      <c r="I497" s="23" t="str">
        <f>IFERROR(__xludf.DUMMYFUNCTION("if(REGEXMATCH(join("", "",$F497:$G497),I$1)=TRUE,""✓"",""✗"")"),"✗")</f>
        <v>✗</v>
      </c>
      <c r="J497" s="23" t="str">
        <f>IFERROR(__xludf.DUMMYFUNCTION("if(REGEXMATCH(join("", "",$F497:$G497),J$1)=TRUE,""✓"",""✗"")"),"✗")</f>
        <v>✗</v>
      </c>
      <c r="K497" s="23" t="str">
        <f>IFERROR(__xludf.DUMMYFUNCTION("if(REGEXMATCH(join("", "",$F497:$G497),K$1)=TRUE,""✓"",""✗"")"),"✗")</f>
        <v>✗</v>
      </c>
      <c r="L497" s="23" t="str">
        <f>IFERROR(__xludf.DUMMYFUNCTION("if(REGEXMATCH(join("", "",$F497:$G497),L$1)=TRUE,""✓"",""✗"")"),"✗")</f>
        <v>✗</v>
      </c>
      <c r="M497" s="23" t="str">
        <f>IFERROR(__xludf.DUMMYFUNCTION("if(REGEXMATCH(join("", "",$F497:$G497),M$1)=TRUE,""✓"",""✗"")"),"✗")</f>
        <v>✗</v>
      </c>
      <c r="N497" s="23" t="str">
        <f>IFERROR(__xludf.DUMMYFUNCTION("if(REGEXMATCH(join("", "",$F497:$G497),N$1)=TRUE,""✓"",""✗"")"),"✗")</f>
        <v>✗</v>
      </c>
      <c r="O497" s="23" t="str">
        <f>IFERROR(__xludf.DUMMYFUNCTION("if(REGEXMATCH(join("", "",$F497:$G497),O$1)=TRUE,""✓"",""✗"")"),"✗")</f>
        <v>✗</v>
      </c>
      <c r="P497" s="23" t="str">
        <f>IFERROR(__xludf.DUMMYFUNCTION("if(REGEXMATCH(join("", "",$F497:$G497),P$1)=TRUE,""✓"",""✗"")"),"✗")</f>
        <v>✗</v>
      </c>
      <c r="Q497" s="23" t="str">
        <f>IFERROR(__xludf.DUMMYFUNCTION("if(REGEXMATCH(join("", "",$F497:$G497),Q$1)=TRUE,""✓"",""✗"")"),"✗")</f>
        <v>✗</v>
      </c>
      <c r="R497" s="23" t="str">
        <f>IFERROR(__xludf.DUMMYFUNCTION("if(REGEXMATCH(join("", "",$F497:$G497),R$1)=TRUE,""✓"",""✗"")"),"✗")</f>
        <v>✗</v>
      </c>
      <c r="S497" s="23" t="str">
        <f>IFERROR(__xludf.DUMMYFUNCTION("if(REGEXMATCH(join("", "",$F497:$G497),S$1)=TRUE,""✓"",""✗"")"),"✗")</f>
        <v>✗</v>
      </c>
      <c r="T497" s="23" t="str">
        <f>IFERROR(__xludf.DUMMYFUNCTION("if(REGEXMATCH(join("", "",$F497:$G497),T$1)=TRUE,""✓"",""✗"")"),"✗")</f>
        <v>✗</v>
      </c>
      <c r="U497" s="33"/>
      <c r="V497" s="33"/>
      <c r="W497" s="33"/>
      <c r="X497" s="33"/>
      <c r="Y497" s="33"/>
      <c r="Z497" s="33"/>
      <c r="AA497" s="33"/>
      <c r="AB497" s="33"/>
      <c r="AC497" s="33"/>
    </row>
    <row r="498" hidden="1">
      <c r="A498" s="17" t="s">
        <v>302</v>
      </c>
      <c r="B498" s="33"/>
      <c r="C498" s="33"/>
      <c r="D498" s="33"/>
      <c r="E498" s="33"/>
      <c r="F498" s="33"/>
      <c r="G498" s="33"/>
      <c r="H498" s="23" t="str">
        <f>IFERROR(__xludf.DUMMYFUNCTION("if(REGEXMATCH(join("", "",$F498:$G498),H$1)=TRUE,""✓"",""✗"")"),"✗")</f>
        <v>✗</v>
      </c>
      <c r="I498" s="23" t="str">
        <f>IFERROR(__xludf.DUMMYFUNCTION("if(REGEXMATCH(join("", "",$F498:$G498),I$1)=TRUE,""✓"",""✗"")"),"✗")</f>
        <v>✗</v>
      </c>
      <c r="J498" s="23" t="str">
        <f>IFERROR(__xludf.DUMMYFUNCTION("if(REGEXMATCH(join("", "",$F498:$G498),J$1)=TRUE,""✓"",""✗"")"),"✗")</f>
        <v>✗</v>
      </c>
      <c r="K498" s="23" t="str">
        <f>IFERROR(__xludf.DUMMYFUNCTION("if(REGEXMATCH(join("", "",$F498:$G498),K$1)=TRUE,""✓"",""✗"")"),"✗")</f>
        <v>✗</v>
      </c>
      <c r="L498" s="23" t="str">
        <f>IFERROR(__xludf.DUMMYFUNCTION("if(REGEXMATCH(join("", "",$F498:$G498),L$1)=TRUE,""✓"",""✗"")"),"✗")</f>
        <v>✗</v>
      </c>
      <c r="M498" s="23" t="str">
        <f>IFERROR(__xludf.DUMMYFUNCTION("if(REGEXMATCH(join("", "",$F498:$G498),M$1)=TRUE,""✓"",""✗"")"),"✗")</f>
        <v>✗</v>
      </c>
      <c r="N498" s="23" t="str">
        <f>IFERROR(__xludf.DUMMYFUNCTION("if(REGEXMATCH(join("", "",$F498:$G498),N$1)=TRUE,""✓"",""✗"")"),"✗")</f>
        <v>✗</v>
      </c>
      <c r="O498" s="23" t="str">
        <f>IFERROR(__xludf.DUMMYFUNCTION("if(REGEXMATCH(join("", "",$F498:$G498),O$1)=TRUE,""✓"",""✗"")"),"✗")</f>
        <v>✗</v>
      </c>
      <c r="P498" s="23" t="str">
        <f>IFERROR(__xludf.DUMMYFUNCTION("if(REGEXMATCH(join("", "",$F498:$G498),P$1)=TRUE,""✓"",""✗"")"),"✗")</f>
        <v>✗</v>
      </c>
      <c r="Q498" s="23" t="str">
        <f>IFERROR(__xludf.DUMMYFUNCTION("if(REGEXMATCH(join("", "",$F498:$G498),Q$1)=TRUE,""✓"",""✗"")"),"✗")</f>
        <v>✗</v>
      </c>
      <c r="R498" s="23" t="str">
        <f>IFERROR(__xludf.DUMMYFUNCTION("if(REGEXMATCH(join("", "",$F498:$G498),R$1)=TRUE,""✓"",""✗"")"),"✗")</f>
        <v>✗</v>
      </c>
      <c r="S498" s="23" t="str">
        <f>IFERROR(__xludf.DUMMYFUNCTION("if(REGEXMATCH(join("", "",$F498:$G498),S$1)=TRUE,""✓"",""✗"")"),"✗")</f>
        <v>✗</v>
      </c>
      <c r="T498" s="23" t="str">
        <f>IFERROR(__xludf.DUMMYFUNCTION("if(REGEXMATCH(join("", "",$F498:$G498),T$1)=TRUE,""✓"",""✗"")"),"✗")</f>
        <v>✗</v>
      </c>
      <c r="U498" s="33"/>
      <c r="V498" s="33"/>
      <c r="W498" s="33"/>
      <c r="X498" s="33"/>
      <c r="Y498" s="33"/>
      <c r="Z498" s="33"/>
      <c r="AA498" s="33"/>
      <c r="AB498" s="33"/>
      <c r="AC498" s="33"/>
    </row>
    <row r="499" hidden="1">
      <c r="A499" s="17" t="s">
        <v>302</v>
      </c>
      <c r="B499" s="33"/>
      <c r="C499" s="33"/>
      <c r="D499" s="33"/>
      <c r="E499" s="33"/>
      <c r="F499" s="33"/>
      <c r="G499" s="33"/>
      <c r="H499" s="23" t="str">
        <f>IFERROR(__xludf.DUMMYFUNCTION("if(REGEXMATCH(join("", "",$F499:$G499),H$1)=TRUE,""✓"",""✗"")"),"✗")</f>
        <v>✗</v>
      </c>
      <c r="I499" s="23" t="str">
        <f>IFERROR(__xludf.DUMMYFUNCTION("if(REGEXMATCH(join("", "",$F499:$G499),I$1)=TRUE,""✓"",""✗"")"),"✗")</f>
        <v>✗</v>
      </c>
      <c r="J499" s="23" t="str">
        <f>IFERROR(__xludf.DUMMYFUNCTION("if(REGEXMATCH(join("", "",$F499:$G499),J$1)=TRUE,""✓"",""✗"")"),"✗")</f>
        <v>✗</v>
      </c>
      <c r="K499" s="23" t="str">
        <f>IFERROR(__xludf.DUMMYFUNCTION("if(REGEXMATCH(join("", "",$F499:$G499),K$1)=TRUE,""✓"",""✗"")"),"✗")</f>
        <v>✗</v>
      </c>
      <c r="L499" s="23" t="str">
        <f>IFERROR(__xludf.DUMMYFUNCTION("if(REGEXMATCH(join("", "",$F499:$G499),L$1)=TRUE,""✓"",""✗"")"),"✗")</f>
        <v>✗</v>
      </c>
      <c r="M499" s="23" t="str">
        <f>IFERROR(__xludf.DUMMYFUNCTION("if(REGEXMATCH(join("", "",$F499:$G499),M$1)=TRUE,""✓"",""✗"")"),"✗")</f>
        <v>✗</v>
      </c>
      <c r="N499" s="23" t="str">
        <f>IFERROR(__xludf.DUMMYFUNCTION("if(REGEXMATCH(join("", "",$F499:$G499),N$1)=TRUE,""✓"",""✗"")"),"✗")</f>
        <v>✗</v>
      </c>
      <c r="O499" s="23" t="str">
        <f>IFERROR(__xludf.DUMMYFUNCTION("if(REGEXMATCH(join("", "",$F499:$G499),O$1)=TRUE,""✓"",""✗"")"),"✗")</f>
        <v>✗</v>
      </c>
      <c r="P499" s="23" t="str">
        <f>IFERROR(__xludf.DUMMYFUNCTION("if(REGEXMATCH(join("", "",$F499:$G499),P$1)=TRUE,""✓"",""✗"")"),"✗")</f>
        <v>✗</v>
      </c>
      <c r="Q499" s="23" t="str">
        <f>IFERROR(__xludf.DUMMYFUNCTION("if(REGEXMATCH(join("", "",$F499:$G499),Q$1)=TRUE,""✓"",""✗"")"),"✗")</f>
        <v>✗</v>
      </c>
      <c r="R499" s="23" t="str">
        <f>IFERROR(__xludf.DUMMYFUNCTION("if(REGEXMATCH(join("", "",$F499:$G499),R$1)=TRUE,""✓"",""✗"")"),"✗")</f>
        <v>✗</v>
      </c>
      <c r="S499" s="23" t="str">
        <f>IFERROR(__xludf.DUMMYFUNCTION("if(REGEXMATCH(join("", "",$F499:$G499),S$1)=TRUE,""✓"",""✗"")"),"✗")</f>
        <v>✗</v>
      </c>
      <c r="T499" s="23" t="str">
        <f>IFERROR(__xludf.DUMMYFUNCTION("if(REGEXMATCH(join("", "",$F499:$G499),T$1)=TRUE,""✓"",""✗"")"),"✗")</f>
        <v>✗</v>
      </c>
      <c r="U499" s="33"/>
      <c r="V499" s="33"/>
      <c r="W499" s="33"/>
      <c r="X499" s="33"/>
      <c r="Y499" s="33"/>
      <c r="Z499" s="33"/>
      <c r="AA499" s="33"/>
      <c r="AB499" s="33"/>
      <c r="AC499" s="33"/>
    </row>
    <row r="500" hidden="1">
      <c r="A500" s="17" t="s">
        <v>302</v>
      </c>
      <c r="B500" s="33"/>
      <c r="C500" s="33"/>
      <c r="D500" s="33"/>
      <c r="E500" s="33"/>
      <c r="F500" s="33"/>
      <c r="G500" s="33"/>
      <c r="H500" s="23" t="str">
        <f>IFERROR(__xludf.DUMMYFUNCTION("if(REGEXMATCH(join("", "",$F500:$G500),H$1)=TRUE,""✓"",""✗"")"),"✗")</f>
        <v>✗</v>
      </c>
      <c r="I500" s="23" t="str">
        <f>IFERROR(__xludf.DUMMYFUNCTION("if(REGEXMATCH(join("", "",$F500:$G500),I$1)=TRUE,""✓"",""✗"")"),"✗")</f>
        <v>✗</v>
      </c>
      <c r="J500" s="23" t="str">
        <f>IFERROR(__xludf.DUMMYFUNCTION("if(REGEXMATCH(join("", "",$F500:$G500),J$1)=TRUE,""✓"",""✗"")"),"✗")</f>
        <v>✗</v>
      </c>
      <c r="K500" s="23" t="str">
        <f>IFERROR(__xludf.DUMMYFUNCTION("if(REGEXMATCH(join("", "",$F500:$G500),K$1)=TRUE,""✓"",""✗"")"),"✗")</f>
        <v>✗</v>
      </c>
      <c r="L500" s="23" t="str">
        <f>IFERROR(__xludf.DUMMYFUNCTION("if(REGEXMATCH(join("", "",$F500:$G500),L$1)=TRUE,""✓"",""✗"")"),"✗")</f>
        <v>✗</v>
      </c>
      <c r="M500" s="23" t="str">
        <f>IFERROR(__xludf.DUMMYFUNCTION("if(REGEXMATCH(join("", "",$F500:$G500),M$1)=TRUE,""✓"",""✗"")"),"✗")</f>
        <v>✗</v>
      </c>
      <c r="N500" s="23" t="str">
        <f>IFERROR(__xludf.DUMMYFUNCTION("if(REGEXMATCH(join("", "",$F500:$G500),N$1)=TRUE,""✓"",""✗"")"),"✗")</f>
        <v>✗</v>
      </c>
      <c r="O500" s="23" t="str">
        <f>IFERROR(__xludf.DUMMYFUNCTION("if(REGEXMATCH(join("", "",$F500:$G500),O$1)=TRUE,""✓"",""✗"")"),"✗")</f>
        <v>✗</v>
      </c>
      <c r="P500" s="23" t="str">
        <f>IFERROR(__xludf.DUMMYFUNCTION("if(REGEXMATCH(join("", "",$F500:$G500),P$1)=TRUE,""✓"",""✗"")"),"✗")</f>
        <v>✗</v>
      </c>
      <c r="Q500" s="23" t="str">
        <f>IFERROR(__xludf.DUMMYFUNCTION("if(REGEXMATCH(join("", "",$F500:$G500),Q$1)=TRUE,""✓"",""✗"")"),"✗")</f>
        <v>✗</v>
      </c>
      <c r="R500" s="23" t="str">
        <f>IFERROR(__xludf.DUMMYFUNCTION("if(REGEXMATCH(join("", "",$F500:$G500),R$1)=TRUE,""✓"",""✗"")"),"✗")</f>
        <v>✗</v>
      </c>
      <c r="S500" s="23" t="str">
        <f>IFERROR(__xludf.DUMMYFUNCTION("if(REGEXMATCH(join("", "",$F500:$G500),S$1)=TRUE,""✓"",""✗"")"),"✗")</f>
        <v>✗</v>
      </c>
      <c r="T500" s="23" t="str">
        <f>IFERROR(__xludf.DUMMYFUNCTION("if(REGEXMATCH(join("", "",$F500:$G500),T$1)=TRUE,""✓"",""✗"")"),"✗")</f>
        <v>✗</v>
      </c>
      <c r="U500" s="33"/>
      <c r="V500" s="33"/>
      <c r="W500" s="33"/>
      <c r="X500" s="33"/>
      <c r="Y500" s="33"/>
      <c r="Z500" s="33"/>
      <c r="AA500" s="33"/>
      <c r="AB500" s="33"/>
      <c r="AC500" s="33"/>
    </row>
    <row r="501" hidden="1">
      <c r="A501" s="17" t="s">
        <v>302</v>
      </c>
      <c r="B501" s="33"/>
      <c r="C501" s="33"/>
      <c r="D501" s="33"/>
      <c r="E501" s="33"/>
      <c r="F501" s="33"/>
      <c r="G501" s="33"/>
      <c r="H501" s="23" t="str">
        <f>IFERROR(__xludf.DUMMYFUNCTION("if(REGEXMATCH(join("", "",$F501:$G501),H$1)=TRUE,""✓"",""✗"")"),"✗")</f>
        <v>✗</v>
      </c>
      <c r="I501" s="23" t="str">
        <f>IFERROR(__xludf.DUMMYFUNCTION("if(REGEXMATCH(join("", "",$F501:$G501),I$1)=TRUE,""✓"",""✗"")"),"✗")</f>
        <v>✗</v>
      </c>
      <c r="J501" s="23" t="str">
        <f>IFERROR(__xludf.DUMMYFUNCTION("if(REGEXMATCH(join("", "",$F501:$G501),J$1)=TRUE,""✓"",""✗"")"),"✗")</f>
        <v>✗</v>
      </c>
      <c r="K501" s="23" t="str">
        <f>IFERROR(__xludf.DUMMYFUNCTION("if(REGEXMATCH(join("", "",$F501:$G501),K$1)=TRUE,""✓"",""✗"")"),"✗")</f>
        <v>✗</v>
      </c>
      <c r="L501" s="23" t="str">
        <f>IFERROR(__xludf.DUMMYFUNCTION("if(REGEXMATCH(join("", "",$F501:$G501),L$1)=TRUE,""✓"",""✗"")"),"✗")</f>
        <v>✗</v>
      </c>
      <c r="M501" s="23" t="str">
        <f>IFERROR(__xludf.DUMMYFUNCTION("if(REGEXMATCH(join("", "",$F501:$G501),M$1)=TRUE,""✓"",""✗"")"),"✗")</f>
        <v>✗</v>
      </c>
      <c r="N501" s="23" t="str">
        <f>IFERROR(__xludf.DUMMYFUNCTION("if(REGEXMATCH(join("", "",$F501:$G501),N$1)=TRUE,""✓"",""✗"")"),"✗")</f>
        <v>✗</v>
      </c>
      <c r="O501" s="23" t="str">
        <f>IFERROR(__xludf.DUMMYFUNCTION("if(REGEXMATCH(join("", "",$F501:$G501),O$1)=TRUE,""✓"",""✗"")"),"✗")</f>
        <v>✗</v>
      </c>
      <c r="P501" s="23" t="str">
        <f>IFERROR(__xludf.DUMMYFUNCTION("if(REGEXMATCH(join("", "",$F501:$G501),P$1)=TRUE,""✓"",""✗"")"),"✗")</f>
        <v>✗</v>
      </c>
      <c r="Q501" s="23" t="str">
        <f>IFERROR(__xludf.DUMMYFUNCTION("if(REGEXMATCH(join("", "",$F501:$G501),Q$1)=TRUE,""✓"",""✗"")"),"✗")</f>
        <v>✗</v>
      </c>
      <c r="R501" s="23" t="str">
        <f>IFERROR(__xludf.DUMMYFUNCTION("if(REGEXMATCH(join("", "",$F501:$G501),R$1)=TRUE,""✓"",""✗"")"),"✗")</f>
        <v>✗</v>
      </c>
      <c r="S501" s="23" t="str">
        <f>IFERROR(__xludf.DUMMYFUNCTION("if(REGEXMATCH(join("", "",$F501:$G501),S$1)=TRUE,""✓"",""✗"")"),"✗")</f>
        <v>✗</v>
      </c>
      <c r="T501" s="23" t="str">
        <f>IFERROR(__xludf.DUMMYFUNCTION("if(REGEXMATCH(join("", "",$F501:$G501),T$1)=TRUE,""✓"",""✗"")"),"✗")</f>
        <v>✗</v>
      </c>
      <c r="U501" s="33"/>
      <c r="V501" s="33"/>
      <c r="W501" s="33"/>
      <c r="X501" s="33"/>
      <c r="Y501" s="33"/>
      <c r="Z501" s="33"/>
      <c r="AA501" s="33"/>
      <c r="AB501" s="33"/>
      <c r="AC501" s="33"/>
    </row>
    <row r="502" hidden="1">
      <c r="A502" s="17" t="s">
        <v>302</v>
      </c>
      <c r="B502" s="33"/>
      <c r="C502" s="33"/>
      <c r="D502" s="33"/>
      <c r="E502" s="33"/>
      <c r="F502" s="33"/>
      <c r="G502" s="33"/>
      <c r="H502" s="23" t="str">
        <f>IFERROR(__xludf.DUMMYFUNCTION("if(REGEXMATCH(join("", "",$F502:$G502),H$1)=TRUE,""✓"",""✗"")"),"✗")</f>
        <v>✗</v>
      </c>
      <c r="I502" s="23" t="str">
        <f>IFERROR(__xludf.DUMMYFUNCTION("if(REGEXMATCH(join("", "",$F502:$G502),I$1)=TRUE,""✓"",""✗"")"),"✗")</f>
        <v>✗</v>
      </c>
      <c r="J502" s="23" t="str">
        <f>IFERROR(__xludf.DUMMYFUNCTION("if(REGEXMATCH(join("", "",$F502:$G502),J$1)=TRUE,""✓"",""✗"")"),"✗")</f>
        <v>✗</v>
      </c>
      <c r="K502" s="23" t="str">
        <f>IFERROR(__xludf.DUMMYFUNCTION("if(REGEXMATCH(join("", "",$F502:$G502),K$1)=TRUE,""✓"",""✗"")"),"✗")</f>
        <v>✗</v>
      </c>
      <c r="L502" s="23" t="str">
        <f>IFERROR(__xludf.DUMMYFUNCTION("if(REGEXMATCH(join("", "",$F502:$G502),L$1)=TRUE,""✓"",""✗"")"),"✗")</f>
        <v>✗</v>
      </c>
      <c r="M502" s="23" t="str">
        <f>IFERROR(__xludf.DUMMYFUNCTION("if(REGEXMATCH(join("", "",$F502:$G502),M$1)=TRUE,""✓"",""✗"")"),"✗")</f>
        <v>✗</v>
      </c>
      <c r="N502" s="23" t="str">
        <f>IFERROR(__xludf.DUMMYFUNCTION("if(REGEXMATCH(join("", "",$F502:$G502),N$1)=TRUE,""✓"",""✗"")"),"✗")</f>
        <v>✗</v>
      </c>
      <c r="O502" s="23" t="str">
        <f>IFERROR(__xludf.DUMMYFUNCTION("if(REGEXMATCH(join("", "",$F502:$G502),O$1)=TRUE,""✓"",""✗"")"),"✗")</f>
        <v>✗</v>
      </c>
      <c r="P502" s="23" t="str">
        <f>IFERROR(__xludf.DUMMYFUNCTION("if(REGEXMATCH(join("", "",$F502:$G502),P$1)=TRUE,""✓"",""✗"")"),"✗")</f>
        <v>✗</v>
      </c>
      <c r="Q502" s="23" t="str">
        <f>IFERROR(__xludf.DUMMYFUNCTION("if(REGEXMATCH(join("", "",$F502:$G502),Q$1)=TRUE,""✓"",""✗"")"),"✗")</f>
        <v>✗</v>
      </c>
      <c r="R502" s="23" t="str">
        <f>IFERROR(__xludf.DUMMYFUNCTION("if(REGEXMATCH(join("", "",$F502:$G502),R$1)=TRUE,""✓"",""✗"")"),"✗")</f>
        <v>✗</v>
      </c>
      <c r="S502" s="23" t="str">
        <f>IFERROR(__xludf.DUMMYFUNCTION("if(REGEXMATCH(join("", "",$F502:$G502),S$1)=TRUE,""✓"",""✗"")"),"✗")</f>
        <v>✗</v>
      </c>
      <c r="T502" s="23" t="str">
        <f>IFERROR(__xludf.DUMMYFUNCTION("if(REGEXMATCH(join("", "",$F502:$G502),T$1)=TRUE,""✓"",""✗"")"),"✗")</f>
        <v>✗</v>
      </c>
      <c r="U502" s="33"/>
      <c r="V502" s="33"/>
      <c r="W502" s="33"/>
      <c r="X502" s="33"/>
      <c r="Y502" s="33"/>
      <c r="Z502" s="33"/>
      <c r="AA502" s="33"/>
      <c r="AB502" s="33"/>
      <c r="AC502" s="33"/>
    </row>
    <row r="503" hidden="1">
      <c r="A503" s="17" t="s">
        <v>302</v>
      </c>
      <c r="B503" s="33"/>
      <c r="C503" s="33"/>
      <c r="D503" s="33"/>
      <c r="E503" s="33"/>
      <c r="F503" s="33"/>
      <c r="G503" s="33"/>
      <c r="H503" s="23" t="str">
        <f>IFERROR(__xludf.DUMMYFUNCTION("if(REGEXMATCH(join("", "",$F503:$G503),H$1)=TRUE,""✓"",""✗"")"),"✗")</f>
        <v>✗</v>
      </c>
      <c r="I503" s="23" t="str">
        <f>IFERROR(__xludf.DUMMYFUNCTION("if(REGEXMATCH(join("", "",$F503:$G503),I$1)=TRUE,""✓"",""✗"")"),"✗")</f>
        <v>✗</v>
      </c>
      <c r="J503" s="23" t="str">
        <f>IFERROR(__xludf.DUMMYFUNCTION("if(REGEXMATCH(join("", "",$F503:$G503),J$1)=TRUE,""✓"",""✗"")"),"✗")</f>
        <v>✗</v>
      </c>
      <c r="K503" s="23" t="str">
        <f>IFERROR(__xludf.DUMMYFUNCTION("if(REGEXMATCH(join("", "",$F503:$G503),K$1)=TRUE,""✓"",""✗"")"),"✗")</f>
        <v>✗</v>
      </c>
      <c r="L503" s="23" t="str">
        <f>IFERROR(__xludf.DUMMYFUNCTION("if(REGEXMATCH(join("", "",$F503:$G503),L$1)=TRUE,""✓"",""✗"")"),"✗")</f>
        <v>✗</v>
      </c>
      <c r="M503" s="23" t="str">
        <f>IFERROR(__xludf.DUMMYFUNCTION("if(REGEXMATCH(join("", "",$F503:$G503),M$1)=TRUE,""✓"",""✗"")"),"✗")</f>
        <v>✗</v>
      </c>
      <c r="N503" s="23" t="str">
        <f>IFERROR(__xludf.DUMMYFUNCTION("if(REGEXMATCH(join("", "",$F503:$G503),N$1)=TRUE,""✓"",""✗"")"),"✗")</f>
        <v>✗</v>
      </c>
      <c r="O503" s="23" t="str">
        <f>IFERROR(__xludf.DUMMYFUNCTION("if(REGEXMATCH(join("", "",$F503:$G503),O$1)=TRUE,""✓"",""✗"")"),"✗")</f>
        <v>✗</v>
      </c>
      <c r="P503" s="23" t="str">
        <f>IFERROR(__xludf.DUMMYFUNCTION("if(REGEXMATCH(join("", "",$F503:$G503),P$1)=TRUE,""✓"",""✗"")"),"✗")</f>
        <v>✗</v>
      </c>
      <c r="Q503" s="23" t="str">
        <f>IFERROR(__xludf.DUMMYFUNCTION("if(REGEXMATCH(join("", "",$F503:$G503),Q$1)=TRUE,""✓"",""✗"")"),"✗")</f>
        <v>✗</v>
      </c>
      <c r="R503" s="23" t="str">
        <f>IFERROR(__xludf.DUMMYFUNCTION("if(REGEXMATCH(join("", "",$F503:$G503),R$1)=TRUE,""✓"",""✗"")"),"✗")</f>
        <v>✗</v>
      </c>
      <c r="S503" s="23" t="str">
        <f>IFERROR(__xludf.DUMMYFUNCTION("if(REGEXMATCH(join("", "",$F503:$G503),S$1)=TRUE,""✓"",""✗"")"),"✗")</f>
        <v>✗</v>
      </c>
      <c r="T503" s="23" t="str">
        <f>IFERROR(__xludf.DUMMYFUNCTION("if(REGEXMATCH(join("", "",$F503:$G503),T$1)=TRUE,""✓"",""✗"")"),"✗")</f>
        <v>✗</v>
      </c>
      <c r="U503" s="33"/>
      <c r="V503" s="33"/>
      <c r="W503" s="33"/>
      <c r="X503" s="33"/>
      <c r="Y503" s="33"/>
      <c r="Z503" s="33"/>
      <c r="AA503" s="33"/>
      <c r="AB503" s="33"/>
      <c r="AC503" s="33"/>
    </row>
    <row r="504" hidden="1">
      <c r="A504" s="17" t="s">
        <v>302</v>
      </c>
      <c r="B504" s="33"/>
      <c r="C504" s="33"/>
      <c r="D504" s="33"/>
      <c r="E504" s="33"/>
      <c r="F504" s="33"/>
      <c r="G504" s="33"/>
      <c r="H504" s="23" t="str">
        <f>IFERROR(__xludf.DUMMYFUNCTION("if(REGEXMATCH(join("", "",$F504:$G504),H$1)=TRUE,""✓"",""✗"")"),"✗")</f>
        <v>✗</v>
      </c>
      <c r="I504" s="23" t="str">
        <f>IFERROR(__xludf.DUMMYFUNCTION("if(REGEXMATCH(join("", "",$F504:$G504),I$1)=TRUE,""✓"",""✗"")"),"✗")</f>
        <v>✗</v>
      </c>
      <c r="J504" s="23" t="str">
        <f>IFERROR(__xludf.DUMMYFUNCTION("if(REGEXMATCH(join("", "",$F504:$G504),J$1)=TRUE,""✓"",""✗"")"),"✗")</f>
        <v>✗</v>
      </c>
      <c r="K504" s="23" t="str">
        <f>IFERROR(__xludf.DUMMYFUNCTION("if(REGEXMATCH(join("", "",$F504:$G504),K$1)=TRUE,""✓"",""✗"")"),"✗")</f>
        <v>✗</v>
      </c>
      <c r="L504" s="23" t="str">
        <f>IFERROR(__xludf.DUMMYFUNCTION("if(REGEXMATCH(join("", "",$F504:$G504),L$1)=TRUE,""✓"",""✗"")"),"✗")</f>
        <v>✗</v>
      </c>
      <c r="M504" s="23" t="str">
        <f>IFERROR(__xludf.DUMMYFUNCTION("if(REGEXMATCH(join("", "",$F504:$G504),M$1)=TRUE,""✓"",""✗"")"),"✗")</f>
        <v>✗</v>
      </c>
      <c r="N504" s="23" t="str">
        <f>IFERROR(__xludf.DUMMYFUNCTION("if(REGEXMATCH(join("", "",$F504:$G504),N$1)=TRUE,""✓"",""✗"")"),"✗")</f>
        <v>✗</v>
      </c>
      <c r="O504" s="23" t="str">
        <f>IFERROR(__xludf.DUMMYFUNCTION("if(REGEXMATCH(join("", "",$F504:$G504),O$1)=TRUE,""✓"",""✗"")"),"✗")</f>
        <v>✗</v>
      </c>
      <c r="P504" s="23" t="str">
        <f>IFERROR(__xludf.DUMMYFUNCTION("if(REGEXMATCH(join("", "",$F504:$G504),P$1)=TRUE,""✓"",""✗"")"),"✗")</f>
        <v>✗</v>
      </c>
      <c r="Q504" s="23" t="str">
        <f>IFERROR(__xludf.DUMMYFUNCTION("if(REGEXMATCH(join("", "",$F504:$G504),Q$1)=TRUE,""✓"",""✗"")"),"✗")</f>
        <v>✗</v>
      </c>
      <c r="R504" s="23" t="str">
        <f>IFERROR(__xludf.DUMMYFUNCTION("if(REGEXMATCH(join("", "",$F504:$G504),R$1)=TRUE,""✓"",""✗"")"),"✗")</f>
        <v>✗</v>
      </c>
      <c r="S504" s="23" t="str">
        <f>IFERROR(__xludf.DUMMYFUNCTION("if(REGEXMATCH(join("", "",$F504:$G504),S$1)=TRUE,""✓"",""✗"")"),"✗")</f>
        <v>✗</v>
      </c>
      <c r="T504" s="23" t="str">
        <f>IFERROR(__xludf.DUMMYFUNCTION("if(REGEXMATCH(join("", "",$F504:$G504),T$1)=TRUE,""✓"",""✗"")"),"✗")</f>
        <v>✗</v>
      </c>
      <c r="U504" s="33"/>
      <c r="V504" s="33"/>
      <c r="W504" s="33"/>
      <c r="X504" s="33"/>
      <c r="Y504" s="33"/>
      <c r="Z504" s="33"/>
      <c r="AA504" s="33"/>
      <c r="AB504" s="33"/>
      <c r="AC504" s="33"/>
    </row>
    <row r="505" hidden="1">
      <c r="A505" s="17" t="s">
        <v>302</v>
      </c>
      <c r="B505" s="33"/>
      <c r="C505" s="33"/>
      <c r="D505" s="33"/>
      <c r="E505" s="33"/>
      <c r="F505" s="33"/>
      <c r="G505" s="33"/>
      <c r="H505" s="23" t="str">
        <f>IFERROR(__xludf.DUMMYFUNCTION("if(REGEXMATCH(join("", "",$F505:$G505),H$1)=TRUE,""✓"",""✗"")"),"✗")</f>
        <v>✗</v>
      </c>
      <c r="I505" s="23" t="str">
        <f>IFERROR(__xludf.DUMMYFUNCTION("if(REGEXMATCH(join("", "",$F505:$G505),I$1)=TRUE,""✓"",""✗"")"),"✗")</f>
        <v>✗</v>
      </c>
      <c r="J505" s="23" t="str">
        <f>IFERROR(__xludf.DUMMYFUNCTION("if(REGEXMATCH(join("", "",$F505:$G505),J$1)=TRUE,""✓"",""✗"")"),"✗")</f>
        <v>✗</v>
      </c>
      <c r="K505" s="23" t="str">
        <f>IFERROR(__xludf.DUMMYFUNCTION("if(REGEXMATCH(join("", "",$F505:$G505),K$1)=TRUE,""✓"",""✗"")"),"✗")</f>
        <v>✗</v>
      </c>
      <c r="L505" s="23" t="str">
        <f>IFERROR(__xludf.DUMMYFUNCTION("if(REGEXMATCH(join("", "",$F505:$G505),L$1)=TRUE,""✓"",""✗"")"),"✗")</f>
        <v>✗</v>
      </c>
      <c r="M505" s="23" t="str">
        <f>IFERROR(__xludf.DUMMYFUNCTION("if(REGEXMATCH(join("", "",$F505:$G505),M$1)=TRUE,""✓"",""✗"")"),"✗")</f>
        <v>✗</v>
      </c>
      <c r="N505" s="23" t="str">
        <f>IFERROR(__xludf.DUMMYFUNCTION("if(REGEXMATCH(join("", "",$F505:$G505),N$1)=TRUE,""✓"",""✗"")"),"✗")</f>
        <v>✗</v>
      </c>
      <c r="O505" s="23" t="str">
        <f>IFERROR(__xludf.DUMMYFUNCTION("if(REGEXMATCH(join("", "",$F505:$G505),O$1)=TRUE,""✓"",""✗"")"),"✗")</f>
        <v>✗</v>
      </c>
      <c r="P505" s="23" t="str">
        <f>IFERROR(__xludf.DUMMYFUNCTION("if(REGEXMATCH(join("", "",$F505:$G505),P$1)=TRUE,""✓"",""✗"")"),"✗")</f>
        <v>✗</v>
      </c>
      <c r="Q505" s="23" t="str">
        <f>IFERROR(__xludf.DUMMYFUNCTION("if(REGEXMATCH(join("", "",$F505:$G505),Q$1)=TRUE,""✓"",""✗"")"),"✗")</f>
        <v>✗</v>
      </c>
      <c r="R505" s="23" t="str">
        <f>IFERROR(__xludf.DUMMYFUNCTION("if(REGEXMATCH(join("", "",$F505:$G505),R$1)=TRUE,""✓"",""✗"")"),"✗")</f>
        <v>✗</v>
      </c>
      <c r="S505" s="23" t="str">
        <f>IFERROR(__xludf.DUMMYFUNCTION("if(REGEXMATCH(join("", "",$F505:$G505),S$1)=TRUE,""✓"",""✗"")"),"✗")</f>
        <v>✗</v>
      </c>
      <c r="T505" s="23" t="str">
        <f>IFERROR(__xludf.DUMMYFUNCTION("if(REGEXMATCH(join("", "",$F505:$G505),T$1)=TRUE,""✓"",""✗"")"),"✗")</f>
        <v>✗</v>
      </c>
      <c r="U505" s="33"/>
      <c r="V505" s="33"/>
      <c r="W505" s="33"/>
      <c r="X505" s="33"/>
      <c r="Y505" s="33"/>
      <c r="Z505" s="33"/>
      <c r="AA505" s="33"/>
      <c r="AB505" s="33"/>
      <c r="AC505" s="33"/>
    </row>
    <row r="506" hidden="1">
      <c r="A506" s="17" t="s">
        <v>302</v>
      </c>
      <c r="B506" s="33"/>
      <c r="C506" s="33"/>
      <c r="D506" s="33"/>
      <c r="E506" s="33"/>
      <c r="F506" s="33"/>
      <c r="G506" s="33"/>
      <c r="H506" s="23" t="str">
        <f>IFERROR(__xludf.DUMMYFUNCTION("if(REGEXMATCH(join("", "",$F506:$G506),H$1)=TRUE,""✓"",""✗"")"),"✗")</f>
        <v>✗</v>
      </c>
      <c r="I506" s="23" t="str">
        <f>IFERROR(__xludf.DUMMYFUNCTION("if(REGEXMATCH(join("", "",$F506:$G506),I$1)=TRUE,""✓"",""✗"")"),"✗")</f>
        <v>✗</v>
      </c>
      <c r="J506" s="23" t="str">
        <f>IFERROR(__xludf.DUMMYFUNCTION("if(REGEXMATCH(join("", "",$F506:$G506),J$1)=TRUE,""✓"",""✗"")"),"✗")</f>
        <v>✗</v>
      </c>
      <c r="K506" s="23" t="str">
        <f>IFERROR(__xludf.DUMMYFUNCTION("if(REGEXMATCH(join("", "",$F506:$G506),K$1)=TRUE,""✓"",""✗"")"),"✗")</f>
        <v>✗</v>
      </c>
      <c r="L506" s="23" t="str">
        <f>IFERROR(__xludf.DUMMYFUNCTION("if(REGEXMATCH(join("", "",$F506:$G506),L$1)=TRUE,""✓"",""✗"")"),"✗")</f>
        <v>✗</v>
      </c>
      <c r="M506" s="23" t="str">
        <f>IFERROR(__xludf.DUMMYFUNCTION("if(REGEXMATCH(join("", "",$F506:$G506),M$1)=TRUE,""✓"",""✗"")"),"✗")</f>
        <v>✗</v>
      </c>
      <c r="N506" s="23" t="str">
        <f>IFERROR(__xludf.DUMMYFUNCTION("if(REGEXMATCH(join("", "",$F506:$G506),N$1)=TRUE,""✓"",""✗"")"),"✗")</f>
        <v>✗</v>
      </c>
      <c r="O506" s="23" t="str">
        <f>IFERROR(__xludf.DUMMYFUNCTION("if(REGEXMATCH(join("", "",$F506:$G506),O$1)=TRUE,""✓"",""✗"")"),"✗")</f>
        <v>✗</v>
      </c>
      <c r="P506" s="23" t="str">
        <f>IFERROR(__xludf.DUMMYFUNCTION("if(REGEXMATCH(join("", "",$F506:$G506),P$1)=TRUE,""✓"",""✗"")"),"✗")</f>
        <v>✗</v>
      </c>
      <c r="Q506" s="23" t="str">
        <f>IFERROR(__xludf.DUMMYFUNCTION("if(REGEXMATCH(join("", "",$F506:$G506),Q$1)=TRUE,""✓"",""✗"")"),"✗")</f>
        <v>✗</v>
      </c>
      <c r="R506" s="23" t="str">
        <f>IFERROR(__xludf.DUMMYFUNCTION("if(REGEXMATCH(join("", "",$F506:$G506),R$1)=TRUE,""✓"",""✗"")"),"✗")</f>
        <v>✗</v>
      </c>
      <c r="S506" s="23" t="str">
        <f>IFERROR(__xludf.DUMMYFUNCTION("if(REGEXMATCH(join("", "",$F506:$G506),S$1)=TRUE,""✓"",""✗"")"),"✗")</f>
        <v>✗</v>
      </c>
      <c r="T506" s="23" t="str">
        <f>IFERROR(__xludf.DUMMYFUNCTION("if(REGEXMATCH(join("", "",$F506:$G506),T$1)=TRUE,""✓"",""✗"")"),"✗")</f>
        <v>✗</v>
      </c>
      <c r="U506" s="33"/>
      <c r="V506" s="33"/>
      <c r="W506" s="33"/>
      <c r="X506" s="33"/>
      <c r="Y506" s="33"/>
      <c r="Z506" s="33"/>
      <c r="AA506" s="33"/>
      <c r="AB506" s="33"/>
      <c r="AC506" s="33"/>
    </row>
    <row r="507" hidden="1">
      <c r="A507" s="17" t="s">
        <v>302</v>
      </c>
      <c r="B507" s="33"/>
      <c r="C507" s="33"/>
      <c r="D507" s="33"/>
      <c r="E507" s="33"/>
      <c r="F507" s="33"/>
      <c r="G507" s="33"/>
      <c r="H507" s="23" t="str">
        <f>IFERROR(__xludf.DUMMYFUNCTION("if(REGEXMATCH(join("", "",$F507:$G507),H$1)=TRUE,""✓"",""✗"")"),"✗")</f>
        <v>✗</v>
      </c>
      <c r="I507" s="23" t="str">
        <f>IFERROR(__xludf.DUMMYFUNCTION("if(REGEXMATCH(join("", "",$F507:$G507),I$1)=TRUE,""✓"",""✗"")"),"✗")</f>
        <v>✗</v>
      </c>
      <c r="J507" s="23" t="str">
        <f>IFERROR(__xludf.DUMMYFUNCTION("if(REGEXMATCH(join("", "",$F507:$G507),J$1)=TRUE,""✓"",""✗"")"),"✗")</f>
        <v>✗</v>
      </c>
      <c r="K507" s="23" t="str">
        <f>IFERROR(__xludf.DUMMYFUNCTION("if(REGEXMATCH(join("", "",$F507:$G507),K$1)=TRUE,""✓"",""✗"")"),"✗")</f>
        <v>✗</v>
      </c>
      <c r="L507" s="23" t="str">
        <f>IFERROR(__xludf.DUMMYFUNCTION("if(REGEXMATCH(join("", "",$F507:$G507),L$1)=TRUE,""✓"",""✗"")"),"✗")</f>
        <v>✗</v>
      </c>
      <c r="M507" s="23" t="str">
        <f>IFERROR(__xludf.DUMMYFUNCTION("if(REGEXMATCH(join("", "",$F507:$G507),M$1)=TRUE,""✓"",""✗"")"),"✗")</f>
        <v>✗</v>
      </c>
      <c r="N507" s="23" t="str">
        <f>IFERROR(__xludf.DUMMYFUNCTION("if(REGEXMATCH(join("", "",$F507:$G507),N$1)=TRUE,""✓"",""✗"")"),"✗")</f>
        <v>✗</v>
      </c>
      <c r="O507" s="23" t="str">
        <f>IFERROR(__xludf.DUMMYFUNCTION("if(REGEXMATCH(join("", "",$F507:$G507),O$1)=TRUE,""✓"",""✗"")"),"✗")</f>
        <v>✗</v>
      </c>
      <c r="P507" s="23" t="str">
        <f>IFERROR(__xludf.DUMMYFUNCTION("if(REGEXMATCH(join("", "",$F507:$G507),P$1)=TRUE,""✓"",""✗"")"),"✗")</f>
        <v>✗</v>
      </c>
      <c r="Q507" s="23" t="str">
        <f>IFERROR(__xludf.DUMMYFUNCTION("if(REGEXMATCH(join("", "",$F507:$G507),Q$1)=TRUE,""✓"",""✗"")"),"✗")</f>
        <v>✗</v>
      </c>
      <c r="R507" s="23" t="str">
        <f>IFERROR(__xludf.DUMMYFUNCTION("if(REGEXMATCH(join("", "",$F507:$G507),R$1)=TRUE,""✓"",""✗"")"),"✗")</f>
        <v>✗</v>
      </c>
      <c r="S507" s="23" t="str">
        <f>IFERROR(__xludf.DUMMYFUNCTION("if(REGEXMATCH(join("", "",$F507:$G507),S$1)=TRUE,""✓"",""✗"")"),"✗")</f>
        <v>✗</v>
      </c>
      <c r="T507" s="23" t="str">
        <f>IFERROR(__xludf.DUMMYFUNCTION("if(REGEXMATCH(join("", "",$F507:$G507),T$1)=TRUE,""✓"",""✗"")"),"✗")</f>
        <v>✗</v>
      </c>
      <c r="U507" s="33"/>
      <c r="V507" s="33"/>
      <c r="W507" s="33"/>
      <c r="X507" s="33"/>
      <c r="Y507" s="33"/>
      <c r="Z507" s="33"/>
      <c r="AA507" s="33"/>
      <c r="AB507" s="33"/>
      <c r="AC507" s="33"/>
    </row>
    <row r="508" hidden="1">
      <c r="A508" s="17" t="s">
        <v>302</v>
      </c>
      <c r="B508" s="33"/>
      <c r="C508" s="33"/>
      <c r="D508" s="33"/>
      <c r="E508" s="33"/>
      <c r="F508" s="33"/>
      <c r="G508" s="33"/>
      <c r="H508" s="23" t="str">
        <f>IFERROR(__xludf.DUMMYFUNCTION("if(REGEXMATCH(join("", "",$F508:$G508),H$1)=TRUE,""✓"",""✗"")"),"✗")</f>
        <v>✗</v>
      </c>
      <c r="I508" s="23" t="str">
        <f>IFERROR(__xludf.DUMMYFUNCTION("if(REGEXMATCH(join("", "",$F508:$G508),I$1)=TRUE,""✓"",""✗"")"),"✗")</f>
        <v>✗</v>
      </c>
      <c r="J508" s="23" t="str">
        <f>IFERROR(__xludf.DUMMYFUNCTION("if(REGEXMATCH(join("", "",$F508:$G508),J$1)=TRUE,""✓"",""✗"")"),"✗")</f>
        <v>✗</v>
      </c>
      <c r="K508" s="23" t="str">
        <f>IFERROR(__xludf.DUMMYFUNCTION("if(REGEXMATCH(join("", "",$F508:$G508),K$1)=TRUE,""✓"",""✗"")"),"✗")</f>
        <v>✗</v>
      </c>
      <c r="L508" s="23" t="str">
        <f>IFERROR(__xludf.DUMMYFUNCTION("if(REGEXMATCH(join("", "",$F508:$G508),L$1)=TRUE,""✓"",""✗"")"),"✗")</f>
        <v>✗</v>
      </c>
      <c r="M508" s="23" t="str">
        <f>IFERROR(__xludf.DUMMYFUNCTION("if(REGEXMATCH(join("", "",$F508:$G508),M$1)=TRUE,""✓"",""✗"")"),"✗")</f>
        <v>✗</v>
      </c>
      <c r="N508" s="23" t="str">
        <f>IFERROR(__xludf.DUMMYFUNCTION("if(REGEXMATCH(join("", "",$F508:$G508),N$1)=TRUE,""✓"",""✗"")"),"✗")</f>
        <v>✗</v>
      </c>
      <c r="O508" s="23" t="str">
        <f>IFERROR(__xludf.DUMMYFUNCTION("if(REGEXMATCH(join("", "",$F508:$G508),O$1)=TRUE,""✓"",""✗"")"),"✗")</f>
        <v>✗</v>
      </c>
      <c r="P508" s="23" t="str">
        <f>IFERROR(__xludf.DUMMYFUNCTION("if(REGEXMATCH(join("", "",$F508:$G508),P$1)=TRUE,""✓"",""✗"")"),"✗")</f>
        <v>✗</v>
      </c>
      <c r="Q508" s="23" t="str">
        <f>IFERROR(__xludf.DUMMYFUNCTION("if(REGEXMATCH(join("", "",$F508:$G508),Q$1)=TRUE,""✓"",""✗"")"),"✗")</f>
        <v>✗</v>
      </c>
      <c r="R508" s="23" t="str">
        <f>IFERROR(__xludf.DUMMYFUNCTION("if(REGEXMATCH(join("", "",$F508:$G508),R$1)=TRUE,""✓"",""✗"")"),"✗")</f>
        <v>✗</v>
      </c>
      <c r="S508" s="23" t="str">
        <f>IFERROR(__xludf.DUMMYFUNCTION("if(REGEXMATCH(join("", "",$F508:$G508),S$1)=TRUE,""✓"",""✗"")"),"✗")</f>
        <v>✗</v>
      </c>
      <c r="T508" s="23" t="str">
        <f>IFERROR(__xludf.DUMMYFUNCTION("if(REGEXMATCH(join("", "",$F508:$G508),T$1)=TRUE,""✓"",""✗"")"),"✗")</f>
        <v>✗</v>
      </c>
      <c r="U508" s="33"/>
      <c r="V508" s="33"/>
      <c r="W508" s="33"/>
      <c r="X508" s="33"/>
      <c r="Y508" s="33"/>
      <c r="Z508" s="33"/>
      <c r="AA508" s="33"/>
      <c r="AB508" s="33"/>
      <c r="AC508" s="33"/>
    </row>
    <row r="509" hidden="1">
      <c r="A509" s="17" t="s">
        <v>302</v>
      </c>
      <c r="B509" s="33"/>
      <c r="C509" s="33"/>
      <c r="D509" s="33"/>
      <c r="E509" s="33"/>
      <c r="F509" s="33"/>
      <c r="G509" s="33"/>
      <c r="H509" s="23" t="str">
        <f>IFERROR(__xludf.DUMMYFUNCTION("if(REGEXMATCH(join("", "",$F509:$G509),H$1)=TRUE,""✓"",""✗"")"),"✗")</f>
        <v>✗</v>
      </c>
      <c r="I509" s="23" t="str">
        <f>IFERROR(__xludf.DUMMYFUNCTION("if(REGEXMATCH(join("", "",$F509:$G509),I$1)=TRUE,""✓"",""✗"")"),"✗")</f>
        <v>✗</v>
      </c>
      <c r="J509" s="23" t="str">
        <f>IFERROR(__xludf.DUMMYFUNCTION("if(REGEXMATCH(join("", "",$F509:$G509),J$1)=TRUE,""✓"",""✗"")"),"✗")</f>
        <v>✗</v>
      </c>
      <c r="K509" s="23" t="str">
        <f>IFERROR(__xludf.DUMMYFUNCTION("if(REGEXMATCH(join("", "",$F509:$G509),K$1)=TRUE,""✓"",""✗"")"),"✗")</f>
        <v>✗</v>
      </c>
      <c r="L509" s="23" t="str">
        <f>IFERROR(__xludf.DUMMYFUNCTION("if(REGEXMATCH(join("", "",$F509:$G509),L$1)=TRUE,""✓"",""✗"")"),"✗")</f>
        <v>✗</v>
      </c>
      <c r="M509" s="23" t="str">
        <f>IFERROR(__xludf.DUMMYFUNCTION("if(REGEXMATCH(join("", "",$F509:$G509),M$1)=TRUE,""✓"",""✗"")"),"✗")</f>
        <v>✗</v>
      </c>
      <c r="N509" s="23" t="str">
        <f>IFERROR(__xludf.DUMMYFUNCTION("if(REGEXMATCH(join("", "",$F509:$G509),N$1)=TRUE,""✓"",""✗"")"),"✗")</f>
        <v>✗</v>
      </c>
      <c r="O509" s="23" t="str">
        <f>IFERROR(__xludf.DUMMYFUNCTION("if(REGEXMATCH(join("", "",$F509:$G509),O$1)=TRUE,""✓"",""✗"")"),"✗")</f>
        <v>✗</v>
      </c>
      <c r="P509" s="23" t="str">
        <f>IFERROR(__xludf.DUMMYFUNCTION("if(REGEXMATCH(join("", "",$F509:$G509),P$1)=TRUE,""✓"",""✗"")"),"✗")</f>
        <v>✗</v>
      </c>
      <c r="Q509" s="23" t="str">
        <f>IFERROR(__xludf.DUMMYFUNCTION("if(REGEXMATCH(join("", "",$F509:$G509),Q$1)=TRUE,""✓"",""✗"")"),"✗")</f>
        <v>✗</v>
      </c>
      <c r="R509" s="23" t="str">
        <f>IFERROR(__xludf.DUMMYFUNCTION("if(REGEXMATCH(join("", "",$F509:$G509),R$1)=TRUE,""✓"",""✗"")"),"✗")</f>
        <v>✗</v>
      </c>
      <c r="S509" s="23" t="str">
        <f>IFERROR(__xludf.DUMMYFUNCTION("if(REGEXMATCH(join("", "",$F509:$G509),S$1)=TRUE,""✓"",""✗"")"),"✗")</f>
        <v>✗</v>
      </c>
      <c r="T509" s="23" t="str">
        <f>IFERROR(__xludf.DUMMYFUNCTION("if(REGEXMATCH(join("", "",$F509:$G509),T$1)=TRUE,""✓"",""✗"")"),"✗")</f>
        <v>✗</v>
      </c>
      <c r="U509" s="33"/>
      <c r="V509" s="33"/>
      <c r="W509" s="33"/>
      <c r="X509" s="33"/>
      <c r="Y509" s="33"/>
      <c r="Z509" s="33"/>
      <c r="AA509" s="33"/>
      <c r="AB509" s="33"/>
      <c r="AC509" s="33"/>
    </row>
    <row r="510" hidden="1">
      <c r="A510" s="17" t="s">
        <v>302</v>
      </c>
      <c r="B510" s="33"/>
      <c r="C510" s="33"/>
      <c r="D510" s="33"/>
      <c r="E510" s="33"/>
      <c r="F510" s="33"/>
      <c r="G510" s="33"/>
      <c r="H510" s="23" t="str">
        <f>IFERROR(__xludf.DUMMYFUNCTION("if(REGEXMATCH(join("", "",$F510:$G510),H$1)=TRUE,""✓"",""✗"")"),"✗")</f>
        <v>✗</v>
      </c>
      <c r="I510" s="23" t="str">
        <f>IFERROR(__xludf.DUMMYFUNCTION("if(REGEXMATCH(join("", "",$F510:$G510),I$1)=TRUE,""✓"",""✗"")"),"✗")</f>
        <v>✗</v>
      </c>
      <c r="J510" s="23" t="str">
        <f>IFERROR(__xludf.DUMMYFUNCTION("if(REGEXMATCH(join("", "",$F510:$G510),J$1)=TRUE,""✓"",""✗"")"),"✗")</f>
        <v>✗</v>
      </c>
      <c r="K510" s="23" t="str">
        <f>IFERROR(__xludf.DUMMYFUNCTION("if(REGEXMATCH(join("", "",$F510:$G510),K$1)=TRUE,""✓"",""✗"")"),"✗")</f>
        <v>✗</v>
      </c>
      <c r="L510" s="23" t="str">
        <f>IFERROR(__xludf.DUMMYFUNCTION("if(REGEXMATCH(join("", "",$F510:$G510),L$1)=TRUE,""✓"",""✗"")"),"✗")</f>
        <v>✗</v>
      </c>
      <c r="M510" s="23" t="str">
        <f>IFERROR(__xludf.DUMMYFUNCTION("if(REGEXMATCH(join("", "",$F510:$G510),M$1)=TRUE,""✓"",""✗"")"),"✗")</f>
        <v>✗</v>
      </c>
      <c r="N510" s="23" t="str">
        <f>IFERROR(__xludf.DUMMYFUNCTION("if(REGEXMATCH(join("", "",$F510:$G510),N$1)=TRUE,""✓"",""✗"")"),"✗")</f>
        <v>✗</v>
      </c>
      <c r="O510" s="23" t="str">
        <f>IFERROR(__xludf.DUMMYFUNCTION("if(REGEXMATCH(join("", "",$F510:$G510),O$1)=TRUE,""✓"",""✗"")"),"✗")</f>
        <v>✗</v>
      </c>
      <c r="P510" s="23" t="str">
        <f>IFERROR(__xludf.DUMMYFUNCTION("if(REGEXMATCH(join("", "",$F510:$G510),P$1)=TRUE,""✓"",""✗"")"),"✗")</f>
        <v>✗</v>
      </c>
      <c r="Q510" s="23" t="str">
        <f>IFERROR(__xludf.DUMMYFUNCTION("if(REGEXMATCH(join("", "",$F510:$G510),Q$1)=TRUE,""✓"",""✗"")"),"✗")</f>
        <v>✗</v>
      </c>
      <c r="R510" s="23" t="str">
        <f>IFERROR(__xludf.DUMMYFUNCTION("if(REGEXMATCH(join("", "",$F510:$G510),R$1)=TRUE,""✓"",""✗"")"),"✗")</f>
        <v>✗</v>
      </c>
      <c r="S510" s="23" t="str">
        <f>IFERROR(__xludf.DUMMYFUNCTION("if(REGEXMATCH(join("", "",$F510:$G510),S$1)=TRUE,""✓"",""✗"")"),"✗")</f>
        <v>✗</v>
      </c>
      <c r="T510" s="23" t="str">
        <f>IFERROR(__xludf.DUMMYFUNCTION("if(REGEXMATCH(join("", "",$F510:$G510),T$1)=TRUE,""✓"",""✗"")"),"✗")</f>
        <v>✗</v>
      </c>
      <c r="U510" s="33"/>
      <c r="V510" s="33"/>
      <c r="W510" s="33"/>
      <c r="X510" s="33"/>
      <c r="Y510" s="33"/>
      <c r="Z510" s="33"/>
      <c r="AA510" s="33"/>
      <c r="AB510" s="33"/>
      <c r="AC510" s="33"/>
    </row>
    <row r="511" hidden="1">
      <c r="A511" s="17" t="s">
        <v>302</v>
      </c>
      <c r="B511" s="33"/>
      <c r="C511" s="33"/>
      <c r="D511" s="33"/>
      <c r="E511" s="33"/>
      <c r="F511" s="33"/>
      <c r="G511" s="33"/>
      <c r="H511" s="23" t="str">
        <f>IFERROR(__xludf.DUMMYFUNCTION("if(REGEXMATCH(join("", "",$F511:$G511),H$1)=TRUE,""✓"",""✗"")"),"✗")</f>
        <v>✗</v>
      </c>
      <c r="I511" s="23" t="str">
        <f>IFERROR(__xludf.DUMMYFUNCTION("if(REGEXMATCH(join("", "",$F511:$G511),I$1)=TRUE,""✓"",""✗"")"),"✗")</f>
        <v>✗</v>
      </c>
      <c r="J511" s="23" t="str">
        <f>IFERROR(__xludf.DUMMYFUNCTION("if(REGEXMATCH(join("", "",$F511:$G511),J$1)=TRUE,""✓"",""✗"")"),"✗")</f>
        <v>✗</v>
      </c>
      <c r="K511" s="23" t="str">
        <f>IFERROR(__xludf.DUMMYFUNCTION("if(REGEXMATCH(join("", "",$F511:$G511),K$1)=TRUE,""✓"",""✗"")"),"✗")</f>
        <v>✗</v>
      </c>
      <c r="L511" s="23" t="str">
        <f>IFERROR(__xludf.DUMMYFUNCTION("if(REGEXMATCH(join("", "",$F511:$G511),L$1)=TRUE,""✓"",""✗"")"),"✗")</f>
        <v>✗</v>
      </c>
      <c r="M511" s="23" t="str">
        <f>IFERROR(__xludf.DUMMYFUNCTION("if(REGEXMATCH(join("", "",$F511:$G511),M$1)=TRUE,""✓"",""✗"")"),"✗")</f>
        <v>✗</v>
      </c>
      <c r="N511" s="23" t="str">
        <f>IFERROR(__xludf.DUMMYFUNCTION("if(REGEXMATCH(join("", "",$F511:$G511),N$1)=TRUE,""✓"",""✗"")"),"✗")</f>
        <v>✗</v>
      </c>
      <c r="O511" s="23" t="str">
        <f>IFERROR(__xludf.DUMMYFUNCTION("if(REGEXMATCH(join("", "",$F511:$G511),O$1)=TRUE,""✓"",""✗"")"),"✗")</f>
        <v>✗</v>
      </c>
      <c r="P511" s="23" t="str">
        <f>IFERROR(__xludf.DUMMYFUNCTION("if(REGEXMATCH(join("", "",$F511:$G511),P$1)=TRUE,""✓"",""✗"")"),"✗")</f>
        <v>✗</v>
      </c>
      <c r="Q511" s="23" t="str">
        <f>IFERROR(__xludf.DUMMYFUNCTION("if(REGEXMATCH(join("", "",$F511:$G511),Q$1)=TRUE,""✓"",""✗"")"),"✗")</f>
        <v>✗</v>
      </c>
      <c r="R511" s="23" t="str">
        <f>IFERROR(__xludf.DUMMYFUNCTION("if(REGEXMATCH(join("", "",$F511:$G511),R$1)=TRUE,""✓"",""✗"")"),"✗")</f>
        <v>✗</v>
      </c>
      <c r="S511" s="23" t="str">
        <f>IFERROR(__xludf.DUMMYFUNCTION("if(REGEXMATCH(join("", "",$F511:$G511),S$1)=TRUE,""✓"",""✗"")"),"✗")</f>
        <v>✗</v>
      </c>
      <c r="T511" s="23" t="str">
        <f>IFERROR(__xludf.DUMMYFUNCTION("if(REGEXMATCH(join("", "",$F511:$G511),T$1)=TRUE,""✓"",""✗"")"),"✗")</f>
        <v>✗</v>
      </c>
      <c r="U511" s="33"/>
      <c r="V511" s="33"/>
      <c r="W511" s="33"/>
      <c r="X511" s="33"/>
      <c r="Y511" s="33"/>
      <c r="Z511" s="33"/>
      <c r="AA511" s="33"/>
      <c r="AB511" s="33"/>
      <c r="AC511" s="33"/>
    </row>
    <row r="512" hidden="1">
      <c r="A512" s="17" t="s">
        <v>302</v>
      </c>
      <c r="B512" s="33"/>
      <c r="C512" s="33"/>
      <c r="D512" s="33"/>
      <c r="E512" s="33"/>
      <c r="F512" s="33"/>
      <c r="G512" s="33"/>
      <c r="H512" s="23" t="str">
        <f>IFERROR(__xludf.DUMMYFUNCTION("if(REGEXMATCH(join("", "",$F512:$G512),H$1)=TRUE,""✓"",""✗"")"),"✗")</f>
        <v>✗</v>
      </c>
      <c r="I512" s="23" t="str">
        <f>IFERROR(__xludf.DUMMYFUNCTION("if(REGEXMATCH(join("", "",$F512:$G512),I$1)=TRUE,""✓"",""✗"")"),"✗")</f>
        <v>✗</v>
      </c>
      <c r="J512" s="23" t="str">
        <f>IFERROR(__xludf.DUMMYFUNCTION("if(REGEXMATCH(join("", "",$F512:$G512),J$1)=TRUE,""✓"",""✗"")"),"✗")</f>
        <v>✗</v>
      </c>
      <c r="K512" s="23" t="str">
        <f>IFERROR(__xludf.DUMMYFUNCTION("if(REGEXMATCH(join("", "",$F512:$G512),K$1)=TRUE,""✓"",""✗"")"),"✗")</f>
        <v>✗</v>
      </c>
      <c r="L512" s="23" t="str">
        <f>IFERROR(__xludf.DUMMYFUNCTION("if(REGEXMATCH(join("", "",$F512:$G512),L$1)=TRUE,""✓"",""✗"")"),"✗")</f>
        <v>✗</v>
      </c>
      <c r="M512" s="23" t="str">
        <f>IFERROR(__xludf.DUMMYFUNCTION("if(REGEXMATCH(join("", "",$F512:$G512),M$1)=TRUE,""✓"",""✗"")"),"✗")</f>
        <v>✗</v>
      </c>
      <c r="N512" s="23" t="str">
        <f>IFERROR(__xludf.DUMMYFUNCTION("if(REGEXMATCH(join("", "",$F512:$G512),N$1)=TRUE,""✓"",""✗"")"),"✗")</f>
        <v>✗</v>
      </c>
      <c r="O512" s="23" t="str">
        <f>IFERROR(__xludf.DUMMYFUNCTION("if(REGEXMATCH(join("", "",$F512:$G512),O$1)=TRUE,""✓"",""✗"")"),"✗")</f>
        <v>✗</v>
      </c>
      <c r="P512" s="23" t="str">
        <f>IFERROR(__xludf.DUMMYFUNCTION("if(REGEXMATCH(join("", "",$F512:$G512),P$1)=TRUE,""✓"",""✗"")"),"✗")</f>
        <v>✗</v>
      </c>
      <c r="Q512" s="23" t="str">
        <f>IFERROR(__xludf.DUMMYFUNCTION("if(REGEXMATCH(join("", "",$F512:$G512),Q$1)=TRUE,""✓"",""✗"")"),"✗")</f>
        <v>✗</v>
      </c>
      <c r="R512" s="23" t="str">
        <f>IFERROR(__xludf.DUMMYFUNCTION("if(REGEXMATCH(join("", "",$F512:$G512),R$1)=TRUE,""✓"",""✗"")"),"✗")</f>
        <v>✗</v>
      </c>
      <c r="S512" s="23" t="str">
        <f>IFERROR(__xludf.DUMMYFUNCTION("if(REGEXMATCH(join("", "",$F512:$G512),S$1)=TRUE,""✓"",""✗"")"),"✗")</f>
        <v>✗</v>
      </c>
      <c r="T512" s="23" t="str">
        <f>IFERROR(__xludf.DUMMYFUNCTION("if(REGEXMATCH(join("", "",$F512:$G512),T$1)=TRUE,""✓"",""✗"")"),"✗")</f>
        <v>✗</v>
      </c>
      <c r="U512" s="33"/>
      <c r="V512" s="33"/>
      <c r="W512" s="33"/>
      <c r="X512" s="33"/>
      <c r="Y512" s="33"/>
      <c r="Z512" s="33"/>
      <c r="AA512" s="33"/>
      <c r="AB512" s="33"/>
      <c r="AC512" s="33"/>
    </row>
    <row r="513" hidden="1">
      <c r="A513" s="17" t="s">
        <v>302</v>
      </c>
      <c r="B513" s="33"/>
      <c r="C513" s="33"/>
      <c r="D513" s="33"/>
      <c r="E513" s="33"/>
      <c r="F513" s="33"/>
      <c r="G513" s="33"/>
      <c r="H513" s="23" t="str">
        <f>IFERROR(__xludf.DUMMYFUNCTION("if(REGEXMATCH(join("", "",$F513:$G513),H$1)=TRUE,""✓"",""✗"")"),"✗")</f>
        <v>✗</v>
      </c>
      <c r="I513" s="23" t="str">
        <f>IFERROR(__xludf.DUMMYFUNCTION("if(REGEXMATCH(join("", "",$F513:$G513),I$1)=TRUE,""✓"",""✗"")"),"✗")</f>
        <v>✗</v>
      </c>
      <c r="J513" s="23" t="str">
        <f>IFERROR(__xludf.DUMMYFUNCTION("if(REGEXMATCH(join("", "",$F513:$G513),J$1)=TRUE,""✓"",""✗"")"),"✗")</f>
        <v>✗</v>
      </c>
      <c r="K513" s="23" t="str">
        <f>IFERROR(__xludf.DUMMYFUNCTION("if(REGEXMATCH(join("", "",$F513:$G513),K$1)=TRUE,""✓"",""✗"")"),"✗")</f>
        <v>✗</v>
      </c>
      <c r="L513" s="23" t="str">
        <f>IFERROR(__xludf.DUMMYFUNCTION("if(REGEXMATCH(join("", "",$F513:$G513),L$1)=TRUE,""✓"",""✗"")"),"✗")</f>
        <v>✗</v>
      </c>
      <c r="M513" s="23" t="str">
        <f>IFERROR(__xludf.DUMMYFUNCTION("if(REGEXMATCH(join("", "",$F513:$G513),M$1)=TRUE,""✓"",""✗"")"),"✗")</f>
        <v>✗</v>
      </c>
      <c r="N513" s="23" t="str">
        <f>IFERROR(__xludf.DUMMYFUNCTION("if(REGEXMATCH(join("", "",$F513:$G513),N$1)=TRUE,""✓"",""✗"")"),"✗")</f>
        <v>✗</v>
      </c>
      <c r="O513" s="23" t="str">
        <f>IFERROR(__xludf.DUMMYFUNCTION("if(REGEXMATCH(join("", "",$F513:$G513),O$1)=TRUE,""✓"",""✗"")"),"✗")</f>
        <v>✗</v>
      </c>
      <c r="P513" s="23" t="str">
        <f>IFERROR(__xludf.DUMMYFUNCTION("if(REGEXMATCH(join("", "",$F513:$G513),P$1)=TRUE,""✓"",""✗"")"),"✗")</f>
        <v>✗</v>
      </c>
      <c r="Q513" s="23" t="str">
        <f>IFERROR(__xludf.DUMMYFUNCTION("if(REGEXMATCH(join("", "",$F513:$G513),Q$1)=TRUE,""✓"",""✗"")"),"✗")</f>
        <v>✗</v>
      </c>
      <c r="R513" s="23" t="str">
        <f>IFERROR(__xludf.DUMMYFUNCTION("if(REGEXMATCH(join("", "",$F513:$G513),R$1)=TRUE,""✓"",""✗"")"),"✗")</f>
        <v>✗</v>
      </c>
      <c r="S513" s="23" t="str">
        <f>IFERROR(__xludf.DUMMYFUNCTION("if(REGEXMATCH(join("", "",$F513:$G513),S$1)=TRUE,""✓"",""✗"")"),"✗")</f>
        <v>✗</v>
      </c>
      <c r="T513" s="23" t="str">
        <f>IFERROR(__xludf.DUMMYFUNCTION("if(REGEXMATCH(join("", "",$F513:$G513),T$1)=TRUE,""✓"",""✗"")"),"✗")</f>
        <v>✗</v>
      </c>
      <c r="U513" s="33"/>
      <c r="V513" s="33"/>
      <c r="W513" s="33"/>
      <c r="X513" s="33"/>
      <c r="Y513" s="33"/>
      <c r="Z513" s="33"/>
      <c r="AA513" s="33"/>
      <c r="AB513" s="33"/>
      <c r="AC513" s="33"/>
    </row>
    <row r="514" hidden="1">
      <c r="A514" s="17" t="s">
        <v>302</v>
      </c>
      <c r="B514" s="33"/>
      <c r="C514" s="33"/>
      <c r="D514" s="33"/>
      <c r="E514" s="33"/>
      <c r="F514" s="33"/>
      <c r="G514" s="33"/>
      <c r="H514" s="23" t="str">
        <f>IFERROR(__xludf.DUMMYFUNCTION("if(REGEXMATCH(join("", "",$F514:$G514),H$1)=TRUE,""✓"",""✗"")"),"✗")</f>
        <v>✗</v>
      </c>
      <c r="I514" s="23" t="str">
        <f>IFERROR(__xludf.DUMMYFUNCTION("if(REGEXMATCH(join("", "",$F514:$G514),I$1)=TRUE,""✓"",""✗"")"),"✗")</f>
        <v>✗</v>
      </c>
      <c r="J514" s="23" t="str">
        <f>IFERROR(__xludf.DUMMYFUNCTION("if(REGEXMATCH(join("", "",$F514:$G514),J$1)=TRUE,""✓"",""✗"")"),"✗")</f>
        <v>✗</v>
      </c>
      <c r="K514" s="23" t="str">
        <f>IFERROR(__xludf.DUMMYFUNCTION("if(REGEXMATCH(join("", "",$F514:$G514),K$1)=TRUE,""✓"",""✗"")"),"✗")</f>
        <v>✗</v>
      </c>
      <c r="L514" s="23" t="str">
        <f>IFERROR(__xludf.DUMMYFUNCTION("if(REGEXMATCH(join("", "",$F514:$G514),L$1)=TRUE,""✓"",""✗"")"),"✗")</f>
        <v>✗</v>
      </c>
      <c r="M514" s="23" t="str">
        <f>IFERROR(__xludf.DUMMYFUNCTION("if(REGEXMATCH(join("", "",$F514:$G514),M$1)=TRUE,""✓"",""✗"")"),"✗")</f>
        <v>✗</v>
      </c>
      <c r="N514" s="23" t="str">
        <f>IFERROR(__xludf.DUMMYFUNCTION("if(REGEXMATCH(join("", "",$F514:$G514),N$1)=TRUE,""✓"",""✗"")"),"✗")</f>
        <v>✗</v>
      </c>
      <c r="O514" s="23" t="str">
        <f>IFERROR(__xludf.DUMMYFUNCTION("if(REGEXMATCH(join("", "",$F514:$G514),O$1)=TRUE,""✓"",""✗"")"),"✗")</f>
        <v>✗</v>
      </c>
      <c r="P514" s="23" t="str">
        <f>IFERROR(__xludf.DUMMYFUNCTION("if(REGEXMATCH(join("", "",$F514:$G514),P$1)=TRUE,""✓"",""✗"")"),"✗")</f>
        <v>✗</v>
      </c>
      <c r="Q514" s="23" t="str">
        <f>IFERROR(__xludf.DUMMYFUNCTION("if(REGEXMATCH(join("", "",$F514:$G514),Q$1)=TRUE,""✓"",""✗"")"),"✗")</f>
        <v>✗</v>
      </c>
      <c r="R514" s="23" t="str">
        <f>IFERROR(__xludf.DUMMYFUNCTION("if(REGEXMATCH(join("", "",$F514:$G514),R$1)=TRUE,""✓"",""✗"")"),"✗")</f>
        <v>✗</v>
      </c>
      <c r="S514" s="23" t="str">
        <f>IFERROR(__xludf.DUMMYFUNCTION("if(REGEXMATCH(join("", "",$F514:$G514),S$1)=TRUE,""✓"",""✗"")"),"✗")</f>
        <v>✗</v>
      </c>
      <c r="T514" s="23" t="str">
        <f>IFERROR(__xludf.DUMMYFUNCTION("if(REGEXMATCH(join("", "",$F514:$G514),T$1)=TRUE,""✓"",""✗"")"),"✗")</f>
        <v>✗</v>
      </c>
      <c r="U514" s="33"/>
      <c r="V514" s="33"/>
      <c r="W514" s="33"/>
      <c r="X514" s="33"/>
      <c r="Y514" s="33"/>
      <c r="Z514" s="33"/>
      <c r="AA514" s="33"/>
      <c r="AB514" s="33"/>
      <c r="AC514" s="33"/>
    </row>
    <row r="515" hidden="1">
      <c r="A515" s="17" t="s">
        <v>302</v>
      </c>
      <c r="B515" s="33"/>
      <c r="C515" s="33"/>
      <c r="D515" s="33"/>
      <c r="E515" s="33"/>
      <c r="F515" s="33"/>
      <c r="G515" s="33"/>
      <c r="H515" s="23" t="str">
        <f>IFERROR(__xludf.DUMMYFUNCTION("if(REGEXMATCH(join("", "",$F515:$G515),H$1)=TRUE,""✓"",""✗"")"),"✗")</f>
        <v>✗</v>
      </c>
      <c r="I515" s="23" t="str">
        <f>IFERROR(__xludf.DUMMYFUNCTION("if(REGEXMATCH(join("", "",$F515:$G515),I$1)=TRUE,""✓"",""✗"")"),"✗")</f>
        <v>✗</v>
      </c>
      <c r="J515" s="23" t="str">
        <f>IFERROR(__xludf.DUMMYFUNCTION("if(REGEXMATCH(join("", "",$F515:$G515),J$1)=TRUE,""✓"",""✗"")"),"✗")</f>
        <v>✗</v>
      </c>
      <c r="K515" s="23" t="str">
        <f>IFERROR(__xludf.DUMMYFUNCTION("if(REGEXMATCH(join("", "",$F515:$G515),K$1)=TRUE,""✓"",""✗"")"),"✗")</f>
        <v>✗</v>
      </c>
      <c r="L515" s="23" t="str">
        <f>IFERROR(__xludf.DUMMYFUNCTION("if(REGEXMATCH(join("", "",$F515:$G515),L$1)=TRUE,""✓"",""✗"")"),"✗")</f>
        <v>✗</v>
      </c>
      <c r="M515" s="23" t="str">
        <f>IFERROR(__xludf.DUMMYFUNCTION("if(REGEXMATCH(join("", "",$F515:$G515),M$1)=TRUE,""✓"",""✗"")"),"✗")</f>
        <v>✗</v>
      </c>
      <c r="N515" s="23" t="str">
        <f>IFERROR(__xludf.DUMMYFUNCTION("if(REGEXMATCH(join("", "",$F515:$G515),N$1)=TRUE,""✓"",""✗"")"),"✗")</f>
        <v>✗</v>
      </c>
      <c r="O515" s="23" t="str">
        <f>IFERROR(__xludf.DUMMYFUNCTION("if(REGEXMATCH(join("", "",$F515:$G515),O$1)=TRUE,""✓"",""✗"")"),"✗")</f>
        <v>✗</v>
      </c>
      <c r="P515" s="23" t="str">
        <f>IFERROR(__xludf.DUMMYFUNCTION("if(REGEXMATCH(join("", "",$F515:$G515),P$1)=TRUE,""✓"",""✗"")"),"✗")</f>
        <v>✗</v>
      </c>
      <c r="Q515" s="23" t="str">
        <f>IFERROR(__xludf.DUMMYFUNCTION("if(REGEXMATCH(join("", "",$F515:$G515),Q$1)=TRUE,""✓"",""✗"")"),"✗")</f>
        <v>✗</v>
      </c>
      <c r="R515" s="23" t="str">
        <f>IFERROR(__xludf.DUMMYFUNCTION("if(REGEXMATCH(join("", "",$F515:$G515),R$1)=TRUE,""✓"",""✗"")"),"✗")</f>
        <v>✗</v>
      </c>
      <c r="S515" s="23" t="str">
        <f>IFERROR(__xludf.DUMMYFUNCTION("if(REGEXMATCH(join("", "",$F515:$G515),S$1)=TRUE,""✓"",""✗"")"),"✗")</f>
        <v>✗</v>
      </c>
      <c r="T515" s="23" t="str">
        <f>IFERROR(__xludf.DUMMYFUNCTION("if(REGEXMATCH(join("", "",$F515:$G515),T$1)=TRUE,""✓"",""✗"")"),"✗")</f>
        <v>✗</v>
      </c>
      <c r="U515" s="33"/>
      <c r="V515" s="33"/>
      <c r="W515" s="33"/>
      <c r="X515" s="33"/>
      <c r="Y515" s="33"/>
      <c r="Z515" s="33"/>
      <c r="AA515" s="33"/>
      <c r="AB515" s="33"/>
      <c r="AC515" s="33"/>
    </row>
    <row r="516" hidden="1">
      <c r="A516" s="17" t="s">
        <v>302</v>
      </c>
      <c r="B516" s="33"/>
      <c r="C516" s="33"/>
      <c r="D516" s="33"/>
      <c r="E516" s="33"/>
      <c r="F516" s="33"/>
      <c r="G516" s="33"/>
      <c r="H516" s="23" t="str">
        <f>IFERROR(__xludf.DUMMYFUNCTION("if(REGEXMATCH(join("", "",$F516:$G516),H$1)=TRUE,""✓"",""✗"")"),"✗")</f>
        <v>✗</v>
      </c>
      <c r="I516" s="23" t="str">
        <f>IFERROR(__xludf.DUMMYFUNCTION("if(REGEXMATCH(join("", "",$F516:$G516),I$1)=TRUE,""✓"",""✗"")"),"✗")</f>
        <v>✗</v>
      </c>
      <c r="J516" s="23" t="str">
        <f>IFERROR(__xludf.DUMMYFUNCTION("if(REGEXMATCH(join("", "",$F516:$G516),J$1)=TRUE,""✓"",""✗"")"),"✗")</f>
        <v>✗</v>
      </c>
      <c r="K516" s="23" t="str">
        <f>IFERROR(__xludf.DUMMYFUNCTION("if(REGEXMATCH(join("", "",$F516:$G516),K$1)=TRUE,""✓"",""✗"")"),"✗")</f>
        <v>✗</v>
      </c>
      <c r="L516" s="23" t="str">
        <f>IFERROR(__xludf.DUMMYFUNCTION("if(REGEXMATCH(join("", "",$F516:$G516),L$1)=TRUE,""✓"",""✗"")"),"✗")</f>
        <v>✗</v>
      </c>
      <c r="M516" s="23" t="str">
        <f>IFERROR(__xludf.DUMMYFUNCTION("if(REGEXMATCH(join("", "",$F516:$G516),M$1)=TRUE,""✓"",""✗"")"),"✗")</f>
        <v>✗</v>
      </c>
      <c r="N516" s="23" t="str">
        <f>IFERROR(__xludf.DUMMYFUNCTION("if(REGEXMATCH(join("", "",$F516:$G516),N$1)=TRUE,""✓"",""✗"")"),"✗")</f>
        <v>✗</v>
      </c>
      <c r="O516" s="23" t="str">
        <f>IFERROR(__xludf.DUMMYFUNCTION("if(REGEXMATCH(join("", "",$F516:$G516),O$1)=TRUE,""✓"",""✗"")"),"✗")</f>
        <v>✗</v>
      </c>
      <c r="P516" s="23" t="str">
        <f>IFERROR(__xludf.DUMMYFUNCTION("if(REGEXMATCH(join("", "",$F516:$G516),P$1)=TRUE,""✓"",""✗"")"),"✗")</f>
        <v>✗</v>
      </c>
      <c r="Q516" s="23" t="str">
        <f>IFERROR(__xludf.DUMMYFUNCTION("if(REGEXMATCH(join("", "",$F516:$G516),Q$1)=TRUE,""✓"",""✗"")"),"✗")</f>
        <v>✗</v>
      </c>
      <c r="R516" s="23" t="str">
        <f>IFERROR(__xludf.DUMMYFUNCTION("if(REGEXMATCH(join("", "",$F516:$G516),R$1)=TRUE,""✓"",""✗"")"),"✗")</f>
        <v>✗</v>
      </c>
      <c r="S516" s="23" t="str">
        <f>IFERROR(__xludf.DUMMYFUNCTION("if(REGEXMATCH(join("", "",$F516:$G516),S$1)=TRUE,""✓"",""✗"")"),"✗")</f>
        <v>✗</v>
      </c>
      <c r="T516" s="23" t="str">
        <f>IFERROR(__xludf.DUMMYFUNCTION("if(REGEXMATCH(join("", "",$F516:$G516),T$1)=TRUE,""✓"",""✗"")"),"✗")</f>
        <v>✗</v>
      </c>
      <c r="U516" s="33"/>
      <c r="V516" s="33"/>
      <c r="W516" s="33"/>
      <c r="X516" s="33"/>
      <c r="Y516" s="33"/>
      <c r="Z516" s="33"/>
      <c r="AA516" s="33"/>
      <c r="AB516" s="33"/>
      <c r="AC516" s="33"/>
    </row>
    <row r="517" hidden="1">
      <c r="A517" s="17" t="s">
        <v>302</v>
      </c>
      <c r="B517" s="33"/>
      <c r="C517" s="33"/>
      <c r="D517" s="33"/>
      <c r="E517" s="33"/>
      <c r="F517" s="33"/>
      <c r="G517" s="33"/>
      <c r="H517" s="23" t="str">
        <f>IFERROR(__xludf.DUMMYFUNCTION("if(REGEXMATCH(join("", "",$F517:$G517),H$1)=TRUE,""✓"",""✗"")"),"✗")</f>
        <v>✗</v>
      </c>
      <c r="I517" s="23" t="str">
        <f>IFERROR(__xludf.DUMMYFUNCTION("if(REGEXMATCH(join("", "",$F517:$G517),I$1)=TRUE,""✓"",""✗"")"),"✗")</f>
        <v>✗</v>
      </c>
      <c r="J517" s="23" t="str">
        <f>IFERROR(__xludf.DUMMYFUNCTION("if(REGEXMATCH(join("", "",$F517:$G517),J$1)=TRUE,""✓"",""✗"")"),"✗")</f>
        <v>✗</v>
      </c>
      <c r="K517" s="23" t="str">
        <f>IFERROR(__xludf.DUMMYFUNCTION("if(REGEXMATCH(join("", "",$F517:$G517),K$1)=TRUE,""✓"",""✗"")"),"✗")</f>
        <v>✗</v>
      </c>
      <c r="L517" s="23" t="str">
        <f>IFERROR(__xludf.DUMMYFUNCTION("if(REGEXMATCH(join("", "",$F517:$G517),L$1)=TRUE,""✓"",""✗"")"),"✗")</f>
        <v>✗</v>
      </c>
      <c r="M517" s="23" t="str">
        <f>IFERROR(__xludf.DUMMYFUNCTION("if(REGEXMATCH(join("", "",$F517:$G517),M$1)=TRUE,""✓"",""✗"")"),"✗")</f>
        <v>✗</v>
      </c>
      <c r="N517" s="23" t="str">
        <f>IFERROR(__xludf.DUMMYFUNCTION("if(REGEXMATCH(join("", "",$F517:$G517),N$1)=TRUE,""✓"",""✗"")"),"✗")</f>
        <v>✗</v>
      </c>
      <c r="O517" s="23" t="str">
        <f>IFERROR(__xludf.DUMMYFUNCTION("if(REGEXMATCH(join("", "",$F517:$G517),O$1)=TRUE,""✓"",""✗"")"),"✗")</f>
        <v>✗</v>
      </c>
      <c r="P517" s="23" t="str">
        <f>IFERROR(__xludf.DUMMYFUNCTION("if(REGEXMATCH(join("", "",$F517:$G517),P$1)=TRUE,""✓"",""✗"")"),"✗")</f>
        <v>✗</v>
      </c>
      <c r="Q517" s="23" t="str">
        <f>IFERROR(__xludf.DUMMYFUNCTION("if(REGEXMATCH(join("", "",$F517:$G517),Q$1)=TRUE,""✓"",""✗"")"),"✗")</f>
        <v>✗</v>
      </c>
      <c r="R517" s="23" t="str">
        <f>IFERROR(__xludf.DUMMYFUNCTION("if(REGEXMATCH(join("", "",$F517:$G517),R$1)=TRUE,""✓"",""✗"")"),"✗")</f>
        <v>✗</v>
      </c>
      <c r="S517" s="23" t="str">
        <f>IFERROR(__xludf.DUMMYFUNCTION("if(REGEXMATCH(join("", "",$F517:$G517),S$1)=TRUE,""✓"",""✗"")"),"✗")</f>
        <v>✗</v>
      </c>
      <c r="T517" s="23" t="str">
        <f>IFERROR(__xludf.DUMMYFUNCTION("if(REGEXMATCH(join("", "",$F517:$G517),T$1)=TRUE,""✓"",""✗"")"),"✗")</f>
        <v>✗</v>
      </c>
      <c r="U517" s="33"/>
      <c r="V517" s="33"/>
      <c r="W517" s="33"/>
      <c r="X517" s="33"/>
      <c r="Y517" s="33"/>
      <c r="Z517" s="33"/>
      <c r="AA517" s="33"/>
      <c r="AB517" s="33"/>
      <c r="AC517" s="33"/>
    </row>
    <row r="518" hidden="1">
      <c r="A518" s="17" t="s">
        <v>302</v>
      </c>
      <c r="B518" s="33"/>
      <c r="C518" s="33"/>
      <c r="D518" s="33"/>
      <c r="E518" s="33"/>
      <c r="F518" s="33"/>
      <c r="G518" s="33"/>
      <c r="H518" s="23" t="str">
        <f>IFERROR(__xludf.DUMMYFUNCTION("if(REGEXMATCH(join("", "",$F518:$G518),H$1)=TRUE,""✓"",""✗"")"),"✗")</f>
        <v>✗</v>
      </c>
      <c r="I518" s="23" t="str">
        <f>IFERROR(__xludf.DUMMYFUNCTION("if(REGEXMATCH(join("", "",$F518:$G518),I$1)=TRUE,""✓"",""✗"")"),"✗")</f>
        <v>✗</v>
      </c>
      <c r="J518" s="23" t="str">
        <f>IFERROR(__xludf.DUMMYFUNCTION("if(REGEXMATCH(join("", "",$F518:$G518),J$1)=TRUE,""✓"",""✗"")"),"✗")</f>
        <v>✗</v>
      </c>
      <c r="K518" s="23" t="str">
        <f>IFERROR(__xludf.DUMMYFUNCTION("if(REGEXMATCH(join("", "",$F518:$G518),K$1)=TRUE,""✓"",""✗"")"),"✗")</f>
        <v>✗</v>
      </c>
      <c r="L518" s="23" t="str">
        <f>IFERROR(__xludf.DUMMYFUNCTION("if(REGEXMATCH(join("", "",$F518:$G518),L$1)=TRUE,""✓"",""✗"")"),"✗")</f>
        <v>✗</v>
      </c>
      <c r="M518" s="23" t="str">
        <f>IFERROR(__xludf.DUMMYFUNCTION("if(REGEXMATCH(join("", "",$F518:$G518),M$1)=TRUE,""✓"",""✗"")"),"✗")</f>
        <v>✗</v>
      </c>
      <c r="N518" s="23" t="str">
        <f>IFERROR(__xludf.DUMMYFUNCTION("if(REGEXMATCH(join("", "",$F518:$G518),N$1)=TRUE,""✓"",""✗"")"),"✗")</f>
        <v>✗</v>
      </c>
      <c r="O518" s="23" t="str">
        <f>IFERROR(__xludf.DUMMYFUNCTION("if(REGEXMATCH(join("", "",$F518:$G518),O$1)=TRUE,""✓"",""✗"")"),"✗")</f>
        <v>✗</v>
      </c>
      <c r="P518" s="23" t="str">
        <f>IFERROR(__xludf.DUMMYFUNCTION("if(REGEXMATCH(join("", "",$F518:$G518),P$1)=TRUE,""✓"",""✗"")"),"✗")</f>
        <v>✗</v>
      </c>
      <c r="Q518" s="23" t="str">
        <f>IFERROR(__xludf.DUMMYFUNCTION("if(REGEXMATCH(join("", "",$F518:$G518),Q$1)=TRUE,""✓"",""✗"")"),"✗")</f>
        <v>✗</v>
      </c>
      <c r="R518" s="23" t="str">
        <f>IFERROR(__xludf.DUMMYFUNCTION("if(REGEXMATCH(join("", "",$F518:$G518),R$1)=TRUE,""✓"",""✗"")"),"✗")</f>
        <v>✗</v>
      </c>
      <c r="S518" s="23" t="str">
        <f>IFERROR(__xludf.DUMMYFUNCTION("if(REGEXMATCH(join("", "",$F518:$G518),S$1)=TRUE,""✓"",""✗"")"),"✗")</f>
        <v>✗</v>
      </c>
      <c r="T518" s="23" t="str">
        <f>IFERROR(__xludf.DUMMYFUNCTION("if(REGEXMATCH(join("", "",$F518:$G518),T$1)=TRUE,""✓"",""✗"")"),"✗")</f>
        <v>✗</v>
      </c>
      <c r="U518" s="33"/>
      <c r="V518" s="33"/>
      <c r="W518" s="33"/>
      <c r="X518" s="33"/>
      <c r="Y518" s="33"/>
      <c r="Z518" s="33"/>
      <c r="AA518" s="33"/>
      <c r="AB518" s="33"/>
      <c r="AC518" s="33"/>
    </row>
    <row r="519" hidden="1">
      <c r="A519" s="17" t="s">
        <v>302</v>
      </c>
      <c r="B519" s="33"/>
      <c r="C519" s="33"/>
      <c r="D519" s="33"/>
      <c r="E519" s="33"/>
      <c r="F519" s="33"/>
      <c r="G519" s="33"/>
      <c r="H519" s="23" t="str">
        <f>IFERROR(__xludf.DUMMYFUNCTION("if(REGEXMATCH(join("", "",$F519:$G519),H$1)=TRUE,""✓"",""✗"")"),"✗")</f>
        <v>✗</v>
      </c>
      <c r="I519" s="23" t="str">
        <f>IFERROR(__xludf.DUMMYFUNCTION("if(REGEXMATCH(join("", "",$F519:$G519),I$1)=TRUE,""✓"",""✗"")"),"✗")</f>
        <v>✗</v>
      </c>
      <c r="J519" s="23" t="str">
        <f>IFERROR(__xludf.DUMMYFUNCTION("if(REGEXMATCH(join("", "",$F519:$G519),J$1)=TRUE,""✓"",""✗"")"),"✗")</f>
        <v>✗</v>
      </c>
      <c r="K519" s="23" t="str">
        <f>IFERROR(__xludf.DUMMYFUNCTION("if(REGEXMATCH(join("", "",$F519:$G519),K$1)=TRUE,""✓"",""✗"")"),"✗")</f>
        <v>✗</v>
      </c>
      <c r="L519" s="23" t="str">
        <f>IFERROR(__xludf.DUMMYFUNCTION("if(REGEXMATCH(join("", "",$F519:$G519),L$1)=TRUE,""✓"",""✗"")"),"✗")</f>
        <v>✗</v>
      </c>
      <c r="M519" s="23" t="str">
        <f>IFERROR(__xludf.DUMMYFUNCTION("if(REGEXMATCH(join("", "",$F519:$G519),M$1)=TRUE,""✓"",""✗"")"),"✗")</f>
        <v>✗</v>
      </c>
      <c r="N519" s="23" t="str">
        <f>IFERROR(__xludf.DUMMYFUNCTION("if(REGEXMATCH(join("", "",$F519:$G519),N$1)=TRUE,""✓"",""✗"")"),"✗")</f>
        <v>✗</v>
      </c>
      <c r="O519" s="23" t="str">
        <f>IFERROR(__xludf.DUMMYFUNCTION("if(REGEXMATCH(join("", "",$F519:$G519),O$1)=TRUE,""✓"",""✗"")"),"✗")</f>
        <v>✗</v>
      </c>
      <c r="P519" s="23" t="str">
        <f>IFERROR(__xludf.DUMMYFUNCTION("if(REGEXMATCH(join("", "",$F519:$G519),P$1)=TRUE,""✓"",""✗"")"),"✗")</f>
        <v>✗</v>
      </c>
      <c r="Q519" s="23" t="str">
        <f>IFERROR(__xludf.DUMMYFUNCTION("if(REGEXMATCH(join("", "",$F519:$G519),Q$1)=TRUE,""✓"",""✗"")"),"✗")</f>
        <v>✗</v>
      </c>
      <c r="R519" s="23" t="str">
        <f>IFERROR(__xludf.DUMMYFUNCTION("if(REGEXMATCH(join("", "",$F519:$G519),R$1)=TRUE,""✓"",""✗"")"),"✗")</f>
        <v>✗</v>
      </c>
      <c r="S519" s="23" t="str">
        <f>IFERROR(__xludf.DUMMYFUNCTION("if(REGEXMATCH(join("", "",$F519:$G519),S$1)=TRUE,""✓"",""✗"")"),"✗")</f>
        <v>✗</v>
      </c>
      <c r="T519" s="23" t="str">
        <f>IFERROR(__xludf.DUMMYFUNCTION("if(REGEXMATCH(join("", "",$F519:$G519),T$1)=TRUE,""✓"",""✗"")"),"✗")</f>
        <v>✗</v>
      </c>
      <c r="U519" s="33"/>
      <c r="V519" s="33"/>
      <c r="W519" s="33"/>
      <c r="X519" s="33"/>
      <c r="Y519" s="33"/>
      <c r="Z519" s="33"/>
      <c r="AA519" s="33"/>
      <c r="AB519" s="33"/>
      <c r="AC519" s="33"/>
    </row>
    <row r="520" hidden="1">
      <c r="A520" s="17" t="s">
        <v>302</v>
      </c>
      <c r="B520" s="33"/>
      <c r="C520" s="33"/>
      <c r="D520" s="33"/>
      <c r="E520" s="33"/>
      <c r="F520" s="33"/>
      <c r="G520" s="33"/>
      <c r="H520" s="23" t="str">
        <f>IFERROR(__xludf.DUMMYFUNCTION("if(REGEXMATCH(join("", "",$F520:$G520),H$1)=TRUE,""✓"",""✗"")"),"✗")</f>
        <v>✗</v>
      </c>
      <c r="I520" s="23" t="str">
        <f>IFERROR(__xludf.DUMMYFUNCTION("if(REGEXMATCH(join("", "",$F520:$G520),I$1)=TRUE,""✓"",""✗"")"),"✗")</f>
        <v>✗</v>
      </c>
      <c r="J520" s="23" t="str">
        <f>IFERROR(__xludf.DUMMYFUNCTION("if(REGEXMATCH(join("", "",$F520:$G520),J$1)=TRUE,""✓"",""✗"")"),"✗")</f>
        <v>✗</v>
      </c>
      <c r="K520" s="23" t="str">
        <f>IFERROR(__xludf.DUMMYFUNCTION("if(REGEXMATCH(join("", "",$F520:$G520),K$1)=TRUE,""✓"",""✗"")"),"✗")</f>
        <v>✗</v>
      </c>
      <c r="L520" s="23" t="str">
        <f>IFERROR(__xludf.DUMMYFUNCTION("if(REGEXMATCH(join("", "",$F520:$G520),L$1)=TRUE,""✓"",""✗"")"),"✗")</f>
        <v>✗</v>
      </c>
      <c r="M520" s="23" t="str">
        <f>IFERROR(__xludf.DUMMYFUNCTION("if(REGEXMATCH(join("", "",$F520:$G520),M$1)=TRUE,""✓"",""✗"")"),"✗")</f>
        <v>✗</v>
      </c>
      <c r="N520" s="23" t="str">
        <f>IFERROR(__xludf.DUMMYFUNCTION("if(REGEXMATCH(join("", "",$F520:$G520),N$1)=TRUE,""✓"",""✗"")"),"✗")</f>
        <v>✗</v>
      </c>
      <c r="O520" s="23" t="str">
        <f>IFERROR(__xludf.DUMMYFUNCTION("if(REGEXMATCH(join("", "",$F520:$G520),O$1)=TRUE,""✓"",""✗"")"),"✗")</f>
        <v>✗</v>
      </c>
      <c r="P520" s="23" t="str">
        <f>IFERROR(__xludf.DUMMYFUNCTION("if(REGEXMATCH(join("", "",$F520:$G520),P$1)=TRUE,""✓"",""✗"")"),"✗")</f>
        <v>✗</v>
      </c>
      <c r="Q520" s="23" t="str">
        <f>IFERROR(__xludf.DUMMYFUNCTION("if(REGEXMATCH(join("", "",$F520:$G520),Q$1)=TRUE,""✓"",""✗"")"),"✗")</f>
        <v>✗</v>
      </c>
      <c r="R520" s="23" t="str">
        <f>IFERROR(__xludf.DUMMYFUNCTION("if(REGEXMATCH(join("", "",$F520:$G520),R$1)=TRUE,""✓"",""✗"")"),"✗")</f>
        <v>✗</v>
      </c>
      <c r="S520" s="23" t="str">
        <f>IFERROR(__xludf.DUMMYFUNCTION("if(REGEXMATCH(join("", "",$F520:$G520),S$1)=TRUE,""✓"",""✗"")"),"✗")</f>
        <v>✗</v>
      </c>
      <c r="T520" s="23" t="str">
        <f>IFERROR(__xludf.DUMMYFUNCTION("if(REGEXMATCH(join("", "",$F520:$G520),T$1)=TRUE,""✓"",""✗"")"),"✗")</f>
        <v>✗</v>
      </c>
      <c r="U520" s="33"/>
      <c r="V520" s="33"/>
      <c r="W520" s="33"/>
      <c r="X520" s="33"/>
      <c r="Y520" s="33"/>
      <c r="Z520" s="33"/>
      <c r="AA520" s="33"/>
      <c r="AB520" s="33"/>
      <c r="AC520" s="33"/>
    </row>
    <row r="521" hidden="1">
      <c r="A521" s="17" t="s">
        <v>302</v>
      </c>
      <c r="B521" s="33"/>
      <c r="C521" s="33"/>
      <c r="D521" s="33"/>
      <c r="E521" s="33"/>
      <c r="F521" s="33"/>
      <c r="G521" s="33"/>
      <c r="H521" s="23" t="str">
        <f>IFERROR(__xludf.DUMMYFUNCTION("if(REGEXMATCH(join("", "",$F521:$G521),H$1)=TRUE,""✓"",""✗"")"),"✗")</f>
        <v>✗</v>
      </c>
      <c r="I521" s="23" t="str">
        <f>IFERROR(__xludf.DUMMYFUNCTION("if(REGEXMATCH(join("", "",$F521:$G521),I$1)=TRUE,""✓"",""✗"")"),"✗")</f>
        <v>✗</v>
      </c>
      <c r="J521" s="23" t="str">
        <f>IFERROR(__xludf.DUMMYFUNCTION("if(REGEXMATCH(join("", "",$F521:$G521),J$1)=TRUE,""✓"",""✗"")"),"✗")</f>
        <v>✗</v>
      </c>
      <c r="K521" s="23" t="str">
        <f>IFERROR(__xludf.DUMMYFUNCTION("if(REGEXMATCH(join("", "",$F521:$G521),K$1)=TRUE,""✓"",""✗"")"),"✗")</f>
        <v>✗</v>
      </c>
      <c r="L521" s="23" t="str">
        <f>IFERROR(__xludf.DUMMYFUNCTION("if(REGEXMATCH(join("", "",$F521:$G521),L$1)=TRUE,""✓"",""✗"")"),"✗")</f>
        <v>✗</v>
      </c>
      <c r="M521" s="23" t="str">
        <f>IFERROR(__xludf.DUMMYFUNCTION("if(REGEXMATCH(join("", "",$F521:$G521),M$1)=TRUE,""✓"",""✗"")"),"✗")</f>
        <v>✗</v>
      </c>
      <c r="N521" s="23" t="str">
        <f>IFERROR(__xludf.DUMMYFUNCTION("if(REGEXMATCH(join("", "",$F521:$G521),N$1)=TRUE,""✓"",""✗"")"),"✗")</f>
        <v>✗</v>
      </c>
      <c r="O521" s="23" t="str">
        <f>IFERROR(__xludf.DUMMYFUNCTION("if(REGEXMATCH(join("", "",$F521:$G521),O$1)=TRUE,""✓"",""✗"")"),"✗")</f>
        <v>✗</v>
      </c>
      <c r="P521" s="23" t="str">
        <f>IFERROR(__xludf.DUMMYFUNCTION("if(REGEXMATCH(join("", "",$F521:$G521),P$1)=TRUE,""✓"",""✗"")"),"✗")</f>
        <v>✗</v>
      </c>
      <c r="Q521" s="23" t="str">
        <f>IFERROR(__xludf.DUMMYFUNCTION("if(REGEXMATCH(join("", "",$F521:$G521),Q$1)=TRUE,""✓"",""✗"")"),"✗")</f>
        <v>✗</v>
      </c>
      <c r="R521" s="23" t="str">
        <f>IFERROR(__xludf.DUMMYFUNCTION("if(REGEXMATCH(join("", "",$F521:$G521),R$1)=TRUE,""✓"",""✗"")"),"✗")</f>
        <v>✗</v>
      </c>
      <c r="S521" s="23" t="str">
        <f>IFERROR(__xludf.DUMMYFUNCTION("if(REGEXMATCH(join("", "",$F521:$G521),S$1)=TRUE,""✓"",""✗"")"),"✗")</f>
        <v>✗</v>
      </c>
      <c r="T521" s="23" t="str">
        <f>IFERROR(__xludf.DUMMYFUNCTION("if(REGEXMATCH(join("", "",$F521:$G521),T$1)=TRUE,""✓"",""✗"")"),"✗")</f>
        <v>✗</v>
      </c>
      <c r="U521" s="33"/>
      <c r="V521" s="33"/>
      <c r="W521" s="33"/>
      <c r="X521" s="33"/>
      <c r="Y521" s="33"/>
      <c r="Z521" s="33"/>
      <c r="AA521" s="33"/>
      <c r="AB521" s="33"/>
      <c r="AC521" s="33"/>
    </row>
    <row r="522" hidden="1">
      <c r="A522" s="17" t="s">
        <v>302</v>
      </c>
      <c r="B522" s="33"/>
      <c r="C522" s="33"/>
      <c r="D522" s="33"/>
      <c r="E522" s="33"/>
      <c r="F522" s="33"/>
      <c r="G522" s="33"/>
      <c r="H522" s="23" t="str">
        <f>IFERROR(__xludf.DUMMYFUNCTION("if(REGEXMATCH(join("", "",$F522:$G522),H$1)=TRUE,""✓"",""✗"")"),"✗")</f>
        <v>✗</v>
      </c>
      <c r="I522" s="23" t="str">
        <f>IFERROR(__xludf.DUMMYFUNCTION("if(REGEXMATCH(join("", "",$F522:$G522),I$1)=TRUE,""✓"",""✗"")"),"✗")</f>
        <v>✗</v>
      </c>
      <c r="J522" s="23" t="str">
        <f>IFERROR(__xludf.DUMMYFUNCTION("if(REGEXMATCH(join("", "",$F522:$G522),J$1)=TRUE,""✓"",""✗"")"),"✗")</f>
        <v>✗</v>
      </c>
      <c r="K522" s="23" t="str">
        <f>IFERROR(__xludf.DUMMYFUNCTION("if(REGEXMATCH(join("", "",$F522:$G522),K$1)=TRUE,""✓"",""✗"")"),"✗")</f>
        <v>✗</v>
      </c>
      <c r="L522" s="23" t="str">
        <f>IFERROR(__xludf.DUMMYFUNCTION("if(REGEXMATCH(join("", "",$F522:$G522),L$1)=TRUE,""✓"",""✗"")"),"✗")</f>
        <v>✗</v>
      </c>
      <c r="M522" s="23" t="str">
        <f>IFERROR(__xludf.DUMMYFUNCTION("if(REGEXMATCH(join("", "",$F522:$G522),M$1)=TRUE,""✓"",""✗"")"),"✗")</f>
        <v>✗</v>
      </c>
      <c r="N522" s="23" t="str">
        <f>IFERROR(__xludf.DUMMYFUNCTION("if(REGEXMATCH(join("", "",$F522:$G522),N$1)=TRUE,""✓"",""✗"")"),"✗")</f>
        <v>✗</v>
      </c>
      <c r="O522" s="23" t="str">
        <f>IFERROR(__xludf.DUMMYFUNCTION("if(REGEXMATCH(join("", "",$F522:$G522),O$1)=TRUE,""✓"",""✗"")"),"✗")</f>
        <v>✗</v>
      </c>
      <c r="P522" s="23" t="str">
        <f>IFERROR(__xludf.DUMMYFUNCTION("if(REGEXMATCH(join("", "",$F522:$G522),P$1)=TRUE,""✓"",""✗"")"),"✗")</f>
        <v>✗</v>
      </c>
      <c r="Q522" s="23" t="str">
        <f>IFERROR(__xludf.DUMMYFUNCTION("if(REGEXMATCH(join("", "",$F522:$G522),Q$1)=TRUE,""✓"",""✗"")"),"✗")</f>
        <v>✗</v>
      </c>
      <c r="R522" s="23" t="str">
        <f>IFERROR(__xludf.DUMMYFUNCTION("if(REGEXMATCH(join("", "",$F522:$G522),R$1)=TRUE,""✓"",""✗"")"),"✗")</f>
        <v>✗</v>
      </c>
      <c r="S522" s="23" t="str">
        <f>IFERROR(__xludf.DUMMYFUNCTION("if(REGEXMATCH(join("", "",$F522:$G522),S$1)=TRUE,""✓"",""✗"")"),"✗")</f>
        <v>✗</v>
      </c>
      <c r="T522" s="23" t="str">
        <f>IFERROR(__xludf.DUMMYFUNCTION("if(REGEXMATCH(join("", "",$F522:$G522),T$1)=TRUE,""✓"",""✗"")"),"✗")</f>
        <v>✗</v>
      </c>
      <c r="U522" s="33"/>
      <c r="V522" s="33"/>
      <c r="W522" s="33"/>
      <c r="X522" s="33"/>
      <c r="Y522" s="33"/>
      <c r="Z522" s="33"/>
      <c r="AA522" s="33"/>
      <c r="AB522" s="33"/>
      <c r="AC522" s="33"/>
    </row>
    <row r="523" hidden="1">
      <c r="A523" s="17" t="s">
        <v>302</v>
      </c>
      <c r="B523" s="33"/>
      <c r="C523" s="33"/>
      <c r="D523" s="33"/>
      <c r="E523" s="33"/>
      <c r="F523" s="33"/>
      <c r="G523" s="33"/>
      <c r="H523" s="23" t="str">
        <f>IFERROR(__xludf.DUMMYFUNCTION("if(REGEXMATCH(join("", "",$F523:$G523),H$1)=TRUE,""✓"",""✗"")"),"✗")</f>
        <v>✗</v>
      </c>
      <c r="I523" s="23" t="str">
        <f>IFERROR(__xludf.DUMMYFUNCTION("if(REGEXMATCH(join("", "",$F523:$G523),I$1)=TRUE,""✓"",""✗"")"),"✗")</f>
        <v>✗</v>
      </c>
      <c r="J523" s="23" t="str">
        <f>IFERROR(__xludf.DUMMYFUNCTION("if(REGEXMATCH(join("", "",$F523:$G523),J$1)=TRUE,""✓"",""✗"")"),"✗")</f>
        <v>✗</v>
      </c>
      <c r="K523" s="23" t="str">
        <f>IFERROR(__xludf.DUMMYFUNCTION("if(REGEXMATCH(join("", "",$F523:$G523),K$1)=TRUE,""✓"",""✗"")"),"✗")</f>
        <v>✗</v>
      </c>
      <c r="L523" s="23" t="str">
        <f>IFERROR(__xludf.DUMMYFUNCTION("if(REGEXMATCH(join("", "",$F523:$G523),L$1)=TRUE,""✓"",""✗"")"),"✗")</f>
        <v>✗</v>
      </c>
      <c r="M523" s="23" t="str">
        <f>IFERROR(__xludf.DUMMYFUNCTION("if(REGEXMATCH(join("", "",$F523:$G523),M$1)=TRUE,""✓"",""✗"")"),"✗")</f>
        <v>✗</v>
      </c>
      <c r="N523" s="23" t="str">
        <f>IFERROR(__xludf.DUMMYFUNCTION("if(REGEXMATCH(join("", "",$F523:$G523),N$1)=TRUE,""✓"",""✗"")"),"✗")</f>
        <v>✗</v>
      </c>
      <c r="O523" s="23" t="str">
        <f>IFERROR(__xludf.DUMMYFUNCTION("if(REGEXMATCH(join("", "",$F523:$G523),O$1)=TRUE,""✓"",""✗"")"),"✗")</f>
        <v>✗</v>
      </c>
      <c r="P523" s="23" t="str">
        <f>IFERROR(__xludf.DUMMYFUNCTION("if(REGEXMATCH(join("", "",$F523:$G523),P$1)=TRUE,""✓"",""✗"")"),"✗")</f>
        <v>✗</v>
      </c>
      <c r="Q523" s="23" t="str">
        <f>IFERROR(__xludf.DUMMYFUNCTION("if(REGEXMATCH(join("", "",$F523:$G523),Q$1)=TRUE,""✓"",""✗"")"),"✗")</f>
        <v>✗</v>
      </c>
      <c r="R523" s="23" t="str">
        <f>IFERROR(__xludf.DUMMYFUNCTION("if(REGEXMATCH(join("", "",$F523:$G523),R$1)=TRUE,""✓"",""✗"")"),"✗")</f>
        <v>✗</v>
      </c>
      <c r="S523" s="23" t="str">
        <f>IFERROR(__xludf.DUMMYFUNCTION("if(REGEXMATCH(join("", "",$F523:$G523),S$1)=TRUE,""✓"",""✗"")"),"✗")</f>
        <v>✗</v>
      </c>
      <c r="T523" s="23" t="str">
        <f>IFERROR(__xludf.DUMMYFUNCTION("if(REGEXMATCH(join("", "",$F523:$G523),T$1)=TRUE,""✓"",""✗"")"),"✗")</f>
        <v>✗</v>
      </c>
      <c r="U523" s="33"/>
      <c r="V523" s="33"/>
      <c r="W523" s="33"/>
      <c r="X523" s="33"/>
      <c r="Y523" s="33"/>
      <c r="Z523" s="33"/>
      <c r="AA523" s="33"/>
      <c r="AB523" s="33"/>
      <c r="AC523" s="33"/>
    </row>
    <row r="524" hidden="1">
      <c r="A524" s="17" t="s">
        <v>302</v>
      </c>
      <c r="B524" s="33"/>
      <c r="C524" s="33"/>
      <c r="D524" s="33"/>
      <c r="E524" s="33"/>
      <c r="F524" s="33"/>
      <c r="G524" s="33"/>
      <c r="H524" s="23" t="str">
        <f>IFERROR(__xludf.DUMMYFUNCTION("if(REGEXMATCH(join("", "",$F524:$G524),H$1)=TRUE,""✓"",""✗"")"),"✗")</f>
        <v>✗</v>
      </c>
      <c r="I524" s="23" t="str">
        <f>IFERROR(__xludf.DUMMYFUNCTION("if(REGEXMATCH(join("", "",$F524:$G524),I$1)=TRUE,""✓"",""✗"")"),"✗")</f>
        <v>✗</v>
      </c>
      <c r="J524" s="23" t="str">
        <f>IFERROR(__xludf.DUMMYFUNCTION("if(REGEXMATCH(join("", "",$F524:$G524),J$1)=TRUE,""✓"",""✗"")"),"✗")</f>
        <v>✗</v>
      </c>
      <c r="K524" s="23" t="str">
        <f>IFERROR(__xludf.DUMMYFUNCTION("if(REGEXMATCH(join("", "",$F524:$G524),K$1)=TRUE,""✓"",""✗"")"),"✗")</f>
        <v>✗</v>
      </c>
      <c r="L524" s="23" t="str">
        <f>IFERROR(__xludf.DUMMYFUNCTION("if(REGEXMATCH(join("", "",$F524:$G524),L$1)=TRUE,""✓"",""✗"")"),"✗")</f>
        <v>✗</v>
      </c>
      <c r="M524" s="23" t="str">
        <f>IFERROR(__xludf.DUMMYFUNCTION("if(REGEXMATCH(join("", "",$F524:$G524),M$1)=TRUE,""✓"",""✗"")"),"✗")</f>
        <v>✗</v>
      </c>
      <c r="N524" s="23" t="str">
        <f>IFERROR(__xludf.DUMMYFUNCTION("if(REGEXMATCH(join("", "",$F524:$G524),N$1)=TRUE,""✓"",""✗"")"),"✗")</f>
        <v>✗</v>
      </c>
      <c r="O524" s="23" t="str">
        <f>IFERROR(__xludf.DUMMYFUNCTION("if(REGEXMATCH(join("", "",$F524:$G524),O$1)=TRUE,""✓"",""✗"")"),"✗")</f>
        <v>✗</v>
      </c>
      <c r="P524" s="23" t="str">
        <f>IFERROR(__xludf.DUMMYFUNCTION("if(REGEXMATCH(join("", "",$F524:$G524),P$1)=TRUE,""✓"",""✗"")"),"✗")</f>
        <v>✗</v>
      </c>
      <c r="Q524" s="23" t="str">
        <f>IFERROR(__xludf.DUMMYFUNCTION("if(REGEXMATCH(join("", "",$F524:$G524),Q$1)=TRUE,""✓"",""✗"")"),"✗")</f>
        <v>✗</v>
      </c>
      <c r="R524" s="23" t="str">
        <f>IFERROR(__xludf.DUMMYFUNCTION("if(REGEXMATCH(join("", "",$F524:$G524),R$1)=TRUE,""✓"",""✗"")"),"✗")</f>
        <v>✗</v>
      </c>
      <c r="S524" s="23" t="str">
        <f>IFERROR(__xludf.DUMMYFUNCTION("if(REGEXMATCH(join("", "",$F524:$G524),S$1)=TRUE,""✓"",""✗"")"),"✗")</f>
        <v>✗</v>
      </c>
      <c r="T524" s="23" t="str">
        <f>IFERROR(__xludf.DUMMYFUNCTION("if(REGEXMATCH(join("", "",$F524:$G524),T$1)=TRUE,""✓"",""✗"")"),"✗")</f>
        <v>✗</v>
      </c>
      <c r="U524" s="33"/>
      <c r="V524" s="33"/>
      <c r="W524" s="33"/>
      <c r="X524" s="33"/>
      <c r="Y524" s="33"/>
      <c r="Z524" s="33"/>
      <c r="AA524" s="33"/>
      <c r="AB524" s="33"/>
      <c r="AC524" s="33"/>
    </row>
    <row r="525" hidden="1">
      <c r="A525" s="17" t="s">
        <v>302</v>
      </c>
      <c r="B525" s="33"/>
      <c r="C525" s="33"/>
      <c r="D525" s="33"/>
      <c r="E525" s="33"/>
      <c r="F525" s="33"/>
      <c r="G525" s="33"/>
      <c r="H525" s="23" t="str">
        <f>IFERROR(__xludf.DUMMYFUNCTION("if(REGEXMATCH(join("", "",$F525:$G525),H$1)=TRUE,""✓"",""✗"")"),"✗")</f>
        <v>✗</v>
      </c>
      <c r="I525" s="23" t="str">
        <f>IFERROR(__xludf.DUMMYFUNCTION("if(REGEXMATCH(join("", "",$F525:$G525),I$1)=TRUE,""✓"",""✗"")"),"✗")</f>
        <v>✗</v>
      </c>
      <c r="J525" s="23" t="str">
        <f>IFERROR(__xludf.DUMMYFUNCTION("if(REGEXMATCH(join("", "",$F525:$G525),J$1)=TRUE,""✓"",""✗"")"),"✗")</f>
        <v>✗</v>
      </c>
      <c r="K525" s="23" t="str">
        <f>IFERROR(__xludf.DUMMYFUNCTION("if(REGEXMATCH(join("", "",$F525:$G525),K$1)=TRUE,""✓"",""✗"")"),"✗")</f>
        <v>✗</v>
      </c>
      <c r="L525" s="23" t="str">
        <f>IFERROR(__xludf.DUMMYFUNCTION("if(REGEXMATCH(join("", "",$F525:$G525),L$1)=TRUE,""✓"",""✗"")"),"✗")</f>
        <v>✗</v>
      </c>
      <c r="M525" s="23" t="str">
        <f>IFERROR(__xludf.DUMMYFUNCTION("if(REGEXMATCH(join("", "",$F525:$G525),M$1)=TRUE,""✓"",""✗"")"),"✗")</f>
        <v>✗</v>
      </c>
      <c r="N525" s="23" t="str">
        <f>IFERROR(__xludf.DUMMYFUNCTION("if(REGEXMATCH(join("", "",$F525:$G525),N$1)=TRUE,""✓"",""✗"")"),"✗")</f>
        <v>✗</v>
      </c>
      <c r="O525" s="23" t="str">
        <f>IFERROR(__xludf.DUMMYFUNCTION("if(REGEXMATCH(join("", "",$F525:$G525),O$1)=TRUE,""✓"",""✗"")"),"✗")</f>
        <v>✗</v>
      </c>
      <c r="P525" s="23" t="str">
        <f>IFERROR(__xludf.DUMMYFUNCTION("if(REGEXMATCH(join("", "",$F525:$G525),P$1)=TRUE,""✓"",""✗"")"),"✗")</f>
        <v>✗</v>
      </c>
      <c r="Q525" s="23" t="str">
        <f>IFERROR(__xludf.DUMMYFUNCTION("if(REGEXMATCH(join("", "",$F525:$G525),Q$1)=TRUE,""✓"",""✗"")"),"✗")</f>
        <v>✗</v>
      </c>
      <c r="R525" s="23" t="str">
        <f>IFERROR(__xludf.DUMMYFUNCTION("if(REGEXMATCH(join("", "",$F525:$G525),R$1)=TRUE,""✓"",""✗"")"),"✗")</f>
        <v>✗</v>
      </c>
      <c r="S525" s="23" t="str">
        <f>IFERROR(__xludf.DUMMYFUNCTION("if(REGEXMATCH(join("", "",$F525:$G525),S$1)=TRUE,""✓"",""✗"")"),"✗")</f>
        <v>✗</v>
      </c>
      <c r="T525" s="23" t="str">
        <f>IFERROR(__xludf.DUMMYFUNCTION("if(REGEXMATCH(join("", "",$F525:$G525),T$1)=TRUE,""✓"",""✗"")"),"✗")</f>
        <v>✗</v>
      </c>
      <c r="U525" s="33"/>
      <c r="V525" s="33"/>
      <c r="W525" s="33"/>
      <c r="X525" s="33"/>
      <c r="Y525" s="33"/>
      <c r="Z525" s="33"/>
      <c r="AA525" s="33"/>
      <c r="AB525" s="33"/>
      <c r="AC525" s="33"/>
    </row>
    <row r="526" hidden="1">
      <c r="A526" s="17" t="s">
        <v>302</v>
      </c>
      <c r="B526" s="33"/>
      <c r="C526" s="33"/>
      <c r="D526" s="33"/>
      <c r="E526" s="33"/>
      <c r="F526" s="33"/>
      <c r="G526" s="33"/>
      <c r="H526" s="23" t="str">
        <f>IFERROR(__xludf.DUMMYFUNCTION("if(REGEXMATCH(join("", "",$F526:$G526),H$1)=TRUE,""✓"",""✗"")"),"✗")</f>
        <v>✗</v>
      </c>
      <c r="I526" s="23" t="str">
        <f>IFERROR(__xludf.DUMMYFUNCTION("if(REGEXMATCH(join("", "",$F526:$G526),I$1)=TRUE,""✓"",""✗"")"),"✗")</f>
        <v>✗</v>
      </c>
      <c r="J526" s="23" t="str">
        <f>IFERROR(__xludf.DUMMYFUNCTION("if(REGEXMATCH(join("", "",$F526:$G526),J$1)=TRUE,""✓"",""✗"")"),"✗")</f>
        <v>✗</v>
      </c>
      <c r="K526" s="23" t="str">
        <f>IFERROR(__xludf.DUMMYFUNCTION("if(REGEXMATCH(join("", "",$F526:$G526),K$1)=TRUE,""✓"",""✗"")"),"✗")</f>
        <v>✗</v>
      </c>
      <c r="L526" s="23" t="str">
        <f>IFERROR(__xludf.DUMMYFUNCTION("if(REGEXMATCH(join("", "",$F526:$G526),L$1)=TRUE,""✓"",""✗"")"),"✗")</f>
        <v>✗</v>
      </c>
      <c r="M526" s="23" t="str">
        <f>IFERROR(__xludf.DUMMYFUNCTION("if(REGEXMATCH(join("", "",$F526:$G526),M$1)=TRUE,""✓"",""✗"")"),"✗")</f>
        <v>✗</v>
      </c>
      <c r="N526" s="23" t="str">
        <f>IFERROR(__xludf.DUMMYFUNCTION("if(REGEXMATCH(join("", "",$F526:$G526),N$1)=TRUE,""✓"",""✗"")"),"✗")</f>
        <v>✗</v>
      </c>
      <c r="O526" s="23" t="str">
        <f>IFERROR(__xludf.DUMMYFUNCTION("if(REGEXMATCH(join("", "",$F526:$G526),O$1)=TRUE,""✓"",""✗"")"),"✗")</f>
        <v>✗</v>
      </c>
      <c r="P526" s="23" t="str">
        <f>IFERROR(__xludf.DUMMYFUNCTION("if(REGEXMATCH(join("", "",$F526:$G526),P$1)=TRUE,""✓"",""✗"")"),"✗")</f>
        <v>✗</v>
      </c>
      <c r="Q526" s="23" t="str">
        <f>IFERROR(__xludf.DUMMYFUNCTION("if(REGEXMATCH(join("", "",$F526:$G526),Q$1)=TRUE,""✓"",""✗"")"),"✗")</f>
        <v>✗</v>
      </c>
      <c r="R526" s="23" t="str">
        <f>IFERROR(__xludf.DUMMYFUNCTION("if(REGEXMATCH(join("", "",$F526:$G526),R$1)=TRUE,""✓"",""✗"")"),"✗")</f>
        <v>✗</v>
      </c>
      <c r="S526" s="23" t="str">
        <f>IFERROR(__xludf.DUMMYFUNCTION("if(REGEXMATCH(join("", "",$F526:$G526),S$1)=TRUE,""✓"",""✗"")"),"✗")</f>
        <v>✗</v>
      </c>
      <c r="T526" s="23" t="str">
        <f>IFERROR(__xludf.DUMMYFUNCTION("if(REGEXMATCH(join("", "",$F526:$G526),T$1)=TRUE,""✓"",""✗"")"),"✗")</f>
        <v>✗</v>
      </c>
      <c r="U526" s="33"/>
      <c r="V526" s="33"/>
      <c r="W526" s="33"/>
      <c r="X526" s="33"/>
      <c r="Y526" s="33"/>
      <c r="Z526" s="33"/>
      <c r="AA526" s="33"/>
      <c r="AB526" s="33"/>
      <c r="AC526" s="33"/>
    </row>
    <row r="527" hidden="1">
      <c r="A527" s="17" t="s">
        <v>302</v>
      </c>
      <c r="B527" s="33"/>
      <c r="C527" s="33"/>
      <c r="D527" s="33"/>
      <c r="E527" s="33"/>
      <c r="F527" s="33"/>
      <c r="G527" s="33"/>
      <c r="H527" s="23" t="str">
        <f>IFERROR(__xludf.DUMMYFUNCTION("if(REGEXMATCH(join("", "",$F527:$G527),H$1)=TRUE,""✓"",""✗"")"),"✗")</f>
        <v>✗</v>
      </c>
      <c r="I527" s="23" t="str">
        <f>IFERROR(__xludf.DUMMYFUNCTION("if(REGEXMATCH(join("", "",$F527:$G527),I$1)=TRUE,""✓"",""✗"")"),"✗")</f>
        <v>✗</v>
      </c>
      <c r="J527" s="23" t="str">
        <f>IFERROR(__xludf.DUMMYFUNCTION("if(REGEXMATCH(join("", "",$F527:$G527),J$1)=TRUE,""✓"",""✗"")"),"✗")</f>
        <v>✗</v>
      </c>
      <c r="K527" s="23" t="str">
        <f>IFERROR(__xludf.DUMMYFUNCTION("if(REGEXMATCH(join("", "",$F527:$G527),K$1)=TRUE,""✓"",""✗"")"),"✗")</f>
        <v>✗</v>
      </c>
      <c r="L527" s="23" t="str">
        <f>IFERROR(__xludf.DUMMYFUNCTION("if(REGEXMATCH(join("", "",$F527:$G527),L$1)=TRUE,""✓"",""✗"")"),"✗")</f>
        <v>✗</v>
      </c>
      <c r="M527" s="23" t="str">
        <f>IFERROR(__xludf.DUMMYFUNCTION("if(REGEXMATCH(join("", "",$F527:$G527),M$1)=TRUE,""✓"",""✗"")"),"✗")</f>
        <v>✗</v>
      </c>
      <c r="N527" s="23" t="str">
        <f>IFERROR(__xludf.DUMMYFUNCTION("if(REGEXMATCH(join("", "",$F527:$G527),N$1)=TRUE,""✓"",""✗"")"),"✗")</f>
        <v>✗</v>
      </c>
      <c r="O527" s="23" t="str">
        <f>IFERROR(__xludf.DUMMYFUNCTION("if(REGEXMATCH(join("", "",$F527:$G527),O$1)=TRUE,""✓"",""✗"")"),"✗")</f>
        <v>✗</v>
      </c>
      <c r="P527" s="23" t="str">
        <f>IFERROR(__xludf.DUMMYFUNCTION("if(REGEXMATCH(join("", "",$F527:$G527),P$1)=TRUE,""✓"",""✗"")"),"✗")</f>
        <v>✗</v>
      </c>
      <c r="Q527" s="23" t="str">
        <f>IFERROR(__xludf.DUMMYFUNCTION("if(REGEXMATCH(join("", "",$F527:$G527),Q$1)=TRUE,""✓"",""✗"")"),"✗")</f>
        <v>✗</v>
      </c>
      <c r="R527" s="23" t="str">
        <f>IFERROR(__xludf.DUMMYFUNCTION("if(REGEXMATCH(join("", "",$F527:$G527),R$1)=TRUE,""✓"",""✗"")"),"✗")</f>
        <v>✗</v>
      </c>
      <c r="S527" s="23" t="str">
        <f>IFERROR(__xludf.DUMMYFUNCTION("if(REGEXMATCH(join("", "",$F527:$G527),S$1)=TRUE,""✓"",""✗"")"),"✗")</f>
        <v>✗</v>
      </c>
      <c r="T527" s="23" t="str">
        <f>IFERROR(__xludf.DUMMYFUNCTION("if(REGEXMATCH(join("", "",$F527:$G527),T$1)=TRUE,""✓"",""✗"")"),"✗")</f>
        <v>✗</v>
      </c>
      <c r="U527" s="33"/>
      <c r="V527" s="33"/>
      <c r="W527" s="33"/>
      <c r="X527" s="33"/>
      <c r="Y527" s="33"/>
      <c r="Z527" s="33"/>
      <c r="AA527" s="33"/>
      <c r="AB527" s="33"/>
      <c r="AC527" s="33"/>
    </row>
    <row r="528" hidden="1">
      <c r="A528" s="17" t="s">
        <v>302</v>
      </c>
      <c r="B528" s="33"/>
      <c r="C528" s="33"/>
      <c r="D528" s="33"/>
      <c r="E528" s="33"/>
      <c r="F528" s="33"/>
      <c r="G528" s="33"/>
      <c r="H528" s="23" t="str">
        <f>IFERROR(__xludf.DUMMYFUNCTION("if(REGEXMATCH(join("", "",$F528:$G528),H$1)=TRUE,""✓"",""✗"")"),"✗")</f>
        <v>✗</v>
      </c>
      <c r="I528" s="23" t="str">
        <f>IFERROR(__xludf.DUMMYFUNCTION("if(REGEXMATCH(join("", "",$F528:$G528),I$1)=TRUE,""✓"",""✗"")"),"✗")</f>
        <v>✗</v>
      </c>
      <c r="J528" s="23" t="str">
        <f>IFERROR(__xludf.DUMMYFUNCTION("if(REGEXMATCH(join("", "",$F528:$G528),J$1)=TRUE,""✓"",""✗"")"),"✗")</f>
        <v>✗</v>
      </c>
      <c r="K528" s="23" t="str">
        <f>IFERROR(__xludf.DUMMYFUNCTION("if(REGEXMATCH(join("", "",$F528:$G528),K$1)=TRUE,""✓"",""✗"")"),"✗")</f>
        <v>✗</v>
      </c>
      <c r="L528" s="23" t="str">
        <f>IFERROR(__xludf.DUMMYFUNCTION("if(REGEXMATCH(join("", "",$F528:$G528),L$1)=TRUE,""✓"",""✗"")"),"✗")</f>
        <v>✗</v>
      </c>
      <c r="M528" s="23" t="str">
        <f>IFERROR(__xludf.DUMMYFUNCTION("if(REGEXMATCH(join("", "",$F528:$G528),M$1)=TRUE,""✓"",""✗"")"),"✗")</f>
        <v>✗</v>
      </c>
      <c r="N528" s="23" t="str">
        <f>IFERROR(__xludf.DUMMYFUNCTION("if(REGEXMATCH(join("", "",$F528:$G528),N$1)=TRUE,""✓"",""✗"")"),"✗")</f>
        <v>✗</v>
      </c>
      <c r="O528" s="23" t="str">
        <f>IFERROR(__xludf.DUMMYFUNCTION("if(REGEXMATCH(join("", "",$F528:$G528),O$1)=TRUE,""✓"",""✗"")"),"✗")</f>
        <v>✗</v>
      </c>
      <c r="P528" s="23" t="str">
        <f>IFERROR(__xludf.DUMMYFUNCTION("if(REGEXMATCH(join("", "",$F528:$G528),P$1)=TRUE,""✓"",""✗"")"),"✗")</f>
        <v>✗</v>
      </c>
      <c r="Q528" s="23" t="str">
        <f>IFERROR(__xludf.DUMMYFUNCTION("if(REGEXMATCH(join("", "",$F528:$G528),Q$1)=TRUE,""✓"",""✗"")"),"✗")</f>
        <v>✗</v>
      </c>
      <c r="R528" s="23" t="str">
        <f>IFERROR(__xludf.DUMMYFUNCTION("if(REGEXMATCH(join("", "",$F528:$G528),R$1)=TRUE,""✓"",""✗"")"),"✗")</f>
        <v>✗</v>
      </c>
      <c r="S528" s="23" t="str">
        <f>IFERROR(__xludf.DUMMYFUNCTION("if(REGEXMATCH(join("", "",$F528:$G528),S$1)=TRUE,""✓"",""✗"")"),"✗")</f>
        <v>✗</v>
      </c>
      <c r="T528" s="23" t="str">
        <f>IFERROR(__xludf.DUMMYFUNCTION("if(REGEXMATCH(join("", "",$F528:$G528),T$1)=TRUE,""✓"",""✗"")"),"✗")</f>
        <v>✗</v>
      </c>
      <c r="U528" s="33"/>
      <c r="V528" s="33"/>
      <c r="W528" s="33"/>
      <c r="X528" s="33"/>
      <c r="Y528" s="33"/>
      <c r="Z528" s="33"/>
      <c r="AA528" s="33"/>
      <c r="AB528" s="33"/>
      <c r="AC528" s="33"/>
    </row>
    <row r="529" hidden="1">
      <c r="A529" s="17" t="s">
        <v>302</v>
      </c>
      <c r="B529" s="33"/>
      <c r="C529" s="33"/>
      <c r="D529" s="33"/>
      <c r="E529" s="33"/>
      <c r="F529" s="33"/>
      <c r="G529" s="33"/>
      <c r="H529" s="23" t="str">
        <f>IFERROR(__xludf.DUMMYFUNCTION("if(REGEXMATCH(join("", "",$F529:$G529),H$1)=TRUE,""✓"",""✗"")"),"✗")</f>
        <v>✗</v>
      </c>
      <c r="I529" s="23" t="str">
        <f>IFERROR(__xludf.DUMMYFUNCTION("if(REGEXMATCH(join("", "",$F529:$G529),I$1)=TRUE,""✓"",""✗"")"),"✗")</f>
        <v>✗</v>
      </c>
      <c r="J529" s="23" t="str">
        <f>IFERROR(__xludf.DUMMYFUNCTION("if(REGEXMATCH(join("", "",$F529:$G529),J$1)=TRUE,""✓"",""✗"")"),"✗")</f>
        <v>✗</v>
      </c>
      <c r="K529" s="23" t="str">
        <f>IFERROR(__xludf.DUMMYFUNCTION("if(REGEXMATCH(join("", "",$F529:$G529),K$1)=TRUE,""✓"",""✗"")"),"✗")</f>
        <v>✗</v>
      </c>
      <c r="L529" s="23" t="str">
        <f>IFERROR(__xludf.DUMMYFUNCTION("if(REGEXMATCH(join("", "",$F529:$G529),L$1)=TRUE,""✓"",""✗"")"),"✗")</f>
        <v>✗</v>
      </c>
      <c r="M529" s="23" t="str">
        <f>IFERROR(__xludf.DUMMYFUNCTION("if(REGEXMATCH(join("", "",$F529:$G529),M$1)=TRUE,""✓"",""✗"")"),"✗")</f>
        <v>✗</v>
      </c>
      <c r="N529" s="23" t="str">
        <f>IFERROR(__xludf.DUMMYFUNCTION("if(REGEXMATCH(join("", "",$F529:$G529),N$1)=TRUE,""✓"",""✗"")"),"✗")</f>
        <v>✗</v>
      </c>
      <c r="O529" s="23" t="str">
        <f>IFERROR(__xludf.DUMMYFUNCTION("if(REGEXMATCH(join("", "",$F529:$G529),O$1)=TRUE,""✓"",""✗"")"),"✗")</f>
        <v>✗</v>
      </c>
      <c r="P529" s="23" t="str">
        <f>IFERROR(__xludf.DUMMYFUNCTION("if(REGEXMATCH(join("", "",$F529:$G529),P$1)=TRUE,""✓"",""✗"")"),"✗")</f>
        <v>✗</v>
      </c>
      <c r="Q529" s="23" t="str">
        <f>IFERROR(__xludf.DUMMYFUNCTION("if(REGEXMATCH(join("", "",$F529:$G529),Q$1)=TRUE,""✓"",""✗"")"),"✗")</f>
        <v>✗</v>
      </c>
      <c r="R529" s="23" t="str">
        <f>IFERROR(__xludf.DUMMYFUNCTION("if(REGEXMATCH(join("", "",$F529:$G529),R$1)=TRUE,""✓"",""✗"")"),"✗")</f>
        <v>✗</v>
      </c>
      <c r="S529" s="23" t="str">
        <f>IFERROR(__xludf.DUMMYFUNCTION("if(REGEXMATCH(join("", "",$F529:$G529),S$1)=TRUE,""✓"",""✗"")"),"✗")</f>
        <v>✗</v>
      </c>
      <c r="T529" s="23" t="str">
        <f>IFERROR(__xludf.DUMMYFUNCTION("if(REGEXMATCH(join("", "",$F529:$G529),T$1)=TRUE,""✓"",""✗"")"),"✗")</f>
        <v>✗</v>
      </c>
      <c r="U529" s="33"/>
      <c r="V529" s="33"/>
      <c r="W529" s="33"/>
      <c r="X529" s="33"/>
      <c r="Y529" s="33"/>
      <c r="Z529" s="33"/>
      <c r="AA529" s="33"/>
      <c r="AB529" s="33"/>
      <c r="AC529" s="33"/>
    </row>
    <row r="530" hidden="1">
      <c r="A530" s="17" t="s">
        <v>302</v>
      </c>
      <c r="B530" s="33"/>
      <c r="C530" s="33"/>
      <c r="D530" s="33"/>
      <c r="E530" s="33"/>
      <c r="F530" s="33"/>
      <c r="G530" s="33"/>
      <c r="H530" s="23" t="str">
        <f>IFERROR(__xludf.DUMMYFUNCTION("if(REGEXMATCH(join("", "",$F530:$G530),H$1)=TRUE,""✓"",""✗"")"),"✗")</f>
        <v>✗</v>
      </c>
      <c r="I530" s="23" t="str">
        <f>IFERROR(__xludf.DUMMYFUNCTION("if(REGEXMATCH(join("", "",$F530:$G530),I$1)=TRUE,""✓"",""✗"")"),"✗")</f>
        <v>✗</v>
      </c>
      <c r="J530" s="23" t="str">
        <f>IFERROR(__xludf.DUMMYFUNCTION("if(REGEXMATCH(join("", "",$F530:$G530),J$1)=TRUE,""✓"",""✗"")"),"✗")</f>
        <v>✗</v>
      </c>
      <c r="K530" s="23" t="str">
        <f>IFERROR(__xludf.DUMMYFUNCTION("if(REGEXMATCH(join("", "",$F530:$G530),K$1)=TRUE,""✓"",""✗"")"),"✗")</f>
        <v>✗</v>
      </c>
      <c r="L530" s="23" t="str">
        <f>IFERROR(__xludf.DUMMYFUNCTION("if(REGEXMATCH(join("", "",$F530:$G530),L$1)=TRUE,""✓"",""✗"")"),"✗")</f>
        <v>✗</v>
      </c>
      <c r="M530" s="23" t="str">
        <f>IFERROR(__xludf.DUMMYFUNCTION("if(REGEXMATCH(join("", "",$F530:$G530),M$1)=TRUE,""✓"",""✗"")"),"✗")</f>
        <v>✗</v>
      </c>
      <c r="N530" s="23" t="str">
        <f>IFERROR(__xludf.DUMMYFUNCTION("if(REGEXMATCH(join("", "",$F530:$G530),N$1)=TRUE,""✓"",""✗"")"),"✗")</f>
        <v>✗</v>
      </c>
      <c r="O530" s="23" t="str">
        <f>IFERROR(__xludf.DUMMYFUNCTION("if(REGEXMATCH(join("", "",$F530:$G530),O$1)=TRUE,""✓"",""✗"")"),"✗")</f>
        <v>✗</v>
      </c>
      <c r="P530" s="23" t="str">
        <f>IFERROR(__xludf.DUMMYFUNCTION("if(REGEXMATCH(join("", "",$F530:$G530),P$1)=TRUE,""✓"",""✗"")"),"✗")</f>
        <v>✗</v>
      </c>
      <c r="Q530" s="23" t="str">
        <f>IFERROR(__xludf.DUMMYFUNCTION("if(REGEXMATCH(join("", "",$F530:$G530),Q$1)=TRUE,""✓"",""✗"")"),"✗")</f>
        <v>✗</v>
      </c>
      <c r="R530" s="23" t="str">
        <f>IFERROR(__xludf.DUMMYFUNCTION("if(REGEXMATCH(join("", "",$F530:$G530),R$1)=TRUE,""✓"",""✗"")"),"✗")</f>
        <v>✗</v>
      </c>
      <c r="S530" s="23" t="str">
        <f>IFERROR(__xludf.DUMMYFUNCTION("if(REGEXMATCH(join("", "",$F530:$G530),S$1)=TRUE,""✓"",""✗"")"),"✗")</f>
        <v>✗</v>
      </c>
      <c r="T530" s="23" t="str">
        <f>IFERROR(__xludf.DUMMYFUNCTION("if(REGEXMATCH(join("", "",$F530:$G530),T$1)=TRUE,""✓"",""✗"")"),"✗")</f>
        <v>✗</v>
      </c>
      <c r="U530" s="33"/>
      <c r="V530" s="33"/>
      <c r="W530" s="33"/>
      <c r="X530" s="33"/>
      <c r="Y530" s="33"/>
      <c r="Z530" s="33"/>
      <c r="AA530" s="33"/>
      <c r="AB530" s="33"/>
      <c r="AC530" s="33"/>
    </row>
    <row r="531" hidden="1">
      <c r="A531" s="17" t="s">
        <v>302</v>
      </c>
      <c r="B531" s="33"/>
      <c r="C531" s="33"/>
      <c r="D531" s="33"/>
      <c r="E531" s="33"/>
      <c r="F531" s="33"/>
      <c r="G531" s="33"/>
      <c r="H531" s="23" t="str">
        <f>IFERROR(__xludf.DUMMYFUNCTION("if(REGEXMATCH(join("", "",$F531:$G531),H$1)=TRUE,""✓"",""✗"")"),"✗")</f>
        <v>✗</v>
      </c>
      <c r="I531" s="23" t="str">
        <f>IFERROR(__xludf.DUMMYFUNCTION("if(REGEXMATCH(join("", "",$F531:$G531),I$1)=TRUE,""✓"",""✗"")"),"✗")</f>
        <v>✗</v>
      </c>
      <c r="J531" s="23" t="str">
        <f>IFERROR(__xludf.DUMMYFUNCTION("if(REGEXMATCH(join("", "",$F531:$G531),J$1)=TRUE,""✓"",""✗"")"),"✗")</f>
        <v>✗</v>
      </c>
      <c r="K531" s="23" t="str">
        <f>IFERROR(__xludf.DUMMYFUNCTION("if(REGEXMATCH(join("", "",$F531:$G531),K$1)=TRUE,""✓"",""✗"")"),"✗")</f>
        <v>✗</v>
      </c>
      <c r="L531" s="23" t="str">
        <f>IFERROR(__xludf.DUMMYFUNCTION("if(REGEXMATCH(join("", "",$F531:$G531),L$1)=TRUE,""✓"",""✗"")"),"✗")</f>
        <v>✗</v>
      </c>
      <c r="M531" s="23" t="str">
        <f>IFERROR(__xludf.DUMMYFUNCTION("if(REGEXMATCH(join("", "",$F531:$G531),M$1)=TRUE,""✓"",""✗"")"),"✗")</f>
        <v>✗</v>
      </c>
      <c r="N531" s="23" t="str">
        <f>IFERROR(__xludf.DUMMYFUNCTION("if(REGEXMATCH(join("", "",$F531:$G531),N$1)=TRUE,""✓"",""✗"")"),"✗")</f>
        <v>✗</v>
      </c>
      <c r="O531" s="23" t="str">
        <f>IFERROR(__xludf.DUMMYFUNCTION("if(REGEXMATCH(join("", "",$F531:$G531),O$1)=TRUE,""✓"",""✗"")"),"✗")</f>
        <v>✗</v>
      </c>
      <c r="P531" s="23" t="str">
        <f>IFERROR(__xludf.DUMMYFUNCTION("if(REGEXMATCH(join("", "",$F531:$G531),P$1)=TRUE,""✓"",""✗"")"),"✗")</f>
        <v>✗</v>
      </c>
      <c r="Q531" s="23" t="str">
        <f>IFERROR(__xludf.DUMMYFUNCTION("if(REGEXMATCH(join("", "",$F531:$G531),Q$1)=TRUE,""✓"",""✗"")"),"✗")</f>
        <v>✗</v>
      </c>
      <c r="R531" s="23" t="str">
        <f>IFERROR(__xludf.DUMMYFUNCTION("if(REGEXMATCH(join("", "",$F531:$G531),R$1)=TRUE,""✓"",""✗"")"),"✗")</f>
        <v>✗</v>
      </c>
      <c r="S531" s="23" t="str">
        <f>IFERROR(__xludf.DUMMYFUNCTION("if(REGEXMATCH(join("", "",$F531:$G531),S$1)=TRUE,""✓"",""✗"")"),"✗")</f>
        <v>✗</v>
      </c>
      <c r="T531" s="23" t="str">
        <f>IFERROR(__xludf.DUMMYFUNCTION("if(REGEXMATCH(join("", "",$F531:$G531),T$1)=TRUE,""✓"",""✗"")"),"✗")</f>
        <v>✗</v>
      </c>
      <c r="U531" s="33"/>
      <c r="V531" s="33"/>
      <c r="W531" s="33"/>
      <c r="X531" s="33"/>
      <c r="Y531" s="33"/>
      <c r="Z531" s="33"/>
      <c r="AA531" s="33"/>
      <c r="AB531" s="33"/>
      <c r="AC531" s="33"/>
    </row>
    <row r="532" hidden="1">
      <c r="A532" s="17" t="s">
        <v>302</v>
      </c>
      <c r="B532" s="33"/>
      <c r="C532" s="33"/>
      <c r="D532" s="33"/>
      <c r="E532" s="33"/>
      <c r="F532" s="33"/>
      <c r="G532" s="33"/>
      <c r="H532" s="23" t="str">
        <f>IFERROR(__xludf.DUMMYFUNCTION("if(REGEXMATCH(join("", "",$F532:$G532),H$1)=TRUE,""✓"",""✗"")"),"✗")</f>
        <v>✗</v>
      </c>
      <c r="I532" s="23" t="str">
        <f>IFERROR(__xludf.DUMMYFUNCTION("if(REGEXMATCH(join("", "",$F532:$G532),I$1)=TRUE,""✓"",""✗"")"),"✗")</f>
        <v>✗</v>
      </c>
      <c r="J532" s="23" t="str">
        <f>IFERROR(__xludf.DUMMYFUNCTION("if(REGEXMATCH(join("", "",$F532:$G532),J$1)=TRUE,""✓"",""✗"")"),"✗")</f>
        <v>✗</v>
      </c>
      <c r="K532" s="23" t="str">
        <f>IFERROR(__xludf.DUMMYFUNCTION("if(REGEXMATCH(join("", "",$F532:$G532),K$1)=TRUE,""✓"",""✗"")"),"✗")</f>
        <v>✗</v>
      </c>
      <c r="L532" s="23" t="str">
        <f>IFERROR(__xludf.DUMMYFUNCTION("if(REGEXMATCH(join("", "",$F532:$G532),L$1)=TRUE,""✓"",""✗"")"),"✗")</f>
        <v>✗</v>
      </c>
      <c r="M532" s="23" t="str">
        <f>IFERROR(__xludf.DUMMYFUNCTION("if(REGEXMATCH(join("", "",$F532:$G532),M$1)=TRUE,""✓"",""✗"")"),"✗")</f>
        <v>✗</v>
      </c>
      <c r="N532" s="23" t="str">
        <f>IFERROR(__xludf.DUMMYFUNCTION("if(REGEXMATCH(join("", "",$F532:$G532),N$1)=TRUE,""✓"",""✗"")"),"✗")</f>
        <v>✗</v>
      </c>
      <c r="O532" s="23" t="str">
        <f>IFERROR(__xludf.DUMMYFUNCTION("if(REGEXMATCH(join("", "",$F532:$G532),O$1)=TRUE,""✓"",""✗"")"),"✗")</f>
        <v>✗</v>
      </c>
      <c r="P532" s="23" t="str">
        <f>IFERROR(__xludf.DUMMYFUNCTION("if(REGEXMATCH(join("", "",$F532:$G532),P$1)=TRUE,""✓"",""✗"")"),"✗")</f>
        <v>✗</v>
      </c>
      <c r="Q532" s="23" t="str">
        <f>IFERROR(__xludf.DUMMYFUNCTION("if(REGEXMATCH(join("", "",$F532:$G532),Q$1)=TRUE,""✓"",""✗"")"),"✗")</f>
        <v>✗</v>
      </c>
      <c r="R532" s="23" t="str">
        <f>IFERROR(__xludf.DUMMYFUNCTION("if(REGEXMATCH(join("", "",$F532:$G532),R$1)=TRUE,""✓"",""✗"")"),"✗")</f>
        <v>✗</v>
      </c>
      <c r="S532" s="23" t="str">
        <f>IFERROR(__xludf.DUMMYFUNCTION("if(REGEXMATCH(join("", "",$F532:$G532),S$1)=TRUE,""✓"",""✗"")"),"✗")</f>
        <v>✗</v>
      </c>
      <c r="T532" s="23" t="str">
        <f>IFERROR(__xludf.DUMMYFUNCTION("if(REGEXMATCH(join("", "",$F532:$G532),T$1)=TRUE,""✓"",""✗"")"),"✗")</f>
        <v>✗</v>
      </c>
      <c r="U532" s="33"/>
      <c r="V532" s="33"/>
      <c r="W532" s="33"/>
      <c r="X532" s="33"/>
      <c r="Y532" s="33"/>
      <c r="Z532" s="33"/>
      <c r="AA532" s="33"/>
      <c r="AB532" s="33"/>
      <c r="AC532" s="33"/>
    </row>
    <row r="533" hidden="1">
      <c r="A533" s="17" t="s">
        <v>302</v>
      </c>
      <c r="B533" s="33"/>
      <c r="C533" s="33"/>
      <c r="D533" s="33"/>
      <c r="E533" s="33"/>
      <c r="F533" s="33"/>
      <c r="G533" s="33"/>
      <c r="H533" s="23" t="str">
        <f>IFERROR(__xludf.DUMMYFUNCTION("if(REGEXMATCH(join("", "",$F533:$G533),H$1)=TRUE,""✓"",""✗"")"),"✗")</f>
        <v>✗</v>
      </c>
      <c r="I533" s="23" t="str">
        <f>IFERROR(__xludf.DUMMYFUNCTION("if(REGEXMATCH(join("", "",$F533:$G533),I$1)=TRUE,""✓"",""✗"")"),"✗")</f>
        <v>✗</v>
      </c>
      <c r="J533" s="23" t="str">
        <f>IFERROR(__xludf.DUMMYFUNCTION("if(REGEXMATCH(join("", "",$F533:$G533),J$1)=TRUE,""✓"",""✗"")"),"✗")</f>
        <v>✗</v>
      </c>
      <c r="K533" s="23" t="str">
        <f>IFERROR(__xludf.DUMMYFUNCTION("if(REGEXMATCH(join("", "",$F533:$G533),K$1)=TRUE,""✓"",""✗"")"),"✗")</f>
        <v>✗</v>
      </c>
      <c r="L533" s="23" t="str">
        <f>IFERROR(__xludf.DUMMYFUNCTION("if(REGEXMATCH(join("", "",$F533:$G533),L$1)=TRUE,""✓"",""✗"")"),"✗")</f>
        <v>✗</v>
      </c>
      <c r="M533" s="23" t="str">
        <f>IFERROR(__xludf.DUMMYFUNCTION("if(REGEXMATCH(join("", "",$F533:$G533),M$1)=TRUE,""✓"",""✗"")"),"✗")</f>
        <v>✗</v>
      </c>
      <c r="N533" s="23" t="str">
        <f>IFERROR(__xludf.DUMMYFUNCTION("if(REGEXMATCH(join("", "",$F533:$G533),N$1)=TRUE,""✓"",""✗"")"),"✗")</f>
        <v>✗</v>
      </c>
      <c r="O533" s="23" t="str">
        <f>IFERROR(__xludf.DUMMYFUNCTION("if(REGEXMATCH(join("", "",$F533:$G533),O$1)=TRUE,""✓"",""✗"")"),"✗")</f>
        <v>✗</v>
      </c>
      <c r="P533" s="23" t="str">
        <f>IFERROR(__xludf.DUMMYFUNCTION("if(REGEXMATCH(join("", "",$F533:$G533),P$1)=TRUE,""✓"",""✗"")"),"✗")</f>
        <v>✗</v>
      </c>
      <c r="Q533" s="23" t="str">
        <f>IFERROR(__xludf.DUMMYFUNCTION("if(REGEXMATCH(join("", "",$F533:$G533),Q$1)=TRUE,""✓"",""✗"")"),"✗")</f>
        <v>✗</v>
      </c>
      <c r="R533" s="23" t="str">
        <f>IFERROR(__xludf.DUMMYFUNCTION("if(REGEXMATCH(join("", "",$F533:$G533),R$1)=TRUE,""✓"",""✗"")"),"✗")</f>
        <v>✗</v>
      </c>
      <c r="S533" s="23" t="str">
        <f>IFERROR(__xludf.DUMMYFUNCTION("if(REGEXMATCH(join("", "",$F533:$G533),S$1)=TRUE,""✓"",""✗"")"),"✗")</f>
        <v>✗</v>
      </c>
      <c r="T533" s="23" t="str">
        <f>IFERROR(__xludf.DUMMYFUNCTION("if(REGEXMATCH(join("", "",$F533:$G533),T$1)=TRUE,""✓"",""✗"")"),"✗")</f>
        <v>✗</v>
      </c>
      <c r="U533" s="33"/>
      <c r="V533" s="33"/>
      <c r="W533" s="33"/>
      <c r="X533" s="33"/>
      <c r="Y533" s="33"/>
      <c r="Z533" s="33"/>
      <c r="AA533" s="33"/>
      <c r="AB533" s="33"/>
      <c r="AC533" s="33"/>
    </row>
    <row r="534" hidden="1">
      <c r="A534" s="17" t="s">
        <v>302</v>
      </c>
      <c r="B534" s="33"/>
      <c r="C534" s="33"/>
      <c r="D534" s="33"/>
      <c r="E534" s="33"/>
      <c r="F534" s="33"/>
      <c r="G534" s="33"/>
      <c r="H534" s="23" t="str">
        <f>IFERROR(__xludf.DUMMYFUNCTION("if(REGEXMATCH(join("", "",$F534:$G534),H$1)=TRUE,""✓"",""✗"")"),"✗")</f>
        <v>✗</v>
      </c>
      <c r="I534" s="23" t="str">
        <f>IFERROR(__xludf.DUMMYFUNCTION("if(REGEXMATCH(join("", "",$F534:$G534),I$1)=TRUE,""✓"",""✗"")"),"✗")</f>
        <v>✗</v>
      </c>
      <c r="J534" s="23" t="str">
        <f>IFERROR(__xludf.DUMMYFUNCTION("if(REGEXMATCH(join("", "",$F534:$G534),J$1)=TRUE,""✓"",""✗"")"),"✗")</f>
        <v>✗</v>
      </c>
      <c r="K534" s="23" t="str">
        <f>IFERROR(__xludf.DUMMYFUNCTION("if(REGEXMATCH(join("", "",$F534:$G534),K$1)=TRUE,""✓"",""✗"")"),"✗")</f>
        <v>✗</v>
      </c>
      <c r="L534" s="23" t="str">
        <f>IFERROR(__xludf.DUMMYFUNCTION("if(REGEXMATCH(join("", "",$F534:$G534),L$1)=TRUE,""✓"",""✗"")"),"✗")</f>
        <v>✗</v>
      </c>
      <c r="M534" s="23" t="str">
        <f>IFERROR(__xludf.DUMMYFUNCTION("if(REGEXMATCH(join("", "",$F534:$G534),M$1)=TRUE,""✓"",""✗"")"),"✗")</f>
        <v>✗</v>
      </c>
      <c r="N534" s="23" t="str">
        <f>IFERROR(__xludf.DUMMYFUNCTION("if(REGEXMATCH(join("", "",$F534:$G534),N$1)=TRUE,""✓"",""✗"")"),"✗")</f>
        <v>✗</v>
      </c>
      <c r="O534" s="23" t="str">
        <f>IFERROR(__xludf.DUMMYFUNCTION("if(REGEXMATCH(join("", "",$F534:$G534),O$1)=TRUE,""✓"",""✗"")"),"✗")</f>
        <v>✗</v>
      </c>
      <c r="P534" s="23" t="str">
        <f>IFERROR(__xludf.DUMMYFUNCTION("if(REGEXMATCH(join("", "",$F534:$G534),P$1)=TRUE,""✓"",""✗"")"),"✗")</f>
        <v>✗</v>
      </c>
      <c r="Q534" s="23" t="str">
        <f>IFERROR(__xludf.DUMMYFUNCTION("if(REGEXMATCH(join("", "",$F534:$G534),Q$1)=TRUE,""✓"",""✗"")"),"✗")</f>
        <v>✗</v>
      </c>
      <c r="R534" s="23" t="str">
        <f>IFERROR(__xludf.DUMMYFUNCTION("if(REGEXMATCH(join("", "",$F534:$G534),R$1)=TRUE,""✓"",""✗"")"),"✗")</f>
        <v>✗</v>
      </c>
      <c r="S534" s="23" t="str">
        <f>IFERROR(__xludf.DUMMYFUNCTION("if(REGEXMATCH(join("", "",$F534:$G534),S$1)=TRUE,""✓"",""✗"")"),"✗")</f>
        <v>✗</v>
      </c>
      <c r="T534" s="23" t="str">
        <f>IFERROR(__xludf.DUMMYFUNCTION("if(REGEXMATCH(join("", "",$F534:$G534),T$1)=TRUE,""✓"",""✗"")"),"✗")</f>
        <v>✗</v>
      </c>
      <c r="U534" s="33"/>
      <c r="V534" s="33"/>
      <c r="W534" s="33"/>
      <c r="X534" s="33"/>
      <c r="Y534" s="33"/>
      <c r="Z534" s="33"/>
      <c r="AA534" s="33"/>
      <c r="AB534" s="33"/>
      <c r="AC534" s="33"/>
    </row>
    <row r="535" hidden="1">
      <c r="A535" s="17" t="s">
        <v>302</v>
      </c>
      <c r="B535" s="33"/>
      <c r="C535" s="33"/>
      <c r="D535" s="33"/>
      <c r="E535" s="33"/>
      <c r="F535" s="33"/>
      <c r="G535" s="33"/>
      <c r="H535" s="23" t="str">
        <f>IFERROR(__xludf.DUMMYFUNCTION("if(REGEXMATCH(join("", "",$F535:$G535),H$1)=TRUE,""✓"",""✗"")"),"✗")</f>
        <v>✗</v>
      </c>
      <c r="I535" s="23" t="str">
        <f>IFERROR(__xludf.DUMMYFUNCTION("if(REGEXMATCH(join("", "",$F535:$G535),I$1)=TRUE,""✓"",""✗"")"),"✗")</f>
        <v>✗</v>
      </c>
      <c r="J535" s="23" t="str">
        <f>IFERROR(__xludf.DUMMYFUNCTION("if(REGEXMATCH(join("", "",$F535:$G535),J$1)=TRUE,""✓"",""✗"")"),"✗")</f>
        <v>✗</v>
      </c>
      <c r="K535" s="23" t="str">
        <f>IFERROR(__xludf.DUMMYFUNCTION("if(REGEXMATCH(join("", "",$F535:$G535),K$1)=TRUE,""✓"",""✗"")"),"✗")</f>
        <v>✗</v>
      </c>
      <c r="L535" s="23" t="str">
        <f>IFERROR(__xludf.DUMMYFUNCTION("if(REGEXMATCH(join("", "",$F535:$G535),L$1)=TRUE,""✓"",""✗"")"),"✗")</f>
        <v>✗</v>
      </c>
      <c r="M535" s="23" t="str">
        <f>IFERROR(__xludf.DUMMYFUNCTION("if(REGEXMATCH(join("", "",$F535:$G535),M$1)=TRUE,""✓"",""✗"")"),"✗")</f>
        <v>✗</v>
      </c>
      <c r="N535" s="23" t="str">
        <f>IFERROR(__xludf.DUMMYFUNCTION("if(REGEXMATCH(join("", "",$F535:$G535),N$1)=TRUE,""✓"",""✗"")"),"✗")</f>
        <v>✗</v>
      </c>
      <c r="O535" s="23" t="str">
        <f>IFERROR(__xludf.DUMMYFUNCTION("if(REGEXMATCH(join("", "",$F535:$G535),O$1)=TRUE,""✓"",""✗"")"),"✗")</f>
        <v>✗</v>
      </c>
      <c r="P535" s="23" t="str">
        <f>IFERROR(__xludf.DUMMYFUNCTION("if(REGEXMATCH(join("", "",$F535:$G535),P$1)=TRUE,""✓"",""✗"")"),"✗")</f>
        <v>✗</v>
      </c>
      <c r="Q535" s="23" t="str">
        <f>IFERROR(__xludf.DUMMYFUNCTION("if(REGEXMATCH(join("", "",$F535:$G535),Q$1)=TRUE,""✓"",""✗"")"),"✗")</f>
        <v>✗</v>
      </c>
      <c r="R535" s="23" t="str">
        <f>IFERROR(__xludf.DUMMYFUNCTION("if(REGEXMATCH(join("", "",$F535:$G535),R$1)=TRUE,""✓"",""✗"")"),"✗")</f>
        <v>✗</v>
      </c>
      <c r="S535" s="23" t="str">
        <f>IFERROR(__xludf.DUMMYFUNCTION("if(REGEXMATCH(join("", "",$F535:$G535),S$1)=TRUE,""✓"",""✗"")"),"✗")</f>
        <v>✗</v>
      </c>
      <c r="T535" s="23" t="str">
        <f>IFERROR(__xludf.DUMMYFUNCTION("if(REGEXMATCH(join("", "",$F535:$G535),T$1)=TRUE,""✓"",""✗"")"),"✗")</f>
        <v>✗</v>
      </c>
      <c r="U535" s="33"/>
      <c r="V535" s="33"/>
      <c r="W535" s="33"/>
      <c r="X535" s="33"/>
      <c r="Y535" s="33"/>
      <c r="Z535" s="33"/>
      <c r="AA535" s="33"/>
      <c r="AB535" s="33"/>
      <c r="AC535" s="33"/>
    </row>
    <row r="536" hidden="1">
      <c r="A536" s="17" t="s">
        <v>302</v>
      </c>
      <c r="B536" s="33"/>
      <c r="C536" s="33"/>
      <c r="D536" s="33"/>
      <c r="E536" s="33"/>
      <c r="F536" s="33"/>
      <c r="G536" s="33"/>
      <c r="H536" s="23" t="str">
        <f>IFERROR(__xludf.DUMMYFUNCTION("if(REGEXMATCH(join("", "",$F536:$G536),H$1)=TRUE,""✓"",""✗"")"),"✗")</f>
        <v>✗</v>
      </c>
      <c r="I536" s="23" t="str">
        <f>IFERROR(__xludf.DUMMYFUNCTION("if(REGEXMATCH(join("", "",$F536:$G536),I$1)=TRUE,""✓"",""✗"")"),"✗")</f>
        <v>✗</v>
      </c>
      <c r="J536" s="23" t="str">
        <f>IFERROR(__xludf.DUMMYFUNCTION("if(REGEXMATCH(join("", "",$F536:$G536),J$1)=TRUE,""✓"",""✗"")"),"✗")</f>
        <v>✗</v>
      </c>
      <c r="K536" s="23" t="str">
        <f>IFERROR(__xludf.DUMMYFUNCTION("if(REGEXMATCH(join("", "",$F536:$G536),K$1)=TRUE,""✓"",""✗"")"),"✗")</f>
        <v>✗</v>
      </c>
      <c r="L536" s="23" t="str">
        <f>IFERROR(__xludf.DUMMYFUNCTION("if(REGEXMATCH(join("", "",$F536:$G536),L$1)=TRUE,""✓"",""✗"")"),"✗")</f>
        <v>✗</v>
      </c>
      <c r="M536" s="23" t="str">
        <f>IFERROR(__xludf.DUMMYFUNCTION("if(REGEXMATCH(join("", "",$F536:$G536),M$1)=TRUE,""✓"",""✗"")"),"✗")</f>
        <v>✗</v>
      </c>
      <c r="N536" s="23" t="str">
        <f>IFERROR(__xludf.DUMMYFUNCTION("if(REGEXMATCH(join("", "",$F536:$G536),N$1)=TRUE,""✓"",""✗"")"),"✗")</f>
        <v>✗</v>
      </c>
      <c r="O536" s="23" t="str">
        <f>IFERROR(__xludf.DUMMYFUNCTION("if(REGEXMATCH(join("", "",$F536:$G536),O$1)=TRUE,""✓"",""✗"")"),"✗")</f>
        <v>✗</v>
      </c>
      <c r="P536" s="23" t="str">
        <f>IFERROR(__xludf.DUMMYFUNCTION("if(REGEXMATCH(join("", "",$F536:$G536),P$1)=TRUE,""✓"",""✗"")"),"✗")</f>
        <v>✗</v>
      </c>
      <c r="Q536" s="23" t="str">
        <f>IFERROR(__xludf.DUMMYFUNCTION("if(REGEXMATCH(join("", "",$F536:$G536),Q$1)=TRUE,""✓"",""✗"")"),"✗")</f>
        <v>✗</v>
      </c>
      <c r="R536" s="23" t="str">
        <f>IFERROR(__xludf.DUMMYFUNCTION("if(REGEXMATCH(join("", "",$F536:$G536),R$1)=TRUE,""✓"",""✗"")"),"✗")</f>
        <v>✗</v>
      </c>
      <c r="S536" s="23" t="str">
        <f>IFERROR(__xludf.DUMMYFUNCTION("if(REGEXMATCH(join("", "",$F536:$G536),S$1)=TRUE,""✓"",""✗"")"),"✗")</f>
        <v>✗</v>
      </c>
      <c r="T536" s="23" t="str">
        <f>IFERROR(__xludf.DUMMYFUNCTION("if(REGEXMATCH(join("", "",$F536:$G536),T$1)=TRUE,""✓"",""✗"")"),"✗")</f>
        <v>✗</v>
      </c>
      <c r="U536" s="33"/>
      <c r="V536" s="33"/>
      <c r="W536" s="33"/>
      <c r="X536" s="33"/>
      <c r="Y536" s="33"/>
      <c r="Z536" s="33"/>
      <c r="AA536" s="33"/>
      <c r="AB536" s="33"/>
      <c r="AC536" s="33"/>
    </row>
    <row r="537" hidden="1">
      <c r="A537" s="17" t="s">
        <v>302</v>
      </c>
      <c r="B537" s="33"/>
      <c r="C537" s="33"/>
      <c r="D537" s="33"/>
      <c r="E537" s="33"/>
      <c r="F537" s="33"/>
      <c r="G537" s="33"/>
      <c r="H537" s="23" t="str">
        <f>IFERROR(__xludf.DUMMYFUNCTION("if(REGEXMATCH(join("", "",$F537:$G537),H$1)=TRUE,""✓"",""✗"")"),"✗")</f>
        <v>✗</v>
      </c>
      <c r="I537" s="23" t="str">
        <f>IFERROR(__xludf.DUMMYFUNCTION("if(REGEXMATCH(join("", "",$F537:$G537),I$1)=TRUE,""✓"",""✗"")"),"✗")</f>
        <v>✗</v>
      </c>
      <c r="J537" s="23" t="str">
        <f>IFERROR(__xludf.DUMMYFUNCTION("if(REGEXMATCH(join("", "",$F537:$G537),J$1)=TRUE,""✓"",""✗"")"),"✗")</f>
        <v>✗</v>
      </c>
      <c r="K537" s="23" t="str">
        <f>IFERROR(__xludf.DUMMYFUNCTION("if(REGEXMATCH(join("", "",$F537:$G537),K$1)=TRUE,""✓"",""✗"")"),"✗")</f>
        <v>✗</v>
      </c>
      <c r="L537" s="23" t="str">
        <f>IFERROR(__xludf.DUMMYFUNCTION("if(REGEXMATCH(join("", "",$F537:$G537),L$1)=TRUE,""✓"",""✗"")"),"✗")</f>
        <v>✗</v>
      </c>
      <c r="M537" s="23" t="str">
        <f>IFERROR(__xludf.DUMMYFUNCTION("if(REGEXMATCH(join("", "",$F537:$G537),M$1)=TRUE,""✓"",""✗"")"),"✗")</f>
        <v>✗</v>
      </c>
      <c r="N537" s="23" t="str">
        <f>IFERROR(__xludf.DUMMYFUNCTION("if(REGEXMATCH(join("", "",$F537:$G537),N$1)=TRUE,""✓"",""✗"")"),"✗")</f>
        <v>✗</v>
      </c>
      <c r="O537" s="23" t="str">
        <f>IFERROR(__xludf.DUMMYFUNCTION("if(REGEXMATCH(join("", "",$F537:$G537),O$1)=TRUE,""✓"",""✗"")"),"✗")</f>
        <v>✗</v>
      </c>
      <c r="P537" s="23" t="str">
        <f>IFERROR(__xludf.DUMMYFUNCTION("if(REGEXMATCH(join("", "",$F537:$G537),P$1)=TRUE,""✓"",""✗"")"),"✗")</f>
        <v>✗</v>
      </c>
      <c r="Q537" s="23" t="str">
        <f>IFERROR(__xludf.DUMMYFUNCTION("if(REGEXMATCH(join("", "",$F537:$G537),Q$1)=TRUE,""✓"",""✗"")"),"✗")</f>
        <v>✗</v>
      </c>
      <c r="R537" s="23" t="str">
        <f>IFERROR(__xludf.DUMMYFUNCTION("if(REGEXMATCH(join("", "",$F537:$G537),R$1)=TRUE,""✓"",""✗"")"),"✗")</f>
        <v>✗</v>
      </c>
      <c r="S537" s="23" t="str">
        <f>IFERROR(__xludf.DUMMYFUNCTION("if(REGEXMATCH(join("", "",$F537:$G537),S$1)=TRUE,""✓"",""✗"")"),"✗")</f>
        <v>✗</v>
      </c>
      <c r="T537" s="23" t="str">
        <f>IFERROR(__xludf.DUMMYFUNCTION("if(REGEXMATCH(join("", "",$F537:$G537),T$1)=TRUE,""✓"",""✗"")"),"✗")</f>
        <v>✗</v>
      </c>
      <c r="U537" s="33"/>
      <c r="V537" s="33"/>
      <c r="W537" s="33"/>
      <c r="X537" s="33"/>
      <c r="Y537" s="33"/>
      <c r="Z537" s="33"/>
      <c r="AA537" s="33"/>
      <c r="AB537" s="33"/>
      <c r="AC537" s="33"/>
    </row>
    <row r="538" hidden="1">
      <c r="A538" s="17" t="s">
        <v>302</v>
      </c>
      <c r="B538" s="33"/>
      <c r="C538" s="33"/>
      <c r="D538" s="33"/>
      <c r="E538" s="33"/>
      <c r="F538" s="33"/>
      <c r="G538" s="33"/>
      <c r="H538" s="23" t="str">
        <f>IFERROR(__xludf.DUMMYFUNCTION("if(REGEXMATCH(join("", "",$F538:$G538),H$1)=TRUE,""✓"",""✗"")"),"✗")</f>
        <v>✗</v>
      </c>
      <c r="I538" s="23" t="str">
        <f>IFERROR(__xludf.DUMMYFUNCTION("if(REGEXMATCH(join("", "",$F538:$G538),I$1)=TRUE,""✓"",""✗"")"),"✗")</f>
        <v>✗</v>
      </c>
      <c r="J538" s="23" t="str">
        <f>IFERROR(__xludf.DUMMYFUNCTION("if(REGEXMATCH(join("", "",$F538:$G538),J$1)=TRUE,""✓"",""✗"")"),"✗")</f>
        <v>✗</v>
      </c>
      <c r="K538" s="23" t="str">
        <f>IFERROR(__xludf.DUMMYFUNCTION("if(REGEXMATCH(join("", "",$F538:$G538),K$1)=TRUE,""✓"",""✗"")"),"✗")</f>
        <v>✗</v>
      </c>
      <c r="L538" s="23" t="str">
        <f>IFERROR(__xludf.DUMMYFUNCTION("if(REGEXMATCH(join("", "",$F538:$G538),L$1)=TRUE,""✓"",""✗"")"),"✗")</f>
        <v>✗</v>
      </c>
      <c r="M538" s="23" t="str">
        <f>IFERROR(__xludf.DUMMYFUNCTION("if(REGEXMATCH(join("", "",$F538:$G538),M$1)=TRUE,""✓"",""✗"")"),"✗")</f>
        <v>✗</v>
      </c>
      <c r="N538" s="23" t="str">
        <f>IFERROR(__xludf.DUMMYFUNCTION("if(REGEXMATCH(join("", "",$F538:$G538),N$1)=TRUE,""✓"",""✗"")"),"✗")</f>
        <v>✗</v>
      </c>
      <c r="O538" s="23" t="str">
        <f>IFERROR(__xludf.DUMMYFUNCTION("if(REGEXMATCH(join("", "",$F538:$G538),O$1)=TRUE,""✓"",""✗"")"),"✗")</f>
        <v>✗</v>
      </c>
      <c r="P538" s="23" t="str">
        <f>IFERROR(__xludf.DUMMYFUNCTION("if(REGEXMATCH(join("", "",$F538:$G538),P$1)=TRUE,""✓"",""✗"")"),"✗")</f>
        <v>✗</v>
      </c>
      <c r="Q538" s="23" t="str">
        <f>IFERROR(__xludf.DUMMYFUNCTION("if(REGEXMATCH(join("", "",$F538:$G538),Q$1)=TRUE,""✓"",""✗"")"),"✗")</f>
        <v>✗</v>
      </c>
      <c r="R538" s="23" t="str">
        <f>IFERROR(__xludf.DUMMYFUNCTION("if(REGEXMATCH(join("", "",$F538:$G538),R$1)=TRUE,""✓"",""✗"")"),"✗")</f>
        <v>✗</v>
      </c>
      <c r="S538" s="23" t="str">
        <f>IFERROR(__xludf.DUMMYFUNCTION("if(REGEXMATCH(join("", "",$F538:$G538),S$1)=TRUE,""✓"",""✗"")"),"✗")</f>
        <v>✗</v>
      </c>
      <c r="T538" s="23" t="str">
        <f>IFERROR(__xludf.DUMMYFUNCTION("if(REGEXMATCH(join("", "",$F538:$G538),T$1)=TRUE,""✓"",""✗"")"),"✗")</f>
        <v>✗</v>
      </c>
      <c r="U538" s="33"/>
      <c r="V538" s="33"/>
      <c r="W538" s="33"/>
      <c r="X538" s="33"/>
      <c r="Y538" s="33"/>
      <c r="Z538" s="33"/>
      <c r="AA538" s="33"/>
      <c r="AB538" s="33"/>
      <c r="AC538" s="33"/>
    </row>
    <row r="539" hidden="1">
      <c r="A539" s="17" t="s">
        <v>302</v>
      </c>
      <c r="B539" s="33"/>
      <c r="C539" s="33"/>
      <c r="D539" s="33"/>
      <c r="E539" s="33"/>
      <c r="F539" s="33"/>
      <c r="G539" s="33"/>
      <c r="H539" s="23" t="str">
        <f>IFERROR(__xludf.DUMMYFUNCTION("if(REGEXMATCH(join("", "",$F539:$G539),H$1)=TRUE,""✓"",""✗"")"),"✗")</f>
        <v>✗</v>
      </c>
      <c r="I539" s="23" t="str">
        <f>IFERROR(__xludf.DUMMYFUNCTION("if(REGEXMATCH(join("", "",$F539:$G539),I$1)=TRUE,""✓"",""✗"")"),"✗")</f>
        <v>✗</v>
      </c>
      <c r="J539" s="23" t="str">
        <f>IFERROR(__xludf.DUMMYFUNCTION("if(REGEXMATCH(join("", "",$F539:$G539),J$1)=TRUE,""✓"",""✗"")"),"✗")</f>
        <v>✗</v>
      </c>
      <c r="K539" s="23" t="str">
        <f>IFERROR(__xludf.DUMMYFUNCTION("if(REGEXMATCH(join("", "",$F539:$G539),K$1)=TRUE,""✓"",""✗"")"),"✗")</f>
        <v>✗</v>
      </c>
      <c r="L539" s="23" t="str">
        <f>IFERROR(__xludf.DUMMYFUNCTION("if(REGEXMATCH(join("", "",$F539:$G539),L$1)=TRUE,""✓"",""✗"")"),"✗")</f>
        <v>✗</v>
      </c>
      <c r="M539" s="23" t="str">
        <f>IFERROR(__xludf.DUMMYFUNCTION("if(REGEXMATCH(join("", "",$F539:$G539),M$1)=TRUE,""✓"",""✗"")"),"✗")</f>
        <v>✗</v>
      </c>
      <c r="N539" s="23" t="str">
        <f>IFERROR(__xludf.DUMMYFUNCTION("if(REGEXMATCH(join("", "",$F539:$G539),N$1)=TRUE,""✓"",""✗"")"),"✗")</f>
        <v>✗</v>
      </c>
      <c r="O539" s="23" t="str">
        <f>IFERROR(__xludf.DUMMYFUNCTION("if(REGEXMATCH(join("", "",$F539:$G539),O$1)=TRUE,""✓"",""✗"")"),"✗")</f>
        <v>✗</v>
      </c>
      <c r="P539" s="23" t="str">
        <f>IFERROR(__xludf.DUMMYFUNCTION("if(REGEXMATCH(join("", "",$F539:$G539),P$1)=TRUE,""✓"",""✗"")"),"✗")</f>
        <v>✗</v>
      </c>
      <c r="Q539" s="23" t="str">
        <f>IFERROR(__xludf.DUMMYFUNCTION("if(REGEXMATCH(join("", "",$F539:$G539),Q$1)=TRUE,""✓"",""✗"")"),"✗")</f>
        <v>✗</v>
      </c>
      <c r="R539" s="23" t="str">
        <f>IFERROR(__xludf.DUMMYFUNCTION("if(REGEXMATCH(join("", "",$F539:$G539),R$1)=TRUE,""✓"",""✗"")"),"✗")</f>
        <v>✗</v>
      </c>
      <c r="S539" s="23" t="str">
        <f>IFERROR(__xludf.DUMMYFUNCTION("if(REGEXMATCH(join("", "",$F539:$G539),S$1)=TRUE,""✓"",""✗"")"),"✗")</f>
        <v>✗</v>
      </c>
      <c r="T539" s="23" t="str">
        <f>IFERROR(__xludf.DUMMYFUNCTION("if(REGEXMATCH(join("", "",$F539:$G539),T$1)=TRUE,""✓"",""✗"")"),"✗")</f>
        <v>✗</v>
      </c>
      <c r="U539" s="33"/>
      <c r="V539" s="33"/>
      <c r="W539" s="33"/>
      <c r="X539" s="33"/>
      <c r="Y539" s="33"/>
      <c r="Z539" s="33"/>
      <c r="AA539" s="33"/>
      <c r="AB539" s="33"/>
      <c r="AC539" s="33"/>
    </row>
    <row r="540" hidden="1">
      <c r="A540" s="17" t="s">
        <v>302</v>
      </c>
      <c r="B540" s="33"/>
      <c r="C540" s="33"/>
      <c r="D540" s="33"/>
      <c r="E540" s="33"/>
      <c r="F540" s="33"/>
      <c r="G540" s="33"/>
      <c r="H540" s="23" t="str">
        <f>IFERROR(__xludf.DUMMYFUNCTION("if(REGEXMATCH(join("", "",$F540:$G540),H$1)=TRUE,""✓"",""✗"")"),"✗")</f>
        <v>✗</v>
      </c>
      <c r="I540" s="23" t="str">
        <f>IFERROR(__xludf.DUMMYFUNCTION("if(REGEXMATCH(join("", "",$F540:$G540),I$1)=TRUE,""✓"",""✗"")"),"✗")</f>
        <v>✗</v>
      </c>
      <c r="J540" s="23" t="str">
        <f>IFERROR(__xludf.DUMMYFUNCTION("if(REGEXMATCH(join("", "",$F540:$G540),J$1)=TRUE,""✓"",""✗"")"),"✗")</f>
        <v>✗</v>
      </c>
      <c r="K540" s="23" t="str">
        <f>IFERROR(__xludf.DUMMYFUNCTION("if(REGEXMATCH(join("", "",$F540:$G540),K$1)=TRUE,""✓"",""✗"")"),"✗")</f>
        <v>✗</v>
      </c>
      <c r="L540" s="23" t="str">
        <f>IFERROR(__xludf.DUMMYFUNCTION("if(REGEXMATCH(join("", "",$F540:$G540),L$1)=TRUE,""✓"",""✗"")"),"✗")</f>
        <v>✗</v>
      </c>
      <c r="M540" s="23" t="str">
        <f>IFERROR(__xludf.DUMMYFUNCTION("if(REGEXMATCH(join("", "",$F540:$G540),M$1)=TRUE,""✓"",""✗"")"),"✗")</f>
        <v>✗</v>
      </c>
      <c r="N540" s="23" t="str">
        <f>IFERROR(__xludf.DUMMYFUNCTION("if(REGEXMATCH(join("", "",$F540:$G540),N$1)=TRUE,""✓"",""✗"")"),"✗")</f>
        <v>✗</v>
      </c>
      <c r="O540" s="23" t="str">
        <f>IFERROR(__xludf.DUMMYFUNCTION("if(REGEXMATCH(join("", "",$F540:$G540),O$1)=TRUE,""✓"",""✗"")"),"✗")</f>
        <v>✗</v>
      </c>
      <c r="P540" s="23" t="str">
        <f>IFERROR(__xludf.DUMMYFUNCTION("if(REGEXMATCH(join("", "",$F540:$G540),P$1)=TRUE,""✓"",""✗"")"),"✗")</f>
        <v>✗</v>
      </c>
      <c r="Q540" s="23" t="str">
        <f>IFERROR(__xludf.DUMMYFUNCTION("if(REGEXMATCH(join("", "",$F540:$G540),Q$1)=TRUE,""✓"",""✗"")"),"✗")</f>
        <v>✗</v>
      </c>
      <c r="R540" s="23" t="str">
        <f>IFERROR(__xludf.DUMMYFUNCTION("if(REGEXMATCH(join("", "",$F540:$G540),R$1)=TRUE,""✓"",""✗"")"),"✗")</f>
        <v>✗</v>
      </c>
      <c r="S540" s="23" t="str">
        <f>IFERROR(__xludf.DUMMYFUNCTION("if(REGEXMATCH(join("", "",$F540:$G540),S$1)=TRUE,""✓"",""✗"")"),"✗")</f>
        <v>✗</v>
      </c>
      <c r="T540" s="23" t="str">
        <f>IFERROR(__xludf.DUMMYFUNCTION("if(REGEXMATCH(join("", "",$F540:$G540),T$1)=TRUE,""✓"",""✗"")"),"✗")</f>
        <v>✗</v>
      </c>
      <c r="U540" s="33"/>
      <c r="V540" s="33"/>
      <c r="W540" s="33"/>
      <c r="X540" s="33"/>
      <c r="Y540" s="33"/>
      <c r="Z540" s="33"/>
      <c r="AA540" s="33"/>
      <c r="AB540" s="33"/>
      <c r="AC540" s="33"/>
    </row>
    <row r="541" hidden="1">
      <c r="A541" s="17" t="s">
        <v>302</v>
      </c>
      <c r="B541" s="33"/>
      <c r="C541" s="33"/>
      <c r="D541" s="33"/>
      <c r="E541" s="33"/>
      <c r="F541" s="33"/>
      <c r="G541" s="33"/>
      <c r="H541" s="23" t="str">
        <f>IFERROR(__xludf.DUMMYFUNCTION("if(REGEXMATCH(join("", "",$F541:$G541),H$1)=TRUE,""✓"",""✗"")"),"✗")</f>
        <v>✗</v>
      </c>
      <c r="I541" s="23" t="str">
        <f>IFERROR(__xludf.DUMMYFUNCTION("if(REGEXMATCH(join("", "",$F541:$G541),I$1)=TRUE,""✓"",""✗"")"),"✗")</f>
        <v>✗</v>
      </c>
      <c r="J541" s="23" t="str">
        <f>IFERROR(__xludf.DUMMYFUNCTION("if(REGEXMATCH(join("", "",$F541:$G541),J$1)=TRUE,""✓"",""✗"")"),"✗")</f>
        <v>✗</v>
      </c>
      <c r="K541" s="23" t="str">
        <f>IFERROR(__xludf.DUMMYFUNCTION("if(REGEXMATCH(join("", "",$F541:$G541),K$1)=TRUE,""✓"",""✗"")"),"✗")</f>
        <v>✗</v>
      </c>
      <c r="L541" s="23" t="str">
        <f>IFERROR(__xludf.DUMMYFUNCTION("if(REGEXMATCH(join("", "",$F541:$G541),L$1)=TRUE,""✓"",""✗"")"),"✗")</f>
        <v>✗</v>
      </c>
      <c r="M541" s="23" t="str">
        <f>IFERROR(__xludf.DUMMYFUNCTION("if(REGEXMATCH(join("", "",$F541:$G541),M$1)=TRUE,""✓"",""✗"")"),"✗")</f>
        <v>✗</v>
      </c>
      <c r="N541" s="23" t="str">
        <f>IFERROR(__xludf.DUMMYFUNCTION("if(REGEXMATCH(join("", "",$F541:$G541),N$1)=TRUE,""✓"",""✗"")"),"✗")</f>
        <v>✗</v>
      </c>
      <c r="O541" s="23" t="str">
        <f>IFERROR(__xludf.DUMMYFUNCTION("if(REGEXMATCH(join("", "",$F541:$G541),O$1)=TRUE,""✓"",""✗"")"),"✗")</f>
        <v>✗</v>
      </c>
      <c r="P541" s="23" t="str">
        <f>IFERROR(__xludf.DUMMYFUNCTION("if(REGEXMATCH(join("", "",$F541:$G541),P$1)=TRUE,""✓"",""✗"")"),"✗")</f>
        <v>✗</v>
      </c>
      <c r="Q541" s="23" t="str">
        <f>IFERROR(__xludf.DUMMYFUNCTION("if(REGEXMATCH(join("", "",$F541:$G541),Q$1)=TRUE,""✓"",""✗"")"),"✗")</f>
        <v>✗</v>
      </c>
      <c r="R541" s="23" t="str">
        <f>IFERROR(__xludf.DUMMYFUNCTION("if(REGEXMATCH(join("", "",$F541:$G541),R$1)=TRUE,""✓"",""✗"")"),"✗")</f>
        <v>✗</v>
      </c>
      <c r="S541" s="23" t="str">
        <f>IFERROR(__xludf.DUMMYFUNCTION("if(REGEXMATCH(join("", "",$F541:$G541),S$1)=TRUE,""✓"",""✗"")"),"✗")</f>
        <v>✗</v>
      </c>
      <c r="T541" s="23" t="str">
        <f>IFERROR(__xludf.DUMMYFUNCTION("if(REGEXMATCH(join("", "",$F541:$G541),T$1)=TRUE,""✓"",""✗"")"),"✗")</f>
        <v>✗</v>
      </c>
      <c r="U541" s="33"/>
      <c r="V541" s="33"/>
      <c r="W541" s="33"/>
      <c r="X541" s="33"/>
      <c r="Y541" s="33"/>
      <c r="Z541" s="33"/>
      <c r="AA541" s="33"/>
      <c r="AB541" s="33"/>
      <c r="AC541" s="33"/>
    </row>
    <row r="542" hidden="1">
      <c r="A542" s="17" t="s">
        <v>302</v>
      </c>
      <c r="B542" s="33"/>
      <c r="C542" s="33"/>
      <c r="D542" s="33"/>
      <c r="E542" s="33"/>
      <c r="F542" s="33"/>
      <c r="G542" s="33"/>
      <c r="H542" s="23" t="str">
        <f>IFERROR(__xludf.DUMMYFUNCTION("if(REGEXMATCH(join("", "",$F542:$G542),H$1)=TRUE,""✓"",""✗"")"),"✗")</f>
        <v>✗</v>
      </c>
      <c r="I542" s="23" t="str">
        <f>IFERROR(__xludf.DUMMYFUNCTION("if(REGEXMATCH(join("", "",$F542:$G542),I$1)=TRUE,""✓"",""✗"")"),"✗")</f>
        <v>✗</v>
      </c>
      <c r="J542" s="23" t="str">
        <f>IFERROR(__xludf.DUMMYFUNCTION("if(REGEXMATCH(join("", "",$F542:$G542),J$1)=TRUE,""✓"",""✗"")"),"✗")</f>
        <v>✗</v>
      </c>
      <c r="K542" s="23" t="str">
        <f>IFERROR(__xludf.DUMMYFUNCTION("if(REGEXMATCH(join("", "",$F542:$G542),K$1)=TRUE,""✓"",""✗"")"),"✗")</f>
        <v>✗</v>
      </c>
      <c r="L542" s="23" t="str">
        <f>IFERROR(__xludf.DUMMYFUNCTION("if(REGEXMATCH(join("", "",$F542:$G542),L$1)=TRUE,""✓"",""✗"")"),"✗")</f>
        <v>✗</v>
      </c>
      <c r="M542" s="23" t="str">
        <f>IFERROR(__xludf.DUMMYFUNCTION("if(REGEXMATCH(join("", "",$F542:$G542),M$1)=TRUE,""✓"",""✗"")"),"✗")</f>
        <v>✗</v>
      </c>
      <c r="N542" s="23" t="str">
        <f>IFERROR(__xludf.DUMMYFUNCTION("if(REGEXMATCH(join("", "",$F542:$G542),N$1)=TRUE,""✓"",""✗"")"),"✗")</f>
        <v>✗</v>
      </c>
      <c r="O542" s="23" t="str">
        <f>IFERROR(__xludf.DUMMYFUNCTION("if(REGEXMATCH(join("", "",$F542:$G542),O$1)=TRUE,""✓"",""✗"")"),"✗")</f>
        <v>✗</v>
      </c>
      <c r="P542" s="23" t="str">
        <f>IFERROR(__xludf.DUMMYFUNCTION("if(REGEXMATCH(join("", "",$F542:$G542),P$1)=TRUE,""✓"",""✗"")"),"✗")</f>
        <v>✗</v>
      </c>
      <c r="Q542" s="23" t="str">
        <f>IFERROR(__xludf.DUMMYFUNCTION("if(REGEXMATCH(join("", "",$F542:$G542),Q$1)=TRUE,""✓"",""✗"")"),"✗")</f>
        <v>✗</v>
      </c>
      <c r="R542" s="23" t="str">
        <f>IFERROR(__xludf.DUMMYFUNCTION("if(REGEXMATCH(join("", "",$F542:$G542),R$1)=TRUE,""✓"",""✗"")"),"✗")</f>
        <v>✗</v>
      </c>
      <c r="S542" s="23" t="str">
        <f>IFERROR(__xludf.DUMMYFUNCTION("if(REGEXMATCH(join("", "",$F542:$G542),S$1)=TRUE,""✓"",""✗"")"),"✗")</f>
        <v>✗</v>
      </c>
      <c r="T542" s="23" t="str">
        <f>IFERROR(__xludf.DUMMYFUNCTION("if(REGEXMATCH(join("", "",$F542:$G542),T$1)=TRUE,""✓"",""✗"")"),"✗")</f>
        <v>✗</v>
      </c>
      <c r="U542" s="33"/>
      <c r="V542" s="33"/>
      <c r="W542" s="33"/>
      <c r="X542" s="33"/>
      <c r="Y542" s="33"/>
      <c r="Z542" s="33"/>
      <c r="AA542" s="33"/>
      <c r="AB542" s="33"/>
      <c r="AC542" s="33"/>
    </row>
    <row r="543" hidden="1">
      <c r="A543" s="17" t="s">
        <v>302</v>
      </c>
      <c r="B543" s="33"/>
      <c r="C543" s="33"/>
      <c r="D543" s="33"/>
      <c r="E543" s="33"/>
      <c r="F543" s="33"/>
      <c r="G543" s="33"/>
      <c r="H543" s="23" t="str">
        <f>IFERROR(__xludf.DUMMYFUNCTION("if(REGEXMATCH(join("", "",$F543:$G543),H$1)=TRUE,""✓"",""✗"")"),"✗")</f>
        <v>✗</v>
      </c>
      <c r="I543" s="23" t="str">
        <f>IFERROR(__xludf.DUMMYFUNCTION("if(REGEXMATCH(join("", "",$F543:$G543),I$1)=TRUE,""✓"",""✗"")"),"✗")</f>
        <v>✗</v>
      </c>
      <c r="J543" s="23" t="str">
        <f>IFERROR(__xludf.DUMMYFUNCTION("if(REGEXMATCH(join("", "",$F543:$G543),J$1)=TRUE,""✓"",""✗"")"),"✗")</f>
        <v>✗</v>
      </c>
      <c r="K543" s="23" t="str">
        <f>IFERROR(__xludf.DUMMYFUNCTION("if(REGEXMATCH(join("", "",$F543:$G543),K$1)=TRUE,""✓"",""✗"")"),"✗")</f>
        <v>✗</v>
      </c>
      <c r="L543" s="23" t="str">
        <f>IFERROR(__xludf.DUMMYFUNCTION("if(REGEXMATCH(join("", "",$F543:$G543),L$1)=TRUE,""✓"",""✗"")"),"✗")</f>
        <v>✗</v>
      </c>
      <c r="M543" s="23" t="str">
        <f>IFERROR(__xludf.DUMMYFUNCTION("if(REGEXMATCH(join("", "",$F543:$G543),M$1)=TRUE,""✓"",""✗"")"),"✗")</f>
        <v>✗</v>
      </c>
      <c r="N543" s="23" t="str">
        <f>IFERROR(__xludf.DUMMYFUNCTION("if(REGEXMATCH(join("", "",$F543:$G543),N$1)=TRUE,""✓"",""✗"")"),"✗")</f>
        <v>✗</v>
      </c>
      <c r="O543" s="23" t="str">
        <f>IFERROR(__xludf.DUMMYFUNCTION("if(REGEXMATCH(join("", "",$F543:$G543),O$1)=TRUE,""✓"",""✗"")"),"✗")</f>
        <v>✗</v>
      </c>
      <c r="P543" s="23" t="str">
        <f>IFERROR(__xludf.DUMMYFUNCTION("if(REGEXMATCH(join("", "",$F543:$G543),P$1)=TRUE,""✓"",""✗"")"),"✗")</f>
        <v>✗</v>
      </c>
      <c r="Q543" s="23" t="str">
        <f>IFERROR(__xludf.DUMMYFUNCTION("if(REGEXMATCH(join("", "",$F543:$G543),Q$1)=TRUE,""✓"",""✗"")"),"✗")</f>
        <v>✗</v>
      </c>
      <c r="R543" s="23" t="str">
        <f>IFERROR(__xludf.DUMMYFUNCTION("if(REGEXMATCH(join("", "",$F543:$G543),R$1)=TRUE,""✓"",""✗"")"),"✗")</f>
        <v>✗</v>
      </c>
      <c r="S543" s="23" t="str">
        <f>IFERROR(__xludf.DUMMYFUNCTION("if(REGEXMATCH(join("", "",$F543:$G543),S$1)=TRUE,""✓"",""✗"")"),"✗")</f>
        <v>✗</v>
      </c>
      <c r="T543" s="23" t="str">
        <f>IFERROR(__xludf.DUMMYFUNCTION("if(REGEXMATCH(join("", "",$F543:$G543),T$1)=TRUE,""✓"",""✗"")"),"✗")</f>
        <v>✗</v>
      </c>
      <c r="U543" s="33"/>
      <c r="V543" s="33"/>
      <c r="W543" s="33"/>
      <c r="X543" s="33"/>
      <c r="Y543" s="33"/>
      <c r="Z543" s="33"/>
      <c r="AA543" s="33"/>
      <c r="AB543" s="33"/>
      <c r="AC543" s="33"/>
    </row>
    <row r="544" hidden="1">
      <c r="A544" s="17" t="s">
        <v>302</v>
      </c>
      <c r="B544" s="33"/>
      <c r="C544" s="33"/>
      <c r="D544" s="33"/>
      <c r="E544" s="33"/>
      <c r="F544" s="33"/>
      <c r="G544" s="33"/>
      <c r="H544" s="23" t="str">
        <f>IFERROR(__xludf.DUMMYFUNCTION("if(REGEXMATCH(join("", "",$F544:$G544),H$1)=TRUE,""✓"",""✗"")"),"✗")</f>
        <v>✗</v>
      </c>
      <c r="I544" s="23" t="str">
        <f>IFERROR(__xludf.DUMMYFUNCTION("if(REGEXMATCH(join("", "",$F544:$G544),I$1)=TRUE,""✓"",""✗"")"),"✗")</f>
        <v>✗</v>
      </c>
      <c r="J544" s="23" t="str">
        <f>IFERROR(__xludf.DUMMYFUNCTION("if(REGEXMATCH(join("", "",$F544:$G544),J$1)=TRUE,""✓"",""✗"")"),"✗")</f>
        <v>✗</v>
      </c>
      <c r="K544" s="23" t="str">
        <f>IFERROR(__xludf.DUMMYFUNCTION("if(REGEXMATCH(join("", "",$F544:$G544),K$1)=TRUE,""✓"",""✗"")"),"✗")</f>
        <v>✗</v>
      </c>
      <c r="L544" s="23" t="str">
        <f>IFERROR(__xludf.DUMMYFUNCTION("if(REGEXMATCH(join("", "",$F544:$G544),L$1)=TRUE,""✓"",""✗"")"),"✗")</f>
        <v>✗</v>
      </c>
      <c r="M544" s="23" t="str">
        <f>IFERROR(__xludf.DUMMYFUNCTION("if(REGEXMATCH(join("", "",$F544:$G544),M$1)=TRUE,""✓"",""✗"")"),"✗")</f>
        <v>✗</v>
      </c>
      <c r="N544" s="23" t="str">
        <f>IFERROR(__xludf.DUMMYFUNCTION("if(REGEXMATCH(join("", "",$F544:$G544),N$1)=TRUE,""✓"",""✗"")"),"✗")</f>
        <v>✗</v>
      </c>
      <c r="O544" s="23" t="str">
        <f>IFERROR(__xludf.DUMMYFUNCTION("if(REGEXMATCH(join("", "",$F544:$G544),O$1)=TRUE,""✓"",""✗"")"),"✗")</f>
        <v>✗</v>
      </c>
      <c r="P544" s="23" t="str">
        <f>IFERROR(__xludf.DUMMYFUNCTION("if(REGEXMATCH(join("", "",$F544:$G544),P$1)=TRUE,""✓"",""✗"")"),"✗")</f>
        <v>✗</v>
      </c>
      <c r="Q544" s="23" t="str">
        <f>IFERROR(__xludf.DUMMYFUNCTION("if(REGEXMATCH(join("", "",$F544:$G544),Q$1)=TRUE,""✓"",""✗"")"),"✗")</f>
        <v>✗</v>
      </c>
      <c r="R544" s="23" t="str">
        <f>IFERROR(__xludf.DUMMYFUNCTION("if(REGEXMATCH(join("", "",$F544:$G544),R$1)=TRUE,""✓"",""✗"")"),"✗")</f>
        <v>✗</v>
      </c>
      <c r="S544" s="23" t="str">
        <f>IFERROR(__xludf.DUMMYFUNCTION("if(REGEXMATCH(join("", "",$F544:$G544),S$1)=TRUE,""✓"",""✗"")"),"✗")</f>
        <v>✗</v>
      </c>
      <c r="T544" s="23" t="str">
        <f>IFERROR(__xludf.DUMMYFUNCTION("if(REGEXMATCH(join("", "",$F544:$G544),T$1)=TRUE,""✓"",""✗"")"),"✗")</f>
        <v>✗</v>
      </c>
      <c r="U544" s="33"/>
      <c r="V544" s="33"/>
      <c r="W544" s="33"/>
      <c r="X544" s="33"/>
      <c r="Y544" s="33"/>
      <c r="Z544" s="33"/>
      <c r="AA544" s="33"/>
      <c r="AB544" s="33"/>
      <c r="AC544" s="33"/>
    </row>
    <row r="545" hidden="1">
      <c r="A545" s="17" t="s">
        <v>302</v>
      </c>
      <c r="B545" s="33"/>
      <c r="C545" s="33"/>
      <c r="D545" s="33"/>
      <c r="E545" s="33"/>
      <c r="F545" s="33"/>
      <c r="G545" s="33"/>
      <c r="H545" s="23" t="str">
        <f>IFERROR(__xludf.DUMMYFUNCTION("if(REGEXMATCH(join("", "",$F545:$G545),H$1)=TRUE,""✓"",""✗"")"),"✗")</f>
        <v>✗</v>
      </c>
      <c r="I545" s="23" t="str">
        <f>IFERROR(__xludf.DUMMYFUNCTION("if(REGEXMATCH(join("", "",$F545:$G545),I$1)=TRUE,""✓"",""✗"")"),"✗")</f>
        <v>✗</v>
      </c>
      <c r="J545" s="23" t="str">
        <f>IFERROR(__xludf.DUMMYFUNCTION("if(REGEXMATCH(join("", "",$F545:$G545),J$1)=TRUE,""✓"",""✗"")"),"✗")</f>
        <v>✗</v>
      </c>
      <c r="K545" s="23" t="str">
        <f>IFERROR(__xludf.DUMMYFUNCTION("if(REGEXMATCH(join("", "",$F545:$G545),K$1)=TRUE,""✓"",""✗"")"),"✗")</f>
        <v>✗</v>
      </c>
      <c r="L545" s="23" t="str">
        <f>IFERROR(__xludf.DUMMYFUNCTION("if(REGEXMATCH(join("", "",$F545:$G545),L$1)=TRUE,""✓"",""✗"")"),"✗")</f>
        <v>✗</v>
      </c>
      <c r="M545" s="23" t="str">
        <f>IFERROR(__xludf.DUMMYFUNCTION("if(REGEXMATCH(join("", "",$F545:$G545),M$1)=TRUE,""✓"",""✗"")"),"✗")</f>
        <v>✗</v>
      </c>
      <c r="N545" s="23" t="str">
        <f>IFERROR(__xludf.DUMMYFUNCTION("if(REGEXMATCH(join("", "",$F545:$G545),N$1)=TRUE,""✓"",""✗"")"),"✗")</f>
        <v>✗</v>
      </c>
      <c r="O545" s="23" t="str">
        <f>IFERROR(__xludf.DUMMYFUNCTION("if(REGEXMATCH(join("", "",$F545:$G545),O$1)=TRUE,""✓"",""✗"")"),"✗")</f>
        <v>✗</v>
      </c>
      <c r="P545" s="23" t="str">
        <f>IFERROR(__xludf.DUMMYFUNCTION("if(REGEXMATCH(join("", "",$F545:$G545),P$1)=TRUE,""✓"",""✗"")"),"✗")</f>
        <v>✗</v>
      </c>
      <c r="Q545" s="23" t="str">
        <f>IFERROR(__xludf.DUMMYFUNCTION("if(REGEXMATCH(join("", "",$F545:$G545),Q$1)=TRUE,""✓"",""✗"")"),"✗")</f>
        <v>✗</v>
      </c>
      <c r="R545" s="23" t="str">
        <f>IFERROR(__xludf.DUMMYFUNCTION("if(REGEXMATCH(join("", "",$F545:$G545),R$1)=TRUE,""✓"",""✗"")"),"✗")</f>
        <v>✗</v>
      </c>
      <c r="S545" s="23" t="str">
        <f>IFERROR(__xludf.DUMMYFUNCTION("if(REGEXMATCH(join("", "",$F545:$G545),S$1)=TRUE,""✓"",""✗"")"),"✗")</f>
        <v>✗</v>
      </c>
      <c r="T545" s="23" t="str">
        <f>IFERROR(__xludf.DUMMYFUNCTION("if(REGEXMATCH(join("", "",$F545:$G545),T$1)=TRUE,""✓"",""✗"")"),"✗")</f>
        <v>✗</v>
      </c>
      <c r="U545" s="33"/>
      <c r="V545" s="33"/>
      <c r="W545" s="33"/>
      <c r="X545" s="33"/>
      <c r="Y545" s="33"/>
      <c r="Z545" s="33"/>
      <c r="AA545" s="33"/>
      <c r="AB545" s="33"/>
      <c r="AC545" s="33"/>
    </row>
    <row r="546" hidden="1">
      <c r="A546" s="17" t="s">
        <v>302</v>
      </c>
      <c r="B546" s="33"/>
      <c r="C546" s="33"/>
      <c r="D546" s="33"/>
      <c r="E546" s="33"/>
      <c r="F546" s="33"/>
      <c r="G546" s="33"/>
      <c r="H546" s="23" t="str">
        <f>IFERROR(__xludf.DUMMYFUNCTION("if(REGEXMATCH(join("", "",$F546:$G546),H$1)=TRUE,""✓"",""✗"")"),"✗")</f>
        <v>✗</v>
      </c>
      <c r="I546" s="23" t="str">
        <f>IFERROR(__xludf.DUMMYFUNCTION("if(REGEXMATCH(join("", "",$F546:$G546),I$1)=TRUE,""✓"",""✗"")"),"✗")</f>
        <v>✗</v>
      </c>
      <c r="J546" s="23" t="str">
        <f>IFERROR(__xludf.DUMMYFUNCTION("if(REGEXMATCH(join("", "",$F546:$G546),J$1)=TRUE,""✓"",""✗"")"),"✗")</f>
        <v>✗</v>
      </c>
      <c r="K546" s="23" t="str">
        <f>IFERROR(__xludf.DUMMYFUNCTION("if(REGEXMATCH(join("", "",$F546:$G546),K$1)=TRUE,""✓"",""✗"")"),"✗")</f>
        <v>✗</v>
      </c>
      <c r="L546" s="23" t="str">
        <f>IFERROR(__xludf.DUMMYFUNCTION("if(REGEXMATCH(join("", "",$F546:$G546),L$1)=TRUE,""✓"",""✗"")"),"✗")</f>
        <v>✗</v>
      </c>
      <c r="M546" s="23" t="str">
        <f>IFERROR(__xludf.DUMMYFUNCTION("if(REGEXMATCH(join("", "",$F546:$G546),M$1)=TRUE,""✓"",""✗"")"),"✗")</f>
        <v>✗</v>
      </c>
      <c r="N546" s="23" t="str">
        <f>IFERROR(__xludf.DUMMYFUNCTION("if(REGEXMATCH(join("", "",$F546:$G546),N$1)=TRUE,""✓"",""✗"")"),"✗")</f>
        <v>✗</v>
      </c>
      <c r="O546" s="23" t="str">
        <f>IFERROR(__xludf.DUMMYFUNCTION("if(REGEXMATCH(join("", "",$F546:$G546),O$1)=TRUE,""✓"",""✗"")"),"✗")</f>
        <v>✗</v>
      </c>
      <c r="P546" s="23" t="str">
        <f>IFERROR(__xludf.DUMMYFUNCTION("if(REGEXMATCH(join("", "",$F546:$G546),P$1)=TRUE,""✓"",""✗"")"),"✗")</f>
        <v>✗</v>
      </c>
      <c r="Q546" s="23" t="str">
        <f>IFERROR(__xludf.DUMMYFUNCTION("if(REGEXMATCH(join("", "",$F546:$G546),Q$1)=TRUE,""✓"",""✗"")"),"✗")</f>
        <v>✗</v>
      </c>
      <c r="R546" s="23" t="str">
        <f>IFERROR(__xludf.DUMMYFUNCTION("if(REGEXMATCH(join("", "",$F546:$G546),R$1)=TRUE,""✓"",""✗"")"),"✗")</f>
        <v>✗</v>
      </c>
      <c r="S546" s="23" t="str">
        <f>IFERROR(__xludf.DUMMYFUNCTION("if(REGEXMATCH(join("", "",$F546:$G546),S$1)=TRUE,""✓"",""✗"")"),"✗")</f>
        <v>✗</v>
      </c>
      <c r="T546" s="23" t="str">
        <f>IFERROR(__xludf.DUMMYFUNCTION("if(REGEXMATCH(join("", "",$F546:$G546),T$1)=TRUE,""✓"",""✗"")"),"✗")</f>
        <v>✗</v>
      </c>
      <c r="U546" s="33"/>
      <c r="V546" s="33"/>
      <c r="W546" s="33"/>
      <c r="X546" s="33"/>
      <c r="Y546" s="33"/>
      <c r="Z546" s="33"/>
      <c r="AA546" s="33"/>
      <c r="AB546" s="33"/>
      <c r="AC546" s="33"/>
    </row>
    <row r="547" hidden="1">
      <c r="A547" s="17" t="s">
        <v>302</v>
      </c>
      <c r="B547" s="33"/>
      <c r="C547" s="33"/>
      <c r="D547" s="33"/>
      <c r="E547" s="33"/>
      <c r="F547" s="33"/>
      <c r="G547" s="33"/>
      <c r="H547" s="23" t="str">
        <f>IFERROR(__xludf.DUMMYFUNCTION("if(REGEXMATCH(join("", "",$F547:$G547),H$1)=TRUE,""✓"",""✗"")"),"✗")</f>
        <v>✗</v>
      </c>
      <c r="I547" s="23" t="str">
        <f>IFERROR(__xludf.DUMMYFUNCTION("if(REGEXMATCH(join("", "",$F547:$G547),I$1)=TRUE,""✓"",""✗"")"),"✗")</f>
        <v>✗</v>
      </c>
      <c r="J547" s="23" t="str">
        <f>IFERROR(__xludf.DUMMYFUNCTION("if(REGEXMATCH(join("", "",$F547:$G547),J$1)=TRUE,""✓"",""✗"")"),"✗")</f>
        <v>✗</v>
      </c>
      <c r="K547" s="23" t="str">
        <f>IFERROR(__xludf.DUMMYFUNCTION("if(REGEXMATCH(join("", "",$F547:$G547),K$1)=TRUE,""✓"",""✗"")"),"✗")</f>
        <v>✗</v>
      </c>
      <c r="L547" s="23" t="str">
        <f>IFERROR(__xludf.DUMMYFUNCTION("if(REGEXMATCH(join("", "",$F547:$G547),L$1)=TRUE,""✓"",""✗"")"),"✗")</f>
        <v>✗</v>
      </c>
      <c r="M547" s="23" t="str">
        <f>IFERROR(__xludf.DUMMYFUNCTION("if(REGEXMATCH(join("", "",$F547:$G547),M$1)=TRUE,""✓"",""✗"")"),"✗")</f>
        <v>✗</v>
      </c>
      <c r="N547" s="23" t="str">
        <f>IFERROR(__xludf.DUMMYFUNCTION("if(REGEXMATCH(join("", "",$F547:$G547),N$1)=TRUE,""✓"",""✗"")"),"✗")</f>
        <v>✗</v>
      </c>
      <c r="O547" s="23" t="str">
        <f>IFERROR(__xludf.DUMMYFUNCTION("if(REGEXMATCH(join("", "",$F547:$G547),O$1)=TRUE,""✓"",""✗"")"),"✗")</f>
        <v>✗</v>
      </c>
      <c r="P547" s="23" t="str">
        <f>IFERROR(__xludf.DUMMYFUNCTION("if(REGEXMATCH(join("", "",$F547:$G547),P$1)=TRUE,""✓"",""✗"")"),"✗")</f>
        <v>✗</v>
      </c>
      <c r="Q547" s="23" t="str">
        <f>IFERROR(__xludf.DUMMYFUNCTION("if(REGEXMATCH(join("", "",$F547:$G547),Q$1)=TRUE,""✓"",""✗"")"),"✗")</f>
        <v>✗</v>
      </c>
      <c r="R547" s="23" t="str">
        <f>IFERROR(__xludf.DUMMYFUNCTION("if(REGEXMATCH(join("", "",$F547:$G547),R$1)=TRUE,""✓"",""✗"")"),"✗")</f>
        <v>✗</v>
      </c>
      <c r="S547" s="23" t="str">
        <f>IFERROR(__xludf.DUMMYFUNCTION("if(REGEXMATCH(join("", "",$F547:$G547),S$1)=TRUE,""✓"",""✗"")"),"✗")</f>
        <v>✗</v>
      </c>
      <c r="T547" s="23" t="str">
        <f>IFERROR(__xludf.DUMMYFUNCTION("if(REGEXMATCH(join("", "",$F547:$G547),T$1)=TRUE,""✓"",""✗"")"),"✗")</f>
        <v>✗</v>
      </c>
      <c r="U547" s="33"/>
      <c r="V547" s="33"/>
      <c r="W547" s="33"/>
      <c r="X547" s="33"/>
      <c r="Y547" s="33"/>
      <c r="Z547" s="33"/>
      <c r="AA547" s="33"/>
      <c r="AB547" s="33"/>
      <c r="AC547" s="33"/>
    </row>
    <row r="548" hidden="1">
      <c r="A548" s="17" t="s">
        <v>302</v>
      </c>
      <c r="B548" s="33"/>
      <c r="C548" s="33"/>
      <c r="D548" s="33"/>
      <c r="E548" s="33"/>
      <c r="F548" s="33"/>
      <c r="G548" s="33"/>
      <c r="H548" s="23" t="str">
        <f>IFERROR(__xludf.DUMMYFUNCTION("if(REGEXMATCH(join("", "",$F548:$G548),H$1)=TRUE,""✓"",""✗"")"),"✗")</f>
        <v>✗</v>
      </c>
      <c r="I548" s="23" t="str">
        <f>IFERROR(__xludf.DUMMYFUNCTION("if(REGEXMATCH(join("", "",$F548:$G548),I$1)=TRUE,""✓"",""✗"")"),"✗")</f>
        <v>✗</v>
      </c>
      <c r="J548" s="23" t="str">
        <f>IFERROR(__xludf.DUMMYFUNCTION("if(REGEXMATCH(join("", "",$F548:$G548),J$1)=TRUE,""✓"",""✗"")"),"✗")</f>
        <v>✗</v>
      </c>
      <c r="K548" s="23" t="str">
        <f>IFERROR(__xludf.DUMMYFUNCTION("if(REGEXMATCH(join("", "",$F548:$G548),K$1)=TRUE,""✓"",""✗"")"),"✗")</f>
        <v>✗</v>
      </c>
      <c r="L548" s="23" t="str">
        <f>IFERROR(__xludf.DUMMYFUNCTION("if(REGEXMATCH(join("", "",$F548:$G548),L$1)=TRUE,""✓"",""✗"")"),"✗")</f>
        <v>✗</v>
      </c>
      <c r="M548" s="23" t="str">
        <f>IFERROR(__xludf.DUMMYFUNCTION("if(REGEXMATCH(join("", "",$F548:$G548),M$1)=TRUE,""✓"",""✗"")"),"✗")</f>
        <v>✗</v>
      </c>
      <c r="N548" s="23" t="str">
        <f>IFERROR(__xludf.DUMMYFUNCTION("if(REGEXMATCH(join("", "",$F548:$G548),N$1)=TRUE,""✓"",""✗"")"),"✗")</f>
        <v>✗</v>
      </c>
      <c r="O548" s="23" t="str">
        <f>IFERROR(__xludf.DUMMYFUNCTION("if(REGEXMATCH(join("", "",$F548:$G548),O$1)=TRUE,""✓"",""✗"")"),"✗")</f>
        <v>✗</v>
      </c>
      <c r="P548" s="23" t="str">
        <f>IFERROR(__xludf.DUMMYFUNCTION("if(REGEXMATCH(join("", "",$F548:$G548),P$1)=TRUE,""✓"",""✗"")"),"✗")</f>
        <v>✗</v>
      </c>
      <c r="Q548" s="23" t="str">
        <f>IFERROR(__xludf.DUMMYFUNCTION("if(REGEXMATCH(join("", "",$F548:$G548),Q$1)=TRUE,""✓"",""✗"")"),"✗")</f>
        <v>✗</v>
      </c>
      <c r="R548" s="23" t="str">
        <f>IFERROR(__xludf.DUMMYFUNCTION("if(REGEXMATCH(join("", "",$F548:$G548),R$1)=TRUE,""✓"",""✗"")"),"✗")</f>
        <v>✗</v>
      </c>
      <c r="S548" s="23" t="str">
        <f>IFERROR(__xludf.DUMMYFUNCTION("if(REGEXMATCH(join("", "",$F548:$G548),S$1)=TRUE,""✓"",""✗"")"),"✗")</f>
        <v>✗</v>
      </c>
      <c r="T548" s="23" t="str">
        <f>IFERROR(__xludf.DUMMYFUNCTION("if(REGEXMATCH(join("", "",$F548:$G548),T$1)=TRUE,""✓"",""✗"")"),"✗")</f>
        <v>✗</v>
      </c>
      <c r="U548" s="33"/>
      <c r="V548" s="33"/>
      <c r="W548" s="33"/>
      <c r="X548" s="33"/>
      <c r="Y548" s="33"/>
      <c r="Z548" s="33"/>
      <c r="AA548" s="33"/>
      <c r="AB548" s="33"/>
      <c r="AC548" s="33"/>
    </row>
    <row r="549" hidden="1">
      <c r="A549" s="17" t="s">
        <v>302</v>
      </c>
      <c r="B549" s="33"/>
      <c r="C549" s="33"/>
      <c r="D549" s="33"/>
      <c r="E549" s="33"/>
      <c r="F549" s="33"/>
      <c r="G549" s="33"/>
      <c r="H549" s="23" t="str">
        <f>IFERROR(__xludf.DUMMYFUNCTION("if(REGEXMATCH(join("", "",$F549:$G549),H$1)=TRUE,""✓"",""✗"")"),"✗")</f>
        <v>✗</v>
      </c>
      <c r="I549" s="23" t="str">
        <f>IFERROR(__xludf.DUMMYFUNCTION("if(REGEXMATCH(join("", "",$F549:$G549),I$1)=TRUE,""✓"",""✗"")"),"✗")</f>
        <v>✗</v>
      </c>
      <c r="J549" s="23" t="str">
        <f>IFERROR(__xludf.DUMMYFUNCTION("if(REGEXMATCH(join("", "",$F549:$G549),J$1)=TRUE,""✓"",""✗"")"),"✗")</f>
        <v>✗</v>
      </c>
      <c r="K549" s="23" t="str">
        <f>IFERROR(__xludf.DUMMYFUNCTION("if(REGEXMATCH(join("", "",$F549:$G549),K$1)=TRUE,""✓"",""✗"")"),"✗")</f>
        <v>✗</v>
      </c>
      <c r="L549" s="23" t="str">
        <f>IFERROR(__xludf.DUMMYFUNCTION("if(REGEXMATCH(join("", "",$F549:$G549),L$1)=TRUE,""✓"",""✗"")"),"✗")</f>
        <v>✗</v>
      </c>
      <c r="M549" s="23" t="str">
        <f>IFERROR(__xludf.DUMMYFUNCTION("if(REGEXMATCH(join("", "",$F549:$G549),M$1)=TRUE,""✓"",""✗"")"),"✗")</f>
        <v>✗</v>
      </c>
      <c r="N549" s="23" t="str">
        <f>IFERROR(__xludf.DUMMYFUNCTION("if(REGEXMATCH(join("", "",$F549:$G549),N$1)=TRUE,""✓"",""✗"")"),"✗")</f>
        <v>✗</v>
      </c>
      <c r="O549" s="23" t="str">
        <f>IFERROR(__xludf.DUMMYFUNCTION("if(REGEXMATCH(join("", "",$F549:$G549),O$1)=TRUE,""✓"",""✗"")"),"✗")</f>
        <v>✗</v>
      </c>
      <c r="P549" s="23" t="str">
        <f>IFERROR(__xludf.DUMMYFUNCTION("if(REGEXMATCH(join("", "",$F549:$G549),P$1)=TRUE,""✓"",""✗"")"),"✗")</f>
        <v>✗</v>
      </c>
      <c r="Q549" s="23" t="str">
        <f>IFERROR(__xludf.DUMMYFUNCTION("if(REGEXMATCH(join("", "",$F549:$G549),Q$1)=TRUE,""✓"",""✗"")"),"✗")</f>
        <v>✗</v>
      </c>
      <c r="R549" s="23" t="str">
        <f>IFERROR(__xludf.DUMMYFUNCTION("if(REGEXMATCH(join("", "",$F549:$G549),R$1)=TRUE,""✓"",""✗"")"),"✗")</f>
        <v>✗</v>
      </c>
      <c r="S549" s="23" t="str">
        <f>IFERROR(__xludf.DUMMYFUNCTION("if(REGEXMATCH(join("", "",$F549:$G549),S$1)=TRUE,""✓"",""✗"")"),"✗")</f>
        <v>✗</v>
      </c>
      <c r="T549" s="23" t="str">
        <f>IFERROR(__xludf.DUMMYFUNCTION("if(REGEXMATCH(join("", "",$F549:$G549),T$1)=TRUE,""✓"",""✗"")"),"✗")</f>
        <v>✗</v>
      </c>
      <c r="U549" s="33"/>
      <c r="V549" s="33"/>
      <c r="W549" s="33"/>
      <c r="X549" s="33"/>
      <c r="Y549" s="33"/>
      <c r="Z549" s="33"/>
      <c r="AA549" s="33"/>
      <c r="AB549" s="33"/>
      <c r="AC549" s="33"/>
    </row>
    <row r="550" hidden="1">
      <c r="A550" s="17" t="s">
        <v>302</v>
      </c>
      <c r="B550" s="33"/>
      <c r="C550" s="33"/>
      <c r="D550" s="33"/>
      <c r="E550" s="33"/>
      <c r="F550" s="33"/>
      <c r="G550" s="33"/>
      <c r="H550" s="51">
        <f t="shared" ref="H550:T550" si="19">countif(H442:H549,"✓")</f>
        <v>0</v>
      </c>
      <c r="I550" s="51">
        <f t="shared" si="19"/>
        <v>0</v>
      </c>
      <c r="J550" s="51">
        <f t="shared" si="19"/>
        <v>0</v>
      </c>
      <c r="K550" s="51">
        <f t="shared" si="19"/>
        <v>0</v>
      </c>
      <c r="L550" s="51">
        <f t="shared" si="19"/>
        <v>0</v>
      </c>
      <c r="M550" s="51">
        <f t="shared" si="19"/>
        <v>0</v>
      </c>
      <c r="N550" s="51">
        <f t="shared" si="19"/>
        <v>0</v>
      </c>
      <c r="O550" s="51">
        <f t="shared" si="19"/>
        <v>0</v>
      </c>
      <c r="P550" s="51">
        <f t="shared" si="19"/>
        <v>0</v>
      </c>
      <c r="Q550" s="51">
        <f t="shared" si="19"/>
        <v>0</v>
      </c>
      <c r="R550" s="51">
        <f t="shared" si="19"/>
        <v>0</v>
      </c>
      <c r="S550" s="51">
        <f t="shared" si="19"/>
        <v>0</v>
      </c>
      <c r="T550" s="51">
        <f t="shared" si="19"/>
        <v>0</v>
      </c>
      <c r="U550" s="33"/>
      <c r="V550" s="33"/>
      <c r="W550" s="33"/>
      <c r="X550" s="33"/>
      <c r="Y550" s="33"/>
      <c r="Z550" s="33"/>
      <c r="AA550" s="33"/>
      <c r="AB550" s="33"/>
      <c r="AC550" s="33"/>
    </row>
    <row r="551" hidden="1">
      <c r="A551" s="17" t="s">
        <v>302</v>
      </c>
      <c r="B551" s="33"/>
      <c r="C551" s="33"/>
      <c r="D551" s="33"/>
      <c r="E551" s="33"/>
      <c r="F551" s="33"/>
      <c r="G551" s="33"/>
      <c r="H551" s="13" t="s">
        <v>2</v>
      </c>
      <c r="I551" s="13" t="s">
        <v>9</v>
      </c>
      <c r="J551" s="13" t="s">
        <v>10</v>
      </c>
      <c r="K551" s="13" t="s">
        <v>11</v>
      </c>
      <c r="L551" s="13" t="s">
        <v>12</v>
      </c>
      <c r="M551" s="13" t="s">
        <v>13</v>
      </c>
      <c r="N551" s="13" t="s">
        <v>14</v>
      </c>
      <c r="O551" s="13" t="s">
        <v>15</v>
      </c>
      <c r="P551" s="13" t="s">
        <v>4</v>
      </c>
      <c r="Q551" s="13" t="s">
        <v>16</v>
      </c>
      <c r="R551" s="13" t="s">
        <v>17</v>
      </c>
      <c r="S551" s="13" t="s">
        <v>19</v>
      </c>
      <c r="T551" s="13" t="s">
        <v>20</v>
      </c>
      <c r="U551" s="33"/>
      <c r="V551" s="33"/>
      <c r="W551" s="33"/>
      <c r="X551" s="33"/>
      <c r="Y551" s="33"/>
      <c r="Z551" s="33"/>
      <c r="AA551" s="33"/>
      <c r="AB551" s="33"/>
      <c r="AC551" s="33"/>
    </row>
    <row r="552" hidden="1">
      <c r="A552" s="17" t="s">
        <v>302</v>
      </c>
      <c r="B552" s="33"/>
      <c r="C552" s="33"/>
      <c r="D552" s="33"/>
      <c r="E552" s="33"/>
      <c r="F552" s="33"/>
      <c r="G552" s="33"/>
      <c r="H552" s="23" t="str">
        <f>IFERROR(__xludf.DUMMYFUNCTION("if(REGEXMATCH(join("", "",$F552:$G552),H$1)=TRUE,""✓"",""✗"")"),"✗")</f>
        <v>✗</v>
      </c>
      <c r="I552" s="23" t="str">
        <f>IFERROR(__xludf.DUMMYFUNCTION("if(REGEXMATCH(join("", "",$F552:$G552),I$1)=TRUE,""✓"",""✗"")"),"✗")</f>
        <v>✗</v>
      </c>
      <c r="J552" s="23" t="str">
        <f>IFERROR(__xludf.DUMMYFUNCTION("if(REGEXMATCH(join("", "",$F552:$G552),J$1)=TRUE,""✓"",""✗"")"),"✗")</f>
        <v>✗</v>
      </c>
      <c r="K552" s="23" t="str">
        <f>IFERROR(__xludf.DUMMYFUNCTION("if(REGEXMATCH(join("", "",$F552:$G552),K$1)=TRUE,""✓"",""✗"")"),"✗")</f>
        <v>✗</v>
      </c>
      <c r="L552" s="23" t="str">
        <f>IFERROR(__xludf.DUMMYFUNCTION("if(REGEXMATCH(join("", "",$F552:$G552),L$1)=TRUE,""✓"",""✗"")"),"✗")</f>
        <v>✗</v>
      </c>
      <c r="M552" s="23" t="str">
        <f>IFERROR(__xludf.DUMMYFUNCTION("if(REGEXMATCH(join("", "",$F552:$G552),M$1)=TRUE,""✓"",""✗"")"),"✗")</f>
        <v>✗</v>
      </c>
      <c r="N552" s="23" t="str">
        <f>IFERROR(__xludf.DUMMYFUNCTION("if(REGEXMATCH(join("", "",$F552:$G552),N$1)=TRUE,""✓"",""✗"")"),"✗")</f>
        <v>✗</v>
      </c>
      <c r="O552" s="23" t="str">
        <f>IFERROR(__xludf.DUMMYFUNCTION("if(REGEXMATCH(join("", "",$F552:$G552),O$1)=TRUE,""✓"",""✗"")"),"✗")</f>
        <v>✗</v>
      </c>
      <c r="P552" s="23" t="str">
        <f>IFERROR(__xludf.DUMMYFUNCTION("if(REGEXMATCH(join("", "",$F552:$G552),P$1)=TRUE,""✓"",""✗"")"),"✗")</f>
        <v>✗</v>
      </c>
      <c r="Q552" s="23" t="str">
        <f>IFERROR(__xludf.DUMMYFUNCTION("if(REGEXMATCH(join("", "",$F552:$G552),Q$1)=TRUE,""✓"",""✗"")"),"✗")</f>
        <v>✗</v>
      </c>
      <c r="R552" s="23" t="str">
        <f>IFERROR(__xludf.DUMMYFUNCTION("if(REGEXMATCH(join("", "",$F552:$G552),R$1)=TRUE,""✓"",""✗"")"),"✗")</f>
        <v>✗</v>
      </c>
      <c r="S552" s="23" t="str">
        <f>IFERROR(__xludf.DUMMYFUNCTION("if(REGEXMATCH(join("", "",$F552:$G552),S$1)=TRUE,""✓"",""✗"")"),"✗")</f>
        <v>✗</v>
      </c>
      <c r="T552" s="23" t="str">
        <f>IFERROR(__xludf.DUMMYFUNCTION("if(REGEXMATCH(join("", "",$F552:$G552),T$1)=TRUE,""✓"",""✗"")"),"✗")</f>
        <v>✗</v>
      </c>
      <c r="U552" s="33"/>
      <c r="V552" s="33"/>
      <c r="W552" s="33"/>
      <c r="X552" s="33"/>
      <c r="Y552" s="33"/>
      <c r="Z552" s="33"/>
      <c r="AA552" s="33"/>
      <c r="AB552" s="33"/>
      <c r="AC552" s="33"/>
    </row>
    <row r="553" hidden="1">
      <c r="A553" s="17" t="s">
        <v>302</v>
      </c>
      <c r="B553" s="33"/>
      <c r="C553" s="33"/>
      <c r="D553" s="33"/>
      <c r="E553" s="33"/>
      <c r="F553" s="33"/>
      <c r="G553" s="33"/>
      <c r="H553" s="23" t="str">
        <f>IFERROR(__xludf.DUMMYFUNCTION("if(REGEXMATCH(join("", "",$F553:$G553),H$1)=TRUE,""✓"",""✗"")"),"✗")</f>
        <v>✗</v>
      </c>
      <c r="I553" s="23" t="str">
        <f>IFERROR(__xludf.DUMMYFUNCTION("if(REGEXMATCH(join("", "",$F553:$G553),I$1)=TRUE,""✓"",""✗"")"),"✗")</f>
        <v>✗</v>
      </c>
      <c r="J553" s="23" t="str">
        <f>IFERROR(__xludf.DUMMYFUNCTION("if(REGEXMATCH(join("", "",$F553:$G553),J$1)=TRUE,""✓"",""✗"")"),"✗")</f>
        <v>✗</v>
      </c>
      <c r="K553" s="23" t="str">
        <f>IFERROR(__xludf.DUMMYFUNCTION("if(REGEXMATCH(join("", "",$F553:$G553),K$1)=TRUE,""✓"",""✗"")"),"✗")</f>
        <v>✗</v>
      </c>
      <c r="L553" s="23" t="str">
        <f>IFERROR(__xludf.DUMMYFUNCTION("if(REGEXMATCH(join("", "",$F553:$G553),L$1)=TRUE,""✓"",""✗"")"),"✗")</f>
        <v>✗</v>
      </c>
      <c r="M553" s="23" t="str">
        <f>IFERROR(__xludf.DUMMYFUNCTION("if(REGEXMATCH(join("", "",$F553:$G553),M$1)=TRUE,""✓"",""✗"")"),"✗")</f>
        <v>✗</v>
      </c>
      <c r="N553" s="23" t="str">
        <f>IFERROR(__xludf.DUMMYFUNCTION("if(REGEXMATCH(join("", "",$F553:$G553),N$1)=TRUE,""✓"",""✗"")"),"✗")</f>
        <v>✗</v>
      </c>
      <c r="O553" s="23" t="str">
        <f>IFERROR(__xludf.DUMMYFUNCTION("if(REGEXMATCH(join("", "",$F553:$G553),O$1)=TRUE,""✓"",""✗"")"),"✗")</f>
        <v>✗</v>
      </c>
      <c r="P553" s="23" t="str">
        <f>IFERROR(__xludf.DUMMYFUNCTION("if(REGEXMATCH(join("", "",$F553:$G553),P$1)=TRUE,""✓"",""✗"")"),"✗")</f>
        <v>✗</v>
      </c>
      <c r="Q553" s="23" t="str">
        <f>IFERROR(__xludf.DUMMYFUNCTION("if(REGEXMATCH(join("", "",$F553:$G553),Q$1)=TRUE,""✓"",""✗"")"),"✗")</f>
        <v>✗</v>
      </c>
      <c r="R553" s="23" t="str">
        <f>IFERROR(__xludf.DUMMYFUNCTION("if(REGEXMATCH(join("", "",$F553:$G553),R$1)=TRUE,""✓"",""✗"")"),"✗")</f>
        <v>✗</v>
      </c>
      <c r="S553" s="23" t="str">
        <f>IFERROR(__xludf.DUMMYFUNCTION("if(REGEXMATCH(join("", "",$F553:$G553),S$1)=TRUE,""✓"",""✗"")"),"✗")</f>
        <v>✗</v>
      </c>
      <c r="T553" s="23" t="str">
        <f>IFERROR(__xludf.DUMMYFUNCTION("if(REGEXMATCH(join("", "",$F553:$G553),T$1)=TRUE,""✓"",""✗"")"),"✗")</f>
        <v>✗</v>
      </c>
      <c r="U553" s="33"/>
      <c r="V553" s="33"/>
      <c r="W553" s="33"/>
      <c r="X553" s="33"/>
      <c r="Y553" s="33"/>
      <c r="Z553" s="33"/>
      <c r="AA553" s="33"/>
      <c r="AB553" s="33"/>
      <c r="AC553" s="33"/>
    </row>
    <row r="554" hidden="1">
      <c r="A554" s="17" t="s">
        <v>302</v>
      </c>
      <c r="B554" s="33"/>
      <c r="C554" s="33"/>
      <c r="D554" s="33"/>
      <c r="E554" s="33"/>
      <c r="F554" s="33"/>
      <c r="G554" s="33"/>
      <c r="H554" s="23" t="str">
        <f>IFERROR(__xludf.DUMMYFUNCTION("if(REGEXMATCH(join("", "",$F554:$G554),H$1)=TRUE,""✓"",""✗"")"),"✗")</f>
        <v>✗</v>
      </c>
      <c r="I554" s="23" t="str">
        <f>IFERROR(__xludf.DUMMYFUNCTION("if(REGEXMATCH(join("", "",$F554:$G554),I$1)=TRUE,""✓"",""✗"")"),"✗")</f>
        <v>✗</v>
      </c>
      <c r="J554" s="23" t="str">
        <f>IFERROR(__xludf.DUMMYFUNCTION("if(REGEXMATCH(join("", "",$F554:$G554),J$1)=TRUE,""✓"",""✗"")"),"✗")</f>
        <v>✗</v>
      </c>
      <c r="K554" s="23" t="str">
        <f>IFERROR(__xludf.DUMMYFUNCTION("if(REGEXMATCH(join("", "",$F554:$G554),K$1)=TRUE,""✓"",""✗"")"),"✗")</f>
        <v>✗</v>
      </c>
      <c r="L554" s="23" t="str">
        <f>IFERROR(__xludf.DUMMYFUNCTION("if(REGEXMATCH(join("", "",$F554:$G554),L$1)=TRUE,""✓"",""✗"")"),"✗")</f>
        <v>✗</v>
      </c>
      <c r="M554" s="23" t="str">
        <f>IFERROR(__xludf.DUMMYFUNCTION("if(REGEXMATCH(join("", "",$F554:$G554),M$1)=TRUE,""✓"",""✗"")"),"✗")</f>
        <v>✗</v>
      </c>
      <c r="N554" s="23" t="str">
        <f>IFERROR(__xludf.DUMMYFUNCTION("if(REGEXMATCH(join("", "",$F554:$G554),N$1)=TRUE,""✓"",""✗"")"),"✗")</f>
        <v>✗</v>
      </c>
      <c r="O554" s="23" t="str">
        <f>IFERROR(__xludf.DUMMYFUNCTION("if(REGEXMATCH(join("", "",$F554:$G554),O$1)=TRUE,""✓"",""✗"")"),"✗")</f>
        <v>✗</v>
      </c>
      <c r="P554" s="23" t="str">
        <f>IFERROR(__xludf.DUMMYFUNCTION("if(REGEXMATCH(join("", "",$F554:$G554),P$1)=TRUE,""✓"",""✗"")"),"✗")</f>
        <v>✗</v>
      </c>
      <c r="Q554" s="23" t="str">
        <f>IFERROR(__xludf.DUMMYFUNCTION("if(REGEXMATCH(join("", "",$F554:$G554),Q$1)=TRUE,""✓"",""✗"")"),"✗")</f>
        <v>✗</v>
      </c>
      <c r="R554" s="23" t="str">
        <f>IFERROR(__xludf.DUMMYFUNCTION("if(REGEXMATCH(join("", "",$F554:$G554),R$1)=TRUE,""✓"",""✗"")"),"✗")</f>
        <v>✗</v>
      </c>
      <c r="S554" s="23" t="str">
        <f>IFERROR(__xludf.DUMMYFUNCTION("if(REGEXMATCH(join("", "",$F554:$G554),S$1)=TRUE,""✓"",""✗"")"),"✗")</f>
        <v>✗</v>
      </c>
      <c r="T554" s="23" t="str">
        <f>IFERROR(__xludf.DUMMYFUNCTION("if(REGEXMATCH(join("", "",$F554:$G554),T$1)=TRUE,""✓"",""✗"")"),"✗")</f>
        <v>✗</v>
      </c>
      <c r="U554" s="33"/>
      <c r="V554" s="33"/>
      <c r="W554" s="33"/>
      <c r="X554" s="33"/>
      <c r="Y554" s="33"/>
      <c r="Z554" s="33"/>
      <c r="AA554" s="33"/>
      <c r="AB554" s="33"/>
      <c r="AC554" s="33"/>
    </row>
    <row r="555" hidden="1">
      <c r="A555" s="17" t="s">
        <v>302</v>
      </c>
      <c r="B555" s="33"/>
      <c r="C555" s="33"/>
      <c r="D555" s="33"/>
      <c r="E555" s="33"/>
      <c r="F555" s="33"/>
      <c r="G555" s="33"/>
      <c r="H555" s="23" t="str">
        <f>IFERROR(__xludf.DUMMYFUNCTION("if(REGEXMATCH(join("", "",$F555:$G555),H$1)=TRUE,""✓"",""✗"")"),"✗")</f>
        <v>✗</v>
      </c>
      <c r="I555" s="23" t="str">
        <f>IFERROR(__xludf.DUMMYFUNCTION("if(REGEXMATCH(join("", "",$F555:$G555),I$1)=TRUE,""✓"",""✗"")"),"✗")</f>
        <v>✗</v>
      </c>
      <c r="J555" s="23" t="str">
        <f>IFERROR(__xludf.DUMMYFUNCTION("if(REGEXMATCH(join("", "",$F555:$G555),J$1)=TRUE,""✓"",""✗"")"),"✗")</f>
        <v>✗</v>
      </c>
      <c r="K555" s="23" t="str">
        <f>IFERROR(__xludf.DUMMYFUNCTION("if(REGEXMATCH(join("", "",$F555:$G555),K$1)=TRUE,""✓"",""✗"")"),"✗")</f>
        <v>✗</v>
      </c>
      <c r="L555" s="23" t="str">
        <f>IFERROR(__xludf.DUMMYFUNCTION("if(REGEXMATCH(join("", "",$F555:$G555),L$1)=TRUE,""✓"",""✗"")"),"✗")</f>
        <v>✗</v>
      </c>
      <c r="M555" s="23" t="str">
        <f>IFERROR(__xludf.DUMMYFUNCTION("if(REGEXMATCH(join("", "",$F555:$G555),M$1)=TRUE,""✓"",""✗"")"),"✗")</f>
        <v>✗</v>
      </c>
      <c r="N555" s="23" t="str">
        <f>IFERROR(__xludf.DUMMYFUNCTION("if(REGEXMATCH(join("", "",$F555:$G555),N$1)=TRUE,""✓"",""✗"")"),"✗")</f>
        <v>✗</v>
      </c>
      <c r="O555" s="23" t="str">
        <f>IFERROR(__xludf.DUMMYFUNCTION("if(REGEXMATCH(join("", "",$F555:$G555),O$1)=TRUE,""✓"",""✗"")"),"✗")</f>
        <v>✗</v>
      </c>
      <c r="P555" s="23" t="str">
        <f>IFERROR(__xludf.DUMMYFUNCTION("if(REGEXMATCH(join("", "",$F555:$G555),P$1)=TRUE,""✓"",""✗"")"),"✗")</f>
        <v>✗</v>
      </c>
      <c r="Q555" s="23" t="str">
        <f>IFERROR(__xludf.DUMMYFUNCTION("if(REGEXMATCH(join("", "",$F555:$G555),Q$1)=TRUE,""✓"",""✗"")"),"✗")</f>
        <v>✗</v>
      </c>
      <c r="R555" s="23" t="str">
        <f>IFERROR(__xludf.DUMMYFUNCTION("if(REGEXMATCH(join("", "",$F555:$G555),R$1)=TRUE,""✓"",""✗"")"),"✗")</f>
        <v>✗</v>
      </c>
      <c r="S555" s="23" t="str">
        <f>IFERROR(__xludf.DUMMYFUNCTION("if(REGEXMATCH(join("", "",$F555:$G555),S$1)=TRUE,""✓"",""✗"")"),"✗")</f>
        <v>✗</v>
      </c>
      <c r="T555" s="23" t="str">
        <f>IFERROR(__xludf.DUMMYFUNCTION("if(REGEXMATCH(join("", "",$F555:$G555),T$1)=TRUE,""✓"",""✗"")"),"✗")</f>
        <v>✗</v>
      </c>
      <c r="U555" s="33"/>
      <c r="V555" s="33"/>
      <c r="W555" s="33"/>
      <c r="X555" s="33"/>
      <c r="Y555" s="33"/>
      <c r="Z555" s="33"/>
      <c r="AA555" s="33"/>
      <c r="AB555" s="33"/>
      <c r="AC555" s="33"/>
    </row>
    <row r="556" hidden="1">
      <c r="A556" s="17" t="s">
        <v>302</v>
      </c>
      <c r="B556" s="33"/>
      <c r="C556" s="33"/>
      <c r="D556" s="33"/>
      <c r="E556" s="33"/>
      <c r="F556" s="33"/>
      <c r="G556" s="33"/>
      <c r="H556" s="23" t="str">
        <f>IFERROR(__xludf.DUMMYFUNCTION("if(REGEXMATCH(join("", "",$F556:$G556),H$1)=TRUE,""✓"",""✗"")"),"✗")</f>
        <v>✗</v>
      </c>
      <c r="I556" s="23" t="str">
        <f>IFERROR(__xludf.DUMMYFUNCTION("if(REGEXMATCH(join("", "",$F556:$G556),I$1)=TRUE,""✓"",""✗"")"),"✗")</f>
        <v>✗</v>
      </c>
      <c r="J556" s="23" t="str">
        <f>IFERROR(__xludf.DUMMYFUNCTION("if(REGEXMATCH(join("", "",$F556:$G556),J$1)=TRUE,""✓"",""✗"")"),"✗")</f>
        <v>✗</v>
      </c>
      <c r="K556" s="23" t="str">
        <f>IFERROR(__xludf.DUMMYFUNCTION("if(REGEXMATCH(join("", "",$F556:$G556),K$1)=TRUE,""✓"",""✗"")"),"✗")</f>
        <v>✗</v>
      </c>
      <c r="L556" s="23" t="str">
        <f>IFERROR(__xludf.DUMMYFUNCTION("if(REGEXMATCH(join("", "",$F556:$G556),L$1)=TRUE,""✓"",""✗"")"),"✗")</f>
        <v>✗</v>
      </c>
      <c r="M556" s="23" t="str">
        <f>IFERROR(__xludf.DUMMYFUNCTION("if(REGEXMATCH(join("", "",$F556:$G556),M$1)=TRUE,""✓"",""✗"")"),"✗")</f>
        <v>✗</v>
      </c>
      <c r="N556" s="23" t="str">
        <f>IFERROR(__xludf.DUMMYFUNCTION("if(REGEXMATCH(join("", "",$F556:$G556),N$1)=TRUE,""✓"",""✗"")"),"✗")</f>
        <v>✗</v>
      </c>
      <c r="O556" s="23" t="str">
        <f>IFERROR(__xludf.DUMMYFUNCTION("if(REGEXMATCH(join("", "",$F556:$G556),O$1)=TRUE,""✓"",""✗"")"),"✗")</f>
        <v>✗</v>
      </c>
      <c r="P556" s="23" t="str">
        <f>IFERROR(__xludf.DUMMYFUNCTION("if(REGEXMATCH(join("", "",$F556:$G556),P$1)=TRUE,""✓"",""✗"")"),"✗")</f>
        <v>✗</v>
      </c>
      <c r="Q556" s="23" t="str">
        <f>IFERROR(__xludf.DUMMYFUNCTION("if(REGEXMATCH(join("", "",$F556:$G556),Q$1)=TRUE,""✓"",""✗"")"),"✗")</f>
        <v>✗</v>
      </c>
      <c r="R556" s="23" t="str">
        <f>IFERROR(__xludf.DUMMYFUNCTION("if(REGEXMATCH(join("", "",$F556:$G556),R$1)=TRUE,""✓"",""✗"")"),"✗")</f>
        <v>✗</v>
      </c>
      <c r="S556" s="23" t="str">
        <f>IFERROR(__xludf.DUMMYFUNCTION("if(REGEXMATCH(join("", "",$F556:$G556),S$1)=TRUE,""✓"",""✗"")"),"✗")</f>
        <v>✗</v>
      </c>
      <c r="T556" s="23" t="str">
        <f>IFERROR(__xludf.DUMMYFUNCTION("if(REGEXMATCH(join("", "",$F556:$G556),T$1)=TRUE,""✓"",""✗"")"),"✗")</f>
        <v>✗</v>
      </c>
      <c r="U556" s="33"/>
      <c r="V556" s="33"/>
      <c r="W556" s="33"/>
      <c r="X556" s="33"/>
      <c r="Y556" s="33"/>
      <c r="Z556" s="33"/>
      <c r="AA556" s="33"/>
      <c r="AB556" s="33"/>
      <c r="AC556" s="33"/>
    </row>
    <row r="557" hidden="1">
      <c r="A557" s="17" t="s">
        <v>302</v>
      </c>
      <c r="B557" s="33"/>
      <c r="C557" s="33"/>
      <c r="D557" s="33"/>
      <c r="E557" s="33"/>
      <c r="F557" s="33"/>
      <c r="G557" s="33"/>
      <c r="H557" s="23" t="str">
        <f>IFERROR(__xludf.DUMMYFUNCTION("if(REGEXMATCH(join("", "",$F557:$G557),H$1)=TRUE,""✓"",""✗"")"),"✗")</f>
        <v>✗</v>
      </c>
      <c r="I557" s="23" t="str">
        <f>IFERROR(__xludf.DUMMYFUNCTION("if(REGEXMATCH(join("", "",$F557:$G557),I$1)=TRUE,""✓"",""✗"")"),"✗")</f>
        <v>✗</v>
      </c>
      <c r="J557" s="23" t="str">
        <f>IFERROR(__xludf.DUMMYFUNCTION("if(REGEXMATCH(join("", "",$F557:$G557),J$1)=TRUE,""✓"",""✗"")"),"✗")</f>
        <v>✗</v>
      </c>
      <c r="K557" s="23" t="str">
        <f>IFERROR(__xludf.DUMMYFUNCTION("if(REGEXMATCH(join("", "",$F557:$G557),K$1)=TRUE,""✓"",""✗"")"),"✗")</f>
        <v>✗</v>
      </c>
      <c r="L557" s="23" t="str">
        <f>IFERROR(__xludf.DUMMYFUNCTION("if(REGEXMATCH(join("", "",$F557:$G557),L$1)=TRUE,""✓"",""✗"")"),"✗")</f>
        <v>✗</v>
      </c>
      <c r="M557" s="23" t="str">
        <f>IFERROR(__xludf.DUMMYFUNCTION("if(REGEXMATCH(join("", "",$F557:$G557),M$1)=TRUE,""✓"",""✗"")"),"✗")</f>
        <v>✗</v>
      </c>
      <c r="N557" s="23" t="str">
        <f>IFERROR(__xludf.DUMMYFUNCTION("if(REGEXMATCH(join("", "",$F557:$G557),N$1)=TRUE,""✓"",""✗"")"),"✗")</f>
        <v>✗</v>
      </c>
      <c r="O557" s="23" t="str">
        <f>IFERROR(__xludf.DUMMYFUNCTION("if(REGEXMATCH(join("", "",$F557:$G557),O$1)=TRUE,""✓"",""✗"")"),"✗")</f>
        <v>✗</v>
      </c>
      <c r="P557" s="23" t="str">
        <f>IFERROR(__xludf.DUMMYFUNCTION("if(REGEXMATCH(join("", "",$F557:$G557),P$1)=TRUE,""✓"",""✗"")"),"✗")</f>
        <v>✗</v>
      </c>
      <c r="Q557" s="23" t="str">
        <f>IFERROR(__xludf.DUMMYFUNCTION("if(REGEXMATCH(join("", "",$F557:$G557),Q$1)=TRUE,""✓"",""✗"")"),"✗")</f>
        <v>✗</v>
      </c>
      <c r="R557" s="23" t="str">
        <f>IFERROR(__xludf.DUMMYFUNCTION("if(REGEXMATCH(join("", "",$F557:$G557),R$1)=TRUE,""✓"",""✗"")"),"✗")</f>
        <v>✗</v>
      </c>
      <c r="S557" s="23" t="str">
        <f>IFERROR(__xludf.DUMMYFUNCTION("if(REGEXMATCH(join("", "",$F557:$G557),S$1)=TRUE,""✓"",""✗"")"),"✗")</f>
        <v>✗</v>
      </c>
      <c r="T557" s="23" t="str">
        <f>IFERROR(__xludf.DUMMYFUNCTION("if(REGEXMATCH(join("", "",$F557:$G557),T$1)=TRUE,""✓"",""✗"")"),"✗")</f>
        <v>✗</v>
      </c>
      <c r="U557" s="33"/>
      <c r="V557" s="33"/>
      <c r="W557" s="33"/>
      <c r="X557" s="33"/>
      <c r="Y557" s="33"/>
      <c r="Z557" s="33"/>
      <c r="AA557" s="33"/>
      <c r="AB557" s="33"/>
      <c r="AC557" s="33"/>
    </row>
    <row r="558" hidden="1">
      <c r="A558" s="17" t="s">
        <v>302</v>
      </c>
      <c r="B558" s="33"/>
      <c r="C558" s="33"/>
      <c r="D558" s="33"/>
      <c r="E558" s="33"/>
      <c r="F558" s="33"/>
      <c r="G558" s="33"/>
      <c r="H558" s="23" t="str">
        <f>IFERROR(__xludf.DUMMYFUNCTION("if(REGEXMATCH(join("", "",$F558:$G558),H$1)=TRUE,""✓"",""✗"")"),"✗")</f>
        <v>✗</v>
      </c>
      <c r="I558" s="23" t="str">
        <f>IFERROR(__xludf.DUMMYFUNCTION("if(REGEXMATCH(join("", "",$F558:$G558),I$1)=TRUE,""✓"",""✗"")"),"✗")</f>
        <v>✗</v>
      </c>
      <c r="J558" s="23" t="str">
        <f>IFERROR(__xludf.DUMMYFUNCTION("if(REGEXMATCH(join("", "",$F558:$G558),J$1)=TRUE,""✓"",""✗"")"),"✗")</f>
        <v>✗</v>
      </c>
      <c r="K558" s="23" t="str">
        <f>IFERROR(__xludf.DUMMYFUNCTION("if(REGEXMATCH(join("", "",$F558:$G558),K$1)=TRUE,""✓"",""✗"")"),"✗")</f>
        <v>✗</v>
      </c>
      <c r="L558" s="23" t="str">
        <f>IFERROR(__xludf.DUMMYFUNCTION("if(REGEXMATCH(join("", "",$F558:$G558),L$1)=TRUE,""✓"",""✗"")"),"✗")</f>
        <v>✗</v>
      </c>
      <c r="M558" s="23" t="str">
        <f>IFERROR(__xludf.DUMMYFUNCTION("if(REGEXMATCH(join("", "",$F558:$G558),M$1)=TRUE,""✓"",""✗"")"),"✗")</f>
        <v>✗</v>
      </c>
      <c r="N558" s="23" t="str">
        <f>IFERROR(__xludf.DUMMYFUNCTION("if(REGEXMATCH(join("", "",$F558:$G558),N$1)=TRUE,""✓"",""✗"")"),"✗")</f>
        <v>✗</v>
      </c>
      <c r="O558" s="23" t="str">
        <f>IFERROR(__xludf.DUMMYFUNCTION("if(REGEXMATCH(join("", "",$F558:$G558),O$1)=TRUE,""✓"",""✗"")"),"✗")</f>
        <v>✗</v>
      </c>
      <c r="P558" s="23" t="str">
        <f>IFERROR(__xludf.DUMMYFUNCTION("if(REGEXMATCH(join("", "",$F558:$G558),P$1)=TRUE,""✓"",""✗"")"),"✗")</f>
        <v>✗</v>
      </c>
      <c r="Q558" s="23" t="str">
        <f>IFERROR(__xludf.DUMMYFUNCTION("if(REGEXMATCH(join("", "",$F558:$G558),Q$1)=TRUE,""✓"",""✗"")"),"✗")</f>
        <v>✗</v>
      </c>
      <c r="R558" s="23" t="str">
        <f>IFERROR(__xludf.DUMMYFUNCTION("if(REGEXMATCH(join("", "",$F558:$G558),R$1)=TRUE,""✓"",""✗"")"),"✗")</f>
        <v>✗</v>
      </c>
      <c r="S558" s="23" t="str">
        <f>IFERROR(__xludf.DUMMYFUNCTION("if(REGEXMATCH(join("", "",$F558:$G558),S$1)=TRUE,""✓"",""✗"")"),"✗")</f>
        <v>✗</v>
      </c>
      <c r="T558" s="23" t="str">
        <f>IFERROR(__xludf.DUMMYFUNCTION("if(REGEXMATCH(join("", "",$F558:$G558),T$1)=TRUE,""✓"",""✗"")"),"✗")</f>
        <v>✗</v>
      </c>
      <c r="U558" s="33"/>
      <c r="V558" s="33"/>
      <c r="W558" s="33"/>
      <c r="X558" s="33"/>
      <c r="Y558" s="33"/>
      <c r="Z558" s="33"/>
      <c r="AA558" s="33"/>
      <c r="AB558" s="33"/>
      <c r="AC558" s="33"/>
    </row>
    <row r="559" hidden="1">
      <c r="A559" s="17" t="s">
        <v>302</v>
      </c>
      <c r="B559" s="33"/>
      <c r="C559" s="33"/>
      <c r="D559" s="33"/>
      <c r="E559" s="33"/>
      <c r="F559" s="33"/>
      <c r="G559" s="33"/>
      <c r="H559" s="23" t="str">
        <f>IFERROR(__xludf.DUMMYFUNCTION("if(REGEXMATCH(join("", "",$F559:$G559),H$1)=TRUE,""✓"",""✗"")"),"✗")</f>
        <v>✗</v>
      </c>
      <c r="I559" s="23" t="str">
        <f>IFERROR(__xludf.DUMMYFUNCTION("if(REGEXMATCH(join("", "",$F559:$G559),I$1)=TRUE,""✓"",""✗"")"),"✗")</f>
        <v>✗</v>
      </c>
      <c r="J559" s="23" t="str">
        <f>IFERROR(__xludf.DUMMYFUNCTION("if(REGEXMATCH(join("", "",$F559:$G559),J$1)=TRUE,""✓"",""✗"")"),"✗")</f>
        <v>✗</v>
      </c>
      <c r="K559" s="23" t="str">
        <f>IFERROR(__xludf.DUMMYFUNCTION("if(REGEXMATCH(join("", "",$F559:$G559),K$1)=TRUE,""✓"",""✗"")"),"✗")</f>
        <v>✗</v>
      </c>
      <c r="L559" s="23" t="str">
        <f>IFERROR(__xludf.DUMMYFUNCTION("if(REGEXMATCH(join("", "",$F559:$G559),L$1)=TRUE,""✓"",""✗"")"),"✗")</f>
        <v>✗</v>
      </c>
      <c r="M559" s="23" t="str">
        <f>IFERROR(__xludf.DUMMYFUNCTION("if(REGEXMATCH(join("", "",$F559:$G559),M$1)=TRUE,""✓"",""✗"")"),"✗")</f>
        <v>✗</v>
      </c>
      <c r="N559" s="23" t="str">
        <f>IFERROR(__xludf.DUMMYFUNCTION("if(REGEXMATCH(join("", "",$F559:$G559),N$1)=TRUE,""✓"",""✗"")"),"✗")</f>
        <v>✗</v>
      </c>
      <c r="O559" s="23" t="str">
        <f>IFERROR(__xludf.DUMMYFUNCTION("if(REGEXMATCH(join("", "",$F559:$G559),O$1)=TRUE,""✓"",""✗"")"),"✗")</f>
        <v>✗</v>
      </c>
      <c r="P559" s="23" t="str">
        <f>IFERROR(__xludf.DUMMYFUNCTION("if(REGEXMATCH(join("", "",$F559:$G559),P$1)=TRUE,""✓"",""✗"")"),"✗")</f>
        <v>✗</v>
      </c>
      <c r="Q559" s="23" t="str">
        <f>IFERROR(__xludf.DUMMYFUNCTION("if(REGEXMATCH(join("", "",$F559:$G559),Q$1)=TRUE,""✓"",""✗"")"),"✗")</f>
        <v>✗</v>
      </c>
      <c r="R559" s="23" t="str">
        <f>IFERROR(__xludf.DUMMYFUNCTION("if(REGEXMATCH(join("", "",$F559:$G559),R$1)=TRUE,""✓"",""✗"")"),"✗")</f>
        <v>✗</v>
      </c>
      <c r="S559" s="23" t="str">
        <f>IFERROR(__xludf.DUMMYFUNCTION("if(REGEXMATCH(join("", "",$F559:$G559),S$1)=TRUE,""✓"",""✗"")"),"✗")</f>
        <v>✗</v>
      </c>
      <c r="T559" s="23" t="str">
        <f>IFERROR(__xludf.DUMMYFUNCTION("if(REGEXMATCH(join("", "",$F559:$G559),T$1)=TRUE,""✓"",""✗"")"),"✗")</f>
        <v>✗</v>
      </c>
      <c r="U559" s="33"/>
      <c r="V559" s="33"/>
      <c r="W559" s="33"/>
      <c r="X559" s="33"/>
      <c r="Y559" s="33"/>
      <c r="Z559" s="33"/>
      <c r="AA559" s="33"/>
      <c r="AB559" s="33"/>
      <c r="AC559" s="33"/>
    </row>
    <row r="560" hidden="1">
      <c r="A560" s="17" t="s">
        <v>302</v>
      </c>
      <c r="B560" s="33"/>
      <c r="C560" s="33"/>
      <c r="D560" s="33"/>
      <c r="E560" s="33"/>
      <c r="F560" s="33"/>
      <c r="G560" s="33"/>
      <c r="H560" s="23" t="str">
        <f>IFERROR(__xludf.DUMMYFUNCTION("if(REGEXMATCH(join("", "",$F560:$G560),H$1)=TRUE,""✓"",""✗"")"),"✗")</f>
        <v>✗</v>
      </c>
      <c r="I560" s="23" t="str">
        <f>IFERROR(__xludf.DUMMYFUNCTION("if(REGEXMATCH(join("", "",$F560:$G560),I$1)=TRUE,""✓"",""✗"")"),"✗")</f>
        <v>✗</v>
      </c>
      <c r="J560" s="23" t="str">
        <f>IFERROR(__xludf.DUMMYFUNCTION("if(REGEXMATCH(join("", "",$F560:$G560),J$1)=TRUE,""✓"",""✗"")"),"✗")</f>
        <v>✗</v>
      </c>
      <c r="K560" s="23" t="str">
        <f>IFERROR(__xludf.DUMMYFUNCTION("if(REGEXMATCH(join("", "",$F560:$G560),K$1)=TRUE,""✓"",""✗"")"),"✗")</f>
        <v>✗</v>
      </c>
      <c r="L560" s="23" t="str">
        <f>IFERROR(__xludf.DUMMYFUNCTION("if(REGEXMATCH(join("", "",$F560:$G560),L$1)=TRUE,""✓"",""✗"")"),"✗")</f>
        <v>✗</v>
      </c>
      <c r="M560" s="23" t="str">
        <f>IFERROR(__xludf.DUMMYFUNCTION("if(REGEXMATCH(join("", "",$F560:$G560),M$1)=TRUE,""✓"",""✗"")"),"✗")</f>
        <v>✗</v>
      </c>
      <c r="N560" s="23" t="str">
        <f>IFERROR(__xludf.DUMMYFUNCTION("if(REGEXMATCH(join("", "",$F560:$G560),N$1)=TRUE,""✓"",""✗"")"),"✗")</f>
        <v>✗</v>
      </c>
      <c r="O560" s="23" t="str">
        <f>IFERROR(__xludf.DUMMYFUNCTION("if(REGEXMATCH(join("", "",$F560:$G560),O$1)=TRUE,""✓"",""✗"")"),"✗")</f>
        <v>✗</v>
      </c>
      <c r="P560" s="23" t="str">
        <f>IFERROR(__xludf.DUMMYFUNCTION("if(REGEXMATCH(join("", "",$F560:$G560),P$1)=TRUE,""✓"",""✗"")"),"✗")</f>
        <v>✗</v>
      </c>
      <c r="Q560" s="23" t="str">
        <f>IFERROR(__xludf.DUMMYFUNCTION("if(REGEXMATCH(join("", "",$F560:$G560),Q$1)=TRUE,""✓"",""✗"")"),"✗")</f>
        <v>✗</v>
      </c>
      <c r="R560" s="23" t="str">
        <f>IFERROR(__xludf.DUMMYFUNCTION("if(REGEXMATCH(join("", "",$F560:$G560),R$1)=TRUE,""✓"",""✗"")"),"✗")</f>
        <v>✗</v>
      </c>
      <c r="S560" s="23" t="str">
        <f>IFERROR(__xludf.DUMMYFUNCTION("if(REGEXMATCH(join("", "",$F560:$G560),S$1)=TRUE,""✓"",""✗"")"),"✗")</f>
        <v>✗</v>
      </c>
      <c r="T560" s="23" t="str">
        <f>IFERROR(__xludf.DUMMYFUNCTION("if(REGEXMATCH(join("", "",$F560:$G560),T$1)=TRUE,""✓"",""✗"")"),"✗")</f>
        <v>✗</v>
      </c>
      <c r="U560" s="33"/>
      <c r="V560" s="33"/>
      <c r="W560" s="33"/>
      <c r="X560" s="33"/>
      <c r="Y560" s="33"/>
      <c r="Z560" s="33"/>
      <c r="AA560" s="33"/>
      <c r="AB560" s="33"/>
      <c r="AC560" s="33"/>
    </row>
    <row r="561" hidden="1">
      <c r="A561" s="17" t="s">
        <v>302</v>
      </c>
      <c r="B561" s="33"/>
      <c r="C561" s="33"/>
      <c r="D561" s="33"/>
      <c r="E561" s="33"/>
      <c r="F561" s="33"/>
      <c r="G561" s="33"/>
      <c r="H561" s="23" t="str">
        <f>IFERROR(__xludf.DUMMYFUNCTION("if(REGEXMATCH(join("", "",$F561:$G561),H$1)=TRUE,""✓"",""✗"")"),"✗")</f>
        <v>✗</v>
      </c>
      <c r="I561" s="23" t="str">
        <f>IFERROR(__xludf.DUMMYFUNCTION("if(REGEXMATCH(join("", "",$F561:$G561),I$1)=TRUE,""✓"",""✗"")"),"✗")</f>
        <v>✗</v>
      </c>
      <c r="J561" s="23" t="str">
        <f>IFERROR(__xludf.DUMMYFUNCTION("if(REGEXMATCH(join("", "",$F561:$G561),J$1)=TRUE,""✓"",""✗"")"),"✗")</f>
        <v>✗</v>
      </c>
      <c r="K561" s="23" t="str">
        <f>IFERROR(__xludf.DUMMYFUNCTION("if(REGEXMATCH(join("", "",$F561:$G561),K$1)=TRUE,""✓"",""✗"")"),"✗")</f>
        <v>✗</v>
      </c>
      <c r="L561" s="23" t="str">
        <f>IFERROR(__xludf.DUMMYFUNCTION("if(REGEXMATCH(join("", "",$F561:$G561),L$1)=TRUE,""✓"",""✗"")"),"✗")</f>
        <v>✗</v>
      </c>
      <c r="M561" s="23" t="str">
        <f>IFERROR(__xludf.DUMMYFUNCTION("if(REGEXMATCH(join("", "",$F561:$G561),M$1)=TRUE,""✓"",""✗"")"),"✗")</f>
        <v>✗</v>
      </c>
      <c r="N561" s="23" t="str">
        <f>IFERROR(__xludf.DUMMYFUNCTION("if(REGEXMATCH(join("", "",$F561:$G561),N$1)=TRUE,""✓"",""✗"")"),"✗")</f>
        <v>✗</v>
      </c>
      <c r="O561" s="23" t="str">
        <f>IFERROR(__xludf.DUMMYFUNCTION("if(REGEXMATCH(join("", "",$F561:$G561),O$1)=TRUE,""✓"",""✗"")"),"✗")</f>
        <v>✗</v>
      </c>
      <c r="P561" s="23" t="str">
        <f>IFERROR(__xludf.DUMMYFUNCTION("if(REGEXMATCH(join("", "",$F561:$G561),P$1)=TRUE,""✓"",""✗"")"),"✗")</f>
        <v>✗</v>
      </c>
      <c r="Q561" s="23" t="str">
        <f>IFERROR(__xludf.DUMMYFUNCTION("if(REGEXMATCH(join("", "",$F561:$G561),Q$1)=TRUE,""✓"",""✗"")"),"✗")</f>
        <v>✗</v>
      </c>
      <c r="R561" s="23" t="str">
        <f>IFERROR(__xludf.DUMMYFUNCTION("if(REGEXMATCH(join("", "",$F561:$G561),R$1)=TRUE,""✓"",""✗"")"),"✗")</f>
        <v>✗</v>
      </c>
      <c r="S561" s="23" t="str">
        <f>IFERROR(__xludf.DUMMYFUNCTION("if(REGEXMATCH(join("", "",$F561:$G561),S$1)=TRUE,""✓"",""✗"")"),"✗")</f>
        <v>✗</v>
      </c>
      <c r="T561" s="23" t="str">
        <f>IFERROR(__xludf.DUMMYFUNCTION("if(REGEXMATCH(join("", "",$F561:$G561),T$1)=TRUE,""✓"",""✗"")"),"✗")</f>
        <v>✗</v>
      </c>
      <c r="U561" s="33"/>
      <c r="V561" s="33"/>
      <c r="W561" s="33"/>
      <c r="X561" s="33"/>
      <c r="Y561" s="33"/>
      <c r="Z561" s="33"/>
      <c r="AA561" s="33"/>
      <c r="AB561" s="33"/>
      <c r="AC561" s="33"/>
    </row>
    <row r="562" hidden="1">
      <c r="A562" s="17" t="s">
        <v>302</v>
      </c>
      <c r="B562" s="33"/>
      <c r="C562" s="33"/>
      <c r="D562" s="33"/>
      <c r="E562" s="33"/>
      <c r="F562" s="33"/>
      <c r="G562" s="33"/>
      <c r="H562" s="23" t="str">
        <f>IFERROR(__xludf.DUMMYFUNCTION("if(REGEXMATCH(join("", "",$F562:$G562),H$1)=TRUE,""✓"",""✗"")"),"✗")</f>
        <v>✗</v>
      </c>
      <c r="I562" s="23" t="str">
        <f>IFERROR(__xludf.DUMMYFUNCTION("if(REGEXMATCH(join("", "",$F562:$G562),I$1)=TRUE,""✓"",""✗"")"),"✗")</f>
        <v>✗</v>
      </c>
      <c r="J562" s="23" t="str">
        <f>IFERROR(__xludf.DUMMYFUNCTION("if(REGEXMATCH(join("", "",$F562:$G562),J$1)=TRUE,""✓"",""✗"")"),"✗")</f>
        <v>✗</v>
      </c>
      <c r="K562" s="23" t="str">
        <f>IFERROR(__xludf.DUMMYFUNCTION("if(REGEXMATCH(join("", "",$F562:$G562),K$1)=TRUE,""✓"",""✗"")"),"✗")</f>
        <v>✗</v>
      </c>
      <c r="L562" s="23" t="str">
        <f>IFERROR(__xludf.DUMMYFUNCTION("if(REGEXMATCH(join("", "",$F562:$G562),L$1)=TRUE,""✓"",""✗"")"),"✗")</f>
        <v>✗</v>
      </c>
      <c r="M562" s="23" t="str">
        <f>IFERROR(__xludf.DUMMYFUNCTION("if(REGEXMATCH(join("", "",$F562:$G562),M$1)=TRUE,""✓"",""✗"")"),"✗")</f>
        <v>✗</v>
      </c>
      <c r="N562" s="23" t="str">
        <f>IFERROR(__xludf.DUMMYFUNCTION("if(REGEXMATCH(join("", "",$F562:$G562),N$1)=TRUE,""✓"",""✗"")"),"✗")</f>
        <v>✗</v>
      </c>
      <c r="O562" s="23" t="str">
        <f>IFERROR(__xludf.DUMMYFUNCTION("if(REGEXMATCH(join("", "",$F562:$G562),O$1)=TRUE,""✓"",""✗"")"),"✗")</f>
        <v>✗</v>
      </c>
      <c r="P562" s="23" t="str">
        <f>IFERROR(__xludf.DUMMYFUNCTION("if(REGEXMATCH(join("", "",$F562:$G562),P$1)=TRUE,""✓"",""✗"")"),"✗")</f>
        <v>✗</v>
      </c>
      <c r="Q562" s="23" t="str">
        <f>IFERROR(__xludf.DUMMYFUNCTION("if(REGEXMATCH(join("", "",$F562:$G562),Q$1)=TRUE,""✓"",""✗"")"),"✗")</f>
        <v>✗</v>
      </c>
      <c r="R562" s="23" t="str">
        <f>IFERROR(__xludf.DUMMYFUNCTION("if(REGEXMATCH(join("", "",$F562:$G562),R$1)=TRUE,""✓"",""✗"")"),"✗")</f>
        <v>✗</v>
      </c>
      <c r="S562" s="23" t="str">
        <f>IFERROR(__xludf.DUMMYFUNCTION("if(REGEXMATCH(join("", "",$F562:$G562),S$1)=TRUE,""✓"",""✗"")"),"✗")</f>
        <v>✗</v>
      </c>
      <c r="T562" s="23" t="str">
        <f>IFERROR(__xludf.DUMMYFUNCTION("if(REGEXMATCH(join("", "",$F562:$G562),T$1)=TRUE,""✓"",""✗"")"),"✗")</f>
        <v>✗</v>
      </c>
      <c r="U562" s="33"/>
      <c r="V562" s="33"/>
      <c r="W562" s="33"/>
      <c r="X562" s="33"/>
      <c r="Y562" s="33"/>
      <c r="Z562" s="33"/>
      <c r="AA562" s="33"/>
      <c r="AB562" s="33"/>
      <c r="AC562" s="33"/>
    </row>
    <row r="563" hidden="1">
      <c r="A563" s="17" t="s">
        <v>302</v>
      </c>
      <c r="B563" s="33"/>
      <c r="C563" s="33"/>
      <c r="D563" s="33"/>
      <c r="E563" s="33"/>
      <c r="F563" s="33"/>
      <c r="G563" s="33"/>
      <c r="H563" s="23" t="str">
        <f>IFERROR(__xludf.DUMMYFUNCTION("if(REGEXMATCH(join("", "",$F563:$G563),H$1)=TRUE,""✓"",""✗"")"),"✗")</f>
        <v>✗</v>
      </c>
      <c r="I563" s="23" t="str">
        <f>IFERROR(__xludf.DUMMYFUNCTION("if(REGEXMATCH(join("", "",$F563:$G563),I$1)=TRUE,""✓"",""✗"")"),"✗")</f>
        <v>✗</v>
      </c>
      <c r="J563" s="23" t="str">
        <f>IFERROR(__xludf.DUMMYFUNCTION("if(REGEXMATCH(join("", "",$F563:$G563),J$1)=TRUE,""✓"",""✗"")"),"✗")</f>
        <v>✗</v>
      </c>
      <c r="K563" s="23" t="str">
        <f>IFERROR(__xludf.DUMMYFUNCTION("if(REGEXMATCH(join("", "",$F563:$G563),K$1)=TRUE,""✓"",""✗"")"),"✗")</f>
        <v>✗</v>
      </c>
      <c r="L563" s="23" t="str">
        <f>IFERROR(__xludf.DUMMYFUNCTION("if(REGEXMATCH(join("", "",$F563:$G563),L$1)=TRUE,""✓"",""✗"")"),"✗")</f>
        <v>✗</v>
      </c>
      <c r="M563" s="23" t="str">
        <f>IFERROR(__xludf.DUMMYFUNCTION("if(REGEXMATCH(join("", "",$F563:$G563),M$1)=TRUE,""✓"",""✗"")"),"✗")</f>
        <v>✗</v>
      </c>
      <c r="N563" s="23" t="str">
        <f>IFERROR(__xludf.DUMMYFUNCTION("if(REGEXMATCH(join("", "",$F563:$G563),N$1)=TRUE,""✓"",""✗"")"),"✗")</f>
        <v>✗</v>
      </c>
      <c r="O563" s="23" t="str">
        <f>IFERROR(__xludf.DUMMYFUNCTION("if(REGEXMATCH(join("", "",$F563:$G563),O$1)=TRUE,""✓"",""✗"")"),"✗")</f>
        <v>✗</v>
      </c>
      <c r="P563" s="23" t="str">
        <f>IFERROR(__xludf.DUMMYFUNCTION("if(REGEXMATCH(join("", "",$F563:$G563),P$1)=TRUE,""✓"",""✗"")"),"✗")</f>
        <v>✗</v>
      </c>
      <c r="Q563" s="23" t="str">
        <f>IFERROR(__xludf.DUMMYFUNCTION("if(REGEXMATCH(join("", "",$F563:$G563),Q$1)=TRUE,""✓"",""✗"")"),"✗")</f>
        <v>✗</v>
      </c>
      <c r="R563" s="23" t="str">
        <f>IFERROR(__xludf.DUMMYFUNCTION("if(REGEXMATCH(join("", "",$F563:$G563),R$1)=TRUE,""✓"",""✗"")"),"✗")</f>
        <v>✗</v>
      </c>
      <c r="S563" s="23" t="str">
        <f>IFERROR(__xludf.DUMMYFUNCTION("if(REGEXMATCH(join("", "",$F563:$G563),S$1)=TRUE,""✓"",""✗"")"),"✗")</f>
        <v>✗</v>
      </c>
      <c r="T563" s="23" t="str">
        <f>IFERROR(__xludf.DUMMYFUNCTION("if(REGEXMATCH(join("", "",$F563:$G563),T$1)=TRUE,""✓"",""✗"")"),"✗")</f>
        <v>✗</v>
      </c>
      <c r="U563" s="33"/>
      <c r="V563" s="33"/>
      <c r="W563" s="33"/>
      <c r="X563" s="33"/>
      <c r="Y563" s="33"/>
      <c r="Z563" s="33"/>
      <c r="AA563" s="33"/>
      <c r="AB563" s="33"/>
      <c r="AC563" s="33"/>
    </row>
    <row r="564" hidden="1">
      <c r="A564" s="17" t="s">
        <v>302</v>
      </c>
      <c r="B564" s="33"/>
      <c r="C564" s="33"/>
      <c r="D564" s="33"/>
      <c r="E564" s="33"/>
      <c r="F564" s="33"/>
      <c r="G564" s="33"/>
      <c r="H564" s="23" t="str">
        <f>IFERROR(__xludf.DUMMYFUNCTION("if(REGEXMATCH(join("", "",$F564:$G564),H$1)=TRUE,""✓"",""✗"")"),"✗")</f>
        <v>✗</v>
      </c>
      <c r="I564" s="23" t="str">
        <f>IFERROR(__xludf.DUMMYFUNCTION("if(REGEXMATCH(join("", "",$F564:$G564),I$1)=TRUE,""✓"",""✗"")"),"✗")</f>
        <v>✗</v>
      </c>
      <c r="J564" s="23" t="str">
        <f>IFERROR(__xludf.DUMMYFUNCTION("if(REGEXMATCH(join("", "",$F564:$G564),J$1)=TRUE,""✓"",""✗"")"),"✗")</f>
        <v>✗</v>
      </c>
      <c r="K564" s="23" t="str">
        <f>IFERROR(__xludf.DUMMYFUNCTION("if(REGEXMATCH(join("", "",$F564:$G564),K$1)=TRUE,""✓"",""✗"")"),"✗")</f>
        <v>✗</v>
      </c>
      <c r="L564" s="23" t="str">
        <f>IFERROR(__xludf.DUMMYFUNCTION("if(REGEXMATCH(join("", "",$F564:$G564),L$1)=TRUE,""✓"",""✗"")"),"✗")</f>
        <v>✗</v>
      </c>
      <c r="M564" s="23" t="str">
        <f>IFERROR(__xludf.DUMMYFUNCTION("if(REGEXMATCH(join("", "",$F564:$G564),M$1)=TRUE,""✓"",""✗"")"),"✗")</f>
        <v>✗</v>
      </c>
      <c r="N564" s="23" t="str">
        <f>IFERROR(__xludf.DUMMYFUNCTION("if(REGEXMATCH(join("", "",$F564:$G564),N$1)=TRUE,""✓"",""✗"")"),"✗")</f>
        <v>✗</v>
      </c>
      <c r="O564" s="23" t="str">
        <f>IFERROR(__xludf.DUMMYFUNCTION("if(REGEXMATCH(join("", "",$F564:$G564),O$1)=TRUE,""✓"",""✗"")"),"✗")</f>
        <v>✗</v>
      </c>
      <c r="P564" s="23" t="str">
        <f>IFERROR(__xludf.DUMMYFUNCTION("if(REGEXMATCH(join("", "",$F564:$G564),P$1)=TRUE,""✓"",""✗"")"),"✗")</f>
        <v>✗</v>
      </c>
      <c r="Q564" s="23" t="str">
        <f>IFERROR(__xludf.DUMMYFUNCTION("if(REGEXMATCH(join("", "",$F564:$G564),Q$1)=TRUE,""✓"",""✗"")"),"✗")</f>
        <v>✗</v>
      </c>
      <c r="R564" s="23" t="str">
        <f>IFERROR(__xludf.DUMMYFUNCTION("if(REGEXMATCH(join("", "",$F564:$G564),R$1)=TRUE,""✓"",""✗"")"),"✗")</f>
        <v>✗</v>
      </c>
      <c r="S564" s="23" t="str">
        <f>IFERROR(__xludf.DUMMYFUNCTION("if(REGEXMATCH(join("", "",$F564:$G564),S$1)=TRUE,""✓"",""✗"")"),"✗")</f>
        <v>✗</v>
      </c>
      <c r="T564" s="23" t="str">
        <f>IFERROR(__xludf.DUMMYFUNCTION("if(REGEXMATCH(join("", "",$F564:$G564),T$1)=TRUE,""✓"",""✗"")"),"✗")</f>
        <v>✗</v>
      </c>
      <c r="U564" s="33"/>
      <c r="V564" s="33"/>
      <c r="W564" s="33"/>
      <c r="X564" s="33"/>
      <c r="Y564" s="33"/>
      <c r="Z564" s="33"/>
      <c r="AA564" s="33"/>
      <c r="AB564" s="33"/>
      <c r="AC564" s="33"/>
    </row>
    <row r="565" hidden="1">
      <c r="A565" s="17" t="s">
        <v>302</v>
      </c>
      <c r="B565" s="33"/>
      <c r="C565" s="33"/>
      <c r="D565" s="33"/>
      <c r="E565" s="33"/>
      <c r="F565" s="33"/>
      <c r="G565" s="33"/>
      <c r="H565" s="23" t="str">
        <f>IFERROR(__xludf.DUMMYFUNCTION("if(REGEXMATCH(join("", "",$F565:$G565),H$1)=TRUE,""✓"",""✗"")"),"✗")</f>
        <v>✗</v>
      </c>
      <c r="I565" s="23" t="str">
        <f>IFERROR(__xludf.DUMMYFUNCTION("if(REGEXMATCH(join("", "",$F565:$G565),I$1)=TRUE,""✓"",""✗"")"),"✗")</f>
        <v>✗</v>
      </c>
      <c r="J565" s="23" t="str">
        <f>IFERROR(__xludf.DUMMYFUNCTION("if(REGEXMATCH(join("", "",$F565:$G565),J$1)=TRUE,""✓"",""✗"")"),"✗")</f>
        <v>✗</v>
      </c>
      <c r="K565" s="23" t="str">
        <f>IFERROR(__xludf.DUMMYFUNCTION("if(REGEXMATCH(join("", "",$F565:$G565),K$1)=TRUE,""✓"",""✗"")"),"✗")</f>
        <v>✗</v>
      </c>
      <c r="L565" s="23" t="str">
        <f>IFERROR(__xludf.DUMMYFUNCTION("if(REGEXMATCH(join("", "",$F565:$G565),L$1)=TRUE,""✓"",""✗"")"),"✗")</f>
        <v>✗</v>
      </c>
      <c r="M565" s="23" t="str">
        <f>IFERROR(__xludf.DUMMYFUNCTION("if(REGEXMATCH(join("", "",$F565:$G565),M$1)=TRUE,""✓"",""✗"")"),"✗")</f>
        <v>✗</v>
      </c>
      <c r="N565" s="23" t="str">
        <f>IFERROR(__xludf.DUMMYFUNCTION("if(REGEXMATCH(join("", "",$F565:$G565),N$1)=TRUE,""✓"",""✗"")"),"✗")</f>
        <v>✗</v>
      </c>
      <c r="O565" s="23" t="str">
        <f>IFERROR(__xludf.DUMMYFUNCTION("if(REGEXMATCH(join("", "",$F565:$G565),O$1)=TRUE,""✓"",""✗"")"),"✗")</f>
        <v>✗</v>
      </c>
      <c r="P565" s="23" t="str">
        <f>IFERROR(__xludf.DUMMYFUNCTION("if(REGEXMATCH(join("", "",$F565:$G565),P$1)=TRUE,""✓"",""✗"")"),"✗")</f>
        <v>✗</v>
      </c>
      <c r="Q565" s="23" t="str">
        <f>IFERROR(__xludf.DUMMYFUNCTION("if(REGEXMATCH(join("", "",$F565:$G565),Q$1)=TRUE,""✓"",""✗"")"),"✗")</f>
        <v>✗</v>
      </c>
      <c r="R565" s="23" t="str">
        <f>IFERROR(__xludf.DUMMYFUNCTION("if(REGEXMATCH(join("", "",$F565:$G565),R$1)=TRUE,""✓"",""✗"")"),"✗")</f>
        <v>✗</v>
      </c>
      <c r="S565" s="23" t="str">
        <f>IFERROR(__xludf.DUMMYFUNCTION("if(REGEXMATCH(join("", "",$F565:$G565),S$1)=TRUE,""✓"",""✗"")"),"✗")</f>
        <v>✗</v>
      </c>
      <c r="T565" s="23" t="str">
        <f>IFERROR(__xludf.DUMMYFUNCTION("if(REGEXMATCH(join("", "",$F565:$G565),T$1)=TRUE,""✓"",""✗"")"),"✗")</f>
        <v>✗</v>
      </c>
      <c r="U565" s="33"/>
      <c r="V565" s="33"/>
      <c r="W565" s="33"/>
      <c r="X565" s="33"/>
      <c r="Y565" s="33"/>
      <c r="Z565" s="33"/>
      <c r="AA565" s="33"/>
      <c r="AB565" s="33"/>
      <c r="AC565" s="33"/>
    </row>
    <row r="566" hidden="1">
      <c r="A566" s="17" t="s">
        <v>302</v>
      </c>
      <c r="B566" s="33"/>
      <c r="C566" s="33"/>
      <c r="D566" s="33"/>
      <c r="E566" s="33"/>
      <c r="F566" s="33"/>
      <c r="G566" s="33"/>
      <c r="H566" s="23" t="str">
        <f>IFERROR(__xludf.DUMMYFUNCTION("if(REGEXMATCH(join("", "",$F566:$G566),H$1)=TRUE,""✓"",""✗"")"),"✗")</f>
        <v>✗</v>
      </c>
      <c r="I566" s="23" t="str">
        <f>IFERROR(__xludf.DUMMYFUNCTION("if(REGEXMATCH(join("", "",$F566:$G566),I$1)=TRUE,""✓"",""✗"")"),"✗")</f>
        <v>✗</v>
      </c>
      <c r="J566" s="23" t="str">
        <f>IFERROR(__xludf.DUMMYFUNCTION("if(REGEXMATCH(join("", "",$F566:$G566),J$1)=TRUE,""✓"",""✗"")"),"✗")</f>
        <v>✗</v>
      </c>
      <c r="K566" s="23" t="str">
        <f>IFERROR(__xludf.DUMMYFUNCTION("if(REGEXMATCH(join("", "",$F566:$G566),K$1)=TRUE,""✓"",""✗"")"),"✗")</f>
        <v>✗</v>
      </c>
      <c r="L566" s="23" t="str">
        <f>IFERROR(__xludf.DUMMYFUNCTION("if(REGEXMATCH(join("", "",$F566:$G566),L$1)=TRUE,""✓"",""✗"")"),"✗")</f>
        <v>✗</v>
      </c>
      <c r="M566" s="23" t="str">
        <f>IFERROR(__xludf.DUMMYFUNCTION("if(REGEXMATCH(join("", "",$F566:$G566),M$1)=TRUE,""✓"",""✗"")"),"✗")</f>
        <v>✗</v>
      </c>
      <c r="N566" s="23" t="str">
        <f>IFERROR(__xludf.DUMMYFUNCTION("if(REGEXMATCH(join("", "",$F566:$G566),N$1)=TRUE,""✓"",""✗"")"),"✗")</f>
        <v>✗</v>
      </c>
      <c r="O566" s="23" t="str">
        <f>IFERROR(__xludf.DUMMYFUNCTION("if(REGEXMATCH(join("", "",$F566:$G566),O$1)=TRUE,""✓"",""✗"")"),"✗")</f>
        <v>✗</v>
      </c>
      <c r="P566" s="23" t="str">
        <f>IFERROR(__xludf.DUMMYFUNCTION("if(REGEXMATCH(join("", "",$F566:$G566),P$1)=TRUE,""✓"",""✗"")"),"✗")</f>
        <v>✗</v>
      </c>
      <c r="Q566" s="23" t="str">
        <f>IFERROR(__xludf.DUMMYFUNCTION("if(REGEXMATCH(join("", "",$F566:$G566),Q$1)=TRUE,""✓"",""✗"")"),"✗")</f>
        <v>✗</v>
      </c>
      <c r="R566" s="23" t="str">
        <f>IFERROR(__xludf.DUMMYFUNCTION("if(REGEXMATCH(join("", "",$F566:$G566),R$1)=TRUE,""✓"",""✗"")"),"✗")</f>
        <v>✗</v>
      </c>
      <c r="S566" s="23" t="str">
        <f>IFERROR(__xludf.DUMMYFUNCTION("if(REGEXMATCH(join("", "",$F566:$G566),S$1)=TRUE,""✓"",""✗"")"),"✗")</f>
        <v>✗</v>
      </c>
      <c r="T566" s="23" t="str">
        <f>IFERROR(__xludf.DUMMYFUNCTION("if(REGEXMATCH(join("", "",$F566:$G566),T$1)=TRUE,""✓"",""✗"")"),"✗")</f>
        <v>✗</v>
      </c>
      <c r="U566" s="33"/>
      <c r="V566" s="33"/>
      <c r="W566" s="33"/>
      <c r="X566" s="33"/>
      <c r="Y566" s="33"/>
      <c r="Z566" s="33"/>
      <c r="AA566" s="33"/>
      <c r="AB566" s="33"/>
      <c r="AC566" s="33"/>
    </row>
    <row r="567" hidden="1">
      <c r="A567" s="17" t="s">
        <v>302</v>
      </c>
      <c r="B567" s="33"/>
      <c r="C567" s="33"/>
      <c r="D567" s="33"/>
      <c r="E567" s="33"/>
      <c r="F567" s="33"/>
      <c r="G567" s="33"/>
      <c r="H567" s="23" t="str">
        <f>IFERROR(__xludf.DUMMYFUNCTION("if(REGEXMATCH(join("", "",$F567:$G567),H$1)=TRUE,""✓"",""✗"")"),"✗")</f>
        <v>✗</v>
      </c>
      <c r="I567" s="23" t="str">
        <f>IFERROR(__xludf.DUMMYFUNCTION("if(REGEXMATCH(join("", "",$F567:$G567),I$1)=TRUE,""✓"",""✗"")"),"✗")</f>
        <v>✗</v>
      </c>
      <c r="J567" s="23" t="str">
        <f>IFERROR(__xludf.DUMMYFUNCTION("if(REGEXMATCH(join("", "",$F567:$G567),J$1)=TRUE,""✓"",""✗"")"),"✗")</f>
        <v>✗</v>
      </c>
      <c r="K567" s="23" t="str">
        <f>IFERROR(__xludf.DUMMYFUNCTION("if(REGEXMATCH(join("", "",$F567:$G567),K$1)=TRUE,""✓"",""✗"")"),"✗")</f>
        <v>✗</v>
      </c>
      <c r="L567" s="23" t="str">
        <f>IFERROR(__xludf.DUMMYFUNCTION("if(REGEXMATCH(join("", "",$F567:$G567),L$1)=TRUE,""✓"",""✗"")"),"✗")</f>
        <v>✗</v>
      </c>
      <c r="M567" s="23" t="str">
        <f>IFERROR(__xludf.DUMMYFUNCTION("if(REGEXMATCH(join("", "",$F567:$G567),M$1)=TRUE,""✓"",""✗"")"),"✗")</f>
        <v>✗</v>
      </c>
      <c r="N567" s="23" t="str">
        <f>IFERROR(__xludf.DUMMYFUNCTION("if(REGEXMATCH(join("", "",$F567:$G567),N$1)=TRUE,""✓"",""✗"")"),"✗")</f>
        <v>✗</v>
      </c>
      <c r="O567" s="23" t="str">
        <f>IFERROR(__xludf.DUMMYFUNCTION("if(REGEXMATCH(join("", "",$F567:$G567),O$1)=TRUE,""✓"",""✗"")"),"✗")</f>
        <v>✗</v>
      </c>
      <c r="P567" s="23" t="str">
        <f>IFERROR(__xludf.DUMMYFUNCTION("if(REGEXMATCH(join("", "",$F567:$G567),P$1)=TRUE,""✓"",""✗"")"),"✗")</f>
        <v>✗</v>
      </c>
      <c r="Q567" s="23" t="str">
        <f>IFERROR(__xludf.DUMMYFUNCTION("if(REGEXMATCH(join("", "",$F567:$G567),Q$1)=TRUE,""✓"",""✗"")"),"✗")</f>
        <v>✗</v>
      </c>
      <c r="R567" s="23" t="str">
        <f>IFERROR(__xludf.DUMMYFUNCTION("if(REGEXMATCH(join("", "",$F567:$G567),R$1)=TRUE,""✓"",""✗"")"),"✗")</f>
        <v>✗</v>
      </c>
      <c r="S567" s="23" t="str">
        <f>IFERROR(__xludf.DUMMYFUNCTION("if(REGEXMATCH(join("", "",$F567:$G567),S$1)=TRUE,""✓"",""✗"")"),"✗")</f>
        <v>✗</v>
      </c>
      <c r="T567" s="23" t="str">
        <f>IFERROR(__xludf.DUMMYFUNCTION("if(REGEXMATCH(join("", "",$F567:$G567),T$1)=TRUE,""✓"",""✗"")"),"✗")</f>
        <v>✗</v>
      </c>
      <c r="U567" s="33"/>
      <c r="V567" s="33"/>
      <c r="W567" s="33"/>
      <c r="X567" s="33"/>
      <c r="Y567" s="33"/>
      <c r="Z567" s="33"/>
      <c r="AA567" s="33"/>
      <c r="AB567" s="33"/>
      <c r="AC567" s="33"/>
    </row>
    <row r="568" hidden="1">
      <c r="A568" s="17" t="s">
        <v>302</v>
      </c>
      <c r="B568" s="33"/>
      <c r="C568" s="33"/>
      <c r="D568" s="33"/>
      <c r="E568" s="33"/>
      <c r="F568" s="33"/>
      <c r="G568" s="33"/>
      <c r="H568" s="23" t="str">
        <f>IFERROR(__xludf.DUMMYFUNCTION("if(REGEXMATCH(join("", "",$F568:$G568),H$1)=TRUE,""✓"",""✗"")"),"✗")</f>
        <v>✗</v>
      </c>
      <c r="I568" s="23" t="str">
        <f>IFERROR(__xludf.DUMMYFUNCTION("if(REGEXMATCH(join("", "",$F568:$G568),I$1)=TRUE,""✓"",""✗"")"),"✗")</f>
        <v>✗</v>
      </c>
      <c r="J568" s="23" t="str">
        <f>IFERROR(__xludf.DUMMYFUNCTION("if(REGEXMATCH(join("", "",$F568:$G568),J$1)=TRUE,""✓"",""✗"")"),"✗")</f>
        <v>✗</v>
      </c>
      <c r="K568" s="23" t="str">
        <f>IFERROR(__xludf.DUMMYFUNCTION("if(REGEXMATCH(join("", "",$F568:$G568),K$1)=TRUE,""✓"",""✗"")"),"✗")</f>
        <v>✗</v>
      </c>
      <c r="L568" s="23" t="str">
        <f>IFERROR(__xludf.DUMMYFUNCTION("if(REGEXMATCH(join("", "",$F568:$G568),L$1)=TRUE,""✓"",""✗"")"),"✗")</f>
        <v>✗</v>
      </c>
      <c r="M568" s="23" t="str">
        <f>IFERROR(__xludf.DUMMYFUNCTION("if(REGEXMATCH(join("", "",$F568:$G568),M$1)=TRUE,""✓"",""✗"")"),"✗")</f>
        <v>✗</v>
      </c>
      <c r="N568" s="23" t="str">
        <f>IFERROR(__xludf.DUMMYFUNCTION("if(REGEXMATCH(join("", "",$F568:$G568),N$1)=TRUE,""✓"",""✗"")"),"✗")</f>
        <v>✗</v>
      </c>
      <c r="O568" s="23" t="str">
        <f>IFERROR(__xludf.DUMMYFUNCTION("if(REGEXMATCH(join("", "",$F568:$G568),O$1)=TRUE,""✓"",""✗"")"),"✗")</f>
        <v>✗</v>
      </c>
      <c r="P568" s="23" t="str">
        <f>IFERROR(__xludf.DUMMYFUNCTION("if(REGEXMATCH(join("", "",$F568:$G568),P$1)=TRUE,""✓"",""✗"")"),"✗")</f>
        <v>✗</v>
      </c>
      <c r="Q568" s="23" t="str">
        <f>IFERROR(__xludf.DUMMYFUNCTION("if(REGEXMATCH(join("", "",$F568:$G568),Q$1)=TRUE,""✓"",""✗"")"),"✗")</f>
        <v>✗</v>
      </c>
      <c r="R568" s="23" t="str">
        <f>IFERROR(__xludf.DUMMYFUNCTION("if(REGEXMATCH(join("", "",$F568:$G568),R$1)=TRUE,""✓"",""✗"")"),"✗")</f>
        <v>✗</v>
      </c>
      <c r="S568" s="23" t="str">
        <f>IFERROR(__xludf.DUMMYFUNCTION("if(REGEXMATCH(join("", "",$F568:$G568),S$1)=TRUE,""✓"",""✗"")"),"✗")</f>
        <v>✗</v>
      </c>
      <c r="T568" s="23" t="str">
        <f>IFERROR(__xludf.DUMMYFUNCTION("if(REGEXMATCH(join("", "",$F568:$G568),T$1)=TRUE,""✓"",""✗"")"),"✗")</f>
        <v>✗</v>
      </c>
      <c r="U568" s="33"/>
      <c r="V568" s="33"/>
      <c r="W568" s="33"/>
      <c r="X568" s="33"/>
      <c r="Y568" s="33"/>
      <c r="Z568" s="33"/>
      <c r="AA568" s="33"/>
      <c r="AB568" s="33"/>
      <c r="AC568" s="33"/>
    </row>
    <row r="569" hidden="1">
      <c r="A569" s="17" t="s">
        <v>302</v>
      </c>
      <c r="B569" s="33"/>
      <c r="C569" s="33"/>
      <c r="D569" s="33"/>
      <c r="E569" s="33"/>
      <c r="F569" s="33"/>
      <c r="G569" s="33"/>
      <c r="H569" s="23" t="str">
        <f>IFERROR(__xludf.DUMMYFUNCTION("if(REGEXMATCH(join("", "",$F569:$G569),H$1)=TRUE,""✓"",""✗"")"),"✗")</f>
        <v>✗</v>
      </c>
      <c r="I569" s="23" t="str">
        <f>IFERROR(__xludf.DUMMYFUNCTION("if(REGEXMATCH(join("", "",$F569:$G569),I$1)=TRUE,""✓"",""✗"")"),"✗")</f>
        <v>✗</v>
      </c>
      <c r="J569" s="23" t="str">
        <f>IFERROR(__xludf.DUMMYFUNCTION("if(REGEXMATCH(join("", "",$F569:$G569),J$1)=TRUE,""✓"",""✗"")"),"✗")</f>
        <v>✗</v>
      </c>
      <c r="K569" s="23" t="str">
        <f>IFERROR(__xludf.DUMMYFUNCTION("if(REGEXMATCH(join("", "",$F569:$G569),K$1)=TRUE,""✓"",""✗"")"),"✗")</f>
        <v>✗</v>
      </c>
      <c r="L569" s="23" t="str">
        <f>IFERROR(__xludf.DUMMYFUNCTION("if(REGEXMATCH(join("", "",$F569:$G569),L$1)=TRUE,""✓"",""✗"")"),"✗")</f>
        <v>✗</v>
      </c>
      <c r="M569" s="23" t="str">
        <f>IFERROR(__xludf.DUMMYFUNCTION("if(REGEXMATCH(join("", "",$F569:$G569),M$1)=TRUE,""✓"",""✗"")"),"✗")</f>
        <v>✗</v>
      </c>
      <c r="N569" s="23" t="str">
        <f>IFERROR(__xludf.DUMMYFUNCTION("if(REGEXMATCH(join("", "",$F569:$G569),N$1)=TRUE,""✓"",""✗"")"),"✗")</f>
        <v>✗</v>
      </c>
      <c r="O569" s="23" t="str">
        <f>IFERROR(__xludf.DUMMYFUNCTION("if(REGEXMATCH(join("", "",$F569:$G569),O$1)=TRUE,""✓"",""✗"")"),"✗")</f>
        <v>✗</v>
      </c>
      <c r="P569" s="23" t="str">
        <f>IFERROR(__xludf.DUMMYFUNCTION("if(REGEXMATCH(join("", "",$F569:$G569),P$1)=TRUE,""✓"",""✗"")"),"✗")</f>
        <v>✗</v>
      </c>
      <c r="Q569" s="23" t="str">
        <f>IFERROR(__xludf.DUMMYFUNCTION("if(REGEXMATCH(join("", "",$F569:$G569),Q$1)=TRUE,""✓"",""✗"")"),"✗")</f>
        <v>✗</v>
      </c>
      <c r="R569" s="23" t="str">
        <f>IFERROR(__xludf.DUMMYFUNCTION("if(REGEXMATCH(join("", "",$F569:$G569),R$1)=TRUE,""✓"",""✗"")"),"✗")</f>
        <v>✗</v>
      </c>
      <c r="S569" s="23" t="str">
        <f>IFERROR(__xludf.DUMMYFUNCTION("if(REGEXMATCH(join("", "",$F569:$G569),S$1)=TRUE,""✓"",""✗"")"),"✗")</f>
        <v>✗</v>
      </c>
      <c r="T569" s="23" t="str">
        <f>IFERROR(__xludf.DUMMYFUNCTION("if(REGEXMATCH(join("", "",$F569:$G569),T$1)=TRUE,""✓"",""✗"")"),"✗")</f>
        <v>✗</v>
      </c>
      <c r="U569" s="33"/>
      <c r="V569" s="33"/>
      <c r="W569" s="33"/>
      <c r="X569" s="33"/>
      <c r="Y569" s="33"/>
      <c r="Z569" s="33"/>
      <c r="AA569" s="33"/>
      <c r="AB569" s="33"/>
      <c r="AC569" s="33"/>
    </row>
    <row r="570" hidden="1">
      <c r="A570" s="17" t="s">
        <v>302</v>
      </c>
      <c r="B570" s="33"/>
      <c r="C570" s="33"/>
      <c r="D570" s="33"/>
      <c r="E570" s="33"/>
      <c r="F570" s="33"/>
      <c r="G570" s="33"/>
      <c r="H570" s="23" t="str">
        <f>IFERROR(__xludf.DUMMYFUNCTION("if(REGEXMATCH(join("", "",$F570:$G570),H$1)=TRUE,""✓"",""✗"")"),"✗")</f>
        <v>✗</v>
      </c>
      <c r="I570" s="23" t="str">
        <f>IFERROR(__xludf.DUMMYFUNCTION("if(REGEXMATCH(join("", "",$F570:$G570),I$1)=TRUE,""✓"",""✗"")"),"✗")</f>
        <v>✗</v>
      </c>
      <c r="J570" s="23" t="str">
        <f>IFERROR(__xludf.DUMMYFUNCTION("if(REGEXMATCH(join("", "",$F570:$G570),J$1)=TRUE,""✓"",""✗"")"),"✗")</f>
        <v>✗</v>
      </c>
      <c r="K570" s="23" t="str">
        <f>IFERROR(__xludf.DUMMYFUNCTION("if(REGEXMATCH(join("", "",$F570:$G570),K$1)=TRUE,""✓"",""✗"")"),"✗")</f>
        <v>✗</v>
      </c>
      <c r="L570" s="23" t="str">
        <f>IFERROR(__xludf.DUMMYFUNCTION("if(REGEXMATCH(join("", "",$F570:$G570),L$1)=TRUE,""✓"",""✗"")"),"✗")</f>
        <v>✗</v>
      </c>
      <c r="M570" s="23" t="str">
        <f>IFERROR(__xludf.DUMMYFUNCTION("if(REGEXMATCH(join("", "",$F570:$G570),M$1)=TRUE,""✓"",""✗"")"),"✗")</f>
        <v>✗</v>
      </c>
      <c r="N570" s="23" t="str">
        <f>IFERROR(__xludf.DUMMYFUNCTION("if(REGEXMATCH(join("", "",$F570:$G570),N$1)=TRUE,""✓"",""✗"")"),"✗")</f>
        <v>✗</v>
      </c>
      <c r="O570" s="23" t="str">
        <f>IFERROR(__xludf.DUMMYFUNCTION("if(REGEXMATCH(join("", "",$F570:$G570),O$1)=TRUE,""✓"",""✗"")"),"✗")</f>
        <v>✗</v>
      </c>
      <c r="P570" s="23" t="str">
        <f>IFERROR(__xludf.DUMMYFUNCTION("if(REGEXMATCH(join("", "",$F570:$G570),P$1)=TRUE,""✓"",""✗"")"),"✗")</f>
        <v>✗</v>
      </c>
      <c r="Q570" s="23" t="str">
        <f>IFERROR(__xludf.DUMMYFUNCTION("if(REGEXMATCH(join("", "",$F570:$G570),Q$1)=TRUE,""✓"",""✗"")"),"✗")</f>
        <v>✗</v>
      </c>
      <c r="R570" s="23" t="str">
        <f>IFERROR(__xludf.DUMMYFUNCTION("if(REGEXMATCH(join("", "",$F570:$G570),R$1)=TRUE,""✓"",""✗"")"),"✗")</f>
        <v>✗</v>
      </c>
      <c r="S570" s="23" t="str">
        <f>IFERROR(__xludf.DUMMYFUNCTION("if(REGEXMATCH(join("", "",$F570:$G570),S$1)=TRUE,""✓"",""✗"")"),"✗")</f>
        <v>✗</v>
      </c>
      <c r="T570" s="23" t="str">
        <f>IFERROR(__xludf.DUMMYFUNCTION("if(REGEXMATCH(join("", "",$F570:$G570),T$1)=TRUE,""✓"",""✗"")"),"✗")</f>
        <v>✗</v>
      </c>
      <c r="U570" s="33"/>
      <c r="V570" s="33"/>
      <c r="W570" s="33"/>
      <c r="X570" s="33"/>
      <c r="Y570" s="33"/>
      <c r="Z570" s="33"/>
      <c r="AA570" s="33"/>
      <c r="AB570" s="33"/>
      <c r="AC570" s="33"/>
    </row>
    <row r="571" hidden="1">
      <c r="A571" s="17" t="s">
        <v>302</v>
      </c>
      <c r="B571" s="33"/>
      <c r="C571" s="33"/>
      <c r="D571" s="33"/>
      <c r="E571" s="33"/>
      <c r="F571" s="33"/>
      <c r="G571" s="33"/>
      <c r="H571" s="23" t="str">
        <f>IFERROR(__xludf.DUMMYFUNCTION("if(REGEXMATCH(join("", "",$F571:$G571),H$1)=TRUE,""✓"",""✗"")"),"✗")</f>
        <v>✗</v>
      </c>
      <c r="I571" s="23" t="str">
        <f>IFERROR(__xludf.DUMMYFUNCTION("if(REGEXMATCH(join("", "",$F571:$G571),I$1)=TRUE,""✓"",""✗"")"),"✗")</f>
        <v>✗</v>
      </c>
      <c r="J571" s="23" t="str">
        <f>IFERROR(__xludf.DUMMYFUNCTION("if(REGEXMATCH(join("", "",$F571:$G571),J$1)=TRUE,""✓"",""✗"")"),"✗")</f>
        <v>✗</v>
      </c>
      <c r="K571" s="23" t="str">
        <f>IFERROR(__xludf.DUMMYFUNCTION("if(REGEXMATCH(join("", "",$F571:$G571),K$1)=TRUE,""✓"",""✗"")"),"✗")</f>
        <v>✗</v>
      </c>
      <c r="L571" s="23" t="str">
        <f>IFERROR(__xludf.DUMMYFUNCTION("if(REGEXMATCH(join("", "",$F571:$G571),L$1)=TRUE,""✓"",""✗"")"),"✗")</f>
        <v>✗</v>
      </c>
      <c r="M571" s="23" t="str">
        <f>IFERROR(__xludf.DUMMYFUNCTION("if(REGEXMATCH(join("", "",$F571:$G571),M$1)=TRUE,""✓"",""✗"")"),"✗")</f>
        <v>✗</v>
      </c>
      <c r="N571" s="23" t="str">
        <f>IFERROR(__xludf.DUMMYFUNCTION("if(REGEXMATCH(join("", "",$F571:$G571),N$1)=TRUE,""✓"",""✗"")"),"✗")</f>
        <v>✗</v>
      </c>
      <c r="O571" s="23" t="str">
        <f>IFERROR(__xludf.DUMMYFUNCTION("if(REGEXMATCH(join("", "",$F571:$G571),O$1)=TRUE,""✓"",""✗"")"),"✗")</f>
        <v>✗</v>
      </c>
      <c r="P571" s="23" t="str">
        <f>IFERROR(__xludf.DUMMYFUNCTION("if(REGEXMATCH(join("", "",$F571:$G571),P$1)=TRUE,""✓"",""✗"")"),"✗")</f>
        <v>✗</v>
      </c>
      <c r="Q571" s="23" t="str">
        <f>IFERROR(__xludf.DUMMYFUNCTION("if(REGEXMATCH(join("", "",$F571:$G571),Q$1)=TRUE,""✓"",""✗"")"),"✗")</f>
        <v>✗</v>
      </c>
      <c r="R571" s="23" t="str">
        <f>IFERROR(__xludf.DUMMYFUNCTION("if(REGEXMATCH(join("", "",$F571:$G571),R$1)=TRUE,""✓"",""✗"")"),"✗")</f>
        <v>✗</v>
      </c>
      <c r="S571" s="23" t="str">
        <f>IFERROR(__xludf.DUMMYFUNCTION("if(REGEXMATCH(join("", "",$F571:$G571),S$1)=TRUE,""✓"",""✗"")"),"✗")</f>
        <v>✗</v>
      </c>
      <c r="T571" s="23" t="str">
        <f>IFERROR(__xludf.DUMMYFUNCTION("if(REGEXMATCH(join("", "",$F571:$G571),T$1)=TRUE,""✓"",""✗"")"),"✗")</f>
        <v>✗</v>
      </c>
      <c r="U571" s="33"/>
      <c r="V571" s="33"/>
      <c r="W571" s="33"/>
      <c r="X571" s="33"/>
      <c r="Y571" s="33"/>
      <c r="Z571" s="33"/>
      <c r="AA571" s="33"/>
      <c r="AB571" s="33"/>
      <c r="AC571" s="33"/>
    </row>
    <row r="572" hidden="1">
      <c r="A572" s="17" t="s">
        <v>302</v>
      </c>
      <c r="B572" s="33"/>
      <c r="C572" s="33"/>
      <c r="D572" s="33"/>
      <c r="E572" s="33"/>
      <c r="F572" s="33"/>
      <c r="G572" s="33"/>
      <c r="H572" s="23" t="str">
        <f>IFERROR(__xludf.DUMMYFUNCTION("if(REGEXMATCH(join("", "",$F572:$G572),H$1)=TRUE,""✓"",""✗"")"),"✗")</f>
        <v>✗</v>
      </c>
      <c r="I572" s="23" t="str">
        <f>IFERROR(__xludf.DUMMYFUNCTION("if(REGEXMATCH(join("", "",$F572:$G572),I$1)=TRUE,""✓"",""✗"")"),"✗")</f>
        <v>✗</v>
      </c>
      <c r="J572" s="23" t="str">
        <f>IFERROR(__xludf.DUMMYFUNCTION("if(REGEXMATCH(join("", "",$F572:$G572),J$1)=TRUE,""✓"",""✗"")"),"✗")</f>
        <v>✗</v>
      </c>
      <c r="K572" s="23" t="str">
        <f>IFERROR(__xludf.DUMMYFUNCTION("if(REGEXMATCH(join("", "",$F572:$G572),K$1)=TRUE,""✓"",""✗"")"),"✗")</f>
        <v>✗</v>
      </c>
      <c r="L572" s="23" t="str">
        <f>IFERROR(__xludf.DUMMYFUNCTION("if(REGEXMATCH(join("", "",$F572:$G572),L$1)=TRUE,""✓"",""✗"")"),"✗")</f>
        <v>✗</v>
      </c>
      <c r="M572" s="23" t="str">
        <f>IFERROR(__xludf.DUMMYFUNCTION("if(REGEXMATCH(join("", "",$F572:$G572),M$1)=TRUE,""✓"",""✗"")"),"✗")</f>
        <v>✗</v>
      </c>
      <c r="N572" s="23" t="str">
        <f>IFERROR(__xludf.DUMMYFUNCTION("if(REGEXMATCH(join("", "",$F572:$G572),N$1)=TRUE,""✓"",""✗"")"),"✗")</f>
        <v>✗</v>
      </c>
      <c r="O572" s="23" t="str">
        <f>IFERROR(__xludf.DUMMYFUNCTION("if(REGEXMATCH(join("", "",$F572:$G572),O$1)=TRUE,""✓"",""✗"")"),"✗")</f>
        <v>✗</v>
      </c>
      <c r="P572" s="23" t="str">
        <f>IFERROR(__xludf.DUMMYFUNCTION("if(REGEXMATCH(join("", "",$F572:$G572),P$1)=TRUE,""✓"",""✗"")"),"✗")</f>
        <v>✗</v>
      </c>
      <c r="Q572" s="23" t="str">
        <f>IFERROR(__xludf.DUMMYFUNCTION("if(REGEXMATCH(join("", "",$F572:$G572),Q$1)=TRUE,""✓"",""✗"")"),"✗")</f>
        <v>✗</v>
      </c>
      <c r="R572" s="23" t="str">
        <f>IFERROR(__xludf.DUMMYFUNCTION("if(REGEXMATCH(join("", "",$F572:$G572),R$1)=TRUE,""✓"",""✗"")"),"✗")</f>
        <v>✗</v>
      </c>
      <c r="S572" s="23" t="str">
        <f>IFERROR(__xludf.DUMMYFUNCTION("if(REGEXMATCH(join("", "",$F572:$G572),S$1)=TRUE,""✓"",""✗"")"),"✗")</f>
        <v>✗</v>
      </c>
      <c r="T572" s="23" t="str">
        <f>IFERROR(__xludf.DUMMYFUNCTION("if(REGEXMATCH(join("", "",$F572:$G572),T$1)=TRUE,""✓"",""✗"")"),"✗")</f>
        <v>✗</v>
      </c>
      <c r="U572" s="33"/>
      <c r="V572" s="33"/>
      <c r="W572" s="33"/>
      <c r="X572" s="33"/>
      <c r="Y572" s="33"/>
      <c r="Z572" s="33"/>
      <c r="AA572" s="33"/>
      <c r="AB572" s="33"/>
      <c r="AC572" s="33"/>
    </row>
    <row r="573" hidden="1">
      <c r="A573" s="17" t="s">
        <v>302</v>
      </c>
      <c r="B573" s="33"/>
      <c r="C573" s="33"/>
      <c r="D573" s="33"/>
      <c r="E573" s="33"/>
      <c r="F573" s="33"/>
      <c r="G573" s="33"/>
      <c r="H573" s="23" t="str">
        <f>IFERROR(__xludf.DUMMYFUNCTION("if(REGEXMATCH(join("", "",$F573:$G573),H$1)=TRUE,""✓"",""✗"")"),"✗")</f>
        <v>✗</v>
      </c>
      <c r="I573" s="23" t="str">
        <f>IFERROR(__xludf.DUMMYFUNCTION("if(REGEXMATCH(join("", "",$F573:$G573),I$1)=TRUE,""✓"",""✗"")"),"✗")</f>
        <v>✗</v>
      </c>
      <c r="J573" s="23" t="str">
        <f>IFERROR(__xludf.DUMMYFUNCTION("if(REGEXMATCH(join("", "",$F573:$G573),J$1)=TRUE,""✓"",""✗"")"),"✗")</f>
        <v>✗</v>
      </c>
      <c r="K573" s="23" t="str">
        <f>IFERROR(__xludf.DUMMYFUNCTION("if(REGEXMATCH(join("", "",$F573:$G573),K$1)=TRUE,""✓"",""✗"")"),"✗")</f>
        <v>✗</v>
      </c>
      <c r="L573" s="23" t="str">
        <f>IFERROR(__xludf.DUMMYFUNCTION("if(REGEXMATCH(join("", "",$F573:$G573),L$1)=TRUE,""✓"",""✗"")"),"✗")</f>
        <v>✗</v>
      </c>
      <c r="M573" s="23" t="str">
        <f>IFERROR(__xludf.DUMMYFUNCTION("if(REGEXMATCH(join("", "",$F573:$G573),M$1)=TRUE,""✓"",""✗"")"),"✗")</f>
        <v>✗</v>
      </c>
      <c r="N573" s="23" t="str">
        <f>IFERROR(__xludf.DUMMYFUNCTION("if(REGEXMATCH(join("", "",$F573:$G573),N$1)=TRUE,""✓"",""✗"")"),"✗")</f>
        <v>✗</v>
      </c>
      <c r="O573" s="23" t="str">
        <f>IFERROR(__xludf.DUMMYFUNCTION("if(REGEXMATCH(join("", "",$F573:$G573),O$1)=TRUE,""✓"",""✗"")"),"✗")</f>
        <v>✗</v>
      </c>
      <c r="P573" s="23" t="str">
        <f>IFERROR(__xludf.DUMMYFUNCTION("if(REGEXMATCH(join("", "",$F573:$G573),P$1)=TRUE,""✓"",""✗"")"),"✗")</f>
        <v>✗</v>
      </c>
      <c r="Q573" s="23" t="str">
        <f>IFERROR(__xludf.DUMMYFUNCTION("if(REGEXMATCH(join("", "",$F573:$G573),Q$1)=TRUE,""✓"",""✗"")"),"✗")</f>
        <v>✗</v>
      </c>
      <c r="R573" s="23" t="str">
        <f>IFERROR(__xludf.DUMMYFUNCTION("if(REGEXMATCH(join("", "",$F573:$G573),R$1)=TRUE,""✓"",""✗"")"),"✗")</f>
        <v>✗</v>
      </c>
      <c r="S573" s="23" t="str">
        <f>IFERROR(__xludf.DUMMYFUNCTION("if(REGEXMATCH(join("", "",$F573:$G573),S$1)=TRUE,""✓"",""✗"")"),"✗")</f>
        <v>✗</v>
      </c>
      <c r="T573" s="23" t="str">
        <f>IFERROR(__xludf.DUMMYFUNCTION("if(REGEXMATCH(join("", "",$F573:$G573),T$1)=TRUE,""✓"",""✗"")"),"✗")</f>
        <v>✗</v>
      </c>
      <c r="U573" s="33"/>
      <c r="V573" s="33"/>
      <c r="W573" s="33"/>
      <c r="X573" s="33"/>
      <c r="Y573" s="33"/>
      <c r="Z573" s="33"/>
      <c r="AA573" s="33"/>
      <c r="AB573" s="33"/>
      <c r="AC573" s="33"/>
    </row>
    <row r="574" hidden="1">
      <c r="A574" s="17" t="s">
        <v>302</v>
      </c>
      <c r="B574" s="33"/>
      <c r="C574" s="33"/>
      <c r="D574" s="33"/>
      <c r="E574" s="33"/>
      <c r="F574" s="33"/>
      <c r="G574" s="33"/>
      <c r="H574" s="23" t="str">
        <f>IFERROR(__xludf.DUMMYFUNCTION("if(REGEXMATCH(join("", "",$F574:$G574),H$1)=TRUE,""✓"",""✗"")"),"✗")</f>
        <v>✗</v>
      </c>
      <c r="I574" s="23" t="str">
        <f>IFERROR(__xludf.DUMMYFUNCTION("if(REGEXMATCH(join("", "",$F574:$G574),I$1)=TRUE,""✓"",""✗"")"),"✗")</f>
        <v>✗</v>
      </c>
      <c r="J574" s="23" t="str">
        <f>IFERROR(__xludf.DUMMYFUNCTION("if(REGEXMATCH(join("", "",$F574:$G574),J$1)=TRUE,""✓"",""✗"")"),"✗")</f>
        <v>✗</v>
      </c>
      <c r="K574" s="23" t="str">
        <f>IFERROR(__xludf.DUMMYFUNCTION("if(REGEXMATCH(join("", "",$F574:$G574),K$1)=TRUE,""✓"",""✗"")"),"✗")</f>
        <v>✗</v>
      </c>
      <c r="L574" s="23" t="str">
        <f>IFERROR(__xludf.DUMMYFUNCTION("if(REGEXMATCH(join("", "",$F574:$G574),L$1)=TRUE,""✓"",""✗"")"),"✗")</f>
        <v>✗</v>
      </c>
      <c r="M574" s="23" t="str">
        <f>IFERROR(__xludf.DUMMYFUNCTION("if(REGEXMATCH(join("", "",$F574:$G574),M$1)=TRUE,""✓"",""✗"")"),"✗")</f>
        <v>✗</v>
      </c>
      <c r="N574" s="23" t="str">
        <f>IFERROR(__xludf.DUMMYFUNCTION("if(REGEXMATCH(join("", "",$F574:$G574),N$1)=TRUE,""✓"",""✗"")"),"✗")</f>
        <v>✗</v>
      </c>
      <c r="O574" s="23" t="str">
        <f>IFERROR(__xludf.DUMMYFUNCTION("if(REGEXMATCH(join("", "",$F574:$G574),O$1)=TRUE,""✓"",""✗"")"),"✗")</f>
        <v>✗</v>
      </c>
      <c r="P574" s="23" t="str">
        <f>IFERROR(__xludf.DUMMYFUNCTION("if(REGEXMATCH(join("", "",$F574:$G574),P$1)=TRUE,""✓"",""✗"")"),"✗")</f>
        <v>✗</v>
      </c>
      <c r="Q574" s="23" t="str">
        <f>IFERROR(__xludf.DUMMYFUNCTION("if(REGEXMATCH(join("", "",$F574:$G574),Q$1)=TRUE,""✓"",""✗"")"),"✗")</f>
        <v>✗</v>
      </c>
      <c r="R574" s="23" t="str">
        <f>IFERROR(__xludf.DUMMYFUNCTION("if(REGEXMATCH(join("", "",$F574:$G574),R$1)=TRUE,""✓"",""✗"")"),"✗")</f>
        <v>✗</v>
      </c>
      <c r="S574" s="23" t="str">
        <f>IFERROR(__xludf.DUMMYFUNCTION("if(REGEXMATCH(join("", "",$F574:$G574),S$1)=TRUE,""✓"",""✗"")"),"✗")</f>
        <v>✗</v>
      </c>
      <c r="T574" s="23" t="str">
        <f>IFERROR(__xludf.DUMMYFUNCTION("if(REGEXMATCH(join("", "",$F574:$G574),T$1)=TRUE,""✓"",""✗"")"),"✗")</f>
        <v>✗</v>
      </c>
      <c r="U574" s="33"/>
      <c r="V574" s="33"/>
      <c r="W574" s="33"/>
      <c r="X574" s="33"/>
      <c r="Y574" s="33"/>
      <c r="Z574" s="33"/>
      <c r="AA574" s="33"/>
      <c r="AB574" s="33"/>
      <c r="AC574" s="33"/>
    </row>
    <row r="575" hidden="1">
      <c r="A575" s="17" t="s">
        <v>302</v>
      </c>
      <c r="B575" s="33"/>
      <c r="C575" s="33"/>
      <c r="D575" s="33"/>
      <c r="E575" s="33"/>
      <c r="F575" s="33"/>
      <c r="G575" s="33"/>
      <c r="H575" s="23" t="str">
        <f>IFERROR(__xludf.DUMMYFUNCTION("if(REGEXMATCH(join("", "",$F575:$G575),H$1)=TRUE,""✓"",""✗"")"),"✗")</f>
        <v>✗</v>
      </c>
      <c r="I575" s="23" t="str">
        <f>IFERROR(__xludf.DUMMYFUNCTION("if(REGEXMATCH(join("", "",$F575:$G575),I$1)=TRUE,""✓"",""✗"")"),"✗")</f>
        <v>✗</v>
      </c>
      <c r="J575" s="23" t="str">
        <f>IFERROR(__xludf.DUMMYFUNCTION("if(REGEXMATCH(join("", "",$F575:$G575),J$1)=TRUE,""✓"",""✗"")"),"✗")</f>
        <v>✗</v>
      </c>
      <c r="K575" s="23" t="str">
        <f>IFERROR(__xludf.DUMMYFUNCTION("if(REGEXMATCH(join("", "",$F575:$G575),K$1)=TRUE,""✓"",""✗"")"),"✗")</f>
        <v>✗</v>
      </c>
      <c r="L575" s="23" t="str">
        <f>IFERROR(__xludf.DUMMYFUNCTION("if(REGEXMATCH(join("", "",$F575:$G575),L$1)=TRUE,""✓"",""✗"")"),"✗")</f>
        <v>✗</v>
      </c>
      <c r="M575" s="23" t="str">
        <f>IFERROR(__xludf.DUMMYFUNCTION("if(REGEXMATCH(join("", "",$F575:$G575),M$1)=TRUE,""✓"",""✗"")"),"✗")</f>
        <v>✗</v>
      </c>
      <c r="N575" s="23" t="str">
        <f>IFERROR(__xludf.DUMMYFUNCTION("if(REGEXMATCH(join("", "",$F575:$G575),N$1)=TRUE,""✓"",""✗"")"),"✗")</f>
        <v>✗</v>
      </c>
      <c r="O575" s="23" t="str">
        <f>IFERROR(__xludf.DUMMYFUNCTION("if(REGEXMATCH(join("", "",$F575:$G575),O$1)=TRUE,""✓"",""✗"")"),"✗")</f>
        <v>✗</v>
      </c>
      <c r="P575" s="23" t="str">
        <f>IFERROR(__xludf.DUMMYFUNCTION("if(REGEXMATCH(join("", "",$F575:$G575),P$1)=TRUE,""✓"",""✗"")"),"✗")</f>
        <v>✗</v>
      </c>
      <c r="Q575" s="23" t="str">
        <f>IFERROR(__xludf.DUMMYFUNCTION("if(REGEXMATCH(join("", "",$F575:$G575),Q$1)=TRUE,""✓"",""✗"")"),"✗")</f>
        <v>✗</v>
      </c>
      <c r="R575" s="23" t="str">
        <f>IFERROR(__xludf.DUMMYFUNCTION("if(REGEXMATCH(join("", "",$F575:$G575),R$1)=TRUE,""✓"",""✗"")"),"✗")</f>
        <v>✗</v>
      </c>
      <c r="S575" s="23" t="str">
        <f>IFERROR(__xludf.DUMMYFUNCTION("if(REGEXMATCH(join("", "",$F575:$G575),S$1)=TRUE,""✓"",""✗"")"),"✗")</f>
        <v>✗</v>
      </c>
      <c r="T575" s="23" t="str">
        <f>IFERROR(__xludf.DUMMYFUNCTION("if(REGEXMATCH(join("", "",$F575:$G575),T$1)=TRUE,""✓"",""✗"")"),"✗")</f>
        <v>✗</v>
      </c>
      <c r="U575" s="33"/>
      <c r="V575" s="33"/>
      <c r="W575" s="33"/>
      <c r="X575" s="33"/>
      <c r="Y575" s="33"/>
      <c r="Z575" s="33"/>
      <c r="AA575" s="33"/>
      <c r="AB575" s="33"/>
      <c r="AC575" s="33"/>
    </row>
    <row r="576" hidden="1">
      <c r="A576" s="17" t="s">
        <v>302</v>
      </c>
      <c r="B576" s="33"/>
      <c r="C576" s="33"/>
      <c r="D576" s="33"/>
      <c r="E576" s="33"/>
      <c r="F576" s="33"/>
      <c r="G576" s="33"/>
      <c r="H576" s="23" t="str">
        <f>IFERROR(__xludf.DUMMYFUNCTION("if(REGEXMATCH(join("", "",$F576:$G576),H$1)=TRUE,""✓"",""✗"")"),"✗")</f>
        <v>✗</v>
      </c>
      <c r="I576" s="23" t="str">
        <f>IFERROR(__xludf.DUMMYFUNCTION("if(REGEXMATCH(join("", "",$F576:$G576),I$1)=TRUE,""✓"",""✗"")"),"✗")</f>
        <v>✗</v>
      </c>
      <c r="J576" s="23" t="str">
        <f>IFERROR(__xludf.DUMMYFUNCTION("if(REGEXMATCH(join("", "",$F576:$G576),J$1)=TRUE,""✓"",""✗"")"),"✗")</f>
        <v>✗</v>
      </c>
      <c r="K576" s="23" t="str">
        <f>IFERROR(__xludf.DUMMYFUNCTION("if(REGEXMATCH(join("", "",$F576:$G576),K$1)=TRUE,""✓"",""✗"")"),"✗")</f>
        <v>✗</v>
      </c>
      <c r="L576" s="23" t="str">
        <f>IFERROR(__xludf.DUMMYFUNCTION("if(REGEXMATCH(join("", "",$F576:$G576),L$1)=TRUE,""✓"",""✗"")"),"✗")</f>
        <v>✗</v>
      </c>
      <c r="M576" s="23" t="str">
        <f>IFERROR(__xludf.DUMMYFUNCTION("if(REGEXMATCH(join("", "",$F576:$G576),M$1)=TRUE,""✓"",""✗"")"),"✗")</f>
        <v>✗</v>
      </c>
      <c r="N576" s="23" t="str">
        <f>IFERROR(__xludf.DUMMYFUNCTION("if(REGEXMATCH(join("", "",$F576:$G576),N$1)=TRUE,""✓"",""✗"")"),"✗")</f>
        <v>✗</v>
      </c>
      <c r="O576" s="23" t="str">
        <f>IFERROR(__xludf.DUMMYFUNCTION("if(REGEXMATCH(join("", "",$F576:$G576),O$1)=TRUE,""✓"",""✗"")"),"✗")</f>
        <v>✗</v>
      </c>
      <c r="P576" s="23" t="str">
        <f>IFERROR(__xludf.DUMMYFUNCTION("if(REGEXMATCH(join("", "",$F576:$G576),P$1)=TRUE,""✓"",""✗"")"),"✗")</f>
        <v>✗</v>
      </c>
      <c r="Q576" s="23" t="str">
        <f>IFERROR(__xludf.DUMMYFUNCTION("if(REGEXMATCH(join("", "",$F576:$G576),Q$1)=TRUE,""✓"",""✗"")"),"✗")</f>
        <v>✗</v>
      </c>
      <c r="R576" s="23" t="str">
        <f>IFERROR(__xludf.DUMMYFUNCTION("if(REGEXMATCH(join("", "",$F576:$G576),R$1)=TRUE,""✓"",""✗"")"),"✗")</f>
        <v>✗</v>
      </c>
      <c r="S576" s="23" t="str">
        <f>IFERROR(__xludf.DUMMYFUNCTION("if(REGEXMATCH(join("", "",$F576:$G576),S$1)=TRUE,""✓"",""✗"")"),"✗")</f>
        <v>✗</v>
      </c>
      <c r="T576" s="23" t="str">
        <f>IFERROR(__xludf.DUMMYFUNCTION("if(REGEXMATCH(join("", "",$F576:$G576),T$1)=TRUE,""✓"",""✗"")"),"✗")</f>
        <v>✗</v>
      </c>
      <c r="U576" s="33"/>
      <c r="V576" s="33"/>
      <c r="W576" s="33"/>
      <c r="X576" s="33"/>
      <c r="Y576" s="33"/>
      <c r="Z576" s="33"/>
      <c r="AA576" s="33"/>
      <c r="AB576" s="33"/>
      <c r="AC576" s="33"/>
    </row>
    <row r="577" hidden="1">
      <c r="A577" s="17" t="s">
        <v>302</v>
      </c>
      <c r="B577" s="33"/>
      <c r="C577" s="33"/>
      <c r="D577" s="33"/>
      <c r="E577" s="33"/>
      <c r="F577" s="33"/>
      <c r="G577" s="33"/>
      <c r="H577" s="23" t="str">
        <f>IFERROR(__xludf.DUMMYFUNCTION("if(REGEXMATCH(join("", "",$F577:$G577),H$1)=TRUE,""✓"",""✗"")"),"✗")</f>
        <v>✗</v>
      </c>
      <c r="I577" s="23" t="str">
        <f>IFERROR(__xludf.DUMMYFUNCTION("if(REGEXMATCH(join("", "",$F577:$G577),I$1)=TRUE,""✓"",""✗"")"),"✗")</f>
        <v>✗</v>
      </c>
      <c r="J577" s="23" t="str">
        <f>IFERROR(__xludf.DUMMYFUNCTION("if(REGEXMATCH(join("", "",$F577:$G577),J$1)=TRUE,""✓"",""✗"")"),"✗")</f>
        <v>✗</v>
      </c>
      <c r="K577" s="23" t="str">
        <f>IFERROR(__xludf.DUMMYFUNCTION("if(REGEXMATCH(join("", "",$F577:$G577),K$1)=TRUE,""✓"",""✗"")"),"✗")</f>
        <v>✗</v>
      </c>
      <c r="L577" s="23" t="str">
        <f>IFERROR(__xludf.DUMMYFUNCTION("if(REGEXMATCH(join("", "",$F577:$G577),L$1)=TRUE,""✓"",""✗"")"),"✗")</f>
        <v>✗</v>
      </c>
      <c r="M577" s="23" t="str">
        <f>IFERROR(__xludf.DUMMYFUNCTION("if(REGEXMATCH(join("", "",$F577:$G577),M$1)=TRUE,""✓"",""✗"")"),"✗")</f>
        <v>✗</v>
      </c>
      <c r="N577" s="23" t="str">
        <f>IFERROR(__xludf.DUMMYFUNCTION("if(REGEXMATCH(join("", "",$F577:$G577),N$1)=TRUE,""✓"",""✗"")"),"✗")</f>
        <v>✗</v>
      </c>
      <c r="O577" s="23" t="str">
        <f>IFERROR(__xludf.DUMMYFUNCTION("if(REGEXMATCH(join("", "",$F577:$G577),O$1)=TRUE,""✓"",""✗"")"),"✗")</f>
        <v>✗</v>
      </c>
      <c r="P577" s="23" t="str">
        <f>IFERROR(__xludf.DUMMYFUNCTION("if(REGEXMATCH(join("", "",$F577:$G577),P$1)=TRUE,""✓"",""✗"")"),"✗")</f>
        <v>✗</v>
      </c>
      <c r="Q577" s="23" t="str">
        <f>IFERROR(__xludf.DUMMYFUNCTION("if(REGEXMATCH(join("", "",$F577:$G577),Q$1)=TRUE,""✓"",""✗"")"),"✗")</f>
        <v>✗</v>
      </c>
      <c r="R577" s="23" t="str">
        <f>IFERROR(__xludf.DUMMYFUNCTION("if(REGEXMATCH(join("", "",$F577:$G577),R$1)=TRUE,""✓"",""✗"")"),"✗")</f>
        <v>✗</v>
      </c>
      <c r="S577" s="23" t="str">
        <f>IFERROR(__xludf.DUMMYFUNCTION("if(REGEXMATCH(join("", "",$F577:$G577),S$1)=TRUE,""✓"",""✗"")"),"✗")</f>
        <v>✗</v>
      </c>
      <c r="T577" s="23" t="str">
        <f>IFERROR(__xludf.DUMMYFUNCTION("if(REGEXMATCH(join("", "",$F577:$G577),T$1)=TRUE,""✓"",""✗"")"),"✗")</f>
        <v>✗</v>
      </c>
      <c r="U577" s="33"/>
      <c r="V577" s="33"/>
      <c r="W577" s="33"/>
      <c r="X577" s="33"/>
      <c r="Y577" s="33"/>
      <c r="Z577" s="33"/>
      <c r="AA577" s="33"/>
      <c r="AB577" s="33"/>
      <c r="AC577" s="33"/>
    </row>
    <row r="578" hidden="1">
      <c r="A578" s="17" t="s">
        <v>302</v>
      </c>
      <c r="B578" s="33"/>
      <c r="C578" s="33"/>
      <c r="D578" s="33"/>
      <c r="E578" s="33"/>
      <c r="F578" s="33"/>
      <c r="G578" s="33"/>
      <c r="H578" s="23" t="str">
        <f>IFERROR(__xludf.DUMMYFUNCTION("if(REGEXMATCH(join("", "",$F578:$G578),H$1)=TRUE,""✓"",""✗"")"),"✗")</f>
        <v>✗</v>
      </c>
      <c r="I578" s="23" t="str">
        <f>IFERROR(__xludf.DUMMYFUNCTION("if(REGEXMATCH(join("", "",$F578:$G578),I$1)=TRUE,""✓"",""✗"")"),"✗")</f>
        <v>✗</v>
      </c>
      <c r="J578" s="23" t="str">
        <f>IFERROR(__xludf.DUMMYFUNCTION("if(REGEXMATCH(join("", "",$F578:$G578),J$1)=TRUE,""✓"",""✗"")"),"✗")</f>
        <v>✗</v>
      </c>
      <c r="K578" s="23" t="str">
        <f>IFERROR(__xludf.DUMMYFUNCTION("if(REGEXMATCH(join("", "",$F578:$G578),K$1)=TRUE,""✓"",""✗"")"),"✗")</f>
        <v>✗</v>
      </c>
      <c r="L578" s="23" t="str">
        <f>IFERROR(__xludf.DUMMYFUNCTION("if(REGEXMATCH(join("", "",$F578:$G578),L$1)=TRUE,""✓"",""✗"")"),"✗")</f>
        <v>✗</v>
      </c>
      <c r="M578" s="23" t="str">
        <f>IFERROR(__xludf.DUMMYFUNCTION("if(REGEXMATCH(join("", "",$F578:$G578),M$1)=TRUE,""✓"",""✗"")"),"✗")</f>
        <v>✗</v>
      </c>
      <c r="N578" s="23" t="str">
        <f>IFERROR(__xludf.DUMMYFUNCTION("if(REGEXMATCH(join("", "",$F578:$G578),N$1)=TRUE,""✓"",""✗"")"),"✗")</f>
        <v>✗</v>
      </c>
      <c r="O578" s="23" t="str">
        <f>IFERROR(__xludf.DUMMYFUNCTION("if(REGEXMATCH(join("", "",$F578:$G578),O$1)=TRUE,""✓"",""✗"")"),"✗")</f>
        <v>✗</v>
      </c>
      <c r="P578" s="23" t="str">
        <f>IFERROR(__xludf.DUMMYFUNCTION("if(REGEXMATCH(join("", "",$F578:$G578),P$1)=TRUE,""✓"",""✗"")"),"✗")</f>
        <v>✗</v>
      </c>
      <c r="Q578" s="23" t="str">
        <f>IFERROR(__xludf.DUMMYFUNCTION("if(REGEXMATCH(join("", "",$F578:$G578),Q$1)=TRUE,""✓"",""✗"")"),"✗")</f>
        <v>✗</v>
      </c>
      <c r="R578" s="23" t="str">
        <f>IFERROR(__xludf.DUMMYFUNCTION("if(REGEXMATCH(join("", "",$F578:$G578),R$1)=TRUE,""✓"",""✗"")"),"✗")</f>
        <v>✗</v>
      </c>
      <c r="S578" s="23" t="str">
        <f>IFERROR(__xludf.DUMMYFUNCTION("if(REGEXMATCH(join("", "",$F578:$G578),S$1)=TRUE,""✓"",""✗"")"),"✗")</f>
        <v>✗</v>
      </c>
      <c r="T578" s="23" t="str">
        <f>IFERROR(__xludf.DUMMYFUNCTION("if(REGEXMATCH(join("", "",$F578:$G578),T$1)=TRUE,""✓"",""✗"")"),"✗")</f>
        <v>✗</v>
      </c>
      <c r="U578" s="33"/>
      <c r="V578" s="33"/>
      <c r="W578" s="33"/>
      <c r="X578" s="33"/>
      <c r="Y578" s="33"/>
      <c r="Z578" s="33"/>
      <c r="AA578" s="33"/>
      <c r="AB578" s="33"/>
      <c r="AC578" s="33"/>
    </row>
    <row r="579" hidden="1">
      <c r="A579" s="17" t="s">
        <v>302</v>
      </c>
      <c r="B579" s="33"/>
      <c r="C579" s="33"/>
      <c r="D579" s="33"/>
      <c r="E579" s="33"/>
      <c r="F579" s="33"/>
      <c r="G579" s="33"/>
      <c r="H579" s="23" t="str">
        <f>IFERROR(__xludf.DUMMYFUNCTION("if(REGEXMATCH(join("", "",$F579:$G579),H$1)=TRUE,""✓"",""✗"")"),"✗")</f>
        <v>✗</v>
      </c>
      <c r="I579" s="23" t="str">
        <f>IFERROR(__xludf.DUMMYFUNCTION("if(REGEXMATCH(join("", "",$F579:$G579),I$1)=TRUE,""✓"",""✗"")"),"✗")</f>
        <v>✗</v>
      </c>
      <c r="J579" s="23" t="str">
        <f>IFERROR(__xludf.DUMMYFUNCTION("if(REGEXMATCH(join("", "",$F579:$G579),J$1)=TRUE,""✓"",""✗"")"),"✗")</f>
        <v>✗</v>
      </c>
      <c r="K579" s="23" t="str">
        <f>IFERROR(__xludf.DUMMYFUNCTION("if(REGEXMATCH(join("", "",$F579:$G579),K$1)=TRUE,""✓"",""✗"")"),"✗")</f>
        <v>✗</v>
      </c>
      <c r="L579" s="23" t="str">
        <f>IFERROR(__xludf.DUMMYFUNCTION("if(REGEXMATCH(join("", "",$F579:$G579),L$1)=TRUE,""✓"",""✗"")"),"✗")</f>
        <v>✗</v>
      </c>
      <c r="M579" s="23" t="str">
        <f>IFERROR(__xludf.DUMMYFUNCTION("if(REGEXMATCH(join("", "",$F579:$G579),M$1)=TRUE,""✓"",""✗"")"),"✗")</f>
        <v>✗</v>
      </c>
      <c r="N579" s="23" t="str">
        <f>IFERROR(__xludf.DUMMYFUNCTION("if(REGEXMATCH(join("", "",$F579:$G579),N$1)=TRUE,""✓"",""✗"")"),"✗")</f>
        <v>✗</v>
      </c>
      <c r="O579" s="23" t="str">
        <f>IFERROR(__xludf.DUMMYFUNCTION("if(REGEXMATCH(join("", "",$F579:$G579),O$1)=TRUE,""✓"",""✗"")"),"✗")</f>
        <v>✗</v>
      </c>
      <c r="P579" s="23" t="str">
        <f>IFERROR(__xludf.DUMMYFUNCTION("if(REGEXMATCH(join("", "",$F579:$G579),P$1)=TRUE,""✓"",""✗"")"),"✗")</f>
        <v>✗</v>
      </c>
      <c r="Q579" s="23" t="str">
        <f>IFERROR(__xludf.DUMMYFUNCTION("if(REGEXMATCH(join("", "",$F579:$G579),Q$1)=TRUE,""✓"",""✗"")"),"✗")</f>
        <v>✗</v>
      </c>
      <c r="R579" s="23" t="str">
        <f>IFERROR(__xludf.DUMMYFUNCTION("if(REGEXMATCH(join("", "",$F579:$G579),R$1)=TRUE,""✓"",""✗"")"),"✗")</f>
        <v>✗</v>
      </c>
      <c r="S579" s="23" t="str">
        <f>IFERROR(__xludf.DUMMYFUNCTION("if(REGEXMATCH(join("", "",$F579:$G579),S$1)=TRUE,""✓"",""✗"")"),"✗")</f>
        <v>✗</v>
      </c>
      <c r="T579" s="23" t="str">
        <f>IFERROR(__xludf.DUMMYFUNCTION("if(REGEXMATCH(join("", "",$F579:$G579),T$1)=TRUE,""✓"",""✗"")"),"✗")</f>
        <v>✗</v>
      </c>
      <c r="U579" s="33"/>
      <c r="V579" s="33"/>
      <c r="W579" s="33"/>
      <c r="X579" s="33"/>
      <c r="Y579" s="33"/>
      <c r="Z579" s="33"/>
      <c r="AA579" s="33"/>
      <c r="AB579" s="33"/>
      <c r="AC579" s="33"/>
    </row>
    <row r="580" hidden="1">
      <c r="A580" s="17" t="s">
        <v>302</v>
      </c>
      <c r="B580" s="33"/>
      <c r="C580" s="33"/>
      <c r="D580" s="33"/>
      <c r="E580" s="33"/>
      <c r="F580" s="33"/>
      <c r="G580" s="33"/>
      <c r="H580" s="23" t="str">
        <f>IFERROR(__xludf.DUMMYFUNCTION("if(REGEXMATCH(join("", "",$F580:$G580),H$1)=TRUE,""✓"",""✗"")"),"✗")</f>
        <v>✗</v>
      </c>
      <c r="I580" s="23" t="str">
        <f>IFERROR(__xludf.DUMMYFUNCTION("if(REGEXMATCH(join("", "",$F580:$G580),I$1)=TRUE,""✓"",""✗"")"),"✗")</f>
        <v>✗</v>
      </c>
      <c r="J580" s="23" t="str">
        <f>IFERROR(__xludf.DUMMYFUNCTION("if(REGEXMATCH(join("", "",$F580:$G580),J$1)=TRUE,""✓"",""✗"")"),"✗")</f>
        <v>✗</v>
      </c>
      <c r="K580" s="23" t="str">
        <f>IFERROR(__xludf.DUMMYFUNCTION("if(REGEXMATCH(join("", "",$F580:$G580),K$1)=TRUE,""✓"",""✗"")"),"✗")</f>
        <v>✗</v>
      </c>
      <c r="L580" s="23" t="str">
        <f>IFERROR(__xludf.DUMMYFUNCTION("if(REGEXMATCH(join("", "",$F580:$G580),L$1)=TRUE,""✓"",""✗"")"),"✗")</f>
        <v>✗</v>
      </c>
      <c r="M580" s="23" t="str">
        <f>IFERROR(__xludf.DUMMYFUNCTION("if(REGEXMATCH(join("", "",$F580:$G580),M$1)=TRUE,""✓"",""✗"")"),"✗")</f>
        <v>✗</v>
      </c>
      <c r="N580" s="23" t="str">
        <f>IFERROR(__xludf.DUMMYFUNCTION("if(REGEXMATCH(join("", "",$F580:$G580),N$1)=TRUE,""✓"",""✗"")"),"✗")</f>
        <v>✗</v>
      </c>
      <c r="O580" s="23" t="str">
        <f>IFERROR(__xludf.DUMMYFUNCTION("if(REGEXMATCH(join("", "",$F580:$G580),O$1)=TRUE,""✓"",""✗"")"),"✗")</f>
        <v>✗</v>
      </c>
      <c r="P580" s="23" t="str">
        <f>IFERROR(__xludf.DUMMYFUNCTION("if(REGEXMATCH(join("", "",$F580:$G580),P$1)=TRUE,""✓"",""✗"")"),"✗")</f>
        <v>✗</v>
      </c>
      <c r="Q580" s="23" t="str">
        <f>IFERROR(__xludf.DUMMYFUNCTION("if(REGEXMATCH(join("", "",$F580:$G580),Q$1)=TRUE,""✓"",""✗"")"),"✗")</f>
        <v>✗</v>
      </c>
      <c r="R580" s="23" t="str">
        <f>IFERROR(__xludf.DUMMYFUNCTION("if(REGEXMATCH(join("", "",$F580:$G580),R$1)=TRUE,""✓"",""✗"")"),"✗")</f>
        <v>✗</v>
      </c>
      <c r="S580" s="23" t="str">
        <f>IFERROR(__xludf.DUMMYFUNCTION("if(REGEXMATCH(join("", "",$F580:$G580),S$1)=TRUE,""✓"",""✗"")"),"✗")</f>
        <v>✗</v>
      </c>
      <c r="T580" s="23" t="str">
        <f>IFERROR(__xludf.DUMMYFUNCTION("if(REGEXMATCH(join("", "",$F580:$G580),T$1)=TRUE,""✓"",""✗"")"),"✗")</f>
        <v>✗</v>
      </c>
      <c r="U580" s="33"/>
      <c r="V580" s="33"/>
      <c r="W580" s="33"/>
      <c r="X580" s="33"/>
      <c r="Y580" s="33"/>
      <c r="Z580" s="33"/>
      <c r="AA580" s="33"/>
      <c r="AB580" s="33"/>
      <c r="AC580" s="33"/>
    </row>
    <row r="581" hidden="1">
      <c r="A581" s="17" t="s">
        <v>302</v>
      </c>
      <c r="B581" s="33"/>
      <c r="C581" s="33"/>
      <c r="D581" s="33"/>
      <c r="E581" s="33"/>
      <c r="F581" s="33"/>
      <c r="G581" s="33"/>
      <c r="H581" s="23" t="str">
        <f>IFERROR(__xludf.DUMMYFUNCTION("if(REGEXMATCH(join("", "",$F581:$G581),H$1)=TRUE,""✓"",""✗"")"),"✗")</f>
        <v>✗</v>
      </c>
      <c r="I581" s="23" t="str">
        <f>IFERROR(__xludf.DUMMYFUNCTION("if(REGEXMATCH(join("", "",$F581:$G581),I$1)=TRUE,""✓"",""✗"")"),"✗")</f>
        <v>✗</v>
      </c>
      <c r="J581" s="23" t="str">
        <f>IFERROR(__xludf.DUMMYFUNCTION("if(REGEXMATCH(join("", "",$F581:$G581),J$1)=TRUE,""✓"",""✗"")"),"✗")</f>
        <v>✗</v>
      </c>
      <c r="K581" s="23" t="str">
        <f>IFERROR(__xludf.DUMMYFUNCTION("if(REGEXMATCH(join("", "",$F581:$G581),K$1)=TRUE,""✓"",""✗"")"),"✗")</f>
        <v>✗</v>
      </c>
      <c r="L581" s="23" t="str">
        <f>IFERROR(__xludf.DUMMYFUNCTION("if(REGEXMATCH(join("", "",$F581:$G581),L$1)=TRUE,""✓"",""✗"")"),"✗")</f>
        <v>✗</v>
      </c>
      <c r="M581" s="23" t="str">
        <f>IFERROR(__xludf.DUMMYFUNCTION("if(REGEXMATCH(join("", "",$F581:$G581),M$1)=TRUE,""✓"",""✗"")"),"✗")</f>
        <v>✗</v>
      </c>
      <c r="N581" s="23" t="str">
        <f>IFERROR(__xludf.DUMMYFUNCTION("if(REGEXMATCH(join("", "",$F581:$G581),N$1)=TRUE,""✓"",""✗"")"),"✗")</f>
        <v>✗</v>
      </c>
      <c r="O581" s="23" t="str">
        <f>IFERROR(__xludf.DUMMYFUNCTION("if(REGEXMATCH(join("", "",$F581:$G581),O$1)=TRUE,""✓"",""✗"")"),"✗")</f>
        <v>✗</v>
      </c>
      <c r="P581" s="23" t="str">
        <f>IFERROR(__xludf.DUMMYFUNCTION("if(REGEXMATCH(join("", "",$F581:$G581),P$1)=TRUE,""✓"",""✗"")"),"✗")</f>
        <v>✗</v>
      </c>
      <c r="Q581" s="23" t="str">
        <f>IFERROR(__xludf.DUMMYFUNCTION("if(REGEXMATCH(join("", "",$F581:$G581),Q$1)=TRUE,""✓"",""✗"")"),"✗")</f>
        <v>✗</v>
      </c>
      <c r="R581" s="23" t="str">
        <f>IFERROR(__xludf.DUMMYFUNCTION("if(REGEXMATCH(join("", "",$F581:$G581),R$1)=TRUE,""✓"",""✗"")"),"✗")</f>
        <v>✗</v>
      </c>
      <c r="S581" s="23" t="str">
        <f>IFERROR(__xludf.DUMMYFUNCTION("if(REGEXMATCH(join("", "",$F581:$G581),S$1)=TRUE,""✓"",""✗"")"),"✗")</f>
        <v>✗</v>
      </c>
      <c r="T581" s="23" t="str">
        <f>IFERROR(__xludf.DUMMYFUNCTION("if(REGEXMATCH(join("", "",$F581:$G581),T$1)=TRUE,""✓"",""✗"")"),"✗")</f>
        <v>✗</v>
      </c>
      <c r="U581" s="33"/>
      <c r="V581" s="33"/>
      <c r="W581" s="33"/>
      <c r="X581" s="33"/>
      <c r="Y581" s="33"/>
      <c r="Z581" s="33"/>
      <c r="AA581" s="33"/>
      <c r="AB581" s="33"/>
      <c r="AC581" s="33"/>
    </row>
    <row r="582" hidden="1">
      <c r="A582" s="17" t="s">
        <v>302</v>
      </c>
      <c r="B582" s="33"/>
      <c r="C582" s="33"/>
      <c r="D582" s="33"/>
      <c r="E582" s="33"/>
      <c r="F582" s="33"/>
      <c r="G582" s="33"/>
      <c r="H582" s="23" t="str">
        <f>IFERROR(__xludf.DUMMYFUNCTION("if(REGEXMATCH(join("", "",$F582:$G582),H$1)=TRUE,""✓"",""✗"")"),"✗")</f>
        <v>✗</v>
      </c>
      <c r="I582" s="23" t="str">
        <f>IFERROR(__xludf.DUMMYFUNCTION("if(REGEXMATCH(join("", "",$F582:$G582),I$1)=TRUE,""✓"",""✗"")"),"✗")</f>
        <v>✗</v>
      </c>
      <c r="J582" s="23" t="str">
        <f>IFERROR(__xludf.DUMMYFUNCTION("if(REGEXMATCH(join("", "",$F582:$G582),J$1)=TRUE,""✓"",""✗"")"),"✗")</f>
        <v>✗</v>
      </c>
      <c r="K582" s="23" t="str">
        <f>IFERROR(__xludf.DUMMYFUNCTION("if(REGEXMATCH(join("", "",$F582:$G582),K$1)=TRUE,""✓"",""✗"")"),"✗")</f>
        <v>✗</v>
      </c>
      <c r="L582" s="23" t="str">
        <f>IFERROR(__xludf.DUMMYFUNCTION("if(REGEXMATCH(join("", "",$F582:$G582),L$1)=TRUE,""✓"",""✗"")"),"✗")</f>
        <v>✗</v>
      </c>
      <c r="M582" s="23" t="str">
        <f>IFERROR(__xludf.DUMMYFUNCTION("if(REGEXMATCH(join("", "",$F582:$G582),M$1)=TRUE,""✓"",""✗"")"),"✗")</f>
        <v>✗</v>
      </c>
      <c r="N582" s="23" t="str">
        <f>IFERROR(__xludf.DUMMYFUNCTION("if(REGEXMATCH(join("", "",$F582:$G582),N$1)=TRUE,""✓"",""✗"")"),"✗")</f>
        <v>✗</v>
      </c>
      <c r="O582" s="23" t="str">
        <f>IFERROR(__xludf.DUMMYFUNCTION("if(REGEXMATCH(join("", "",$F582:$G582),O$1)=TRUE,""✓"",""✗"")"),"✗")</f>
        <v>✗</v>
      </c>
      <c r="P582" s="23" t="str">
        <f>IFERROR(__xludf.DUMMYFUNCTION("if(REGEXMATCH(join("", "",$F582:$G582),P$1)=TRUE,""✓"",""✗"")"),"✗")</f>
        <v>✗</v>
      </c>
      <c r="Q582" s="23" t="str">
        <f>IFERROR(__xludf.DUMMYFUNCTION("if(REGEXMATCH(join("", "",$F582:$G582),Q$1)=TRUE,""✓"",""✗"")"),"✗")</f>
        <v>✗</v>
      </c>
      <c r="R582" s="23" t="str">
        <f>IFERROR(__xludf.DUMMYFUNCTION("if(REGEXMATCH(join("", "",$F582:$G582),R$1)=TRUE,""✓"",""✗"")"),"✗")</f>
        <v>✗</v>
      </c>
      <c r="S582" s="23" t="str">
        <f>IFERROR(__xludf.DUMMYFUNCTION("if(REGEXMATCH(join("", "",$F582:$G582),S$1)=TRUE,""✓"",""✗"")"),"✗")</f>
        <v>✗</v>
      </c>
      <c r="T582" s="23" t="str">
        <f>IFERROR(__xludf.DUMMYFUNCTION("if(REGEXMATCH(join("", "",$F582:$G582),T$1)=TRUE,""✓"",""✗"")"),"✗")</f>
        <v>✗</v>
      </c>
      <c r="U582" s="33"/>
      <c r="V582" s="33"/>
      <c r="W582" s="33"/>
      <c r="X582" s="33"/>
      <c r="Y582" s="33"/>
      <c r="Z582" s="33"/>
      <c r="AA582" s="33"/>
      <c r="AB582" s="33"/>
      <c r="AC582" s="33"/>
    </row>
    <row r="583" hidden="1">
      <c r="A583" s="17" t="s">
        <v>302</v>
      </c>
      <c r="B583" s="33"/>
      <c r="C583" s="33"/>
      <c r="D583" s="33"/>
      <c r="E583" s="33"/>
      <c r="F583" s="33"/>
      <c r="G583" s="33"/>
      <c r="H583" s="23" t="str">
        <f>IFERROR(__xludf.DUMMYFUNCTION("if(REGEXMATCH(join("", "",$F583:$G583),H$1)=TRUE,""✓"",""✗"")"),"✗")</f>
        <v>✗</v>
      </c>
      <c r="I583" s="23" t="str">
        <f>IFERROR(__xludf.DUMMYFUNCTION("if(REGEXMATCH(join("", "",$F583:$G583),I$1)=TRUE,""✓"",""✗"")"),"✗")</f>
        <v>✗</v>
      </c>
      <c r="J583" s="23" t="str">
        <f>IFERROR(__xludf.DUMMYFUNCTION("if(REGEXMATCH(join("", "",$F583:$G583),J$1)=TRUE,""✓"",""✗"")"),"✗")</f>
        <v>✗</v>
      </c>
      <c r="K583" s="23" t="str">
        <f>IFERROR(__xludf.DUMMYFUNCTION("if(REGEXMATCH(join("", "",$F583:$G583),K$1)=TRUE,""✓"",""✗"")"),"✗")</f>
        <v>✗</v>
      </c>
      <c r="L583" s="23" t="str">
        <f>IFERROR(__xludf.DUMMYFUNCTION("if(REGEXMATCH(join("", "",$F583:$G583),L$1)=TRUE,""✓"",""✗"")"),"✗")</f>
        <v>✗</v>
      </c>
      <c r="M583" s="23" t="str">
        <f>IFERROR(__xludf.DUMMYFUNCTION("if(REGEXMATCH(join("", "",$F583:$G583),M$1)=TRUE,""✓"",""✗"")"),"✗")</f>
        <v>✗</v>
      </c>
      <c r="N583" s="23" t="str">
        <f>IFERROR(__xludf.DUMMYFUNCTION("if(REGEXMATCH(join("", "",$F583:$G583),N$1)=TRUE,""✓"",""✗"")"),"✗")</f>
        <v>✗</v>
      </c>
      <c r="O583" s="23" t="str">
        <f>IFERROR(__xludf.DUMMYFUNCTION("if(REGEXMATCH(join("", "",$F583:$G583),O$1)=TRUE,""✓"",""✗"")"),"✗")</f>
        <v>✗</v>
      </c>
      <c r="P583" s="23" t="str">
        <f>IFERROR(__xludf.DUMMYFUNCTION("if(REGEXMATCH(join("", "",$F583:$G583),P$1)=TRUE,""✓"",""✗"")"),"✗")</f>
        <v>✗</v>
      </c>
      <c r="Q583" s="23" t="str">
        <f>IFERROR(__xludf.DUMMYFUNCTION("if(REGEXMATCH(join("", "",$F583:$G583),Q$1)=TRUE,""✓"",""✗"")"),"✗")</f>
        <v>✗</v>
      </c>
      <c r="R583" s="23" t="str">
        <f>IFERROR(__xludf.DUMMYFUNCTION("if(REGEXMATCH(join("", "",$F583:$G583),R$1)=TRUE,""✓"",""✗"")"),"✗")</f>
        <v>✗</v>
      </c>
      <c r="S583" s="23" t="str">
        <f>IFERROR(__xludf.DUMMYFUNCTION("if(REGEXMATCH(join("", "",$F583:$G583),S$1)=TRUE,""✓"",""✗"")"),"✗")</f>
        <v>✗</v>
      </c>
      <c r="T583" s="23" t="str">
        <f>IFERROR(__xludf.DUMMYFUNCTION("if(REGEXMATCH(join("", "",$F583:$G583),T$1)=TRUE,""✓"",""✗"")"),"✗")</f>
        <v>✗</v>
      </c>
      <c r="U583" s="33"/>
      <c r="V583" s="33"/>
      <c r="W583" s="33"/>
      <c r="X583" s="33"/>
      <c r="Y583" s="33"/>
      <c r="Z583" s="33"/>
      <c r="AA583" s="33"/>
      <c r="AB583" s="33"/>
      <c r="AC583" s="33"/>
    </row>
    <row r="584" hidden="1">
      <c r="A584" s="17" t="s">
        <v>302</v>
      </c>
      <c r="B584" s="33"/>
      <c r="C584" s="33"/>
      <c r="D584" s="33"/>
      <c r="E584" s="33"/>
      <c r="F584" s="33"/>
      <c r="G584" s="33"/>
      <c r="H584" s="23" t="str">
        <f>IFERROR(__xludf.DUMMYFUNCTION("if(REGEXMATCH(join("", "",$F584:$G584),H$1)=TRUE,""✓"",""✗"")"),"✗")</f>
        <v>✗</v>
      </c>
      <c r="I584" s="23" t="str">
        <f>IFERROR(__xludf.DUMMYFUNCTION("if(REGEXMATCH(join("", "",$F584:$G584),I$1)=TRUE,""✓"",""✗"")"),"✗")</f>
        <v>✗</v>
      </c>
      <c r="J584" s="23" t="str">
        <f>IFERROR(__xludf.DUMMYFUNCTION("if(REGEXMATCH(join("", "",$F584:$G584),J$1)=TRUE,""✓"",""✗"")"),"✗")</f>
        <v>✗</v>
      </c>
      <c r="K584" s="23" t="str">
        <f>IFERROR(__xludf.DUMMYFUNCTION("if(REGEXMATCH(join("", "",$F584:$G584),K$1)=TRUE,""✓"",""✗"")"),"✗")</f>
        <v>✗</v>
      </c>
      <c r="L584" s="23" t="str">
        <f>IFERROR(__xludf.DUMMYFUNCTION("if(REGEXMATCH(join("", "",$F584:$G584),L$1)=TRUE,""✓"",""✗"")"),"✗")</f>
        <v>✗</v>
      </c>
      <c r="M584" s="23" t="str">
        <f>IFERROR(__xludf.DUMMYFUNCTION("if(REGEXMATCH(join("", "",$F584:$G584),M$1)=TRUE,""✓"",""✗"")"),"✗")</f>
        <v>✗</v>
      </c>
      <c r="N584" s="23" t="str">
        <f>IFERROR(__xludf.DUMMYFUNCTION("if(REGEXMATCH(join("", "",$F584:$G584),N$1)=TRUE,""✓"",""✗"")"),"✗")</f>
        <v>✗</v>
      </c>
      <c r="O584" s="23" t="str">
        <f>IFERROR(__xludf.DUMMYFUNCTION("if(REGEXMATCH(join("", "",$F584:$G584),O$1)=TRUE,""✓"",""✗"")"),"✗")</f>
        <v>✗</v>
      </c>
      <c r="P584" s="23" t="str">
        <f>IFERROR(__xludf.DUMMYFUNCTION("if(REGEXMATCH(join("", "",$F584:$G584),P$1)=TRUE,""✓"",""✗"")"),"✗")</f>
        <v>✗</v>
      </c>
      <c r="Q584" s="23" t="str">
        <f>IFERROR(__xludf.DUMMYFUNCTION("if(REGEXMATCH(join("", "",$F584:$G584),Q$1)=TRUE,""✓"",""✗"")"),"✗")</f>
        <v>✗</v>
      </c>
      <c r="R584" s="23" t="str">
        <f>IFERROR(__xludf.DUMMYFUNCTION("if(REGEXMATCH(join("", "",$F584:$G584),R$1)=TRUE,""✓"",""✗"")"),"✗")</f>
        <v>✗</v>
      </c>
      <c r="S584" s="23" t="str">
        <f>IFERROR(__xludf.DUMMYFUNCTION("if(REGEXMATCH(join("", "",$F584:$G584),S$1)=TRUE,""✓"",""✗"")"),"✗")</f>
        <v>✗</v>
      </c>
      <c r="T584" s="23" t="str">
        <f>IFERROR(__xludf.DUMMYFUNCTION("if(REGEXMATCH(join("", "",$F584:$G584),T$1)=TRUE,""✓"",""✗"")"),"✗")</f>
        <v>✗</v>
      </c>
      <c r="U584" s="33"/>
      <c r="V584" s="33"/>
      <c r="W584" s="33"/>
      <c r="X584" s="33"/>
      <c r="Y584" s="33"/>
      <c r="Z584" s="33"/>
      <c r="AA584" s="33"/>
      <c r="AB584" s="33"/>
      <c r="AC584" s="33"/>
    </row>
    <row r="585" hidden="1">
      <c r="A585" s="17" t="s">
        <v>302</v>
      </c>
      <c r="B585" s="33"/>
      <c r="C585" s="33"/>
      <c r="D585" s="33"/>
      <c r="E585" s="33"/>
      <c r="F585" s="33"/>
      <c r="G585" s="33"/>
      <c r="H585" s="23" t="str">
        <f>IFERROR(__xludf.DUMMYFUNCTION("if(REGEXMATCH(join("", "",$F585:$G585),H$1)=TRUE,""✓"",""✗"")"),"✗")</f>
        <v>✗</v>
      </c>
      <c r="I585" s="23" t="str">
        <f>IFERROR(__xludf.DUMMYFUNCTION("if(REGEXMATCH(join("", "",$F585:$G585),I$1)=TRUE,""✓"",""✗"")"),"✗")</f>
        <v>✗</v>
      </c>
      <c r="J585" s="23" t="str">
        <f>IFERROR(__xludf.DUMMYFUNCTION("if(REGEXMATCH(join("", "",$F585:$G585),J$1)=TRUE,""✓"",""✗"")"),"✗")</f>
        <v>✗</v>
      </c>
      <c r="K585" s="23" t="str">
        <f>IFERROR(__xludf.DUMMYFUNCTION("if(REGEXMATCH(join("", "",$F585:$G585),K$1)=TRUE,""✓"",""✗"")"),"✗")</f>
        <v>✗</v>
      </c>
      <c r="L585" s="23" t="str">
        <f>IFERROR(__xludf.DUMMYFUNCTION("if(REGEXMATCH(join("", "",$F585:$G585),L$1)=TRUE,""✓"",""✗"")"),"✗")</f>
        <v>✗</v>
      </c>
      <c r="M585" s="23" t="str">
        <f>IFERROR(__xludf.DUMMYFUNCTION("if(REGEXMATCH(join("", "",$F585:$G585),M$1)=TRUE,""✓"",""✗"")"),"✗")</f>
        <v>✗</v>
      </c>
      <c r="N585" s="23" t="str">
        <f>IFERROR(__xludf.DUMMYFUNCTION("if(REGEXMATCH(join("", "",$F585:$G585),N$1)=TRUE,""✓"",""✗"")"),"✗")</f>
        <v>✗</v>
      </c>
      <c r="O585" s="23" t="str">
        <f>IFERROR(__xludf.DUMMYFUNCTION("if(REGEXMATCH(join("", "",$F585:$G585),O$1)=TRUE,""✓"",""✗"")"),"✗")</f>
        <v>✗</v>
      </c>
      <c r="P585" s="23" t="str">
        <f>IFERROR(__xludf.DUMMYFUNCTION("if(REGEXMATCH(join("", "",$F585:$G585),P$1)=TRUE,""✓"",""✗"")"),"✗")</f>
        <v>✗</v>
      </c>
      <c r="Q585" s="23" t="str">
        <f>IFERROR(__xludf.DUMMYFUNCTION("if(REGEXMATCH(join("", "",$F585:$G585),Q$1)=TRUE,""✓"",""✗"")"),"✗")</f>
        <v>✗</v>
      </c>
      <c r="R585" s="23" t="str">
        <f>IFERROR(__xludf.DUMMYFUNCTION("if(REGEXMATCH(join("", "",$F585:$G585),R$1)=TRUE,""✓"",""✗"")"),"✗")</f>
        <v>✗</v>
      </c>
      <c r="S585" s="23" t="str">
        <f>IFERROR(__xludf.DUMMYFUNCTION("if(REGEXMATCH(join("", "",$F585:$G585),S$1)=TRUE,""✓"",""✗"")"),"✗")</f>
        <v>✗</v>
      </c>
      <c r="T585" s="23" t="str">
        <f>IFERROR(__xludf.DUMMYFUNCTION("if(REGEXMATCH(join("", "",$F585:$G585),T$1)=TRUE,""✓"",""✗"")"),"✗")</f>
        <v>✗</v>
      </c>
      <c r="U585" s="33"/>
      <c r="V585" s="33"/>
      <c r="W585" s="33"/>
      <c r="X585" s="33"/>
      <c r="Y585" s="33"/>
      <c r="Z585" s="33"/>
      <c r="AA585" s="33"/>
      <c r="AB585" s="33"/>
      <c r="AC585" s="33"/>
    </row>
    <row r="586" hidden="1">
      <c r="A586" s="17" t="s">
        <v>302</v>
      </c>
      <c r="B586" s="33"/>
      <c r="C586" s="33"/>
      <c r="D586" s="33"/>
      <c r="E586" s="33"/>
      <c r="F586" s="33"/>
      <c r="G586" s="33"/>
      <c r="H586" s="23" t="str">
        <f>IFERROR(__xludf.DUMMYFUNCTION("if(REGEXMATCH(join("", "",$F586:$G586),H$1)=TRUE,""✓"",""✗"")"),"✗")</f>
        <v>✗</v>
      </c>
      <c r="I586" s="23" t="str">
        <f>IFERROR(__xludf.DUMMYFUNCTION("if(REGEXMATCH(join("", "",$F586:$G586),I$1)=TRUE,""✓"",""✗"")"),"✗")</f>
        <v>✗</v>
      </c>
      <c r="J586" s="23" t="str">
        <f>IFERROR(__xludf.DUMMYFUNCTION("if(REGEXMATCH(join("", "",$F586:$G586),J$1)=TRUE,""✓"",""✗"")"),"✗")</f>
        <v>✗</v>
      </c>
      <c r="K586" s="23" t="str">
        <f>IFERROR(__xludf.DUMMYFUNCTION("if(REGEXMATCH(join("", "",$F586:$G586),K$1)=TRUE,""✓"",""✗"")"),"✗")</f>
        <v>✗</v>
      </c>
      <c r="L586" s="23" t="str">
        <f>IFERROR(__xludf.DUMMYFUNCTION("if(REGEXMATCH(join("", "",$F586:$G586),L$1)=TRUE,""✓"",""✗"")"),"✗")</f>
        <v>✗</v>
      </c>
      <c r="M586" s="23" t="str">
        <f>IFERROR(__xludf.DUMMYFUNCTION("if(REGEXMATCH(join("", "",$F586:$G586),M$1)=TRUE,""✓"",""✗"")"),"✗")</f>
        <v>✗</v>
      </c>
      <c r="N586" s="23" t="str">
        <f>IFERROR(__xludf.DUMMYFUNCTION("if(REGEXMATCH(join("", "",$F586:$G586),N$1)=TRUE,""✓"",""✗"")"),"✗")</f>
        <v>✗</v>
      </c>
      <c r="O586" s="23" t="str">
        <f>IFERROR(__xludf.DUMMYFUNCTION("if(REGEXMATCH(join("", "",$F586:$G586),O$1)=TRUE,""✓"",""✗"")"),"✗")</f>
        <v>✗</v>
      </c>
      <c r="P586" s="23" t="str">
        <f>IFERROR(__xludf.DUMMYFUNCTION("if(REGEXMATCH(join("", "",$F586:$G586),P$1)=TRUE,""✓"",""✗"")"),"✗")</f>
        <v>✗</v>
      </c>
      <c r="Q586" s="23" t="str">
        <f>IFERROR(__xludf.DUMMYFUNCTION("if(REGEXMATCH(join("", "",$F586:$G586),Q$1)=TRUE,""✓"",""✗"")"),"✗")</f>
        <v>✗</v>
      </c>
      <c r="R586" s="23" t="str">
        <f>IFERROR(__xludf.DUMMYFUNCTION("if(REGEXMATCH(join("", "",$F586:$G586),R$1)=TRUE,""✓"",""✗"")"),"✗")</f>
        <v>✗</v>
      </c>
      <c r="S586" s="23" t="str">
        <f>IFERROR(__xludf.DUMMYFUNCTION("if(REGEXMATCH(join("", "",$F586:$G586),S$1)=TRUE,""✓"",""✗"")"),"✗")</f>
        <v>✗</v>
      </c>
      <c r="T586" s="23" t="str">
        <f>IFERROR(__xludf.DUMMYFUNCTION("if(REGEXMATCH(join("", "",$F586:$G586),T$1)=TRUE,""✓"",""✗"")"),"✗")</f>
        <v>✗</v>
      </c>
      <c r="U586" s="33"/>
      <c r="V586" s="33"/>
      <c r="W586" s="33"/>
      <c r="X586" s="33"/>
      <c r="Y586" s="33"/>
      <c r="Z586" s="33"/>
      <c r="AA586" s="33"/>
      <c r="AB586" s="33"/>
      <c r="AC586" s="33"/>
    </row>
    <row r="587" hidden="1">
      <c r="A587" s="17" t="s">
        <v>302</v>
      </c>
      <c r="B587" s="33"/>
      <c r="C587" s="33"/>
      <c r="D587" s="33"/>
      <c r="E587" s="33"/>
      <c r="F587" s="33"/>
      <c r="G587" s="33"/>
      <c r="H587" s="23" t="str">
        <f>IFERROR(__xludf.DUMMYFUNCTION("if(REGEXMATCH(join("", "",$F587:$G587),H$1)=TRUE,""✓"",""✗"")"),"✗")</f>
        <v>✗</v>
      </c>
      <c r="I587" s="23" t="str">
        <f>IFERROR(__xludf.DUMMYFUNCTION("if(REGEXMATCH(join("", "",$F587:$G587),I$1)=TRUE,""✓"",""✗"")"),"✗")</f>
        <v>✗</v>
      </c>
      <c r="J587" s="23" t="str">
        <f>IFERROR(__xludf.DUMMYFUNCTION("if(REGEXMATCH(join("", "",$F587:$G587),J$1)=TRUE,""✓"",""✗"")"),"✗")</f>
        <v>✗</v>
      </c>
      <c r="K587" s="23" t="str">
        <f>IFERROR(__xludf.DUMMYFUNCTION("if(REGEXMATCH(join("", "",$F587:$G587),K$1)=TRUE,""✓"",""✗"")"),"✗")</f>
        <v>✗</v>
      </c>
      <c r="L587" s="23" t="str">
        <f>IFERROR(__xludf.DUMMYFUNCTION("if(REGEXMATCH(join("", "",$F587:$G587),L$1)=TRUE,""✓"",""✗"")"),"✗")</f>
        <v>✗</v>
      </c>
      <c r="M587" s="23" t="str">
        <f>IFERROR(__xludf.DUMMYFUNCTION("if(REGEXMATCH(join("", "",$F587:$G587),M$1)=TRUE,""✓"",""✗"")"),"✗")</f>
        <v>✗</v>
      </c>
      <c r="N587" s="23" t="str">
        <f>IFERROR(__xludf.DUMMYFUNCTION("if(REGEXMATCH(join("", "",$F587:$G587),N$1)=TRUE,""✓"",""✗"")"),"✗")</f>
        <v>✗</v>
      </c>
      <c r="O587" s="23" t="str">
        <f>IFERROR(__xludf.DUMMYFUNCTION("if(REGEXMATCH(join("", "",$F587:$G587),O$1)=TRUE,""✓"",""✗"")"),"✗")</f>
        <v>✗</v>
      </c>
      <c r="P587" s="23" t="str">
        <f>IFERROR(__xludf.DUMMYFUNCTION("if(REGEXMATCH(join("", "",$F587:$G587),P$1)=TRUE,""✓"",""✗"")"),"✗")</f>
        <v>✗</v>
      </c>
      <c r="Q587" s="23" t="str">
        <f>IFERROR(__xludf.DUMMYFUNCTION("if(REGEXMATCH(join("", "",$F587:$G587),Q$1)=TRUE,""✓"",""✗"")"),"✗")</f>
        <v>✗</v>
      </c>
      <c r="R587" s="23" t="str">
        <f>IFERROR(__xludf.DUMMYFUNCTION("if(REGEXMATCH(join("", "",$F587:$G587),R$1)=TRUE,""✓"",""✗"")"),"✗")</f>
        <v>✗</v>
      </c>
      <c r="S587" s="23" t="str">
        <f>IFERROR(__xludf.DUMMYFUNCTION("if(REGEXMATCH(join("", "",$F587:$G587),S$1)=TRUE,""✓"",""✗"")"),"✗")</f>
        <v>✗</v>
      </c>
      <c r="T587" s="23" t="str">
        <f>IFERROR(__xludf.DUMMYFUNCTION("if(REGEXMATCH(join("", "",$F587:$G587),T$1)=TRUE,""✓"",""✗"")"),"✗")</f>
        <v>✗</v>
      </c>
      <c r="U587" s="33"/>
      <c r="V587" s="33"/>
      <c r="W587" s="33"/>
      <c r="X587" s="33"/>
      <c r="Y587" s="33"/>
      <c r="Z587" s="33"/>
      <c r="AA587" s="33"/>
      <c r="AB587" s="33"/>
      <c r="AC587" s="33"/>
    </row>
    <row r="588" hidden="1">
      <c r="A588" s="17" t="s">
        <v>302</v>
      </c>
      <c r="B588" s="33"/>
      <c r="C588" s="33"/>
      <c r="D588" s="33"/>
      <c r="E588" s="33"/>
      <c r="F588" s="33"/>
      <c r="G588" s="33"/>
      <c r="H588" s="23" t="str">
        <f>IFERROR(__xludf.DUMMYFUNCTION("if(REGEXMATCH(join("", "",$F588:$G588),H$1)=TRUE,""✓"",""✗"")"),"✗")</f>
        <v>✗</v>
      </c>
      <c r="I588" s="23" t="str">
        <f>IFERROR(__xludf.DUMMYFUNCTION("if(REGEXMATCH(join("", "",$F588:$G588),I$1)=TRUE,""✓"",""✗"")"),"✗")</f>
        <v>✗</v>
      </c>
      <c r="J588" s="23" t="str">
        <f>IFERROR(__xludf.DUMMYFUNCTION("if(REGEXMATCH(join("", "",$F588:$G588),J$1)=TRUE,""✓"",""✗"")"),"✗")</f>
        <v>✗</v>
      </c>
      <c r="K588" s="23" t="str">
        <f>IFERROR(__xludf.DUMMYFUNCTION("if(REGEXMATCH(join("", "",$F588:$G588),K$1)=TRUE,""✓"",""✗"")"),"✗")</f>
        <v>✗</v>
      </c>
      <c r="L588" s="23" t="str">
        <f>IFERROR(__xludf.DUMMYFUNCTION("if(REGEXMATCH(join("", "",$F588:$G588),L$1)=TRUE,""✓"",""✗"")"),"✗")</f>
        <v>✗</v>
      </c>
      <c r="M588" s="23" t="str">
        <f>IFERROR(__xludf.DUMMYFUNCTION("if(REGEXMATCH(join("", "",$F588:$G588),M$1)=TRUE,""✓"",""✗"")"),"✗")</f>
        <v>✗</v>
      </c>
      <c r="N588" s="23" t="str">
        <f>IFERROR(__xludf.DUMMYFUNCTION("if(REGEXMATCH(join("", "",$F588:$G588),N$1)=TRUE,""✓"",""✗"")"),"✗")</f>
        <v>✗</v>
      </c>
      <c r="O588" s="23" t="str">
        <f>IFERROR(__xludf.DUMMYFUNCTION("if(REGEXMATCH(join("", "",$F588:$G588),O$1)=TRUE,""✓"",""✗"")"),"✗")</f>
        <v>✗</v>
      </c>
      <c r="P588" s="23" t="str">
        <f>IFERROR(__xludf.DUMMYFUNCTION("if(REGEXMATCH(join("", "",$F588:$G588),P$1)=TRUE,""✓"",""✗"")"),"✗")</f>
        <v>✗</v>
      </c>
      <c r="Q588" s="23" t="str">
        <f>IFERROR(__xludf.DUMMYFUNCTION("if(REGEXMATCH(join("", "",$F588:$G588),Q$1)=TRUE,""✓"",""✗"")"),"✗")</f>
        <v>✗</v>
      </c>
      <c r="R588" s="23" t="str">
        <f>IFERROR(__xludf.DUMMYFUNCTION("if(REGEXMATCH(join("", "",$F588:$G588),R$1)=TRUE,""✓"",""✗"")"),"✗")</f>
        <v>✗</v>
      </c>
      <c r="S588" s="23" t="str">
        <f>IFERROR(__xludf.DUMMYFUNCTION("if(REGEXMATCH(join("", "",$F588:$G588),S$1)=TRUE,""✓"",""✗"")"),"✗")</f>
        <v>✗</v>
      </c>
      <c r="T588" s="23" t="str">
        <f>IFERROR(__xludf.DUMMYFUNCTION("if(REGEXMATCH(join("", "",$F588:$G588),T$1)=TRUE,""✓"",""✗"")"),"✗")</f>
        <v>✗</v>
      </c>
      <c r="U588" s="33"/>
      <c r="V588" s="33"/>
      <c r="W588" s="33"/>
      <c r="X588" s="33"/>
      <c r="Y588" s="33"/>
      <c r="Z588" s="33"/>
      <c r="AA588" s="33"/>
      <c r="AB588" s="33"/>
      <c r="AC588" s="33"/>
    </row>
    <row r="589" hidden="1">
      <c r="A589" s="17" t="s">
        <v>302</v>
      </c>
      <c r="B589" s="33"/>
      <c r="C589" s="33"/>
      <c r="D589" s="33"/>
      <c r="E589" s="33"/>
      <c r="F589" s="33"/>
      <c r="G589" s="33"/>
      <c r="H589" s="23" t="str">
        <f>IFERROR(__xludf.DUMMYFUNCTION("if(REGEXMATCH(join("", "",$F589:$G589),H$1)=TRUE,""✓"",""✗"")"),"✗")</f>
        <v>✗</v>
      </c>
      <c r="I589" s="23" t="str">
        <f>IFERROR(__xludf.DUMMYFUNCTION("if(REGEXMATCH(join("", "",$F589:$G589),I$1)=TRUE,""✓"",""✗"")"),"✗")</f>
        <v>✗</v>
      </c>
      <c r="J589" s="23" t="str">
        <f>IFERROR(__xludf.DUMMYFUNCTION("if(REGEXMATCH(join("", "",$F589:$G589),J$1)=TRUE,""✓"",""✗"")"),"✗")</f>
        <v>✗</v>
      </c>
      <c r="K589" s="23" t="str">
        <f>IFERROR(__xludf.DUMMYFUNCTION("if(REGEXMATCH(join("", "",$F589:$G589),K$1)=TRUE,""✓"",""✗"")"),"✗")</f>
        <v>✗</v>
      </c>
      <c r="L589" s="23" t="str">
        <f>IFERROR(__xludf.DUMMYFUNCTION("if(REGEXMATCH(join("", "",$F589:$G589),L$1)=TRUE,""✓"",""✗"")"),"✗")</f>
        <v>✗</v>
      </c>
      <c r="M589" s="23" t="str">
        <f>IFERROR(__xludf.DUMMYFUNCTION("if(REGEXMATCH(join("", "",$F589:$G589),M$1)=TRUE,""✓"",""✗"")"),"✗")</f>
        <v>✗</v>
      </c>
      <c r="N589" s="23" t="str">
        <f>IFERROR(__xludf.DUMMYFUNCTION("if(REGEXMATCH(join("", "",$F589:$G589),N$1)=TRUE,""✓"",""✗"")"),"✗")</f>
        <v>✗</v>
      </c>
      <c r="O589" s="23" t="str">
        <f>IFERROR(__xludf.DUMMYFUNCTION("if(REGEXMATCH(join("", "",$F589:$G589),O$1)=TRUE,""✓"",""✗"")"),"✗")</f>
        <v>✗</v>
      </c>
      <c r="P589" s="23" t="str">
        <f>IFERROR(__xludf.DUMMYFUNCTION("if(REGEXMATCH(join("", "",$F589:$G589),P$1)=TRUE,""✓"",""✗"")"),"✗")</f>
        <v>✗</v>
      </c>
      <c r="Q589" s="23" t="str">
        <f>IFERROR(__xludf.DUMMYFUNCTION("if(REGEXMATCH(join("", "",$F589:$G589),Q$1)=TRUE,""✓"",""✗"")"),"✗")</f>
        <v>✗</v>
      </c>
      <c r="R589" s="23" t="str">
        <f>IFERROR(__xludf.DUMMYFUNCTION("if(REGEXMATCH(join("", "",$F589:$G589),R$1)=TRUE,""✓"",""✗"")"),"✗")</f>
        <v>✗</v>
      </c>
      <c r="S589" s="23" t="str">
        <f>IFERROR(__xludf.DUMMYFUNCTION("if(REGEXMATCH(join("", "",$F589:$G589),S$1)=TRUE,""✓"",""✗"")"),"✗")</f>
        <v>✗</v>
      </c>
      <c r="T589" s="23" t="str">
        <f>IFERROR(__xludf.DUMMYFUNCTION("if(REGEXMATCH(join("", "",$F589:$G589),T$1)=TRUE,""✓"",""✗"")"),"✗")</f>
        <v>✗</v>
      </c>
      <c r="U589" s="33"/>
      <c r="V589" s="33"/>
      <c r="W589" s="33"/>
      <c r="X589" s="33"/>
      <c r="Y589" s="33"/>
      <c r="Z589" s="33"/>
      <c r="AA589" s="33"/>
      <c r="AB589" s="33"/>
      <c r="AC589" s="33"/>
    </row>
    <row r="590" hidden="1">
      <c r="A590" s="17" t="s">
        <v>302</v>
      </c>
      <c r="B590" s="33"/>
      <c r="C590" s="33"/>
      <c r="D590" s="33"/>
      <c r="E590" s="33"/>
      <c r="F590" s="33"/>
      <c r="G590" s="33"/>
      <c r="H590" s="23" t="str">
        <f>IFERROR(__xludf.DUMMYFUNCTION("if(REGEXMATCH(join("", "",$F590:$G590),H$1)=TRUE,""✓"",""✗"")"),"✗")</f>
        <v>✗</v>
      </c>
      <c r="I590" s="23" t="str">
        <f>IFERROR(__xludf.DUMMYFUNCTION("if(REGEXMATCH(join("", "",$F590:$G590),I$1)=TRUE,""✓"",""✗"")"),"✗")</f>
        <v>✗</v>
      </c>
      <c r="J590" s="23" t="str">
        <f>IFERROR(__xludf.DUMMYFUNCTION("if(REGEXMATCH(join("", "",$F590:$G590),J$1)=TRUE,""✓"",""✗"")"),"✗")</f>
        <v>✗</v>
      </c>
      <c r="K590" s="23" t="str">
        <f>IFERROR(__xludf.DUMMYFUNCTION("if(REGEXMATCH(join("", "",$F590:$G590),K$1)=TRUE,""✓"",""✗"")"),"✗")</f>
        <v>✗</v>
      </c>
      <c r="L590" s="23" t="str">
        <f>IFERROR(__xludf.DUMMYFUNCTION("if(REGEXMATCH(join("", "",$F590:$G590),L$1)=TRUE,""✓"",""✗"")"),"✗")</f>
        <v>✗</v>
      </c>
      <c r="M590" s="23" t="str">
        <f>IFERROR(__xludf.DUMMYFUNCTION("if(REGEXMATCH(join("", "",$F590:$G590),M$1)=TRUE,""✓"",""✗"")"),"✗")</f>
        <v>✗</v>
      </c>
      <c r="N590" s="23" t="str">
        <f>IFERROR(__xludf.DUMMYFUNCTION("if(REGEXMATCH(join("", "",$F590:$G590),N$1)=TRUE,""✓"",""✗"")"),"✗")</f>
        <v>✗</v>
      </c>
      <c r="O590" s="23" t="str">
        <f>IFERROR(__xludf.DUMMYFUNCTION("if(REGEXMATCH(join("", "",$F590:$G590),O$1)=TRUE,""✓"",""✗"")"),"✗")</f>
        <v>✗</v>
      </c>
      <c r="P590" s="23" t="str">
        <f>IFERROR(__xludf.DUMMYFUNCTION("if(REGEXMATCH(join("", "",$F590:$G590),P$1)=TRUE,""✓"",""✗"")"),"✗")</f>
        <v>✗</v>
      </c>
      <c r="Q590" s="23" t="str">
        <f>IFERROR(__xludf.DUMMYFUNCTION("if(REGEXMATCH(join("", "",$F590:$G590),Q$1)=TRUE,""✓"",""✗"")"),"✗")</f>
        <v>✗</v>
      </c>
      <c r="R590" s="23" t="str">
        <f>IFERROR(__xludf.DUMMYFUNCTION("if(REGEXMATCH(join("", "",$F590:$G590),R$1)=TRUE,""✓"",""✗"")"),"✗")</f>
        <v>✗</v>
      </c>
      <c r="S590" s="23" t="str">
        <f>IFERROR(__xludf.DUMMYFUNCTION("if(REGEXMATCH(join("", "",$F590:$G590),S$1)=TRUE,""✓"",""✗"")"),"✗")</f>
        <v>✗</v>
      </c>
      <c r="T590" s="23" t="str">
        <f>IFERROR(__xludf.DUMMYFUNCTION("if(REGEXMATCH(join("", "",$F590:$G590),T$1)=TRUE,""✓"",""✗"")"),"✗")</f>
        <v>✗</v>
      </c>
      <c r="U590" s="33"/>
      <c r="V590" s="33"/>
      <c r="W590" s="33"/>
      <c r="X590" s="33"/>
      <c r="Y590" s="33"/>
      <c r="Z590" s="33"/>
      <c r="AA590" s="33"/>
      <c r="AB590" s="33"/>
      <c r="AC590" s="33"/>
    </row>
    <row r="591" hidden="1">
      <c r="A591" s="17" t="s">
        <v>302</v>
      </c>
      <c r="B591" s="33"/>
      <c r="C591" s="33"/>
      <c r="D591" s="33"/>
      <c r="E591" s="33"/>
      <c r="F591" s="33"/>
      <c r="G591" s="33"/>
      <c r="H591" s="23" t="str">
        <f>IFERROR(__xludf.DUMMYFUNCTION("if(REGEXMATCH(join("", "",$F591:$G591),H$1)=TRUE,""✓"",""✗"")"),"✗")</f>
        <v>✗</v>
      </c>
      <c r="I591" s="23" t="str">
        <f>IFERROR(__xludf.DUMMYFUNCTION("if(REGEXMATCH(join("", "",$F591:$G591),I$1)=TRUE,""✓"",""✗"")"),"✗")</f>
        <v>✗</v>
      </c>
      <c r="J591" s="23" t="str">
        <f>IFERROR(__xludf.DUMMYFUNCTION("if(REGEXMATCH(join("", "",$F591:$G591),J$1)=TRUE,""✓"",""✗"")"),"✗")</f>
        <v>✗</v>
      </c>
      <c r="K591" s="23" t="str">
        <f>IFERROR(__xludf.DUMMYFUNCTION("if(REGEXMATCH(join("", "",$F591:$G591),K$1)=TRUE,""✓"",""✗"")"),"✗")</f>
        <v>✗</v>
      </c>
      <c r="L591" s="23" t="str">
        <f>IFERROR(__xludf.DUMMYFUNCTION("if(REGEXMATCH(join("", "",$F591:$G591),L$1)=TRUE,""✓"",""✗"")"),"✗")</f>
        <v>✗</v>
      </c>
      <c r="M591" s="23" t="str">
        <f>IFERROR(__xludf.DUMMYFUNCTION("if(REGEXMATCH(join("", "",$F591:$G591),M$1)=TRUE,""✓"",""✗"")"),"✗")</f>
        <v>✗</v>
      </c>
      <c r="N591" s="23" t="str">
        <f>IFERROR(__xludf.DUMMYFUNCTION("if(REGEXMATCH(join("", "",$F591:$G591),N$1)=TRUE,""✓"",""✗"")"),"✗")</f>
        <v>✗</v>
      </c>
      <c r="O591" s="23" t="str">
        <f>IFERROR(__xludf.DUMMYFUNCTION("if(REGEXMATCH(join("", "",$F591:$G591),O$1)=TRUE,""✓"",""✗"")"),"✗")</f>
        <v>✗</v>
      </c>
      <c r="P591" s="23" t="str">
        <f>IFERROR(__xludf.DUMMYFUNCTION("if(REGEXMATCH(join("", "",$F591:$G591),P$1)=TRUE,""✓"",""✗"")"),"✗")</f>
        <v>✗</v>
      </c>
      <c r="Q591" s="23" t="str">
        <f>IFERROR(__xludf.DUMMYFUNCTION("if(REGEXMATCH(join("", "",$F591:$G591),Q$1)=TRUE,""✓"",""✗"")"),"✗")</f>
        <v>✗</v>
      </c>
      <c r="R591" s="23" t="str">
        <f>IFERROR(__xludf.DUMMYFUNCTION("if(REGEXMATCH(join("", "",$F591:$G591),R$1)=TRUE,""✓"",""✗"")"),"✗")</f>
        <v>✗</v>
      </c>
      <c r="S591" s="23" t="str">
        <f>IFERROR(__xludf.DUMMYFUNCTION("if(REGEXMATCH(join("", "",$F591:$G591),S$1)=TRUE,""✓"",""✗"")"),"✗")</f>
        <v>✗</v>
      </c>
      <c r="T591" s="23" t="str">
        <f>IFERROR(__xludf.DUMMYFUNCTION("if(REGEXMATCH(join("", "",$F591:$G591),T$1)=TRUE,""✓"",""✗"")"),"✗")</f>
        <v>✗</v>
      </c>
      <c r="U591" s="33"/>
      <c r="V591" s="33"/>
      <c r="W591" s="33"/>
      <c r="X591" s="33"/>
      <c r="Y591" s="33"/>
      <c r="Z591" s="33"/>
      <c r="AA591" s="33"/>
      <c r="AB591" s="33"/>
      <c r="AC591" s="33"/>
    </row>
    <row r="592" hidden="1">
      <c r="A592" s="17" t="s">
        <v>302</v>
      </c>
      <c r="B592" s="33"/>
      <c r="C592" s="33"/>
      <c r="D592" s="33"/>
      <c r="E592" s="33"/>
      <c r="F592" s="33"/>
      <c r="G592" s="33"/>
      <c r="H592" s="23" t="str">
        <f>IFERROR(__xludf.DUMMYFUNCTION("if(REGEXMATCH(join("", "",$F592:$G592),H$1)=TRUE,""✓"",""✗"")"),"✗")</f>
        <v>✗</v>
      </c>
      <c r="I592" s="23" t="str">
        <f>IFERROR(__xludf.DUMMYFUNCTION("if(REGEXMATCH(join("", "",$F592:$G592),I$1)=TRUE,""✓"",""✗"")"),"✗")</f>
        <v>✗</v>
      </c>
      <c r="J592" s="23" t="str">
        <f>IFERROR(__xludf.DUMMYFUNCTION("if(REGEXMATCH(join("", "",$F592:$G592),J$1)=TRUE,""✓"",""✗"")"),"✗")</f>
        <v>✗</v>
      </c>
      <c r="K592" s="23" t="str">
        <f>IFERROR(__xludf.DUMMYFUNCTION("if(REGEXMATCH(join("", "",$F592:$G592),K$1)=TRUE,""✓"",""✗"")"),"✗")</f>
        <v>✗</v>
      </c>
      <c r="L592" s="23" t="str">
        <f>IFERROR(__xludf.DUMMYFUNCTION("if(REGEXMATCH(join("", "",$F592:$G592),L$1)=TRUE,""✓"",""✗"")"),"✗")</f>
        <v>✗</v>
      </c>
      <c r="M592" s="23" t="str">
        <f>IFERROR(__xludf.DUMMYFUNCTION("if(REGEXMATCH(join("", "",$F592:$G592),M$1)=TRUE,""✓"",""✗"")"),"✗")</f>
        <v>✗</v>
      </c>
      <c r="N592" s="23" t="str">
        <f>IFERROR(__xludf.DUMMYFUNCTION("if(REGEXMATCH(join("", "",$F592:$G592),N$1)=TRUE,""✓"",""✗"")"),"✗")</f>
        <v>✗</v>
      </c>
      <c r="O592" s="23" t="str">
        <f>IFERROR(__xludf.DUMMYFUNCTION("if(REGEXMATCH(join("", "",$F592:$G592),O$1)=TRUE,""✓"",""✗"")"),"✗")</f>
        <v>✗</v>
      </c>
      <c r="P592" s="23" t="str">
        <f>IFERROR(__xludf.DUMMYFUNCTION("if(REGEXMATCH(join("", "",$F592:$G592),P$1)=TRUE,""✓"",""✗"")"),"✗")</f>
        <v>✗</v>
      </c>
      <c r="Q592" s="23" t="str">
        <f>IFERROR(__xludf.DUMMYFUNCTION("if(REGEXMATCH(join("", "",$F592:$G592),Q$1)=TRUE,""✓"",""✗"")"),"✗")</f>
        <v>✗</v>
      </c>
      <c r="R592" s="23" t="str">
        <f>IFERROR(__xludf.DUMMYFUNCTION("if(REGEXMATCH(join("", "",$F592:$G592),R$1)=TRUE,""✓"",""✗"")"),"✗")</f>
        <v>✗</v>
      </c>
      <c r="S592" s="23" t="str">
        <f>IFERROR(__xludf.DUMMYFUNCTION("if(REGEXMATCH(join("", "",$F592:$G592),S$1)=TRUE,""✓"",""✗"")"),"✗")</f>
        <v>✗</v>
      </c>
      <c r="T592" s="23" t="str">
        <f>IFERROR(__xludf.DUMMYFUNCTION("if(REGEXMATCH(join("", "",$F592:$G592),T$1)=TRUE,""✓"",""✗"")"),"✗")</f>
        <v>✗</v>
      </c>
      <c r="U592" s="33"/>
      <c r="V592" s="33"/>
      <c r="W592" s="33"/>
      <c r="X592" s="33"/>
      <c r="Y592" s="33"/>
      <c r="Z592" s="33"/>
      <c r="AA592" s="33"/>
      <c r="AB592" s="33"/>
      <c r="AC592" s="33"/>
    </row>
    <row r="593" hidden="1">
      <c r="A593" s="17" t="s">
        <v>302</v>
      </c>
      <c r="B593" s="33"/>
      <c r="C593" s="33"/>
      <c r="D593" s="33"/>
      <c r="E593" s="33"/>
      <c r="F593" s="33"/>
      <c r="G593" s="33"/>
      <c r="H593" s="23" t="str">
        <f>IFERROR(__xludf.DUMMYFUNCTION("if(REGEXMATCH(join("", "",$F593:$G593),H$1)=TRUE,""✓"",""✗"")"),"✗")</f>
        <v>✗</v>
      </c>
      <c r="I593" s="23" t="str">
        <f>IFERROR(__xludf.DUMMYFUNCTION("if(REGEXMATCH(join("", "",$F593:$G593),I$1)=TRUE,""✓"",""✗"")"),"✗")</f>
        <v>✗</v>
      </c>
      <c r="J593" s="23" t="str">
        <f>IFERROR(__xludf.DUMMYFUNCTION("if(REGEXMATCH(join("", "",$F593:$G593),J$1)=TRUE,""✓"",""✗"")"),"✗")</f>
        <v>✗</v>
      </c>
      <c r="K593" s="23" t="str">
        <f>IFERROR(__xludf.DUMMYFUNCTION("if(REGEXMATCH(join("", "",$F593:$G593),K$1)=TRUE,""✓"",""✗"")"),"✗")</f>
        <v>✗</v>
      </c>
      <c r="L593" s="23" t="str">
        <f>IFERROR(__xludf.DUMMYFUNCTION("if(REGEXMATCH(join("", "",$F593:$G593),L$1)=TRUE,""✓"",""✗"")"),"✗")</f>
        <v>✗</v>
      </c>
      <c r="M593" s="23" t="str">
        <f>IFERROR(__xludf.DUMMYFUNCTION("if(REGEXMATCH(join("", "",$F593:$G593),M$1)=TRUE,""✓"",""✗"")"),"✗")</f>
        <v>✗</v>
      </c>
      <c r="N593" s="23" t="str">
        <f>IFERROR(__xludf.DUMMYFUNCTION("if(REGEXMATCH(join("", "",$F593:$G593),N$1)=TRUE,""✓"",""✗"")"),"✗")</f>
        <v>✗</v>
      </c>
      <c r="O593" s="23" t="str">
        <f>IFERROR(__xludf.DUMMYFUNCTION("if(REGEXMATCH(join("", "",$F593:$G593),O$1)=TRUE,""✓"",""✗"")"),"✗")</f>
        <v>✗</v>
      </c>
      <c r="P593" s="23" t="str">
        <f>IFERROR(__xludf.DUMMYFUNCTION("if(REGEXMATCH(join("", "",$F593:$G593),P$1)=TRUE,""✓"",""✗"")"),"✗")</f>
        <v>✗</v>
      </c>
      <c r="Q593" s="23" t="str">
        <f>IFERROR(__xludf.DUMMYFUNCTION("if(REGEXMATCH(join("", "",$F593:$G593),Q$1)=TRUE,""✓"",""✗"")"),"✗")</f>
        <v>✗</v>
      </c>
      <c r="R593" s="23" t="str">
        <f>IFERROR(__xludf.DUMMYFUNCTION("if(REGEXMATCH(join("", "",$F593:$G593),R$1)=TRUE,""✓"",""✗"")"),"✗")</f>
        <v>✗</v>
      </c>
      <c r="S593" s="23" t="str">
        <f>IFERROR(__xludf.DUMMYFUNCTION("if(REGEXMATCH(join("", "",$F593:$G593),S$1)=TRUE,""✓"",""✗"")"),"✗")</f>
        <v>✗</v>
      </c>
      <c r="T593" s="23" t="str">
        <f>IFERROR(__xludf.DUMMYFUNCTION("if(REGEXMATCH(join("", "",$F593:$G593),T$1)=TRUE,""✓"",""✗"")"),"✗")</f>
        <v>✗</v>
      </c>
      <c r="U593" s="33"/>
      <c r="V593" s="33"/>
      <c r="W593" s="33"/>
      <c r="X593" s="33"/>
      <c r="Y593" s="33"/>
      <c r="Z593" s="33"/>
      <c r="AA593" s="33"/>
      <c r="AB593" s="33"/>
      <c r="AC593" s="33"/>
    </row>
    <row r="594" hidden="1">
      <c r="A594" s="17" t="s">
        <v>302</v>
      </c>
      <c r="B594" s="33"/>
      <c r="C594" s="33"/>
      <c r="D594" s="33"/>
      <c r="E594" s="33"/>
      <c r="F594" s="33"/>
      <c r="G594" s="33"/>
      <c r="H594" s="23" t="str">
        <f>IFERROR(__xludf.DUMMYFUNCTION("if(REGEXMATCH(join("", "",$F594:$G594),H$1)=TRUE,""✓"",""✗"")"),"✗")</f>
        <v>✗</v>
      </c>
      <c r="I594" s="23" t="str">
        <f>IFERROR(__xludf.DUMMYFUNCTION("if(REGEXMATCH(join("", "",$F594:$G594),I$1)=TRUE,""✓"",""✗"")"),"✗")</f>
        <v>✗</v>
      </c>
      <c r="J594" s="23" t="str">
        <f>IFERROR(__xludf.DUMMYFUNCTION("if(REGEXMATCH(join("", "",$F594:$G594),J$1)=TRUE,""✓"",""✗"")"),"✗")</f>
        <v>✗</v>
      </c>
      <c r="K594" s="23" t="str">
        <f>IFERROR(__xludf.DUMMYFUNCTION("if(REGEXMATCH(join("", "",$F594:$G594),K$1)=TRUE,""✓"",""✗"")"),"✗")</f>
        <v>✗</v>
      </c>
      <c r="L594" s="23" t="str">
        <f>IFERROR(__xludf.DUMMYFUNCTION("if(REGEXMATCH(join("", "",$F594:$G594),L$1)=TRUE,""✓"",""✗"")"),"✗")</f>
        <v>✗</v>
      </c>
      <c r="M594" s="23" t="str">
        <f>IFERROR(__xludf.DUMMYFUNCTION("if(REGEXMATCH(join("", "",$F594:$G594),M$1)=TRUE,""✓"",""✗"")"),"✗")</f>
        <v>✗</v>
      </c>
      <c r="N594" s="23" t="str">
        <f>IFERROR(__xludf.DUMMYFUNCTION("if(REGEXMATCH(join("", "",$F594:$G594),N$1)=TRUE,""✓"",""✗"")"),"✗")</f>
        <v>✗</v>
      </c>
      <c r="O594" s="23" t="str">
        <f>IFERROR(__xludf.DUMMYFUNCTION("if(REGEXMATCH(join("", "",$F594:$G594),O$1)=TRUE,""✓"",""✗"")"),"✗")</f>
        <v>✗</v>
      </c>
      <c r="P594" s="23" t="str">
        <f>IFERROR(__xludf.DUMMYFUNCTION("if(REGEXMATCH(join("", "",$F594:$G594),P$1)=TRUE,""✓"",""✗"")"),"✗")</f>
        <v>✗</v>
      </c>
      <c r="Q594" s="23" t="str">
        <f>IFERROR(__xludf.DUMMYFUNCTION("if(REGEXMATCH(join("", "",$F594:$G594),Q$1)=TRUE,""✓"",""✗"")"),"✗")</f>
        <v>✗</v>
      </c>
      <c r="R594" s="23" t="str">
        <f>IFERROR(__xludf.DUMMYFUNCTION("if(REGEXMATCH(join("", "",$F594:$G594),R$1)=TRUE,""✓"",""✗"")"),"✗")</f>
        <v>✗</v>
      </c>
      <c r="S594" s="23" t="str">
        <f>IFERROR(__xludf.DUMMYFUNCTION("if(REGEXMATCH(join("", "",$F594:$G594),S$1)=TRUE,""✓"",""✗"")"),"✗")</f>
        <v>✗</v>
      </c>
      <c r="T594" s="23" t="str">
        <f>IFERROR(__xludf.DUMMYFUNCTION("if(REGEXMATCH(join("", "",$F594:$G594),T$1)=TRUE,""✓"",""✗"")"),"✗")</f>
        <v>✗</v>
      </c>
      <c r="U594" s="33"/>
      <c r="V594" s="33"/>
      <c r="W594" s="33"/>
      <c r="X594" s="33"/>
      <c r="Y594" s="33"/>
      <c r="Z594" s="33"/>
      <c r="AA594" s="33"/>
      <c r="AB594" s="33"/>
      <c r="AC594" s="33"/>
    </row>
    <row r="595" hidden="1">
      <c r="A595" s="17" t="s">
        <v>302</v>
      </c>
      <c r="B595" s="33"/>
      <c r="C595" s="33"/>
      <c r="D595" s="33"/>
      <c r="E595" s="33"/>
      <c r="F595" s="33"/>
      <c r="G595" s="33"/>
      <c r="H595" s="23" t="str">
        <f>IFERROR(__xludf.DUMMYFUNCTION("if(REGEXMATCH(join("", "",$F595:$G595),H$1)=TRUE,""✓"",""✗"")"),"✗")</f>
        <v>✗</v>
      </c>
      <c r="I595" s="23" t="str">
        <f>IFERROR(__xludf.DUMMYFUNCTION("if(REGEXMATCH(join("", "",$F595:$G595),I$1)=TRUE,""✓"",""✗"")"),"✗")</f>
        <v>✗</v>
      </c>
      <c r="J595" s="23" t="str">
        <f>IFERROR(__xludf.DUMMYFUNCTION("if(REGEXMATCH(join("", "",$F595:$G595),J$1)=TRUE,""✓"",""✗"")"),"✗")</f>
        <v>✗</v>
      </c>
      <c r="K595" s="23" t="str">
        <f>IFERROR(__xludf.DUMMYFUNCTION("if(REGEXMATCH(join("", "",$F595:$G595),K$1)=TRUE,""✓"",""✗"")"),"✗")</f>
        <v>✗</v>
      </c>
      <c r="L595" s="23" t="str">
        <f>IFERROR(__xludf.DUMMYFUNCTION("if(REGEXMATCH(join("", "",$F595:$G595),L$1)=TRUE,""✓"",""✗"")"),"✗")</f>
        <v>✗</v>
      </c>
      <c r="M595" s="23" t="str">
        <f>IFERROR(__xludf.DUMMYFUNCTION("if(REGEXMATCH(join("", "",$F595:$G595),M$1)=TRUE,""✓"",""✗"")"),"✗")</f>
        <v>✗</v>
      </c>
      <c r="N595" s="23" t="str">
        <f>IFERROR(__xludf.DUMMYFUNCTION("if(REGEXMATCH(join("", "",$F595:$G595),N$1)=TRUE,""✓"",""✗"")"),"✗")</f>
        <v>✗</v>
      </c>
      <c r="O595" s="23" t="str">
        <f>IFERROR(__xludf.DUMMYFUNCTION("if(REGEXMATCH(join("", "",$F595:$G595),O$1)=TRUE,""✓"",""✗"")"),"✗")</f>
        <v>✗</v>
      </c>
      <c r="P595" s="23" t="str">
        <f>IFERROR(__xludf.DUMMYFUNCTION("if(REGEXMATCH(join("", "",$F595:$G595),P$1)=TRUE,""✓"",""✗"")"),"✗")</f>
        <v>✗</v>
      </c>
      <c r="Q595" s="23" t="str">
        <f>IFERROR(__xludf.DUMMYFUNCTION("if(REGEXMATCH(join("", "",$F595:$G595),Q$1)=TRUE,""✓"",""✗"")"),"✗")</f>
        <v>✗</v>
      </c>
      <c r="R595" s="23" t="str">
        <f>IFERROR(__xludf.DUMMYFUNCTION("if(REGEXMATCH(join("", "",$F595:$G595),R$1)=TRUE,""✓"",""✗"")"),"✗")</f>
        <v>✗</v>
      </c>
      <c r="S595" s="23" t="str">
        <f>IFERROR(__xludf.DUMMYFUNCTION("if(REGEXMATCH(join("", "",$F595:$G595),S$1)=TRUE,""✓"",""✗"")"),"✗")</f>
        <v>✗</v>
      </c>
      <c r="T595" s="23" t="str">
        <f>IFERROR(__xludf.DUMMYFUNCTION("if(REGEXMATCH(join("", "",$F595:$G595),T$1)=TRUE,""✓"",""✗"")"),"✗")</f>
        <v>✗</v>
      </c>
      <c r="U595" s="33"/>
      <c r="V595" s="33"/>
      <c r="W595" s="33"/>
      <c r="X595" s="33"/>
      <c r="Y595" s="33"/>
      <c r="Z595" s="33"/>
      <c r="AA595" s="33"/>
      <c r="AB595" s="33"/>
      <c r="AC595" s="33"/>
    </row>
    <row r="596" hidden="1">
      <c r="A596" s="17" t="s">
        <v>302</v>
      </c>
      <c r="B596" s="33"/>
      <c r="C596" s="33"/>
      <c r="D596" s="33"/>
      <c r="E596" s="33"/>
      <c r="F596" s="33"/>
      <c r="G596" s="33"/>
      <c r="H596" s="23" t="str">
        <f>IFERROR(__xludf.DUMMYFUNCTION("if(REGEXMATCH(join("", "",$F596:$G596),H$1)=TRUE,""✓"",""✗"")"),"✗")</f>
        <v>✗</v>
      </c>
      <c r="I596" s="23" t="str">
        <f>IFERROR(__xludf.DUMMYFUNCTION("if(REGEXMATCH(join("", "",$F596:$G596),I$1)=TRUE,""✓"",""✗"")"),"✗")</f>
        <v>✗</v>
      </c>
      <c r="J596" s="23" t="str">
        <f>IFERROR(__xludf.DUMMYFUNCTION("if(REGEXMATCH(join("", "",$F596:$G596),J$1)=TRUE,""✓"",""✗"")"),"✗")</f>
        <v>✗</v>
      </c>
      <c r="K596" s="23" t="str">
        <f>IFERROR(__xludf.DUMMYFUNCTION("if(REGEXMATCH(join("", "",$F596:$G596),K$1)=TRUE,""✓"",""✗"")"),"✗")</f>
        <v>✗</v>
      </c>
      <c r="L596" s="23" t="str">
        <f>IFERROR(__xludf.DUMMYFUNCTION("if(REGEXMATCH(join("", "",$F596:$G596),L$1)=TRUE,""✓"",""✗"")"),"✗")</f>
        <v>✗</v>
      </c>
      <c r="M596" s="23" t="str">
        <f>IFERROR(__xludf.DUMMYFUNCTION("if(REGEXMATCH(join("", "",$F596:$G596),M$1)=TRUE,""✓"",""✗"")"),"✗")</f>
        <v>✗</v>
      </c>
      <c r="N596" s="23" t="str">
        <f>IFERROR(__xludf.DUMMYFUNCTION("if(REGEXMATCH(join("", "",$F596:$G596),N$1)=TRUE,""✓"",""✗"")"),"✗")</f>
        <v>✗</v>
      </c>
      <c r="O596" s="23" t="str">
        <f>IFERROR(__xludf.DUMMYFUNCTION("if(REGEXMATCH(join("", "",$F596:$G596),O$1)=TRUE,""✓"",""✗"")"),"✗")</f>
        <v>✗</v>
      </c>
      <c r="P596" s="23" t="str">
        <f>IFERROR(__xludf.DUMMYFUNCTION("if(REGEXMATCH(join("", "",$F596:$G596),P$1)=TRUE,""✓"",""✗"")"),"✗")</f>
        <v>✗</v>
      </c>
      <c r="Q596" s="23" t="str">
        <f>IFERROR(__xludf.DUMMYFUNCTION("if(REGEXMATCH(join("", "",$F596:$G596),Q$1)=TRUE,""✓"",""✗"")"),"✗")</f>
        <v>✗</v>
      </c>
      <c r="R596" s="23" t="str">
        <f>IFERROR(__xludf.DUMMYFUNCTION("if(REGEXMATCH(join("", "",$F596:$G596),R$1)=TRUE,""✓"",""✗"")"),"✗")</f>
        <v>✗</v>
      </c>
      <c r="S596" s="23" t="str">
        <f>IFERROR(__xludf.DUMMYFUNCTION("if(REGEXMATCH(join("", "",$F596:$G596),S$1)=TRUE,""✓"",""✗"")"),"✗")</f>
        <v>✗</v>
      </c>
      <c r="T596" s="23" t="str">
        <f>IFERROR(__xludf.DUMMYFUNCTION("if(REGEXMATCH(join("", "",$F596:$G596),T$1)=TRUE,""✓"",""✗"")"),"✗")</f>
        <v>✗</v>
      </c>
      <c r="U596" s="33"/>
      <c r="V596" s="33"/>
      <c r="W596" s="33"/>
      <c r="X596" s="33"/>
      <c r="Y596" s="33"/>
      <c r="Z596" s="33"/>
      <c r="AA596" s="33"/>
      <c r="AB596" s="33"/>
      <c r="AC596" s="33"/>
    </row>
    <row r="597" hidden="1">
      <c r="A597" s="17" t="s">
        <v>302</v>
      </c>
      <c r="B597" s="33"/>
      <c r="C597" s="33"/>
      <c r="D597" s="33"/>
      <c r="E597" s="33"/>
      <c r="F597" s="33"/>
      <c r="G597" s="33"/>
      <c r="H597" s="23" t="str">
        <f>IFERROR(__xludf.DUMMYFUNCTION("if(REGEXMATCH(join("", "",$F597:$G597),H$1)=TRUE,""✓"",""✗"")"),"✗")</f>
        <v>✗</v>
      </c>
      <c r="I597" s="23" t="str">
        <f>IFERROR(__xludf.DUMMYFUNCTION("if(REGEXMATCH(join("", "",$F597:$G597),I$1)=TRUE,""✓"",""✗"")"),"✗")</f>
        <v>✗</v>
      </c>
      <c r="J597" s="23" t="str">
        <f>IFERROR(__xludf.DUMMYFUNCTION("if(REGEXMATCH(join("", "",$F597:$G597),J$1)=TRUE,""✓"",""✗"")"),"✗")</f>
        <v>✗</v>
      </c>
      <c r="K597" s="23" t="str">
        <f>IFERROR(__xludf.DUMMYFUNCTION("if(REGEXMATCH(join("", "",$F597:$G597),K$1)=TRUE,""✓"",""✗"")"),"✗")</f>
        <v>✗</v>
      </c>
      <c r="L597" s="23" t="str">
        <f>IFERROR(__xludf.DUMMYFUNCTION("if(REGEXMATCH(join("", "",$F597:$G597),L$1)=TRUE,""✓"",""✗"")"),"✗")</f>
        <v>✗</v>
      </c>
      <c r="M597" s="23" t="str">
        <f>IFERROR(__xludf.DUMMYFUNCTION("if(REGEXMATCH(join("", "",$F597:$G597),M$1)=TRUE,""✓"",""✗"")"),"✗")</f>
        <v>✗</v>
      </c>
      <c r="N597" s="23" t="str">
        <f>IFERROR(__xludf.DUMMYFUNCTION("if(REGEXMATCH(join("", "",$F597:$G597),N$1)=TRUE,""✓"",""✗"")"),"✗")</f>
        <v>✗</v>
      </c>
      <c r="O597" s="23" t="str">
        <f>IFERROR(__xludf.DUMMYFUNCTION("if(REGEXMATCH(join("", "",$F597:$G597),O$1)=TRUE,""✓"",""✗"")"),"✗")</f>
        <v>✗</v>
      </c>
      <c r="P597" s="23" t="str">
        <f>IFERROR(__xludf.DUMMYFUNCTION("if(REGEXMATCH(join("", "",$F597:$G597),P$1)=TRUE,""✓"",""✗"")"),"✗")</f>
        <v>✗</v>
      </c>
      <c r="Q597" s="23" t="str">
        <f>IFERROR(__xludf.DUMMYFUNCTION("if(REGEXMATCH(join("", "",$F597:$G597),Q$1)=TRUE,""✓"",""✗"")"),"✗")</f>
        <v>✗</v>
      </c>
      <c r="R597" s="23" t="str">
        <f>IFERROR(__xludf.DUMMYFUNCTION("if(REGEXMATCH(join("", "",$F597:$G597),R$1)=TRUE,""✓"",""✗"")"),"✗")</f>
        <v>✗</v>
      </c>
      <c r="S597" s="23" t="str">
        <f>IFERROR(__xludf.DUMMYFUNCTION("if(REGEXMATCH(join("", "",$F597:$G597),S$1)=TRUE,""✓"",""✗"")"),"✗")</f>
        <v>✗</v>
      </c>
      <c r="T597" s="23" t="str">
        <f>IFERROR(__xludf.DUMMYFUNCTION("if(REGEXMATCH(join("", "",$F597:$G597),T$1)=TRUE,""✓"",""✗"")"),"✗")</f>
        <v>✗</v>
      </c>
      <c r="U597" s="33"/>
      <c r="V597" s="33"/>
      <c r="W597" s="33"/>
      <c r="X597" s="33"/>
      <c r="Y597" s="33"/>
      <c r="Z597" s="33"/>
      <c r="AA597" s="33"/>
      <c r="AB597" s="33"/>
      <c r="AC597" s="33"/>
    </row>
    <row r="598" hidden="1">
      <c r="A598" s="17" t="s">
        <v>302</v>
      </c>
      <c r="B598" s="33"/>
      <c r="C598" s="33"/>
      <c r="D598" s="33"/>
      <c r="E598" s="33"/>
      <c r="F598" s="33"/>
      <c r="G598" s="33"/>
      <c r="H598" s="23" t="str">
        <f>IFERROR(__xludf.DUMMYFUNCTION("if(REGEXMATCH(join("", "",$F598:$G598),H$1)=TRUE,""✓"",""✗"")"),"✗")</f>
        <v>✗</v>
      </c>
      <c r="I598" s="23" t="str">
        <f>IFERROR(__xludf.DUMMYFUNCTION("if(REGEXMATCH(join("", "",$F598:$G598),I$1)=TRUE,""✓"",""✗"")"),"✗")</f>
        <v>✗</v>
      </c>
      <c r="J598" s="23" t="str">
        <f>IFERROR(__xludf.DUMMYFUNCTION("if(REGEXMATCH(join("", "",$F598:$G598),J$1)=TRUE,""✓"",""✗"")"),"✗")</f>
        <v>✗</v>
      </c>
      <c r="K598" s="23" t="str">
        <f>IFERROR(__xludf.DUMMYFUNCTION("if(REGEXMATCH(join("", "",$F598:$G598),K$1)=TRUE,""✓"",""✗"")"),"✗")</f>
        <v>✗</v>
      </c>
      <c r="L598" s="23" t="str">
        <f>IFERROR(__xludf.DUMMYFUNCTION("if(REGEXMATCH(join("", "",$F598:$G598),L$1)=TRUE,""✓"",""✗"")"),"✗")</f>
        <v>✗</v>
      </c>
      <c r="M598" s="23" t="str">
        <f>IFERROR(__xludf.DUMMYFUNCTION("if(REGEXMATCH(join("", "",$F598:$G598),M$1)=TRUE,""✓"",""✗"")"),"✗")</f>
        <v>✗</v>
      </c>
      <c r="N598" s="23" t="str">
        <f>IFERROR(__xludf.DUMMYFUNCTION("if(REGEXMATCH(join("", "",$F598:$G598),N$1)=TRUE,""✓"",""✗"")"),"✗")</f>
        <v>✗</v>
      </c>
      <c r="O598" s="23" t="str">
        <f>IFERROR(__xludf.DUMMYFUNCTION("if(REGEXMATCH(join("", "",$F598:$G598),O$1)=TRUE,""✓"",""✗"")"),"✗")</f>
        <v>✗</v>
      </c>
      <c r="P598" s="23" t="str">
        <f>IFERROR(__xludf.DUMMYFUNCTION("if(REGEXMATCH(join("", "",$F598:$G598),P$1)=TRUE,""✓"",""✗"")"),"✗")</f>
        <v>✗</v>
      </c>
      <c r="Q598" s="23" t="str">
        <f>IFERROR(__xludf.DUMMYFUNCTION("if(REGEXMATCH(join("", "",$F598:$G598),Q$1)=TRUE,""✓"",""✗"")"),"✗")</f>
        <v>✗</v>
      </c>
      <c r="R598" s="23" t="str">
        <f>IFERROR(__xludf.DUMMYFUNCTION("if(REGEXMATCH(join("", "",$F598:$G598),R$1)=TRUE,""✓"",""✗"")"),"✗")</f>
        <v>✗</v>
      </c>
      <c r="S598" s="23" t="str">
        <f>IFERROR(__xludf.DUMMYFUNCTION("if(REGEXMATCH(join("", "",$F598:$G598),S$1)=TRUE,""✓"",""✗"")"),"✗")</f>
        <v>✗</v>
      </c>
      <c r="T598" s="23" t="str">
        <f>IFERROR(__xludf.DUMMYFUNCTION("if(REGEXMATCH(join("", "",$F598:$G598),T$1)=TRUE,""✓"",""✗"")"),"✗")</f>
        <v>✗</v>
      </c>
      <c r="U598" s="33"/>
      <c r="V598" s="33"/>
      <c r="W598" s="33"/>
      <c r="X598" s="33"/>
      <c r="Y598" s="33"/>
      <c r="Z598" s="33"/>
      <c r="AA598" s="33"/>
      <c r="AB598" s="33"/>
      <c r="AC598" s="33"/>
    </row>
    <row r="599" hidden="1">
      <c r="A599" s="17" t="s">
        <v>302</v>
      </c>
      <c r="B599" s="33"/>
      <c r="C599" s="33"/>
      <c r="D599" s="33"/>
      <c r="E599" s="33"/>
      <c r="F599" s="33"/>
      <c r="G599" s="33"/>
      <c r="H599" s="23" t="str">
        <f>IFERROR(__xludf.DUMMYFUNCTION("if(REGEXMATCH(join("", "",$F599:$G599),H$1)=TRUE,""✓"",""✗"")"),"✗")</f>
        <v>✗</v>
      </c>
      <c r="I599" s="23" t="str">
        <f>IFERROR(__xludf.DUMMYFUNCTION("if(REGEXMATCH(join("", "",$F599:$G599),I$1)=TRUE,""✓"",""✗"")"),"✗")</f>
        <v>✗</v>
      </c>
      <c r="J599" s="23" t="str">
        <f>IFERROR(__xludf.DUMMYFUNCTION("if(REGEXMATCH(join("", "",$F599:$G599),J$1)=TRUE,""✓"",""✗"")"),"✗")</f>
        <v>✗</v>
      </c>
      <c r="K599" s="23" t="str">
        <f>IFERROR(__xludf.DUMMYFUNCTION("if(REGEXMATCH(join("", "",$F599:$G599),K$1)=TRUE,""✓"",""✗"")"),"✗")</f>
        <v>✗</v>
      </c>
      <c r="L599" s="23" t="str">
        <f>IFERROR(__xludf.DUMMYFUNCTION("if(REGEXMATCH(join("", "",$F599:$G599),L$1)=TRUE,""✓"",""✗"")"),"✗")</f>
        <v>✗</v>
      </c>
      <c r="M599" s="23" t="str">
        <f>IFERROR(__xludf.DUMMYFUNCTION("if(REGEXMATCH(join("", "",$F599:$G599),M$1)=TRUE,""✓"",""✗"")"),"✗")</f>
        <v>✗</v>
      </c>
      <c r="N599" s="23" t="str">
        <f>IFERROR(__xludf.DUMMYFUNCTION("if(REGEXMATCH(join("", "",$F599:$G599),N$1)=TRUE,""✓"",""✗"")"),"✗")</f>
        <v>✗</v>
      </c>
      <c r="O599" s="23" t="str">
        <f>IFERROR(__xludf.DUMMYFUNCTION("if(REGEXMATCH(join("", "",$F599:$G599),O$1)=TRUE,""✓"",""✗"")"),"✗")</f>
        <v>✗</v>
      </c>
      <c r="P599" s="23" t="str">
        <f>IFERROR(__xludf.DUMMYFUNCTION("if(REGEXMATCH(join("", "",$F599:$G599),P$1)=TRUE,""✓"",""✗"")"),"✗")</f>
        <v>✗</v>
      </c>
      <c r="Q599" s="23" t="str">
        <f>IFERROR(__xludf.DUMMYFUNCTION("if(REGEXMATCH(join("", "",$F599:$G599),Q$1)=TRUE,""✓"",""✗"")"),"✗")</f>
        <v>✗</v>
      </c>
      <c r="R599" s="23" t="str">
        <f>IFERROR(__xludf.DUMMYFUNCTION("if(REGEXMATCH(join("", "",$F599:$G599),R$1)=TRUE,""✓"",""✗"")"),"✗")</f>
        <v>✗</v>
      </c>
      <c r="S599" s="23" t="str">
        <f>IFERROR(__xludf.DUMMYFUNCTION("if(REGEXMATCH(join("", "",$F599:$G599),S$1)=TRUE,""✓"",""✗"")"),"✗")</f>
        <v>✗</v>
      </c>
      <c r="T599" s="23" t="str">
        <f>IFERROR(__xludf.DUMMYFUNCTION("if(REGEXMATCH(join("", "",$F599:$G599),T$1)=TRUE,""✓"",""✗"")"),"✗")</f>
        <v>✗</v>
      </c>
      <c r="U599" s="33"/>
      <c r="V599" s="33"/>
      <c r="W599" s="33"/>
      <c r="X599" s="33"/>
      <c r="Y599" s="33"/>
      <c r="Z599" s="33"/>
      <c r="AA599" s="33"/>
      <c r="AB599" s="33"/>
      <c r="AC599" s="33"/>
    </row>
    <row r="600" hidden="1">
      <c r="A600" s="17" t="s">
        <v>302</v>
      </c>
      <c r="B600" s="33"/>
      <c r="C600" s="33"/>
      <c r="D600" s="33"/>
      <c r="E600" s="33"/>
      <c r="F600" s="33"/>
      <c r="G600" s="33"/>
      <c r="H600" s="23" t="str">
        <f>IFERROR(__xludf.DUMMYFUNCTION("if(REGEXMATCH(join("", "",$F600:$G600),H$1)=TRUE,""✓"",""✗"")"),"✗")</f>
        <v>✗</v>
      </c>
      <c r="I600" s="23" t="str">
        <f>IFERROR(__xludf.DUMMYFUNCTION("if(REGEXMATCH(join("", "",$F600:$G600),I$1)=TRUE,""✓"",""✗"")"),"✗")</f>
        <v>✗</v>
      </c>
      <c r="J600" s="23" t="str">
        <f>IFERROR(__xludf.DUMMYFUNCTION("if(REGEXMATCH(join("", "",$F600:$G600),J$1)=TRUE,""✓"",""✗"")"),"✗")</f>
        <v>✗</v>
      </c>
      <c r="K600" s="23" t="str">
        <f>IFERROR(__xludf.DUMMYFUNCTION("if(REGEXMATCH(join("", "",$F600:$G600),K$1)=TRUE,""✓"",""✗"")"),"✗")</f>
        <v>✗</v>
      </c>
      <c r="L600" s="23" t="str">
        <f>IFERROR(__xludf.DUMMYFUNCTION("if(REGEXMATCH(join("", "",$F600:$G600),L$1)=TRUE,""✓"",""✗"")"),"✗")</f>
        <v>✗</v>
      </c>
      <c r="M600" s="23" t="str">
        <f>IFERROR(__xludf.DUMMYFUNCTION("if(REGEXMATCH(join("", "",$F600:$G600),M$1)=TRUE,""✓"",""✗"")"),"✗")</f>
        <v>✗</v>
      </c>
      <c r="N600" s="23" t="str">
        <f>IFERROR(__xludf.DUMMYFUNCTION("if(REGEXMATCH(join("", "",$F600:$G600),N$1)=TRUE,""✓"",""✗"")"),"✗")</f>
        <v>✗</v>
      </c>
      <c r="O600" s="23" t="str">
        <f>IFERROR(__xludf.DUMMYFUNCTION("if(REGEXMATCH(join("", "",$F600:$G600),O$1)=TRUE,""✓"",""✗"")"),"✗")</f>
        <v>✗</v>
      </c>
      <c r="P600" s="23" t="str">
        <f>IFERROR(__xludf.DUMMYFUNCTION("if(REGEXMATCH(join("", "",$F600:$G600),P$1)=TRUE,""✓"",""✗"")"),"✗")</f>
        <v>✗</v>
      </c>
      <c r="Q600" s="23" t="str">
        <f>IFERROR(__xludf.DUMMYFUNCTION("if(REGEXMATCH(join("", "",$F600:$G600),Q$1)=TRUE,""✓"",""✗"")"),"✗")</f>
        <v>✗</v>
      </c>
      <c r="R600" s="23" t="str">
        <f>IFERROR(__xludf.DUMMYFUNCTION("if(REGEXMATCH(join("", "",$F600:$G600),R$1)=TRUE,""✓"",""✗"")"),"✗")</f>
        <v>✗</v>
      </c>
      <c r="S600" s="23" t="str">
        <f>IFERROR(__xludf.DUMMYFUNCTION("if(REGEXMATCH(join("", "",$F600:$G600),S$1)=TRUE,""✓"",""✗"")"),"✗")</f>
        <v>✗</v>
      </c>
      <c r="T600" s="23" t="str">
        <f>IFERROR(__xludf.DUMMYFUNCTION("if(REGEXMATCH(join("", "",$F600:$G600),T$1)=TRUE,""✓"",""✗"")"),"✗")</f>
        <v>✗</v>
      </c>
      <c r="U600" s="33"/>
      <c r="V600" s="33"/>
      <c r="W600" s="33"/>
      <c r="X600" s="33"/>
      <c r="Y600" s="33"/>
      <c r="Z600" s="33"/>
      <c r="AA600" s="33"/>
      <c r="AB600" s="33"/>
      <c r="AC600" s="33"/>
    </row>
    <row r="601" hidden="1">
      <c r="A601" s="17" t="s">
        <v>302</v>
      </c>
      <c r="B601" s="33"/>
      <c r="C601" s="33"/>
      <c r="D601" s="33"/>
      <c r="E601" s="33"/>
      <c r="F601" s="33"/>
      <c r="G601" s="33"/>
      <c r="H601" s="23" t="str">
        <f>IFERROR(__xludf.DUMMYFUNCTION("if(REGEXMATCH(join("", "",$F601:$G601),H$1)=TRUE,""✓"",""✗"")"),"✗")</f>
        <v>✗</v>
      </c>
      <c r="I601" s="23" t="str">
        <f>IFERROR(__xludf.DUMMYFUNCTION("if(REGEXMATCH(join("", "",$F601:$G601),I$1)=TRUE,""✓"",""✗"")"),"✗")</f>
        <v>✗</v>
      </c>
      <c r="J601" s="23" t="str">
        <f>IFERROR(__xludf.DUMMYFUNCTION("if(REGEXMATCH(join("", "",$F601:$G601),J$1)=TRUE,""✓"",""✗"")"),"✗")</f>
        <v>✗</v>
      </c>
      <c r="K601" s="23" t="str">
        <f>IFERROR(__xludf.DUMMYFUNCTION("if(REGEXMATCH(join("", "",$F601:$G601),K$1)=TRUE,""✓"",""✗"")"),"✗")</f>
        <v>✗</v>
      </c>
      <c r="L601" s="23" t="str">
        <f>IFERROR(__xludf.DUMMYFUNCTION("if(REGEXMATCH(join("", "",$F601:$G601),L$1)=TRUE,""✓"",""✗"")"),"✗")</f>
        <v>✗</v>
      </c>
      <c r="M601" s="23" t="str">
        <f>IFERROR(__xludf.DUMMYFUNCTION("if(REGEXMATCH(join("", "",$F601:$G601),M$1)=TRUE,""✓"",""✗"")"),"✗")</f>
        <v>✗</v>
      </c>
      <c r="N601" s="23" t="str">
        <f>IFERROR(__xludf.DUMMYFUNCTION("if(REGEXMATCH(join("", "",$F601:$G601),N$1)=TRUE,""✓"",""✗"")"),"✗")</f>
        <v>✗</v>
      </c>
      <c r="O601" s="23" t="str">
        <f>IFERROR(__xludf.DUMMYFUNCTION("if(REGEXMATCH(join("", "",$F601:$G601),O$1)=TRUE,""✓"",""✗"")"),"✗")</f>
        <v>✗</v>
      </c>
      <c r="P601" s="23" t="str">
        <f>IFERROR(__xludf.DUMMYFUNCTION("if(REGEXMATCH(join("", "",$F601:$G601),P$1)=TRUE,""✓"",""✗"")"),"✗")</f>
        <v>✗</v>
      </c>
      <c r="Q601" s="23" t="str">
        <f>IFERROR(__xludf.DUMMYFUNCTION("if(REGEXMATCH(join("", "",$F601:$G601),Q$1)=TRUE,""✓"",""✗"")"),"✗")</f>
        <v>✗</v>
      </c>
      <c r="R601" s="23" t="str">
        <f>IFERROR(__xludf.DUMMYFUNCTION("if(REGEXMATCH(join("", "",$F601:$G601),R$1)=TRUE,""✓"",""✗"")"),"✗")</f>
        <v>✗</v>
      </c>
      <c r="S601" s="23" t="str">
        <f>IFERROR(__xludf.DUMMYFUNCTION("if(REGEXMATCH(join("", "",$F601:$G601),S$1)=TRUE,""✓"",""✗"")"),"✗")</f>
        <v>✗</v>
      </c>
      <c r="T601" s="23" t="str">
        <f>IFERROR(__xludf.DUMMYFUNCTION("if(REGEXMATCH(join("", "",$F601:$G601),T$1)=TRUE,""✓"",""✗"")"),"✗")</f>
        <v>✗</v>
      </c>
      <c r="U601" s="33"/>
      <c r="V601" s="33"/>
      <c r="W601" s="33"/>
      <c r="X601" s="33"/>
      <c r="Y601" s="33"/>
      <c r="Z601" s="33"/>
      <c r="AA601" s="33"/>
      <c r="AB601" s="33"/>
      <c r="AC601" s="33"/>
    </row>
    <row r="602" hidden="1">
      <c r="A602" s="17" t="s">
        <v>302</v>
      </c>
      <c r="B602" s="33"/>
      <c r="C602" s="33"/>
      <c r="D602" s="33"/>
      <c r="E602" s="33"/>
      <c r="F602" s="33"/>
      <c r="G602" s="33"/>
      <c r="H602" s="23" t="str">
        <f>IFERROR(__xludf.DUMMYFUNCTION("if(REGEXMATCH(join("", "",$F602:$G602),H$1)=TRUE,""✓"",""✗"")"),"✗")</f>
        <v>✗</v>
      </c>
      <c r="I602" s="23" t="str">
        <f>IFERROR(__xludf.DUMMYFUNCTION("if(REGEXMATCH(join("", "",$F602:$G602),I$1)=TRUE,""✓"",""✗"")"),"✗")</f>
        <v>✗</v>
      </c>
      <c r="J602" s="23" t="str">
        <f>IFERROR(__xludf.DUMMYFUNCTION("if(REGEXMATCH(join("", "",$F602:$G602),J$1)=TRUE,""✓"",""✗"")"),"✗")</f>
        <v>✗</v>
      </c>
      <c r="K602" s="23" t="str">
        <f>IFERROR(__xludf.DUMMYFUNCTION("if(REGEXMATCH(join("", "",$F602:$G602),K$1)=TRUE,""✓"",""✗"")"),"✗")</f>
        <v>✗</v>
      </c>
      <c r="L602" s="23" t="str">
        <f>IFERROR(__xludf.DUMMYFUNCTION("if(REGEXMATCH(join("", "",$F602:$G602),L$1)=TRUE,""✓"",""✗"")"),"✗")</f>
        <v>✗</v>
      </c>
      <c r="M602" s="23" t="str">
        <f>IFERROR(__xludf.DUMMYFUNCTION("if(REGEXMATCH(join("", "",$F602:$G602),M$1)=TRUE,""✓"",""✗"")"),"✗")</f>
        <v>✗</v>
      </c>
      <c r="N602" s="23" t="str">
        <f>IFERROR(__xludf.DUMMYFUNCTION("if(REGEXMATCH(join("", "",$F602:$G602),N$1)=TRUE,""✓"",""✗"")"),"✗")</f>
        <v>✗</v>
      </c>
      <c r="O602" s="23" t="str">
        <f>IFERROR(__xludf.DUMMYFUNCTION("if(REGEXMATCH(join("", "",$F602:$G602),O$1)=TRUE,""✓"",""✗"")"),"✗")</f>
        <v>✗</v>
      </c>
      <c r="P602" s="23" t="str">
        <f>IFERROR(__xludf.DUMMYFUNCTION("if(REGEXMATCH(join("", "",$F602:$G602),P$1)=TRUE,""✓"",""✗"")"),"✗")</f>
        <v>✗</v>
      </c>
      <c r="Q602" s="23" t="str">
        <f>IFERROR(__xludf.DUMMYFUNCTION("if(REGEXMATCH(join("", "",$F602:$G602),Q$1)=TRUE,""✓"",""✗"")"),"✗")</f>
        <v>✗</v>
      </c>
      <c r="R602" s="23" t="str">
        <f>IFERROR(__xludf.DUMMYFUNCTION("if(REGEXMATCH(join("", "",$F602:$G602),R$1)=TRUE,""✓"",""✗"")"),"✗")</f>
        <v>✗</v>
      </c>
      <c r="S602" s="23" t="str">
        <f>IFERROR(__xludf.DUMMYFUNCTION("if(REGEXMATCH(join("", "",$F602:$G602),S$1)=TRUE,""✓"",""✗"")"),"✗")</f>
        <v>✗</v>
      </c>
      <c r="T602" s="23" t="str">
        <f>IFERROR(__xludf.DUMMYFUNCTION("if(REGEXMATCH(join("", "",$F602:$G602),T$1)=TRUE,""✓"",""✗"")"),"✗")</f>
        <v>✗</v>
      </c>
      <c r="U602" s="33"/>
      <c r="V602" s="33"/>
      <c r="W602" s="33"/>
      <c r="X602" s="33"/>
      <c r="Y602" s="33"/>
      <c r="Z602" s="33"/>
      <c r="AA602" s="33"/>
      <c r="AB602" s="33"/>
      <c r="AC602" s="33"/>
    </row>
    <row r="603" hidden="1">
      <c r="A603" s="17" t="s">
        <v>302</v>
      </c>
      <c r="B603" s="33"/>
      <c r="C603" s="33"/>
      <c r="D603" s="33"/>
      <c r="E603" s="33"/>
      <c r="F603" s="33"/>
      <c r="G603" s="33"/>
      <c r="H603" s="23" t="str">
        <f>IFERROR(__xludf.DUMMYFUNCTION("if(REGEXMATCH(join("", "",$F603:$G603),H$1)=TRUE,""✓"",""✗"")"),"✗")</f>
        <v>✗</v>
      </c>
      <c r="I603" s="23" t="str">
        <f>IFERROR(__xludf.DUMMYFUNCTION("if(REGEXMATCH(join("", "",$F603:$G603),I$1)=TRUE,""✓"",""✗"")"),"✗")</f>
        <v>✗</v>
      </c>
      <c r="J603" s="23" t="str">
        <f>IFERROR(__xludf.DUMMYFUNCTION("if(REGEXMATCH(join("", "",$F603:$G603),J$1)=TRUE,""✓"",""✗"")"),"✗")</f>
        <v>✗</v>
      </c>
      <c r="K603" s="23" t="str">
        <f>IFERROR(__xludf.DUMMYFUNCTION("if(REGEXMATCH(join("", "",$F603:$G603),K$1)=TRUE,""✓"",""✗"")"),"✗")</f>
        <v>✗</v>
      </c>
      <c r="L603" s="23" t="str">
        <f>IFERROR(__xludf.DUMMYFUNCTION("if(REGEXMATCH(join("", "",$F603:$G603),L$1)=TRUE,""✓"",""✗"")"),"✗")</f>
        <v>✗</v>
      </c>
      <c r="M603" s="23" t="str">
        <f>IFERROR(__xludf.DUMMYFUNCTION("if(REGEXMATCH(join("", "",$F603:$G603),M$1)=TRUE,""✓"",""✗"")"),"✗")</f>
        <v>✗</v>
      </c>
      <c r="N603" s="23" t="str">
        <f>IFERROR(__xludf.DUMMYFUNCTION("if(REGEXMATCH(join("", "",$F603:$G603),N$1)=TRUE,""✓"",""✗"")"),"✗")</f>
        <v>✗</v>
      </c>
      <c r="O603" s="23" t="str">
        <f>IFERROR(__xludf.DUMMYFUNCTION("if(REGEXMATCH(join("", "",$F603:$G603),O$1)=TRUE,""✓"",""✗"")"),"✗")</f>
        <v>✗</v>
      </c>
      <c r="P603" s="23" t="str">
        <f>IFERROR(__xludf.DUMMYFUNCTION("if(REGEXMATCH(join("", "",$F603:$G603),P$1)=TRUE,""✓"",""✗"")"),"✗")</f>
        <v>✗</v>
      </c>
      <c r="Q603" s="23" t="str">
        <f>IFERROR(__xludf.DUMMYFUNCTION("if(REGEXMATCH(join("", "",$F603:$G603),Q$1)=TRUE,""✓"",""✗"")"),"✗")</f>
        <v>✗</v>
      </c>
      <c r="R603" s="23" t="str">
        <f>IFERROR(__xludf.DUMMYFUNCTION("if(REGEXMATCH(join("", "",$F603:$G603),R$1)=TRUE,""✓"",""✗"")"),"✗")</f>
        <v>✗</v>
      </c>
      <c r="S603" s="23" t="str">
        <f>IFERROR(__xludf.DUMMYFUNCTION("if(REGEXMATCH(join("", "",$F603:$G603),S$1)=TRUE,""✓"",""✗"")"),"✗")</f>
        <v>✗</v>
      </c>
      <c r="T603" s="23" t="str">
        <f>IFERROR(__xludf.DUMMYFUNCTION("if(REGEXMATCH(join("", "",$F603:$G603),T$1)=TRUE,""✓"",""✗"")"),"✗")</f>
        <v>✗</v>
      </c>
      <c r="U603" s="33"/>
      <c r="V603" s="33"/>
      <c r="W603" s="33"/>
      <c r="X603" s="33"/>
      <c r="Y603" s="33"/>
      <c r="Z603" s="33"/>
      <c r="AA603" s="33"/>
      <c r="AB603" s="33"/>
      <c r="AC603" s="33"/>
    </row>
    <row r="604" hidden="1">
      <c r="A604" s="17" t="s">
        <v>302</v>
      </c>
      <c r="B604" s="33"/>
      <c r="C604" s="33"/>
      <c r="D604" s="33"/>
      <c r="E604" s="33"/>
      <c r="F604" s="33"/>
      <c r="G604" s="33"/>
      <c r="H604" s="23" t="str">
        <f>IFERROR(__xludf.DUMMYFUNCTION("if(REGEXMATCH(join("", "",$F604:$G604),H$1)=TRUE,""✓"",""✗"")"),"✗")</f>
        <v>✗</v>
      </c>
      <c r="I604" s="23" t="str">
        <f>IFERROR(__xludf.DUMMYFUNCTION("if(REGEXMATCH(join("", "",$F604:$G604),I$1)=TRUE,""✓"",""✗"")"),"✗")</f>
        <v>✗</v>
      </c>
      <c r="J604" s="23" t="str">
        <f>IFERROR(__xludf.DUMMYFUNCTION("if(REGEXMATCH(join("", "",$F604:$G604),J$1)=TRUE,""✓"",""✗"")"),"✗")</f>
        <v>✗</v>
      </c>
      <c r="K604" s="23" t="str">
        <f>IFERROR(__xludf.DUMMYFUNCTION("if(REGEXMATCH(join("", "",$F604:$G604),K$1)=TRUE,""✓"",""✗"")"),"✗")</f>
        <v>✗</v>
      </c>
      <c r="L604" s="23" t="str">
        <f>IFERROR(__xludf.DUMMYFUNCTION("if(REGEXMATCH(join("", "",$F604:$G604),L$1)=TRUE,""✓"",""✗"")"),"✗")</f>
        <v>✗</v>
      </c>
      <c r="M604" s="23" t="str">
        <f>IFERROR(__xludf.DUMMYFUNCTION("if(REGEXMATCH(join("", "",$F604:$G604),M$1)=TRUE,""✓"",""✗"")"),"✗")</f>
        <v>✗</v>
      </c>
      <c r="N604" s="23" t="str">
        <f>IFERROR(__xludf.DUMMYFUNCTION("if(REGEXMATCH(join("", "",$F604:$G604),N$1)=TRUE,""✓"",""✗"")"),"✗")</f>
        <v>✗</v>
      </c>
      <c r="O604" s="23" t="str">
        <f>IFERROR(__xludf.DUMMYFUNCTION("if(REGEXMATCH(join("", "",$F604:$G604),O$1)=TRUE,""✓"",""✗"")"),"✗")</f>
        <v>✗</v>
      </c>
      <c r="P604" s="23" t="str">
        <f>IFERROR(__xludf.DUMMYFUNCTION("if(REGEXMATCH(join("", "",$F604:$G604),P$1)=TRUE,""✓"",""✗"")"),"✗")</f>
        <v>✗</v>
      </c>
      <c r="Q604" s="23" t="str">
        <f>IFERROR(__xludf.DUMMYFUNCTION("if(REGEXMATCH(join("", "",$F604:$G604),Q$1)=TRUE,""✓"",""✗"")"),"✗")</f>
        <v>✗</v>
      </c>
      <c r="R604" s="23" t="str">
        <f>IFERROR(__xludf.DUMMYFUNCTION("if(REGEXMATCH(join("", "",$F604:$G604),R$1)=TRUE,""✓"",""✗"")"),"✗")</f>
        <v>✗</v>
      </c>
      <c r="S604" s="23" t="str">
        <f>IFERROR(__xludf.DUMMYFUNCTION("if(REGEXMATCH(join("", "",$F604:$G604),S$1)=TRUE,""✓"",""✗"")"),"✗")</f>
        <v>✗</v>
      </c>
      <c r="T604" s="23" t="str">
        <f>IFERROR(__xludf.DUMMYFUNCTION("if(REGEXMATCH(join("", "",$F604:$G604),T$1)=TRUE,""✓"",""✗"")"),"✗")</f>
        <v>✗</v>
      </c>
      <c r="U604" s="33"/>
      <c r="V604" s="33"/>
      <c r="W604" s="33"/>
      <c r="X604" s="33"/>
      <c r="Y604" s="33"/>
      <c r="Z604" s="33"/>
      <c r="AA604" s="33"/>
      <c r="AB604" s="33"/>
      <c r="AC604" s="33"/>
    </row>
    <row r="605" hidden="1">
      <c r="A605" s="17" t="s">
        <v>302</v>
      </c>
      <c r="B605" s="33"/>
      <c r="C605" s="33"/>
      <c r="D605" s="33"/>
      <c r="E605" s="33"/>
      <c r="F605" s="33"/>
      <c r="G605" s="33"/>
      <c r="H605" s="23" t="str">
        <f>IFERROR(__xludf.DUMMYFUNCTION("if(REGEXMATCH(join("", "",$F605:$G605),H$1)=TRUE,""✓"",""✗"")"),"✗")</f>
        <v>✗</v>
      </c>
      <c r="I605" s="23" t="str">
        <f>IFERROR(__xludf.DUMMYFUNCTION("if(REGEXMATCH(join("", "",$F605:$G605),I$1)=TRUE,""✓"",""✗"")"),"✗")</f>
        <v>✗</v>
      </c>
      <c r="J605" s="23" t="str">
        <f>IFERROR(__xludf.DUMMYFUNCTION("if(REGEXMATCH(join("", "",$F605:$G605),J$1)=TRUE,""✓"",""✗"")"),"✗")</f>
        <v>✗</v>
      </c>
      <c r="K605" s="23" t="str">
        <f>IFERROR(__xludf.DUMMYFUNCTION("if(REGEXMATCH(join("", "",$F605:$G605),K$1)=TRUE,""✓"",""✗"")"),"✗")</f>
        <v>✗</v>
      </c>
      <c r="L605" s="23" t="str">
        <f>IFERROR(__xludf.DUMMYFUNCTION("if(REGEXMATCH(join("", "",$F605:$G605),L$1)=TRUE,""✓"",""✗"")"),"✗")</f>
        <v>✗</v>
      </c>
      <c r="M605" s="23" t="str">
        <f>IFERROR(__xludf.DUMMYFUNCTION("if(REGEXMATCH(join("", "",$F605:$G605),M$1)=TRUE,""✓"",""✗"")"),"✗")</f>
        <v>✗</v>
      </c>
      <c r="N605" s="23" t="str">
        <f>IFERROR(__xludf.DUMMYFUNCTION("if(REGEXMATCH(join("", "",$F605:$G605),N$1)=TRUE,""✓"",""✗"")"),"✗")</f>
        <v>✗</v>
      </c>
      <c r="O605" s="23" t="str">
        <f>IFERROR(__xludf.DUMMYFUNCTION("if(REGEXMATCH(join("", "",$F605:$G605),O$1)=TRUE,""✓"",""✗"")"),"✗")</f>
        <v>✗</v>
      </c>
      <c r="P605" s="23" t="str">
        <f>IFERROR(__xludf.DUMMYFUNCTION("if(REGEXMATCH(join("", "",$F605:$G605),P$1)=TRUE,""✓"",""✗"")"),"✗")</f>
        <v>✗</v>
      </c>
      <c r="Q605" s="23" t="str">
        <f>IFERROR(__xludf.DUMMYFUNCTION("if(REGEXMATCH(join("", "",$F605:$G605),Q$1)=TRUE,""✓"",""✗"")"),"✗")</f>
        <v>✗</v>
      </c>
      <c r="R605" s="23" t="str">
        <f>IFERROR(__xludf.DUMMYFUNCTION("if(REGEXMATCH(join("", "",$F605:$G605),R$1)=TRUE,""✓"",""✗"")"),"✗")</f>
        <v>✗</v>
      </c>
      <c r="S605" s="23" t="str">
        <f>IFERROR(__xludf.DUMMYFUNCTION("if(REGEXMATCH(join("", "",$F605:$G605),S$1)=TRUE,""✓"",""✗"")"),"✗")</f>
        <v>✗</v>
      </c>
      <c r="T605" s="23" t="str">
        <f>IFERROR(__xludf.DUMMYFUNCTION("if(REGEXMATCH(join("", "",$F605:$G605),T$1)=TRUE,""✓"",""✗"")"),"✗")</f>
        <v>✗</v>
      </c>
      <c r="U605" s="33"/>
      <c r="V605" s="33"/>
      <c r="W605" s="33"/>
      <c r="X605" s="33"/>
      <c r="Y605" s="33"/>
      <c r="Z605" s="33"/>
      <c r="AA605" s="33"/>
      <c r="AB605" s="33"/>
      <c r="AC605" s="33"/>
    </row>
    <row r="606" hidden="1">
      <c r="A606" s="17" t="s">
        <v>302</v>
      </c>
      <c r="B606" s="33"/>
      <c r="C606" s="33"/>
      <c r="D606" s="33"/>
      <c r="E606" s="33"/>
      <c r="F606" s="33"/>
      <c r="G606" s="33"/>
      <c r="H606" s="23" t="str">
        <f>IFERROR(__xludf.DUMMYFUNCTION("if(REGEXMATCH(join("", "",$F606:$G606),H$1)=TRUE,""✓"",""✗"")"),"✗")</f>
        <v>✗</v>
      </c>
      <c r="I606" s="23" t="str">
        <f>IFERROR(__xludf.DUMMYFUNCTION("if(REGEXMATCH(join("", "",$F606:$G606),I$1)=TRUE,""✓"",""✗"")"),"✗")</f>
        <v>✗</v>
      </c>
      <c r="J606" s="23" t="str">
        <f>IFERROR(__xludf.DUMMYFUNCTION("if(REGEXMATCH(join("", "",$F606:$G606),J$1)=TRUE,""✓"",""✗"")"),"✗")</f>
        <v>✗</v>
      </c>
      <c r="K606" s="23" t="str">
        <f>IFERROR(__xludf.DUMMYFUNCTION("if(REGEXMATCH(join("", "",$F606:$G606),K$1)=TRUE,""✓"",""✗"")"),"✗")</f>
        <v>✗</v>
      </c>
      <c r="L606" s="23" t="str">
        <f>IFERROR(__xludf.DUMMYFUNCTION("if(REGEXMATCH(join("", "",$F606:$G606),L$1)=TRUE,""✓"",""✗"")"),"✗")</f>
        <v>✗</v>
      </c>
      <c r="M606" s="23" t="str">
        <f>IFERROR(__xludf.DUMMYFUNCTION("if(REGEXMATCH(join("", "",$F606:$G606),M$1)=TRUE,""✓"",""✗"")"),"✗")</f>
        <v>✗</v>
      </c>
      <c r="N606" s="23" t="str">
        <f>IFERROR(__xludf.DUMMYFUNCTION("if(REGEXMATCH(join("", "",$F606:$G606),N$1)=TRUE,""✓"",""✗"")"),"✗")</f>
        <v>✗</v>
      </c>
      <c r="O606" s="23" t="str">
        <f>IFERROR(__xludf.DUMMYFUNCTION("if(REGEXMATCH(join("", "",$F606:$G606),O$1)=TRUE,""✓"",""✗"")"),"✗")</f>
        <v>✗</v>
      </c>
      <c r="P606" s="23" t="str">
        <f>IFERROR(__xludf.DUMMYFUNCTION("if(REGEXMATCH(join("", "",$F606:$G606),P$1)=TRUE,""✓"",""✗"")"),"✗")</f>
        <v>✗</v>
      </c>
      <c r="Q606" s="23" t="str">
        <f>IFERROR(__xludf.DUMMYFUNCTION("if(REGEXMATCH(join("", "",$F606:$G606),Q$1)=TRUE,""✓"",""✗"")"),"✗")</f>
        <v>✗</v>
      </c>
      <c r="R606" s="23" t="str">
        <f>IFERROR(__xludf.DUMMYFUNCTION("if(REGEXMATCH(join("", "",$F606:$G606),R$1)=TRUE,""✓"",""✗"")"),"✗")</f>
        <v>✗</v>
      </c>
      <c r="S606" s="23" t="str">
        <f>IFERROR(__xludf.DUMMYFUNCTION("if(REGEXMATCH(join("", "",$F606:$G606),S$1)=TRUE,""✓"",""✗"")"),"✗")</f>
        <v>✗</v>
      </c>
      <c r="T606" s="23" t="str">
        <f>IFERROR(__xludf.DUMMYFUNCTION("if(REGEXMATCH(join("", "",$F606:$G606),T$1)=TRUE,""✓"",""✗"")"),"✗")</f>
        <v>✗</v>
      </c>
      <c r="U606" s="33"/>
      <c r="V606" s="33"/>
      <c r="W606" s="33"/>
      <c r="X606" s="33"/>
      <c r="Y606" s="33"/>
      <c r="Z606" s="33"/>
      <c r="AA606" s="33"/>
      <c r="AB606" s="33"/>
      <c r="AC606" s="33"/>
    </row>
    <row r="607" hidden="1">
      <c r="A607" s="17" t="s">
        <v>302</v>
      </c>
      <c r="B607" s="33"/>
      <c r="C607" s="33"/>
      <c r="D607" s="33"/>
      <c r="E607" s="33"/>
      <c r="F607" s="33"/>
      <c r="G607" s="33"/>
      <c r="H607" s="23" t="str">
        <f>IFERROR(__xludf.DUMMYFUNCTION("if(REGEXMATCH(join("", "",$F607:$G607),H$1)=TRUE,""✓"",""✗"")"),"✗")</f>
        <v>✗</v>
      </c>
      <c r="I607" s="23" t="str">
        <f>IFERROR(__xludf.DUMMYFUNCTION("if(REGEXMATCH(join("", "",$F607:$G607),I$1)=TRUE,""✓"",""✗"")"),"✗")</f>
        <v>✗</v>
      </c>
      <c r="J607" s="23" t="str">
        <f>IFERROR(__xludf.DUMMYFUNCTION("if(REGEXMATCH(join("", "",$F607:$G607),J$1)=TRUE,""✓"",""✗"")"),"✗")</f>
        <v>✗</v>
      </c>
      <c r="K607" s="23" t="str">
        <f>IFERROR(__xludf.DUMMYFUNCTION("if(REGEXMATCH(join("", "",$F607:$G607),K$1)=TRUE,""✓"",""✗"")"),"✗")</f>
        <v>✗</v>
      </c>
      <c r="L607" s="23" t="str">
        <f>IFERROR(__xludf.DUMMYFUNCTION("if(REGEXMATCH(join("", "",$F607:$G607),L$1)=TRUE,""✓"",""✗"")"),"✗")</f>
        <v>✗</v>
      </c>
      <c r="M607" s="23" t="str">
        <f>IFERROR(__xludf.DUMMYFUNCTION("if(REGEXMATCH(join("", "",$F607:$G607),M$1)=TRUE,""✓"",""✗"")"),"✗")</f>
        <v>✗</v>
      </c>
      <c r="N607" s="23" t="str">
        <f>IFERROR(__xludf.DUMMYFUNCTION("if(REGEXMATCH(join("", "",$F607:$G607),N$1)=TRUE,""✓"",""✗"")"),"✗")</f>
        <v>✗</v>
      </c>
      <c r="O607" s="23" t="str">
        <f>IFERROR(__xludf.DUMMYFUNCTION("if(REGEXMATCH(join("", "",$F607:$G607),O$1)=TRUE,""✓"",""✗"")"),"✗")</f>
        <v>✗</v>
      </c>
      <c r="P607" s="23" t="str">
        <f>IFERROR(__xludf.DUMMYFUNCTION("if(REGEXMATCH(join("", "",$F607:$G607),P$1)=TRUE,""✓"",""✗"")"),"✗")</f>
        <v>✗</v>
      </c>
      <c r="Q607" s="23" t="str">
        <f>IFERROR(__xludf.DUMMYFUNCTION("if(REGEXMATCH(join("", "",$F607:$G607),Q$1)=TRUE,""✓"",""✗"")"),"✗")</f>
        <v>✗</v>
      </c>
      <c r="R607" s="23" t="str">
        <f>IFERROR(__xludf.DUMMYFUNCTION("if(REGEXMATCH(join("", "",$F607:$G607),R$1)=TRUE,""✓"",""✗"")"),"✗")</f>
        <v>✗</v>
      </c>
      <c r="S607" s="23" t="str">
        <f>IFERROR(__xludf.DUMMYFUNCTION("if(REGEXMATCH(join("", "",$F607:$G607),S$1)=TRUE,""✓"",""✗"")"),"✗")</f>
        <v>✗</v>
      </c>
      <c r="T607" s="23" t="str">
        <f>IFERROR(__xludf.DUMMYFUNCTION("if(REGEXMATCH(join("", "",$F607:$G607),T$1)=TRUE,""✓"",""✗"")"),"✗")</f>
        <v>✗</v>
      </c>
      <c r="U607" s="33"/>
      <c r="V607" s="33"/>
      <c r="W607" s="33"/>
      <c r="X607" s="33"/>
      <c r="Y607" s="33"/>
      <c r="Z607" s="33"/>
      <c r="AA607" s="33"/>
      <c r="AB607" s="33"/>
      <c r="AC607" s="33"/>
    </row>
    <row r="608" hidden="1">
      <c r="A608" s="17" t="s">
        <v>302</v>
      </c>
      <c r="B608" s="33"/>
      <c r="C608" s="33"/>
      <c r="D608" s="33"/>
      <c r="E608" s="33"/>
      <c r="F608" s="33"/>
      <c r="G608" s="33"/>
      <c r="H608" s="23" t="str">
        <f>IFERROR(__xludf.DUMMYFUNCTION("if(REGEXMATCH(join("", "",$F608:$G608),H$1)=TRUE,""✓"",""✗"")"),"✗")</f>
        <v>✗</v>
      </c>
      <c r="I608" s="23" t="str">
        <f>IFERROR(__xludf.DUMMYFUNCTION("if(REGEXMATCH(join("", "",$F608:$G608),I$1)=TRUE,""✓"",""✗"")"),"✗")</f>
        <v>✗</v>
      </c>
      <c r="J608" s="23" t="str">
        <f>IFERROR(__xludf.DUMMYFUNCTION("if(REGEXMATCH(join("", "",$F608:$G608),J$1)=TRUE,""✓"",""✗"")"),"✗")</f>
        <v>✗</v>
      </c>
      <c r="K608" s="23" t="str">
        <f>IFERROR(__xludf.DUMMYFUNCTION("if(REGEXMATCH(join("", "",$F608:$G608),K$1)=TRUE,""✓"",""✗"")"),"✗")</f>
        <v>✗</v>
      </c>
      <c r="L608" s="23" t="str">
        <f>IFERROR(__xludf.DUMMYFUNCTION("if(REGEXMATCH(join("", "",$F608:$G608),L$1)=TRUE,""✓"",""✗"")"),"✗")</f>
        <v>✗</v>
      </c>
      <c r="M608" s="23" t="str">
        <f>IFERROR(__xludf.DUMMYFUNCTION("if(REGEXMATCH(join("", "",$F608:$G608),M$1)=TRUE,""✓"",""✗"")"),"✗")</f>
        <v>✗</v>
      </c>
      <c r="N608" s="23" t="str">
        <f>IFERROR(__xludf.DUMMYFUNCTION("if(REGEXMATCH(join("", "",$F608:$G608),N$1)=TRUE,""✓"",""✗"")"),"✗")</f>
        <v>✗</v>
      </c>
      <c r="O608" s="23" t="str">
        <f>IFERROR(__xludf.DUMMYFUNCTION("if(REGEXMATCH(join("", "",$F608:$G608),O$1)=TRUE,""✓"",""✗"")"),"✗")</f>
        <v>✗</v>
      </c>
      <c r="P608" s="23" t="str">
        <f>IFERROR(__xludf.DUMMYFUNCTION("if(REGEXMATCH(join("", "",$F608:$G608),P$1)=TRUE,""✓"",""✗"")"),"✗")</f>
        <v>✗</v>
      </c>
      <c r="Q608" s="23" t="str">
        <f>IFERROR(__xludf.DUMMYFUNCTION("if(REGEXMATCH(join("", "",$F608:$G608),Q$1)=TRUE,""✓"",""✗"")"),"✗")</f>
        <v>✗</v>
      </c>
      <c r="R608" s="23" t="str">
        <f>IFERROR(__xludf.DUMMYFUNCTION("if(REGEXMATCH(join("", "",$F608:$G608),R$1)=TRUE,""✓"",""✗"")"),"✗")</f>
        <v>✗</v>
      </c>
      <c r="S608" s="23" t="str">
        <f>IFERROR(__xludf.DUMMYFUNCTION("if(REGEXMATCH(join("", "",$F608:$G608),S$1)=TRUE,""✓"",""✗"")"),"✗")</f>
        <v>✗</v>
      </c>
      <c r="T608" s="23" t="str">
        <f>IFERROR(__xludf.DUMMYFUNCTION("if(REGEXMATCH(join("", "",$F608:$G608),T$1)=TRUE,""✓"",""✗"")"),"✗")</f>
        <v>✗</v>
      </c>
      <c r="U608" s="33"/>
      <c r="V608" s="33"/>
      <c r="W608" s="33"/>
      <c r="X608" s="33"/>
      <c r="Y608" s="33"/>
      <c r="Z608" s="33"/>
      <c r="AA608" s="33"/>
      <c r="AB608" s="33"/>
      <c r="AC608" s="33"/>
    </row>
    <row r="609" hidden="1">
      <c r="A609" s="17" t="s">
        <v>302</v>
      </c>
      <c r="B609" s="33"/>
      <c r="C609" s="33"/>
      <c r="D609" s="33"/>
      <c r="E609" s="33"/>
      <c r="F609" s="33"/>
      <c r="G609" s="33"/>
      <c r="H609" s="23" t="str">
        <f>IFERROR(__xludf.DUMMYFUNCTION("if(REGEXMATCH(join("", "",$F609:$G609),H$1)=TRUE,""✓"",""✗"")"),"✗")</f>
        <v>✗</v>
      </c>
      <c r="I609" s="23" t="str">
        <f>IFERROR(__xludf.DUMMYFUNCTION("if(REGEXMATCH(join("", "",$F609:$G609),I$1)=TRUE,""✓"",""✗"")"),"✗")</f>
        <v>✗</v>
      </c>
      <c r="J609" s="23" t="str">
        <f>IFERROR(__xludf.DUMMYFUNCTION("if(REGEXMATCH(join("", "",$F609:$G609),J$1)=TRUE,""✓"",""✗"")"),"✗")</f>
        <v>✗</v>
      </c>
      <c r="K609" s="23" t="str">
        <f>IFERROR(__xludf.DUMMYFUNCTION("if(REGEXMATCH(join("", "",$F609:$G609),K$1)=TRUE,""✓"",""✗"")"),"✗")</f>
        <v>✗</v>
      </c>
      <c r="L609" s="23" t="str">
        <f>IFERROR(__xludf.DUMMYFUNCTION("if(REGEXMATCH(join("", "",$F609:$G609),L$1)=TRUE,""✓"",""✗"")"),"✗")</f>
        <v>✗</v>
      </c>
      <c r="M609" s="23" t="str">
        <f>IFERROR(__xludf.DUMMYFUNCTION("if(REGEXMATCH(join("", "",$F609:$G609),M$1)=TRUE,""✓"",""✗"")"),"✗")</f>
        <v>✗</v>
      </c>
      <c r="N609" s="23" t="str">
        <f>IFERROR(__xludf.DUMMYFUNCTION("if(REGEXMATCH(join("", "",$F609:$G609),N$1)=TRUE,""✓"",""✗"")"),"✗")</f>
        <v>✗</v>
      </c>
      <c r="O609" s="23" t="str">
        <f>IFERROR(__xludf.DUMMYFUNCTION("if(REGEXMATCH(join("", "",$F609:$G609),O$1)=TRUE,""✓"",""✗"")"),"✗")</f>
        <v>✗</v>
      </c>
      <c r="P609" s="23" t="str">
        <f>IFERROR(__xludf.DUMMYFUNCTION("if(REGEXMATCH(join("", "",$F609:$G609),P$1)=TRUE,""✓"",""✗"")"),"✗")</f>
        <v>✗</v>
      </c>
      <c r="Q609" s="23" t="str">
        <f>IFERROR(__xludf.DUMMYFUNCTION("if(REGEXMATCH(join("", "",$F609:$G609),Q$1)=TRUE,""✓"",""✗"")"),"✗")</f>
        <v>✗</v>
      </c>
      <c r="R609" s="23" t="str">
        <f>IFERROR(__xludf.DUMMYFUNCTION("if(REGEXMATCH(join("", "",$F609:$G609),R$1)=TRUE,""✓"",""✗"")"),"✗")</f>
        <v>✗</v>
      </c>
      <c r="S609" s="23" t="str">
        <f>IFERROR(__xludf.DUMMYFUNCTION("if(REGEXMATCH(join("", "",$F609:$G609),S$1)=TRUE,""✓"",""✗"")"),"✗")</f>
        <v>✗</v>
      </c>
      <c r="T609" s="23" t="str">
        <f>IFERROR(__xludf.DUMMYFUNCTION("if(REGEXMATCH(join("", "",$F609:$G609),T$1)=TRUE,""✓"",""✗"")"),"✗")</f>
        <v>✗</v>
      </c>
      <c r="U609" s="33"/>
      <c r="V609" s="33"/>
      <c r="W609" s="33"/>
      <c r="X609" s="33"/>
      <c r="Y609" s="33"/>
      <c r="Z609" s="33"/>
      <c r="AA609" s="33"/>
      <c r="AB609" s="33"/>
      <c r="AC609" s="33"/>
    </row>
    <row r="610" hidden="1">
      <c r="A610" s="17" t="s">
        <v>302</v>
      </c>
      <c r="B610" s="33"/>
      <c r="C610" s="33"/>
      <c r="D610" s="33"/>
      <c r="E610" s="33"/>
      <c r="F610" s="33"/>
      <c r="G610" s="33"/>
      <c r="H610" s="23" t="str">
        <f>IFERROR(__xludf.DUMMYFUNCTION("if(REGEXMATCH(join("", "",$F610:$G610),H$1)=TRUE,""✓"",""✗"")"),"✗")</f>
        <v>✗</v>
      </c>
      <c r="I610" s="23" t="str">
        <f>IFERROR(__xludf.DUMMYFUNCTION("if(REGEXMATCH(join("", "",$F610:$G610),I$1)=TRUE,""✓"",""✗"")"),"✗")</f>
        <v>✗</v>
      </c>
      <c r="J610" s="23" t="str">
        <f>IFERROR(__xludf.DUMMYFUNCTION("if(REGEXMATCH(join("", "",$F610:$G610),J$1)=TRUE,""✓"",""✗"")"),"✗")</f>
        <v>✗</v>
      </c>
      <c r="K610" s="23" t="str">
        <f>IFERROR(__xludf.DUMMYFUNCTION("if(REGEXMATCH(join("", "",$F610:$G610),K$1)=TRUE,""✓"",""✗"")"),"✗")</f>
        <v>✗</v>
      </c>
      <c r="L610" s="23" t="str">
        <f>IFERROR(__xludf.DUMMYFUNCTION("if(REGEXMATCH(join("", "",$F610:$G610),L$1)=TRUE,""✓"",""✗"")"),"✗")</f>
        <v>✗</v>
      </c>
      <c r="M610" s="23" t="str">
        <f>IFERROR(__xludf.DUMMYFUNCTION("if(REGEXMATCH(join("", "",$F610:$G610),M$1)=TRUE,""✓"",""✗"")"),"✗")</f>
        <v>✗</v>
      </c>
      <c r="N610" s="23" t="str">
        <f>IFERROR(__xludf.DUMMYFUNCTION("if(REGEXMATCH(join("", "",$F610:$G610),N$1)=TRUE,""✓"",""✗"")"),"✗")</f>
        <v>✗</v>
      </c>
      <c r="O610" s="23" t="str">
        <f>IFERROR(__xludf.DUMMYFUNCTION("if(REGEXMATCH(join("", "",$F610:$G610),O$1)=TRUE,""✓"",""✗"")"),"✗")</f>
        <v>✗</v>
      </c>
      <c r="P610" s="23" t="str">
        <f>IFERROR(__xludf.DUMMYFUNCTION("if(REGEXMATCH(join("", "",$F610:$G610),P$1)=TRUE,""✓"",""✗"")"),"✗")</f>
        <v>✗</v>
      </c>
      <c r="Q610" s="23" t="str">
        <f>IFERROR(__xludf.DUMMYFUNCTION("if(REGEXMATCH(join("", "",$F610:$G610),Q$1)=TRUE,""✓"",""✗"")"),"✗")</f>
        <v>✗</v>
      </c>
      <c r="R610" s="23" t="str">
        <f>IFERROR(__xludf.DUMMYFUNCTION("if(REGEXMATCH(join("", "",$F610:$G610),R$1)=TRUE,""✓"",""✗"")"),"✗")</f>
        <v>✗</v>
      </c>
      <c r="S610" s="23" t="str">
        <f>IFERROR(__xludf.DUMMYFUNCTION("if(REGEXMATCH(join("", "",$F610:$G610),S$1)=TRUE,""✓"",""✗"")"),"✗")</f>
        <v>✗</v>
      </c>
      <c r="T610" s="23" t="str">
        <f>IFERROR(__xludf.DUMMYFUNCTION("if(REGEXMATCH(join("", "",$F610:$G610),T$1)=TRUE,""✓"",""✗"")"),"✗")</f>
        <v>✗</v>
      </c>
      <c r="U610" s="33"/>
      <c r="V610" s="33"/>
      <c r="W610" s="33"/>
      <c r="X610" s="33"/>
      <c r="Y610" s="33"/>
      <c r="Z610" s="33"/>
      <c r="AA610" s="33"/>
      <c r="AB610" s="33"/>
      <c r="AC610" s="33"/>
    </row>
    <row r="611" hidden="1">
      <c r="A611" s="17" t="s">
        <v>302</v>
      </c>
      <c r="B611" s="33"/>
      <c r="C611" s="33"/>
      <c r="D611" s="33"/>
      <c r="E611" s="33"/>
      <c r="F611" s="33"/>
      <c r="G611" s="33"/>
      <c r="H611" s="23" t="str">
        <f>IFERROR(__xludf.DUMMYFUNCTION("if(REGEXMATCH(join("", "",$F611:$G611),H$1)=TRUE,""✓"",""✗"")"),"✗")</f>
        <v>✗</v>
      </c>
      <c r="I611" s="23" t="str">
        <f>IFERROR(__xludf.DUMMYFUNCTION("if(REGEXMATCH(join("", "",$F611:$G611),I$1)=TRUE,""✓"",""✗"")"),"✗")</f>
        <v>✗</v>
      </c>
      <c r="J611" s="23" t="str">
        <f>IFERROR(__xludf.DUMMYFUNCTION("if(REGEXMATCH(join("", "",$F611:$G611),J$1)=TRUE,""✓"",""✗"")"),"✗")</f>
        <v>✗</v>
      </c>
      <c r="K611" s="23" t="str">
        <f>IFERROR(__xludf.DUMMYFUNCTION("if(REGEXMATCH(join("", "",$F611:$G611),K$1)=TRUE,""✓"",""✗"")"),"✗")</f>
        <v>✗</v>
      </c>
      <c r="L611" s="23" t="str">
        <f>IFERROR(__xludf.DUMMYFUNCTION("if(REGEXMATCH(join("", "",$F611:$G611),L$1)=TRUE,""✓"",""✗"")"),"✗")</f>
        <v>✗</v>
      </c>
      <c r="M611" s="23" t="str">
        <f>IFERROR(__xludf.DUMMYFUNCTION("if(REGEXMATCH(join("", "",$F611:$G611),M$1)=TRUE,""✓"",""✗"")"),"✗")</f>
        <v>✗</v>
      </c>
      <c r="N611" s="23" t="str">
        <f>IFERROR(__xludf.DUMMYFUNCTION("if(REGEXMATCH(join("", "",$F611:$G611),N$1)=TRUE,""✓"",""✗"")"),"✗")</f>
        <v>✗</v>
      </c>
      <c r="O611" s="23" t="str">
        <f>IFERROR(__xludf.DUMMYFUNCTION("if(REGEXMATCH(join("", "",$F611:$G611),O$1)=TRUE,""✓"",""✗"")"),"✗")</f>
        <v>✗</v>
      </c>
      <c r="P611" s="23" t="str">
        <f>IFERROR(__xludf.DUMMYFUNCTION("if(REGEXMATCH(join("", "",$F611:$G611),P$1)=TRUE,""✓"",""✗"")"),"✗")</f>
        <v>✗</v>
      </c>
      <c r="Q611" s="23" t="str">
        <f>IFERROR(__xludf.DUMMYFUNCTION("if(REGEXMATCH(join("", "",$F611:$G611),Q$1)=TRUE,""✓"",""✗"")"),"✗")</f>
        <v>✗</v>
      </c>
      <c r="R611" s="23" t="str">
        <f>IFERROR(__xludf.DUMMYFUNCTION("if(REGEXMATCH(join("", "",$F611:$G611),R$1)=TRUE,""✓"",""✗"")"),"✗")</f>
        <v>✗</v>
      </c>
      <c r="S611" s="23" t="str">
        <f>IFERROR(__xludf.DUMMYFUNCTION("if(REGEXMATCH(join("", "",$F611:$G611),S$1)=TRUE,""✓"",""✗"")"),"✗")</f>
        <v>✗</v>
      </c>
      <c r="T611" s="23" t="str">
        <f>IFERROR(__xludf.DUMMYFUNCTION("if(REGEXMATCH(join("", "",$F611:$G611),T$1)=TRUE,""✓"",""✗"")"),"✗")</f>
        <v>✗</v>
      </c>
      <c r="U611" s="33"/>
      <c r="V611" s="33"/>
      <c r="W611" s="33"/>
      <c r="X611" s="33"/>
      <c r="Y611" s="33"/>
      <c r="Z611" s="33"/>
      <c r="AA611" s="33"/>
      <c r="AB611" s="33"/>
      <c r="AC611" s="33"/>
    </row>
    <row r="612" hidden="1">
      <c r="A612" s="17" t="s">
        <v>302</v>
      </c>
      <c r="B612" s="33"/>
      <c r="C612" s="33"/>
      <c r="D612" s="33"/>
      <c r="E612" s="33"/>
      <c r="F612" s="33"/>
      <c r="G612" s="33"/>
      <c r="H612" s="23" t="str">
        <f>IFERROR(__xludf.DUMMYFUNCTION("if(REGEXMATCH(join("", "",$F612:$G612),H$1)=TRUE,""✓"",""✗"")"),"✗")</f>
        <v>✗</v>
      </c>
      <c r="I612" s="23" t="str">
        <f>IFERROR(__xludf.DUMMYFUNCTION("if(REGEXMATCH(join("", "",$F612:$G612),I$1)=TRUE,""✓"",""✗"")"),"✗")</f>
        <v>✗</v>
      </c>
      <c r="J612" s="23" t="str">
        <f>IFERROR(__xludf.DUMMYFUNCTION("if(REGEXMATCH(join("", "",$F612:$G612),J$1)=TRUE,""✓"",""✗"")"),"✗")</f>
        <v>✗</v>
      </c>
      <c r="K612" s="23" t="str">
        <f>IFERROR(__xludf.DUMMYFUNCTION("if(REGEXMATCH(join("", "",$F612:$G612),K$1)=TRUE,""✓"",""✗"")"),"✗")</f>
        <v>✗</v>
      </c>
      <c r="L612" s="23" t="str">
        <f>IFERROR(__xludf.DUMMYFUNCTION("if(REGEXMATCH(join("", "",$F612:$G612),L$1)=TRUE,""✓"",""✗"")"),"✗")</f>
        <v>✗</v>
      </c>
      <c r="M612" s="23" t="str">
        <f>IFERROR(__xludf.DUMMYFUNCTION("if(REGEXMATCH(join("", "",$F612:$G612),M$1)=TRUE,""✓"",""✗"")"),"✗")</f>
        <v>✗</v>
      </c>
      <c r="N612" s="23" t="str">
        <f>IFERROR(__xludf.DUMMYFUNCTION("if(REGEXMATCH(join("", "",$F612:$G612),N$1)=TRUE,""✓"",""✗"")"),"✗")</f>
        <v>✗</v>
      </c>
      <c r="O612" s="23" t="str">
        <f>IFERROR(__xludf.DUMMYFUNCTION("if(REGEXMATCH(join("", "",$F612:$G612),O$1)=TRUE,""✓"",""✗"")"),"✗")</f>
        <v>✗</v>
      </c>
      <c r="P612" s="23" t="str">
        <f>IFERROR(__xludf.DUMMYFUNCTION("if(REGEXMATCH(join("", "",$F612:$G612),P$1)=TRUE,""✓"",""✗"")"),"✗")</f>
        <v>✗</v>
      </c>
      <c r="Q612" s="23" t="str">
        <f>IFERROR(__xludf.DUMMYFUNCTION("if(REGEXMATCH(join("", "",$F612:$G612),Q$1)=TRUE,""✓"",""✗"")"),"✗")</f>
        <v>✗</v>
      </c>
      <c r="R612" s="23" t="str">
        <f>IFERROR(__xludf.DUMMYFUNCTION("if(REGEXMATCH(join("", "",$F612:$G612),R$1)=TRUE,""✓"",""✗"")"),"✗")</f>
        <v>✗</v>
      </c>
      <c r="S612" s="23" t="str">
        <f>IFERROR(__xludf.DUMMYFUNCTION("if(REGEXMATCH(join("", "",$F612:$G612),S$1)=TRUE,""✓"",""✗"")"),"✗")</f>
        <v>✗</v>
      </c>
      <c r="T612" s="23" t="str">
        <f>IFERROR(__xludf.DUMMYFUNCTION("if(REGEXMATCH(join("", "",$F612:$G612),T$1)=TRUE,""✓"",""✗"")"),"✗")</f>
        <v>✗</v>
      </c>
      <c r="U612" s="33"/>
      <c r="V612" s="33"/>
      <c r="W612" s="33"/>
      <c r="X612" s="33"/>
      <c r="Y612" s="33"/>
      <c r="Z612" s="33"/>
      <c r="AA612" s="33"/>
      <c r="AB612" s="33"/>
      <c r="AC612" s="33"/>
    </row>
    <row r="613" hidden="1">
      <c r="A613" s="17" t="s">
        <v>302</v>
      </c>
      <c r="B613" s="33"/>
      <c r="C613" s="33"/>
      <c r="D613" s="33"/>
      <c r="E613" s="33"/>
      <c r="F613" s="33"/>
      <c r="G613" s="33"/>
      <c r="H613" s="23" t="str">
        <f>IFERROR(__xludf.DUMMYFUNCTION("if(REGEXMATCH(join("", "",$F613:$G613),H$1)=TRUE,""✓"",""✗"")"),"✗")</f>
        <v>✗</v>
      </c>
      <c r="I613" s="23" t="str">
        <f>IFERROR(__xludf.DUMMYFUNCTION("if(REGEXMATCH(join("", "",$F613:$G613),I$1)=TRUE,""✓"",""✗"")"),"✗")</f>
        <v>✗</v>
      </c>
      <c r="J613" s="23" t="str">
        <f>IFERROR(__xludf.DUMMYFUNCTION("if(REGEXMATCH(join("", "",$F613:$G613),J$1)=TRUE,""✓"",""✗"")"),"✗")</f>
        <v>✗</v>
      </c>
      <c r="K613" s="23" t="str">
        <f>IFERROR(__xludf.DUMMYFUNCTION("if(REGEXMATCH(join("", "",$F613:$G613),K$1)=TRUE,""✓"",""✗"")"),"✗")</f>
        <v>✗</v>
      </c>
      <c r="L613" s="23" t="str">
        <f>IFERROR(__xludf.DUMMYFUNCTION("if(REGEXMATCH(join("", "",$F613:$G613),L$1)=TRUE,""✓"",""✗"")"),"✗")</f>
        <v>✗</v>
      </c>
      <c r="M613" s="23" t="str">
        <f>IFERROR(__xludf.DUMMYFUNCTION("if(REGEXMATCH(join("", "",$F613:$G613),M$1)=TRUE,""✓"",""✗"")"),"✗")</f>
        <v>✗</v>
      </c>
      <c r="N613" s="23" t="str">
        <f>IFERROR(__xludf.DUMMYFUNCTION("if(REGEXMATCH(join("", "",$F613:$G613),N$1)=TRUE,""✓"",""✗"")"),"✗")</f>
        <v>✗</v>
      </c>
      <c r="O613" s="23" t="str">
        <f>IFERROR(__xludf.DUMMYFUNCTION("if(REGEXMATCH(join("", "",$F613:$G613),O$1)=TRUE,""✓"",""✗"")"),"✗")</f>
        <v>✗</v>
      </c>
      <c r="P613" s="23" t="str">
        <f>IFERROR(__xludf.DUMMYFUNCTION("if(REGEXMATCH(join("", "",$F613:$G613),P$1)=TRUE,""✓"",""✗"")"),"✗")</f>
        <v>✗</v>
      </c>
      <c r="Q613" s="23" t="str">
        <f>IFERROR(__xludf.DUMMYFUNCTION("if(REGEXMATCH(join("", "",$F613:$G613),Q$1)=TRUE,""✓"",""✗"")"),"✗")</f>
        <v>✗</v>
      </c>
      <c r="R613" s="23" t="str">
        <f>IFERROR(__xludf.DUMMYFUNCTION("if(REGEXMATCH(join("", "",$F613:$G613),R$1)=TRUE,""✓"",""✗"")"),"✗")</f>
        <v>✗</v>
      </c>
      <c r="S613" s="23" t="str">
        <f>IFERROR(__xludf.DUMMYFUNCTION("if(REGEXMATCH(join("", "",$F613:$G613),S$1)=TRUE,""✓"",""✗"")"),"✗")</f>
        <v>✗</v>
      </c>
      <c r="T613" s="23" t="str">
        <f>IFERROR(__xludf.DUMMYFUNCTION("if(REGEXMATCH(join("", "",$F613:$G613),T$1)=TRUE,""✓"",""✗"")"),"✗")</f>
        <v>✗</v>
      </c>
      <c r="U613" s="33"/>
      <c r="V613" s="33"/>
      <c r="W613" s="33"/>
      <c r="X613" s="33"/>
      <c r="Y613" s="33"/>
      <c r="Z613" s="33"/>
      <c r="AA613" s="33"/>
      <c r="AB613" s="33"/>
      <c r="AC613" s="33"/>
    </row>
    <row r="614" hidden="1">
      <c r="A614" s="17" t="s">
        <v>302</v>
      </c>
      <c r="B614" s="33"/>
      <c r="C614" s="33"/>
      <c r="D614" s="33"/>
      <c r="E614" s="33"/>
      <c r="F614" s="33"/>
      <c r="G614" s="33"/>
      <c r="H614" s="23" t="str">
        <f>IFERROR(__xludf.DUMMYFUNCTION("if(REGEXMATCH(join("", "",$F614:$G614),H$1)=TRUE,""✓"",""✗"")"),"✗")</f>
        <v>✗</v>
      </c>
      <c r="I614" s="23" t="str">
        <f>IFERROR(__xludf.DUMMYFUNCTION("if(REGEXMATCH(join("", "",$F614:$G614),I$1)=TRUE,""✓"",""✗"")"),"✗")</f>
        <v>✗</v>
      </c>
      <c r="J614" s="23" t="str">
        <f>IFERROR(__xludf.DUMMYFUNCTION("if(REGEXMATCH(join("", "",$F614:$G614),J$1)=TRUE,""✓"",""✗"")"),"✗")</f>
        <v>✗</v>
      </c>
      <c r="K614" s="23" t="str">
        <f>IFERROR(__xludf.DUMMYFUNCTION("if(REGEXMATCH(join("", "",$F614:$G614),K$1)=TRUE,""✓"",""✗"")"),"✗")</f>
        <v>✗</v>
      </c>
      <c r="L614" s="23" t="str">
        <f>IFERROR(__xludf.DUMMYFUNCTION("if(REGEXMATCH(join("", "",$F614:$G614),L$1)=TRUE,""✓"",""✗"")"),"✗")</f>
        <v>✗</v>
      </c>
      <c r="M614" s="23" t="str">
        <f>IFERROR(__xludf.DUMMYFUNCTION("if(REGEXMATCH(join("", "",$F614:$G614),M$1)=TRUE,""✓"",""✗"")"),"✗")</f>
        <v>✗</v>
      </c>
      <c r="N614" s="23" t="str">
        <f>IFERROR(__xludf.DUMMYFUNCTION("if(REGEXMATCH(join("", "",$F614:$G614),N$1)=TRUE,""✓"",""✗"")"),"✗")</f>
        <v>✗</v>
      </c>
      <c r="O614" s="23" t="str">
        <f>IFERROR(__xludf.DUMMYFUNCTION("if(REGEXMATCH(join("", "",$F614:$G614),O$1)=TRUE,""✓"",""✗"")"),"✗")</f>
        <v>✗</v>
      </c>
      <c r="P614" s="23" t="str">
        <f>IFERROR(__xludf.DUMMYFUNCTION("if(REGEXMATCH(join("", "",$F614:$G614),P$1)=TRUE,""✓"",""✗"")"),"✗")</f>
        <v>✗</v>
      </c>
      <c r="Q614" s="23" t="str">
        <f>IFERROR(__xludf.DUMMYFUNCTION("if(REGEXMATCH(join("", "",$F614:$G614),Q$1)=TRUE,""✓"",""✗"")"),"✗")</f>
        <v>✗</v>
      </c>
      <c r="R614" s="23" t="str">
        <f>IFERROR(__xludf.DUMMYFUNCTION("if(REGEXMATCH(join("", "",$F614:$G614),R$1)=TRUE,""✓"",""✗"")"),"✗")</f>
        <v>✗</v>
      </c>
      <c r="S614" s="23" t="str">
        <f>IFERROR(__xludf.DUMMYFUNCTION("if(REGEXMATCH(join("", "",$F614:$G614),S$1)=TRUE,""✓"",""✗"")"),"✗")</f>
        <v>✗</v>
      </c>
      <c r="T614" s="23" t="str">
        <f>IFERROR(__xludf.DUMMYFUNCTION("if(REGEXMATCH(join("", "",$F614:$G614),T$1)=TRUE,""✓"",""✗"")"),"✗")</f>
        <v>✗</v>
      </c>
      <c r="U614" s="33"/>
      <c r="V614" s="33"/>
      <c r="W614" s="33"/>
      <c r="X614" s="33"/>
      <c r="Y614" s="33"/>
      <c r="Z614" s="33"/>
      <c r="AA614" s="33"/>
      <c r="AB614" s="33"/>
      <c r="AC614" s="33"/>
    </row>
    <row r="615" hidden="1">
      <c r="A615" s="17" t="s">
        <v>302</v>
      </c>
      <c r="B615" s="33"/>
      <c r="C615" s="33"/>
      <c r="D615" s="33"/>
      <c r="E615" s="33"/>
      <c r="F615" s="33"/>
      <c r="G615" s="33"/>
      <c r="H615" s="23" t="str">
        <f>IFERROR(__xludf.DUMMYFUNCTION("if(REGEXMATCH(join("", "",$F615:$G615),H$1)=TRUE,""✓"",""✗"")"),"✗")</f>
        <v>✗</v>
      </c>
      <c r="I615" s="23" t="str">
        <f>IFERROR(__xludf.DUMMYFUNCTION("if(REGEXMATCH(join("", "",$F615:$G615),I$1)=TRUE,""✓"",""✗"")"),"✗")</f>
        <v>✗</v>
      </c>
      <c r="J615" s="23" t="str">
        <f>IFERROR(__xludf.DUMMYFUNCTION("if(REGEXMATCH(join("", "",$F615:$G615),J$1)=TRUE,""✓"",""✗"")"),"✗")</f>
        <v>✗</v>
      </c>
      <c r="K615" s="23" t="str">
        <f>IFERROR(__xludf.DUMMYFUNCTION("if(REGEXMATCH(join("", "",$F615:$G615),K$1)=TRUE,""✓"",""✗"")"),"✗")</f>
        <v>✗</v>
      </c>
      <c r="L615" s="23" t="str">
        <f>IFERROR(__xludf.DUMMYFUNCTION("if(REGEXMATCH(join("", "",$F615:$G615),L$1)=TRUE,""✓"",""✗"")"),"✗")</f>
        <v>✗</v>
      </c>
      <c r="M615" s="23" t="str">
        <f>IFERROR(__xludf.DUMMYFUNCTION("if(REGEXMATCH(join("", "",$F615:$G615),M$1)=TRUE,""✓"",""✗"")"),"✗")</f>
        <v>✗</v>
      </c>
      <c r="N615" s="23" t="str">
        <f>IFERROR(__xludf.DUMMYFUNCTION("if(REGEXMATCH(join("", "",$F615:$G615),N$1)=TRUE,""✓"",""✗"")"),"✗")</f>
        <v>✗</v>
      </c>
      <c r="O615" s="23" t="str">
        <f>IFERROR(__xludf.DUMMYFUNCTION("if(REGEXMATCH(join("", "",$F615:$G615),O$1)=TRUE,""✓"",""✗"")"),"✗")</f>
        <v>✗</v>
      </c>
      <c r="P615" s="23" t="str">
        <f>IFERROR(__xludf.DUMMYFUNCTION("if(REGEXMATCH(join("", "",$F615:$G615),P$1)=TRUE,""✓"",""✗"")"),"✗")</f>
        <v>✗</v>
      </c>
      <c r="Q615" s="23" t="str">
        <f>IFERROR(__xludf.DUMMYFUNCTION("if(REGEXMATCH(join("", "",$F615:$G615),Q$1)=TRUE,""✓"",""✗"")"),"✗")</f>
        <v>✗</v>
      </c>
      <c r="R615" s="23" t="str">
        <f>IFERROR(__xludf.DUMMYFUNCTION("if(REGEXMATCH(join("", "",$F615:$G615),R$1)=TRUE,""✓"",""✗"")"),"✗")</f>
        <v>✗</v>
      </c>
      <c r="S615" s="23" t="str">
        <f>IFERROR(__xludf.DUMMYFUNCTION("if(REGEXMATCH(join("", "",$F615:$G615),S$1)=TRUE,""✓"",""✗"")"),"✗")</f>
        <v>✗</v>
      </c>
      <c r="T615" s="23" t="str">
        <f>IFERROR(__xludf.DUMMYFUNCTION("if(REGEXMATCH(join("", "",$F615:$G615),T$1)=TRUE,""✓"",""✗"")"),"✗")</f>
        <v>✗</v>
      </c>
      <c r="U615" s="33"/>
      <c r="V615" s="33"/>
      <c r="W615" s="33"/>
      <c r="X615" s="33"/>
      <c r="Y615" s="33"/>
      <c r="Z615" s="33"/>
      <c r="AA615" s="33"/>
      <c r="AB615" s="33"/>
      <c r="AC615" s="33"/>
    </row>
    <row r="616" hidden="1">
      <c r="A616" s="17" t="s">
        <v>302</v>
      </c>
      <c r="B616" s="33"/>
      <c r="C616" s="33"/>
      <c r="D616" s="33"/>
      <c r="E616" s="33"/>
      <c r="F616" s="33"/>
      <c r="G616" s="33"/>
      <c r="H616" s="23" t="str">
        <f>IFERROR(__xludf.DUMMYFUNCTION("if(REGEXMATCH(join("", "",$F616:$G616),H$1)=TRUE,""✓"",""✗"")"),"✗")</f>
        <v>✗</v>
      </c>
      <c r="I616" s="23" t="str">
        <f>IFERROR(__xludf.DUMMYFUNCTION("if(REGEXMATCH(join("", "",$F616:$G616),I$1)=TRUE,""✓"",""✗"")"),"✗")</f>
        <v>✗</v>
      </c>
      <c r="J616" s="23" t="str">
        <f>IFERROR(__xludf.DUMMYFUNCTION("if(REGEXMATCH(join("", "",$F616:$G616),J$1)=TRUE,""✓"",""✗"")"),"✗")</f>
        <v>✗</v>
      </c>
      <c r="K616" s="23" t="str">
        <f>IFERROR(__xludf.DUMMYFUNCTION("if(REGEXMATCH(join("", "",$F616:$G616),K$1)=TRUE,""✓"",""✗"")"),"✗")</f>
        <v>✗</v>
      </c>
      <c r="L616" s="23" t="str">
        <f>IFERROR(__xludf.DUMMYFUNCTION("if(REGEXMATCH(join("", "",$F616:$G616),L$1)=TRUE,""✓"",""✗"")"),"✗")</f>
        <v>✗</v>
      </c>
      <c r="M616" s="23" t="str">
        <f>IFERROR(__xludf.DUMMYFUNCTION("if(REGEXMATCH(join("", "",$F616:$G616),M$1)=TRUE,""✓"",""✗"")"),"✗")</f>
        <v>✗</v>
      </c>
      <c r="N616" s="23" t="str">
        <f>IFERROR(__xludf.DUMMYFUNCTION("if(REGEXMATCH(join("", "",$F616:$G616),N$1)=TRUE,""✓"",""✗"")"),"✗")</f>
        <v>✗</v>
      </c>
      <c r="O616" s="23" t="str">
        <f>IFERROR(__xludf.DUMMYFUNCTION("if(REGEXMATCH(join("", "",$F616:$G616),O$1)=TRUE,""✓"",""✗"")"),"✗")</f>
        <v>✗</v>
      </c>
      <c r="P616" s="23" t="str">
        <f>IFERROR(__xludf.DUMMYFUNCTION("if(REGEXMATCH(join("", "",$F616:$G616),P$1)=TRUE,""✓"",""✗"")"),"✗")</f>
        <v>✗</v>
      </c>
      <c r="Q616" s="23" t="str">
        <f>IFERROR(__xludf.DUMMYFUNCTION("if(REGEXMATCH(join("", "",$F616:$G616),Q$1)=TRUE,""✓"",""✗"")"),"✗")</f>
        <v>✗</v>
      </c>
      <c r="R616" s="23" t="str">
        <f>IFERROR(__xludf.DUMMYFUNCTION("if(REGEXMATCH(join("", "",$F616:$G616),R$1)=TRUE,""✓"",""✗"")"),"✗")</f>
        <v>✗</v>
      </c>
      <c r="S616" s="23" t="str">
        <f>IFERROR(__xludf.DUMMYFUNCTION("if(REGEXMATCH(join("", "",$F616:$G616),S$1)=TRUE,""✓"",""✗"")"),"✗")</f>
        <v>✗</v>
      </c>
      <c r="T616" s="23" t="str">
        <f>IFERROR(__xludf.DUMMYFUNCTION("if(REGEXMATCH(join("", "",$F616:$G616),T$1)=TRUE,""✓"",""✗"")"),"✗")</f>
        <v>✗</v>
      </c>
      <c r="U616" s="33"/>
      <c r="V616" s="33"/>
      <c r="W616" s="33"/>
      <c r="X616" s="33"/>
      <c r="Y616" s="33"/>
      <c r="Z616" s="33"/>
      <c r="AA616" s="33"/>
      <c r="AB616" s="33"/>
      <c r="AC616" s="33"/>
    </row>
    <row r="617" hidden="1">
      <c r="A617" s="17" t="s">
        <v>302</v>
      </c>
      <c r="B617" s="33"/>
      <c r="C617" s="33"/>
      <c r="D617" s="33"/>
      <c r="E617" s="33"/>
      <c r="F617" s="33"/>
      <c r="G617" s="33"/>
      <c r="H617" s="23" t="str">
        <f>IFERROR(__xludf.DUMMYFUNCTION("if(REGEXMATCH(join("", "",$F617:$G617),H$1)=TRUE,""✓"",""✗"")"),"✗")</f>
        <v>✗</v>
      </c>
      <c r="I617" s="23" t="str">
        <f>IFERROR(__xludf.DUMMYFUNCTION("if(REGEXMATCH(join("", "",$F617:$G617),I$1)=TRUE,""✓"",""✗"")"),"✗")</f>
        <v>✗</v>
      </c>
      <c r="J617" s="23" t="str">
        <f>IFERROR(__xludf.DUMMYFUNCTION("if(REGEXMATCH(join("", "",$F617:$G617),J$1)=TRUE,""✓"",""✗"")"),"✗")</f>
        <v>✗</v>
      </c>
      <c r="K617" s="23" t="str">
        <f>IFERROR(__xludf.DUMMYFUNCTION("if(REGEXMATCH(join("", "",$F617:$G617),K$1)=TRUE,""✓"",""✗"")"),"✗")</f>
        <v>✗</v>
      </c>
      <c r="L617" s="23" t="str">
        <f>IFERROR(__xludf.DUMMYFUNCTION("if(REGEXMATCH(join("", "",$F617:$G617),L$1)=TRUE,""✓"",""✗"")"),"✗")</f>
        <v>✗</v>
      </c>
      <c r="M617" s="23" t="str">
        <f>IFERROR(__xludf.DUMMYFUNCTION("if(REGEXMATCH(join("", "",$F617:$G617),M$1)=TRUE,""✓"",""✗"")"),"✗")</f>
        <v>✗</v>
      </c>
      <c r="N617" s="23" t="str">
        <f>IFERROR(__xludf.DUMMYFUNCTION("if(REGEXMATCH(join("", "",$F617:$G617),N$1)=TRUE,""✓"",""✗"")"),"✗")</f>
        <v>✗</v>
      </c>
      <c r="O617" s="23" t="str">
        <f>IFERROR(__xludf.DUMMYFUNCTION("if(REGEXMATCH(join("", "",$F617:$G617),O$1)=TRUE,""✓"",""✗"")"),"✗")</f>
        <v>✗</v>
      </c>
      <c r="P617" s="23" t="str">
        <f>IFERROR(__xludf.DUMMYFUNCTION("if(REGEXMATCH(join("", "",$F617:$G617),P$1)=TRUE,""✓"",""✗"")"),"✗")</f>
        <v>✗</v>
      </c>
      <c r="Q617" s="23" t="str">
        <f>IFERROR(__xludf.DUMMYFUNCTION("if(REGEXMATCH(join("", "",$F617:$G617),Q$1)=TRUE,""✓"",""✗"")"),"✗")</f>
        <v>✗</v>
      </c>
      <c r="R617" s="23" t="str">
        <f>IFERROR(__xludf.DUMMYFUNCTION("if(REGEXMATCH(join("", "",$F617:$G617),R$1)=TRUE,""✓"",""✗"")"),"✗")</f>
        <v>✗</v>
      </c>
      <c r="S617" s="23" t="str">
        <f>IFERROR(__xludf.DUMMYFUNCTION("if(REGEXMATCH(join("", "",$F617:$G617),S$1)=TRUE,""✓"",""✗"")"),"✗")</f>
        <v>✗</v>
      </c>
      <c r="T617" s="23" t="str">
        <f>IFERROR(__xludf.DUMMYFUNCTION("if(REGEXMATCH(join("", "",$F617:$G617),T$1)=TRUE,""✓"",""✗"")"),"✗")</f>
        <v>✗</v>
      </c>
      <c r="U617" s="33"/>
      <c r="V617" s="33"/>
      <c r="W617" s="33"/>
      <c r="X617" s="33"/>
      <c r="Y617" s="33"/>
      <c r="Z617" s="33"/>
      <c r="AA617" s="33"/>
      <c r="AB617" s="33"/>
      <c r="AC617" s="33"/>
    </row>
    <row r="618" hidden="1">
      <c r="A618" s="17" t="s">
        <v>302</v>
      </c>
      <c r="B618" s="33"/>
      <c r="C618" s="33"/>
      <c r="D618" s="33"/>
      <c r="E618" s="33"/>
      <c r="F618" s="33"/>
      <c r="G618" s="33"/>
      <c r="H618" s="23" t="str">
        <f>IFERROR(__xludf.DUMMYFUNCTION("if(REGEXMATCH(join("", "",$F618:$G618),H$1)=TRUE,""✓"",""✗"")"),"✗")</f>
        <v>✗</v>
      </c>
      <c r="I618" s="23" t="str">
        <f>IFERROR(__xludf.DUMMYFUNCTION("if(REGEXMATCH(join("", "",$F618:$G618),I$1)=TRUE,""✓"",""✗"")"),"✗")</f>
        <v>✗</v>
      </c>
      <c r="J618" s="23" t="str">
        <f>IFERROR(__xludf.DUMMYFUNCTION("if(REGEXMATCH(join("", "",$F618:$G618),J$1)=TRUE,""✓"",""✗"")"),"✗")</f>
        <v>✗</v>
      </c>
      <c r="K618" s="23" t="str">
        <f>IFERROR(__xludf.DUMMYFUNCTION("if(REGEXMATCH(join("", "",$F618:$G618),K$1)=TRUE,""✓"",""✗"")"),"✗")</f>
        <v>✗</v>
      </c>
      <c r="L618" s="23" t="str">
        <f>IFERROR(__xludf.DUMMYFUNCTION("if(REGEXMATCH(join("", "",$F618:$G618),L$1)=TRUE,""✓"",""✗"")"),"✗")</f>
        <v>✗</v>
      </c>
      <c r="M618" s="23" t="str">
        <f>IFERROR(__xludf.DUMMYFUNCTION("if(REGEXMATCH(join("", "",$F618:$G618),M$1)=TRUE,""✓"",""✗"")"),"✗")</f>
        <v>✗</v>
      </c>
      <c r="N618" s="23" t="str">
        <f>IFERROR(__xludf.DUMMYFUNCTION("if(REGEXMATCH(join("", "",$F618:$G618),N$1)=TRUE,""✓"",""✗"")"),"✗")</f>
        <v>✗</v>
      </c>
      <c r="O618" s="23" t="str">
        <f>IFERROR(__xludf.DUMMYFUNCTION("if(REGEXMATCH(join("", "",$F618:$G618),O$1)=TRUE,""✓"",""✗"")"),"✗")</f>
        <v>✗</v>
      </c>
      <c r="P618" s="23" t="str">
        <f>IFERROR(__xludf.DUMMYFUNCTION("if(REGEXMATCH(join("", "",$F618:$G618),P$1)=TRUE,""✓"",""✗"")"),"✗")</f>
        <v>✗</v>
      </c>
      <c r="Q618" s="23" t="str">
        <f>IFERROR(__xludf.DUMMYFUNCTION("if(REGEXMATCH(join("", "",$F618:$G618),Q$1)=TRUE,""✓"",""✗"")"),"✗")</f>
        <v>✗</v>
      </c>
      <c r="R618" s="23" t="str">
        <f>IFERROR(__xludf.DUMMYFUNCTION("if(REGEXMATCH(join("", "",$F618:$G618),R$1)=TRUE,""✓"",""✗"")"),"✗")</f>
        <v>✗</v>
      </c>
      <c r="S618" s="23" t="str">
        <f>IFERROR(__xludf.DUMMYFUNCTION("if(REGEXMATCH(join("", "",$F618:$G618),S$1)=TRUE,""✓"",""✗"")"),"✗")</f>
        <v>✗</v>
      </c>
      <c r="T618" s="23" t="str">
        <f>IFERROR(__xludf.DUMMYFUNCTION("if(REGEXMATCH(join("", "",$F618:$G618),T$1)=TRUE,""✓"",""✗"")"),"✗")</f>
        <v>✗</v>
      </c>
      <c r="U618" s="33"/>
      <c r="V618" s="33"/>
      <c r="W618" s="33"/>
      <c r="X618" s="33"/>
      <c r="Y618" s="33"/>
      <c r="Z618" s="33"/>
      <c r="AA618" s="33"/>
      <c r="AB618" s="33"/>
      <c r="AC618" s="33"/>
    </row>
    <row r="619" hidden="1">
      <c r="A619" s="17" t="s">
        <v>302</v>
      </c>
      <c r="B619" s="33"/>
      <c r="C619" s="33"/>
      <c r="D619" s="33"/>
      <c r="E619" s="33"/>
      <c r="F619" s="33"/>
      <c r="G619" s="33"/>
      <c r="H619" s="23" t="str">
        <f>IFERROR(__xludf.DUMMYFUNCTION("if(REGEXMATCH(join("", "",$F619:$G619),H$1)=TRUE,""✓"",""✗"")"),"✗")</f>
        <v>✗</v>
      </c>
      <c r="I619" s="23" t="str">
        <f>IFERROR(__xludf.DUMMYFUNCTION("if(REGEXMATCH(join("", "",$F619:$G619),I$1)=TRUE,""✓"",""✗"")"),"✗")</f>
        <v>✗</v>
      </c>
      <c r="J619" s="23" t="str">
        <f>IFERROR(__xludf.DUMMYFUNCTION("if(REGEXMATCH(join("", "",$F619:$G619),J$1)=TRUE,""✓"",""✗"")"),"✗")</f>
        <v>✗</v>
      </c>
      <c r="K619" s="23" t="str">
        <f>IFERROR(__xludf.DUMMYFUNCTION("if(REGEXMATCH(join("", "",$F619:$G619),K$1)=TRUE,""✓"",""✗"")"),"✗")</f>
        <v>✗</v>
      </c>
      <c r="L619" s="23" t="str">
        <f>IFERROR(__xludf.DUMMYFUNCTION("if(REGEXMATCH(join("", "",$F619:$G619),L$1)=TRUE,""✓"",""✗"")"),"✗")</f>
        <v>✗</v>
      </c>
      <c r="M619" s="23" t="str">
        <f>IFERROR(__xludf.DUMMYFUNCTION("if(REGEXMATCH(join("", "",$F619:$G619),M$1)=TRUE,""✓"",""✗"")"),"✗")</f>
        <v>✗</v>
      </c>
      <c r="N619" s="23" t="str">
        <f>IFERROR(__xludf.DUMMYFUNCTION("if(REGEXMATCH(join("", "",$F619:$G619),N$1)=TRUE,""✓"",""✗"")"),"✗")</f>
        <v>✗</v>
      </c>
      <c r="O619" s="23" t="str">
        <f>IFERROR(__xludf.DUMMYFUNCTION("if(REGEXMATCH(join("", "",$F619:$G619),O$1)=TRUE,""✓"",""✗"")"),"✗")</f>
        <v>✗</v>
      </c>
      <c r="P619" s="23" t="str">
        <f>IFERROR(__xludf.DUMMYFUNCTION("if(REGEXMATCH(join("", "",$F619:$G619),P$1)=TRUE,""✓"",""✗"")"),"✗")</f>
        <v>✗</v>
      </c>
      <c r="Q619" s="23" t="str">
        <f>IFERROR(__xludf.DUMMYFUNCTION("if(REGEXMATCH(join("", "",$F619:$G619),Q$1)=TRUE,""✓"",""✗"")"),"✗")</f>
        <v>✗</v>
      </c>
      <c r="R619" s="23" t="str">
        <f>IFERROR(__xludf.DUMMYFUNCTION("if(REGEXMATCH(join("", "",$F619:$G619),R$1)=TRUE,""✓"",""✗"")"),"✗")</f>
        <v>✗</v>
      </c>
      <c r="S619" s="23" t="str">
        <f>IFERROR(__xludf.DUMMYFUNCTION("if(REGEXMATCH(join("", "",$F619:$G619),S$1)=TRUE,""✓"",""✗"")"),"✗")</f>
        <v>✗</v>
      </c>
      <c r="T619" s="23" t="str">
        <f>IFERROR(__xludf.DUMMYFUNCTION("if(REGEXMATCH(join("", "",$F619:$G619),T$1)=TRUE,""✓"",""✗"")"),"✗")</f>
        <v>✗</v>
      </c>
      <c r="U619" s="33"/>
      <c r="V619" s="33"/>
      <c r="W619" s="33"/>
      <c r="X619" s="33"/>
      <c r="Y619" s="33"/>
      <c r="Z619" s="33"/>
      <c r="AA619" s="33"/>
      <c r="AB619" s="33"/>
      <c r="AC619" s="33"/>
    </row>
    <row r="620" hidden="1">
      <c r="A620" s="17" t="s">
        <v>302</v>
      </c>
      <c r="B620" s="33"/>
      <c r="C620" s="33"/>
      <c r="D620" s="33"/>
      <c r="E620" s="33"/>
      <c r="F620" s="33"/>
      <c r="G620" s="33"/>
      <c r="H620" s="23" t="str">
        <f>IFERROR(__xludf.DUMMYFUNCTION("if(REGEXMATCH(join("", "",$F620:$G620),H$1)=TRUE,""✓"",""✗"")"),"✗")</f>
        <v>✗</v>
      </c>
      <c r="I620" s="23" t="str">
        <f>IFERROR(__xludf.DUMMYFUNCTION("if(REGEXMATCH(join("", "",$F620:$G620),I$1)=TRUE,""✓"",""✗"")"),"✗")</f>
        <v>✗</v>
      </c>
      <c r="J620" s="23" t="str">
        <f>IFERROR(__xludf.DUMMYFUNCTION("if(REGEXMATCH(join("", "",$F620:$G620),J$1)=TRUE,""✓"",""✗"")"),"✗")</f>
        <v>✗</v>
      </c>
      <c r="K620" s="23" t="str">
        <f>IFERROR(__xludf.DUMMYFUNCTION("if(REGEXMATCH(join("", "",$F620:$G620),K$1)=TRUE,""✓"",""✗"")"),"✗")</f>
        <v>✗</v>
      </c>
      <c r="L620" s="23" t="str">
        <f>IFERROR(__xludf.DUMMYFUNCTION("if(REGEXMATCH(join("", "",$F620:$G620),L$1)=TRUE,""✓"",""✗"")"),"✗")</f>
        <v>✗</v>
      </c>
      <c r="M620" s="23" t="str">
        <f>IFERROR(__xludf.DUMMYFUNCTION("if(REGEXMATCH(join("", "",$F620:$G620),M$1)=TRUE,""✓"",""✗"")"),"✗")</f>
        <v>✗</v>
      </c>
      <c r="N620" s="23" t="str">
        <f>IFERROR(__xludf.DUMMYFUNCTION("if(REGEXMATCH(join("", "",$F620:$G620),N$1)=TRUE,""✓"",""✗"")"),"✗")</f>
        <v>✗</v>
      </c>
      <c r="O620" s="23" t="str">
        <f>IFERROR(__xludf.DUMMYFUNCTION("if(REGEXMATCH(join("", "",$F620:$G620),O$1)=TRUE,""✓"",""✗"")"),"✗")</f>
        <v>✗</v>
      </c>
      <c r="P620" s="23" t="str">
        <f>IFERROR(__xludf.DUMMYFUNCTION("if(REGEXMATCH(join("", "",$F620:$G620),P$1)=TRUE,""✓"",""✗"")"),"✗")</f>
        <v>✗</v>
      </c>
      <c r="Q620" s="23" t="str">
        <f>IFERROR(__xludf.DUMMYFUNCTION("if(REGEXMATCH(join("", "",$F620:$G620),Q$1)=TRUE,""✓"",""✗"")"),"✗")</f>
        <v>✗</v>
      </c>
      <c r="R620" s="23" t="str">
        <f>IFERROR(__xludf.DUMMYFUNCTION("if(REGEXMATCH(join("", "",$F620:$G620),R$1)=TRUE,""✓"",""✗"")"),"✗")</f>
        <v>✗</v>
      </c>
      <c r="S620" s="23" t="str">
        <f>IFERROR(__xludf.DUMMYFUNCTION("if(REGEXMATCH(join("", "",$F620:$G620),S$1)=TRUE,""✓"",""✗"")"),"✗")</f>
        <v>✗</v>
      </c>
      <c r="T620" s="23" t="str">
        <f>IFERROR(__xludf.DUMMYFUNCTION("if(REGEXMATCH(join("", "",$F620:$G620),T$1)=TRUE,""✓"",""✗"")"),"✗")</f>
        <v>✗</v>
      </c>
      <c r="U620" s="33"/>
      <c r="V620" s="33"/>
      <c r="W620" s="33"/>
      <c r="X620" s="33"/>
      <c r="Y620" s="33"/>
      <c r="Z620" s="33"/>
      <c r="AA620" s="33"/>
      <c r="AB620" s="33"/>
      <c r="AC620" s="33"/>
    </row>
    <row r="621" hidden="1">
      <c r="A621" s="17" t="s">
        <v>302</v>
      </c>
      <c r="B621" s="33"/>
      <c r="C621" s="33"/>
      <c r="D621" s="33"/>
      <c r="E621" s="33"/>
      <c r="F621" s="33"/>
      <c r="G621" s="33"/>
      <c r="H621" s="23" t="str">
        <f>IFERROR(__xludf.DUMMYFUNCTION("if(REGEXMATCH(join("", "",$F621:$G621),H$1)=TRUE,""✓"",""✗"")"),"✗")</f>
        <v>✗</v>
      </c>
      <c r="I621" s="23" t="str">
        <f>IFERROR(__xludf.DUMMYFUNCTION("if(REGEXMATCH(join("", "",$F621:$G621),I$1)=TRUE,""✓"",""✗"")"),"✗")</f>
        <v>✗</v>
      </c>
      <c r="J621" s="23" t="str">
        <f>IFERROR(__xludf.DUMMYFUNCTION("if(REGEXMATCH(join("", "",$F621:$G621),J$1)=TRUE,""✓"",""✗"")"),"✗")</f>
        <v>✗</v>
      </c>
      <c r="K621" s="23" t="str">
        <f>IFERROR(__xludf.DUMMYFUNCTION("if(REGEXMATCH(join("", "",$F621:$G621),K$1)=TRUE,""✓"",""✗"")"),"✗")</f>
        <v>✗</v>
      </c>
      <c r="L621" s="23" t="str">
        <f>IFERROR(__xludf.DUMMYFUNCTION("if(REGEXMATCH(join("", "",$F621:$G621),L$1)=TRUE,""✓"",""✗"")"),"✗")</f>
        <v>✗</v>
      </c>
      <c r="M621" s="23" t="str">
        <f>IFERROR(__xludf.DUMMYFUNCTION("if(REGEXMATCH(join("", "",$F621:$G621),M$1)=TRUE,""✓"",""✗"")"),"✗")</f>
        <v>✗</v>
      </c>
      <c r="N621" s="23" t="str">
        <f>IFERROR(__xludf.DUMMYFUNCTION("if(REGEXMATCH(join("", "",$F621:$G621),N$1)=TRUE,""✓"",""✗"")"),"✗")</f>
        <v>✗</v>
      </c>
      <c r="O621" s="23" t="str">
        <f>IFERROR(__xludf.DUMMYFUNCTION("if(REGEXMATCH(join("", "",$F621:$G621),O$1)=TRUE,""✓"",""✗"")"),"✗")</f>
        <v>✗</v>
      </c>
      <c r="P621" s="23" t="str">
        <f>IFERROR(__xludf.DUMMYFUNCTION("if(REGEXMATCH(join("", "",$F621:$G621),P$1)=TRUE,""✓"",""✗"")"),"✗")</f>
        <v>✗</v>
      </c>
      <c r="Q621" s="23" t="str">
        <f>IFERROR(__xludf.DUMMYFUNCTION("if(REGEXMATCH(join("", "",$F621:$G621),Q$1)=TRUE,""✓"",""✗"")"),"✗")</f>
        <v>✗</v>
      </c>
      <c r="R621" s="23" t="str">
        <f>IFERROR(__xludf.DUMMYFUNCTION("if(REGEXMATCH(join("", "",$F621:$G621),R$1)=TRUE,""✓"",""✗"")"),"✗")</f>
        <v>✗</v>
      </c>
      <c r="S621" s="23" t="str">
        <f>IFERROR(__xludf.DUMMYFUNCTION("if(REGEXMATCH(join("", "",$F621:$G621),S$1)=TRUE,""✓"",""✗"")"),"✗")</f>
        <v>✗</v>
      </c>
      <c r="T621" s="23" t="str">
        <f>IFERROR(__xludf.DUMMYFUNCTION("if(REGEXMATCH(join("", "",$F621:$G621),T$1)=TRUE,""✓"",""✗"")"),"✗")</f>
        <v>✗</v>
      </c>
      <c r="U621" s="33"/>
      <c r="V621" s="33"/>
      <c r="W621" s="33"/>
      <c r="X621" s="33"/>
      <c r="Y621" s="33"/>
      <c r="Z621" s="33"/>
      <c r="AA621" s="33"/>
      <c r="AB621" s="33"/>
      <c r="AC621" s="33"/>
    </row>
    <row r="622" hidden="1">
      <c r="A622" s="17" t="s">
        <v>302</v>
      </c>
      <c r="B622" s="33"/>
      <c r="C622" s="33"/>
      <c r="D622" s="33"/>
      <c r="E622" s="33"/>
      <c r="F622" s="33"/>
      <c r="G622" s="33"/>
      <c r="H622" s="23" t="str">
        <f>IFERROR(__xludf.DUMMYFUNCTION("if(REGEXMATCH(join("", "",$F622:$G622),H$1)=TRUE,""✓"",""✗"")"),"✗")</f>
        <v>✗</v>
      </c>
      <c r="I622" s="23" t="str">
        <f>IFERROR(__xludf.DUMMYFUNCTION("if(REGEXMATCH(join("", "",$F622:$G622),I$1)=TRUE,""✓"",""✗"")"),"✗")</f>
        <v>✗</v>
      </c>
      <c r="J622" s="23" t="str">
        <f>IFERROR(__xludf.DUMMYFUNCTION("if(REGEXMATCH(join("", "",$F622:$G622),J$1)=TRUE,""✓"",""✗"")"),"✗")</f>
        <v>✗</v>
      </c>
      <c r="K622" s="23" t="str">
        <f>IFERROR(__xludf.DUMMYFUNCTION("if(REGEXMATCH(join("", "",$F622:$G622),K$1)=TRUE,""✓"",""✗"")"),"✗")</f>
        <v>✗</v>
      </c>
      <c r="L622" s="23" t="str">
        <f>IFERROR(__xludf.DUMMYFUNCTION("if(REGEXMATCH(join("", "",$F622:$G622),L$1)=TRUE,""✓"",""✗"")"),"✗")</f>
        <v>✗</v>
      </c>
      <c r="M622" s="23" t="str">
        <f>IFERROR(__xludf.DUMMYFUNCTION("if(REGEXMATCH(join("", "",$F622:$G622),M$1)=TRUE,""✓"",""✗"")"),"✗")</f>
        <v>✗</v>
      </c>
      <c r="N622" s="23" t="str">
        <f>IFERROR(__xludf.DUMMYFUNCTION("if(REGEXMATCH(join("", "",$F622:$G622),N$1)=TRUE,""✓"",""✗"")"),"✗")</f>
        <v>✗</v>
      </c>
      <c r="O622" s="23" t="str">
        <f>IFERROR(__xludf.DUMMYFUNCTION("if(REGEXMATCH(join("", "",$F622:$G622),O$1)=TRUE,""✓"",""✗"")"),"✗")</f>
        <v>✗</v>
      </c>
      <c r="P622" s="23" t="str">
        <f>IFERROR(__xludf.DUMMYFUNCTION("if(REGEXMATCH(join("", "",$F622:$G622),P$1)=TRUE,""✓"",""✗"")"),"✗")</f>
        <v>✗</v>
      </c>
      <c r="Q622" s="23" t="str">
        <f>IFERROR(__xludf.DUMMYFUNCTION("if(REGEXMATCH(join("", "",$F622:$G622),Q$1)=TRUE,""✓"",""✗"")"),"✗")</f>
        <v>✗</v>
      </c>
      <c r="R622" s="23" t="str">
        <f>IFERROR(__xludf.DUMMYFUNCTION("if(REGEXMATCH(join("", "",$F622:$G622),R$1)=TRUE,""✓"",""✗"")"),"✗")</f>
        <v>✗</v>
      </c>
      <c r="S622" s="23" t="str">
        <f>IFERROR(__xludf.DUMMYFUNCTION("if(REGEXMATCH(join("", "",$F622:$G622),S$1)=TRUE,""✓"",""✗"")"),"✗")</f>
        <v>✗</v>
      </c>
      <c r="T622" s="23" t="str">
        <f>IFERROR(__xludf.DUMMYFUNCTION("if(REGEXMATCH(join("", "",$F622:$G622),T$1)=TRUE,""✓"",""✗"")"),"✗")</f>
        <v>✗</v>
      </c>
      <c r="U622" s="33"/>
      <c r="V622" s="33"/>
      <c r="W622" s="33"/>
      <c r="X622" s="33"/>
      <c r="Y622" s="33"/>
      <c r="Z622" s="33"/>
      <c r="AA622" s="33"/>
      <c r="AB622" s="33"/>
      <c r="AC622" s="33"/>
    </row>
    <row r="623" hidden="1">
      <c r="A623" s="17" t="s">
        <v>302</v>
      </c>
      <c r="B623" s="33"/>
      <c r="C623" s="33"/>
      <c r="D623" s="33"/>
      <c r="E623" s="33"/>
      <c r="F623" s="33"/>
      <c r="G623" s="33"/>
      <c r="H623" s="23" t="str">
        <f>IFERROR(__xludf.DUMMYFUNCTION("if(REGEXMATCH(join("", "",$F623:$G623),H$1)=TRUE,""✓"",""✗"")"),"✗")</f>
        <v>✗</v>
      </c>
      <c r="I623" s="23" t="str">
        <f>IFERROR(__xludf.DUMMYFUNCTION("if(REGEXMATCH(join("", "",$F623:$G623),I$1)=TRUE,""✓"",""✗"")"),"✗")</f>
        <v>✗</v>
      </c>
      <c r="J623" s="23" t="str">
        <f>IFERROR(__xludf.DUMMYFUNCTION("if(REGEXMATCH(join("", "",$F623:$G623),J$1)=TRUE,""✓"",""✗"")"),"✗")</f>
        <v>✗</v>
      </c>
      <c r="K623" s="23" t="str">
        <f>IFERROR(__xludf.DUMMYFUNCTION("if(REGEXMATCH(join("", "",$F623:$G623),K$1)=TRUE,""✓"",""✗"")"),"✗")</f>
        <v>✗</v>
      </c>
      <c r="L623" s="23" t="str">
        <f>IFERROR(__xludf.DUMMYFUNCTION("if(REGEXMATCH(join("", "",$F623:$G623),L$1)=TRUE,""✓"",""✗"")"),"✗")</f>
        <v>✗</v>
      </c>
      <c r="M623" s="23" t="str">
        <f>IFERROR(__xludf.DUMMYFUNCTION("if(REGEXMATCH(join("", "",$F623:$G623),M$1)=TRUE,""✓"",""✗"")"),"✗")</f>
        <v>✗</v>
      </c>
      <c r="N623" s="23" t="str">
        <f>IFERROR(__xludf.DUMMYFUNCTION("if(REGEXMATCH(join("", "",$F623:$G623),N$1)=TRUE,""✓"",""✗"")"),"✗")</f>
        <v>✗</v>
      </c>
      <c r="O623" s="23" t="str">
        <f>IFERROR(__xludf.DUMMYFUNCTION("if(REGEXMATCH(join("", "",$F623:$G623),O$1)=TRUE,""✓"",""✗"")"),"✗")</f>
        <v>✗</v>
      </c>
      <c r="P623" s="23" t="str">
        <f>IFERROR(__xludf.DUMMYFUNCTION("if(REGEXMATCH(join("", "",$F623:$G623),P$1)=TRUE,""✓"",""✗"")"),"✗")</f>
        <v>✗</v>
      </c>
      <c r="Q623" s="23" t="str">
        <f>IFERROR(__xludf.DUMMYFUNCTION("if(REGEXMATCH(join("", "",$F623:$G623),Q$1)=TRUE,""✓"",""✗"")"),"✗")</f>
        <v>✗</v>
      </c>
      <c r="R623" s="23" t="str">
        <f>IFERROR(__xludf.DUMMYFUNCTION("if(REGEXMATCH(join("", "",$F623:$G623),R$1)=TRUE,""✓"",""✗"")"),"✗")</f>
        <v>✗</v>
      </c>
      <c r="S623" s="23" t="str">
        <f>IFERROR(__xludf.DUMMYFUNCTION("if(REGEXMATCH(join("", "",$F623:$G623),S$1)=TRUE,""✓"",""✗"")"),"✗")</f>
        <v>✗</v>
      </c>
      <c r="T623" s="23" t="str">
        <f>IFERROR(__xludf.DUMMYFUNCTION("if(REGEXMATCH(join("", "",$F623:$G623),T$1)=TRUE,""✓"",""✗"")"),"✗")</f>
        <v>✗</v>
      </c>
      <c r="U623" s="33"/>
      <c r="V623" s="33"/>
      <c r="W623" s="33"/>
      <c r="X623" s="33"/>
      <c r="Y623" s="33"/>
      <c r="Z623" s="33"/>
      <c r="AA623" s="33"/>
      <c r="AB623" s="33"/>
      <c r="AC623" s="33"/>
    </row>
    <row r="624" hidden="1">
      <c r="A624" s="17" t="s">
        <v>302</v>
      </c>
      <c r="B624" s="33"/>
      <c r="C624" s="33"/>
      <c r="D624" s="33"/>
      <c r="E624" s="33"/>
      <c r="F624" s="33"/>
      <c r="G624" s="33"/>
      <c r="H624" s="23" t="str">
        <f>IFERROR(__xludf.DUMMYFUNCTION("if(REGEXMATCH(join("", "",$F624:$G624),H$1)=TRUE,""✓"",""✗"")"),"✗")</f>
        <v>✗</v>
      </c>
      <c r="I624" s="23" t="str">
        <f>IFERROR(__xludf.DUMMYFUNCTION("if(REGEXMATCH(join("", "",$F624:$G624),I$1)=TRUE,""✓"",""✗"")"),"✗")</f>
        <v>✗</v>
      </c>
      <c r="J624" s="23" t="str">
        <f>IFERROR(__xludf.DUMMYFUNCTION("if(REGEXMATCH(join("", "",$F624:$G624),J$1)=TRUE,""✓"",""✗"")"),"✗")</f>
        <v>✗</v>
      </c>
      <c r="K624" s="23" t="str">
        <f>IFERROR(__xludf.DUMMYFUNCTION("if(REGEXMATCH(join("", "",$F624:$G624),K$1)=TRUE,""✓"",""✗"")"),"✗")</f>
        <v>✗</v>
      </c>
      <c r="L624" s="23" t="str">
        <f>IFERROR(__xludf.DUMMYFUNCTION("if(REGEXMATCH(join("", "",$F624:$G624),L$1)=TRUE,""✓"",""✗"")"),"✗")</f>
        <v>✗</v>
      </c>
      <c r="M624" s="23" t="str">
        <f>IFERROR(__xludf.DUMMYFUNCTION("if(REGEXMATCH(join("", "",$F624:$G624),M$1)=TRUE,""✓"",""✗"")"),"✗")</f>
        <v>✗</v>
      </c>
      <c r="N624" s="23" t="str">
        <f>IFERROR(__xludf.DUMMYFUNCTION("if(REGEXMATCH(join("", "",$F624:$G624),N$1)=TRUE,""✓"",""✗"")"),"✗")</f>
        <v>✗</v>
      </c>
      <c r="O624" s="23" t="str">
        <f>IFERROR(__xludf.DUMMYFUNCTION("if(REGEXMATCH(join("", "",$F624:$G624),O$1)=TRUE,""✓"",""✗"")"),"✗")</f>
        <v>✗</v>
      </c>
      <c r="P624" s="23" t="str">
        <f>IFERROR(__xludf.DUMMYFUNCTION("if(REGEXMATCH(join("", "",$F624:$G624),P$1)=TRUE,""✓"",""✗"")"),"✗")</f>
        <v>✗</v>
      </c>
      <c r="Q624" s="23" t="str">
        <f>IFERROR(__xludf.DUMMYFUNCTION("if(REGEXMATCH(join("", "",$F624:$G624),Q$1)=TRUE,""✓"",""✗"")"),"✗")</f>
        <v>✗</v>
      </c>
      <c r="R624" s="23" t="str">
        <f>IFERROR(__xludf.DUMMYFUNCTION("if(REGEXMATCH(join("", "",$F624:$G624),R$1)=TRUE,""✓"",""✗"")"),"✗")</f>
        <v>✗</v>
      </c>
      <c r="S624" s="23" t="str">
        <f>IFERROR(__xludf.DUMMYFUNCTION("if(REGEXMATCH(join("", "",$F624:$G624),S$1)=TRUE,""✓"",""✗"")"),"✗")</f>
        <v>✗</v>
      </c>
      <c r="T624" s="23" t="str">
        <f>IFERROR(__xludf.DUMMYFUNCTION("if(REGEXMATCH(join("", "",$F624:$G624),T$1)=TRUE,""✓"",""✗"")"),"✗")</f>
        <v>✗</v>
      </c>
      <c r="U624" s="33"/>
      <c r="V624" s="33"/>
      <c r="W624" s="33"/>
      <c r="X624" s="33"/>
      <c r="Y624" s="33"/>
      <c r="Z624" s="33"/>
      <c r="AA624" s="33"/>
      <c r="AB624" s="33"/>
      <c r="AC624" s="33"/>
    </row>
    <row r="625" hidden="1">
      <c r="A625" s="17" t="s">
        <v>302</v>
      </c>
      <c r="B625" s="33"/>
      <c r="C625" s="33"/>
      <c r="D625" s="33"/>
      <c r="E625" s="33"/>
      <c r="F625" s="33"/>
      <c r="G625" s="33"/>
      <c r="H625" s="23" t="str">
        <f>IFERROR(__xludf.DUMMYFUNCTION("if(REGEXMATCH(join("", "",$F625:$G625),H$1)=TRUE,""✓"",""✗"")"),"✗")</f>
        <v>✗</v>
      </c>
      <c r="I625" s="23" t="str">
        <f>IFERROR(__xludf.DUMMYFUNCTION("if(REGEXMATCH(join("", "",$F625:$G625),I$1)=TRUE,""✓"",""✗"")"),"✗")</f>
        <v>✗</v>
      </c>
      <c r="J625" s="23" t="str">
        <f>IFERROR(__xludf.DUMMYFUNCTION("if(REGEXMATCH(join("", "",$F625:$G625),J$1)=TRUE,""✓"",""✗"")"),"✗")</f>
        <v>✗</v>
      </c>
      <c r="K625" s="23" t="str">
        <f>IFERROR(__xludf.DUMMYFUNCTION("if(REGEXMATCH(join("", "",$F625:$G625),K$1)=TRUE,""✓"",""✗"")"),"✗")</f>
        <v>✗</v>
      </c>
      <c r="L625" s="23" t="str">
        <f>IFERROR(__xludf.DUMMYFUNCTION("if(REGEXMATCH(join("", "",$F625:$G625),L$1)=TRUE,""✓"",""✗"")"),"✗")</f>
        <v>✗</v>
      </c>
      <c r="M625" s="23" t="str">
        <f>IFERROR(__xludf.DUMMYFUNCTION("if(REGEXMATCH(join("", "",$F625:$G625),M$1)=TRUE,""✓"",""✗"")"),"✗")</f>
        <v>✗</v>
      </c>
      <c r="N625" s="23" t="str">
        <f>IFERROR(__xludf.DUMMYFUNCTION("if(REGEXMATCH(join("", "",$F625:$G625),N$1)=TRUE,""✓"",""✗"")"),"✗")</f>
        <v>✗</v>
      </c>
      <c r="O625" s="23" t="str">
        <f>IFERROR(__xludf.DUMMYFUNCTION("if(REGEXMATCH(join("", "",$F625:$G625),O$1)=TRUE,""✓"",""✗"")"),"✗")</f>
        <v>✗</v>
      </c>
      <c r="P625" s="23" t="str">
        <f>IFERROR(__xludf.DUMMYFUNCTION("if(REGEXMATCH(join("", "",$F625:$G625),P$1)=TRUE,""✓"",""✗"")"),"✗")</f>
        <v>✗</v>
      </c>
      <c r="Q625" s="23" t="str">
        <f>IFERROR(__xludf.DUMMYFUNCTION("if(REGEXMATCH(join("", "",$F625:$G625),Q$1)=TRUE,""✓"",""✗"")"),"✗")</f>
        <v>✗</v>
      </c>
      <c r="R625" s="23" t="str">
        <f>IFERROR(__xludf.DUMMYFUNCTION("if(REGEXMATCH(join("", "",$F625:$G625),R$1)=TRUE,""✓"",""✗"")"),"✗")</f>
        <v>✗</v>
      </c>
      <c r="S625" s="23" t="str">
        <f>IFERROR(__xludf.DUMMYFUNCTION("if(REGEXMATCH(join("", "",$F625:$G625),S$1)=TRUE,""✓"",""✗"")"),"✗")</f>
        <v>✗</v>
      </c>
      <c r="T625" s="23" t="str">
        <f>IFERROR(__xludf.DUMMYFUNCTION("if(REGEXMATCH(join("", "",$F625:$G625),T$1)=TRUE,""✓"",""✗"")"),"✗")</f>
        <v>✗</v>
      </c>
      <c r="U625" s="33"/>
      <c r="V625" s="33"/>
      <c r="W625" s="33"/>
      <c r="X625" s="33"/>
      <c r="Y625" s="33"/>
      <c r="Z625" s="33"/>
      <c r="AA625" s="33"/>
      <c r="AB625" s="33"/>
      <c r="AC625" s="33"/>
    </row>
    <row r="626" hidden="1">
      <c r="A626" s="17" t="s">
        <v>302</v>
      </c>
      <c r="B626" s="33"/>
      <c r="C626" s="33"/>
      <c r="D626" s="33"/>
      <c r="E626" s="33"/>
      <c r="F626" s="33"/>
      <c r="G626" s="33"/>
      <c r="H626" s="23" t="str">
        <f>IFERROR(__xludf.DUMMYFUNCTION("if(REGEXMATCH(join("", "",$F626:$G626),H$1)=TRUE,""✓"",""✗"")"),"✗")</f>
        <v>✗</v>
      </c>
      <c r="I626" s="23" t="str">
        <f>IFERROR(__xludf.DUMMYFUNCTION("if(REGEXMATCH(join("", "",$F626:$G626),I$1)=TRUE,""✓"",""✗"")"),"✗")</f>
        <v>✗</v>
      </c>
      <c r="J626" s="23" t="str">
        <f>IFERROR(__xludf.DUMMYFUNCTION("if(REGEXMATCH(join("", "",$F626:$G626),J$1)=TRUE,""✓"",""✗"")"),"✗")</f>
        <v>✗</v>
      </c>
      <c r="K626" s="23" t="str">
        <f>IFERROR(__xludf.DUMMYFUNCTION("if(REGEXMATCH(join("", "",$F626:$G626),K$1)=TRUE,""✓"",""✗"")"),"✗")</f>
        <v>✗</v>
      </c>
      <c r="L626" s="23" t="str">
        <f>IFERROR(__xludf.DUMMYFUNCTION("if(REGEXMATCH(join("", "",$F626:$G626),L$1)=TRUE,""✓"",""✗"")"),"✗")</f>
        <v>✗</v>
      </c>
      <c r="M626" s="23" t="str">
        <f>IFERROR(__xludf.DUMMYFUNCTION("if(REGEXMATCH(join("", "",$F626:$G626),M$1)=TRUE,""✓"",""✗"")"),"✗")</f>
        <v>✗</v>
      </c>
      <c r="N626" s="23" t="str">
        <f>IFERROR(__xludf.DUMMYFUNCTION("if(REGEXMATCH(join("", "",$F626:$G626),N$1)=TRUE,""✓"",""✗"")"),"✗")</f>
        <v>✗</v>
      </c>
      <c r="O626" s="23" t="str">
        <f>IFERROR(__xludf.DUMMYFUNCTION("if(REGEXMATCH(join("", "",$F626:$G626),O$1)=TRUE,""✓"",""✗"")"),"✗")</f>
        <v>✗</v>
      </c>
      <c r="P626" s="23" t="str">
        <f>IFERROR(__xludf.DUMMYFUNCTION("if(REGEXMATCH(join("", "",$F626:$G626),P$1)=TRUE,""✓"",""✗"")"),"✗")</f>
        <v>✗</v>
      </c>
      <c r="Q626" s="23" t="str">
        <f>IFERROR(__xludf.DUMMYFUNCTION("if(REGEXMATCH(join("", "",$F626:$G626),Q$1)=TRUE,""✓"",""✗"")"),"✗")</f>
        <v>✗</v>
      </c>
      <c r="R626" s="23" t="str">
        <f>IFERROR(__xludf.DUMMYFUNCTION("if(REGEXMATCH(join("", "",$F626:$G626),R$1)=TRUE,""✓"",""✗"")"),"✗")</f>
        <v>✗</v>
      </c>
      <c r="S626" s="23" t="str">
        <f>IFERROR(__xludf.DUMMYFUNCTION("if(REGEXMATCH(join("", "",$F626:$G626),S$1)=TRUE,""✓"",""✗"")"),"✗")</f>
        <v>✗</v>
      </c>
      <c r="T626" s="23" t="str">
        <f>IFERROR(__xludf.DUMMYFUNCTION("if(REGEXMATCH(join("", "",$F626:$G626),T$1)=TRUE,""✓"",""✗"")"),"✗")</f>
        <v>✗</v>
      </c>
      <c r="U626" s="33"/>
      <c r="V626" s="33"/>
      <c r="W626" s="33"/>
      <c r="X626" s="33"/>
      <c r="Y626" s="33"/>
      <c r="Z626" s="33"/>
      <c r="AA626" s="33"/>
      <c r="AB626" s="33"/>
      <c r="AC626" s="33"/>
    </row>
    <row r="627" hidden="1">
      <c r="A627" s="17" t="s">
        <v>302</v>
      </c>
      <c r="B627" s="33"/>
      <c r="C627" s="33"/>
      <c r="D627" s="33"/>
      <c r="E627" s="33"/>
      <c r="F627" s="33"/>
      <c r="G627" s="33"/>
      <c r="H627" s="23" t="str">
        <f>IFERROR(__xludf.DUMMYFUNCTION("if(REGEXMATCH(join("", "",$F627:$G627),H$1)=TRUE,""✓"",""✗"")"),"✗")</f>
        <v>✗</v>
      </c>
      <c r="I627" s="23" t="str">
        <f>IFERROR(__xludf.DUMMYFUNCTION("if(REGEXMATCH(join("", "",$F627:$G627),I$1)=TRUE,""✓"",""✗"")"),"✗")</f>
        <v>✗</v>
      </c>
      <c r="J627" s="23" t="str">
        <f>IFERROR(__xludf.DUMMYFUNCTION("if(REGEXMATCH(join("", "",$F627:$G627),J$1)=TRUE,""✓"",""✗"")"),"✗")</f>
        <v>✗</v>
      </c>
      <c r="K627" s="23" t="str">
        <f>IFERROR(__xludf.DUMMYFUNCTION("if(REGEXMATCH(join("", "",$F627:$G627),K$1)=TRUE,""✓"",""✗"")"),"✗")</f>
        <v>✗</v>
      </c>
      <c r="L627" s="23" t="str">
        <f>IFERROR(__xludf.DUMMYFUNCTION("if(REGEXMATCH(join("", "",$F627:$G627),L$1)=TRUE,""✓"",""✗"")"),"✗")</f>
        <v>✗</v>
      </c>
      <c r="M627" s="23" t="str">
        <f>IFERROR(__xludf.DUMMYFUNCTION("if(REGEXMATCH(join("", "",$F627:$G627),M$1)=TRUE,""✓"",""✗"")"),"✗")</f>
        <v>✗</v>
      </c>
      <c r="N627" s="23" t="str">
        <f>IFERROR(__xludf.DUMMYFUNCTION("if(REGEXMATCH(join("", "",$F627:$G627),N$1)=TRUE,""✓"",""✗"")"),"✗")</f>
        <v>✗</v>
      </c>
      <c r="O627" s="23" t="str">
        <f>IFERROR(__xludf.DUMMYFUNCTION("if(REGEXMATCH(join("", "",$F627:$G627),O$1)=TRUE,""✓"",""✗"")"),"✗")</f>
        <v>✗</v>
      </c>
      <c r="P627" s="23" t="str">
        <f>IFERROR(__xludf.DUMMYFUNCTION("if(REGEXMATCH(join("", "",$F627:$G627),P$1)=TRUE,""✓"",""✗"")"),"✗")</f>
        <v>✗</v>
      </c>
      <c r="Q627" s="23" t="str">
        <f>IFERROR(__xludf.DUMMYFUNCTION("if(REGEXMATCH(join("", "",$F627:$G627),Q$1)=TRUE,""✓"",""✗"")"),"✗")</f>
        <v>✗</v>
      </c>
      <c r="R627" s="23" t="str">
        <f>IFERROR(__xludf.DUMMYFUNCTION("if(REGEXMATCH(join("", "",$F627:$G627),R$1)=TRUE,""✓"",""✗"")"),"✗")</f>
        <v>✗</v>
      </c>
      <c r="S627" s="23" t="str">
        <f>IFERROR(__xludf.DUMMYFUNCTION("if(REGEXMATCH(join("", "",$F627:$G627),S$1)=TRUE,""✓"",""✗"")"),"✗")</f>
        <v>✗</v>
      </c>
      <c r="T627" s="23" t="str">
        <f>IFERROR(__xludf.DUMMYFUNCTION("if(REGEXMATCH(join("", "",$F627:$G627),T$1)=TRUE,""✓"",""✗"")"),"✗")</f>
        <v>✗</v>
      </c>
      <c r="U627" s="33"/>
      <c r="V627" s="33"/>
      <c r="W627" s="33"/>
      <c r="X627" s="33"/>
      <c r="Y627" s="33"/>
      <c r="Z627" s="33"/>
      <c r="AA627" s="33"/>
      <c r="AB627" s="33"/>
      <c r="AC627" s="33"/>
    </row>
    <row r="628" hidden="1">
      <c r="A628" s="17" t="s">
        <v>302</v>
      </c>
      <c r="B628" s="33"/>
      <c r="C628" s="33"/>
      <c r="D628" s="33"/>
      <c r="E628" s="33"/>
      <c r="F628" s="33"/>
      <c r="G628" s="33"/>
      <c r="H628" s="23" t="str">
        <f>IFERROR(__xludf.DUMMYFUNCTION("if(REGEXMATCH(join("", "",$F628:$G628),H$1)=TRUE,""✓"",""✗"")"),"✗")</f>
        <v>✗</v>
      </c>
      <c r="I628" s="23" t="str">
        <f>IFERROR(__xludf.DUMMYFUNCTION("if(REGEXMATCH(join("", "",$F628:$G628),I$1)=TRUE,""✓"",""✗"")"),"✗")</f>
        <v>✗</v>
      </c>
      <c r="J628" s="23" t="str">
        <f>IFERROR(__xludf.DUMMYFUNCTION("if(REGEXMATCH(join("", "",$F628:$G628),J$1)=TRUE,""✓"",""✗"")"),"✗")</f>
        <v>✗</v>
      </c>
      <c r="K628" s="23" t="str">
        <f>IFERROR(__xludf.DUMMYFUNCTION("if(REGEXMATCH(join("", "",$F628:$G628),K$1)=TRUE,""✓"",""✗"")"),"✗")</f>
        <v>✗</v>
      </c>
      <c r="L628" s="23" t="str">
        <f>IFERROR(__xludf.DUMMYFUNCTION("if(REGEXMATCH(join("", "",$F628:$G628),L$1)=TRUE,""✓"",""✗"")"),"✗")</f>
        <v>✗</v>
      </c>
      <c r="M628" s="23" t="str">
        <f>IFERROR(__xludf.DUMMYFUNCTION("if(REGEXMATCH(join("", "",$F628:$G628),M$1)=TRUE,""✓"",""✗"")"),"✗")</f>
        <v>✗</v>
      </c>
      <c r="N628" s="23" t="str">
        <f>IFERROR(__xludf.DUMMYFUNCTION("if(REGEXMATCH(join("", "",$F628:$G628),N$1)=TRUE,""✓"",""✗"")"),"✗")</f>
        <v>✗</v>
      </c>
      <c r="O628" s="23" t="str">
        <f>IFERROR(__xludf.DUMMYFUNCTION("if(REGEXMATCH(join("", "",$F628:$G628),O$1)=TRUE,""✓"",""✗"")"),"✗")</f>
        <v>✗</v>
      </c>
      <c r="P628" s="23" t="str">
        <f>IFERROR(__xludf.DUMMYFUNCTION("if(REGEXMATCH(join("", "",$F628:$G628),P$1)=TRUE,""✓"",""✗"")"),"✗")</f>
        <v>✗</v>
      </c>
      <c r="Q628" s="23" t="str">
        <f>IFERROR(__xludf.DUMMYFUNCTION("if(REGEXMATCH(join("", "",$F628:$G628),Q$1)=TRUE,""✓"",""✗"")"),"✗")</f>
        <v>✗</v>
      </c>
      <c r="R628" s="23" t="str">
        <f>IFERROR(__xludf.DUMMYFUNCTION("if(REGEXMATCH(join("", "",$F628:$G628),R$1)=TRUE,""✓"",""✗"")"),"✗")</f>
        <v>✗</v>
      </c>
      <c r="S628" s="23" t="str">
        <f>IFERROR(__xludf.DUMMYFUNCTION("if(REGEXMATCH(join("", "",$F628:$G628),S$1)=TRUE,""✓"",""✗"")"),"✗")</f>
        <v>✗</v>
      </c>
      <c r="T628" s="23" t="str">
        <f>IFERROR(__xludf.DUMMYFUNCTION("if(REGEXMATCH(join("", "",$F628:$G628),T$1)=TRUE,""✓"",""✗"")"),"✗")</f>
        <v>✗</v>
      </c>
      <c r="U628" s="33"/>
      <c r="V628" s="33"/>
      <c r="W628" s="33"/>
      <c r="X628" s="33"/>
      <c r="Y628" s="33"/>
      <c r="Z628" s="33"/>
      <c r="AA628" s="33"/>
      <c r="AB628" s="33"/>
      <c r="AC628" s="33"/>
    </row>
    <row r="629" hidden="1">
      <c r="A629" s="17" t="s">
        <v>302</v>
      </c>
      <c r="B629" s="33"/>
      <c r="C629" s="33"/>
      <c r="D629" s="33"/>
      <c r="E629" s="33"/>
      <c r="F629" s="33"/>
      <c r="G629" s="33"/>
      <c r="H629" s="23" t="str">
        <f>IFERROR(__xludf.DUMMYFUNCTION("if(REGEXMATCH(join("", "",$F629:$G629),H$1)=TRUE,""✓"",""✗"")"),"✗")</f>
        <v>✗</v>
      </c>
      <c r="I629" s="23" t="str">
        <f>IFERROR(__xludf.DUMMYFUNCTION("if(REGEXMATCH(join("", "",$F629:$G629),I$1)=TRUE,""✓"",""✗"")"),"✗")</f>
        <v>✗</v>
      </c>
      <c r="J629" s="23" t="str">
        <f>IFERROR(__xludf.DUMMYFUNCTION("if(REGEXMATCH(join("", "",$F629:$G629),J$1)=TRUE,""✓"",""✗"")"),"✗")</f>
        <v>✗</v>
      </c>
      <c r="K629" s="23" t="str">
        <f>IFERROR(__xludf.DUMMYFUNCTION("if(REGEXMATCH(join("", "",$F629:$G629),K$1)=TRUE,""✓"",""✗"")"),"✗")</f>
        <v>✗</v>
      </c>
      <c r="L629" s="23" t="str">
        <f>IFERROR(__xludf.DUMMYFUNCTION("if(REGEXMATCH(join("", "",$F629:$G629),L$1)=TRUE,""✓"",""✗"")"),"✗")</f>
        <v>✗</v>
      </c>
      <c r="M629" s="23" t="str">
        <f>IFERROR(__xludf.DUMMYFUNCTION("if(REGEXMATCH(join("", "",$F629:$G629),M$1)=TRUE,""✓"",""✗"")"),"✗")</f>
        <v>✗</v>
      </c>
      <c r="N629" s="23" t="str">
        <f>IFERROR(__xludf.DUMMYFUNCTION("if(REGEXMATCH(join("", "",$F629:$G629),N$1)=TRUE,""✓"",""✗"")"),"✗")</f>
        <v>✗</v>
      </c>
      <c r="O629" s="23" t="str">
        <f>IFERROR(__xludf.DUMMYFUNCTION("if(REGEXMATCH(join("", "",$F629:$G629),O$1)=TRUE,""✓"",""✗"")"),"✗")</f>
        <v>✗</v>
      </c>
      <c r="P629" s="23" t="str">
        <f>IFERROR(__xludf.DUMMYFUNCTION("if(REGEXMATCH(join("", "",$F629:$G629),P$1)=TRUE,""✓"",""✗"")"),"✗")</f>
        <v>✗</v>
      </c>
      <c r="Q629" s="23" t="str">
        <f>IFERROR(__xludf.DUMMYFUNCTION("if(REGEXMATCH(join("", "",$F629:$G629),Q$1)=TRUE,""✓"",""✗"")"),"✗")</f>
        <v>✗</v>
      </c>
      <c r="R629" s="23" t="str">
        <f>IFERROR(__xludf.DUMMYFUNCTION("if(REGEXMATCH(join("", "",$F629:$G629),R$1)=TRUE,""✓"",""✗"")"),"✗")</f>
        <v>✗</v>
      </c>
      <c r="S629" s="23" t="str">
        <f>IFERROR(__xludf.DUMMYFUNCTION("if(REGEXMATCH(join("", "",$F629:$G629),S$1)=TRUE,""✓"",""✗"")"),"✗")</f>
        <v>✗</v>
      </c>
      <c r="T629" s="23" t="str">
        <f>IFERROR(__xludf.DUMMYFUNCTION("if(REGEXMATCH(join("", "",$F629:$G629),T$1)=TRUE,""✓"",""✗"")"),"✗")</f>
        <v>✗</v>
      </c>
      <c r="U629" s="33"/>
      <c r="V629" s="33"/>
      <c r="W629" s="33"/>
      <c r="X629" s="33"/>
      <c r="Y629" s="33"/>
      <c r="Z629" s="33"/>
      <c r="AA629" s="33"/>
      <c r="AB629" s="33"/>
      <c r="AC629" s="33"/>
    </row>
    <row r="630" hidden="1">
      <c r="A630" s="17" t="s">
        <v>302</v>
      </c>
      <c r="B630" s="33"/>
      <c r="C630" s="33"/>
      <c r="D630" s="33"/>
      <c r="E630" s="33"/>
      <c r="F630" s="33"/>
      <c r="G630" s="33"/>
      <c r="H630" s="23" t="str">
        <f>IFERROR(__xludf.DUMMYFUNCTION("if(REGEXMATCH(join("", "",$F630:$G630),H$1)=TRUE,""✓"",""✗"")"),"✗")</f>
        <v>✗</v>
      </c>
      <c r="I630" s="23" t="str">
        <f>IFERROR(__xludf.DUMMYFUNCTION("if(REGEXMATCH(join("", "",$F630:$G630),I$1)=TRUE,""✓"",""✗"")"),"✗")</f>
        <v>✗</v>
      </c>
      <c r="J630" s="23" t="str">
        <f>IFERROR(__xludf.DUMMYFUNCTION("if(REGEXMATCH(join("", "",$F630:$G630),J$1)=TRUE,""✓"",""✗"")"),"✗")</f>
        <v>✗</v>
      </c>
      <c r="K630" s="23" t="str">
        <f>IFERROR(__xludf.DUMMYFUNCTION("if(REGEXMATCH(join("", "",$F630:$G630),K$1)=TRUE,""✓"",""✗"")"),"✗")</f>
        <v>✗</v>
      </c>
      <c r="L630" s="23" t="str">
        <f>IFERROR(__xludf.DUMMYFUNCTION("if(REGEXMATCH(join("", "",$F630:$G630),L$1)=TRUE,""✓"",""✗"")"),"✗")</f>
        <v>✗</v>
      </c>
      <c r="M630" s="23" t="str">
        <f>IFERROR(__xludf.DUMMYFUNCTION("if(REGEXMATCH(join("", "",$F630:$G630),M$1)=TRUE,""✓"",""✗"")"),"✗")</f>
        <v>✗</v>
      </c>
      <c r="N630" s="23" t="str">
        <f>IFERROR(__xludf.DUMMYFUNCTION("if(REGEXMATCH(join("", "",$F630:$G630),N$1)=TRUE,""✓"",""✗"")"),"✗")</f>
        <v>✗</v>
      </c>
      <c r="O630" s="23" t="str">
        <f>IFERROR(__xludf.DUMMYFUNCTION("if(REGEXMATCH(join("", "",$F630:$G630),O$1)=TRUE,""✓"",""✗"")"),"✗")</f>
        <v>✗</v>
      </c>
      <c r="P630" s="23" t="str">
        <f>IFERROR(__xludf.DUMMYFUNCTION("if(REGEXMATCH(join("", "",$F630:$G630),P$1)=TRUE,""✓"",""✗"")"),"✗")</f>
        <v>✗</v>
      </c>
      <c r="Q630" s="23" t="str">
        <f>IFERROR(__xludf.DUMMYFUNCTION("if(REGEXMATCH(join("", "",$F630:$G630),Q$1)=TRUE,""✓"",""✗"")"),"✗")</f>
        <v>✗</v>
      </c>
      <c r="R630" s="23" t="str">
        <f>IFERROR(__xludf.DUMMYFUNCTION("if(REGEXMATCH(join("", "",$F630:$G630),R$1)=TRUE,""✓"",""✗"")"),"✗")</f>
        <v>✗</v>
      </c>
      <c r="S630" s="23" t="str">
        <f>IFERROR(__xludf.DUMMYFUNCTION("if(REGEXMATCH(join("", "",$F630:$G630),S$1)=TRUE,""✓"",""✗"")"),"✗")</f>
        <v>✗</v>
      </c>
      <c r="T630" s="23" t="str">
        <f>IFERROR(__xludf.DUMMYFUNCTION("if(REGEXMATCH(join("", "",$F630:$G630),T$1)=TRUE,""✓"",""✗"")"),"✗")</f>
        <v>✗</v>
      </c>
      <c r="U630" s="33"/>
      <c r="V630" s="33"/>
      <c r="W630" s="33"/>
      <c r="X630" s="33"/>
      <c r="Y630" s="33"/>
      <c r="Z630" s="33"/>
      <c r="AA630" s="33"/>
      <c r="AB630" s="33"/>
      <c r="AC630" s="33"/>
    </row>
    <row r="631" hidden="1">
      <c r="A631" s="17" t="s">
        <v>302</v>
      </c>
      <c r="B631" s="33"/>
      <c r="C631" s="33"/>
      <c r="D631" s="33"/>
      <c r="E631" s="33"/>
      <c r="F631" s="33"/>
      <c r="G631" s="33"/>
      <c r="H631" s="23" t="str">
        <f>IFERROR(__xludf.DUMMYFUNCTION("if(REGEXMATCH(join("", "",$F631:$G631),H$1)=TRUE,""✓"",""✗"")"),"✗")</f>
        <v>✗</v>
      </c>
      <c r="I631" s="23" t="str">
        <f>IFERROR(__xludf.DUMMYFUNCTION("if(REGEXMATCH(join("", "",$F631:$G631),I$1)=TRUE,""✓"",""✗"")"),"✗")</f>
        <v>✗</v>
      </c>
      <c r="J631" s="23" t="str">
        <f>IFERROR(__xludf.DUMMYFUNCTION("if(REGEXMATCH(join("", "",$F631:$G631),J$1)=TRUE,""✓"",""✗"")"),"✗")</f>
        <v>✗</v>
      </c>
      <c r="K631" s="23" t="str">
        <f>IFERROR(__xludf.DUMMYFUNCTION("if(REGEXMATCH(join("", "",$F631:$G631),K$1)=TRUE,""✓"",""✗"")"),"✗")</f>
        <v>✗</v>
      </c>
      <c r="L631" s="23" t="str">
        <f>IFERROR(__xludf.DUMMYFUNCTION("if(REGEXMATCH(join("", "",$F631:$G631),L$1)=TRUE,""✓"",""✗"")"),"✗")</f>
        <v>✗</v>
      </c>
      <c r="M631" s="23" t="str">
        <f>IFERROR(__xludf.DUMMYFUNCTION("if(REGEXMATCH(join("", "",$F631:$G631),M$1)=TRUE,""✓"",""✗"")"),"✗")</f>
        <v>✗</v>
      </c>
      <c r="N631" s="23" t="str">
        <f>IFERROR(__xludf.DUMMYFUNCTION("if(REGEXMATCH(join("", "",$F631:$G631),N$1)=TRUE,""✓"",""✗"")"),"✗")</f>
        <v>✗</v>
      </c>
      <c r="O631" s="23" t="str">
        <f>IFERROR(__xludf.DUMMYFUNCTION("if(REGEXMATCH(join("", "",$F631:$G631),O$1)=TRUE,""✓"",""✗"")"),"✗")</f>
        <v>✗</v>
      </c>
      <c r="P631" s="23" t="str">
        <f>IFERROR(__xludf.DUMMYFUNCTION("if(REGEXMATCH(join("", "",$F631:$G631),P$1)=TRUE,""✓"",""✗"")"),"✗")</f>
        <v>✗</v>
      </c>
      <c r="Q631" s="23" t="str">
        <f>IFERROR(__xludf.DUMMYFUNCTION("if(REGEXMATCH(join("", "",$F631:$G631),Q$1)=TRUE,""✓"",""✗"")"),"✗")</f>
        <v>✗</v>
      </c>
      <c r="R631" s="23" t="str">
        <f>IFERROR(__xludf.DUMMYFUNCTION("if(REGEXMATCH(join("", "",$F631:$G631),R$1)=TRUE,""✓"",""✗"")"),"✗")</f>
        <v>✗</v>
      </c>
      <c r="S631" s="23" t="str">
        <f>IFERROR(__xludf.DUMMYFUNCTION("if(REGEXMATCH(join("", "",$F631:$G631),S$1)=TRUE,""✓"",""✗"")"),"✗")</f>
        <v>✗</v>
      </c>
      <c r="T631" s="23" t="str">
        <f>IFERROR(__xludf.DUMMYFUNCTION("if(REGEXMATCH(join("", "",$F631:$G631),T$1)=TRUE,""✓"",""✗"")"),"✗")</f>
        <v>✗</v>
      </c>
      <c r="U631" s="33"/>
      <c r="V631" s="33"/>
      <c r="W631" s="33"/>
      <c r="X631" s="33"/>
      <c r="Y631" s="33"/>
      <c r="Z631" s="33"/>
      <c r="AA631" s="33"/>
      <c r="AB631" s="33"/>
      <c r="AC631" s="33"/>
    </row>
    <row r="632" hidden="1">
      <c r="A632" s="17" t="s">
        <v>302</v>
      </c>
      <c r="B632" s="33"/>
      <c r="C632" s="33"/>
      <c r="D632" s="33"/>
      <c r="E632" s="33"/>
      <c r="F632" s="33"/>
      <c r="G632" s="33"/>
      <c r="H632" s="23" t="str">
        <f>IFERROR(__xludf.DUMMYFUNCTION("if(REGEXMATCH(join("", "",$F632:$G632),H$1)=TRUE,""✓"",""✗"")"),"✗")</f>
        <v>✗</v>
      </c>
      <c r="I632" s="23" t="str">
        <f>IFERROR(__xludf.DUMMYFUNCTION("if(REGEXMATCH(join("", "",$F632:$G632),I$1)=TRUE,""✓"",""✗"")"),"✗")</f>
        <v>✗</v>
      </c>
      <c r="J632" s="23" t="str">
        <f>IFERROR(__xludf.DUMMYFUNCTION("if(REGEXMATCH(join("", "",$F632:$G632),J$1)=TRUE,""✓"",""✗"")"),"✗")</f>
        <v>✗</v>
      </c>
      <c r="K632" s="23" t="str">
        <f>IFERROR(__xludf.DUMMYFUNCTION("if(REGEXMATCH(join("", "",$F632:$G632),K$1)=TRUE,""✓"",""✗"")"),"✗")</f>
        <v>✗</v>
      </c>
      <c r="L632" s="23" t="str">
        <f>IFERROR(__xludf.DUMMYFUNCTION("if(REGEXMATCH(join("", "",$F632:$G632),L$1)=TRUE,""✓"",""✗"")"),"✗")</f>
        <v>✗</v>
      </c>
      <c r="M632" s="23" t="str">
        <f>IFERROR(__xludf.DUMMYFUNCTION("if(REGEXMATCH(join("", "",$F632:$G632),M$1)=TRUE,""✓"",""✗"")"),"✗")</f>
        <v>✗</v>
      </c>
      <c r="N632" s="23" t="str">
        <f>IFERROR(__xludf.DUMMYFUNCTION("if(REGEXMATCH(join("", "",$F632:$G632),N$1)=TRUE,""✓"",""✗"")"),"✗")</f>
        <v>✗</v>
      </c>
      <c r="O632" s="23" t="str">
        <f>IFERROR(__xludf.DUMMYFUNCTION("if(REGEXMATCH(join("", "",$F632:$G632),O$1)=TRUE,""✓"",""✗"")"),"✗")</f>
        <v>✗</v>
      </c>
      <c r="P632" s="23" t="str">
        <f>IFERROR(__xludf.DUMMYFUNCTION("if(REGEXMATCH(join("", "",$F632:$G632),P$1)=TRUE,""✓"",""✗"")"),"✗")</f>
        <v>✗</v>
      </c>
      <c r="Q632" s="23" t="str">
        <f>IFERROR(__xludf.DUMMYFUNCTION("if(REGEXMATCH(join("", "",$F632:$G632),Q$1)=TRUE,""✓"",""✗"")"),"✗")</f>
        <v>✗</v>
      </c>
      <c r="R632" s="23" t="str">
        <f>IFERROR(__xludf.DUMMYFUNCTION("if(REGEXMATCH(join("", "",$F632:$G632),R$1)=TRUE,""✓"",""✗"")"),"✗")</f>
        <v>✗</v>
      </c>
      <c r="S632" s="23" t="str">
        <f>IFERROR(__xludf.DUMMYFUNCTION("if(REGEXMATCH(join("", "",$F632:$G632),S$1)=TRUE,""✓"",""✗"")"),"✗")</f>
        <v>✗</v>
      </c>
      <c r="T632" s="23" t="str">
        <f>IFERROR(__xludf.DUMMYFUNCTION("if(REGEXMATCH(join("", "",$F632:$G632),T$1)=TRUE,""✓"",""✗"")"),"✗")</f>
        <v>✗</v>
      </c>
      <c r="U632" s="33"/>
      <c r="V632" s="33"/>
      <c r="W632" s="33"/>
      <c r="X632" s="33"/>
      <c r="Y632" s="33"/>
      <c r="Z632" s="33"/>
      <c r="AA632" s="33"/>
      <c r="AB632" s="33"/>
      <c r="AC632" s="33"/>
    </row>
    <row r="633" hidden="1">
      <c r="A633" s="17" t="s">
        <v>302</v>
      </c>
      <c r="B633" s="33"/>
      <c r="C633" s="33"/>
      <c r="D633" s="33"/>
      <c r="E633" s="33"/>
      <c r="F633" s="33"/>
      <c r="G633" s="33"/>
      <c r="H633" s="23" t="str">
        <f>IFERROR(__xludf.DUMMYFUNCTION("if(REGEXMATCH(join("", "",$F633:$G633),H$1)=TRUE,""✓"",""✗"")"),"✗")</f>
        <v>✗</v>
      </c>
      <c r="I633" s="23" t="str">
        <f>IFERROR(__xludf.DUMMYFUNCTION("if(REGEXMATCH(join("", "",$F633:$G633),I$1)=TRUE,""✓"",""✗"")"),"✗")</f>
        <v>✗</v>
      </c>
      <c r="J633" s="23" t="str">
        <f>IFERROR(__xludf.DUMMYFUNCTION("if(REGEXMATCH(join("", "",$F633:$G633),J$1)=TRUE,""✓"",""✗"")"),"✗")</f>
        <v>✗</v>
      </c>
      <c r="K633" s="23" t="str">
        <f>IFERROR(__xludf.DUMMYFUNCTION("if(REGEXMATCH(join("", "",$F633:$G633),K$1)=TRUE,""✓"",""✗"")"),"✗")</f>
        <v>✗</v>
      </c>
      <c r="L633" s="23" t="str">
        <f>IFERROR(__xludf.DUMMYFUNCTION("if(REGEXMATCH(join("", "",$F633:$G633),L$1)=TRUE,""✓"",""✗"")"),"✗")</f>
        <v>✗</v>
      </c>
      <c r="M633" s="23" t="str">
        <f>IFERROR(__xludf.DUMMYFUNCTION("if(REGEXMATCH(join("", "",$F633:$G633),M$1)=TRUE,""✓"",""✗"")"),"✗")</f>
        <v>✗</v>
      </c>
      <c r="N633" s="23" t="str">
        <f>IFERROR(__xludf.DUMMYFUNCTION("if(REGEXMATCH(join("", "",$F633:$G633),N$1)=TRUE,""✓"",""✗"")"),"✗")</f>
        <v>✗</v>
      </c>
      <c r="O633" s="23" t="str">
        <f>IFERROR(__xludf.DUMMYFUNCTION("if(REGEXMATCH(join("", "",$F633:$G633),O$1)=TRUE,""✓"",""✗"")"),"✗")</f>
        <v>✗</v>
      </c>
      <c r="P633" s="23" t="str">
        <f>IFERROR(__xludf.DUMMYFUNCTION("if(REGEXMATCH(join("", "",$F633:$G633),P$1)=TRUE,""✓"",""✗"")"),"✗")</f>
        <v>✗</v>
      </c>
      <c r="Q633" s="23" t="str">
        <f>IFERROR(__xludf.DUMMYFUNCTION("if(REGEXMATCH(join("", "",$F633:$G633),Q$1)=TRUE,""✓"",""✗"")"),"✗")</f>
        <v>✗</v>
      </c>
      <c r="R633" s="23" t="str">
        <f>IFERROR(__xludf.DUMMYFUNCTION("if(REGEXMATCH(join("", "",$F633:$G633),R$1)=TRUE,""✓"",""✗"")"),"✗")</f>
        <v>✗</v>
      </c>
      <c r="S633" s="23" t="str">
        <f>IFERROR(__xludf.DUMMYFUNCTION("if(REGEXMATCH(join("", "",$F633:$G633),S$1)=TRUE,""✓"",""✗"")"),"✗")</f>
        <v>✗</v>
      </c>
      <c r="T633" s="23" t="str">
        <f>IFERROR(__xludf.DUMMYFUNCTION("if(REGEXMATCH(join("", "",$F633:$G633),T$1)=TRUE,""✓"",""✗"")"),"✗")</f>
        <v>✗</v>
      </c>
      <c r="U633" s="33"/>
      <c r="V633" s="33"/>
      <c r="W633" s="33"/>
      <c r="X633" s="33"/>
      <c r="Y633" s="33"/>
      <c r="Z633" s="33"/>
      <c r="AA633" s="33"/>
      <c r="AB633" s="33"/>
      <c r="AC633" s="33"/>
    </row>
    <row r="634" hidden="1">
      <c r="A634" s="17" t="s">
        <v>302</v>
      </c>
      <c r="B634" s="33"/>
      <c r="C634" s="33"/>
      <c r="D634" s="33"/>
      <c r="E634" s="33"/>
      <c r="F634" s="33"/>
      <c r="G634" s="33"/>
      <c r="H634" s="23" t="str">
        <f>IFERROR(__xludf.DUMMYFUNCTION("if(REGEXMATCH(join("", "",$F634:$G634),H$1)=TRUE,""✓"",""✗"")"),"✗")</f>
        <v>✗</v>
      </c>
      <c r="I634" s="23" t="str">
        <f>IFERROR(__xludf.DUMMYFUNCTION("if(REGEXMATCH(join("", "",$F634:$G634),I$1)=TRUE,""✓"",""✗"")"),"✗")</f>
        <v>✗</v>
      </c>
      <c r="J634" s="23" t="str">
        <f>IFERROR(__xludf.DUMMYFUNCTION("if(REGEXMATCH(join("", "",$F634:$G634),J$1)=TRUE,""✓"",""✗"")"),"✗")</f>
        <v>✗</v>
      </c>
      <c r="K634" s="23" t="str">
        <f>IFERROR(__xludf.DUMMYFUNCTION("if(REGEXMATCH(join("", "",$F634:$G634),K$1)=TRUE,""✓"",""✗"")"),"✗")</f>
        <v>✗</v>
      </c>
      <c r="L634" s="23" t="str">
        <f>IFERROR(__xludf.DUMMYFUNCTION("if(REGEXMATCH(join("", "",$F634:$G634),L$1)=TRUE,""✓"",""✗"")"),"✗")</f>
        <v>✗</v>
      </c>
      <c r="M634" s="23" t="str">
        <f>IFERROR(__xludf.DUMMYFUNCTION("if(REGEXMATCH(join("", "",$F634:$G634),M$1)=TRUE,""✓"",""✗"")"),"✗")</f>
        <v>✗</v>
      </c>
      <c r="N634" s="23" t="str">
        <f>IFERROR(__xludf.DUMMYFUNCTION("if(REGEXMATCH(join("", "",$F634:$G634),N$1)=TRUE,""✓"",""✗"")"),"✗")</f>
        <v>✗</v>
      </c>
      <c r="O634" s="23" t="str">
        <f>IFERROR(__xludf.DUMMYFUNCTION("if(REGEXMATCH(join("", "",$F634:$G634),O$1)=TRUE,""✓"",""✗"")"),"✗")</f>
        <v>✗</v>
      </c>
      <c r="P634" s="23" t="str">
        <f>IFERROR(__xludf.DUMMYFUNCTION("if(REGEXMATCH(join("", "",$F634:$G634),P$1)=TRUE,""✓"",""✗"")"),"✗")</f>
        <v>✗</v>
      </c>
      <c r="Q634" s="23" t="str">
        <f>IFERROR(__xludf.DUMMYFUNCTION("if(REGEXMATCH(join("", "",$F634:$G634),Q$1)=TRUE,""✓"",""✗"")"),"✗")</f>
        <v>✗</v>
      </c>
      <c r="R634" s="23" t="str">
        <f>IFERROR(__xludf.DUMMYFUNCTION("if(REGEXMATCH(join("", "",$F634:$G634),R$1)=TRUE,""✓"",""✗"")"),"✗")</f>
        <v>✗</v>
      </c>
      <c r="S634" s="23" t="str">
        <f>IFERROR(__xludf.DUMMYFUNCTION("if(REGEXMATCH(join("", "",$F634:$G634),S$1)=TRUE,""✓"",""✗"")"),"✗")</f>
        <v>✗</v>
      </c>
      <c r="T634" s="23" t="str">
        <f>IFERROR(__xludf.DUMMYFUNCTION("if(REGEXMATCH(join("", "",$F634:$G634),T$1)=TRUE,""✓"",""✗"")"),"✗")</f>
        <v>✗</v>
      </c>
      <c r="U634" s="33"/>
      <c r="V634" s="33"/>
      <c r="W634" s="33"/>
      <c r="X634" s="33"/>
      <c r="Y634" s="33"/>
      <c r="Z634" s="33"/>
      <c r="AA634" s="33"/>
      <c r="AB634" s="33"/>
      <c r="AC634" s="33"/>
    </row>
    <row r="635" hidden="1">
      <c r="A635" s="17" t="s">
        <v>302</v>
      </c>
      <c r="B635" s="33"/>
      <c r="C635" s="33"/>
      <c r="D635" s="33"/>
      <c r="E635" s="33"/>
      <c r="F635" s="33"/>
      <c r="G635" s="33"/>
      <c r="H635" s="23" t="str">
        <f>IFERROR(__xludf.DUMMYFUNCTION("if(REGEXMATCH(join("", "",$F635:$G635),H$1)=TRUE,""✓"",""✗"")"),"✗")</f>
        <v>✗</v>
      </c>
      <c r="I635" s="23" t="str">
        <f>IFERROR(__xludf.DUMMYFUNCTION("if(REGEXMATCH(join("", "",$F635:$G635),I$1)=TRUE,""✓"",""✗"")"),"✗")</f>
        <v>✗</v>
      </c>
      <c r="J635" s="23" t="str">
        <f>IFERROR(__xludf.DUMMYFUNCTION("if(REGEXMATCH(join("", "",$F635:$G635),J$1)=TRUE,""✓"",""✗"")"),"✗")</f>
        <v>✗</v>
      </c>
      <c r="K635" s="23" t="str">
        <f>IFERROR(__xludf.DUMMYFUNCTION("if(REGEXMATCH(join("", "",$F635:$G635),K$1)=TRUE,""✓"",""✗"")"),"✗")</f>
        <v>✗</v>
      </c>
      <c r="L635" s="23" t="str">
        <f>IFERROR(__xludf.DUMMYFUNCTION("if(REGEXMATCH(join("", "",$F635:$G635),L$1)=TRUE,""✓"",""✗"")"),"✗")</f>
        <v>✗</v>
      </c>
      <c r="M635" s="23" t="str">
        <f>IFERROR(__xludf.DUMMYFUNCTION("if(REGEXMATCH(join("", "",$F635:$G635),M$1)=TRUE,""✓"",""✗"")"),"✗")</f>
        <v>✗</v>
      </c>
      <c r="N635" s="23" t="str">
        <f>IFERROR(__xludf.DUMMYFUNCTION("if(REGEXMATCH(join("", "",$F635:$G635),N$1)=TRUE,""✓"",""✗"")"),"✗")</f>
        <v>✗</v>
      </c>
      <c r="O635" s="23" t="str">
        <f>IFERROR(__xludf.DUMMYFUNCTION("if(REGEXMATCH(join("", "",$F635:$G635),O$1)=TRUE,""✓"",""✗"")"),"✗")</f>
        <v>✗</v>
      </c>
      <c r="P635" s="23" t="str">
        <f>IFERROR(__xludf.DUMMYFUNCTION("if(REGEXMATCH(join("", "",$F635:$G635),P$1)=TRUE,""✓"",""✗"")"),"✗")</f>
        <v>✗</v>
      </c>
      <c r="Q635" s="23" t="str">
        <f>IFERROR(__xludf.DUMMYFUNCTION("if(REGEXMATCH(join("", "",$F635:$G635),Q$1)=TRUE,""✓"",""✗"")"),"✗")</f>
        <v>✗</v>
      </c>
      <c r="R635" s="23" t="str">
        <f>IFERROR(__xludf.DUMMYFUNCTION("if(REGEXMATCH(join("", "",$F635:$G635),R$1)=TRUE,""✓"",""✗"")"),"✗")</f>
        <v>✗</v>
      </c>
      <c r="S635" s="23" t="str">
        <f>IFERROR(__xludf.DUMMYFUNCTION("if(REGEXMATCH(join("", "",$F635:$G635),S$1)=TRUE,""✓"",""✗"")"),"✗")</f>
        <v>✗</v>
      </c>
      <c r="T635" s="23" t="str">
        <f>IFERROR(__xludf.DUMMYFUNCTION("if(REGEXMATCH(join("", "",$F635:$G635),T$1)=TRUE,""✓"",""✗"")"),"✗")</f>
        <v>✗</v>
      </c>
      <c r="U635" s="33"/>
      <c r="V635" s="33"/>
      <c r="W635" s="33"/>
      <c r="X635" s="33"/>
      <c r="Y635" s="33"/>
      <c r="Z635" s="33"/>
      <c r="AA635" s="33"/>
      <c r="AB635" s="33"/>
      <c r="AC635" s="33"/>
    </row>
    <row r="636" hidden="1">
      <c r="A636" s="17" t="s">
        <v>302</v>
      </c>
      <c r="B636" s="33"/>
      <c r="C636" s="33"/>
      <c r="D636" s="33"/>
      <c r="E636" s="33"/>
      <c r="F636" s="33"/>
      <c r="G636" s="33"/>
      <c r="H636" s="23" t="str">
        <f>IFERROR(__xludf.DUMMYFUNCTION("if(REGEXMATCH(join("", "",$F636:$G636),H$1)=TRUE,""✓"",""✗"")"),"✗")</f>
        <v>✗</v>
      </c>
      <c r="I636" s="23" t="str">
        <f>IFERROR(__xludf.DUMMYFUNCTION("if(REGEXMATCH(join("", "",$F636:$G636),I$1)=TRUE,""✓"",""✗"")"),"✗")</f>
        <v>✗</v>
      </c>
      <c r="J636" s="23" t="str">
        <f>IFERROR(__xludf.DUMMYFUNCTION("if(REGEXMATCH(join("", "",$F636:$G636),J$1)=TRUE,""✓"",""✗"")"),"✗")</f>
        <v>✗</v>
      </c>
      <c r="K636" s="23" t="str">
        <f>IFERROR(__xludf.DUMMYFUNCTION("if(REGEXMATCH(join("", "",$F636:$G636),K$1)=TRUE,""✓"",""✗"")"),"✗")</f>
        <v>✗</v>
      </c>
      <c r="L636" s="23" t="str">
        <f>IFERROR(__xludf.DUMMYFUNCTION("if(REGEXMATCH(join("", "",$F636:$G636),L$1)=TRUE,""✓"",""✗"")"),"✗")</f>
        <v>✗</v>
      </c>
      <c r="M636" s="23" t="str">
        <f>IFERROR(__xludf.DUMMYFUNCTION("if(REGEXMATCH(join("", "",$F636:$G636),M$1)=TRUE,""✓"",""✗"")"),"✗")</f>
        <v>✗</v>
      </c>
      <c r="N636" s="23" t="str">
        <f>IFERROR(__xludf.DUMMYFUNCTION("if(REGEXMATCH(join("", "",$F636:$G636),N$1)=TRUE,""✓"",""✗"")"),"✗")</f>
        <v>✗</v>
      </c>
      <c r="O636" s="23" t="str">
        <f>IFERROR(__xludf.DUMMYFUNCTION("if(REGEXMATCH(join("", "",$F636:$G636),O$1)=TRUE,""✓"",""✗"")"),"✗")</f>
        <v>✗</v>
      </c>
      <c r="P636" s="23" t="str">
        <f>IFERROR(__xludf.DUMMYFUNCTION("if(REGEXMATCH(join("", "",$F636:$G636),P$1)=TRUE,""✓"",""✗"")"),"✗")</f>
        <v>✗</v>
      </c>
      <c r="Q636" s="23" t="str">
        <f>IFERROR(__xludf.DUMMYFUNCTION("if(REGEXMATCH(join("", "",$F636:$G636),Q$1)=TRUE,""✓"",""✗"")"),"✗")</f>
        <v>✗</v>
      </c>
      <c r="R636" s="23" t="str">
        <f>IFERROR(__xludf.DUMMYFUNCTION("if(REGEXMATCH(join("", "",$F636:$G636),R$1)=TRUE,""✓"",""✗"")"),"✗")</f>
        <v>✗</v>
      </c>
      <c r="S636" s="23" t="str">
        <f>IFERROR(__xludf.DUMMYFUNCTION("if(REGEXMATCH(join("", "",$F636:$G636),S$1)=TRUE,""✓"",""✗"")"),"✗")</f>
        <v>✗</v>
      </c>
      <c r="T636" s="23" t="str">
        <f>IFERROR(__xludf.DUMMYFUNCTION("if(REGEXMATCH(join("", "",$F636:$G636),T$1)=TRUE,""✓"",""✗"")"),"✗")</f>
        <v>✗</v>
      </c>
      <c r="U636" s="33"/>
      <c r="V636" s="33"/>
      <c r="W636" s="33"/>
      <c r="X636" s="33"/>
      <c r="Y636" s="33"/>
      <c r="Z636" s="33"/>
      <c r="AA636" s="33"/>
      <c r="AB636" s="33"/>
      <c r="AC636" s="33"/>
    </row>
    <row r="637" hidden="1">
      <c r="A637" s="17" t="s">
        <v>302</v>
      </c>
      <c r="B637" s="33"/>
      <c r="C637" s="33"/>
      <c r="D637" s="33"/>
      <c r="E637" s="33"/>
      <c r="F637" s="33"/>
      <c r="G637" s="33"/>
      <c r="H637" s="23" t="str">
        <f>IFERROR(__xludf.DUMMYFUNCTION("if(REGEXMATCH(join("", "",$F637:$G637),H$1)=TRUE,""✓"",""✗"")"),"✗")</f>
        <v>✗</v>
      </c>
      <c r="I637" s="23" t="str">
        <f>IFERROR(__xludf.DUMMYFUNCTION("if(REGEXMATCH(join("", "",$F637:$G637),I$1)=TRUE,""✓"",""✗"")"),"✗")</f>
        <v>✗</v>
      </c>
      <c r="J637" s="23" t="str">
        <f>IFERROR(__xludf.DUMMYFUNCTION("if(REGEXMATCH(join("", "",$F637:$G637),J$1)=TRUE,""✓"",""✗"")"),"✗")</f>
        <v>✗</v>
      </c>
      <c r="K637" s="23" t="str">
        <f>IFERROR(__xludf.DUMMYFUNCTION("if(REGEXMATCH(join("", "",$F637:$G637),K$1)=TRUE,""✓"",""✗"")"),"✗")</f>
        <v>✗</v>
      </c>
      <c r="L637" s="23" t="str">
        <f>IFERROR(__xludf.DUMMYFUNCTION("if(REGEXMATCH(join("", "",$F637:$G637),L$1)=TRUE,""✓"",""✗"")"),"✗")</f>
        <v>✗</v>
      </c>
      <c r="M637" s="23" t="str">
        <f>IFERROR(__xludf.DUMMYFUNCTION("if(REGEXMATCH(join("", "",$F637:$G637),M$1)=TRUE,""✓"",""✗"")"),"✗")</f>
        <v>✗</v>
      </c>
      <c r="N637" s="23" t="str">
        <f>IFERROR(__xludf.DUMMYFUNCTION("if(REGEXMATCH(join("", "",$F637:$G637),N$1)=TRUE,""✓"",""✗"")"),"✗")</f>
        <v>✗</v>
      </c>
      <c r="O637" s="23" t="str">
        <f>IFERROR(__xludf.DUMMYFUNCTION("if(REGEXMATCH(join("", "",$F637:$G637),O$1)=TRUE,""✓"",""✗"")"),"✗")</f>
        <v>✗</v>
      </c>
      <c r="P637" s="23" t="str">
        <f>IFERROR(__xludf.DUMMYFUNCTION("if(REGEXMATCH(join("", "",$F637:$G637),P$1)=TRUE,""✓"",""✗"")"),"✗")</f>
        <v>✗</v>
      </c>
      <c r="Q637" s="23" t="str">
        <f>IFERROR(__xludf.DUMMYFUNCTION("if(REGEXMATCH(join("", "",$F637:$G637),Q$1)=TRUE,""✓"",""✗"")"),"✗")</f>
        <v>✗</v>
      </c>
      <c r="R637" s="23" t="str">
        <f>IFERROR(__xludf.DUMMYFUNCTION("if(REGEXMATCH(join("", "",$F637:$G637),R$1)=TRUE,""✓"",""✗"")"),"✗")</f>
        <v>✗</v>
      </c>
      <c r="S637" s="23" t="str">
        <f>IFERROR(__xludf.DUMMYFUNCTION("if(REGEXMATCH(join("", "",$F637:$G637),S$1)=TRUE,""✓"",""✗"")"),"✗")</f>
        <v>✗</v>
      </c>
      <c r="T637" s="23" t="str">
        <f>IFERROR(__xludf.DUMMYFUNCTION("if(REGEXMATCH(join("", "",$F637:$G637),T$1)=TRUE,""✓"",""✗"")"),"✗")</f>
        <v>✗</v>
      </c>
      <c r="U637" s="33"/>
      <c r="V637" s="33"/>
      <c r="W637" s="33"/>
      <c r="X637" s="33"/>
      <c r="Y637" s="33"/>
      <c r="Z637" s="33"/>
      <c r="AA637" s="33"/>
      <c r="AB637" s="33"/>
      <c r="AC637" s="33"/>
    </row>
    <row r="638" hidden="1">
      <c r="A638" s="17" t="s">
        <v>302</v>
      </c>
      <c r="B638" s="33"/>
      <c r="C638" s="33"/>
      <c r="D638" s="33"/>
      <c r="E638" s="33"/>
      <c r="F638" s="33"/>
      <c r="G638" s="33"/>
      <c r="H638" s="23" t="str">
        <f>IFERROR(__xludf.DUMMYFUNCTION("if(REGEXMATCH(join("", "",$F638:$G638),H$1)=TRUE,""✓"",""✗"")"),"✗")</f>
        <v>✗</v>
      </c>
      <c r="I638" s="23" t="str">
        <f>IFERROR(__xludf.DUMMYFUNCTION("if(REGEXMATCH(join("", "",$F638:$G638),I$1)=TRUE,""✓"",""✗"")"),"✗")</f>
        <v>✗</v>
      </c>
      <c r="J638" s="23" t="str">
        <f>IFERROR(__xludf.DUMMYFUNCTION("if(REGEXMATCH(join("", "",$F638:$G638),J$1)=TRUE,""✓"",""✗"")"),"✗")</f>
        <v>✗</v>
      </c>
      <c r="K638" s="23" t="str">
        <f>IFERROR(__xludf.DUMMYFUNCTION("if(REGEXMATCH(join("", "",$F638:$G638),K$1)=TRUE,""✓"",""✗"")"),"✗")</f>
        <v>✗</v>
      </c>
      <c r="L638" s="23" t="str">
        <f>IFERROR(__xludf.DUMMYFUNCTION("if(REGEXMATCH(join("", "",$F638:$G638),L$1)=TRUE,""✓"",""✗"")"),"✗")</f>
        <v>✗</v>
      </c>
      <c r="M638" s="23" t="str">
        <f>IFERROR(__xludf.DUMMYFUNCTION("if(REGEXMATCH(join("", "",$F638:$G638),M$1)=TRUE,""✓"",""✗"")"),"✗")</f>
        <v>✗</v>
      </c>
      <c r="N638" s="23" t="str">
        <f>IFERROR(__xludf.DUMMYFUNCTION("if(REGEXMATCH(join("", "",$F638:$G638),N$1)=TRUE,""✓"",""✗"")"),"✗")</f>
        <v>✗</v>
      </c>
      <c r="O638" s="23" t="str">
        <f>IFERROR(__xludf.DUMMYFUNCTION("if(REGEXMATCH(join("", "",$F638:$G638),O$1)=TRUE,""✓"",""✗"")"),"✗")</f>
        <v>✗</v>
      </c>
      <c r="P638" s="23" t="str">
        <f>IFERROR(__xludf.DUMMYFUNCTION("if(REGEXMATCH(join("", "",$F638:$G638),P$1)=TRUE,""✓"",""✗"")"),"✗")</f>
        <v>✗</v>
      </c>
      <c r="Q638" s="23" t="str">
        <f>IFERROR(__xludf.DUMMYFUNCTION("if(REGEXMATCH(join("", "",$F638:$G638),Q$1)=TRUE,""✓"",""✗"")"),"✗")</f>
        <v>✗</v>
      </c>
      <c r="R638" s="23" t="str">
        <f>IFERROR(__xludf.DUMMYFUNCTION("if(REGEXMATCH(join("", "",$F638:$G638),R$1)=TRUE,""✓"",""✗"")"),"✗")</f>
        <v>✗</v>
      </c>
      <c r="S638" s="23" t="str">
        <f>IFERROR(__xludf.DUMMYFUNCTION("if(REGEXMATCH(join("", "",$F638:$G638),S$1)=TRUE,""✓"",""✗"")"),"✗")</f>
        <v>✗</v>
      </c>
      <c r="T638" s="23" t="str">
        <f>IFERROR(__xludf.DUMMYFUNCTION("if(REGEXMATCH(join("", "",$F638:$G638),T$1)=TRUE,""✓"",""✗"")"),"✗")</f>
        <v>✗</v>
      </c>
      <c r="U638" s="33"/>
      <c r="V638" s="33"/>
      <c r="W638" s="33"/>
      <c r="X638" s="33"/>
      <c r="Y638" s="33"/>
      <c r="Z638" s="33"/>
      <c r="AA638" s="33"/>
      <c r="AB638" s="33"/>
      <c r="AC638" s="33"/>
    </row>
    <row r="639" hidden="1">
      <c r="A639" s="17" t="s">
        <v>302</v>
      </c>
      <c r="B639" s="33"/>
      <c r="C639" s="33"/>
      <c r="D639" s="33"/>
      <c r="E639" s="33"/>
      <c r="F639" s="33"/>
      <c r="G639" s="33"/>
      <c r="H639" s="23" t="str">
        <f>IFERROR(__xludf.DUMMYFUNCTION("if(REGEXMATCH(join("", "",$F639:$G639),H$1)=TRUE,""✓"",""✗"")"),"✗")</f>
        <v>✗</v>
      </c>
      <c r="I639" s="23" t="str">
        <f>IFERROR(__xludf.DUMMYFUNCTION("if(REGEXMATCH(join("", "",$F639:$G639),I$1)=TRUE,""✓"",""✗"")"),"✗")</f>
        <v>✗</v>
      </c>
      <c r="J639" s="23" t="str">
        <f>IFERROR(__xludf.DUMMYFUNCTION("if(REGEXMATCH(join("", "",$F639:$G639),J$1)=TRUE,""✓"",""✗"")"),"✗")</f>
        <v>✗</v>
      </c>
      <c r="K639" s="23" t="str">
        <f>IFERROR(__xludf.DUMMYFUNCTION("if(REGEXMATCH(join("", "",$F639:$G639),K$1)=TRUE,""✓"",""✗"")"),"✗")</f>
        <v>✗</v>
      </c>
      <c r="L639" s="23" t="str">
        <f>IFERROR(__xludf.DUMMYFUNCTION("if(REGEXMATCH(join("", "",$F639:$G639),L$1)=TRUE,""✓"",""✗"")"),"✗")</f>
        <v>✗</v>
      </c>
      <c r="M639" s="23" t="str">
        <f>IFERROR(__xludf.DUMMYFUNCTION("if(REGEXMATCH(join("", "",$F639:$G639),M$1)=TRUE,""✓"",""✗"")"),"✗")</f>
        <v>✗</v>
      </c>
      <c r="N639" s="23" t="str">
        <f>IFERROR(__xludf.DUMMYFUNCTION("if(REGEXMATCH(join("", "",$F639:$G639),N$1)=TRUE,""✓"",""✗"")"),"✗")</f>
        <v>✗</v>
      </c>
      <c r="O639" s="23" t="str">
        <f>IFERROR(__xludf.DUMMYFUNCTION("if(REGEXMATCH(join("", "",$F639:$G639),O$1)=TRUE,""✓"",""✗"")"),"✗")</f>
        <v>✗</v>
      </c>
      <c r="P639" s="23" t="str">
        <f>IFERROR(__xludf.DUMMYFUNCTION("if(REGEXMATCH(join("", "",$F639:$G639),P$1)=TRUE,""✓"",""✗"")"),"✗")</f>
        <v>✗</v>
      </c>
      <c r="Q639" s="23" t="str">
        <f>IFERROR(__xludf.DUMMYFUNCTION("if(REGEXMATCH(join("", "",$F639:$G639),Q$1)=TRUE,""✓"",""✗"")"),"✗")</f>
        <v>✗</v>
      </c>
      <c r="R639" s="23" t="str">
        <f>IFERROR(__xludf.DUMMYFUNCTION("if(REGEXMATCH(join("", "",$F639:$G639),R$1)=TRUE,""✓"",""✗"")"),"✗")</f>
        <v>✗</v>
      </c>
      <c r="S639" s="23" t="str">
        <f>IFERROR(__xludf.DUMMYFUNCTION("if(REGEXMATCH(join("", "",$F639:$G639),S$1)=TRUE,""✓"",""✗"")"),"✗")</f>
        <v>✗</v>
      </c>
      <c r="T639" s="23" t="str">
        <f>IFERROR(__xludf.DUMMYFUNCTION("if(REGEXMATCH(join("", "",$F639:$G639),T$1)=TRUE,""✓"",""✗"")"),"✗")</f>
        <v>✗</v>
      </c>
      <c r="U639" s="33"/>
      <c r="V639" s="33"/>
      <c r="W639" s="33"/>
      <c r="X639" s="33"/>
      <c r="Y639" s="33"/>
      <c r="Z639" s="33"/>
      <c r="AA639" s="33"/>
      <c r="AB639" s="33"/>
      <c r="AC639" s="33"/>
    </row>
    <row r="640" hidden="1">
      <c r="A640" s="17" t="s">
        <v>302</v>
      </c>
      <c r="B640" s="33"/>
      <c r="C640" s="33"/>
      <c r="D640" s="33"/>
      <c r="E640" s="33"/>
      <c r="F640" s="33"/>
      <c r="G640" s="33"/>
      <c r="H640" s="23" t="str">
        <f>IFERROR(__xludf.DUMMYFUNCTION("if(REGEXMATCH(join("", "",$F640:$G640),H$1)=TRUE,""✓"",""✗"")"),"✗")</f>
        <v>✗</v>
      </c>
      <c r="I640" s="23" t="str">
        <f>IFERROR(__xludf.DUMMYFUNCTION("if(REGEXMATCH(join("", "",$F640:$G640),I$1)=TRUE,""✓"",""✗"")"),"✗")</f>
        <v>✗</v>
      </c>
      <c r="J640" s="23" t="str">
        <f>IFERROR(__xludf.DUMMYFUNCTION("if(REGEXMATCH(join("", "",$F640:$G640),J$1)=TRUE,""✓"",""✗"")"),"✗")</f>
        <v>✗</v>
      </c>
      <c r="K640" s="23" t="str">
        <f>IFERROR(__xludf.DUMMYFUNCTION("if(REGEXMATCH(join("", "",$F640:$G640),K$1)=TRUE,""✓"",""✗"")"),"✗")</f>
        <v>✗</v>
      </c>
      <c r="L640" s="23" t="str">
        <f>IFERROR(__xludf.DUMMYFUNCTION("if(REGEXMATCH(join("", "",$F640:$G640),L$1)=TRUE,""✓"",""✗"")"),"✗")</f>
        <v>✗</v>
      </c>
      <c r="M640" s="23" t="str">
        <f>IFERROR(__xludf.DUMMYFUNCTION("if(REGEXMATCH(join("", "",$F640:$G640),M$1)=TRUE,""✓"",""✗"")"),"✗")</f>
        <v>✗</v>
      </c>
      <c r="N640" s="23" t="str">
        <f>IFERROR(__xludf.DUMMYFUNCTION("if(REGEXMATCH(join("", "",$F640:$G640),N$1)=TRUE,""✓"",""✗"")"),"✗")</f>
        <v>✗</v>
      </c>
      <c r="O640" s="23" t="str">
        <f>IFERROR(__xludf.DUMMYFUNCTION("if(REGEXMATCH(join("", "",$F640:$G640),O$1)=TRUE,""✓"",""✗"")"),"✗")</f>
        <v>✗</v>
      </c>
      <c r="P640" s="23" t="str">
        <f>IFERROR(__xludf.DUMMYFUNCTION("if(REGEXMATCH(join("", "",$F640:$G640),P$1)=TRUE,""✓"",""✗"")"),"✗")</f>
        <v>✗</v>
      </c>
      <c r="Q640" s="23" t="str">
        <f>IFERROR(__xludf.DUMMYFUNCTION("if(REGEXMATCH(join("", "",$F640:$G640),Q$1)=TRUE,""✓"",""✗"")"),"✗")</f>
        <v>✗</v>
      </c>
      <c r="R640" s="23" t="str">
        <f>IFERROR(__xludf.DUMMYFUNCTION("if(REGEXMATCH(join("", "",$F640:$G640),R$1)=TRUE,""✓"",""✗"")"),"✗")</f>
        <v>✗</v>
      </c>
      <c r="S640" s="23" t="str">
        <f>IFERROR(__xludf.DUMMYFUNCTION("if(REGEXMATCH(join("", "",$F640:$G640),S$1)=TRUE,""✓"",""✗"")"),"✗")</f>
        <v>✗</v>
      </c>
      <c r="T640" s="23" t="str">
        <f>IFERROR(__xludf.DUMMYFUNCTION("if(REGEXMATCH(join("", "",$F640:$G640),T$1)=TRUE,""✓"",""✗"")"),"✗")</f>
        <v>✗</v>
      </c>
      <c r="U640" s="33"/>
      <c r="V640" s="33"/>
      <c r="W640" s="33"/>
      <c r="X640" s="33"/>
      <c r="Y640" s="33"/>
      <c r="Z640" s="33"/>
      <c r="AA640" s="33"/>
      <c r="AB640" s="33"/>
      <c r="AC640" s="33"/>
    </row>
    <row r="641" hidden="1">
      <c r="A641" s="17" t="s">
        <v>302</v>
      </c>
      <c r="B641" s="33"/>
      <c r="C641" s="33"/>
      <c r="D641" s="33"/>
      <c r="E641" s="33"/>
      <c r="F641" s="33"/>
      <c r="G641" s="33"/>
      <c r="H641" s="23" t="str">
        <f>IFERROR(__xludf.DUMMYFUNCTION("if(REGEXMATCH(join("", "",$F641:$G641),H$1)=TRUE,""✓"",""✗"")"),"✗")</f>
        <v>✗</v>
      </c>
      <c r="I641" s="23" t="str">
        <f>IFERROR(__xludf.DUMMYFUNCTION("if(REGEXMATCH(join("", "",$F641:$G641),I$1)=TRUE,""✓"",""✗"")"),"✗")</f>
        <v>✗</v>
      </c>
      <c r="J641" s="23" t="str">
        <f>IFERROR(__xludf.DUMMYFUNCTION("if(REGEXMATCH(join("", "",$F641:$G641),J$1)=TRUE,""✓"",""✗"")"),"✗")</f>
        <v>✗</v>
      </c>
      <c r="K641" s="23" t="str">
        <f>IFERROR(__xludf.DUMMYFUNCTION("if(REGEXMATCH(join("", "",$F641:$G641),K$1)=TRUE,""✓"",""✗"")"),"✗")</f>
        <v>✗</v>
      </c>
      <c r="L641" s="23" t="str">
        <f>IFERROR(__xludf.DUMMYFUNCTION("if(REGEXMATCH(join("", "",$F641:$G641),L$1)=TRUE,""✓"",""✗"")"),"✗")</f>
        <v>✗</v>
      </c>
      <c r="M641" s="23" t="str">
        <f>IFERROR(__xludf.DUMMYFUNCTION("if(REGEXMATCH(join("", "",$F641:$G641),M$1)=TRUE,""✓"",""✗"")"),"✗")</f>
        <v>✗</v>
      </c>
      <c r="N641" s="23" t="str">
        <f>IFERROR(__xludf.DUMMYFUNCTION("if(REGEXMATCH(join("", "",$F641:$G641),N$1)=TRUE,""✓"",""✗"")"),"✗")</f>
        <v>✗</v>
      </c>
      <c r="O641" s="23" t="str">
        <f>IFERROR(__xludf.DUMMYFUNCTION("if(REGEXMATCH(join("", "",$F641:$G641),O$1)=TRUE,""✓"",""✗"")"),"✗")</f>
        <v>✗</v>
      </c>
      <c r="P641" s="23" t="str">
        <f>IFERROR(__xludf.DUMMYFUNCTION("if(REGEXMATCH(join("", "",$F641:$G641),P$1)=TRUE,""✓"",""✗"")"),"✗")</f>
        <v>✗</v>
      </c>
      <c r="Q641" s="23" t="str">
        <f>IFERROR(__xludf.DUMMYFUNCTION("if(REGEXMATCH(join("", "",$F641:$G641),Q$1)=TRUE,""✓"",""✗"")"),"✗")</f>
        <v>✗</v>
      </c>
      <c r="R641" s="23" t="str">
        <f>IFERROR(__xludf.DUMMYFUNCTION("if(REGEXMATCH(join("", "",$F641:$G641),R$1)=TRUE,""✓"",""✗"")"),"✗")</f>
        <v>✗</v>
      </c>
      <c r="S641" s="23" t="str">
        <f>IFERROR(__xludf.DUMMYFUNCTION("if(REGEXMATCH(join("", "",$F641:$G641),S$1)=TRUE,""✓"",""✗"")"),"✗")</f>
        <v>✗</v>
      </c>
      <c r="T641" s="23" t="str">
        <f>IFERROR(__xludf.DUMMYFUNCTION("if(REGEXMATCH(join("", "",$F641:$G641),T$1)=TRUE,""✓"",""✗"")"),"✗")</f>
        <v>✗</v>
      </c>
      <c r="U641" s="33"/>
      <c r="V641" s="33"/>
      <c r="W641" s="33"/>
      <c r="X641" s="33"/>
      <c r="Y641" s="33"/>
      <c r="Z641" s="33"/>
      <c r="AA641" s="33"/>
      <c r="AB641" s="33"/>
      <c r="AC641" s="33"/>
    </row>
    <row r="642" hidden="1">
      <c r="A642" s="17" t="s">
        <v>302</v>
      </c>
      <c r="B642" s="33"/>
      <c r="C642" s="33"/>
      <c r="D642" s="33"/>
      <c r="E642" s="33"/>
      <c r="F642" s="33"/>
      <c r="G642" s="33"/>
      <c r="H642" s="23" t="str">
        <f>IFERROR(__xludf.DUMMYFUNCTION("if(REGEXMATCH(join("", "",$F642:$G642),H$1)=TRUE,""✓"",""✗"")"),"✗")</f>
        <v>✗</v>
      </c>
      <c r="I642" s="23" t="str">
        <f>IFERROR(__xludf.DUMMYFUNCTION("if(REGEXMATCH(join("", "",$F642:$G642),I$1)=TRUE,""✓"",""✗"")"),"✗")</f>
        <v>✗</v>
      </c>
      <c r="J642" s="23" t="str">
        <f>IFERROR(__xludf.DUMMYFUNCTION("if(REGEXMATCH(join("", "",$F642:$G642),J$1)=TRUE,""✓"",""✗"")"),"✗")</f>
        <v>✗</v>
      </c>
      <c r="K642" s="23" t="str">
        <f>IFERROR(__xludf.DUMMYFUNCTION("if(REGEXMATCH(join("", "",$F642:$G642),K$1)=TRUE,""✓"",""✗"")"),"✗")</f>
        <v>✗</v>
      </c>
      <c r="L642" s="23" t="str">
        <f>IFERROR(__xludf.DUMMYFUNCTION("if(REGEXMATCH(join("", "",$F642:$G642),L$1)=TRUE,""✓"",""✗"")"),"✗")</f>
        <v>✗</v>
      </c>
      <c r="M642" s="23" t="str">
        <f>IFERROR(__xludf.DUMMYFUNCTION("if(REGEXMATCH(join("", "",$F642:$G642),M$1)=TRUE,""✓"",""✗"")"),"✗")</f>
        <v>✗</v>
      </c>
      <c r="N642" s="23" t="str">
        <f>IFERROR(__xludf.DUMMYFUNCTION("if(REGEXMATCH(join("", "",$F642:$G642),N$1)=TRUE,""✓"",""✗"")"),"✗")</f>
        <v>✗</v>
      </c>
      <c r="O642" s="23" t="str">
        <f>IFERROR(__xludf.DUMMYFUNCTION("if(REGEXMATCH(join("", "",$F642:$G642),O$1)=TRUE,""✓"",""✗"")"),"✗")</f>
        <v>✗</v>
      </c>
      <c r="P642" s="23" t="str">
        <f>IFERROR(__xludf.DUMMYFUNCTION("if(REGEXMATCH(join("", "",$F642:$G642),P$1)=TRUE,""✓"",""✗"")"),"✗")</f>
        <v>✗</v>
      </c>
      <c r="Q642" s="23" t="str">
        <f>IFERROR(__xludf.DUMMYFUNCTION("if(REGEXMATCH(join("", "",$F642:$G642),Q$1)=TRUE,""✓"",""✗"")"),"✗")</f>
        <v>✗</v>
      </c>
      <c r="R642" s="23" t="str">
        <f>IFERROR(__xludf.DUMMYFUNCTION("if(REGEXMATCH(join("", "",$F642:$G642),R$1)=TRUE,""✓"",""✗"")"),"✗")</f>
        <v>✗</v>
      </c>
      <c r="S642" s="23" t="str">
        <f>IFERROR(__xludf.DUMMYFUNCTION("if(REGEXMATCH(join("", "",$F642:$G642),S$1)=TRUE,""✓"",""✗"")"),"✗")</f>
        <v>✗</v>
      </c>
      <c r="T642" s="23" t="str">
        <f>IFERROR(__xludf.DUMMYFUNCTION("if(REGEXMATCH(join("", "",$F642:$G642),T$1)=TRUE,""✓"",""✗"")"),"✗")</f>
        <v>✗</v>
      </c>
      <c r="U642" s="33"/>
      <c r="V642" s="33"/>
      <c r="W642" s="33"/>
      <c r="X642" s="33"/>
      <c r="Y642" s="33"/>
      <c r="Z642" s="33"/>
      <c r="AA642" s="33"/>
      <c r="AB642" s="33"/>
      <c r="AC642" s="33"/>
    </row>
    <row r="643" hidden="1">
      <c r="A643" s="17" t="s">
        <v>302</v>
      </c>
      <c r="B643" s="33"/>
      <c r="C643" s="33"/>
      <c r="D643" s="33"/>
      <c r="E643" s="33"/>
      <c r="F643" s="33"/>
      <c r="G643" s="33"/>
      <c r="H643" s="23" t="str">
        <f>IFERROR(__xludf.DUMMYFUNCTION("if(REGEXMATCH(join("", "",$F643:$G643),H$1)=TRUE,""✓"",""✗"")"),"✗")</f>
        <v>✗</v>
      </c>
      <c r="I643" s="23" t="str">
        <f>IFERROR(__xludf.DUMMYFUNCTION("if(REGEXMATCH(join("", "",$F643:$G643),I$1)=TRUE,""✓"",""✗"")"),"✗")</f>
        <v>✗</v>
      </c>
      <c r="J643" s="23" t="str">
        <f>IFERROR(__xludf.DUMMYFUNCTION("if(REGEXMATCH(join("", "",$F643:$G643),J$1)=TRUE,""✓"",""✗"")"),"✗")</f>
        <v>✗</v>
      </c>
      <c r="K643" s="23" t="str">
        <f>IFERROR(__xludf.DUMMYFUNCTION("if(REGEXMATCH(join("", "",$F643:$G643),K$1)=TRUE,""✓"",""✗"")"),"✗")</f>
        <v>✗</v>
      </c>
      <c r="L643" s="23" t="str">
        <f>IFERROR(__xludf.DUMMYFUNCTION("if(REGEXMATCH(join("", "",$F643:$G643),L$1)=TRUE,""✓"",""✗"")"),"✗")</f>
        <v>✗</v>
      </c>
      <c r="M643" s="23" t="str">
        <f>IFERROR(__xludf.DUMMYFUNCTION("if(REGEXMATCH(join("", "",$F643:$G643),M$1)=TRUE,""✓"",""✗"")"),"✗")</f>
        <v>✗</v>
      </c>
      <c r="N643" s="23" t="str">
        <f>IFERROR(__xludf.DUMMYFUNCTION("if(REGEXMATCH(join("", "",$F643:$G643),N$1)=TRUE,""✓"",""✗"")"),"✗")</f>
        <v>✗</v>
      </c>
      <c r="O643" s="23" t="str">
        <f>IFERROR(__xludf.DUMMYFUNCTION("if(REGEXMATCH(join("", "",$F643:$G643),O$1)=TRUE,""✓"",""✗"")"),"✗")</f>
        <v>✗</v>
      </c>
      <c r="P643" s="23" t="str">
        <f>IFERROR(__xludf.DUMMYFUNCTION("if(REGEXMATCH(join("", "",$F643:$G643),P$1)=TRUE,""✓"",""✗"")"),"✗")</f>
        <v>✗</v>
      </c>
      <c r="Q643" s="23" t="str">
        <f>IFERROR(__xludf.DUMMYFUNCTION("if(REGEXMATCH(join("", "",$F643:$G643),Q$1)=TRUE,""✓"",""✗"")"),"✗")</f>
        <v>✗</v>
      </c>
      <c r="R643" s="23" t="str">
        <f>IFERROR(__xludf.DUMMYFUNCTION("if(REGEXMATCH(join("", "",$F643:$G643),R$1)=TRUE,""✓"",""✗"")"),"✗")</f>
        <v>✗</v>
      </c>
      <c r="S643" s="23" t="str">
        <f>IFERROR(__xludf.DUMMYFUNCTION("if(REGEXMATCH(join("", "",$F643:$G643),S$1)=TRUE,""✓"",""✗"")"),"✗")</f>
        <v>✗</v>
      </c>
      <c r="T643" s="23" t="str">
        <f>IFERROR(__xludf.DUMMYFUNCTION("if(REGEXMATCH(join("", "",$F643:$G643),T$1)=TRUE,""✓"",""✗"")"),"✗")</f>
        <v>✗</v>
      </c>
      <c r="U643" s="33"/>
      <c r="V643" s="33"/>
      <c r="W643" s="33"/>
      <c r="X643" s="33"/>
      <c r="Y643" s="33"/>
      <c r="Z643" s="33"/>
      <c r="AA643" s="33"/>
      <c r="AB643" s="33"/>
      <c r="AC643" s="33"/>
    </row>
    <row r="644" hidden="1">
      <c r="A644" s="17" t="s">
        <v>302</v>
      </c>
      <c r="B644" s="33"/>
      <c r="C644" s="33"/>
      <c r="D644" s="33"/>
      <c r="E644" s="33"/>
      <c r="F644" s="33"/>
      <c r="G644" s="33"/>
      <c r="H644" s="23" t="str">
        <f>IFERROR(__xludf.DUMMYFUNCTION("if(REGEXMATCH(join("", "",$F644:$G644),H$1)=TRUE,""✓"",""✗"")"),"✗")</f>
        <v>✗</v>
      </c>
      <c r="I644" s="23" t="str">
        <f>IFERROR(__xludf.DUMMYFUNCTION("if(REGEXMATCH(join("", "",$F644:$G644),I$1)=TRUE,""✓"",""✗"")"),"✗")</f>
        <v>✗</v>
      </c>
      <c r="J644" s="23" t="str">
        <f>IFERROR(__xludf.DUMMYFUNCTION("if(REGEXMATCH(join("", "",$F644:$G644),J$1)=TRUE,""✓"",""✗"")"),"✗")</f>
        <v>✗</v>
      </c>
      <c r="K644" s="23" t="str">
        <f>IFERROR(__xludf.DUMMYFUNCTION("if(REGEXMATCH(join("", "",$F644:$G644),K$1)=TRUE,""✓"",""✗"")"),"✗")</f>
        <v>✗</v>
      </c>
      <c r="L644" s="23" t="str">
        <f>IFERROR(__xludf.DUMMYFUNCTION("if(REGEXMATCH(join("", "",$F644:$G644),L$1)=TRUE,""✓"",""✗"")"),"✗")</f>
        <v>✗</v>
      </c>
      <c r="M644" s="23" t="str">
        <f>IFERROR(__xludf.DUMMYFUNCTION("if(REGEXMATCH(join("", "",$F644:$G644),M$1)=TRUE,""✓"",""✗"")"),"✗")</f>
        <v>✗</v>
      </c>
      <c r="N644" s="23" t="str">
        <f>IFERROR(__xludf.DUMMYFUNCTION("if(REGEXMATCH(join("", "",$F644:$G644),N$1)=TRUE,""✓"",""✗"")"),"✗")</f>
        <v>✗</v>
      </c>
      <c r="O644" s="23" t="str">
        <f>IFERROR(__xludf.DUMMYFUNCTION("if(REGEXMATCH(join("", "",$F644:$G644),O$1)=TRUE,""✓"",""✗"")"),"✗")</f>
        <v>✗</v>
      </c>
      <c r="P644" s="23" t="str">
        <f>IFERROR(__xludf.DUMMYFUNCTION("if(REGEXMATCH(join("", "",$F644:$G644),P$1)=TRUE,""✓"",""✗"")"),"✗")</f>
        <v>✗</v>
      </c>
      <c r="Q644" s="23" t="str">
        <f>IFERROR(__xludf.DUMMYFUNCTION("if(REGEXMATCH(join("", "",$F644:$G644),Q$1)=TRUE,""✓"",""✗"")"),"✗")</f>
        <v>✗</v>
      </c>
      <c r="R644" s="23" t="str">
        <f>IFERROR(__xludf.DUMMYFUNCTION("if(REGEXMATCH(join("", "",$F644:$G644),R$1)=TRUE,""✓"",""✗"")"),"✗")</f>
        <v>✗</v>
      </c>
      <c r="S644" s="23" t="str">
        <f>IFERROR(__xludf.DUMMYFUNCTION("if(REGEXMATCH(join("", "",$F644:$G644),S$1)=TRUE,""✓"",""✗"")"),"✗")</f>
        <v>✗</v>
      </c>
      <c r="T644" s="23" t="str">
        <f>IFERROR(__xludf.DUMMYFUNCTION("if(REGEXMATCH(join("", "",$F644:$G644),T$1)=TRUE,""✓"",""✗"")"),"✗")</f>
        <v>✗</v>
      </c>
      <c r="U644" s="33"/>
      <c r="V644" s="33"/>
      <c r="W644" s="33"/>
      <c r="X644" s="33"/>
      <c r="Y644" s="33"/>
      <c r="Z644" s="33"/>
      <c r="AA644" s="33"/>
      <c r="AB644" s="33"/>
      <c r="AC644" s="33"/>
    </row>
    <row r="645" hidden="1">
      <c r="A645" s="17" t="s">
        <v>302</v>
      </c>
      <c r="B645" s="33"/>
      <c r="C645" s="33"/>
      <c r="D645" s="33"/>
      <c r="E645" s="33"/>
      <c r="F645" s="33"/>
      <c r="G645" s="33"/>
      <c r="H645" s="23" t="str">
        <f>IFERROR(__xludf.DUMMYFUNCTION("if(REGEXMATCH(join("", "",$F645:$G645),H$1)=TRUE,""✓"",""✗"")"),"✗")</f>
        <v>✗</v>
      </c>
      <c r="I645" s="23" t="str">
        <f>IFERROR(__xludf.DUMMYFUNCTION("if(REGEXMATCH(join("", "",$F645:$G645),I$1)=TRUE,""✓"",""✗"")"),"✗")</f>
        <v>✗</v>
      </c>
      <c r="J645" s="23" t="str">
        <f>IFERROR(__xludf.DUMMYFUNCTION("if(REGEXMATCH(join("", "",$F645:$G645),J$1)=TRUE,""✓"",""✗"")"),"✗")</f>
        <v>✗</v>
      </c>
      <c r="K645" s="23" t="str">
        <f>IFERROR(__xludf.DUMMYFUNCTION("if(REGEXMATCH(join("", "",$F645:$G645),K$1)=TRUE,""✓"",""✗"")"),"✗")</f>
        <v>✗</v>
      </c>
      <c r="L645" s="23" t="str">
        <f>IFERROR(__xludf.DUMMYFUNCTION("if(REGEXMATCH(join("", "",$F645:$G645),L$1)=TRUE,""✓"",""✗"")"),"✗")</f>
        <v>✗</v>
      </c>
      <c r="M645" s="23" t="str">
        <f>IFERROR(__xludf.DUMMYFUNCTION("if(REGEXMATCH(join("", "",$F645:$G645),M$1)=TRUE,""✓"",""✗"")"),"✗")</f>
        <v>✗</v>
      </c>
      <c r="N645" s="23" t="str">
        <f>IFERROR(__xludf.DUMMYFUNCTION("if(REGEXMATCH(join("", "",$F645:$G645),N$1)=TRUE,""✓"",""✗"")"),"✗")</f>
        <v>✗</v>
      </c>
      <c r="O645" s="23" t="str">
        <f>IFERROR(__xludf.DUMMYFUNCTION("if(REGEXMATCH(join("", "",$F645:$G645),O$1)=TRUE,""✓"",""✗"")"),"✗")</f>
        <v>✗</v>
      </c>
      <c r="P645" s="23" t="str">
        <f>IFERROR(__xludf.DUMMYFUNCTION("if(REGEXMATCH(join("", "",$F645:$G645),P$1)=TRUE,""✓"",""✗"")"),"✗")</f>
        <v>✗</v>
      </c>
      <c r="Q645" s="23" t="str">
        <f>IFERROR(__xludf.DUMMYFUNCTION("if(REGEXMATCH(join("", "",$F645:$G645),Q$1)=TRUE,""✓"",""✗"")"),"✗")</f>
        <v>✗</v>
      </c>
      <c r="R645" s="23" t="str">
        <f>IFERROR(__xludf.DUMMYFUNCTION("if(REGEXMATCH(join("", "",$F645:$G645),R$1)=TRUE,""✓"",""✗"")"),"✗")</f>
        <v>✗</v>
      </c>
      <c r="S645" s="23" t="str">
        <f>IFERROR(__xludf.DUMMYFUNCTION("if(REGEXMATCH(join("", "",$F645:$G645),S$1)=TRUE,""✓"",""✗"")"),"✗")</f>
        <v>✗</v>
      </c>
      <c r="T645" s="23" t="str">
        <f>IFERROR(__xludf.DUMMYFUNCTION("if(REGEXMATCH(join("", "",$F645:$G645),T$1)=TRUE,""✓"",""✗"")"),"✗")</f>
        <v>✗</v>
      </c>
      <c r="U645" s="33"/>
      <c r="V645" s="33"/>
      <c r="W645" s="33"/>
      <c r="X645" s="33"/>
      <c r="Y645" s="33"/>
      <c r="Z645" s="33"/>
      <c r="AA645" s="33"/>
      <c r="AB645" s="33"/>
      <c r="AC645" s="33"/>
    </row>
    <row r="646" hidden="1">
      <c r="A646" s="17" t="s">
        <v>302</v>
      </c>
      <c r="B646" s="33"/>
      <c r="C646" s="33"/>
      <c r="D646" s="33"/>
      <c r="E646" s="33"/>
      <c r="F646" s="33"/>
      <c r="G646" s="33"/>
      <c r="H646" s="23" t="str">
        <f>IFERROR(__xludf.DUMMYFUNCTION("if(REGEXMATCH(join("", "",$F646:$G646),H$1)=TRUE,""✓"",""✗"")"),"✗")</f>
        <v>✗</v>
      </c>
      <c r="I646" s="23" t="str">
        <f>IFERROR(__xludf.DUMMYFUNCTION("if(REGEXMATCH(join("", "",$F646:$G646),I$1)=TRUE,""✓"",""✗"")"),"✗")</f>
        <v>✗</v>
      </c>
      <c r="J646" s="23" t="str">
        <f>IFERROR(__xludf.DUMMYFUNCTION("if(REGEXMATCH(join("", "",$F646:$G646),J$1)=TRUE,""✓"",""✗"")"),"✗")</f>
        <v>✗</v>
      </c>
      <c r="K646" s="23" t="str">
        <f>IFERROR(__xludf.DUMMYFUNCTION("if(REGEXMATCH(join("", "",$F646:$G646),K$1)=TRUE,""✓"",""✗"")"),"✗")</f>
        <v>✗</v>
      </c>
      <c r="L646" s="23" t="str">
        <f>IFERROR(__xludf.DUMMYFUNCTION("if(REGEXMATCH(join("", "",$F646:$G646),L$1)=TRUE,""✓"",""✗"")"),"✗")</f>
        <v>✗</v>
      </c>
      <c r="M646" s="23" t="str">
        <f>IFERROR(__xludf.DUMMYFUNCTION("if(REGEXMATCH(join("", "",$F646:$G646),M$1)=TRUE,""✓"",""✗"")"),"✗")</f>
        <v>✗</v>
      </c>
      <c r="N646" s="23" t="str">
        <f>IFERROR(__xludf.DUMMYFUNCTION("if(REGEXMATCH(join("", "",$F646:$G646),N$1)=TRUE,""✓"",""✗"")"),"✗")</f>
        <v>✗</v>
      </c>
      <c r="O646" s="23" t="str">
        <f>IFERROR(__xludf.DUMMYFUNCTION("if(REGEXMATCH(join("", "",$F646:$G646),O$1)=TRUE,""✓"",""✗"")"),"✗")</f>
        <v>✗</v>
      </c>
      <c r="P646" s="23" t="str">
        <f>IFERROR(__xludf.DUMMYFUNCTION("if(REGEXMATCH(join("", "",$F646:$G646),P$1)=TRUE,""✓"",""✗"")"),"✗")</f>
        <v>✗</v>
      </c>
      <c r="Q646" s="23" t="str">
        <f>IFERROR(__xludf.DUMMYFUNCTION("if(REGEXMATCH(join("", "",$F646:$G646),Q$1)=TRUE,""✓"",""✗"")"),"✗")</f>
        <v>✗</v>
      </c>
      <c r="R646" s="23" t="str">
        <f>IFERROR(__xludf.DUMMYFUNCTION("if(REGEXMATCH(join("", "",$F646:$G646),R$1)=TRUE,""✓"",""✗"")"),"✗")</f>
        <v>✗</v>
      </c>
      <c r="S646" s="23" t="str">
        <f>IFERROR(__xludf.DUMMYFUNCTION("if(REGEXMATCH(join("", "",$F646:$G646),S$1)=TRUE,""✓"",""✗"")"),"✗")</f>
        <v>✗</v>
      </c>
      <c r="T646" s="23" t="str">
        <f>IFERROR(__xludf.DUMMYFUNCTION("if(REGEXMATCH(join("", "",$F646:$G646),T$1)=TRUE,""✓"",""✗"")"),"✗")</f>
        <v>✗</v>
      </c>
      <c r="U646" s="33"/>
      <c r="V646" s="33"/>
      <c r="W646" s="33"/>
      <c r="X646" s="33"/>
      <c r="Y646" s="33"/>
      <c r="Z646" s="33"/>
      <c r="AA646" s="33"/>
      <c r="AB646" s="33"/>
      <c r="AC646" s="33"/>
    </row>
    <row r="647" hidden="1">
      <c r="A647" s="17" t="s">
        <v>302</v>
      </c>
      <c r="B647" s="33"/>
      <c r="C647" s="33"/>
      <c r="D647" s="33"/>
      <c r="E647" s="33"/>
      <c r="F647" s="33"/>
      <c r="G647" s="33"/>
      <c r="H647" s="23" t="str">
        <f>IFERROR(__xludf.DUMMYFUNCTION("if(REGEXMATCH(join("", "",$F647:$G647),H$1)=TRUE,""✓"",""✗"")"),"✗")</f>
        <v>✗</v>
      </c>
      <c r="I647" s="23" t="str">
        <f>IFERROR(__xludf.DUMMYFUNCTION("if(REGEXMATCH(join("", "",$F647:$G647),I$1)=TRUE,""✓"",""✗"")"),"✗")</f>
        <v>✗</v>
      </c>
      <c r="J647" s="23" t="str">
        <f>IFERROR(__xludf.DUMMYFUNCTION("if(REGEXMATCH(join("", "",$F647:$G647),J$1)=TRUE,""✓"",""✗"")"),"✗")</f>
        <v>✗</v>
      </c>
      <c r="K647" s="23" t="str">
        <f>IFERROR(__xludf.DUMMYFUNCTION("if(REGEXMATCH(join("", "",$F647:$G647),K$1)=TRUE,""✓"",""✗"")"),"✗")</f>
        <v>✗</v>
      </c>
      <c r="L647" s="23" t="str">
        <f>IFERROR(__xludf.DUMMYFUNCTION("if(REGEXMATCH(join("", "",$F647:$G647),L$1)=TRUE,""✓"",""✗"")"),"✗")</f>
        <v>✗</v>
      </c>
      <c r="M647" s="23" t="str">
        <f>IFERROR(__xludf.DUMMYFUNCTION("if(REGEXMATCH(join("", "",$F647:$G647),M$1)=TRUE,""✓"",""✗"")"),"✗")</f>
        <v>✗</v>
      </c>
      <c r="N647" s="23" t="str">
        <f>IFERROR(__xludf.DUMMYFUNCTION("if(REGEXMATCH(join("", "",$F647:$G647),N$1)=TRUE,""✓"",""✗"")"),"✗")</f>
        <v>✗</v>
      </c>
      <c r="O647" s="23" t="str">
        <f>IFERROR(__xludf.DUMMYFUNCTION("if(REGEXMATCH(join("", "",$F647:$G647),O$1)=TRUE,""✓"",""✗"")"),"✗")</f>
        <v>✗</v>
      </c>
      <c r="P647" s="23" t="str">
        <f>IFERROR(__xludf.DUMMYFUNCTION("if(REGEXMATCH(join("", "",$F647:$G647),P$1)=TRUE,""✓"",""✗"")"),"✗")</f>
        <v>✗</v>
      </c>
      <c r="Q647" s="23" t="str">
        <f>IFERROR(__xludf.DUMMYFUNCTION("if(REGEXMATCH(join("", "",$F647:$G647),Q$1)=TRUE,""✓"",""✗"")"),"✗")</f>
        <v>✗</v>
      </c>
      <c r="R647" s="23" t="str">
        <f>IFERROR(__xludf.DUMMYFUNCTION("if(REGEXMATCH(join("", "",$F647:$G647),R$1)=TRUE,""✓"",""✗"")"),"✗")</f>
        <v>✗</v>
      </c>
      <c r="S647" s="23" t="str">
        <f>IFERROR(__xludf.DUMMYFUNCTION("if(REGEXMATCH(join("", "",$F647:$G647),S$1)=TRUE,""✓"",""✗"")"),"✗")</f>
        <v>✗</v>
      </c>
      <c r="T647" s="23" t="str">
        <f>IFERROR(__xludf.DUMMYFUNCTION("if(REGEXMATCH(join("", "",$F647:$G647),T$1)=TRUE,""✓"",""✗"")"),"✗")</f>
        <v>✗</v>
      </c>
      <c r="U647" s="33"/>
      <c r="V647" s="33"/>
      <c r="W647" s="33"/>
      <c r="X647" s="33"/>
      <c r="Y647" s="33"/>
      <c r="Z647" s="33"/>
      <c r="AA647" s="33"/>
      <c r="AB647" s="33"/>
      <c r="AC647" s="33"/>
    </row>
    <row r="648" hidden="1">
      <c r="A648" s="17" t="s">
        <v>302</v>
      </c>
      <c r="B648" s="33"/>
      <c r="C648" s="33"/>
      <c r="D648" s="33"/>
      <c r="E648" s="33"/>
      <c r="F648" s="33"/>
      <c r="G648" s="33"/>
      <c r="H648" s="23" t="str">
        <f>IFERROR(__xludf.DUMMYFUNCTION("if(REGEXMATCH(join("", "",$F648:$G648),H$1)=TRUE,""✓"",""✗"")"),"✗")</f>
        <v>✗</v>
      </c>
      <c r="I648" s="23" t="str">
        <f>IFERROR(__xludf.DUMMYFUNCTION("if(REGEXMATCH(join("", "",$F648:$G648),I$1)=TRUE,""✓"",""✗"")"),"✗")</f>
        <v>✗</v>
      </c>
      <c r="J648" s="23" t="str">
        <f>IFERROR(__xludf.DUMMYFUNCTION("if(REGEXMATCH(join("", "",$F648:$G648),J$1)=TRUE,""✓"",""✗"")"),"✗")</f>
        <v>✗</v>
      </c>
      <c r="K648" s="23" t="str">
        <f>IFERROR(__xludf.DUMMYFUNCTION("if(REGEXMATCH(join("", "",$F648:$G648),K$1)=TRUE,""✓"",""✗"")"),"✗")</f>
        <v>✗</v>
      </c>
      <c r="L648" s="23" t="str">
        <f>IFERROR(__xludf.DUMMYFUNCTION("if(REGEXMATCH(join("", "",$F648:$G648),L$1)=TRUE,""✓"",""✗"")"),"✗")</f>
        <v>✗</v>
      </c>
      <c r="M648" s="23" t="str">
        <f>IFERROR(__xludf.DUMMYFUNCTION("if(REGEXMATCH(join("", "",$F648:$G648),M$1)=TRUE,""✓"",""✗"")"),"✗")</f>
        <v>✗</v>
      </c>
      <c r="N648" s="23" t="str">
        <f>IFERROR(__xludf.DUMMYFUNCTION("if(REGEXMATCH(join("", "",$F648:$G648),N$1)=TRUE,""✓"",""✗"")"),"✗")</f>
        <v>✗</v>
      </c>
      <c r="O648" s="23" t="str">
        <f>IFERROR(__xludf.DUMMYFUNCTION("if(REGEXMATCH(join("", "",$F648:$G648),O$1)=TRUE,""✓"",""✗"")"),"✗")</f>
        <v>✗</v>
      </c>
      <c r="P648" s="23" t="str">
        <f>IFERROR(__xludf.DUMMYFUNCTION("if(REGEXMATCH(join("", "",$F648:$G648),P$1)=TRUE,""✓"",""✗"")"),"✗")</f>
        <v>✗</v>
      </c>
      <c r="Q648" s="23" t="str">
        <f>IFERROR(__xludf.DUMMYFUNCTION("if(REGEXMATCH(join("", "",$F648:$G648),Q$1)=TRUE,""✓"",""✗"")"),"✗")</f>
        <v>✗</v>
      </c>
      <c r="R648" s="23" t="str">
        <f>IFERROR(__xludf.DUMMYFUNCTION("if(REGEXMATCH(join("", "",$F648:$G648),R$1)=TRUE,""✓"",""✗"")"),"✗")</f>
        <v>✗</v>
      </c>
      <c r="S648" s="23" t="str">
        <f>IFERROR(__xludf.DUMMYFUNCTION("if(REGEXMATCH(join("", "",$F648:$G648),S$1)=TRUE,""✓"",""✗"")"),"✗")</f>
        <v>✗</v>
      </c>
      <c r="T648" s="23" t="str">
        <f>IFERROR(__xludf.DUMMYFUNCTION("if(REGEXMATCH(join("", "",$F648:$G648),T$1)=TRUE,""✓"",""✗"")"),"✗")</f>
        <v>✗</v>
      </c>
      <c r="U648" s="33"/>
      <c r="V648" s="33"/>
      <c r="W648" s="33"/>
      <c r="X648" s="33"/>
      <c r="Y648" s="33"/>
      <c r="Z648" s="33"/>
      <c r="AA648" s="33"/>
      <c r="AB648" s="33"/>
      <c r="AC648" s="33"/>
    </row>
    <row r="649" hidden="1">
      <c r="A649" s="17" t="s">
        <v>302</v>
      </c>
      <c r="B649" s="33"/>
      <c r="C649" s="33"/>
      <c r="D649" s="33"/>
      <c r="E649" s="33"/>
      <c r="F649" s="33"/>
      <c r="G649" s="33"/>
      <c r="H649" s="23" t="str">
        <f>IFERROR(__xludf.DUMMYFUNCTION("if(REGEXMATCH(join("", "",$F649:$G649),H$1)=TRUE,""✓"",""✗"")"),"✗")</f>
        <v>✗</v>
      </c>
      <c r="I649" s="23" t="str">
        <f>IFERROR(__xludf.DUMMYFUNCTION("if(REGEXMATCH(join("", "",$F649:$G649),I$1)=TRUE,""✓"",""✗"")"),"✗")</f>
        <v>✗</v>
      </c>
      <c r="J649" s="23" t="str">
        <f>IFERROR(__xludf.DUMMYFUNCTION("if(REGEXMATCH(join("", "",$F649:$G649),J$1)=TRUE,""✓"",""✗"")"),"✗")</f>
        <v>✗</v>
      </c>
      <c r="K649" s="23" t="str">
        <f>IFERROR(__xludf.DUMMYFUNCTION("if(REGEXMATCH(join("", "",$F649:$G649),K$1)=TRUE,""✓"",""✗"")"),"✗")</f>
        <v>✗</v>
      </c>
      <c r="L649" s="23" t="str">
        <f>IFERROR(__xludf.DUMMYFUNCTION("if(REGEXMATCH(join("", "",$F649:$G649),L$1)=TRUE,""✓"",""✗"")"),"✗")</f>
        <v>✗</v>
      </c>
      <c r="M649" s="23" t="str">
        <f>IFERROR(__xludf.DUMMYFUNCTION("if(REGEXMATCH(join("", "",$F649:$G649),M$1)=TRUE,""✓"",""✗"")"),"✗")</f>
        <v>✗</v>
      </c>
      <c r="N649" s="23" t="str">
        <f>IFERROR(__xludf.DUMMYFUNCTION("if(REGEXMATCH(join("", "",$F649:$G649),N$1)=TRUE,""✓"",""✗"")"),"✗")</f>
        <v>✗</v>
      </c>
      <c r="O649" s="23" t="str">
        <f>IFERROR(__xludf.DUMMYFUNCTION("if(REGEXMATCH(join("", "",$F649:$G649),O$1)=TRUE,""✓"",""✗"")"),"✗")</f>
        <v>✗</v>
      </c>
      <c r="P649" s="23" t="str">
        <f>IFERROR(__xludf.DUMMYFUNCTION("if(REGEXMATCH(join("", "",$F649:$G649),P$1)=TRUE,""✓"",""✗"")"),"✗")</f>
        <v>✗</v>
      </c>
      <c r="Q649" s="23" t="str">
        <f>IFERROR(__xludf.DUMMYFUNCTION("if(REGEXMATCH(join("", "",$F649:$G649),Q$1)=TRUE,""✓"",""✗"")"),"✗")</f>
        <v>✗</v>
      </c>
      <c r="R649" s="23" t="str">
        <f>IFERROR(__xludf.DUMMYFUNCTION("if(REGEXMATCH(join("", "",$F649:$G649),R$1)=TRUE,""✓"",""✗"")"),"✗")</f>
        <v>✗</v>
      </c>
      <c r="S649" s="23" t="str">
        <f>IFERROR(__xludf.DUMMYFUNCTION("if(REGEXMATCH(join("", "",$F649:$G649),S$1)=TRUE,""✓"",""✗"")"),"✗")</f>
        <v>✗</v>
      </c>
      <c r="T649" s="23" t="str">
        <f>IFERROR(__xludf.DUMMYFUNCTION("if(REGEXMATCH(join("", "",$F649:$G649),T$1)=TRUE,""✓"",""✗"")"),"✗")</f>
        <v>✗</v>
      </c>
      <c r="U649" s="33"/>
      <c r="V649" s="33"/>
      <c r="W649" s="33"/>
      <c r="X649" s="33"/>
      <c r="Y649" s="33"/>
      <c r="Z649" s="33"/>
      <c r="AA649" s="33"/>
      <c r="AB649" s="33"/>
      <c r="AC649" s="33"/>
    </row>
    <row r="650" hidden="1">
      <c r="A650" s="17" t="s">
        <v>302</v>
      </c>
      <c r="B650" s="33"/>
      <c r="C650" s="33"/>
      <c r="D650" s="33"/>
      <c r="E650" s="33"/>
      <c r="F650" s="33"/>
      <c r="G650" s="33"/>
      <c r="H650" s="23" t="str">
        <f>IFERROR(__xludf.DUMMYFUNCTION("if(REGEXMATCH(join("", "",$F650:$G650),H$1)=TRUE,""✓"",""✗"")"),"✗")</f>
        <v>✗</v>
      </c>
      <c r="I650" s="23" t="str">
        <f>IFERROR(__xludf.DUMMYFUNCTION("if(REGEXMATCH(join("", "",$F650:$G650),I$1)=TRUE,""✓"",""✗"")"),"✗")</f>
        <v>✗</v>
      </c>
      <c r="J650" s="23" t="str">
        <f>IFERROR(__xludf.DUMMYFUNCTION("if(REGEXMATCH(join("", "",$F650:$G650),J$1)=TRUE,""✓"",""✗"")"),"✗")</f>
        <v>✗</v>
      </c>
      <c r="K650" s="23" t="str">
        <f>IFERROR(__xludf.DUMMYFUNCTION("if(REGEXMATCH(join("", "",$F650:$G650),K$1)=TRUE,""✓"",""✗"")"),"✗")</f>
        <v>✗</v>
      </c>
      <c r="L650" s="23" t="str">
        <f>IFERROR(__xludf.DUMMYFUNCTION("if(REGEXMATCH(join("", "",$F650:$G650),L$1)=TRUE,""✓"",""✗"")"),"✗")</f>
        <v>✗</v>
      </c>
      <c r="M650" s="23" t="str">
        <f>IFERROR(__xludf.DUMMYFUNCTION("if(REGEXMATCH(join("", "",$F650:$G650),M$1)=TRUE,""✓"",""✗"")"),"✗")</f>
        <v>✗</v>
      </c>
      <c r="N650" s="23" t="str">
        <f>IFERROR(__xludf.DUMMYFUNCTION("if(REGEXMATCH(join("", "",$F650:$G650),N$1)=TRUE,""✓"",""✗"")"),"✗")</f>
        <v>✗</v>
      </c>
      <c r="O650" s="23" t="str">
        <f>IFERROR(__xludf.DUMMYFUNCTION("if(REGEXMATCH(join("", "",$F650:$G650),O$1)=TRUE,""✓"",""✗"")"),"✗")</f>
        <v>✗</v>
      </c>
      <c r="P650" s="23" t="str">
        <f>IFERROR(__xludf.DUMMYFUNCTION("if(REGEXMATCH(join("", "",$F650:$G650),P$1)=TRUE,""✓"",""✗"")"),"✗")</f>
        <v>✗</v>
      </c>
      <c r="Q650" s="23" t="str">
        <f>IFERROR(__xludf.DUMMYFUNCTION("if(REGEXMATCH(join("", "",$F650:$G650),Q$1)=TRUE,""✓"",""✗"")"),"✗")</f>
        <v>✗</v>
      </c>
      <c r="R650" s="23" t="str">
        <f>IFERROR(__xludf.DUMMYFUNCTION("if(REGEXMATCH(join("", "",$F650:$G650),R$1)=TRUE,""✓"",""✗"")"),"✗")</f>
        <v>✗</v>
      </c>
      <c r="S650" s="23" t="str">
        <f>IFERROR(__xludf.DUMMYFUNCTION("if(REGEXMATCH(join("", "",$F650:$G650),S$1)=TRUE,""✓"",""✗"")"),"✗")</f>
        <v>✗</v>
      </c>
      <c r="T650" s="23" t="str">
        <f>IFERROR(__xludf.DUMMYFUNCTION("if(REGEXMATCH(join("", "",$F650:$G650),T$1)=TRUE,""✓"",""✗"")"),"✗")</f>
        <v>✗</v>
      </c>
      <c r="U650" s="33"/>
      <c r="V650" s="33"/>
      <c r="W650" s="33"/>
      <c r="X650" s="33"/>
      <c r="Y650" s="33"/>
      <c r="Z650" s="33"/>
      <c r="AA650" s="33"/>
      <c r="AB650" s="33"/>
      <c r="AC650" s="33"/>
    </row>
    <row r="651" hidden="1">
      <c r="A651" s="17" t="s">
        <v>302</v>
      </c>
      <c r="B651" s="33"/>
      <c r="C651" s="33"/>
      <c r="D651" s="33"/>
      <c r="E651" s="33"/>
      <c r="F651" s="33"/>
      <c r="G651" s="33"/>
      <c r="H651" s="23" t="str">
        <f>IFERROR(__xludf.DUMMYFUNCTION("if(REGEXMATCH(join("", "",$F651:$G651),H$1)=TRUE,""✓"",""✗"")"),"✗")</f>
        <v>✗</v>
      </c>
      <c r="I651" s="23" t="str">
        <f>IFERROR(__xludf.DUMMYFUNCTION("if(REGEXMATCH(join("", "",$F651:$G651),I$1)=TRUE,""✓"",""✗"")"),"✗")</f>
        <v>✗</v>
      </c>
      <c r="J651" s="23" t="str">
        <f>IFERROR(__xludf.DUMMYFUNCTION("if(REGEXMATCH(join("", "",$F651:$G651),J$1)=TRUE,""✓"",""✗"")"),"✗")</f>
        <v>✗</v>
      </c>
      <c r="K651" s="23" t="str">
        <f>IFERROR(__xludf.DUMMYFUNCTION("if(REGEXMATCH(join("", "",$F651:$G651),K$1)=TRUE,""✓"",""✗"")"),"✗")</f>
        <v>✗</v>
      </c>
      <c r="L651" s="23" t="str">
        <f>IFERROR(__xludf.DUMMYFUNCTION("if(REGEXMATCH(join("", "",$F651:$G651),L$1)=TRUE,""✓"",""✗"")"),"✗")</f>
        <v>✗</v>
      </c>
      <c r="M651" s="23" t="str">
        <f>IFERROR(__xludf.DUMMYFUNCTION("if(REGEXMATCH(join("", "",$F651:$G651),M$1)=TRUE,""✓"",""✗"")"),"✗")</f>
        <v>✗</v>
      </c>
      <c r="N651" s="23" t="str">
        <f>IFERROR(__xludf.DUMMYFUNCTION("if(REGEXMATCH(join("", "",$F651:$G651),N$1)=TRUE,""✓"",""✗"")"),"✗")</f>
        <v>✗</v>
      </c>
      <c r="O651" s="23" t="str">
        <f>IFERROR(__xludf.DUMMYFUNCTION("if(REGEXMATCH(join("", "",$F651:$G651),O$1)=TRUE,""✓"",""✗"")"),"✗")</f>
        <v>✗</v>
      </c>
      <c r="P651" s="23" t="str">
        <f>IFERROR(__xludf.DUMMYFUNCTION("if(REGEXMATCH(join("", "",$F651:$G651),P$1)=TRUE,""✓"",""✗"")"),"✗")</f>
        <v>✗</v>
      </c>
      <c r="Q651" s="23" t="str">
        <f>IFERROR(__xludf.DUMMYFUNCTION("if(REGEXMATCH(join("", "",$F651:$G651),Q$1)=TRUE,""✓"",""✗"")"),"✗")</f>
        <v>✗</v>
      </c>
      <c r="R651" s="23" t="str">
        <f>IFERROR(__xludf.DUMMYFUNCTION("if(REGEXMATCH(join("", "",$F651:$G651),R$1)=TRUE,""✓"",""✗"")"),"✗")</f>
        <v>✗</v>
      </c>
      <c r="S651" s="23" t="str">
        <f>IFERROR(__xludf.DUMMYFUNCTION("if(REGEXMATCH(join("", "",$F651:$G651),S$1)=TRUE,""✓"",""✗"")"),"✗")</f>
        <v>✗</v>
      </c>
      <c r="T651" s="23" t="str">
        <f>IFERROR(__xludf.DUMMYFUNCTION("if(REGEXMATCH(join("", "",$F651:$G651),T$1)=TRUE,""✓"",""✗"")"),"✗")</f>
        <v>✗</v>
      </c>
      <c r="U651" s="33"/>
      <c r="V651" s="33"/>
      <c r="W651" s="33"/>
      <c r="X651" s="33"/>
      <c r="Y651" s="33"/>
      <c r="Z651" s="33"/>
      <c r="AA651" s="33"/>
      <c r="AB651" s="33"/>
      <c r="AC651" s="33"/>
    </row>
    <row r="652" hidden="1">
      <c r="A652" s="17" t="s">
        <v>302</v>
      </c>
      <c r="B652" s="33"/>
      <c r="C652" s="33"/>
      <c r="D652" s="33"/>
      <c r="E652" s="33"/>
      <c r="F652" s="33"/>
      <c r="G652" s="33"/>
      <c r="H652" s="23" t="str">
        <f>IFERROR(__xludf.DUMMYFUNCTION("if(REGEXMATCH(join("", "",$F652:$G652),H$1)=TRUE,""✓"",""✗"")"),"✗")</f>
        <v>✗</v>
      </c>
      <c r="I652" s="23" t="str">
        <f>IFERROR(__xludf.DUMMYFUNCTION("if(REGEXMATCH(join("", "",$F652:$G652),I$1)=TRUE,""✓"",""✗"")"),"✗")</f>
        <v>✗</v>
      </c>
      <c r="J652" s="23" t="str">
        <f>IFERROR(__xludf.DUMMYFUNCTION("if(REGEXMATCH(join("", "",$F652:$G652),J$1)=TRUE,""✓"",""✗"")"),"✗")</f>
        <v>✗</v>
      </c>
      <c r="K652" s="23" t="str">
        <f>IFERROR(__xludf.DUMMYFUNCTION("if(REGEXMATCH(join("", "",$F652:$G652),K$1)=TRUE,""✓"",""✗"")"),"✗")</f>
        <v>✗</v>
      </c>
      <c r="L652" s="23" t="str">
        <f>IFERROR(__xludf.DUMMYFUNCTION("if(REGEXMATCH(join("", "",$F652:$G652),L$1)=TRUE,""✓"",""✗"")"),"✗")</f>
        <v>✗</v>
      </c>
      <c r="M652" s="23" t="str">
        <f>IFERROR(__xludf.DUMMYFUNCTION("if(REGEXMATCH(join("", "",$F652:$G652),M$1)=TRUE,""✓"",""✗"")"),"✗")</f>
        <v>✗</v>
      </c>
      <c r="N652" s="23" t="str">
        <f>IFERROR(__xludf.DUMMYFUNCTION("if(REGEXMATCH(join("", "",$F652:$G652),N$1)=TRUE,""✓"",""✗"")"),"✗")</f>
        <v>✗</v>
      </c>
      <c r="O652" s="23" t="str">
        <f>IFERROR(__xludf.DUMMYFUNCTION("if(REGEXMATCH(join("", "",$F652:$G652),O$1)=TRUE,""✓"",""✗"")"),"✗")</f>
        <v>✗</v>
      </c>
      <c r="P652" s="23" t="str">
        <f>IFERROR(__xludf.DUMMYFUNCTION("if(REGEXMATCH(join("", "",$F652:$G652),P$1)=TRUE,""✓"",""✗"")"),"✗")</f>
        <v>✗</v>
      </c>
      <c r="Q652" s="23" t="str">
        <f>IFERROR(__xludf.DUMMYFUNCTION("if(REGEXMATCH(join("", "",$F652:$G652),Q$1)=TRUE,""✓"",""✗"")"),"✗")</f>
        <v>✗</v>
      </c>
      <c r="R652" s="23" t="str">
        <f>IFERROR(__xludf.DUMMYFUNCTION("if(REGEXMATCH(join("", "",$F652:$G652),R$1)=TRUE,""✓"",""✗"")"),"✗")</f>
        <v>✗</v>
      </c>
      <c r="S652" s="23" t="str">
        <f>IFERROR(__xludf.DUMMYFUNCTION("if(REGEXMATCH(join("", "",$F652:$G652),S$1)=TRUE,""✓"",""✗"")"),"✗")</f>
        <v>✗</v>
      </c>
      <c r="T652" s="23" t="str">
        <f>IFERROR(__xludf.DUMMYFUNCTION("if(REGEXMATCH(join("", "",$F652:$G652),T$1)=TRUE,""✓"",""✗"")"),"✗")</f>
        <v>✗</v>
      </c>
      <c r="U652" s="33"/>
      <c r="V652" s="33"/>
      <c r="W652" s="33"/>
      <c r="X652" s="33"/>
      <c r="Y652" s="33"/>
      <c r="Z652" s="33"/>
      <c r="AA652" s="33"/>
      <c r="AB652" s="33"/>
      <c r="AC652" s="33"/>
    </row>
    <row r="653" hidden="1">
      <c r="A653" s="17" t="s">
        <v>302</v>
      </c>
      <c r="B653" s="33"/>
      <c r="C653" s="33"/>
      <c r="D653" s="33"/>
      <c r="E653" s="33"/>
      <c r="F653" s="33"/>
      <c r="G653" s="33"/>
      <c r="H653" s="23" t="str">
        <f>IFERROR(__xludf.DUMMYFUNCTION("if(REGEXMATCH(join("", "",$F653:$G653),H$1)=TRUE,""✓"",""✗"")"),"✗")</f>
        <v>✗</v>
      </c>
      <c r="I653" s="23" t="str">
        <f>IFERROR(__xludf.DUMMYFUNCTION("if(REGEXMATCH(join("", "",$F653:$G653),I$1)=TRUE,""✓"",""✗"")"),"✗")</f>
        <v>✗</v>
      </c>
      <c r="J653" s="23" t="str">
        <f>IFERROR(__xludf.DUMMYFUNCTION("if(REGEXMATCH(join("", "",$F653:$G653),J$1)=TRUE,""✓"",""✗"")"),"✗")</f>
        <v>✗</v>
      </c>
      <c r="K653" s="23" t="str">
        <f>IFERROR(__xludf.DUMMYFUNCTION("if(REGEXMATCH(join("", "",$F653:$G653),K$1)=TRUE,""✓"",""✗"")"),"✗")</f>
        <v>✗</v>
      </c>
      <c r="L653" s="23" t="str">
        <f>IFERROR(__xludf.DUMMYFUNCTION("if(REGEXMATCH(join("", "",$F653:$G653),L$1)=TRUE,""✓"",""✗"")"),"✗")</f>
        <v>✗</v>
      </c>
      <c r="M653" s="23" t="str">
        <f>IFERROR(__xludf.DUMMYFUNCTION("if(REGEXMATCH(join("", "",$F653:$G653),M$1)=TRUE,""✓"",""✗"")"),"✗")</f>
        <v>✗</v>
      </c>
      <c r="N653" s="23" t="str">
        <f>IFERROR(__xludf.DUMMYFUNCTION("if(REGEXMATCH(join("", "",$F653:$G653),N$1)=TRUE,""✓"",""✗"")"),"✗")</f>
        <v>✗</v>
      </c>
      <c r="O653" s="23" t="str">
        <f>IFERROR(__xludf.DUMMYFUNCTION("if(REGEXMATCH(join("", "",$F653:$G653),O$1)=TRUE,""✓"",""✗"")"),"✗")</f>
        <v>✗</v>
      </c>
      <c r="P653" s="23" t="str">
        <f>IFERROR(__xludf.DUMMYFUNCTION("if(REGEXMATCH(join("", "",$F653:$G653),P$1)=TRUE,""✓"",""✗"")"),"✗")</f>
        <v>✗</v>
      </c>
      <c r="Q653" s="23" t="str">
        <f>IFERROR(__xludf.DUMMYFUNCTION("if(REGEXMATCH(join("", "",$F653:$G653),Q$1)=TRUE,""✓"",""✗"")"),"✗")</f>
        <v>✗</v>
      </c>
      <c r="R653" s="23" t="str">
        <f>IFERROR(__xludf.DUMMYFUNCTION("if(REGEXMATCH(join("", "",$F653:$G653),R$1)=TRUE,""✓"",""✗"")"),"✗")</f>
        <v>✗</v>
      </c>
      <c r="S653" s="23" t="str">
        <f>IFERROR(__xludf.DUMMYFUNCTION("if(REGEXMATCH(join("", "",$F653:$G653),S$1)=TRUE,""✓"",""✗"")"),"✗")</f>
        <v>✗</v>
      </c>
      <c r="T653" s="23" t="str">
        <f>IFERROR(__xludf.DUMMYFUNCTION("if(REGEXMATCH(join("", "",$F653:$G653),T$1)=TRUE,""✓"",""✗"")"),"✗")</f>
        <v>✗</v>
      </c>
      <c r="U653" s="33"/>
      <c r="V653" s="33"/>
      <c r="W653" s="33"/>
      <c r="X653" s="33"/>
      <c r="Y653" s="33"/>
      <c r="Z653" s="33"/>
      <c r="AA653" s="33"/>
      <c r="AB653" s="33"/>
      <c r="AC653" s="33"/>
    </row>
    <row r="654" hidden="1">
      <c r="A654" s="17" t="s">
        <v>302</v>
      </c>
      <c r="B654" s="33"/>
      <c r="C654" s="33"/>
      <c r="D654" s="33"/>
      <c r="E654" s="33"/>
      <c r="F654" s="33"/>
      <c r="G654" s="33"/>
      <c r="H654" s="23" t="str">
        <f>IFERROR(__xludf.DUMMYFUNCTION("if(REGEXMATCH(join("", "",$F654:$G654),H$1)=TRUE,""✓"",""✗"")"),"✗")</f>
        <v>✗</v>
      </c>
      <c r="I654" s="23" t="str">
        <f>IFERROR(__xludf.DUMMYFUNCTION("if(REGEXMATCH(join("", "",$F654:$G654),I$1)=TRUE,""✓"",""✗"")"),"✗")</f>
        <v>✗</v>
      </c>
      <c r="J654" s="23" t="str">
        <f>IFERROR(__xludf.DUMMYFUNCTION("if(REGEXMATCH(join("", "",$F654:$G654),J$1)=TRUE,""✓"",""✗"")"),"✗")</f>
        <v>✗</v>
      </c>
      <c r="K654" s="23" t="str">
        <f>IFERROR(__xludf.DUMMYFUNCTION("if(REGEXMATCH(join("", "",$F654:$G654),K$1)=TRUE,""✓"",""✗"")"),"✗")</f>
        <v>✗</v>
      </c>
      <c r="L654" s="23" t="str">
        <f>IFERROR(__xludf.DUMMYFUNCTION("if(REGEXMATCH(join("", "",$F654:$G654),L$1)=TRUE,""✓"",""✗"")"),"✗")</f>
        <v>✗</v>
      </c>
      <c r="M654" s="23" t="str">
        <f>IFERROR(__xludf.DUMMYFUNCTION("if(REGEXMATCH(join("", "",$F654:$G654),M$1)=TRUE,""✓"",""✗"")"),"✗")</f>
        <v>✗</v>
      </c>
      <c r="N654" s="23" t="str">
        <f>IFERROR(__xludf.DUMMYFUNCTION("if(REGEXMATCH(join("", "",$F654:$G654),N$1)=TRUE,""✓"",""✗"")"),"✗")</f>
        <v>✗</v>
      </c>
      <c r="O654" s="23" t="str">
        <f>IFERROR(__xludf.DUMMYFUNCTION("if(REGEXMATCH(join("", "",$F654:$G654),O$1)=TRUE,""✓"",""✗"")"),"✗")</f>
        <v>✗</v>
      </c>
      <c r="P654" s="23" t="str">
        <f>IFERROR(__xludf.DUMMYFUNCTION("if(REGEXMATCH(join("", "",$F654:$G654),P$1)=TRUE,""✓"",""✗"")"),"✗")</f>
        <v>✗</v>
      </c>
      <c r="Q654" s="23" t="str">
        <f>IFERROR(__xludf.DUMMYFUNCTION("if(REGEXMATCH(join("", "",$F654:$G654),Q$1)=TRUE,""✓"",""✗"")"),"✗")</f>
        <v>✗</v>
      </c>
      <c r="R654" s="23" t="str">
        <f>IFERROR(__xludf.DUMMYFUNCTION("if(REGEXMATCH(join("", "",$F654:$G654),R$1)=TRUE,""✓"",""✗"")"),"✗")</f>
        <v>✗</v>
      </c>
      <c r="S654" s="23" t="str">
        <f>IFERROR(__xludf.DUMMYFUNCTION("if(REGEXMATCH(join("", "",$F654:$G654),S$1)=TRUE,""✓"",""✗"")"),"✗")</f>
        <v>✗</v>
      </c>
      <c r="T654" s="23" t="str">
        <f>IFERROR(__xludf.DUMMYFUNCTION("if(REGEXMATCH(join("", "",$F654:$G654),T$1)=TRUE,""✓"",""✗"")"),"✗")</f>
        <v>✗</v>
      </c>
      <c r="U654" s="33"/>
      <c r="V654" s="33"/>
      <c r="W654" s="33"/>
      <c r="X654" s="33"/>
      <c r="Y654" s="33"/>
      <c r="Z654" s="33"/>
      <c r="AA654" s="33"/>
      <c r="AB654" s="33"/>
      <c r="AC654" s="33"/>
    </row>
    <row r="655" hidden="1">
      <c r="A655" s="17" t="s">
        <v>302</v>
      </c>
      <c r="B655" s="33"/>
      <c r="C655" s="33"/>
      <c r="D655" s="33"/>
      <c r="E655" s="33"/>
      <c r="F655" s="33"/>
      <c r="G655" s="33"/>
      <c r="H655" s="23" t="str">
        <f>IFERROR(__xludf.DUMMYFUNCTION("if(REGEXMATCH(join("", "",$F655:$G655),H$1)=TRUE,""✓"",""✗"")"),"✗")</f>
        <v>✗</v>
      </c>
      <c r="I655" s="23" t="str">
        <f>IFERROR(__xludf.DUMMYFUNCTION("if(REGEXMATCH(join("", "",$F655:$G655),I$1)=TRUE,""✓"",""✗"")"),"✗")</f>
        <v>✗</v>
      </c>
      <c r="J655" s="23" t="str">
        <f>IFERROR(__xludf.DUMMYFUNCTION("if(REGEXMATCH(join("", "",$F655:$G655),J$1)=TRUE,""✓"",""✗"")"),"✗")</f>
        <v>✗</v>
      </c>
      <c r="K655" s="23" t="str">
        <f>IFERROR(__xludf.DUMMYFUNCTION("if(REGEXMATCH(join("", "",$F655:$G655),K$1)=TRUE,""✓"",""✗"")"),"✗")</f>
        <v>✗</v>
      </c>
      <c r="L655" s="23" t="str">
        <f>IFERROR(__xludf.DUMMYFUNCTION("if(REGEXMATCH(join("", "",$F655:$G655),L$1)=TRUE,""✓"",""✗"")"),"✗")</f>
        <v>✗</v>
      </c>
      <c r="M655" s="23" t="str">
        <f>IFERROR(__xludf.DUMMYFUNCTION("if(REGEXMATCH(join("", "",$F655:$G655),M$1)=TRUE,""✓"",""✗"")"),"✗")</f>
        <v>✗</v>
      </c>
      <c r="N655" s="23" t="str">
        <f>IFERROR(__xludf.DUMMYFUNCTION("if(REGEXMATCH(join("", "",$F655:$G655),N$1)=TRUE,""✓"",""✗"")"),"✗")</f>
        <v>✗</v>
      </c>
      <c r="O655" s="23" t="str">
        <f>IFERROR(__xludf.DUMMYFUNCTION("if(REGEXMATCH(join("", "",$F655:$G655),O$1)=TRUE,""✓"",""✗"")"),"✗")</f>
        <v>✗</v>
      </c>
      <c r="P655" s="23" t="str">
        <f>IFERROR(__xludf.DUMMYFUNCTION("if(REGEXMATCH(join("", "",$F655:$G655),P$1)=TRUE,""✓"",""✗"")"),"✗")</f>
        <v>✗</v>
      </c>
      <c r="Q655" s="23" t="str">
        <f>IFERROR(__xludf.DUMMYFUNCTION("if(REGEXMATCH(join("", "",$F655:$G655),Q$1)=TRUE,""✓"",""✗"")"),"✗")</f>
        <v>✗</v>
      </c>
      <c r="R655" s="23" t="str">
        <f>IFERROR(__xludf.DUMMYFUNCTION("if(REGEXMATCH(join("", "",$F655:$G655),R$1)=TRUE,""✓"",""✗"")"),"✗")</f>
        <v>✗</v>
      </c>
      <c r="S655" s="23" t="str">
        <f>IFERROR(__xludf.DUMMYFUNCTION("if(REGEXMATCH(join("", "",$F655:$G655),S$1)=TRUE,""✓"",""✗"")"),"✗")</f>
        <v>✗</v>
      </c>
      <c r="T655" s="23" t="str">
        <f>IFERROR(__xludf.DUMMYFUNCTION("if(REGEXMATCH(join("", "",$F655:$G655),T$1)=TRUE,""✓"",""✗"")"),"✗")</f>
        <v>✗</v>
      </c>
      <c r="U655" s="33"/>
      <c r="V655" s="33"/>
      <c r="W655" s="33"/>
      <c r="X655" s="33"/>
      <c r="Y655" s="33"/>
      <c r="Z655" s="33"/>
      <c r="AA655" s="33"/>
      <c r="AB655" s="33"/>
      <c r="AC655" s="33"/>
    </row>
    <row r="656" hidden="1">
      <c r="A656" s="17" t="s">
        <v>302</v>
      </c>
      <c r="B656" s="33"/>
      <c r="C656" s="33"/>
      <c r="D656" s="33"/>
      <c r="E656" s="33"/>
      <c r="F656" s="33"/>
      <c r="G656" s="33"/>
      <c r="H656" s="23" t="str">
        <f>IFERROR(__xludf.DUMMYFUNCTION("if(REGEXMATCH(join("", "",$F656:$G656),H$1)=TRUE,""✓"",""✗"")"),"✗")</f>
        <v>✗</v>
      </c>
      <c r="I656" s="23" t="str">
        <f>IFERROR(__xludf.DUMMYFUNCTION("if(REGEXMATCH(join("", "",$F656:$G656),I$1)=TRUE,""✓"",""✗"")"),"✗")</f>
        <v>✗</v>
      </c>
      <c r="J656" s="23" t="str">
        <f>IFERROR(__xludf.DUMMYFUNCTION("if(REGEXMATCH(join("", "",$F656:$G656),J$1)=TRUE,""✓"",""✗"")"),"✗")</f>
        <v>✗</v>
      </c>
      <c r="K656" s="23" t="str">
        <f>IFERROR(__xludf.DUMMYFUNCTION("if(REGEXMATCH(join("", "",$F656:$G656),K$1)=TRUE,""✓"",""✗"")"),"✗")</f>
        <v>✗</v>
      </c>
      <c r="L656" s="23" t="str">
        <f>IFERROR(__xludf.DUMMYFUNCTION("if(REGEXMATCH(join("", "",$F656:$G656),L$1)=TRUE,""✓"",""✗"")"),"✗")</f>
        <v>✗</v>
      </c>
      <c r="M656" s="23" t="str">
        <f>IFERROR(__xludf.DUMMYFUNCTION("if(REGEXMATCH(join("", "",$F656:$G656),M$1)=TRUE,""✓"",""✗"")"),"✗")</f>
        <v>✗</v>
      </c>
      <c r="N656" s="23" t="str">
        <f>IFERROR(__xludf.DUMMYFUNCTION("if(REGEXMATCH(join("", "",$F656:$G656),N$1)=TRUE,""✓"",""✗"")"),"✗")</f>
        <v>✗</v>
      </c>
      <c r="O656" s="23" t="str">
        <f>IFERROR(__xludf.DUMMYFUNCTION("if(REGEXMATCH(join("", "",$F656:$G656),O$1)=TRUE,""✓"",""✗"")"),"✗")</f>
        <v>✗</v>
      </c>
      <c r="P656" s="23" t="str">
        <f>IFERROR(__xludf.DUMMYFUNCTION("if(REGEXMATCH(join("", "",$F656:$G656),P$1)=TRUE,""✓"",""✗"")"),"✗")</f>
        <v>✗</v>
      </c>
      <c r="Q656" s="23" t="str">
        <f>IFERROR(__xludf.DUMMYFUNCTION("if(REGEXMATCH(join("", "",$F656:$G656),Q$1)=TRUE,""✓"",""✗"")"),"✗")</f>
        <v>✗</v>
      </c>
      <c r="R656" s="23" t="str">
        <f>IFERROR(__xludf.DUMMYFUNCTION("if(REGEXMATCH(join("", "",$F656:$G656),R$1)=TRUE,""✓"",""✗"")"),"✗")</f>
        <v>✗</v>
      </c>
      <c r="S656" s="23" t="str">
        <f>IFERROR(__xludf.DUMMYFUNCTION("if(REGEXMATCH(join("", "",$F656:$G656),S$1)=TRUE,""✓"",""✗"")"),"✗")</f>
        <v>✗</v>
      </c>
      <c r="T656" s="23" t="str">
        <f>IFERROR(__xludf.DUMMYFUNCTION("if(REGEXMATCH(join("", "",$F656:$G656),T$1)=TRUE,""✓"",""✗"")"),"✗")</f>
        <v>✗</v>
      </c>
      <c r="U656" s="33"/>
      <c r="V656" s="33"/>
      <c r="W656" s="33"/>
      <c r="X656" s="33"/>
      <c r="Y656" s="33"/>
      <c r="Z656" s="33"/>
      <c r="AA656" s="33"/>
      <c r="AB656" s="33"/>
      <c r="AC656" s="33"/>
    </row>
    <row r="657" hidden="1">
      <c r="A657" s="17" t="s">
        <v>302</v>
      </c>
      <c r="B657" s="33"/>
      <c r="C657" s="33"/>
      <c r="D657" s="33"/>
      <c r="E657" s="33"/>
      <c r="F657" s="33"/>
      <c r="G657" s="33"/>
      <c r="H657" s="23" t="str">
        <f>IFERROR(__xludf.DUMMYFUNCTION("if(REGEXMATCH(join("", "",$F657:$G657),H$1)=TRUE,""✓"",""✗"")"),"✗")</f>
        <v>✗</v>
      </c>
      <c r="I657" s="23" t="str">
        <f>IFERROR(__xludf.DUMMYFUNCTION("if(REGEXMATCH(join("", "",$F657:$G657),I$1)=TRUE,""✓"",""✗"")"),"✗")</f>
        <v>✗</v>
      </c>
      <c r="J657" s="23" t="str">
        <f>IFERROR(__xludf.DUMMYFUNCTION("if(REGEXMATCH(join("", "",$F657:$G657),J$1)=TRUE,""✓"",""✗"")"),"✗")</f>
        <v>✗</v>
      </c>
      <c r="K657" s="23" t="str">
        <f>IFERROR(__xludf.DUMMYFUNCTION("if(REGEXMATCH(join("", "",$F657:$G657),K$1)=TRUE,""✓"",""✗"")"),"✗")</f>
        <v>✗</v>
      </c>
      <c r="L657" s="23" t="str">
        <f>IFERROR(__xludf.DUMMYFUNCTION("if(REGEXMATCH(join("", "",$F657:$G657),L$1)=TRUE,""✓"",""✗"")"),"✗")</f>
        <v>✗</v>
      </c>
      <c r="M657" s="23" t="str">
        <f>IFERROR(__xludf.DUMMYFUNCTION("if(REGEXMATCH(join("", "",$F657:$G657),M$1)=TRUE,""✓"",""✗"")"),"✗")</f>
        <v>✗</v>
      </c>
      <c r="N657" s="23" t="str">
        <f>IFERROR(__xludf.DUMMYFUNCTION("if(REGEXMATCH(join("", "",$F657:$G657),N$1)=TRUE,""✓"",""✗"")"),"✗")</f>
        <v>✗</v>
      </c>
      <c r="O657" s="23" t="str">
        <f>IFERROR(__xludf.DUMMYFUNCTION("if(REGEXMATCH(join("", "",$F657:$G657),O$1)=TRUE,""✓"",""✗"")"),"✗")</f>
        <v>✗</v>
      </c>
      <c r="P657" s="23" t="str">
        <f>IFERROR(__xludf.DUMMYFUNCTION("if(REGEXMATCH(join("", "",$F657:$G657),P$1)=TRUE,""✓"",""✗"")"),"✗")</f>
        <v>✗</v>
      </c>
      <c r="Q657" s="23" t="str">
        <f>IFERROR(__xludf.DUMMYFUNCTION("if(REGEXMATCH(join("", "",$F657:$G657),Q$1)=TRUE,""✓"",""✗"")"),"✗")</f>
        <v>✗</v>
      </c>
      <c r="R657" s="23" t="str">
        <f>IFERROR(__xludf.DUMMYFUNCTION("if(REGEXMATCH(join("", "",$F657:$G657),R$1)=TRUE,""✓"",""✗"")"),"✗")</f>
        <v>✗</v>
      </c>
      <c r="S657" s="23" t="str">
        <f>IFERROR(__xludf.DUMMYFUNCTION("if(REGEXMATCH(join("", "",$F657:$G657),S$1)=TRUE,""✓"",""✗"")"),"✗")</f>
        <v>✗</v>
      </c>
      <c r="T657" s="23" t="str">
        <f>IFERROR(__xludf.DUMMYFUNCTION("if(REGEXMATCH(join("", "",$F657:$G657),T$1)=TRUE,""✓"",""✗"")"),"✗")</f>
        <v>✗</v>
      </c>
      <c r="U657" s="33"/>
      <c r="V657" s="33"/>
      <c r="W657" s="33"/>
      <c r="X657" s="33"/>
      <c r="Y657" s="33"/>
      <c r="Z657" s="33"/>
      <c r="AA657" s="33"/>
      <c r="AB657" s="33"/>
      <c r="AC657" s="33"/>
    </row>
    <row r="658" hidden="1">
      <c r="A658" s="17" t="s">
        <v>302</v>
      </c>
      <c r="B658" s="33"/>
      <c r="C658" s="33"/>
      <c r="D658" s="33"/>
      <c r="E658" s="33"/>
      <c r="F658" s="33"/>
      <c r="G658" s="33"/>
      <c r="H658" s="23" t="str">
        <f>IFERROR(__xludf.DUMMYFUNCTION("if(REGEXMATCH(join("", "",$F658:$G658),H$1)=TRUE,""✓"",""✗"")"),"✗")</f>
        <v>✗</v>
      </c>
      <c r="I658" s="23" t="str">
        <f>IFERROR(__xludf.DUMMYFUNCTION("if(REGEXMATCH(join("", "",$F658:$G658),I$1)=TRUE,""✓"",""✗"")"),"✗")</f>
        <v>✗</v>
      </c>
      <c r="J658" s="23" t="str">
        <f>IFERROR(__xludf.DUMMYFUNCTION("if(REGEXMATCH(join("", "",$F658:$G658),J$1)=TRUE,""✓"",""✗"")"),"✗")</f>
        <v>✗</v>
      </c>
      <c r="K658" s="23" t="str">
        <f>IFERROR(__xludf.DUMMYFUNCTION("if(REGEXMATCH(join("", "",$F658:$G658),K$1)=TRUE,""✓"",""✗"")"),"✗")</f>
        <v>✗</v>
      </c>
      <c r="L658" s="23" t="str">
        <f>IFERROR(__xludf.DUMMYFUNCTION("if(REGEXMATCH(join("", "",$F658:$G658),L$1)=TRUE,""✓"",""✗"")"),"✗")</f>
        <v>✗</v>
      </c>
      <c r="M658" s="23" t="str">
        <f>IFERROR(__xludf.DUMMYFUNCTION("if(REGEXMATCH(join("", "",$F658:$G658),M$1)=TRUE,""✓"",""✗"")"),"✗")</f>
        <v>✗</v>
      </c>
      <c r="N658" s="23" t="str">
        <f>IFERROR(__xludf.DUMMYFUNCTION("if(REGEXMATCH(join("", "",$F658:$G658),N$1)=TRUE,""✓"",""✗"")"),"✗")</f>
        <v>✗</v>
      </c>
      <c r="O658" s="23" t="str">
        <f>IFERROR(__xludf.DUMMYFUNCTION("if(REGEXMATCH(join("", "",$F658:$G658),O$1)=TRUE,""✓"",""✗"")"),"✗")</f>
        <v>✗</v>
      </c>
      <c r="P658" s="23" t="str">
        <f>IFERROR(__xludf.DUMMYFUNCTION("if(REGEXMATCH(join("", "",$F658:$G658),P$1)=TRUE,""✓"",""✗"")"),"✗")</f>
        <v>✗</v>
      </c>
      <c r="Q658" s="23" t="str">
        <f>IFERROR(__xludf.DUMMYFUNCTION("if(REGEXMATCH(join("", "",$F658:$G658),Q$1)=TRUE,""✓"",""✗"")"),"✗")</f>
        <v>✗</v>
      </c>
      <c r="R658" s="23" t="str">
        <f>IFERROR(__xludf.DUMMYFUNCTION("if(REGEXMATCH(join("", "",$F658:$G658),R$1)=TRUE,""✓"",""✗"")"),"✗")</f>
        <v>✗</v>
      </c>
      <c r="S658" s="23" t="str">
        <f>IFERROR(__xludf.DUMMYFUNCTION("if(REGEXMATCH(join("", "",$F658:$G658),S$1)=TRUE,""✓"",""✗"")"),"✗")</f>
        <v>✗</v>
      </c>
      <c r="T658" s="23" t="str">
        <f>IFERROR(__xludf.DUMMYFUNCTION("if(REGEXMATCH(join("", "",$F658:$G658),T$1)=TRUE,""✓"",""✗"")"),"✗")</f>
        <v>✗</v>
      </c>
      <c r="U658" s="33"/>
      <c r="V658" s="33"/>
      <c r="W658" s="33"/>
      <c r="X658" s="33"/>
      <c r="Y658" s="33"/>
      <c r="Z658" s="33"/>
      <c r="AA658" s="33"/>
      <c r="AB658" s="33"/>
      <c r="AC658" s="33"/>
    </row>
    <row r="659" hidden="1">
      <c r="A659" s="17" t="s">
        <v>302</v>
      </c>
      <c r="B659" s="33"/>
      <c r="C659" s="33"/>
      <c r="D659" s="33"/>
      <c r="E659" s="33"/>
      <c r="F659" s="33"/>
      <c r="G659" s="33"/>
      <c r="H659" s="23" t="str">
        <f>IFERROR(__xludf.DUMMYFUNCTION("if(REGEXMATCH(join("", "",$F659:$G659),H$1)=TRUE,""✓"",""✗"")"),"✗")</f>
        <v>✗</v>
      </c>
      <c r="I659" s="23" t="str">
        <f>IFERROR(__xludf.DUMMYFUNCTION("if(REGEXMATCH(join("", "",$F659:$G659),I$1)=TRUE,""✓"",""✗"")"),"✗")</f>
        <v>✗</v>
      </c>
      <c r="J659" s="23" t="str">
        <f>IFERROR(__xludf.DUMMYFUNCTION("if(REGEXMATCH(join("", "",$F659:$G659),J$1)=TRUE,""✓"",""✗"")"),"✗")</f>
        <v>✗</v>
      </c>
      <c r="K659" s="23" t="str">
        <f>IFERROR(__xludf.DUMMYFUNCTION("if(REGEXMATCH(join("", "",$F659:$G659),K$1)=TRUE,""✓"",""✗"")"),"✗")</f>
        <v>✗</v>
      </c>
      <c r="L659" s="23" t="str">
        <f>IFERROR(__xludf.DUMMYFUNCTION("if(REGEXMATCH(join("", "",$F659:$G659),L$1)=TRUE,""✓"",""✗"")"),"✗")</f>
        <v>✗</v>
      </c>
      <c r="M659" s="23" t="str">
        <f>IFERROR(__xludf.DUMMYFUNCTION("if(REGEXMATCH(join("", "",$F659:$G659),M$1)=TRUE,""✓"",""✗"")"),"✗")</f>
        <v>✗</v>
      </c>
      <c r="N659" s="23" t="str">
        <f>IFERROR(__xludf.DUMMYFUNCTION("if(REGEXMATCH(join("", "",$F659:$G659),N$1)=TRUE,""✓"",""✗"")"),"✗")</f>
        <v>✗</v>
      </c>
      <c r="O659" s="23" t="str">
        <f>IFERROR(__xludf.DUMMYFUNCTION("if(REGEXMATCH(join("", "",$F659:$G659),O$1)=TRUE,""✓"",""✗"")"),"✗")</f>
        <v>✗</v>
      </c>
      <c r="P659" s="23" t="str">
        <f>IFERROR(__xludf.DUMMYFUNCTION("if(REGEXMATCH(join("", "",$F659:$G659),P$1)=TRUE,""✓"",""✗"")"),"✗")</f>
        <v>✗</v>
      </c>
      <c r="Q659" s="23" t="str">
        <f>IFERROR(__xludf.DUMMYFUNCTION("if(REGEXMATCH(join("", "",$F659:$G659),Q$1)=TRUE,""✓"",""✗"")"),"✗")</f>
        <v>✗</v>
      </c>
      <c r="R659" s="23" t="str">
        <f>IFERROR(__xludf.DUMMYFUNCTION("if(REGEXMATCH(join("", "",$F659:$G659),R$1)=TRUE,""✓"",""✗"")"),"✗")</f>
        <v>✗</v>
      </c>
      <c r="S659" s="23" t="str">
        <f>IFERROR(__xludf.DUMMYFUNCTION("if(REGEXMATCH(join("", "",$F659:$G659),S$1)=TRUE,""✓"",""✗"")"),"✗")</f>
        <v>✗</v>
      </c>
      <c r="T659" s="23" t="str">
        <f>IFERROR(__xludf.DUMMYFUNCTION("if(REGEXMATCH(join("", "",$F659:$G659),T$1)=TRUE,""✓"",""✗"")"),"✗")</f>
        <v>✗</v>
      </c>
      <c r="U659" s="33"/>
      <c r="V659" s="33"/>
      <c r="W659" s="33"/>
      <c r="X659" s="33"/>
      <c r="Y659" s="33"/>
      <c r="Z659" s="33"/>
      <c r="AA659" s="33"/>
      <c r="AB659" s="33"/>
      <c r="AC659" s="33"/>
    </row>
    <row r="660" hidden="1">
      <c r="A660" s="17" t="s">
        <v>302</v>
      </c>
      <c r="B660" s="33"/>
      <c r="C660" s="33"/>
      <c r="D660" s="33"/>
      <c r="E660" s="33"/>
      <c r="F660" s="33"/>
      <c r="G660" s="33"/>
      <c r="H660" s="51">
        <f t="shared" ref="H660:T660" si="20">countif(H552:H659,"✓")</f>
        <v>0</v>
      </c>
      <c r="I660" s="51">
        <f t="shared" si="20"/>
        <v>0</v>
      </c>
      <c r="J660" s="51">
        <f t="shared" si="20"/>
        <v>0</v>
      </c>
      <c r="K660" s="51">
        <f t="shared" si="20"/>
        <v>0</v>
      </c>
      <c r="L660" s="51">
        <f t="shared" si="20"/>
        <v>0</v>
      </c>
      <c r="M660" s="51">
        <f t="shared" si="20"/>
        <v>0</v>
      </c>
      <c r="N660" s="51">
        <f t="shared" si="20"/>
        <v>0</v>
      </c>
      <c r="O660" s="51">
        <f t="shared" si="20"/>
        <v>0</v>
      </c>
      <c r="P660" s="51">
        <f t="shared" si="20"/>
        <v>0</v>
      </c>
      <c r="Q660" s="51">
        <f t="shared" si="20"/>
        <v>0</v>
      </c>
      <c r="R660" s="51">
        <f t="shared" si="20"/>
        <v>0</v>
      </c>
      <c r="S660" s="51">
        <f t="shared" si="20"/>
        <v>0</v>
      </c>
      <c r="T660" s="51">
        <f t="shared" si="20"/>
        <v>0</v>
      </c>
      <c r="U660" s="33"/>
      <c r="V660" s="33"/>
      <c r="W660" s="33"/>
      <c r="X660" s="33"/>
      <c r="Y660" s="33"/>
      <c r="Z660" s="33"/>
      <c r="AA660" s="33"/>
      <c r="AB660" s="33"/>
      <c r="AC660" s="33"/>
    </row>
    <row r="661" hidden="1">
      <c r="A661" s="17" t="s">
        <v>302</v>
      </c>
      <c r="B661" s="33"/>
      <c r="C661" s="33"/>
      <c r="D661" s="33"/>
      <c r="E661" s="33"/>
      <c r="F661" s="33"/>
      <c r="G661" s="33"/>
      <c r="H661" s="13" t="s">
        <v>2</v>
      </c>
      <c r="I661" s="13" t="s">
        <v>9</v>
      </c>
      <c r="J661" s="13" t="s">
        <v>10</v>
      </c>
      <c r="K661" s="13" t="s">
        <v>11</v>
      </c>
      <c r="L661" s="13" t="s">
        <v>12</v>
      </c>
      <c r="M661" s="13" t="s">
        <v>13</v>
      </c>
      <c r="N661" s="13" t="s">
        <v>14</v>
      </c>
      <c r="O661" s="13" t="s">
        <v>15</v>
      </c>
      <c r="P661" s="13" t="s">
        <v>4</v>
      </c>
      <c r="Q661" s="13" t="s">
        <v>16</v>
      </c>
      <c r="R661" s="13" t="s">
        <v>17</v>
      </c>
      <c r="S661" s="13" t="s">
        <v>19</v>
      </c>
      <c r="T661" s="13" t="s">
        <v>20</v>
      </c>
      <c r="U661" s="33"/>
      <c r="V661" s="33"/>
      <c r="W661" s="33"/>
      <c r="X661" s="33"/>
      <c r="Y661" s="33"/>
      <c r="Z661" s="33"/>
      <c r="AA661" s="33"/>
      <c r="AB661" s="33"/>
      <c r="AC661" s="33"/>
    </row>
    <row r="662" hidden="1">
      <c r="A662" s="17" t="s">
        <v>302</v>
      </c>
      <c r="B662" s="33"/>
      <c r="C662" s="33"/>
      <c r="D662" s="33"/>
      <c r="E662" s="33"/>
      <c r="F662" s="33"/>
      <c r="G662" s="33"/>
      <c r="H662" s="23" t="str">
        <f>IFERROR(__xludf.DUMMYFUNCTION("if(REGEXMATCH(join("", "",$F662:$G662),H$1)=TRUE,""✓"",""✗"")"),"✗")</f>
        <v>✗</v>
      </c>
      <c r="I662" s="23" t="str">
        <f>IFERROR(__xludf.DUMMYFUNCTION("if(REGEXMATCH(join("", "",$F662:$G662),I$1)=TRUE,""✓"",""✗"")"),"✗")</f>
        <v>✗</v>
      </c>
      <c r="J662" s="23" t="str">
        <f>IFERROR(__xludf.DUMMYFUNCTION("if(REGEXMATCH(join("", "",$F662:$G662),J$1)=TRUE,""✓"",""✗"")"),"✗")</f>
        <v>✗</v>
      </c>
      <c r="K662" s="23" t="str">
        <f>IFERROR(__xludf.DUMMYFUNCTION("if(REGEXMATCH(join("", "",$F662:$G662),K$1)=TRUE,""✓"",""✗"")"),"✗")</f>
        <v>✗</v>
      </c>
      <c r="L662" s="23" t="str">
        <f>IFERROR(__xludf.DUMMYFUNCTION("if(REGEXMATCH(join("", "",$F662:$G662),L$1)=TRUE,""✓"",""✗"")"),"✗")</f>
        <v>✗</v>
      </c>
      <c r="M662" s="23" t="str">
        <f>IFERROR(__xludf.DUMMYFUNCTION("if(REGEXMATCH(join("", "",$F662:$G662),M$1)=TRUE,""✓"",""✗"")"),"✗")</f>
        <v>✗</v>
      </c>
      <c r="N662" s="23" t="str">
        <f>IFERROR(__xludf.DUMMYFUNCTION("if(REGEXMATCH(join("", "",$F662:$G662),N$1)=TRUE,""✓"",""✗"")"),"✗")</f>
        <v>✗</v>
      </c>
      <c r="O662" s="23" t="str">
        <f>IFERROR(__xludf.DUMMYFUNCTION("if(REGEXMATCH(join("", "",$F662:$G662),O$1)=TRUE,""✓"",""✗"")"),"✗")</f>
        <v>✗</v>
      </c>
      <c r="P662" s="23" t="str">
        <f>IFERROR(__xludf.DUMMYFUNCTION("if(REGEXMATCH(join("", "",$F662:$G662),P$1)=TRUE,""✓"",""✗"")"),"✗")</f>
        <v>✗</v>
      </c>
      <c r="Q662" s="23" t="str">
        <f>IFERROR(__xludf.DUMMYFUNCTION("if(REGEXMATCH(join("", "",$F662:$G662),Q$1)=TRUE,""✓"",""✗"")"),"✗")</f>
        <v>✗</v>
      </c>
      <c r="R662" s="23" t="str">
        <f>IFERROR(__xludf.DUMMYFUNCTION("if(REGEXMATCH(join("", "",$F662:$G662),R$1)=TRUE,""✓"",""✗"")"),"✗")</f>
        <v>✗</v>
      </c>
      <c r="S662" s="23" t="str">
        <f>IFERROR(__xludf.DUMMYFUNCTION("if(REGEXMATCH(join("", "",$F662:$G662),S$1)=TRUE,""✓"",""✗"")"),"✗")</f>
        <v>✗</v>
      </c>
      <c r="T662" s="23" t="str">
        <f>IFERROR(__xludf.DUMMYFUNCTION("if(REGEXMATCH(join("", "",$F662:$G662),T$1)=TRUE,""✓"",""✗"")"),"✗")</f>
        <v>✗</v>
      </c>
      <c r="U662" s="33"/>
      <c r="V662" s="33"/>
      <c r="W662" s="33"/>
      <c r="X662" s="33"/>
      <c r="Y662" s="33"/>
      <c r="Z662" s="33"/>
      <c r="AA662" s="33"/>
      <c r="AB662" s="33"/>
      <c r="AC662" s="33"/>
    </row>
    <row r="663" hidden="1">
      <c r="A663" s="17" t="s">
        <v>302</v>
      </c>
      <c r="B663" s="33"/>
      <c r="C663" s="33"/>
      <c r="D663" s="33"/>
      <c r="E663" s="33"/>
      <c r="F663" s="33"/>
      <c r="G663" s="33"/>
      <c r="H663" s="23" t="str">
        <f>IFERROR(__xludf.DUMMYFUNCTION("if(REGEXMATCH(join("", "",$F663:$G663),H$1)=TRUE,""✓"",""✗"")"),"✗")</f>
        <v>✗</v>
      </c>
      <c r="I663" s="23" t="str">
        <f>IFERROR(__xludf.DUMMYFUNCTION("if(REGEXMATCH(join("", "",$F663:$G663),I$1)=TRUE,""✓"",""✗"")"),"✗")</f>
        <v>✗</v>
      </c>
      <c r="J663" s="23" t="str">
        <f>IFERROR(__xludf.DUMMYFUNCTION("if(REGEXMATCH(join("", "",$F663:$G663),J$1)=TRUE,""✓"",""✗"")"),"✗")</f>
        <v>✗</v>
      </c>
      <c r="K663" s="23" t="str">
        <f>IFERROR(__xludf.DUMMYFUNCTION("if(REGEXMATCH(join("", "",$F663:$G663),K$1)=TRUE,""✓"",""✗"")"),"✗")</f>
        <v>✗</v>
      </c>
      <c r="L663" s="23" t="str">
        <f>IFERROR(__xludf.DUMMYFUNCTION("if(REGEXMATCH(join("", "",$F663:$G663),L$1)=TRUE,""✓"",""✗"")"),"✗")</f>
        <v>✗</v>
      </c>
      <c r="M663" s="23" t="str">
        <f>IFERROR(__xludf.DUMMYFUNCTION("if(REGEXMATCH(join("", "",$F663:$G663),M$1)=TRUE,""✓"",""✗"")"),"✗")</f>
        <v>✗</v>
      </c>
      <c r="N663" s="23" t="str">
        <f>IFERROR(__xludf.DUMMYFUNCTION("if(REGEXMATCH(join("", "",$F663:$G663),N$1)=TRUE,""✓"",""✗"")"),"✗")</f>
        <v>✗</v>
      </c>
      <c r="O663" s="23" t="str">
        <f>IFERROR(__xludf.DUMMYFUNCTION("if(REGEXMATCH(join("", "",$F663:$G663),O$1)=TRUE,""✓"",""✗"")"),"✗")</f>
        <v>✗</v>
      </c>
      <c r="P663" s="23" t="str">
        <f>IFERROR(__xludf.DUMMYFUNCTION("if(REGEXMATCH(join("", "",$F663:$G663),P$1)=TRUE,""✓"",""✗"")"),"✗")</f>
        <v>✗</v>
      </c>
      <c r="Q663" s="23" t="str">
        <f>IFERROR(__xludf.DUMMYFUNCTION("if(REGEXMATCH(join("", "",$F663:$G663),Q$1)=TRUE,""✓"",""✗"")"),"✗")</f>
        <v>✗</v>
      </c>
      <c r="R663" s="23" t="str">
        <f>IFERROR(__xludf.DUMMYFUNCTION("if(REGEXMATCH(join("", "",$F663:$G663),R$1)=TRUE,""✓"",""✗"")"),"✗")</f>
        <v>✗</v>
      </c>
      <c r="S663" s="23" t="str">
        <f>IFERROR(__xludf.DUMMYFUNCTION("if(REGEXMATCH(join("", "",$F663:$G663),S$1)=TRUE,""✓"",""✗"")"),"✗")</f>
        <v>✗</v>
      </c>
      <c r="T663" s="23" t="str">
        <f>IFERROR(__xludf.DUMMYFUNCTION("if(REGEXMATCH(join("", "",$F663:$G663),T$1)=TRUE,""✓"",""✗"")"),"✗")</f>
        <v>✗</v>
      </c>
      <c r="U663" s="33"/>
      <c r="V663" s="33"/>
      <c r="W663" s="33"/>
      <c r="X663" s="33"/>
      <c r="Y663" s="33"/>
      <c r="Z663" s="33"/>
      <c r="AA663" s="33"/>
      <c r="AB663" s="33"/>
      <c r="AC663" s="33"/>
    </row>
    <row r="664" hidden="1">
      <c r="A664" s="17" t="s">
        <v>302</v>
      </c>
      <c r="B664" s="33"/>
      <c r="C664" s="33"/>
      <c r="D664" s="33"/>
      <c r="E664" s="33"/>
      <c r="F664" s="33"/>
      <c r="G664" s="33"/>
      <c r="H664" s="23" t="str">
        <f>IFERROR(__xludf.DUMMYFUNCTION("if(REGEXMATCH(join("", "",$F664:$G664),H$1)=TRUE,""✓"",""✗"")"),"✗")</f>
        <v>✗</v>
      </c>
      <c r="I664" s="23" t="str">
        <f>IFERROR(__xludf.DUMMYFUNCTION("if(REGEXMATCH(join("", "",$F664:$G664),I$1)=TRUE,""✓"",""✗"")"),"✗")</f>
        <v>✗</v>
      </c>
      <c r="J664" s="23" t="str">
        <f>IFERROR(__xludf.DUMMYFUNCTION("if(REGEXMATCH(join("", "",$F664:$G664),J$1)=TRUE,""✓"",""✗"")"),"✗")</f>
        <v>✗</v>
      </c>
      <c r="K664" s="23" t="str">
        <f>IFERROR(__xludf.DUMMYFUNCTION("if(REGEXMATCH(join("", "",$F664:$G664),K$1)=TRUE,""✓"",""✗"")"),"✗")</f>
        <v>✗</v>
      </c>
      <c r="L664" s="23" t="str">
        <f>IFERROR(__xludf.DUMMYFUNCTION("if(REGEXMATCH(join("", "",$F664:$G664),L$1)=TRUE,""✓"",""✗"")"),"✗")</f>
        <v>✗</v>
      </c>
      <c r="M664" s="23" t="str">
        <f>IFERROR(__xludf.DUMMYFUNCTION("if(REGEXMATCH(join("", "",$F664:$G664),M$1)=TRUE,""✓"",""✗"")"),"✗")</f>
        <v>✗</v>
      </c>
      <c r="N664" s="23" t="str">
        <f>IFERROR(__xludf.DUMMYFUNCTION("if(REGEXMATCH(join("", "",$F664:$G664),N$1)=TRUE,""✓"",""✗"")"),"✗")</f>
        <v>✗</v>
      </c>
      <c r="O664" s="23" t="str">
        <f>IFERROR(__xludf.DUMMYFUNCTION("if(REGEXMATCH(join("", "",$F664:$G664),O$1)=TRUE,""✓"",""✗"")"),"✗")</f>
        <v>✗</v>
      </c>
      <c r="P664" s="23" t="str">
        <f>IFERROR(__xludf.DUMMYFUNCTION("if(REGEXMATCH(join("", "",$F664:$G664),P$1)=TRUE,""✓"",""✗"")"),"✗")</f>
        <v>✗</v>
      </c>
      <c r="Q664" s="23" t="str">
        <f>IFERROR(__xludf.DUMMYFUNCTION("if(REGEXMATCH(join("", "",$F664:$G664),Q$1)=TRUE,""✓"",""✗"")"),"✗")</f>
        <v>✗</v>
      </c>
      <c r="R664" s="23" t="str">
        <f>IFERROR(__xludf.DUMMYFUNCTION("if(REGEXMATCH(join("", "",$F664:$G664),R$1)=TRUE,""✓"",""✗"")"),"✗")</f>
        <v>✗</v>
      </c>
      <c r="S664" s="23" t="str">
        <f>IFERROR(__xludf.DUMMYFUNCTION("if(REGEXMATCH(join("", "",$F664:$G664),S$1)=TRUE,""✓"",""✗"")"),"✗")</f>
        <v>✗</v>
      </c>
      <c r="T664" s="23" t="str">
        <f>IFERROR(__xludf.DUMMYFUNCTION("if(REGEXMATCH(join("", "",$F664:$G664),T$1)=TRUE,""✓"",""✗"")"),"✗")</f>
        <v>✗</v>
      </c>
      <c r="U664" s="33"/>
      <c r="V664" s="33"/>
      <c r="W664" s="33"/>
      <c r="X664" s="33"/>
      <c r="Y664" s="33"/>
      <c r="Z664" s="33"/>
      <c r="AA664" s="33"/>
      <c r="AB664" s="33"/>
      <c r="AC664" s="33"/>
    </row>
    <row r="665" hidden="1">
      <c r="A665" s="17" t="s">
        <v>302</v>
      </c>
      <c r="B665" s="33"/>
      <c r="C665" s="33"/>
      <c r="D665" s="33"/>
      <c r="E665" s="33"/>
      <c r="F665" s="33"/>
      <c r="G665" s="33"/>
      <c r="H665" s="23" t="str">
        <f>IFERROR(__xludf.DUMMYFUNCTION("if(REGEXMATCH(join("", "",$F665:$G665),H$1)=TRUE,""✓"",""✗"")"),"✗")</f>
        <v>✗</v>
      </c>
      <c r="I665" s="23" t="str">
        <f>IFERROR(__xludf.DUMMYFUNCTION("if(REGEXMATCH(join("", "",$F665:$G665),I$1)=TRUE,""✓"",""✗"")"),"✗")</f>
        <v>✗</v>
      </c>
      <c r="J665" s="23" t="str">
        <f>IFERROR(__xludf.DUMMYFUNCTION("if(REGEXMATCH(join("", "",$F665:$G665),J$1)=TRUE,""✓"",""✗"")"),"✗")</f>
        <v>✗</v>
      </c>
      <c r="K665" s="23" t="str">
        <f>IFERROR(__xludf.DUMMYFUNCTION("if(REGEXMATCH(join("", "",$F665:$G665),K$1)=TRUE,""✓"",""✗"")"),"✗")</f>
        <v>✗</v>
      </c>
      <c r="L665" s="23" t="str">
        <f>IFERROR(__xludf.DUMMYFUNCTION("if(REGEXMATCH(join("", "",$F665:$G665),L$1)=TRUE,""✓"",""✗"")"),"✗")</f>
        <v>✗</v>
      </c>
      <c r="M665" s="23" t="str">
        <f>IFERROR(__xludf.DUMMYFUNCTION("if(REGEXMATCH(join("", "",$F665:$G665),M$1)=TRUE,""✓"",""✗"")"),"✗")</f>
        <v>✗</v>
      </c>
      <c r="N665" s="23" t="str">
        <f>IFERROR(__xludf.DUMMYFUNCTION("if(REGEXMATCH(join("", "",$F665:$G665),N$1)=TRUE,""✓"",""✗"")"),"✗")</f>
        <v>✗</v>
      </c>
      <c r="O665" s="23" t="str">
        <f>IFERROR(__xludf.DUMMYFUNCTION("if(REGEXMATCH(join("", "",$F665:$G665),O$1)=TRUE,""✓"",""✗"")"),"✗")</f>
        <v>✗</v>
      </c>
      <c r="P665" s="23" t="str">
        <f>IFERROR(__xludf.DUMMYFUNCTION("if(REGEXMATCH(join("", "",$F665:$G665),P$1)=TRUE,""✓"",""✗"")"),"✗")</f>
        <v>✗</v>
      </c>
      <c r="Q665" s="23" t="str">
        <f>IFERROR(__xludf.DUMMYFUNCTION("if(REGEXMATCH(join("", "",$F665:$G665),Q$1)=TRUE,""✓"",""✗"")"),"✗")</f>
        <v>✗</v>
      </c>
      <c r="R665" s="23" t="str">
        <f>IFERROR(__xludf.DUMMYFUNCTION("if(REGEXMATCH(join("", "",$F665:$G665),R$1)=TRUE,""✓"",""✗"")"),"✗")</f>
        <v>✗</v>
      </c>
      <c r="S665" s="23" t="str">
        <f>IFERROR(__xludf.DUMMYFUNCTION("if(REGEXMATCH(join("", "",$F665:$G665),S$1)=TRUE,""✓"",""✗"")"),"✗")</f>
        <v>✗</v>
      </c>
      <c r="T665" s="23" t="str">
        <f>IFERROR(__xludf.DUMMYFUNCTION("if(REGEXMATCH(join("", "",$F665:$G665),T$1)=TRUE,""✓"",""✗"")"),"✗")</f>
        <v>✗</v>
      </c>
      <c r="U665" s="33"/>
      <c r="V665" s="33"/>
      <c r="W665" s="33"/>
      <c r="X665" s="33"/>
      <c r="Y665" s="33"/>
      <c r="Z665" s="33"/>
      <c r="AA665" s="33"/>
      <c r="AB665" s="33"/>
      <c r="AC665" s="33"/>
    </row>
    <row r="666" hidden="1">
      <c r="A666" s="17" t="s">
        <v>302</v>
      </c>
      <c r="B666" s="33"/>
      <c r="C666" s="33"/>
      <c r="D666" s="33"/>
      <c r="E666" s="33"/>
      <c r="F666" s="33"/>
      <c r="G666" s="33"/>
      <c r="H666" s="23" t="str">
        <f>IFERROR(__xludf.DUMMYFUNCTION("if(REGEXMATCH(join("", "",$F666:$G666),H$1)=TRUE,""✓"",""✗"")"),"✗")</f>
        <v>✗</v>
      </c>
      <c r="I666" s="23" t="str">
        <f>IFERROR(__xludf.DUMMYFUNCTION("if(REGEXMATCH(join("", "",$F666:$G666),I$1)=TRUE,""✓"",""✗"")"),"✗")</f>
        <v>✗</v>
      </c>
      <c r="J666" s="23" t="str">
        <f>IFERROR(__xludf.DUMMYFUNCTION("if(REGEXMATCH(join("", "",$F666:$G666),J$1)=TRUE,""✓"",""✗"")"),"✗")</f>
        <v>✗</v>
      </c>
      <c r="K666" s="23" t="str">
        <f>IFERROR(__xludf.DUMMYFUNCTION("if(REGEXMATCH(join("", "",$F666:$G666),K$1)=TRUE,""✓"",""✗"")"),"✗")</f>
        <v>✗</v>
      </c>
      <c r="L666" s="23" t="str">
        <f>IFERROR(__xludf.DUMMYFUNCTION("if(REGEXMATCH(join("", "",$F666:$G666),L$1)=TRUE,""✓"",""✗"")"),"✗")</f>
        <v>✗</v>
      </c>
      <c r="M666" s="23" t="str">
        <f>IFERROR(__xludf.DUMMYFUNCTION("if(REGEXMATCH(join("", "",$F666:$G666),M$1)=TRUE,""✓"",""✗"")"),"✗")</f>
        <v>✗</v>
      </c>
      <c r="N666" s="23" t="str">
        <f>IFERROR(__xludf.DUMMYFUNCTION("if(REGEXMATCH(join("", "",$F666:$G666),N$1)=TRUE,""✓"",""✗"")"),"✗")</f>
        <v>✗</v>
      </c>
      <c r="O666" s="23" t="str">
        <f>IFERROR(__xludf.DUMMYFUNCTION("if(REGEXMATCH(join("", "",$F666:$G666),O$1)=TRUE,""✓"",""✗"")"),"✗")</f>
        <v>✗</v>
      </c>
      <c r="P666" s="23" t="str">
        <f>IFERROR(__xludf.DUMMYFUNCTION("if(REGEXMATCH(join("", "",$F666:$G666),P$1)=TRUE,""✓"",""✗"")"),"✗")</f>
        <v>✗</v>
      </c>
      <c r="Q666" s="23" t="str">
        <f>IFERROR(__xludf.DUMMYFUNCTION("if(REGEXMATCH(join("", "",$F666:$G666),Q$1)=TRUE,""✓"",""✗"")"),"✗")</f>
        <v>✗</v>
      </c>
      <c r="R666" s="23" t="str">
        <f>IFERROR(__xludf.DUMMYFUNCTION("if(REGEXMATCH(join("", "",$F666:$G666),R$1)=TRUE,""✓"",""✗"")"),"✗")</f>
        <v>✗</v>
      </c>
      <c r="S666" s="23" t="str">
        <f>IFERROR(__xludf.DUMMYFUNCTION("if(REGEXMATCH(join("", "",$F666:$G666),S$1)=TRUE,""✓"",""✗"")"),"✗")</f>
        <v>✗</v>
      </c>
      <c r="T666" s="23" t="str">
        <f>IFERROR(__xludf.DUMMYFUNCTION("if(REGEXMATCH(join("", "",$F666:$G666),T$1)=TRUE,""✓"",""✗"")"),"✗")</f>
        <v>✗</v>
      </c>
      <c r="U666" s="33"/>
      <c r="V666" s="33"/>
      <c r="W666" s="33"/>
      <c r="X666" s="33"/>
      <c r="Y666" s="33"/>
      <c r="Z666" s="33"/>
      <c r="AA666" s="33"/>
      <c r="AB666" s="33"/>
      <c r="AC666" s="33"/>
    </row>
    <row r="667" hidden="1">
      <c r="A667" s="17" t="s">
        <v>302</v>
      </c>
      <c r="B667" s="33"/>
      <c r="C667" s="33"/>
      <c r="D667" s="33"/>
      <c r="E667" s="33"/>
      <c r="F667" s="33"/>
      <c r="G667" s="33"/>
      <c r="H667" s="23" t="str">
        <f>IFERROR(__xludf.DUMMYFUNCTION("if(REGEXMATCH(join("", "",$F667:$G667),H$1)=TRUE,""✓"",""✗"")"),"✗")</f>
        <v>✗</v>
      </c>
      <c r="I667" s="23" t="str">
        <f>IFERROR(__xludf.DUMMYFUNCTION("if(REGEXMATCH(join("", "",$F667:$G667),I$1)=TRUE,""✓"",""✗"")"),"✗")</f>
        <v>✗</v>
      </c>
      <c r="J667" s="23" t="str">
        <f>IFERROR(__xludf.DUMMYFUNCTION("if(REGEXMATCH(join("", "",$F667:$G667),J$1)=TRUE,""✓"",""✗"")"),"✗")</f>
        <v>✗</v>
      </c>
      <c r="K667" s="23" t="str">
        <f>IFERROR(__xludf.DUMMYFUNCTION("if(REGEXMATCH(join("", "",$F667:$G667),K$1)=TRUE,""✓"",""✗"")"),"✗")</f>
        <v>✗</v>
      </c>
      <c r="L667" s="23" t="str">
        <f>IFERROR(__xludf.DUMMYFUNCTION("if(REGEXMATCH(join("", "",$F667:$G667),L$1)=TRUE,""✓"",""✗"")"),"✗")</f>
        <v>✗</v>
      </c>
      <c r="M667" s="23" t="str">
        <f>IFERROR(__xludf.DUMMYFUNCTION("if(REGEXMATCH(join("", "",$F667:$G667),M$1)=TRUE,""✓"",""✗"")"),"✗")</f>
        <v>✗</v>
      </c>
      <c r="N667" s="23" t="str">
        <f>IFERROR(__xludf.DUMMYFUNCTION("if(REGEXMATCH(join("", "",$F667:$G667),N$1)=TRUE,""✓"",""✗"")"),"✗")</f>
        <v>✗</v>
      </c>
      <c r="O667" s="23" t="str">
        <f>IFERROR(__xludf.DUMMYFUNCTION("if(REGEXMATCH(join("", "",$F667:$G667),O$1)=TRUE,""✓"",""✗"")"),"✗")</f>
        <v>✗</v>
      </c>
      <c r="P667" s="23" t="str">
        <f>IFERROR(__xludf.DUMMYFUNCTION("if(REGEXMATCH(join("", "",$F667:$G667),P$1)=TRUE,""✓"",""✗"")"),"✗")</f>
        <v>✗</v>
      </c>
      <c r="Q667" s="23" t="str">
        <f>IFERROR(__xludf.DUMMYFUNCTION("if(REGEXMATCH(join("", "",$F667:$G667),Q$1)=TRUE,""✓"",""✗"")"),"✗")</f>
        <v>✗</v>
      </c>
      <c r="R667" s="23" t="str">
        <f>IFERROR(__xludf.DUMMYFUNCTION("if(REGEXMATCH(join("", "",$F667:$G667),R$1)=TRUE,""✓"",""✗"")"),"✗")</f>
        <v>✗</v>
      </c>
      <c r="S667" s="23" t="str">
        <f>IFERROR(__xludf.DUMMYFUNCTION("if(REGEXMATCH(join("", "",$F667:$G667),S$1)=TRUE,""✓"",""✗"")"),"✗")</f>
        <v>✗</v>
      </c>
      <c r="T667" s="23" t="str">
        <f>IFERROR(__xludf.DUMMYFUNCTION("if(REGEXMATCH(join("", "",$F667:$G667),T$1)=TRUE,""✓"",""✗"")"),"✗")</f>
        <v>✗</v>
      </c>
      <c r="U667" s="33"/>
      <c r="V667" s="33"/>
      <c r="W667" s="33"/>
      <c r="X667" s="33"/>
      <c r="Y667" s="33"/>
      <c r="Z667" s="33"/>
      <c r="AA667" s="33"/>
      <c r="AB667" s="33"/>
      <c r="AC667" s="33"/>
    </row>
    <row r="668" hidden="1">
      <c r="A668" s="17" t="s">
        <v>302</v>
      </c>
      <c r="B668" s="33"/>
      <c r="C668" s="33"/>
      <c r="D668" s="33"/>
      <c r="E668" s="33"/>
      <c r="F668" s="33"/>
      <c r="G668" s="33"/>
      <c r="H668" s="23" t="str">
        <f>IFERROR(__xludf.DUMMYFUNCTION("if(REGEXMATCH(join("", "",$F668:$G668),H$1)=TRUE,""✓"",""✗"")"),"✗")</f>
        <v>✗</v>
      </c>
      <c r="I668" s="23" t="str">
        <f>IFERROR(__xludf.DUMMYFUNCTION("if(REGEXMATCH(join("", "",$F668:$G668),I$1)=TRUE,""✓"",""✗"")"),"✗")</f>
        <v>✗</v>
      </c>
      <c r="J668" s="23" t="str">
        <f>IFERROR(__xludf.DUMMYFUNCTION("if(REGEXMATCH(join("", "",$F668:$G668),J$1)=TRUE,""✓"",""✗"")"),"✗")</f>
        <v>✗</v>
      </c>
      <c r="K668" s="23" t="str">
        <f>IFERROR(__xludf.DUMMYFUNCTION("if(REGEXMATCH(join("", "",$F668:$G668),K$1)=TRUE,""✓"",""✗"")"),"✗")</f>
        <v>✗</v>
      </c>
      <c r="L668" s="23" t="str">
        <f>IFERROR(__xludf.DUMMYFUNCTION("if(REGEXMATCH(join("", "",$F668:$G668),L$1)=TRUE,""✓"",""✗"")"),"✗")</f>
        <v>✗</v>
      </c>
      <c r="M668" s="23" t="str">
        <f>IFERROR(__xludf.DUMMYFUNCTION("if(REGEXMATCH(join("", "",$F668:$G668),M$1)=TRUE,""✓"",""✗"")"),"✗")</f>
        <v>✗</v>
      </c>
      <c r="N668" s="23" t="str">
        <f>IFERROR(__xludf.DUMMYFUNCTION("if(REGEXMATCH(join("", "",$F668:$G668),N$1)=TRUE,""✓"",""✗"")"),"✗")</f>
        <v>✗</v>
      </c>
      <c r="O668" s="23" t="str">
        <f>IFERROR(__xludf.DUMMYFUNCTION("if(REGEXMATCH(join("", "",$F668:$G668),O$1)=TRUE,""✓"",""✗"")"),"✗")</f>
        <v>✗</v>
      </c>
      <c r="P668" s="23" t="str">
        <f>IFERROR(__xludf.DUMMYFUNCTION("if(REGEXMATCH(join("", "",$F668:$G668),P$1)=TRUE,""✓"",""✗"")"),"✗")</f>
        <v>✗</v>
      </c>
      <c r="Q668" s="23" t="str">
        <f>IFERROR(__xludf.DUMMYFUNCTION("if(REGEXMATCH(join("", "",$F668:$G668),Q$1)=TRUE,""✓"",""✗"")"),"✗")</f>
        <v>✗</v>
      </c>
      <c r="R668" s="23" t="str">
        <f>IFERROR(__xludf.DUMMYFUNCTION("if(REGEXMATCH(join("", "",$F668:$G668),R$1)=TRUE,""✓"",""✗"")"),"✗")</f>
        <v>✗</v>
      </c>
      <c r="S668" s="23" t="str">
        <f>IFERROR(__xludf.DUMMYFUNCTION("if(REGEXMATCH(join("", "",$F668:$G668),S$1)=TRUE,""✓"",""✗"")"),"✗")</f>
        <v>✗</v>
      </c>
      <c r="T668" s="23" t="str">
        <f>IFERROR(__xludf.DUMMYFUNCTION("if(REGEXMATCH(join("", "",$F668:$G668),T$1)=TRUE,""✓"",""✗"")"),"✗")</f>
        <v>✗</v>
      </c>
      <c r="U668" s="33"/>
      <c r="V668" s="33"/>
      <c r="W668" s="33"/>
      <c r="X668" s="33"/>
      <c r="Y668" s="33"/>
      <c r="Z668" s="33"/>
      <c r="AA668" s="33"/>
      <c r="AB668" s="33"/>
      <c r="AC668" s="33"/>
    </row>
    <row r="669" hidden="1">
      <c r="A669" s="17" t="s">
        <v>302</v>
      </c>
      <c r="B669" s="33"/>
      <c r="C669" s="33"/>
      <c r="D669" s="33"/>
      <c r="E669" s="33"/>
      <c r="F669" s="33"/>
      <c r="G669" s="33"/>
      <c r="H669" s="23" t="str">
        <f>IFERROR(__xludf.DUMMYFUNCTION("if(REGEXMATCH(join("", "",$F669:$G669),H$1)=TRUE,""✓"",""✗"")"),"✗")</f>
        <v>✗</v>
      </c>
      <c r="I669" s="23" t="str">
        <f>IFERROR(__xludf.DUMMYFUNCTION("if(REGEXMATCH(join("", "",$F669:$G669),I$1)=TRUE,""✓"",""✗"")"),"✗")</f>
        <v>✗</v>
      </c>
      <c r="J669" s="23" t="str">
        <f>IFERROR(__xludf.DUMMYFUNCTION("if(REGEXMATCH(join("", "",$F669:$G669),J$1)=TRUE,""✓"",""✗"")"),"✗")</f>
        <v>✗</v>
      </c>
      <c r="K669" s="23" t="str">
        <f>IFERROR(__xludf.DUMMYFUNCTION("if(REGEXMATCH(join("", "",$F669:$G669),K$1)=TRUE,""✓"",""✗"")"),"✗")</f>
        <v>✗</v>
      </c>
      <c r="L669" s="23" t="str">
        <f>IFERROR(__xludf.DUMMYFUNCTION("if(REGEXMATCH(join("", "",$F669:$G669),L$1)=TRUE,""✓"",""✗"")"),"✗")</f>
        <v>✗</v>
      </c>
      <c r="M669" s="23" t="str">
        <f>IFERROR(__xludf.DUMMYFUNCTION("if(REGEXMATCH(join("", "",$F669:$G669),M$1)=TRUE,""✓"",""✗"")"),"✗")</f>
        <v>✗</v>
      </c>
      <c r="N669" s="23" t="str">
        <f>IFERROR(__xludf.DUMMYFUNCTION("if(REGEXMATCH(join("", "",$F669:$G669),N$1)=TRUE,""✓"",""✗"")"),"✗")</f>
        <v>✗</v>
      </c>
      <c r="O669" s="23" t="str">
        <f>IFERROR(__xludf.DUMMYFUNCTION("if(REGEXMATCH(join("", "",$F669:$G669),O$1)=TRUE,""✓"",""✗"")"),"✗")</f>
        <v>✗</v>
      </c>
      <c r="P669" s="23" t="str">
        <f>IFERROR(__xludf.DUMMYFUNCTION("if(REGEXMATCH(join("", "",$F669:$G669),P$1)=TRUE,""✓"",""✗"")"),"✗")</f>
        <v>✗</v>
      </c>
      <c r="Q669" s="23" t="str">
        <f>IFERROR(__xludf.DUMMYFUNCTION("if(REGEXMATCH(join("", "",$F669:$G669),Q$1)=TRUE,""✓"",""✗"")"),"✗")</f>
        <v>✗</v>
      </c>
      <c r="R669" s="23" t="str">
        <f>IFERROR(__xludf.DUMMYFUNCTION("if(REGEXMATCH(join("", "",$F669:$G669),R$1)=TRUE,""✓"",""✗"")"),"✗")</f>
        <v>✗</v>
      </c>
      <c r="S669" s="23" t="str">
        <f>IFERROR(__xludf.DUMMYFUNCTION("if(REGEXMATCH(join("", "",$F669:$G669),S$1)=TRUE,""✓"",""✗"")"),"✗")</f>
        <v>✗</v>
      </c>
      <c r="T669" s="23" t="str">
        <f>IFERROR(__xludf.DUMMYFUNCTION("if(REGEXMATCH(join("", "",$F669:$G669),T$1)=TRUE,""✓"",""✗"")"),"✗")</f>
        <v>✗</v>
      </c>
      <c r="U669" s="33"/>
      <c r="V669" s="33"/>
      <c r="W669" s="33"/>
      <c r="X669" s="33"/>
      <c r="Y669" s="33"/>
      <c r="Z669" s="33"/>
      <c r="AA669" s="33"/>
      <c r="AB669" s="33"/>
      <c r="AC669" s="33"/>
    </row>
    <row r="670" hidden="1">
      <c r="A670" s="17" t="s">
        <v>302</v>
      </c>
      <c r="B670" s="33"/>
      <c r="C670" s="33"/>
      <c r="D670" s="33"/>
      <c r="E670" s="33"/>
      <c r="F670" s="33"/>
      <c r="G670" s="33"/>
      <c r="H670" s="23" t="str">
        <f>IFERROR(__xludf.DUMMYFUNCTION("if(REGEXMATCH(join("", "",$F670:$G670),H$1)=TRUE,""✓"",""✗"")"),"✗")</f>
        <v>✗</v>
      </c>
      <c r="I670" s="23" t="str">
        <f>IFERROR(__xludf.DUMMYFUNCTION("if(REGEXMATCH(join("", "",$F670:$G670),I$1)=TRUE,""✓"",""✗"")"),"✗")</f>
        <v>✗</v>
      </c>
      <c r="J670" s="23" t="str">
        <f>IFERROR(__xludf.DUMMYFUNCTION("if(REGEXMATCH(join("", "",$F670:$G670),J$1)=TRUE,""✓"",""✗"")"),"✗")</f>
        <v>✗</v>
      </c>
      <c r="K670" s="23" t="str">
        <f>IFERROR(__xludf.DUMMYFUNCTION("if(REGEXMATCH(join("", "",$F670:$G670),K$1)=TRUE,""✓"",""✗"")"),"✗")</f>
        <v>✗</v>
      </c>
      <c r="L670" s="23" t="str">
        <f>IFERROR(__xludf.DUMMYFUNCTION("if(REGEXMATCH(join("", "",$F670:$G670),L$1)=TRUE,""✓"",""✗"")"),"✗")</f>
        <v>✗</v>
      </c>
      <c r="M670" s="23" t="str">
        <f>IFERROR(__xludf.DUMMYFUNCTION("if(REGEXMATCH(join("", "",$F670:$G670),M$1)=TRUE,""✓"",""✗"")"),"✗")</f>
        <v>✗</v>
      </c>
      <c r="N670" s="23" t="str">
        <f>IFERROR(__xludf.DUMMYFUNCTION("if(REGEXMATCH(join("", "",$F670:$G670),N$1)=TRUE,""✓"",""✗"")"),"✗")</f>
        <v>✗</v>
      </c>
      <c r="O670" s="23" t="str">
        <f>IFERROR(__xludf.DUMMYFUNCTION("if(REGEXMATCH(join("", "",$F670:$G670),O$1)=TRUE,""✓"",""✗"")"),"✗")</f>
        <v>✗</v>
      </c>
      <c r="P670" s="23" t="str">
        <f>IFERROR(__xludf.DUMMYFUNCTION("if(REGEXMATCH(join("", "",$F670:$G670),P$1)=TRUE,""✓"",""✗"")"),"✗")</f>
        <v>✗</v>
      </c>
      <c r="Q670" s="23" t="str">
        <f>IFERROR(__xludf.DUMMYFUNCTION("if(REGEXMATCH(join("", "",$F670:$G670),Q$1)=TRUE,""✓"",""✗"")"),"✗")</f>
        <v>✗</v>
      </c>
      <c r="R670" s="23" t="str">
        <f>IFERROR(__xludf.DUMMYFUNCTION("if(REGEXMATCH(join("", "",$F670:$G670),R$1)=TRUE,""✓"",""✗"")"),"✗")</f>
        <v>✗</v>
      </c>
      <c r="S670" s="23" t="str">
        <f>IFERROR(__xludf.DUMMYFUNCTION("if(REGEXMATCH(join("", "",$F670:$G670),S$1)=TRUE,""✓"",""✗"")"),"✗")</f>
        <v>✗</v>
      </c>
      <c r="T670" s="23" t="str">
        <f>IFERROR(__xludf.DUMMYFUNCTION("if(REGEXMATCH(join("", "",$F670:$G670),T$1)=TRUE,""✓"",""✗"")"),"✗")</f>
        <v>✗</v>
      </c>
      <c r="U670" s="33"/>
      <c r="V670" s="33"/>
      <c r="W670" s="33"/>
      <c r="X670" s="33"/>
      <c r="Y670" s="33"/>
      <c r="Z670" s="33"/>
      <c r="AA670" s="33"/>
      <c r="AB670" s="33"/>
      <c r="AC670" s="33"/>
    </row>
    <row r="671" hidden="1">
      <c r="A671" s="17" t="s">
        <v>302</v>
      </c>
      <c r="B671" s="33"/>
      <c r="C671" s="33"/>
      <c r="D671" s="33"/>
      <c r="E671" s="33"/>
      <c r="F671" s="33"/>
      <c r="G671" s="33"/>
      <c r="H671" s="23" t="str">
        <f>IFERROR(__xludf.DUMMYFUNCTION("if(REGEXMATCH(join("", "",$F671:$G671),H$1)=TRUE,""✓"",""✗"")"),"✗")</f>
        <v>✗</v>
      </c>
      <c r="I671" s="23" t="str">
        <f>IFERROR(__xludf.DUMMYFUNCTION("if(REGEXMATCH(join("", "",$F671:$G671),I$1)=TRUE,""✓"",""✗"")"),"✗")</f>
        <v>✗</v>
      </c>
      <c r="J671" s="23" t="str">
        <f>IFERROR(__xludf.DUMMYFUNCTION("if(REGEXMATCH(join("", "",$F671:$G671),J$1)=TRUE,""✓"",""✗"")"),"✗")</f>
        <v>✗</v>
      </c>
      <c r="K671" s="23" t="str">
        <f>IFERROR(__xludf.DUMMYFUNCTION("if(REGEXMATCH(join("", "",$F671:$G671),K$1)=TRUE,""✓"",""✗"")"),"✗")</f>
        <v>✗</v>
      </c>
      <c r="L671" s="23" t="str">
        <f>IFERROR(__xludf.DUMMYFUNCTION("if(REGEXMATCH(join("", "",$F671:$G671),L$1)=TRUE,""✓"",""✗"")"),"✗")</f>
        <v>✗</v>
      </c>
      <c r="M671" s="23" t="str">
        <f>IFERROR(__xludf.DUMMYFUNCTION("if(REGEXMATCH(join("", "",$F671:$G671),M$1)=TRUE,""✓"",""✗"")"),"✗")</f>
        <v>✗</v>
      </c>
      <c r="N671" s="23" t="str">
        <f>IFERROR(__xludf.DUMMYFUNCTION("if(REGEXMATCH(join("", "",$F671:$G671),N$1)=TRUE,""✓"",""✗"")"),"✗")</f>
        <v>✗</v>
      </c>
      <c r="O671" s="23" t="str">
        <f>IFERROR(__xludf.DUMMYFUNCTION("if(REGEXMATCH(join("", "",$F671:$G671),O$1)=TRUE,""✓"",""✗"")"),"✗")</f>
        <v>✗</v>
      </c>
      <c r="P671" s="23" t="str">
        <f>IFERROR(__xludf.DUMMYFUNCTION("if(REGEXMATCH(join("", "",$F671:$G671),P$1)=TRUE,""✓"",""✗"")"),"✗")</f>
        <v>✗</v>
      </c>
      <c r="Q671" s="23" t="str">
        <f>IFERROR(__xludf.DUMMYFUNCTION("if(REGEXMATCH(join("", "",$F671:$G671),Q$1)=TRUE,""✓"",""✗"")"),"✗")</f>
        <v>✗</v>
      </c>
      <c r="R671" s="23" t="str">
        <f>IFERROR(__xludf.DUMMYFUNCTION("if(REGEXMATCH(join("", "",$F671:$G671),R$1)=TRUE,""✓"",""✗"")"),"✗")</f>
        <v>✗</v>
      </c>
      <c r="S671" s="23" t="str">
        <f>IFERROR(__xludf.DUMMYFUNCTION("if(REGEXMATCH(join("", "",$F671:$G671),S$1)=TRUE,""✓"",""✗"")"),"✗")</f>
        <v>✗</v>
      </c>
      <c r="T671" s="23" t="str">
        <f>IFERROR(__xludf.DUMMYFUNCTION("if(REGEXMATCH(join("", "",$F671:$G671),T$1)=TRUE,""✓"",""✗"")"),"✗")</f>
        <v>✗</v>
      </c>
      <c r="U671" s="33"/>
      <c r="V671" s="33"/>
      <c r="W671" s="33"/>
      <c r="X671" s="33"/>
      <c r="Y671" s="33"/>
      <c r="Z671" s="33"/>
      <c r="AA671" s="33"/>
      <c r="AB671" s="33"/>
      <c r="AC671" s="33"/>
    </row>
    <row r="672" hidden="1">
      <c r="A672" s="17" t="s">
        <v>302</v>
      </c>
      <c r="B672" s="33"/>
      <c r="C672" s="33"/>
      <c r="D672" s="33"/>
      <c r="E672" s="33"/>
      <c r="F672" s="33"/>
      <c r="G672" s="33"/>
      <c r="H672" s="23" t="str">
        <f>IFERROR(__xludf.DUMMYFUNCTION("if(REGEXMATCH(join("", "",$F672:$G672),H$1)=TRUE,""✓"",""✗"")"),"✗")</f>
        <v>✗</v>
      </c>
      <c r="I672" s="23" t="str">
        <f>IFERROR(__xludf.DUMMYFUNCTION("if(REGEXMATCH(join("", "",$F672:$G672),I$1)=TRUE,""✓"",""✗"")"),"✗")</f>
        <v>✗</v>
      </c>
      <c r="J672" s="23" t="str">
        <f>IFERROR(__xludf.DUMMYFUNCTION("if(REGEXMATCH(join("", "",$F672:$G672),J$1)=TRUE,""✓"",""✗"")"),"✗")</f>
        <v>✗</v>
      </c>
      <c r="K672" s="23" t="str">
        <f>IFERROR(__xludf.DUMMYFUNCTION("if(REGEXMATCH(join("", "",$F672:$G672),K$1)=TRUE,""✓"",""✗"")"),"✗")</f>
        <v>✗</v>
      </c>
      <c r="L672" s="23" t="str">
        <f>IFERROR(__xludf.DUMMYFUNCTION("if(REGEXMATCH(join("", "",$F672:$G672),L$1)=TRUE,""✓"",""✗"")"),"✗")</f>
        <v>✗</v>
      </c>
      <c r="M672" s="23" t="str">
        <f>IFERROR(__xludf.DUMMYFUNCTION("if(REGEXMATCH(join("", "",$F672:$G672),M$1)=TRUE,""✓"",""✗"")"),"✗")</f>
        <v>✗</v>
      </c>
      <c r="N672" s="23" t="str">
        <f>IFERROR(__xludf.DUMMYFUNCTION("if(REGEXMATCH(join("", "",$F672:$G672),N$1)=TRUE,""✓"",""✗"")"),"✗")</f>
        <v>✗</v>
      </c>
      <c r="O672" s="23" t="str">
        <f>IFERROR(__xludf.DUMMYFUNCTION("if(REGEXMATCH(join("", "",$F672:$G672),O$1)=TRUE,""✓"",""✗"")"),"✗")</f>
        <v>✗</v>
      </c>
      <c r="P672" s="23" t="str">
        <f>IFERROR(__xludf.DUMMYFUNCTION("if(REGEXMATCH(join("", "",$F672:$G672),P$1)=TRUE,""✓"",""✗"")"),"✗")</f>
        <v>✗</v>
      </c>
      <c r="Q672" s="23" t="str">
        <f>IFERROR(__xludf.DUMMYFUNCTION("if(REGEXMATCH(join("", "",$F672:$G672),Q$1)=TRUE,""✓"",""✗"")"),"✗")</f>
        <v>✗</v>
      </c>
      <c r="R672" s="23" t="str">
        <f>IFERROR(__xludf.DUMMYFUNCTION("if(REGEXMATCH(join("", "",$F672:$G672),R$1)=TRUE,""✓"",""✗"")"),"✗")</f>
        <v>✗</v>
      </c>
      <c r="S672" s="23" t="str">
        <f>IFERROR(__xludf.DUMMYFUNCTION("if(REGEXMATCH(join("", "",$F672:$G672),S$1)=TRUE,""✓"",""✗"")"),"✗")</f>
        <v>✗</v>
      </c>
      <c r="T672" s="23" t="str">
        <f>IFERROR(__xludf.DUMMYFUNCTION("if(REGEXMATCH(join("", "",$F672:$G672),T$1)=TRUE,""✓"",""✗"")"),"✗")</f>
        <v>✗</v>
      </c>
      <c r="U672" s="33"/>
      <c r="V672" s="33"/>
      <c r="W672" s="33"/>
      <c r="X672" s="33"/>
      <c r="Y672" s="33"/>
      <c r="Z672" s="33"/>
      <c r="AA672" s="33"/>
      <c r="AB672" s="33"/>
      <c r="AC672" s="33"/>
    </row>
    <row r="673" hidden="1">
      <c r="A673" s="17" t="s">
        <v>302</v>
      </c>
      <c r="B673" s="33"/>
      <c r="C673" s="33"/>
      <c r="D673" s="33"/>
      <c r="E673" s="33"/>
      <c r="F673" s="33"/>
      <c r="G673" s="33"/>
      <c r="H673" s="23" t="str">
        <f>IFERROR(__xludf.DUMMYFUNCTION("if(REGEXMATCH(join("", "",$F673:$G673),H$1)=TRUE,""✓"",""✗"")"),"✗")</f>
        <v>✗</v>
      </c>
      <c r="I673" s="23" t="str">
        <f>IFERROR(__xludf.DUMMYFUNCTION("if(REGEXMATCH(join("", "",$F673:$G673),I$1)=TRUE,""✓"",""✗"")"),"✗")</f>
        <v>✗</v>
      </c>
      <c r="J673" s="23" t="str">
        <f>IFERROR(__xludf.DUMMYFUNCTION("if(REGEXMATCH(join("", "",$F673:$G673),J$1)=TRUE,""✓"",""✗"")"),"✗")</f>
        <v>✗</v>
      </c>
      <c r="K673" s="23" t="str">
        <f>IFERROR(__xludf.DUMMYFUNCTION("if(REGEXMATCH(join("", "",$F673:$G673),K$1)=TRUE,""✓"",""✗"")"),"✗")</f>
        <v>✗</v>
      </c>
      <c r="L673" s="23" t="str">
        <f>IFERROR(__xludf.DUMMYFUNCTION("if(REGEXMATCH(join("", "",$F673:$G673),L$1)=TRUE,""✓"",""✗"")"),"✗")</f>
        <v>✗</v>
      </c>
      <c r="M673" s="23" t="str">
        <f>IFERROR(__xludf.DUMMYFUNCTION("if(REGEXMATCH(join("", "",$F673:$G673),M$1)=TRUE,""✓"",""✗"")"),"✗")</f>
        <v>✗</v>
      </c>
      <c r="N673" s="23" t="str">
        <f>IFERROR(__xludf.DUMMYFUNCTION("if(REGEXMATCH(join("", "",$F673:$G673),N$1)=TRUE,""✓"",""✗"")"),"✗")</f>
        <v>✗</v>
      </c>
      <c r="O673" s="23" t="str">
        <f>IFERROR(__xludf.DUMMYFUNCTION("if(REGEXMATCH(join("", "",$F673:$G673),O$1)=TRUE,""✓"",""✗"")"),"✗")</f>
        <v>✗</v>
      </c>
      <c r="P673" s="23" t="str">
        <f>IFERROR(__xludf.DUMMYFUNCTION("if(REGEXMATCH(join("", "",$F673:$G673),P$1)=TRUE,""✓"",""✗"")"),"✗")</f>
        <v>✗</v>
      </c>
      <c r="Q673" s="23" t="str">
        <f>IFERROR(__xludf.DUMMYFUNCTION("if(REGEXMATCH(join("", "",$F673:$G673),Q$1)=TRUE,""✓"",""✗"")"),"✗")</f>
        <v>✗</v>
      </c>
      <c r="R673" s="23" t="str">
        <f>IFERROR(__xludf.DUMMYFUNCTION("if(REGEXMATCH(join("", "",$F673:$G673),R$1)=TRUE,""✓"",""✗"")"),"✗")</f>
        <v>✗</v>
      </c>
      <c r="S673" s="23" t="str">
        <f>IFERROR(__xludf.DUMMYFUNCTION("if(REGEXMATCH(join("", "",$F673:$G673),S$1)=TRUE,""✓"",""✗"")"),"✗")</f>
        <v>✗</v>
      </c>
      <c r="T673" s="23" t="str">
        <f>IFERROR(__xludf.DUMMYFUNCTION("if(REGEXMATCH(join("", "",$F673:$G673),T$1)=TRUE,""✓"",""✗"")"),"✗")</f>
        <v>✗</v>
      </c>
      <c r="U673" s="33"/>
      <c r="V673" s="33"/>
      <c r="W673" s="33"/>
      <c r="X673" s="33"/>
      <c r="Y673" s="33"/>
      <c r="Z673" s="33"/>
      <c r="AA673" s="33"/>
      <c r="AB673" s="33"/>
      <c r="AC673" s="33"/>
    </row>
    <row r="674" hidden="1">
      <c r="A674" s="17" t="s">
        <v>302</v>
      </c>
      <c r="B674" s="33"/>
      <c r="C674" s="33"/>
      <c r="D674" s="33"/>
      <c r="E674" s="33"/>
      <c r="F674" s="33"/>
      <c r="G674" s="33"/>
      <c r="H674" s="23" t="str">
        <f>IFERROR(__xludf.DUMMYFUNCTION("if(REGEXMATCH(join("", "",$F674:$G674),H$1)=TRUE,""✓"",""✗"")"),"✗")</f>
        <v>✗</v>
      </c>
      <c r="I674" s="23" t="str">
        <f>IFERROR(__xludf.DUMMYFUNCTION("if(REGEXMATCH(join("", "",$F674:$G674),I$1)=TRUE,""✓"",""✗"")"),"✗")</f>
        <v>✗</v>
      </c>
      <c r="J674" s="23" t="str">
        <f>IFERROR(__xludf.DUMMYFUNCTION("if(REGEXMATCH(join("", "",$F674:$G674),J$1)=TRUE,""✓"",""✗"")"),"✗")</f>
        <v>✗</v>
      </c>
      <c r="K674" s="23" t="str">
        <f>IFERROR(__xludf.DUMMYFUNCTION("if(REGEXMATCH(join("", "",$F674:$G674),K$1)=TRUE,""✓"",""✗"")"),"✗")</f>
        <v>✗</v>
      </c>
      <c r="L674" s="23" t="str">
        <f>IFERROR(__xludf.DUMMYFUNCTION("if(REGEXMATCH(join("", "",$F674:$G674),L$1)=TRUE,""✓"",""✗"")"),"✗")</f>
        <v>✗</v>
      </c>
      <c r="M674" s="23" t="str">
        <f>IFERROR(__xludf.DUMMYFUNCTION("if(REGEXMATCH(join("", "",$F674:$G674),M$1)=TRUE,""✓"",""✗"")"),"✗")</f>
        <v>✗</v>
      </c>
      <c r="N674" s="23" t="str">
        <f>IFERROR(__xludf.DUMMYFUNCTION("if(REGEXMATCH(join("", "",$F674:$G674),N$1)=TRUE,""✓"",""✗"")"),"✗")</f>
        <v>✗</v>
      </c>
      <c r="O674" s="23" t="str">
        <f>IFERROR(__xludf.DUMMYFUNCTION("if(REGEXMATCH(join("", "",$F674:$G674),O$1)=TRUE,""✓"",""✗"")"),"✗")</f>
        <v>✗</v>
      </c>
      <c r="P674" s="23" t="str">
        <f>IFERROR(__xludf.DUMMYFUNCTION("if(REGEXMATCH(join("", "",$F674:$G674),P$1)=TRUE,""✓"",""✗"")"),"✗")</f>
        <v>✗</v>
      </c>
      <c r="Q674" s="23" t="str">
        <f>IFERROR(__xludf.DUMMYFUNCTION("if(REGEXMATCH(join("", "",$F674:$G674),Q$1)=TRUE,""✓"",""✗"")"),"✗")</f>
        <v>✗</v>
      </c>
      <c r="R674" s="23" t="str">
        <f>IFERROR(__xludf.DUMMYFUNCTION("if(REGEXMATCH(join("", "",$F674:$G674),R$1)=TRUE,""✓"",""✗"")"),"✗")</f>
        <v>✗</v>
      </c>
      <c r="S674" s="23" t="str">
        <f>IFERROR(__xludf.DUMMYFUNCTION("if(REGEXMATCH(join("", "",$F674:$G674),S$1)=TRUE,""✓"",""✗"")"),"✗")</f>
        <v>✗</v>
      </c>
      <c r="T674" s="23" t="str">
        <f>IFERROR(__xludf.DUMMYFUNCTION("if(REGEXMATCH(join("", "",$F674:$G674),T$1)=TRUE,""✓"",""✗"")"),"✗")</f>
        <v>✗</v>
      </c>
      <c r="U674" s="33"/>
      <c r="V674" s="33"/>
      <c r="W674" s="33"/>
      <c r="X674" s="33"/>
      <c r="Y674" s="33"/>
      <c r="Z674" s="33"/>
      <c r="AA674" s="33"/>
      <c r="AB674" s="33"/>
      <c r="AC674" s="33"/>
    </row>
    <row r="675" hidden="1">
      <c r="A675" s="17" t="s">
        <v>302</v>
      </c>
      <c r="B675" s="33"/>
      <c r="C675" s="33"/>
      <c r="D675" s="33"/>
      <c r="E675" s="33"/>
      <c r="F675" s="33"/>
      <c r="G675" s="33"/>
      <c r="H675" s="23" t="str">
        <f>IFERROR(__xludf.DUMMYFUNCTION("if(REGEXMATCH(join("", "",$F675:$G675),H$1)=TRUE,""✓"",""✗"")"),"✗")</f>
        <v>✗</v>
      </c>
      <c r="I675" s="23" t="str">
        <f>IFERROR(__xludf.DUMMYFUNCTION("if(REGEXMATCH(join("", "",$F675:$G675),I$1)=TRUE,""✓"",""✗"")"),"✗")</f>
        <v>✗</v>
      </c>
      <c r="J675" s="23" t="str">
        <f>IFERROR(__xludf.DUMMYFUNCTION("if(REGEXMATCH(join("", "",$F675:$G675),J$1)=TRUE,""✓"",""✗"")"),"✗")</f>
        <v>✗</v>
      </c>
      <c r="K675" s="23" t="str">
        <f>IFERROR(__xludf.DUMMYFUNCTION("if(REGEXMATCH(join("", "",$F675:$G675),K$1)=TRUE,""✓"",""✗"")"),"✗")</f>
        <v>✗</v>
      </c>
      <c r="L675" s="23" t="str">
        <f>IFERROR(__xludf.DUMMYFUNCTION("if(REGEXMATCH(join("", "",$F675:$G675),L$1)=TRUE,""✓"",""✗"")"),"✗")</f>
        <v>✗</v>
      </c>
      <c r="M675" s="23" t="str">
        <f>IFERROR(__xludf.DUMMYFUNCTION("if(REGEXMATCH(join("", "",$F675:$G675),M$1)=TRUE,""✓"",""✗"")"),"✗")</f>
        <v>✗</v>
      </c>
      <c r="N675" s="23" t="str">
        <f>IFERROR(__xludf.DUMMYFUNCTION("if(REGEXMATCH(join("", "",$F675:$G675),N$1)=TRUE,""✓"",""✗"")"),"✗")</f>
        <v>✗</v>
      </c>
      <c r="O675" s="23" t="str">
        <f>IFERROR(__xludf.DUMMYFUNCTION("if(REGEXMATCH(join("", "",$F675:$G675),O$1)=TRUE,""✓"",""✗"")"),"✗")</f>
        <v>✗</v>
      </c>
      <c r="P675" s="23" t="str">
        <f>IFERROR(__xludf.DUMMYFUNCTION("if(REGEXMATCH(join("", "",$F675:$G675),P$1)=TRUE,""✓"",""✗"")"),"✗")</f>
        <v>✗</v>
      </c>
      <c r="Q675" s="23" t="str">
        <f>IFERROR(__xludf.DUMMYFUNCTION("if(REGEXMATCH(join("", "",$F675:$G675),Q$1)=TRUE,""✓"",""✗"")"),"✗")</f>
        <v>✗</v>
      </c>
      <c r="R675" s="23" t="str">
        <f>IFERROR(__xludf.DUMMYFUNCTION("if(REGEXMATCH(join("", "",$F675:$G675),R$1)=TRUE,""✓"",""✗"")"),"✗")</f>
        <v>✗</v>
      </c>
      <c r="S675" s="23" t="str">
        <f>IFERROR(__xludf.DUMMYFUNCTION("if(REGEXMATCH(join("", "",$F675:$G675),S$1)=TRUE,""✓"",""✗"")"),"✗")</f>
        <v>✗</v>
      </c>
      <c r="T675" s="23" t="str">
        <f>IFERROR(__xludf.DUMMYFUNCTION("if(REGEXMATCH(join("", "",$F675:$G675),T$1)=TRUE,""✓"",""✗"")"),"✗")</f>
        <v>✗</v>
      </c>
      <c r="U675" s="33"/>
      <c r="V675" s="33"/>
      <c r="W675" s="33"/>
      <c r="X675" s="33"/>
      <c r="Y675" s="33"/>
      <c r="Z675" s="33"/>
      <c r="AA675" s="33"/>
      <c r="AB675" s="33"/>
      <c r="AC675" s="33"/>
    </row>
    <row r="676" hidden="1">
      <c r="A676" s="17" t="s">
        <v>302</v>
      </c>
      <c r="B676" s="33"/>
      <c r="C676" s="33"/>
      <c r="D676" s="33"/>
      <c r="E676" s="33"/>
      <c r="F676" s="33"/>
      <c r="G676" s="33"/>
      <c r="H676" s="23" t="str">
        <f>IFERROR(__xludf.DUMMYFUNCTION("if(REGEXMATCH(join("", "",$F676:$G676),H$1)=TRUE,""✓"",""✗"")"),"✗")</f>
        <v>✗</v>
      </c>
      <c r="I676" s="23" t="str">
        <f>IFERROR(__xludf.DUMMYFUNCTION("if(REGEXMATCH(join("", "",$F676:$G676),I$1)=TRUE,""✓"",""✗"")"),"✗")</f>
        <v>✗</v>
      </c>
      <c r="J676" s="23" t="str">
        <f>IFERROR(__xludf.DUMMYFUNCTION("if(REGEXMATCH(join("", "",$F676:$G676),J$1)=TRUE,""✓"",""✗"")"),"✗")</f>
        <v>✗</v>
      </c>
      <c r="K676" s="23" t="str">
        <f>IFERROR(__xludf.DUMMYFUNCTION("if(REGEXMATCH(join("", "",$F676:$G676),K$1)=TRUE,""✓"",""✗"")"),"✗")</f>
        <v>✗</v>
      </c>
      <c r="L676" s="23" t="str">
        <f>IFERROR(__xludf.DUMMYFUNCTION("if(REGEXMATCH(join("", "",$F676:$G676),L$1)=TRUE,""✓"",""✗"")"),"✗")</f>
        <v>✗</v>
      </c>
      <c r="M676" s="23" t="str">
        <f>IFERROR(__xludf.DUMMYFUNCTION("if(REGEXMATCH(join("", "",$F676:$G676),M$1)=TRUE,""✓"",""✗"")"),"✗")</f>
        <v>✗</v>
      </c>
      <c r="N676" s="23" t="str">
        <f>IFERROR(__xludf.DUMMYFUNCTION("if(REGEXMATCH(join("", "",$F676:$G676),N$1)=TRUE,""✓"",""✗"")"),"✗")</f>
        <v>✗</v>
      </c>
      <c r="O676" s="23" t="str">
        <f>IFERROR(__xludf.DUMMYFUNCTION("if(REGEXMATCH(join("", "",$F676:$G676),O$1)=TRUE,""✓"",""✗"")"),"✗")</f>
        <v>✗</v>
      </c>
      <c r="P676" s="23" t="str">
        <f>IFERROR(__xludf.DUMMYFUNCTION("if(REGEXMATCH(join("", "",$F676:$G676),P$1)=TRUE,""✓"",""✗"")"),"✗")</f>
        <v>✗</v>
      </c>
      <c r="Q676" s="23" t="str">
        <f>IFERROR(__xludf.DUMMYFUNCTION("if(REGEXMATCH(join("", "",$F676:$G676),Q$1)=TRUE,""✓"",""✗"")"),"✗")</f>
        <v>✗</v>
      </c>
      <c r="R676" s="23" t="str">
        <f>IFERROR(__xludf.DUMMYFUNCTION("if(REGEXMATCH(join("", "",$F676:$G676),R$1)=TRUE,""✓"",""✗"")"),"✗")</f>
        <v>✗</v>
      </c>
      <c r="S676" s="23" t="str">
        <f>IFERROR(__xludf.DUMMYFUNCTION("if(REGEXMATCH(join("", "",$F676:$G676),S$1)=TRUE,""✓"",""✗"")"),"✗")</f>
        <v>✗</v>
      </c>
      <c r="T676" s="23" t="str">
        <f>IFERROR(__xludf.DUMMYFUNCTION("if(REGEXMATCH(join("", "",$F676:$G676),T$1)=TRUE,""✓"",""✗"")"),"✗")</f>
        <v>✗</v>
      </c>
      <c r="U676" s="33"/>
      <c r="V676" s="33"/>
      <c r="W676" s="33"/>
      <c r="X676" s="33"/>
      <c r="Y676" s="33"/>
      <c r="Z676" s="33"/>
      <c r="AA676" s="33"/>
      <c r="AB676" s="33"/>
      <c r="AC676" s="33"/>
    </row>
    <row r="677" hidden="1">
      <c r="A677" s="17" t="s">
        <v>302</v>
      </c>
      <c r="B677" s="33"/>
      <c r="C677" s="33"/>
      <c r="D677" s="33"/>
      <c r="E677" s="33"/>
      <c r="F677" s="33"/>
      <c r="G677" s="33"/>
      <c r="H677" s="23" t="str">
        <f>IFERROR(__xludf.DUMMYFUNCTION("if(REGEXMATCH(join("", "",$F677:$G677),H$1)=TRUE,""✓"",""✗"")"),"✗")</f>
        <v>✗</v>
      </c>
      <c r="I677" s="23" t="str">
        <f>IFERROR(__xludf.DUMMYFUNCTION("if(REGEXMATCH(join("", "",$F677:$G677),I$1)=TRUE,""✓"",""✗"")"),"✗")</f>
        <v>✗</v>
      </c>
      <c r="J677" s="23" t="str">
        <f>IFERROR(__xludf.DUMMYFUNCTION("if(REGEXMATCH(join("", "",$F677:$G677),J$1)=TRUE,""✓"",""✗"")"),"✗")</f>
        <v>✗</v>
      </c>
      <c r="K677" s="23" t="str">
        <f>IFERROR(__xludf.DUMMYFUNCTION("if(REGEXMATCH(join("", "",$F677:$G677),K$1)=TRUE,""✓"",""✗"")"),"✗")</f>
        <v>✗</v>
      </c>
      <c r="L677" s="23" t="str">
        <f>IFERROR(__xludf.DUMMYFUNCTION("if(REGEXMATCH(join("", "",$F677:$G677),L$1)=TRUE,""✓"",""✗"")"),"✗")</f>
        <v>✗</v>
      </c>
      <c r="M677" s="23" t="str">
        <f>IFERROR(__xludf.DUMMYFUNCTION("if(REGEXMATCH(join("", "",$F677:$G677),M$1)=TRUE,""✓"",""✗"")"),"✗")</f>
        <v>✗</v>
      </c>
      <c r="N677" s="23" t="str">
        <f>IFERROR(__xludf.DUMMYFUNCTION("if(REGEXMATCH(join("", "",$F677:$G677),N$1)=TRUE,""✓"",""✗"")"),"✗")</f>
        <v>✗</v>
      </c>
      <c r="O677" s="23" t="str">
        <f>IFERROR(__xludf.DUMMYFUNCTION("if(REGEXMATCH(join("", "",$F677:$G677),O$1)=TRUE,""✓"",""✗"")"),"✗")</f>
        <v>✗</v>
      </c>
      <c r="P677" s="23" t="str">
        <f>IFERROR(__xludf.DUMMYFUNCTION("if(REGEXMATCH(join("", "",$F677:$G677),P$1)=TRUE,""✓"",""✗"")"),"✗")</f>
        <v>✗</v>
      </c>
      <c r="Q677" s="23" t="str">
        <f>IFERROR(__xludf.DUMMYFUNCTION("if(REGEXMATCH(join("", "",$F677:$G677),Q$1)=TRUE,""✓"",""✗"")"),"✗")</f>
        <v>✗</v>
      </c>
      <c r="R677" s="23" t="str">
        <f>IFERROR(__xludf.DUMMYFUNCTION("if(REGEXMATCH(join("", "",$F677:$G677),R$1)=TRUE,""✓"",""✗"")"),"✗")</f>
        <v>✗</v>
      </c>
      <c r="S677" s="23" t="str">
        <f>IFERROR(__xludf.DUMMYFUNCTION("if(REGEXMATCH(join("", "",$F677:$G677),S$1)=TRUE,""✓"",""✗"")"),"✗")</f>
        <v>✗</v>
      </c>
      <c r="T677" s="23" t="str">
        <f>IFERROR(__xludf.DUMMYFUNCTION("if(REGEXMATCH(join("", "",$F677:$G677),T$1)=TRUE,""✓"",""✗"")"),"✗")</f>
        <v>✗</v>
      </c>
      <c r="U677" s="33"/>
      <c r="V677" s="33"/>
      <c r="W677" s="33"/>
      <c r="X677" s="33"/>
      <c r="Y677" s="33"/>
      <c r="Z677" s="33"/>
      <c r="AA677" s="33"/>
      <c r="AB677" s="33"/>
      <c r="AC677" s="33"/>
    </row>
    <row r="678" hidden="1">
      <c r="A678" s="17" t="s">
        <v>302</v>
      </c>
      <c r="B678" s="33"/>
      <c r="C678" s="33"/>
      <c r="D678" s="33"/>
      <c r="E678" s="33"/>
      <c r="F678" s="33"/>
      <c r="G678" s="33"/>
      <c r="H678" s="23" t="str">
        <f>IFERROR(__xludf.DUMMYFUNCTION("if(REGEXMATCH(join("", "",$F678:$G678),H$1)=TRUE,""✓"",""✗"")"),"✗")</f>
        <v>✗</v>
      </c>
      <c r="I678" s="23" t="str">
        <f>IFERROR(__xludf.DUMMYFUNCTION("if(REGEXMATCH(join("", "",$F678:$G678),I$1)=TRUE,""✓"",""✗"")"),"✗")</f>
        <v>✗</v>
      </c>
      <c r="J678" s="23" t="str">
        <f>IFERROR(__xludf.DUMMYFUNCTION("if(REGEXMATCH(join("", "",$F678:$G678),J$1)=TRUE,""✓"",""✗"")"),"✗")</f>
        <v>✗</v>
      </c>
      <c r="K678" s="23" t="str">
        <f>IFERROR(__xludf.DUMMYFUNCTION("if(REGEXMATCH(join("", "",$F678:$G678),K$1)=TRUE,""✓"",""✗"")"),"✗")</f>
        <v>✗</v>
      </c>
      <c r="L678" s="23" t="str">
        <f>IFERROR(__xludf.DUMMYFUNCTION("if(REGEXMATCH(join("", "",$F678:$G678),L$1)=TRUE,""✓"",""✗"")"),"✗")</f>
        <v>✗</v>
      </c>
      <c r="M678" s="23" t="str">
        <f>IFERROR(__xludf.DUMMYFUNCTION("if(REGEXMATCH(join("", "",$F678:$G678),M$1)=TRUE,""✓"",""✗"")"),"✗")</f>
        <v>✗</v>
      </c>
      <c r="N678" s="23" t="str">
        <f>IFERROR(__xludf.DUMMYFUNCTION("if(REGEXMATCH(join("", "",$F678:$G678),N$1)=TRUE,""✓"",""✗"")"),"✗")</f>
        <v>✗</v>
      </c>
      <c r="O678" s="23" t="str">
        <f>IFERROR(__xludf.DUMMYFUNCTION("if(REGEXMATCH(join("", "",$F678:$G678),O$1)=TRUE,""✓"",""✗"")"),"✗")</f>
        <v>✗</v>
      </c>
      <c r="P678" s="23" t="str">
        <f>IFERROR(__xludf.DUMMYFUNCTION("if(REGEXMATCH(join("", "",$F678:$G678),P$1)=TRUE,""✓"",""✗"")"),"✗")</f>
        <v>✗</v>
      </c>
      <c r="Q678" s="23" t="str">
        <f>IFERROR(__xludf.DUMMYFUNCTION("if(REGEXMATCH(join("", "",$F678:$G678),Q$1)=TRUE,""✓"",""✗"")"),"✗")</f>
        <v>✗</v>
      </c>
      <c r="R678" s="23" t="str">
        <f>IFERROR(__xludf.DUMMYFUNCTION("if(REGEXMATCH(join("", "",$F678:$G678),R$1)=TRUE,""✓"",""✗"")"),"✗")</f>
        <v>✗</v>
      </c>
      <c r="S678" s="23" t="str">
        <f>IFERROR(__xludf.DUMMYFUNCTION("if(REGEXMATCH(join("", "",$F678:$G678),S$1)=TRUE,""✓"",""✗"")"),"✗")</f>
        <v>✗</v>
      </c>
      <c r="T678" s="23" t="str">
        <f>IFERROR(__xludf.DUMMYFUNCTION("if(REGEXMATCH(join("", "",$F678:$G678),T$1)=TRUE,""✓"",""✗"")"),"✗")</f>
        <v>✗</v>
      </c>
      <c r="U678" s="33"/>
      <c r="V678" s="33"/>
      <c r="W678" s="33"/>
      <c r="X678" s="33"/>
      <c r="Y678" s="33"/>
      <c r="Z678" s="33"/>
      <c r="AA678" s="33"/>
      <c r="AB678" s="33"/>
      <c r="AC678" s="33"/>
    </row>
    <row r="679" hidden="1">
      <c r="A679" s="17" t="s">
        <v>302</v>
      </c>
      <c r="B679" s="33"/>
      <c r="C679" s="33"/>
      <c r="D679" s="33"/>
      <c r="E679" s="33"/>
      <c r="F679" s="33"/>
      <c r="G679" s="33"/>
      <c r="H679" s="23" t="str">
        <f>IFERROR(__xludf.DUMMYFUNCTION("if(REGEXMATCH(join("", "",$F679:$G679),H$1)=TRUE,""✓"",""✗"")"),"✗")</f>
        <v>✗</v>
      </c>
      <c r="I679" s="23" t="str">
        <f>IFERROR(__xludf.DUMMYFUNCTION("if(REGEXMATCH(join("", "",$F679:$G679),I$1)=TRUE,""✓"",""✗"")"),"✗")</f>
        <v>✗</v>
      </c>
      <c r="J679" s="23" t="str">
        <f>IFERROR(__xludf.DUMMYFUNCTION("if(REGEXMATCH(join("", "",$F679:$G679),J$1)=TRUE,""✓"",""✗"")"),"✗")</f>
        <v>✗</v>
      </c>
      <c r="K679" s="23" t="str">
        <f>IFERROR(__xludf.DUMMYFUNCTION("if(REGEXMATCH(join("", "",$F679:$G679),K$1)=TRUE,""✓"",""✗"")"),"✗")</f>
        <v>✗</v>
      </c>
      <c r="L679" s="23" t="str">
        <f>IFERROR(__xludf.DUMMYFUNCTION("if(REGEXMATCH(join("", "",$F679:$G679),L$1)=TRUE,""✓"",""✗"")"),"✗")</f>
        <v>✗</v>
      </c>
      <c r="M679" s="23" t="str">
        <f>IFERROR(__xludf.DUMMYFUNCTION("if(REGEXMATCH(join("", "",$F679:$G679),M$1)=TRUE,""✓"",""✗"")"),"✗")</f>
        <v>✗</v>
      </c>
      <c r="N679" s="23" t="str">
        <f>IFERROR(__xludf.DUMMYFUNCTION("if(REGEXMATCH(join("", "",$F679:$G679),N$1)=TRUE,""✓"",""✗"")"),"✗")</f>
        <v>✗</v>
      </c>
      <c r="O679" s="23" t="str">
        <f>IFERROR(__xludf.DUMMYFUNCTION("if(REGEXMATCH(join("", "",$F679:$G679),O$1)=TRUE,""✓"",""✗"")"),"✗")</f>
        <v>✗</v>
      </c>
      <c r="P679" s="23" t="str">
        <f>IFERROR(__xludf.DUMMYFUNCTION("if(REGEXMATCH(join("", "",$F679:$G679),P$1)=TRUE,""✓"",""✗"")"),"✗")</f>
        <v>✗</v>
      </c>
      <c r="Q679" s="23" t="str">
        <f>IFERROR(__xludf.DUMMYFUNCTION("if(REGEXMATCH(join("", "",$F679:$G679),Q$1)=TRUE,""✓"",""✗"")"),"✗")</f>
        <v>✗</v>
      </c>
      <c r="R679" s="23" t="str">
        <f>IFERROR(__xludf.DUMMYFUNCTION("if(REGEXMATCH(join("", "",$F679:$G679),R$1)=TRUE,""✓"",""✗"")"),"✗")</f>
        <v>✗</v>
      </c>
      <c r="S679" s="23" t="str">
        <f>IFERROR(__xludf.DUMMYFUNCTION("if(REGEXMATCH(join("", "",$F679:$G679),S$1)=TRUE,""✓"",""✗"")"),"✗")</f>
        <v>✗</v>
      </c>
      <c r="T679" s="23" t="str">
        <f>IFERROR(__xludf.DUMMYFUNCTION("if(REGEXMATCH(join("", "",$F679:$G679),T$1)=TRUE,""✓"",""✗"")"),"✗")</f>
        <v>✗</v>
      </c>
      <c r="U679" s="33"/>
      <c r="V679" s="33"/>
      <c r="W679" s="33"/>
      <c r="X679" s="33"/>
      <c r="Y679" s="33"/>
      <c r="Z679" s="33"/>
      <c r="AA679" s="33"/>
      <c r="AB679" s="33"/>
      <c r="AC679" s="33"/>
    </row>
    <row r="680" hidden="1">
      <c r="A680" s="17" t="s">
        <v>302</v>
      </c>
      <c r="B680" s="33"/>
      <c r="C680" s="33"/>
      <c r="D680" s="33"/>
      <c r="E680" s="33"/>
      <c r="F680" s="33"/>
      <c r="G680" s="33"/>
      <c r="H680" s="23" t="str">
        <f>IFERROR(__xludf.DUMMYFUNCTION("if(REGEXMATCH(join("", "",$F680:$G680),H$1)=TRUE,""✓"",""✗"")"),"✗")</f>
        <v>✗</v>
      </c>
      <c r="I680" s="23" t="str">
        <f>IFERROR(__xludf.DUMMYFUNCTION("if(REGEXMATCH(join("", "",$F680:$G680),I$1)=TRUE,""✓"",""✗"")"),"✗")</f>
        <v>✗</v>
      </c>
      <c r="J680" s="23" t="str">
        <f>IFERROR(__xludf.DUMMYFUNCTION("if(REGEXMATCH(join("", "",$F680:$G680),J$1)=TRUE,""✓"",""✗"")"),"✗")</f>
        <v>✗</v>
      </c>
      <c r="K680" s="23" t="str">
        <f>IFERROR(__xludf.DUMMYFUNCTION("if(REGEXMATCH(join("", "",$F680:$G680),K$1)=TRUE,""✓"",""✗"")"),"✗")</f>
        <v>✗</v>
      </c>
      <c r="L680" s="23" t="str">
        <f>IFERROR(__xludf.DUMMYFUNCTION("if(REGEXMATCH(join("", "",$F680:$G680),L$1)=TRUE,""✓"",""✗"")"),"✗")</f>
        <v>✗</v>
      </c>
      <c r="M680" s="23" t="str">
        <f>IFERROR(__xludf.DUMMYFUNCTION("if(REGEXMATCH(join("", "",$F680:$G680),M$1)=TRUE,""✓"",""✗"")"),"✗")</f>
        <v>✗</v>
      </c>
      <c r="N680" s="23" t="str">
        <f>IFERROR(__xludf.DUMMYFUNCTION("if(REGEXMATCH(join("", "",$F680:$G680),N$1)=TRUE,""✓"",""✗"")"),"✗")</f>
        <v>✗</v>
      </c>
      <c r="O680" s="23" t="str">
        <f>IFERROR(__xludf.DUMMYFUNCTION("if(REGEXMATCH(join("", "",$F680:$G680),O$1)=TRUE,""✓"",""✗"")"),"✗")</f>
        <v>✗</v>
      </c>
      <c r="P680" s="23" t="str">
        <f>IFERROR(__xludf.DUMMYFUNCTION("if(REGEXMATCH(join("", "",$F680:$G680),P$1)=TRUE,""✓"",""✗"")"),"✗")</f>
        <v>✗</v>
      </c>
      <c r="Q680" s="23" t="str">
        <f>IFERROR(__xludf.DUMMYFUNCTION("if(REGEXMATCH(join("", "",$F680:$G680),Q$1)=TRUE,""✓"",""✗"")"),"✗")</f>
        <v>✗</v>
      </c>
      <c r="R680" s="23" t="str">
        <f>IFERROR(__xludf.DUMMYFUNCTION("if(REGEXMATCH(join("", "",$F680:$G680),R$1)=TRUE,""✓"",""✗"")"),"✗")</f>
        <v>✗</v>
      </c>
      <c r="S680" s="23" t="str">
        <f>IFERROR(__xludf.DUMMYFUNCTION("if(REGEXMATCH(join("", "",$F680:$G680),S$1)=TRUE,""✓"",""✗"")"),"✗")</f>
        <v>✗</v>
      </c>
      <c r="T680" s="23" t="str">
        <f>IFERROR(__xludf.DUMMYFUNCTION("if(REGEXMATCH(join("", "",$F680:$G680),T$1)=TRUE,""✓"",""✗"")"),"✗")</f>
        <v>✗</v>
      </c>
      <c r="U680" s="33"/>
      <c r="V680" s="33"/>
      <c r="W680" s="33"/>
      <c r="X680" s="33"/>
      <c r="Y680" s="33"/>
      <c r="Z680" s="33"/>
      <c r="AA680" s="33"/>
      <c r="AB680" s="33"/>
      <c r="AC680" s="33"/>
    </row>
    <row r="681" hidden="1">
      <c r="A681" s="17" t="s">
        <v>302</v>
      </c>
      <c r="B681" s="33"/>
      <c r="C681" s="33"/>
      <c r="D681" s="33"/>
      <c r="E681" s="33"/>
      <c r="F681" s="33"/>
      <c r="G681" s="33"/>
      <c r="H681" s="23" t="str">
        <f>IFERROR(__xludf.DUMMYFUNCTION("if(REGEXMATCH(join("", "",$F681:$G681),H$1)=TRUE,""✓"",""✗"")"),"✗")</f>
        <v>✗</v>
      </c>
      <c r="I681" s="23" t="str">
        <f>IFERROR(__xludf.DUMMYFUNCTION("if(REGEXMATCH(join("", "",$F681:$G681),I$1)=TRUE,""✓"",""✗"")"),"✗")</f>
        <v>✗</v>
      </c>
      <c r="J681" s="23" t="str">
        <f>IFERROR(__xludf.DUMMYFUNCTION("if(REGEXMATCH(join("", "",$F681:$G681),J$1)=TRUE,""✓"",""✗"")"),"✗")</f>
        <v>✗</v>
      </c>
      <c r="K681" s="23" t="str">
        <f>IFERROR(__xludf.DUMMYFUNCTION("if(REGEXMATCH(join("", "",$F681:$G681),K$1)=TRUE,""✓"",""✗"")"),"✗")</f>
        <v>✗</v>
      </c>
      <c r="L681" s="23" t="str">
        <f>IFERROR(__xludf.DUMMYFUNCTION("if(REGEXMATCH(join("", "",$F681:$G681),L$1)=TRUE,""✓"",""✗"")"),"✗")</f>
        <v>✗</v>
      </c>
      <c r="M681" s="23" t="str">
        <f>IFERROR(__xludf.DUMMYFUNCTION("if(REGEXMATCH(join("", "",$F681:$G681),M$1)=TRUE,""✓"",""✗"")"),"✗")</f>
        <v>✗</v>
      </c>
      <c r="N681" s="23" t="str">
        <f>IFERROR(__xludf.DUMMYFUNCTION("if(REGEXMATCH(join("", "",$F681:$G681),N$1)=TRUE,""✓"",""✗"")"),"✗")</f>
        <v>✗</v>
      </c>
      <c r="O681" s="23" t="str">
        <f>IFERROR(__xludf.DUMMYFUNCTION("if(REGEXMATCH(join("", "",$F681:$G681),O$1)=TRUE,""✓"",""✗"")"),"✗")</f>
        <v>✗</v>
      </c>
      <c r="P681" s="23" t="str">
        <f>IFERROR(__xludf.DUMMYFUNCTION("if(REGEXMATCH(join("", "",$F681:$G681),P$1)=TRUE,""✓"",""✗"")"),"✗")</f>
        <v>✗</v>
      </c>
      <c r="Q681" s="23" t="str">
        <f>IFERROR(__xludf.DUMMYFUNCTION("if(REGEXMATCH(join("", "",$F681:$G681),Q$1)=TRUE,""✓"",""✗"")"),"✗")</f>
        <v>✗</v>
      </c>
      <c r="R681" s="23" t="str">
        <f>IFERROR(__xludf.DUMMYFUNCTION("if(REGEXMATCH(join("", "",$F681:$G681),R$1)=TRUE,""✓"",""✗"")"),"✗")</f>
        <v>✗</v>
      </c>
      <c r="S681" s="23" t="str">
        <f>IFERROR(__xludf.DUMMYFUNCTION("if(REGEXMATCH(join("", "",$F681:$G681),S$1)=TRUE,""✓"",""✗"")"),"✗")</f>
        <v>✗</v>
      </c>
      <c r="T681" s="23" t="str">
        <f>IFERROR(__xludf.DUMMYFUNCTION("if(REGEXMATCH(join("", "",$F681:$G681),T$1)=TRUE,""✓"",""✗"")"),"✗")</f>
        <v>✗</v>
      </c>
      <c r="U681" s="33"/>
      <c r="V681" s="33"/>
      <c r="W681" s="33"/>
      <c r="X681" s="33"/>
      <c r="Y681" s="33"/>
      <c r="Z681" s="33"/>
      <c r="AA681" s="33"/>
      <c r="AB681" s="33"/>
      <c r="AC681" s="33"/>
    </row>
    <row r="682" hidden="1">
      <c r="A682" s="17" t="s">
        <v>302</v>
      </c>
      <c r="B682" s="33"/>
      <c r="C682" s="33"/>
      <c r="D682" s="33"/>
      <c r="E682" s="33"/>
      <c r="F682" s="33"/>
      <c r="G682" s="33"/>
      <c r="H682" s="23" t="str">
        <f>IFERROR(__xludf.DUMMYFUNCTION("if(REGEXMATCH(join("", "",$F682:$G682),H$1)=TRUE,""✓"",""✗"")"),"✗")</f>
        <v>✗</v>
      </c>
      <c r="I682" s="23" t="str">
        <f>IFERROR(__xludf.DUMMYFUNCTION("if(REGEXMATCH(join("", "",$F682:$G682),I$1)=TRUE,""✓"",""✗"")"),"✗")</f>
        <v>✗</v>
      </c>
      <c r="J682" s="23" t="str">
        <f>IFERROR(__xludf.DUMMYFUNCTION("if(REGEXMATCH(join("", "",$F682:$G682),J$1)=TRUE,""✓"",""✗"")"),"✗")</f>
        <v>✗</v>
      </c>
      <c r="K682" s="23" t="str">
        <f>IFERROR(__xludf.DUMMYFUNCTION("if(REGEXMATCH(join("", "",$F682:$G682),K$1)=TRUE,""✓"",""✗"")"),"✗")</f>
        <v>✗</v>
      </c>
      <c r="L682" s="23" t="str">
        <f>IFERROR(__xludf.DUMMYFUNCTION("if(REGEXMATCH(join("", "",$F682:$G682),L$1)=TRUE,""✓"",""✗"")"),"✗")</f>
        <v>✗</v>
      </c>
      <c r="M682" s="23" t="str">
        <f>IFERROR(__xludf.DUMMYFUNCTION("if(REGEXMATCH(join("", "",$F682:$G682),M$1)=TRUE,""✓"",""✗"")"),"✗")</f>
        <v>✗</v>
      </c>
      <c r="N682" s="23" t="str">
        <f>IFERROR(__xludf.DUMMYFUNCTION("if(REGEXMATCH(join("", "",$F682:$G682),N$1)=TRUE,""✓"",""✗"")"),"✗")</f>
        <v>✗</v>
      </c>
      <c r="O682" s="23" t="str">
        <f>IFERROR(__xludf.DUMMYFUNCTION("if(REGEXMATCH(join("", "",$F682:$G682),O$1)=TRUE,""✓"",""✗"")"),"✗")</f>
        <v>✗</v>
      </c>
      <c r="P682" s="23" t="str">
        <f>IFERROR(__xludf.DUMMYFUNCTION("if(REGEXMATCH(join("", "",$F682:$G682),P$1)=TRUE,""✓"",""✗"")"),"✗")</f>
        <v>✗</v>
      </c>
      <c r="Q682" s="23" t="str">
        <f>IFERROR(__xludf.DUMMYFUNCTION("if(REGEXMATCH(join("", "",$F682:$G682),Q$1)=TRUE,""✓"",""✗"")"),"✗")</f>
        <v>✗</v>
      </c>
      <c r="R682" s="23" t="str">
        <f>IFERROR(__xludf.DUMMYFUNCTION("if(REGEXMATCH(join("", "",$F682:$G682),R$1)=TRUE,""✓"",""✗"")"),"✗")</f>
        <v>✗</v>
      </c>
      <c r="S682" s="23" t="str">
        <f>IFERROR(__xludf.DUMMYFUNCTION("if(REGEXMATCH(join("", "",$F682:$G682),S$1)=TRUE,""✓"",""✗"")"),"✗")</f>
        <v>✗</v>
      </c>
      <c r="T682" s="23" t="str">
        <f>IFERROR(__xludf.DUMMYFUNCTION("if(REGEXMATCH(join("", "",$F682:$G682),T$1)=TRUE,""✓"",""✗"")"),"✗")</f>
        <v>✗</v>
      </c>
      <c r="U682" s="33"/>
      <c r="V682" s="33"/>
      <c r="W682" s="33"/>
      <c r="X682" s="33"/>
      <c r="Y682" s="33"/>
      <c r="Z682" s="33"/>
      <c r="AA682" s="33"/>
      <c r="AB682" s="33"/>
      <c r="AC682" s="33"/>
    </row>
    <row r="683" hidden="1">
      <c r="A683" s="17" t="s">
        <v>302</v>
      </c>
      <c r="B683" s="33"/>
      <c r="C683" s="33"/>
      <c r="D683" s="33"/>
      <c r="E683" s="33"/>
      <c r="F683" s="33"/>
      <c r="G683" s="33"/>
      <c r="H683" s="23" t="str">
        <f>IFERROR(__xludf.DUMMYFUNCTION("if(REGEXMATCH(join("", "",$F683:$G683),H$1)=TRUE,""✓"",""✗"")"),"✗")</f>
        <v>✗</v>
      </c>
      <c r="I683" s="23" t="str">
        <f>IFERROR(__xludf.DUMMYFUNCTION("if(REGEXMATCH(join("", "",$F683:$G683),I$1)=TRUE,""✓"",""✗"")"),"✗")</f>
        <v>✗</v>
      </c>
      <c r="J683" s="23" t="str">
        <f>IFERROR(__xludf.DUMMYFUNCTION("if(REGEXMATCH(join("", "",$F683:$G683),J$1)=TRUE,""✓"",""✗"")"),"✗")</f>
        <v>✗</v>
      </c>
      <c r="K683" s="23" t="str">
        <f>IFERROR(__xludf.DUMMYFUNCTION("if(REGEXMATCH(join("", "",$F683:$G683),K$1)=TRUE,""✓"",""✗"")"),"✗")</f>
        <v>✗</v>
      </c>
      <c r="L683" s="23" t="str">
        <f>IFERROR(__xludf.DUMMYFUNCTION("if(REGEXMATCH(join("", "",$F683:$G683),L$1)=TRUE,""✓"",""✗"")"),"✗")</f>
        <v>✗</v>
      </c>
      <c r="M683" s="23" t="str">
        <f>IFERROR(__xludf.DUMMYFUNCTION("if(REGEXMATCH(join("", "",$F683:$G683),M$1)=TRUE,""✓"",""✗"")"),"✗")</f>
        <v>✗</v>
      </c>
      <c r="N683" s="23" t="str">
        <f>IFERROR(__xludf.DUMMYFUNCTION("if(REGEXMATCH(join("", "",$F683:$G683),N$1)=TRUE,""✓"",""✗"")"),"✗")</f>
        <v>✗</v>
      </c>
      <c r="O683" s="23" t="str">
        <f>IFERROR(__xludf.DUMMYFUNCTION("if(REGEXMATCH(join("", "",$F683:$G683),O$1)=TRUE,""✓"",""✗"")"),"✗")</f>
        <v>✗</v>
      </c>
      <c r="P683" s="23" t="str">
        <f>IFERROR(__xludf.DUMMYFUNCTION("if(REGEXMATCH(join("", "",$F683:$G683),P$1)=TRUE,""✓"",""✗"")"),"✗")</f>
        <v>✗</v>
      </c>
      <c r="Q683" s="23" t="str">
        <f>IFERROR(__xludf.DUMMYFUNCTION("if(REGEXMATCH(join("", "",$F683:$G683),Q$1)=TRUE,""✓"",""✗"")"),"✗")</f>
        <v>✗</v>
      </c>
      <c r="R683" s="23" t="str">
        <f>IFERROR(__xludf.DUMMYFUNCTION("if(REGEXMATCH(join("", "",$F683:$G683),R$1)=TRUE,""✓"",""✗"")"),"✗")</f>
        <v>✗</v>
      </c>
      <c r="S683" s="23" t="str">
        <f>IFERROR(__xludf.DUMMYFUNCTION("if(REGEXMATCH(join("", "",$F683:$G683),S$1)=TRUE,""✓"",""✗"")"),"✗")</f>
        <v>✗</v>
      </c>
      <c r="T683" s="23" t="str">
        <f>IFERROR(__xludf.DUMMYFUNCTION("if(REGEXMATCH(join("", "",$F683:$G683),T$1)=TRUE,""✓"",""✗"")"),"✗")</f>
        <v>✗</v>
      </c>
      <c r="U683" s="33"/>
      <c r="V683" s="33"/>
      <c r="W683" s="33"/>
      <c r="X683" s="33"/>
      <c r="Y683" s="33"/>
      <c r="Z683" s="33"/>
      <c r="AA683" s="33"/>
      <c r="AB683" s="33"/>
      <c r="AC683" s="33"/>
    </row>
    <row r="684" hidden="1">
      <c r="A684" s="17" t="s">
        <v>302</v>
      </c>
      <c r="B684" s="33"/>
      <c r="C684" s="33"/>
      <c r="D684" s="33"/>
      <c r="E684" s="33"/>
      <c r="F684" s="33"/>
      <c r="G684" s="33"/>
      <c r="H684" s="23" t="str">
        <f>IFERROR(__xludf.DUMMYFUNCTION("if(REGEXMATCH(join("", "",$F684:$G684),H$1)=TRUE,""✓"",""✗"")"),"✗")</f>
        <v>✗</v>
      </c>
      <c r="I684" s="23" t="str">
        <f>IFERROR(__xludf.DUMMYFUNCTION("if(REGEXMATCH(join("", "",$F684:$G684),I$1)=TRUE,""✓"",""✗"")"),"✗")</f>
        <v>✗</v>
      </c>
      <c r="J684" s="23" t="str">
        <f>IFERROR(__xludf.DUMMYFUNCTION("if(REGEXMATCH(join("", "",$F684:$G684),J$1)=TRUE,""✓"",""✗"")"),"✗")</f>
        <v>✗</v>
      </c>
      <c r="K684" s="23" t="str">
        <f>IFERROR(__xludf.DUMMYFUNCTION("if(REGEXMATCH(join("", "",$F684:$G684),K$1)=TRUE,""✓"",""✗"")"),"✗")</f>
        <v>✗</v>
      </c>
      <c r="L684" s="23" t="str">
        <f>IFERROR(__xludf.DUMMYFUNCTION("if(REGEXMATCH(join("", "",$F684:$G684),L$1)=TRUE,""✓"",""✗"")"),"✗")</f>
        <v>✗</v>
      </c>
      <c r="M684" s="23" t="str">
        <f>IFERROR(__xludf.DUMMYFUNCTION("if(REGEXMATCH(join("", "",$F684:$G684),M$1)=TRUE,""✓"",""✗"")"),"✗")</f>
        <v>✗</v>
      </c>
      <c r="N684" s="23" t="str">
        <f>IFERROR(__xludf.DUMMYFUNCTION("if(REGEXMATCH(join("", "",$F684:$G684),N$1)=TRUE,""✓"",""✗"")"),"✗")</f>
        <v>✗</v>
      </c>
      <c r="O684" s="23" t="str">
        <f>IFERROR(__xludf.DUMMYFUNCTION("if(REGEXMATCH(join("", "",$F684:$G684),O$1)=TRUE,""✓"",""✗"")"),"✗")</f>
        <v>✗</v>
      </c>
      <c r="P684" s="23" t="str">
        <f>IFERROR(__xludf.DUMMYFUNCTION("if(REGEXMATCH(join("", "",$F684:$G684),P$1)=TRUE,""✓"",""✗"")"),"✗")</f>
        <v>✗</v>
      </c>
      <c r="Q684" s="23" t="str">
        <f>IFERROR(__xludf.DUMMYFUNCTION("if(REGEXMATCH(join("", "",$F684:$G684),Q$1)=TRUE,""✓"",""✗"")"),"✗")</f>
        <v>✗</v>
      </c>
      <c r="R684" s="23" t="str">
        <f>IFERROR(__xludf.DUMMYFUNCTION("if(REGEXMATCH(join("", "",$F684:$G684),R$1)=TRUE,""✓"",""✗"")"),"✗")</f>
        <v>✗</v>
      </c>
      <c r="S684" s="23" t="str">
        <f>IFERROR(__xludf.DUMMYFUNCTION("if(REGEXMATCH(join("", "",$F684:$G684),S$1)=TRUE,""✓"",""✗"")"),"✗")</f>
        <v>✗</v>
      </c>
      <c r="T684" s="23" t="str">
        <f>IFERROR(__xludf.DUMMYFUNCTION("if(REGEXMATCH(join("", "",$F684:$G684),T$1)=TRUE,""✓"",""✗"")"),"✗")</f>
        <v>✗</v>
      </c>
      <c r="U684" s="33"/>
      <c r="V684" s="33"/>
      <c r="W684" s="33"/>
      <c r="X684" s="33"/>
      <c r="Y684" s="33"/>
      <c r="Z684" s="33"/>
      <c r="AA684" s="33"/>
      <c r="AB684" s="33"/>
      <c r="AC684" s="33"/>
    </row>
    <row r="685" hidden="1">
      <c r="A685" s="17" t="s">
        <v>302</v>
      </c>
      <c r="B685" s="33"/>
      <c r="C685" s="33"/>
      <c r="D685" s="33"/>
      <c r="E685" s="33"/>
      <c r="F685" s="33"/>
      <c r="G685" s="33"/>
      <c r="H685" s="23" t="str">
        <f>IFERROR(__xludf.DUMMYFUNCTION("if(REGEXMATCH(join("", "",$F685:$G685),H$1)=TRUE,""✓"",""✗"")"),"✗")</f>
        <v>✗</v>
      </c>
      <c r="I685" s="23" t="str">
        <f>IFERROR(__xludf.DUMMYFUNCTION("if(REGEXMATCH(join("", "",$F685:$G685),I$1)=TRUE,""✓"",""✗"")"),"✗")</f>
        <v>✗</v>
      </c>
      <c r="J685" s="23" t="str">
        <f>IFERROR(__xludf.DUMMYFUNCTION("if(REGEXMATCH(join("", "",$F685:$G685),J$1)=TRUE,""✓"",""✗"")"),"✗")</f>
        <v>✗</v>
      </c>
      <c r="K685" s="23" t="str">
        <f>IFERROR(__xludf.DUMMYFUNCTION("if(REGEXMATCH(join("", "",$F685:$G685),K$1)=TRUE,""✓"",""✗"")"),"✗")</f>
        <v>✗</v>
      </c>
      <c r="L685" s="23" t="str">
        <f>IFERROR(__xludf.DUMMYFUNCTION("if(REGEXMATCH(join("", "",$F685:$G685),L$1)=TRUE,""✓"",""✗"")"),"✗")</f>
        <v>✗</v>
      </c>
      <c r="M685" s="23" t="str">
        <f>IFERROR(__xludf.DUMMYFUNCTION("if(REGEXMATCH(join("", "",$F685:$G685),M$1)=TRUE,""✓"",""✗"")"),"✗")</f>
        <v>✗</v>
      </c>
      <c r="N685" s="23" t="str">
        <f>IFERROR(__xludf.DUMMYFUNCTION("if(REGEXMATCH(join("", "",$F685:$G685),N$1)=TRUE,""✓"",""✗"")"),"✗")</f>
        <v>✗</v>
      </c>
      <c r="O685" s="23" t="str">
        <f>IFERROR(__xludf.DUMMYFUNCTION("if(REGEXMATCH(join("", "",$F685:$G685),O$1)=TRUE,""✓"",""✗"")"),"✗")</f>
        <v>✗</v>
      </c>
      <c r="P685" s="23" t="str">
        <f>IFERROR(__xludf.DUMMYFUNCTION("if(REGEXMATCH(join("", "",$F685:$G685),P$1)=TRUE,""✓"",""✗"")"),"✗")</f>
        <v>✗</v>
      </c>
      <c r="Q685" s="23" t="str">
        <f>IFERROR(__xludf.DUMMYFUNCTION("if(REGEXMATCH(join("", "",$F685:$G685),Q$1)=TRUE,""✓"",""✗"")"),"✗")</f>
        <v>✗</v>
      </c>
      <c r="R685" s="23" t="str">
        <f>IFERROR(__xludf.DUMMYFUNCTION("if(REGEXMATCH(join("", "",$F685:$G685),R$1)=TRUE,""✓"",""✗"")"),"✗")</f>
        <v>✗</v>
      </c>
      <c r="S685" s="23" t="str">
        <f>IFERROR(__xludf.DUMMYFUNCTION("if(REGEXMATCH(join("", "",$F685:$G685),S$1)=TRUE,""✓"",""✗"")"),"✗")</f>
        <v>✗</v>
      </c>
      <c r="T685" s="23" t="str">
        <f>IFERROR(__xludf.DUMMYFUNCTION("if(REGEXMATCH(join("", "",$F685:$G685),T$1)=TRUE,""✓"",""✗"")"),"✗")</f>
        <v>✗</v>
      </c>
      <c r="U685" s="33"/>
      <c r="V685" s="33"/>
      <c r="W685" s="33"/>
      <c r="X685" s="33"/>
      <c r="Y685" s="33"/>
      <c r="Z685" s="33"/>
      <c r="AA685" s="33"/>
      <c r="AB685" s="33"/>
      <c r="AC685" s="33"/>
    </row>
    <row r="686" hidden="1">
      <c r="A686" s="17" t="s">
        <v>302</v>
      </c>
      <c r="B686" s="33"/>
      <c r="C686" s="33"/>
      <c r="D686" s="33"/>
      <c r="E686" s="33"/>
      <c r="F686" s="33"/>
      <c r="G686" s="33"/>
      <c r="H686" s="23" t="str">
        <f>IFERROR(__xludf.DUMMYFUNCTION("if(REGEXMATCH(join("", "",$F686:$G686),H$1)=TRUE,""✓"",""✗"")"),"✗")</f>
        <v>✗</v>
      </c>
      <c r="I686" s="23" t="str">
        <f>IFERROR(__xludf.DUMMYFUNCTION("if(REGEXMATCH(join("", "",$F686:$G686),I$1)=TRUE,""✓"",""✗"")"),"✗")</f>
        <v>✗</v>
      </c>
      <c r="J686" s="23" t="str">
        <f>IFERROR(__xludf.DUMMYFUNCTION("if(REGEXMATCH(join("", "",$F686:$G686),J$1)=TRUE,""✓"",""✗"")"),"✗")</f>
        <v>✗</v>
      </c>
      <c r="K686" s="23" t="str">
        <f>IFERROR(__xludf.DUMMYFUNCTION("if(REGEXMATCH(join("", "",$F686:$G686),K$1)=TRUE,""✓"",""✗"")"),"✗")</f>
        <v>✗</v>
      </c>
      <c r="L686" s="23" t="str">
        <f>IFERROR(__xludf.DUMMYFUNCTION("if(REGEXMATCH(join("", "",$F686:$G686),L$1)=TRUE,""✓"",""✗"")"),"✗")</f>
        <v>✗</v>
      </c>
      <c r="M686" s="23" t="str">
        <f>IFERROR(__xludf.DUMMYFUNCTION("if(REGEXMATCH(join("", "",$F686:$G686),M$1)=TRUE,""✓"",""✗"")"),"✗")</f>
        <v>✗</v>
      </c>
      <c r="N686" s="23" t="str">
        <f>IFERROR(__xludf.DUMMYFUNCTION("if(REGEXMATCH(join("", "",$F686:$G686),N$1)=TRUE,""✓"",""✗"")"),"✗")</f>
        <v>✗</v>
      </c>
      <c r="O686" s="23" t="str">
        <f>IFERROR(__xludf.DUMMYFUNCTION("if(REGEXMATCH(join("", "",$F686:$G686),O$1)=TRUE,""✓"",""✗"")"),"✗")</f>
        <v>✗</v>
      </c>
      <c r="P686" s="23" t="str">
        <f>IFERROR(__xludf.DUMMYFUNCTION("if(REGEXMATCH(join("", "",$F686:$G686),P$1)=TRUE,""✓"",""✗"")"),"✗")</f>
        <v>✗</v>
      </c>
      <c r="Q686" s="23" t="str">
        <f>IFERROR(__xludf.DUMMYFUNCTION("if(REGEXMATCH(join("", "",$F686:$G686),Q$1)=TRUE,""✓"",""✗"")"),"✗")</f>
        <v>✗</v>
      </c>
      <c r="R686" s="23" t="str">
        <f>IFERROR(__xludf.DUMMYFUNCTION("if(REGEXMATCH(join("", "",$F686:$G686),R$1)=TRUE,""✓"",""✗"")"),"✗")</f>
        <v>✗</v>
      </c>
      <c r="S686" s="23" t="str">
        <f>IFERROR(__xludf.DUMMYFUNCTION("if(REGEXMATCH(join("", "",$F686:$G686),S$1)=TRUE,""✓"",""✗"")"),"✗")</f>
        <v>✗</v>
      </c>
      <c r="T686" s="23" t="str">
        <f>IFERROR(__xludf.DUMMYFUNCTION("if(REGEXMATCH(join("", "",$F686:$G686),T$1)=TRUE,""✓"",""✗"")"),"✗")</f>
        <v>✗</v>
      </c>
      <c r="U686" s="33"/>
      <c r="V686" s="33"/>
      <c r="W686" s="33"/>
      <c r="X686" s="33"/>
      <c r="Y686" s="33"/>
      <c r="Z686" s="33"/>
      <c r="AA686" s="33"/>
      <c r="AB686" s="33"/>
      <c r="AC686" s="33"/>
    </row>
    <row r="687" hidden="1">
      <c r="A687" s="17" t="s">
        <v>302</v>
      </c>
      <c r="B687" s="33"/>
      <c r="C687" s="33"/>
      <c r="D687" s="33"/>
      <c r="E687" s="33"/>
      <c r="F687" s="33"/>
      <c r="G687" s="33"/>
      <c r="H687" s="23" t="str">
        <f>IFERROR(__xludf.DUMMYFUNCTION("if(REGEXMATCH(join("", "",$F687:$G687),H$1)=TRUE,""✓"",""✗"")"),"✗")</f>
        <v>✗</v>
      </c>
      <c r="I687" s="23" t="str">
        <f>IFERROR(__xludf.DUMMYFUNCTION("if(REGEXMATCH(join("", "",$F687:$G687),I$1)=TRUE,""✓"",""✗"")"),"✗")</f>
        <v>✗</v>
      </c>
      <c r="J687" s="23" t="str">
        <f>IFERROR(__xludf.DUMMYFUNCTION("if(REGEXMATCH(join("", "",$F687:$G687),J$1)=TRUE,""✓"",""✗"")"),"✗")</f>
        <v>✗</v>
      </c>
      <c r="K687" s="23" t="str">
        <f>IFERROR(__xludf.DUMMYFUNCTION("if(REGEXMATCH(join("", "",$F687:$G687),K$1)=TRUE,""✓"",""✗"")"),"✗")</f>
        <v>✗</v>
      </c>
      <c r="L687" s="23" t="str">
        <f>IFERROR(__xludf.DUMMYFUNCTION("if(REGEXMATCH(join("", "",$F687:$G687),L$1)=TRUE,""✓"",""✗"")"),"✗")</f>
        <v>✗</v>
      </c>
      <c r="M687" s="23" t="str">
        <f>IFERROR(__xludf.DUMMYFUNCTION("if(REGEXMATCH(join("", "",$F687:$G687),M$1)=TRUE,""✓"",""✗"")"),"✗")</f>
        <v>✗</v>
      </c>
      <c r="N687" s="23" t="str">
        <f>IFERROR(__xludf.DUMMYFUNCTION("if(REGEXMATCH(join("", "",$F687:$G687),N$1)=TRUE,""✓"",""✗"")"),"✗")</f>
        <v>✗</v>
      </c>
      <c r="O687" s="23" t="str">
        <f>IFERROR(__xludf.DUMMYFUNCTION("if(REGEXMATCH(join("", "",$F687:$G687),O$1)=TRUE,""✓"",""✗"")"),"✗")</f>
        <v>✗</v>
      </c>
      <c r="P687" s="23" t="str">
        <f>IFERROR(__xludf.DUMMYFUNCTION("if(REGEXMATCH(join("", "",$F687:$G687),P$1)=TRUE,""✓"",""✗"")"),"✗")</f>
        <v>✗</v>
      </c>
      <c r="Q687" s="23" t="str">
        <f>IFERROR(__xludf.DUMMYFUNCTION("if(REGEXMATCH(join("", "",$F687:$G687),Q$1)=TRUE,""✓"",""✗"")"),"✗")</f>
        <v>✗</v>
      </c>
      <c r="R687" s="23" t="str">
        <f>IFERROR(__xludf.DUMMYFUNCTION("if(REGEXMATCH(join("", "",$F687:$G687),R$1)=TRUE,""✓"",""✗"")"),"✗")</f>
        <v>✗</v>
      </c>
      <c r="S687" s="23" t="str">
        <f>IFERROR(__xludf.DUMMYFUNCTION("if(REGEXMATCH(join("", "",$F687:$G687),S$1)=TRUE,""✓"",""✗"")"),"✗")</f>
        <v>✗</v>
      </c>
      <c r="T687" s="23" t="str">
        <f>IFERROR(__xludf.DUMMYFUNCTION("if(REGEXMATCH(join("", "",$F687:$G687),T$1)=TRUE,""✓"",""✗"")"),"✗")</f>
        <v>✗</v>
      </c>
      <c r="U687" s="33"/>
      <c r="V687" s="33"/>
      <c r="W687" s="33"/>
      <c r="X687" s="33"/>
      <c r="Y687" s="33"/>
      <c r="Z687" s="33"/>
      <c r="AA687" s="33"/>
      <c r="AB687" s="33"/>
      <c r="AC687" s="33"/>
    </row>
    <row r="688" hidden="1">
      <c r="A688" s="17" t="s">
        <v>302</v>
      </c>
      <c r="B688" s="33"/>
      <c r="C688" s="33"/>
      <c r="D688" s="33"/>
      <c r="E688" s="33"/>
      <c r="F688" s="33"/>
      <c r="G688" s="33"/>
      <c r="H688" s="23" t="str">
        <f>IFERROR(__xludf.DUMMYFUNCTION("if(REGEXMATCH(join("", "",$F688:$G688),H$1)=TRUE,""✓"",""✗"")"),"✗")</f>
        <v>✗</v>
      </c>
      <c r="I688" s="23" t="str">
        <f>IFERROR(__xludf.DUMMYFUNCTION("if(REGEXMATCH(join("", "",$F688:$G688),I$1)=TRUE,""✓"",""✗"")"),"✗")</f>
        <v>✗</v>
      </c>
      <c r="J688" s="23" t="str">
        <f>IFERROR(__xludf.DUMMYFUNCTION("if(REGEXMATCH(join("", "",$F688:$G688),J$1)=TRUE,""✓"",""✗"")"),"✗")</f>
        <v>✗</v>
      </c>
      <c r="K688" s="23" t="str">
        <f>IFERROR(__xludf.DUMMYFUNCTION("if(REGEXMATCH(join("", "",$F688:$G688),K$1)=TRUE,""✓"",""✗"")"),"✗")</f>
        <v>✗</v>
      </c>
      <c r="L688" s="23" t="str">
        <f>IFERROR(__xludf.DUMMYFUNCTION("if(REGEXMATCH(join("", "",$F688:$G688),L$1)=TRUE,""✓"",""✗"")"),"✗")</f>
        <v>✗</v>
      </c>
      <c r="M688" s="23" t="str">
        <f>IFERROR(__xludf.DUMMYFUNCTION("if(REGEXMATCH(join("", "",$F688:$G688),M$1)=TRUE,""✓"",""✗"")"),"✗")</f>
        <v>✗</v>
      </c>
      <c r="N688" s="23" t="str">
        <f>IFERROR(__xludf.DUMMYFUNCTION("if(REGEXMATCH(join("", "",$F688:$G688),N$1)=TRUE,""✓"",""✗"")"),"✗")</f>
        <v>✗</v>
      </c>
      <c r="O688" s="23" t="str">
        <f>IFERROR(__xludf.DUMMYFUNCTION("if(REGEXMATCH(join("", "",$F688:$G688),O$1)=TRUE,""✓"",""✗"")"),"✗")</f>
        <v>✗</v>
      </c>
      <c r="P688" s="23" t="str">
        <f>IFERROR(__xludf.DUMMYFUNCTION("if(REGEXMATCH(join("", "",$F688:$G688),P$1)=TRUE,""✓"",""✗"")"),"✗")</f>
        <v>✗</v>
      </c>
      <c r="Q688" s="23" t="str">
        <f>IFERROR(__xludf.DUMMYFUNCTION("if(REGEXMATCH(join("", "",$F688:$G688),Q$1)=TRUE,""✓"",""✗"")"),"✗")</f>
        <v>✗</v>
      </c>
      <c r="R688" s="23" t="str">
        <f>IFERROR(__xludf.DUMMYFUNCTION("if(REGEXMATCH(join("", "",$F688:$G688),R$1)=TRUE,""✓"",""✗"")"),"✗")</f>
        <v>✗</v>
      </c>
      <c r="S688" s="23" t="str">
        <f>IFERROR(__xludf.DUMMYFUNCTION("if(REGEXMATCH(join("", "",$F688:$G688),S$1)=TRUE,""✓"",""✗"")"),"✗")</f>
        <v>✗</v>
      </c>
      <c r="T688" s="23" t="str">
        <f>IFERROR(__xludf.DUMMYFUNCTION("if(REGEXMATCH(join("", "",$F688:$G688),T$1)=TRUE,""✓"",""✗"")"),"✗")</f>
        <v>✗</v>
      </c>
      <c r="U688" s="33"/>
      <c r="V688" s="33"/>
      <c r="W688" s="33"/>
      <c r="X688" s="33"/>
      <c r="Y688" s="33"/>
      <c r="Z688" s="33"/>
      <c r="AA688" s="33"/>
      <c r="AB688" s="33"/>
      <c r="AC688" s="33"/>
    </row>
    <row r="689" hidden="1">
      <c r="A689" s="17" t="s">
        <v>302</v>
      </c>
      <c r="B689" s="33"/>
      <c r="C689" s="33"/>
      <c r="D689" s="33"/>
      <c r="E689" s="33"/>
      <c r="F689" s="33"/>
      <c r="G689" s="33"/>
      <c r="H689" s="23" t="str">
        <f>IFERROR(__xludf.DUMMYFUNCTION("if(REGEXMATCH(join("", "",$F689:$G689),H$1)=TRUE,""✓"",""✗"")"),"✗")</f>
        <v>✗</v>
      </c>
      <c r="I689" s="23" t="str">
        <f>IFERROR(__xludf.DUMMYFUNCTION("if(REGEXMATCH(join("", "",$F689:$G689),I$1)=TRUE,""✓"",""✗"")"),"✗")</f>
        <v>✗</v>
      </c>
      <c r="J689" s="23" t="str">
        <f>IFERROR(__xludf.DUMMYFUNCTION("if(REGEXMATCH(join("", "",$F689:$G689),J$1)=TRUE,""✓"",""✗"")"),"✗")</f>
        <v>✗</v>
      </c>
      <c r="K689" s="23" t="str">
        <f>IFERROR(__xludf.DUMMYFUNCTION("if(REGEXMATCH(join("", "",$F689:$G689),K$1)=TRUE,""✓"",""✗"")"),"✗")</f>
        <v>✗</v>
      </c>
      <c r="L689" s="23" t="str">
        <f>IFERROR(__xludf.DUMMYFUNCTION("if(REGEXMATCH(join("", "",$F689:$G689),L$1)=TRUE,""✓"",""✗"")"),"✗")</f>
        <v>✗</v>
      </c>
      <c r="M689" s="23" t="str">
        <f>IFERROR(__xludf.DUMMYFUNCTION("if(REGEXMATCH(join("", "",$F689:$G689),M$1)=TRUE,""✓"",""✗"")"),"✗")</f>
        <v>✗</v>
      </c>
      <c r="N689" s="23" t="str">
        <f>IFERROR(__xludf.DUMMYFUNCTION("if(REGEXMATCH(join("", "",$F689:$G689),N$1)=TRUE,""✓"",""✗"")"),"✗")</f>
        <v>✗</v>
      </c>
      <c r="O689" s="23" t="str">
        <f>IFERROR(__xludf.DUMMYFUNCTION("if(REGEXMATCH(join("", "",$F689:$G689),O$1)=TRUE,""✓"",""✗"")"),"✗")</f>
        <v>✗</v>
      </c>
      <c r="P689" s="23" t="str">
        <f>IFERROR(__xludf.DUMMYFUNCTION("if(REGEXMATCH(join("", "",$F689:$G689),P$1)=TRUE,""✓"",""✗"")"),"✗")</f>
        <v>✗</v>
      </c>
      <c r="Q689" s="23" t="str">
        <f>IFERROR(__xludf.DUMMYFUNCTION("if(REGEXMATCH(join("", "",$F689:$G689),Q$1)=TRUE,""✓"",""✗"")"),"✗")</f>
        <v>✗</v>
      </c>
      <c r="R689" s="23" t="str">
        <f>IFERROR(__xludf.DUMMYFUNCTION("if(REGEXMATCH(join("", "",$F689:$G689),R$1)=TRUE,""✓"",""✗"")"),"✗")</f>
        <v>✗</v>
      </c>
      <c r="S689" s="23" t="str">
        <f>IFERROR(__xludf.DUMMYFUNCTION("if(REGEXMATCH(join("", "",$F689:$G689),S$1)=TRUE,""✓"",""✗"")"),"✗")</f>
        <v>✗</v>
      </c>
      <c r="T689" s="23" t="str">
        <f>IFERROR(__xludf.DUMMYFUNCTION("if(REGEXMATCH(join("", "",$F689:$G689),T$1)=TRUE,""✓"",""✗"")"),"✗")</f>
        <v>✗</v>
      </c>
      <c r="U689" s="33"/>
      <c r="V689" s="33"/>
      <c r="W689" s="33"/>
      <c r="X689" s="33"/>
      <c r="Y689" s="33"/>
      <c r="Z689" s="33"/>
      <c r="AA689" s="33"/>
      <c r="AB689" s="33"/>
      <c r="AC689" s="33"/>
    </row>
    <row r="690" hidden="1">
      <c r="A690" s="17" t="s">
        <v>302</v>
      </c>
      <c r="B690" s="33"/>
      <c r="C690" s="33"/>
      <c r="D690" s="33"/>
      <c r="E690" s="33"/>
      <c r="F690" s="33"/>
      <c r="G690" s="33"/>
      <c r="H690" s="23" t="str">
        <f>IFERROR(__xludf.DUMMYFUNCTION("if(REGEXMATCH(join("", "",$F690:$G690),H$1)=TRUE,""✓"",""✗"")"),"✗")</f>
        <v>✗</v>
      </c>
      <c r="I690" s="23" t="str">
        <f>IFERROR(__xludf.DUMMYFUNCTION("if(REGEXMATCH(join("", "",$F690:$G690),I$1)=TRUE,""✓"",""✗"")"),"✗")</f>
        <v>✗</v>
      </c>
      <c r="J690" s="23" t="str">
        <f>IFERROR(__xludf.DUMMYFUNCTION("if(REGEXMATCH(join("", "",$F690:$G690),J$1)=TRUE,""✓"",""✗"")"),"✗")</f>
        <v>✗</v>
      </c>
      <c r="K690" s="23" t="str">
        <f>IFERROR(__xludf.DUMMYFUNCTION("if(REGEXMATCH(join("", "",$F690:$G690),K$1)=TRUE,""✓"",""✗"")"),"✗")</f>
        <v>✗</v>
      </c>
      <c r="L690" s="23" t="str">
        <f>IFERROR(__xludf.DUMMYFUNCTION("if(REGEXMATCH(join("", "",$F690:$G690),L$1)=TRUE,""✓"",""✗"")"),"✗")</f>
        <v>✗</v>
      </c>
      <c r="M690" s="23" t="str">
        <f>IFERROR(__xludf.DUMMYFUNCTION("if(REGEXMATCH(join("", "",$F690:$G690),M$1)=TRUE,""✓"",""✗"")"),"✗")</f>
        <v>✗</v>
      </c>
      <c r="N690" s="23" t="str">
        <f>IFERROR(__xludf.DUMMYFUNCTION("if(REGEXMATCH(join("", "",$F690:$G690),N$1)=TRUE,""✓"",""✗"")"),"✗")</f>
        <v>✗</v>
      </c>
      <c r="O690" s="23" t="str">
        <f>IFERROR(__xludf.DUMMYFUNCTION("if(REGEXMATCH(join("", "",$F690:$G690),O$1)=TRUE,""✓"",""✗"")"),"✗")</f>
        <v>✗</v>
      </c>
      <c r="P690" s="23" t="str">
        <f>IFERROR(__xludf.DUMMYFUNCTION("if(REGEXMATCH(join("", "",$F690:$G690),P$1)=TRUE,""✓"",""✗"")"),"✗")</f>
        <v>✗</v>
      </c>
      <c r="Q690" s="23" t="str">
        <f>IFERROR(__xludf.DUMMYFUNCTION("if(REGEXMATCH(join("", "",$F690:$G690),Q$1)=TRUE,""✓"",""✗"")"),"✗")</f>
        <v>✗</v>
      </c>
      <c r="R690" s="23" t="str">
        <f>IFERROR(__xludf.DUMMYFUNCTION("if(REGEXMATCH(join("", "",$F690:$G690),R$1)=TRUE,""✓"",""✗"")"),"✗")</f>
        <v>✗</v>
      </c>
      <c r="S690" s="23" t="str">
        <f>IFERROR(__xludf.DUMMYFUNCTION("if(REGEXMATCH(join("", "",$F690:$G690),S$1)=TRUE,""✓"",""✗"")"),"✗")</f>
        <v>✗</v>
      </c>
      <c r="T690" s="23" t="str">
        <f>IFERROR(__xludf.DUMMYFUNCTION("if(REGEXMATCH(join("", "",$F690:$G690),T$1)=TRUE,""✓"",""✗"")"),"✗")</f>
        <v>✗</v>
      </c>
      <c r="U690" s="33"/>
      <c r="V690" s="33"/>
      <c r="W690" s="33"/>
      <c r="X690" s="33"/>
      <c r="Y690" s="33"/>
      <c r="Z690" s="33"/>
      <c r="AA690" s="33"/>
      <c r="AB690" s="33"/>
      <c r="AC690" s="33"/>
    </row>
    <row r="691" hidden="1">
      <c r="A691" s="17" t="s">
        <v>302</v>
      </c>
      <c r="B691" s="33"/>
      <c r="C691" s="33"/>
      <c r="D691" s="33"/>
      <c r="E691" s="33"/>
      <c r="F691" s="33"/>
      <c r="G691" s="33"/>
      <c r="H691" s="23" t="str">
        <f>IFERROR(__xludf.DUMMYFUNCTION("if(REGEXMATCH(join("", "",$F691:$G691),H$1)=TRUE,""✓"",""✗"")"),"✗")</f>
        <v>✗</v>
      </c>
      <c r="I691" s="23" t="str">
        <f>IFERROR(__xludf.DUMMYFUNCTION("if(REGEXMATCH(join("", "",$F691:$G691),I$1)=TRUE,""✓"",""✗"")"),"✗")</f>
        <v>✗</v>
      </c>
      <c r="J691" s="23" t="str">
        <f>IFERROR(__xludf.DUMMYFUNCTION("if(REGEXMATCH(join("", "",$F691:$G691),J$1)=TRUE,""✓"",""✗"")"),"✗")</f>
        <v>✗</v>
      </c>
      <c r="K691" s="23" t="str">
        <f>IFERROR(__xludf.DUMMYFUNCTION("if(REGEXMATCH(join("", "",$F691:$G691),K$1)=TRUE,""✓"",""✗"")"),"✗")</f>
        <v>✗</v>
      </c>
      <c r="L691" s="23" t="str">
        <f>IFERROR(__xludf.DUMMYFUNCTION("if(REGEXMATCH(join("", "",$F691:$G691),L$1)=TRUE,""✓"",""✗"")"),"✗")</f>
        <v>✗</v>
      </c>
      <c r="M691" s="23" t="str">
        <f>IFERROR(__xludf.DUMMYFUNCTION("if(REGEXMATCH(join("", "",$F691:$G691),M$1)=TRUE,""✓"",""✗"")"),"✗")</f>
        <v>✗</v>
      </c>
      <c r="N691" s="23" t="str">
        <f>IFERROR(__xludf.DUMMYFUNCTION("if(REGEXMATCH(join("", "",$F691:$G691),N$1)=TRUE,""✓"",""✗"")"),"✗")</f>
        <v>✗</v>
      </c>
      <c r="O691" s="23" t="str">
        <f>IFERROR(__xludf.DUMMYFUNCTION("if(REGEXMATCH(join("", "",$F691:$G691),O$1)=TRUE,""✓"",""✗"")"),"✗")</f>
        <v>✗</v>
      </c>
      <c r="P691" s="23" t="str">
        <f>IFERROR(__xludf.DUMMYFUNCTION("if(REGEXMATCH(join("", "",$F691:$G691),P$1)=TRUE,""✓"",""✗"")"),"✗")</f>
        <v>✗</v>
      </c>
      <c r="Q691" s="23" t="str">
        <f>IFERROR(__xludf.DUMMYFUNCTION("if(REGEXMATCH(join("", "",$F691:$G691),Q$1)=TRUE,""✓"",""✗"")"),"✗")</f>
        <v>✗</v>
      </c>
      <c r="R691" s="23" t="str">
        <f>IFERROR(__xludf.DUMMYFUNCTION("if(REGEXMATCH(join("", "",$F691:$G691),R$1)=TRUE,""✓"",""✗"")"),"✗")</f>
        <v>✗</v>
      </c>
      <c r="S691" s="23" t="str">
        <f>IFERROR(__xludf.DUMMYFUNCTION("if(REGEXMATCH(join("", "",$F691:$G691),S$1)=TRUE,""✓"",""✗"")"),"✗")</f>
        <v>✗</v>
      </c>
      <c r="T691" s="23" t="str">
        <f>IFERROR(__xludf.DUMMYFUNCTION("if(REGEXMATCH(join("", "",$F691:$G691),T$1)=TRUE,""✓"",""✗"")"),"✗")</f>
        <v>✗</v>
      </c>
      <c r="U691" s="33"/>
      <c r="V691" s="33"/>
      <c r="W691" s="33"/>
      <c r="X691" s="33"/>
      <c r="Y691" s="33"/>
      <c r="Z691" s="33"/>
      <c r="AA691" s="33"/>
      <c r="AB691" s="33"/>
      <c r="AC691" s="33"/>
    </row>
    <row r="692" hidden="1">
      <c r="A692" s="17" t="s">
        <v>302</v>
      </c>
      <c r="B692" s="33"/>
      <c r="C692" s="33"/>
      <c r="D692" s="33"/>
      <c r="E692" s="33"/>
      <c r="F692" s="33"/>
      <c r="G692" s="33"/>
      <c r="H692" s="23" t="str">
        <f>IFERROR(__xludf.DUMMYFUNCTION("if(REGEXMATCH(join("", "",$F692:$G692),H$1)=TRUE,""✓"",""✗"")"),"✗")</f>
        <v>✗</v>
      </c>
      <c r="I692" s="23" t="str">
        <f>IFERROR(__xludf.DUMMYFUNCTION("if(REGEXMATCH(join("", "",$F692:$G692),I$1)=TRUE,""✓"",""✗"")"),"✗")</f>
        <v>✗</v>
      </c>
      <c r="J692" s="23" t="str">
        <f>IFERROR(__xludf.DUMMYFUNCTION("if(REGEXMATCH(join("", "",$F692:$G692),J$1)=TRUE,""✓"",""✗"")"),"✗")</f>
        <v>✗</v>
      </c>
      <c r="K692" s="23" t="str">
        <f>IFERROR(__xludf.DUMMYFUNCTION("if(REGEXMATCH(join("", "",$F692:$G692),K$1)=TRUE,""✓"",""✗"")"),"✗")</f>
        <v>✗</v>
      </c>
      <c r="L692" s="23" t="str">
        <f>IFERROR(__xludf.DUMMYFUNCTION("if(REGEXMATCH(join("", "",$F692:$G692),L$1)=TRUE,""✓"",""✗"")"),"✗")</f>
        <v>✗</v>
      </c>
      <c r="M692" s="23" t="str">
        <f>IFERROR(__xludf.DUMMYFUNCTION("if(REGEXMATCH(join("", "",$F692:$G692),M$1)=TRUE,""✓"",""✗"")"),"✗")</f>
        <v>✗</v>
      </c>
      <c r="N692" s="23" t="str">
        <f>IFERROR(__xludf.DUMMYFUNCTION("if(REGEXMATCH(join("", "",$F692:$G692),N$1)=TRUE,""✓"",""✗"")"),"✗")</f>
        <v>✗</v>
      </c>
      <c r="O692" s="23" t="str">
        <f>IFERROR(__xludf.DUMMYFUNCTION("if(REGEXMATCH(join("", "",$F692:$G692),O$1)=TRUE,""✓"",""✗"")"),"✗")</f>
        <v>✗</v>
      </c>
      <c r="P692" s="23" t="str">
        <f>IFERROR(__xludf.DUMMYFUNCTION("if(REGEXMATCH(join("", "",$F692:$G692),P$1)=TRUE,""✓"",""✗"")"),"✗")</f>
        <v>✗</v>
      </c>
      <c r="Q692" s="23" t="str">
        <f>IFERROR(__xludf.DUMMYFUNCTION("if(REGEXMATCH(join("", "",$F692:$G692),Q$1)=TRUE,""✓"",""✗"")"),"✗")</f>
        <v>✗</v>
      </c>
      <c r="R692" s="23" t="str">
        <f>IFERROR(__xludf.DUMMYFUNCTION("if(REGEXMATCH(join("", "",$F692:$G692),R$1)=TRUE,""✓"",""✗"")"),"✗")</f>
        <v>✗</v>
      </c>
      <c r="S692" s="23" t="str">
        <f>IFERROR(__xludf.DUMMYFUNCTION("if(REGEXMATCH(join("", "",$F692:$G692),S$1)=TRUE,""✓"",""✗"")"),"✗")</f>
        <v>✗</v>
      </c>
      <c r="T692" s="23" t="str">
        <f>IFERROR(__xludf.DUMMYFUNCTION("if(REGEXMATCH(join("", "",$F692:$G692),T$1)=TRUE,""✓"",""✗"")"),"✗")</f>
        <v>✗</v>
      </c>
      <c r="U692" s="33"/>
      <c r="V692" s="33"/>
      <c r="W692" s="33"/>
      <c r="X692" s="33"/>
      <c r="Y692" s="33"/>
      <c r="Z692" s="33"/>
      <c r="AA692" s="33"/>
      <c r="AB692" s="33"/>
      <c r="AC692" s="33"/>
    </row>
    <row r="693" hidden="1">
      <c r="A693" s="17" t="s">
        <v>302</v>
      </c>
      <c r="B693" s="33"/>
      <c r="C693" s="33"/>
      <c r="D693" s="33"/>
      <c r="E693" s="33"/>
      <c r="F693" s="33"/>
      <c r="G693" s="33"/>
      <c r="H693" s="23" t="str">
        <f>IFERROR(__xludf.DUMMYFUNCTION("if(REGEXMATCH(join("", "",$F693:$G693),H$1)=TRUE,""✓"",""✗"")"),"✗")</f>
        <v>✗</v>
      </c>
      <c r="I693" s="23" t="str">
        <f>IFERROR(__xludf.DUMMYFUNCTION("if(REGEXMATCH(join("", "",$F693:$G693),I$1)=TRUE,""✓"",""✗"")"),"✗")</f>
        <v>✗</v>
      </c>
      <c r="J693" s="23" t="str">
        <f>IFERROR(__xludf.DUMMYFUNCTION("if(REGEXMATCH(join("", "",$F693:$G693),J$1)=TRUE,""✓"",""✗"")"),"✗")</f>
        <v>✗</v>
      </c>
      <c r="K693" s="23" t="str">
        <f>IFERROR(__xludf.DUMMYFUNCTION("if(REGEXMATCH(join("", "",$F693:$G693),K$1)=TRUE,""✓"",""✗"")"),"✗")</f>
        <v>✗</v>
      </c>
      <c r="L693" s="23" t="str">
        <f>IFERROR(__xludf.DUMMYFUNCTION("if(REGEXMATCH(join("", "",$F693:$G693),L$1)=TRUE,""✓"",""✗"")"),"✗")</f>
        <v>✗</v>
      </c>
      <c r="M693" s="23" t="str">
        <f>IFERROR(__xludf.DUMMYFUNCTION("if(REGEXMATCH(join("", "",$F693:$G693),M$1)=TRUE,""✓"",""✗"")"),"✗")</f>
        <v>✗</v>
      </c>
      <c r="N693" s="23" t="str">
        <f>IFERROR(__xludf.DUMMYFUNCTION("if(REGEXMATCH(join("", "",$F693:$G693),N$1)=TRUE,""✓"",""✗"")"),"✗")</f>
        <v>✗</v>
      </c>
      <c r="O693" s="23" t="str">
        <f>IFERROR(__xludf.DUMMYFUNCTION("if(REGEXMATCH(join("", "",$F693:$G693),O$1)=TRUE,""✓"",""✗"")"),"✗")</f>
        <v>✗</v>
      </c>
      <c r="P693" s="23" t="str">
        <f>IFERROR(__xludf.DUMMYFUNCTION("if(REGEXMATCH(join("", "",$F693:$G693),P$1)=TRUE,""✓"",""✗"")"),"✗")</f>
        <v>✗</v>
      </c>
      <c r="Q693" s="23" t="str">
        <f>IFERROR(__xludf.DUMMYFUNCTION("if(REGEXMATCH(join("", "",$F693:$G693),Q$1)=TRUE,""✓"",""✗"")"),"✗")</f>
        <v>✗</v>
      </c>
      <c r="R693" s="23" t="str">
        <f>IFERROR(__xludf.DUMMYFUNCTION("if(REGEXMATCH(join("", "",$F693:$G693),R$1)=TRUE,""✓"",""✗"")"),"✗")</f>
        <v>✗</v>
      </c>
      <c r="S693" s="23" t="str">
        <f>IFERROR(__xludf.DUMMYFUNCTION("if(REGEXMATCH(join("", "",$F693:$G693),S$1)=TRUE,""✓"",""✗"")"),"✗")</f>
        <v>✗</v>
      </c>
      <c r="T693" s="23" t="str">
        <f>IFERROR(__xludf.DUMMYFUNCTION("if(REGEXMATCH(join("", "",$F693:$G693),T$1)=TRUE,""✓"",""✗"")"),"✗")</f>
        <v>✗</v>
      </c>
      <c r="U693" s="33"/>
      <c r="V693" s="33"/>
      <c r="W693" s="33"/>
      <c r="X693" s="33"/>
      <c r="Y693" s="33"/>
      <c r="Z693" s="33"/>
      <c r="AA693" s="33"/>
      <c r="AB693" s="33"/>
      <c r="AC693" s="33"/>
    </row>
    <row r="694" hidden="1">
      <c r="A694" s="17" t="s">
        <v>302</v>
      </c>
      <c r="B694" s="33"/>
      <c r="C694" s="33"/>
      <c r="D694" s="33"/>
      <c r="E694" s="33"/>
      <c r="F694" s="33"/>
      <c r="G694" s="33"/>
      <c r="H694" s="23" t="str">
        <f>IFERROR(__xludf.DUMMYFUNCTION("if(REGEXMATCH(join("", "",$F694:$G694),H$1)=TRUE,""✓"",""✗"")"),"✗")</f>
        <v>✗</v>
      </c>
      <c r="I694" s="23" t="str">
        <f>IFERROR(__xludf.DUMMYFUNCTION("if(REGEXMATCH(join("", "",$F694:$G694),I$1)=TRUE,""✓"",""✗"")"),"✗")</f>
        <v>✗</v>
      </c>
      <c r="J694" s="23" t="str">
        <f>IFERROR(__xludf.DUMMYFUNCTION("if(REGEXMATCH(join("", "",$F694:$G694),J$1)=TRUE,""✓"",""✗"")"),"✗")</f>
        <v>✗</v>
      </c>
      <c r="K694" s="23" t="str">
        <f>IFERROR(__xludf.DUMMYFUNCTION("if(REGEXMATCH(join("", "",$F694:$G694),K$1)=TRUE,""✓"",""✗"")"),"✗")</f>
        <v>✗</v>
      </c>
      <c r="L694" s="23" t="str">
        <f>IFERROR(__xludf.DUMMYFUNCTION("if(REGEXMATCH(join("", "",$F694:$G694),L$1)=TRUE,""✓"",""✗"")"),"✗")</f>
        <v>✗</v>
      </c>
      <c r="M694" s="23" t="str">
        <f>IFERROR(__xludf.DUMMYFUNCTION("if(REGEXMATCH(join("", "",$F694:$G694),M$1)=TRUE,""✓"",""✗"")"),"✗")</f>
        <v>✗</v>
      </c>
      <c r="N694" s="23" t="str">
        <f>IFERROR(__xludf.DUMMYFUNCTION("if(REGEXMATCH(join("", "",$F694:$G694),N$1)=TRUE,""✓"",""✗"")"),"✗")</f>
        <v>✗</v>
      </c>
      <c r="O694" s="23" t="str">
        <f>IFERROR(__xludf.DUMMYFUNCTION("if(REGEXMATCH(join("", "",$F694:$G694),O$1)=TRUE,""✓"",""✗"")"),"✗")</f>
        <v>✗</v>
      </c>
      <c r="P694" s="23" t="str">
        <f>IFERROR(__xludf.DUMMYFUNCTION("if(REGEXMATCH(join("", "",$F694:$G694),P$1)=TRUE,""✓"",""✗"")"),"✗")</f>
        <v>✗</v>
      </c>
      <c r="Q694" s="23" t="str">
        <f>IFERROR(__xludf.DUMMYFUNCTION("if(REGEXMATCH(join("", "",$F694:$G694),Q$1)=TRUE,""✓"",""✗"")"),"✗")</f>
        <v>✗</v>
      </c>
      <c r="R694" s="23" t="str">
        <f>IFERROR(__xludf.DUMMYFUNCTION("if(REGEXMATCH(join("", "",$F694:$G694),R$1)=TRUE,""✓"",""✗"")"),"✗")</f>
        <v>✗</v>
      </c>
      <c r="S694" s="23" t="str">
        <f>IFERROR(__xludf.DUMMYFUNCTION("if(REGEXMATCH(join("", "",$F694:$G694),S$1)=TRUE,""✓"",""✗"")"),"✗")</f>
        <v>✗</v>
      </c>
      <c r="T694" s="23" t="str">
        <f>IFERROR(__xludf.DUMMYFUNCTION("if(REGEXMATCH(join("", "",$F694:$G694),T$1)=TRUE,""✓"",""✗"")"),"✗")</f>
        <v>✗</v>
      </c>
      <c r="U694" s="33"/>
      <c r="V694" s="33"/>
      <c r="W694" s="33"/>
      <c r="X694" s="33"/>
      <c r="Y694" s="33"/>
      <c r="Z694" s="33"/>
      <c r="AA694" s="33"/>
      <c r="AB694" s="33"/>
      <c r="AC694" s="33"/>
    </row>
    <row r="695" hidden="1">
      <c r="A695" s="17" t="s">
        <v>302</v>
      </c>
      <c r="B695" s="33"/>
      <c r="C695" s="33"/>
      <c r="D695" s="33"/>
      <c r="E695" s="33"/>
      <c r="F695" s="33"/>
      <c r="G695" s="33"/>
      <c r="H695" s="23" t="str">
        <f>IFERROR(__xludf.DUMMYFUNCTION("if(REGEXMATCH(join("", "",$F695:$G695),H$1)=TRUE,""✓"",""✗"")"),"✗")</f>
        <v>✗</v>
      </c>
      <c r="I695" s="23" t="str">
        <f>IFERROR(__xludf.DUMMYFUNCTION("if(REGEXMATCH(join("", "",$F695:$G695),I$1)=TRUE,""✓"",""✗"")"),"✗")</f>
        <v>✗</v>
      </c>
      <c r="J695" s="23" t="str">
        <f>IFERROR(__xludf.DUMMYFUNCTION("if(REGEXMATCH(join("", "",$F695:$G695),J$1)=TRUE,""✓"",""✗"")"),"✗")</f>
        <v>✗</v>
      </c>
      <c r="K695" s="23" t="str">
        <f>IFERROR(__xludf.DUMMYFUNCTION("if(REGEXMATCH(join("", "",$F695:$G695),K$1)=TRUE,""✓"",""✗"")"),"✗")</f>
        <v>✗</v>
      </c>
      <c r="L695" s="23" t="str">
        <f>IFERROR(__xludf.DUMMYFUNCTION("if(REGEXMATCH(join("", "",$F695:$G695),L$1)=TRUE,""✓"",""✗"")"),"✗")</f>
        <v>✗</v>
      </c>
      <c r="M695" s="23" t="str">
        <f>IFERROR(__xludf.DUMMYFUNCTION("if(REGEXMATCH(join("", "",$F695:$G695),M$1)=TRUE,""✓"",""✗"")"),"✗")</f>
        <v>✗</v>
      </c>
      <c r="N695" s="23" t="str">
        <f>IFERROR(__xludf.DUMMYFUNCTION("if(REGEXMATCH(join("", "",$F695:$G695),N$1)=TRUE,""✓"",""✗"")"),"✗")</f>
        <v>✗</v>
      </c>
      <c r="O695" s="23" t="str">
        <f>IFERROR(__xludf.DUMMYFUNCTION("if(REGEXMATCH(join("", "",$F695:$G695),O$1)=TRUE,""✓"",""✗"")"),"✗")</f>
        <v>✗</v>
      </c>
      <c r="P695" s="23" t="str">
        <f>IFERROR(__xludf.DUMMYFUNCTION("if(REGEXMATCH(join("", "",$F695:$G695),P$1)=TRUE,""✓"",""✗"")"),"✗")</f>
        <v>✗</v>
      </c>
      <c r="Q695" s="23" t="str">
        <f>IFERROR(__xludf.DUMMYFUNCTION("if(REGEXMATCH(join("", "",$F695:$G695),Q$1)=TRUE,""✓"",""✗"")"),"✗")</f>
        <v>✗</v>
      </c>
      <c r="R695" s="23" t="str">
        <f>IFERROR(__xludf.DUMMYFUNCTION("if(REGEXMATCH(join("", "",$F695:$G695),R$1)=TRUE,""✓"",""✗"")"),"✗")</f>
        <v>✗</v>
      </c>
      <c r="S695" s="23" t="str">
        <f>IFERROR(__xludf.DUMMYFUNCTION("if(REGEXMATCH(join("", "",$F695:$G695),S$1)=TRUE,""✓"",""✗"")"),"✗")</f>
        <v>✗</v>
      </c>
      <c r="T695" s="23" t="str">
        <f>IFERROR(__xludf.DUMMYFUNCTION("if(REGEXMATCH(join("", "",$F695:$G695),T$1)=TRUE,""✓"",""✗"")"),"✗")</f>
        <v>✗</v>
      </c>
      <c r="U695" s="33"/>
      <c r="V695" s="33"/>
      <c r="W695" s="33"/>
      <c r="X695" s="33"/>
      <c r="Y695" s="33"/>
      <c r="Z695" s="33"/>
      <c r="AA695" s="33"/>
      <c r="AB695" s="33"/>
      <c r="AC695" s="33"/>
    </row>
    <row r="696" hidden="1">
      <c r="A696" s="17" t="s">
        <v>302</v>
      </c>
      <c r="B696" s="33"/>
      <c r="C696" s="33"/>
      <c r="D696" s="33"/>
      <c r="E696" s="33"/>
      <c r="F696" s="33"/>
      <c r="G696" s="33"/>
      <c r="H696" s="23" t="str">
        <f>IFERROR(__xludf.DUMMYFUNCTION("if(REGEXMATCH(join("", "",$F696:$G696),H$1)=TRUE,""✓"",""✗"")"),"✗")</f>
        <v>✗</v>
      </c>
      <c r="I696" s="23" t="str">
        <f>IFERROR(__xludf.DUMMYFUNCTION("if(REGEXMATCH(join("", "",$F696:$G696),I$1)=TRUE,""✓"",""✗"")"),"✗")</f>
        <v>✗</v>
      </c>
      <c r="J696" s="23" t="str">
        <f>IFERROR(__xludf.DUMMYFUNCTION("if(REGEXMATCH(join("", "",$F696:$G696),J$1)=TRUE,""✓"",""✗"")"),"✗")</f>
        <v>✗</v>
      </c>
      <c r="K696" s="23" t="str">
        <f>IFERROR(__xludf.DUMMYFUNCTION("if(REGEXMATCH(join("", "",$F696:$G696),K$1)=TRUE,""✓"",""✗"")"),"✗")</f>
        <v>✗</v>
      </c>
      <c r="L696" s="23" t="str">
        <f>IFERROR(__xludf.DUMMYFUNCTION("if(REGEXMATCH(join("", "",$F696:$G696),L$1)=TRUE,""✓"",""✗"")"),"✗")</f>
        <v>✗</v>
      </c>
      <c r="M696" s="23" t="str">
        <f>IFERROR(__xludf.DUMMYFUNCTION("if(REGEXMATCH(join("", "",$F696:$G696),M$1)=TRUE,""✓"",""✗"")"),"✗")</f>
        <v>✗</v>
      </c>
      <c r="N696" s="23" t="str">
        <f>IFERROR(__xludf.DUMMYFUNCTION("if(REGEXMATCH(join("", "",$F696:$G696),N$1)=TRUE,""✓"",""✗"")"),"✗")</f>
        <v>✗</v>
      </c>
      <c r="O696" s="23" t="str">
        <f>IFERROR(__xludf.DUMMYFUNCTION("if(REGEXMATCH(join("", "",$F696:$G696),O$1)=TRUE,""✓"",""✗"")"),"✗")</f>
        <v>✗</v>
      </c>
      <c r="P696" s="23" t="str">
        <f>IFERROR(__xludf.DUMMYFUNCTION("if(REGEXMATCH(join("", "",$F696:$G696),P$1)=TRUE,""✓"",""✗"")"),"✗")</f>
        <v>✗</v>
      </c>
      <c r="Q696" s="23" t="str">
        <f>IFERROR(__xludf.DUMMYFUNCTION("if(REGEXMATCH(join("", "",$F696:$G696),Q$1)=TRUE,""✓"",""✗"")"),"✗")</f>
        <v>✗</v>
      </c>
      <c r="R696" s="23" t="str">
        <f>IFERROR(__xludf.DUMMYFUNCTION("if(REGEXMATCH(join("", "",$F696:$G696),R$1)=TRUE,""✓"",""✗"")"),"✗")</f>
        <v>✗</v>
      </c>
      <c r="S696" s="23" t="str">
        <f>IFERROR(__xludf.DUMMYFUNCTION("if(REGEXMATCH(join("", "",$F696:$G696),S$1)=TRUE,""✓"",""✗"")"),"✗")</f>
        <v>✗</v>
      </c>
      <c r="T696" s="23" t="str">
        <f>IFERROR(__xludf.DUMMYFUNCTION("if(REGEXMATCH(join("", "",$F696:$G696),T$1)=TRUE,""✓"",""✗"")"),"✗")</f>
        <v>✗</v>
      </c>
      <c r="U696" s="33"/>
      <c r="V696" s="33"/>
      <c r="W696" s="33"/>
      <c r="X696" s="33"/>
      <c r="Y696" s="33"/>
      <c r="Z696" s="33"/>
      <c r="AA696" s="33"/>
      <c r="AB696" s="33"/>
      <c r="AC696" s="33"/>
    </row>
    <row r="697" hidden="1">
      <c r="A697" s="17" t="s">
        <v>302</v>
      </c>
      <c r="B697" s="33"/>
      <c r="C697" s="33"/>
      <c r="D697" s="33"/>
      <c r="E697" s="33"/>
      <c r="F697" s="33"/>
      <c r="G697" s="33"/>
      <c r="H697" s="23" t="str">
        <f>IFERROR(__xludf.DUMMYFUNCTION("if(REGEXMATCH(join("", "",$F697:$G697),H$1)=TRUE,""✓"",""✗"")"),"✗")</f>
        <v>✗</v>
      </c>
      <c r="I697" s="23" t="str">
        <f>IFERROR(__xludf.DUMMYFUNCTION("if(REGEXMATCH(join("", "",$F697:$G697),I$1)=TRUE,""✓"",""✗"")"),"✗")</f>
        <v>✗</v>
      </c>
      <c r="J697" s="23" t="str">
        <f>IFERROR(__xludf.DUMMYFUNCTION("if(REGEXMATCH(join("", "",$F697:$G697),J$1)=TRUE,""✓"",""✗"")"),"✗")</f>
        <v>✗</v>
      </c>
      <c r="K697" s="23" t="str">
        <f>IFERROR(__xludf.DUMMYFUNCTION("if(REGEXMATCH(join("", "",$F697:$G697),K$1)=TRUE,""✓"",""✗"")"),"✗")</f>
        <v>✗</v>
      </c>
      <c r="L697" s="23" t="str">
        <f>IFERROR(__xludf.DUMMYFUNCTION("if(REGEXMATCH(join("", "",$F697:$G697),L$1)=TRUE,""✓"",""✗"")"),"✗")</f>
        <v>✗</v>
      </c>
      <c r="M697" s="23" t="str">
        <f>IFERROR(__xludf.DUMMYFUNCTION("if(REGEXMATCH(join("", "",$F697:$G697),M$1)=TRUE,""✓"",""✗"")"),"✗")</f>
        <v>✗</v>
      </c>
      <c r="N697" s="23" t="str">
        <f>IFERROR(__xludf.DUMMYFUNCTION("if(REGEXMATCH(join("", "",$F697:$G697),N$1)=TRUE,""✓"",""✗"")"),"✗")</f>
        <v>✗</v>
      </c>
      <c r="O697" s="23" t="str">
        <f>IFERROR(__xludf.DUMMYFUNCTION("if(REGEXMATCH(join("", "",$F697:$G697),O$1)=TRUE,""✓"",""✗"")"),"✗")</f>
        <v>✗</v>
      </c>
      <c r="P697" s="23" t="str">
        <f>IFERROR(__xludf.DUMMYFUNCTION("if(REGEXMATCH(join("", "",$F697:$G697),P$1)=TRUE,""✓"",""✗"")"),"✗")</f>
        <v>✗</v>
      </c>
      <c r="Q697" s="23" t="str">
        <f>IFERROR(__xludf.DUMMYFUNCTION("if(REGEXMATCH(join("", "",$F697:$G697),Q$1)=TRUE,""✓"",""✗"")"),"✗")</f>
        <v>✗</v>
      </c>
      <c r="R697" s="23" t="str">
        <f>IFERROR(__xludf.DUMMYFUNCTION("if(REGEXMATCH(join("", "",$F697:$G697),R$1)=TRUE,""✓"",""✗"")"),"✗")</f>
        <v>✗</v>
      </c>
      <c r="S697" s="23" t="str">
        <f>IFERROR(__xludf.DUMMYFUNCTION("if(REGEXMATCH(join("", "",$F697:$G697),S$1)=TRUE,""✓"",""✗"")"),"✗")</f>
        <v>✗</v>
      </c>
      <c r="T697" s="23" t="str">
        <f>IFERROR(__xludf.DUMMYFUNCTION("if(REGEXMATCH(join("", "",$F697:$G697),T$1)=TRUE,""✓"",""✗"")"),"✗")</f>
        <v>✗</v>
      </c>
      <c r="U697" s="33"/>
      <c r="V697" s="33"/>
      <c r="W697" s="33"/>
      <c r="X697" s="33"/>
      <c r="Y697" s="33"/>
      <c r="Z697" s="33"/>
      <c r="AA697" s="33"/>
      <c r="AB697" s="33"/>
      <c r="AC697" s="33"/>
    </row>
    <row r="698" hidden="1">
      <c r="A698" s="17" t="s">
        <v>302</v>
      </c>
      <c r="B698" s="33"/>
      <c r="C698" s="33"/>
      <c r="D698" s="33"/>
      <c r="E698" s="33"/>
      <c r="F698" s="33"/>
      <c r="G698" s="33"/>
      <c r="H698" s="23" t="str">
        <f>IFERROR(__xludf.DUMMYFUNCTION("if(REGEXMATCH(join("", "",$F698:$G698),H$1)=TRUE,""✓"",""✗"")"),"✗")</f>
        <v>✗</v>
      </c>
      <c r="I698" s="23" t="str">
        <f>IFERROR(__xludf.DUMMYFUNCTION("if(REGEXMATCH(join("", "",$F698:$G698),I$1)=TRUE,""✓"",""✗"")"),"✗")</f>
        <v>✗</v>
      </c>
      <c r="J698" s="23" t="str">
        <f>IFERROR(__xludf.DUMMYFUNCTION("if(REGEXMATCH(join("", "",$F698:$G698),J$1)=TRUE,""✓"",""✗"")"),"✗")</f>
        <v>✗</v>
      </c>
      <c r="K698" s="23" t="str">
        <f>IFERROR(__xludf.DUMMYFUNCTION("if(REGEXMATCH(join("", "",$F698:$G698),K$1)=TRUE,""✓"",""✗"")"),"✗")</f>
        <v>✗</v>
      </c>
      <c r="L698" s="23" t="str">
        <f>IFERROR(__xludf.DUMMYFUNCTION("if(REGEXMATCH(join("", "",$F698:$G698),L$1)=TRUE,""✓"",""✗"")"),"✗")</f>
        <v>✗</v>
      </c>
      <c r="M698" s="23" t="str">
        <f>IFERROR(__xludf.DUMMYFUNCTION("if(REGEXMATCH(join("", "",$F698:$G698),M$1)=TRUE,""✓"",""✗"")"),"✗")</f>
        <v>✗</v>
      </c>
      <c r="N698" s="23" t="str">
        <f>IFERROR(__xludf.DUMMYFUNCTION("if(REGEXMATCH(join("", "",$F698:$G698),N$1)=TRUE,""✓"",""✗"")"),"✗")</f>
        <v>✗</v>
      </c>
      <c r="O698" s="23" t="str">
        <f>IFERROR(__xludf.DUMMYFUNCTION("if(REGEXMATCH(join("", "",$F698:$G698),O$1)=TRUE,""✓"",""✗"")"),"✗")</f>
        <v>✗</v>
      </c>
      <c r="P698" s="23" t="str">
        <f>IFERROR(__xludf.DUMMYFUNCTION("if(REGEXMATCH(join("", "",$F698:$G698),P$1)=TRUE,""✓"",""✗"")"),"✗")</f>
        <v>✗</v>
      </c>
      <c r="Q698" s="23" t="str">
        <f>IFERROR(__xludf.DUMMYFUNCTION("if(REGEXMATCH(join("", "",$F698:$G698),Q$1)=TRUE,""✓"",""✗"")"),"✗")</f>
        <v>✗</v>
      </c>
      <c r="R698" s="23" t="str">
        <f>IFERROR(__xludf.DUMMYFUNCTION("if(REGEXMATCH(join("", "",$F698:$G698),R$1)=TRUE,""✓"",""✗"")"),"✗")</f>
        <v>✗</v>
      </c>
      <c r="S698" s="23" t="str">
        <f>IFERROR(__xludf.DUMMYFUNCTION("if(REGEXMATCH(join("", "",$F698:$G698),S$1)=TRUE,""✓"",""✗"")"),"✗")</f>
        <v>✗</v>
      </c>
      <c r="T698" s="23" t="str">
        <f>IFERROR(__xludf.DUMMYFUNCTION("if(REGEXMATCH(join("", "",$F698:$G698),T$1)=TRUE,""✓"",""✗"")"),"✗")</f>
        <v>✗</v>
      </c>
      <c r="U698" s="33"/>
      <c r="V698" s="33"/>
      <c r="W698" s="33"/>
      <c r="X698" s="33"/>
      <c r="Y698" s="33"/>
      <c r="Z698" s="33"/>
      <c r="AA698" s="33"/>
      <c r="AB698" s="33"/>
      <c r="AC698" s="33"/>
    </row>
    <row r="699" hidden="1">
      <c r="A699" s="17" t="s">
        <v>302</v>
      </c>
      <c r="B699" s="33"/>
      <c r="C699" s="33"/>
      <c r="D699" s="33"/>
      <c r="E699" s="33"/>
      <c r="F699" s="33"/>
      <c r="G699" s="33"/>
      <c r="H699" s="23" t="str">
        <f>IFERROR(__xludf.DUMMYFUNCTION("if(REGEXMATCH(join("", "",$F699:$G699),H$1)=TRUE,""✓"",""✗"")"),"✗")</f>
        <v>✗</v>
      </c>
      <c r="I699" s="23" t="str">
        <f>IFERROR(__xludf.DUMMYFUNCTION("if(REGEXMATCH(join("", "",$F699:$G699),I$1)=TRUE,""✓"",""✗"")"),"✗")</f>
        <v>✗</v>
      </c>
      <c r="J699" s="23" t="str">
        <f>IFERROR(__xludf.DUMMYFUNCTION("if(REGEXMATCH(join("", "",$F699:$G699),J$1)=TRUE,""✓"",""✗"")"),"✗")</f>
        <v>✗</v>
      </c>
      <c r="K699" s="23" t="str">
        <f>IFERROR(__xludf.DUMMYFUNCTION("if(REGEXMATCH(join("", "",$F699:$G699),K$1)=TRUE,""✓"",""✗"")"),"✗")</f>
        <v>✗</v>
      </c>
      <c r="L699" s="23" t="str">
        <f>IFERROR(__xludf.DUMMYFUNCTION("if(REGEXMATCH(join("", "",$F699:$G699),L$1)=TRUE,""✓"",""✗"")"),"✗")</f>
        <v>✗</v>
      </c>
      <c r="M699" s="23" t="str">
        <f>IFERROR(__xludf.DUMMYFUNCTION("if(REGEXMATCH(join("", "",$F699:$G699),M$1)=TRUE,""✓"",""✗"")"),"✗")</f>
        <v>✗</v>
      </c>
      <c r="N699" s="23" t="str">
        <f>IFERROR(__xludf.DUMMYFUNCTION("if(REGEXMATCH(join("", "",$F699:$G699),N$1)=TRUE,""✓"",""✗"")"),"✗")</f>
        <v>✗</v>
      </c>
      <c r="O699" s="23" t="str">
        <f>IFERROR(__xludf.DUMMYFUNCTION("if(REGEXMATCH(join("", "",$F699:$G699),O$1)=TRUE,""✓"",""✗"")"),"✗")</f>
        <v>✗</v>
      </c>
      <c r="P699" s="23" t="str">
        <f>IFERROR(__xludf.DUMMYFUNCTION("if(REGEXMATCH(join("", "",$F699:$G699),P$1)=TRUE,""✓"",""✗"")"),"✗")</f>
        <v>✗</v>
      </c>
      <c r="Q699" s="23" t="str">
        <f>IFERROR(__xludf.DUMMYFUNCTION("if(REGEXMATCH(join("", "",$F699:$G699),Q$1)=TRUE,""✓"",""✗"")"),"✗")</f>
        <v>✗</v>
      </c>
      <c r="R699" s="23" t="str">
        <f>IFERROR(__xludf.DUMMYFUNCTION("if(REGEXMATCH(join("", "",$F699:$G699),R$1)=TRUE,""✓"",""✗"")"),"✗")</f>
        <v>✗</v>
      </c>
      <c r="S699" s="23" t="str">
        <f>IFERROR(__xludf.DUMMYFUNCTION("if(REGEXMATCH(join("", "",$F699:$G699),S$1)=TRUE,""✓"",""✗"")"),"✗")</f>
        <v>✗</v>
      </c>
      <c r="T699" s="23" t="str">
        <f>IFERROR(__xludf.DUMMYFUNCTION("if(REGEXMATCH(join("", "",$F699:$G699),T$1)=TRUE,""✓"",""✗"")"),"✗")</f>
        <v>✗</v>
      </c>
      <c r="U699" s="33"/>
      <c r="V699" s="33"/>
      <c r="W699" s="33"/>
      <c r="X699" s="33"/>
      <c r="Y699" s="33"/>
      <c r="Z699" s="33"/>
      <c r="AA699" s="33"/>
      <c r="AB699" s="33"/>
      <c r="AC699" s="33"/>
    </row>
    <row r="700" hidden="1">
      <c r="A700" s="17" t="s">
        <v>302</v>
      </c>
      <c r="B700" s="33"/>
      <c r="C700" s="33"/>
      <c r="D700" s="33"/>
      <c r="E700" s="33"/>
      <c r="F700" s="33"/>
      <c r="G700" s="33"/>
      <c r="H700" s="23" t="str">
        <f>IFERROR(__xludf.DUMMYFUNCTION("if(REGEXMATCH(join("", "",$F700:$G700),H$1)=TRUE,""✓"",""✗"")"),"✗")</f>
        <v>✗</v>
      </c>
      <c r="I700" s="23" t="str">
        <f>IFERROR(__xludf.DUMMYFUNCTION("if(REGEXMATCH(join("", "",$F700:$G700),I$1)=TRUE,""✓"",""✗"")"),"✗")</f>
        <v>✗</v>
      </c>
      <c r="J700" s="23" t="str">
        <f>IFERROR(__xludf.DUMMYFUNCTION("if(REGEXMATCH(join("", "",$F700:$G700),J$1)=TRUE,""✓"",""✗"")"),"✗")</f>
        <v>✗</v>
      </c>
      <c r="K700" s="23" t="str">
        <f>IFERROR(__xludf.DUMMYFUNCTION("if(REGEXMATCH(join("", "",$F700:$G700),K$1)=TRUE,""✓"",""✗"")"),"✗")</f>
        <v>✗</v>
      </c>
      <c r="L700" s="23" t="str">
        <f>IFERROR(__xludf.DUMMYFUNCTION("if(REGEXMATCH(join("", "",$F700:$G700),L$1)=TRUE,""✓"",""✗"")"),"✗")</f>
        <v>✗</v>
      </c>
      <c r="M700" s="23" t="str">
        <f>IFERROR(__xludf.DUMMYFUNCTION("if(REGEXMATCH(join("", "",$F700:$G700),M$1)=TRUE,""✓"",""✗"")"),"✗")</f>
        <v>✗</v>
      </c>
      <c r="N700" s="23" t="str">
        <f>IFERROR(__xludf.DUMMYFUNCTION("if(REGEXMATCH(join("", "",$F700:$G700),N$1)=TRUE,""✓"",""✗"")"),"✗")</f>
        <v>✗</v>
      </c>
      <c r="O700" s="23" t="str">
        <f>IFERROR(__xludf.DUMMYFUNCTION("if(REGEXMATCH(join("", "",$F700:$G700),O$1)=TRUE,""✓"",""✗"")"),"✗")</f>
        <v>✗</v>
      </c>
      <c r="P700" s="23" t="str">
        <f>IFERROR(__xludf.DUMMYFUNCTION("if(REGEXMATCH(join("", "",$F700:$G700),P$1)=TRUE,""✓"",""✗"")"),"✗")</f>
        <v>✗</v>
      </c>
      <c r="Q700" s="23" t="str">
        <f>IFERROR(__xludf.DUMMYFUNCTION("if(REGEXMATCH(join("", "",$F700:$G700),Q$1)=TRUE,""✓"",""✗"")"),"✗")</f>
        <v>✗</v>
      </c>
      <c r="R700" s="23" t="str">
        <f>IFERROR(__xludf.DUMMYFUNCTION("if(REGEXMATCH(join("", "",$F700:$G700),R$1)=TRUE,""✓"",""✗"")"),"✗")</f>
        <v>✗</v>
      </c>
      <c r="S700" s="23" t="str">
        <f>IFERROR(__xludf.DUMMYFUNCTION("if(REGEXMATCH(join("", "",$F700:$G700),S$1)=TRUE,""✓"",""✗"")"),"✗")</f>
        <v>✗</v>
      </c>
      <c r="T700" s="23" t="str">
        <f>IFERROR(__xludf.DUMMYFUNCTION("if(REGEXMATCH(join("", "",$F700:$G700),T$1)=TRUE,""✓"",""✗"")"),"✗")</f>
        <v>✗</v>
      </c>
      <c r="U700" s="33"/>
      <c r="V700" s="33"/>
      <c r="W700" s="33"/>
      <c r="X700" s="33"/>
      <c r="Y700" s="33"/>
      <c r="Z700" s="33"/>
      <c r="AA700" s="33"/>
      <c r="AB700" s="33"/>
      <c r="AC700" s="33"/>
    </row>
    <row r="701" hidden="1">
      <c r="A701" s="17" t="s">
        <v>302</v>
      </c>
      <c r="B701" s="33"/>
      <c r="C701" s="33"/>
      <c r="D701" s="33"/>
      <c r="E701" s="33"/>
      <c r="F701" s="33"/>
      <c r="G701" s="33"/>
      <c r="H701" s="23" t="str">
        <f>IFERROR(__xludf.DUMMYFUNCTION("if(REGEXMATCH(join("", "",$F701:$G701),H$1)=TRUE,""✓"",""✗"")"),"✗")</f>
        <v>✗</v>
      </c>
      <c r="I701" s="23" t="str">
        <f>IFERROR(__xludf.DUMMYFUNCTION("if(REGEXMATCH(join("", "",$F701:$G701),I$1)=TRUE,""✓"",""✗"")"),"✗")</f>
        <v>✗</v>
      </c>
      <c r="J701" s="23" t="str">
        <f>IFERROR(__xludf.DUMMYFUNCTION("if(REGEXMATCH(join("", "",$F701:$G701),J$1)=TRUE,""✓"",""✗"")"),"✗")</f>
        <v>✗</v>
      </c>
      <c r="K701" s="23" t="str">
        <f>IFERROR(__xludf.DUMMYFUNCTION("if(REGEXMATCH(join("", "",$F701:$G701),K$1)=TRUE,""✓"",""✗"")"),"✗")</f>
        <v>✗</v>
      </c>
      <c r="L701" s="23" t="str">
        <f>IFERROR(__xludf.DUMMYFUNCTION("if(REGEXMATCH(join("", "",$F701:$G701),L$1)=TRUE,""✓"",""✗"")"),"✗")</f>
        <v>✗</v>
      </c>
      <c r="M701" s="23" t="str">
        <f>IFERROR(__xludf.DUMMYFUNCTION("if(REGEXMATCH(join("", "",$F701:$G701),M$1)=TRUE,""✓"",""✗"")"),"✗")</f>
        <v>✗</v>
      </c>
      <c r="N701" s="23" t="str">
        <f>IFERROR(__xludf.DUMMYFUNCTION("if(REGEXMATCH(join("", "",$F701:$G701),N$1)=TRUE,""✓"",""✗"")"),"✗")</f>
        <v>✗</v>
      </c>
      <c r="O701" s="23" t="str">
        <f>IFERROR(__xludf.DUMMYFUNCTION("if(REGEXMATCH(join("", "",$F701:$G701),O$1)=TRUE,""✓"",""✗"")"),"✗")</f>
        <v>✗</v>
      </c>
      <c r="P701" s="23" t="str">
        <f>IFERROR(__xludf.DUMMYFUNCTION("if(REGEXMATCH(join("", "",$F701:$G701),P$1)=TRUE,""✓"",""✗"")"),"✗")</f>
        <v>✗</v>
      </c>
      <c r="Q701" s="23" t="str">
        <f>IFERROR(__xludf.DUMMYFUNCTION("if(REGEXMATCH(join("", "",$F701:$G701),Q$1)=TRUE,""✓"",""✗"")"),"✗")</f>
        <v>✗</v>
      </c>
      <c r="R701" s="23" t="str">
        <f>IFERROR(__xludf.DUMMYFUNCTION("if(REGEXMATCH(join("", "",$F701:$G701),R$1)=TRUE,""✓"",""✗"")"),"✗")</f>
        <v>✗</v>
      </c>
      <c r="S701" s="23" t="str">
        <f>IFERROR(__xludf.DUMMYFUNCTION("if(REGEXMATCH(join("", "",$F701:$G701),S$1)=TRUE,""✓"",""✗"")"),"✗")</f>
        <v>✗</v>
      </c>
      <c r="T701" s="23" t="str">
        <f>IFERROR(__xludf.DUMMYFUNCTION("if(REGEXMATCH(join("", "",$F701:$G701),T$1)=TRUE,""✓"",""✗"")"),"✗")</f>
        <v>✗</v>
      </c>
      <c r="U701" s="33"/>
      <c r="V701" s="33"/>
      <c r="W701" s="33"/>
      <c r="X701" s="33"/>
      <c r="Y701" s="33"/>
      <c r="Z701" s="33"/>
      <c r="AA701" s="33"/>
      <c r="AB701" s="33"/>
      <c r="AC701" s="33"/>
    </row>
    <row r="702" hidden="1">
      <c r="A702" s="17" t="s">
        <v>302</v>
      </c>
      <c r="B702" s="33"/>
      <c r="C702" s="33"/>
      <c r="D702" s="33"/>
      <c r="E702" s="33"/>
      <c r="F702" s="33"/>
      <c r="G702" s="33"/>
      <c r="H702" s="23" t="str">
        <f>IFERROR(__xludf.DUMMYFUNCTION("if(REGEXMATCH(join("", "",$F702:$G702),H$1)=TRUE,""✓"",""✗"")"),"✗")</f>
        <v>✗</v>
      </c>
      <c r="I702" s="23" t="str">
        <f>IFERROR(__xludf.DUMMYFUNCTION("if(REGEXMATCH(join("", "",$F702:$G702),I$1)=TRUE,""✓"",""✗"")"),"✗")</f>
        <v>✗</v>
      </c>
      <c r="J702" s="23" t="str">
        <f>IFERROR(__xludf.DUMMYFUNCTION("if(REGEXMATCH(join("", "",$F702:$G702),J$1)=TRUE,""✓"",""✗"")"),"✗")</f>
        <v>✗</v>
      </c>
      <c r="K702" s="23" t="str">
        <f>IFERROR(__xludf.DUMMYFUNCTION("if(REGEXMATCH(join("", "",$F702:$G702),K$1)=TRUE,""✓"",""✗"")"),"✗")</f>
        <v>✗</v>
      </c>
      <c r="L702" s="23" t="str">
        <f>IFERROR(__xludf.DUMMYFUNCTION("if(REGEXMATCH(join("", "",$F702:$G702),L$1)=TRUE,""✓"",""✗"")"),"✗")</f>
        <v>✗</v>
      </c>
      <c r="M702" s="23" t="str">
        <f>IFERROR(__xludf.DUMMYFUNCTION("if(REGEXMATCH(join("", "",$F702:$G702),M$1)=TRUE,""✓"",""✗"")"),"✗")</f>
        <v>✗</v>
      </c>
      <c r="N702" s="23" t="str">
        <f>IFERROR(__xludf.DUMMYFUNCTION("if(REGEXMATCH(join("", "",$F702:$G702),N$1)=TRUE,""✓"",""✗"")"),"✗")</f>
        <v>✗</v>
      </c>
      <c r="O702" s="23" t="str">
        <f>IFERROR(__xludf.DUMMYFUNCTION("if(REGEXMATCH(join("", "",$F702:$G702),O$1)=TRUE,""✓"",""✗"")"),"✗")</f>
        <v>✗</v>
      </c>
      <c r="P702" s="23" t="str">
        <f>IFERROR(__xludf.DUMMYFUNCTION("if(REGEXMATCH(join("", "",$F702:$G702),P$1)=TRUE,""✓"",""✗"")"),"✗")</f>
        <v>✗</v>
      </c>
      <c r="Q702" s="23" t="str">
        <f>IFERROR(__xludf.DUMMYFUNCTION("if(REGEXMATCH(join("", "",$F702:$G702),Q$1)=TRUE,""✓"",""✗"")"),"✗")</f>
        <v>✗</v>
      </c>
      <c r="R702" s="23" t="str">
        <f>IFERROR(__xludf.DUMMYFUNCTION("if(REGEXMATCH(join("", "",$F702:$G702),R$1)=TRUE,""✓"",""✗"")"),"✗")</f>
        <v>✗</v>
      </c>
      <c r="S702" s="23" t="str">
        <f>IFERROR(__xludf.DUMMYFUNCTION("if(REGEXMATCH(join("", "",$F702:$G702),S$1)=TRUE,""✓"",""✗"")"),"✗")</f>
        <v>✗</v>
      </c>
      <c r="T702" s="23" t="str">
        <f>IFERROR(__xludf.DUMMYFUNCTION("if(REGEXMATCH(join("", "",$F702:$G702),T$1)=TRUE,""✓"",""✗"")"),"✗")</f>
        <v>✗</v>
      </c>
      <c r="U702" s="33"/>
      <c r="V702" s="33"/>
      <c r="W702" s="33"/>
      <c r="X702" s="33"/>
      <c r="Y702" s="33"/>
      <c r="Z702" s="33"/>
      <c r="AA702" s="33"/>
      <c r="AB702" s="33"/>
      <c r="AC702" s="33"/>
    </row>
    <row r="703" hidden="1">
      <c r="A703" s="17" t="s">
        <v>302</v>
      </c>
      <c r="B703" s="33"/>
      <c r="C703" s="33"/>
      <c r="D703" s="33"/>
      <c r="E703" s="33"/>
      <c r="F703" s="33"/>
      <c r="G703" s="33"/>
      <c r="H703" s="23" t="str">
        <f>IFERROR(__xludf.DUMMYFUNCTION("if(REGEXMATCH(join("", "",$F703:$G703),H$1)=TRUE,""✓"",""✗"")"),"✗")</f>
        <v>✗</v>
      </c>
      <c r="I703" s="23" t="str">
        <f>IFERROR(__xludf.DUMMYFUNCTION("if(REGEXMATCH(join("", "",$F703:$G703),I$1)=TRUE,""✓"",""✗"")"),"✗")</f>
        <v>✗</v>
      </c>
      <c r="J703" s="23" t="str">
        <f>IFERROR(__xludf.DUMMYFUNCTION("if(REGEXMATCH(join("", "",$F703:$G703),J$1)=TRUE,""✓"",""✗"")"),"✗")</f>
        <v>✗</v>
      </c>
      <c r="K703" s="23" t="str">
        <f>IFERROR(__xludf.DUMMYFUNCTION("if(REGEXMATCH(join("", "",$F703:$G703),K$1)=TRUE,""✓"",""✗"")"),"✗")</f>
        <v>✗</v>
      </c>
      <c r="L703" s="23" t="str">
        <f>IFERROR(__xludf.DUMMYFUNCTION("if(REGEXMATCH(join("", "",$F703:$G703),L$1)=TRUE,""✓"",""✗"")"),"✗")</f>
        <v>✗</v>
      </c>
      <c r="M703" s="23" t="str">
        <f>IFERROR(__xludf.DUMMYFUNCTION("if(REGEXMATCH(join("", "",$F703:$G703),M$1)=TRUE,""✓"",""✗"")"),"✗")</f>
        <v>✗</v>
      </c>
      <c r="N703" s="23" t="str">
        <f>IFERROR(__xludf.DUMMYFUNCTION("if(REGEXMATCH(join("", "",$F703:$G703),N$1)=TRUE,""✓"",""✗"")"),"✗")</f>
        <v>✗</v>
      </c>
      <c r="O703" s="23" t="str">
        <f>IFERROR(__xludf.DUMMYFUNCTION("if(REGEXMATCH(join("", "",$F703:$G703),O$1)=TRUE,""✓"",""✗"")"),"✗")</f>
        <v>✗</v>
      </c>
      <c r="P703" s="23" t="str">
        <f>IFERROR(__xludf.DUMMYFUNCTION("if(REGEXMATCH(join("", "",$F703:$G703),P$1)=TRUE,""✓"",""✗"")"),"✗")</f>
        <v>✗</v>
      </c>
      <c r="Q703" s="23" t="str">
        <f>IFERROR(__xludf.DUMMYFUNCTION("if(REGEXMATCH(join("", "",$F703:$G703),Q$1)=TRUE,""✓"",""✗"")"),"✗")</f>
        <v>✗</v>
      </c>
      <c r="R703" s="23" t="str">
        <f>IFERROR(__xludf.DUMMYFUNCTION("if(REGEXMATCH(join("", "",$F703:$G703),R$1)=TRUE,""✓"",""✗"")"),"✗")</f>
        <v>✗</v>
      </c>
      <c r="S703" s="23" t="str">
        <f>IFERROR(__xludf.DUMMYFUNCTION("if(REGEXMATCH(join("", "",$F703:$G703),S$1)=TRUE,""✓"",""✗"")"),"✗")</f>
        <v>✗</v>
      </c>
      <c r="T703" s="23" t="str">
        <f>IFERROR(__xludf.DUMMYFUNCTION("if(REGEXMATCH(join("", "",$F703:$G703),T$1)=TRUE,""✓"",""✗"")"),"✗")</f>
        <v>✗</v>
      </c>
      <c r="U703" s="33"/>
      <c r="V703" s="33"/>
      <c r="W703" s="33"/>
      <c r="X703" s="33"/>
      <c r="Y703" s="33"/>
      <c r="Z703" s="33"/>
      <c r="AA703" s="33"/>
      <c r="AB703" s="33"/>
      <c r="AC703" s="33"/>
    </row>
    <row r="704" hidden="1">
      <c r="A704" s="17" t="s">
        <v>302</v>
      </c>
      <c r="B704" s="33"/>
      <c r="C704" s="33"/>
      <c r="D704" s="33"/>
      <c r="E704" s="33"/>
      <c r="F704" s="33"/>
      <c r="G704" s="33"/>
      <c r="H704" s="23" t="str">
        <f>IFERROR(__xludf.DUMMYFUNCTION("if(REGEXMATCH(join("", "",$F704:$G704),H$1)=TRUE,""✓"",""✗"")"),"✗")</f>
        <v>✗</v>
      </c>
      <c r="I704" s="23" t="str">
        <f>IFERROR(__xludf.DUMMYFUNCTION("if(REGEXMATCH(join("", "",$F704:$G704),I$1)=TRUE,""✓"",""✗"")"),"✗")</f>
        <v>✗</v>
      </c>
      <c r="J704" s="23" t="str">
        <f>IFERROR(__xludf.DUMMYFUNCTION("if(REGEXMATCH(join("", "",$F704:$G704),J$1)=TRUE,""✓"",""✗"")"),"✗")</f>
        <v>✗</v>
      </c>
      <c r="K704" s="23" t="str">
        <f>IFERROR(__xludf.DUMMYFUNCTION("if(REGEXMATCH(join("", "",$F704:$G704),K$1)=TRUE,""✓"",""✗"")"),"✗")</f>
        <v>✗</v>
      </c>
      <c r="L704" s="23" t="str">
        <f>IFERROR(__xludf.DUMMYFUNCTION("if(REGEXMATCH(join("", "",$F704:$G704),L$1)=TRUE,""✓"",""✗"")"),"✗")</f>
        <v>✗</v>
      </c>
      <c r="M704" s="23" t="str">
        <f>IFERROR(__xludf.DUMMYFUNCTION("if(REGEXMATCH(join("", "",$F704:$G704),M$1)=TRUE,""✓"",""✗"")"),"✗")</f>
        <v>✗</v>
      </c>
      <c r="N704" s="23" t="str">
        <f>IFERROR(__xludf.DUMMYFUNCTION("if(REGEXMATCH(join("", "",$F704:$G704),N$1)=TRUE,""✓"",""✗"")"),"✗")</f>
        <v>✗</v>
      </c>
      <c r="O704" s="23" t="str">
        <f>IFERROR(__xludf.DUMMYFUNCTION("if(REGEXMATCH(join("", "",$F704:$G704),O$1)=TRUE,""✓"",""✗"")"),"✗")</f>
        <v>✗</v>
      </c>
      <c r="P704" s="23" t="str">
        <f>IFERROR(__xludf.DUMMYFUNCTION("if(REGEXMATCH(join("", "",$F704:$G704),P$1)=TRUE,""✓"",""✗"")"),"✗")</f>
        <v>✗</v>
      </c>
      <c r="Q704" s="23" t="str">
        <f>IFERROR(__xludf.DUMMYFUNCTION("if(REGEXMATCH(join("", "",$F704:$G704),Q$1)=TRUE,""✓"",""✗"")"),"✗")</f>
        <v>✗</v>
      </c>
      <c r="R704" s="23" t="str">
        <f>IFERROR(__xludf.DUMMYFUNCTION("if(REGEXMATCH(join("", "",$F704:$G704),R$1)=TRUE,""✓"",""✗"")"),"✗")</f>
        <v>✗</v>
      </c>
      <c r="S704" s="23" t="str">
        <f>IFERROR(__xludf.DUMMYFUNCTION("if(REGEXMATCH(join("", "",$F704:$G704),S$1)=TRUE,""✓"",""✗"")"),"✗")</f>
        <v>✗</v>
      </c>
      <c r="T704" s="23" t="str">
        <f>IFERROR(__xludf.DUMMYFUNCTION("if(REGEXMATCH(join("", "",$F704:$G704),T$1)=TRUE,""✓"",""✗"")"),"✗")</f>
        <v>✗</v>
      </c>
      <c r="U704" s="33"/>
      <c r="V704" s="33"/>
      <c r="W704" s="33"/>
      <c r="X704" s="33"/>
      <c r="Y704" s="33"/>
      <c r="Z704" s="33"/>
      <c r="AA704" s="33"/>
      <c r="AB704" s="33"/>
      <c r="AC704" s="33"/>
    </row>
    <row r="705" hidden="1">
      <c r="A705" s="17" t="s">
        <v>302</v>
      </c>
      <c r="B705" s="33"/>
      <c r="C705" s="33"/>
      <c r="D705" s="33"/>
      <c r="E705" s="33"/>
      <c r="F705" s="33"/>
      <c r="G705" s="33"/>
      <c r="H705" s="23" t="str">
        <f>IFERROR(__xludf.DUMMYFUNCTION("if(REGEXMATCH(join("", "",$F705:$G705),H$1)=TRUE,""✓"",""✗"")"),"✗")</f>
        <v>✗</v>
      </c>
      <c r="I705" s="23" t="str">
        <f>IFERROR(__xludf.DUMMYFUNCTION("if(REGEXMATCH(join("", "",$F705:$G705),I$1)=TRUE,""✓"",""✗"")"),"✗")</f>
        <v>✗</v>
      </c>
      <c r="J705" s="23" t="str">
        <f>IFERROR(__xludf.DUMMYFUNCTION("if(REGEXMATCH(join("", "",$F705:$G705),J$1)=TRUE,""✓"",""✗"")"),"✗")</f>
        <v>✗</v>
      </c>
      <c r="K705" s="23" t="str">
        <f>IFERROR(__xludf.DUMMYFUNCTION("if(REGEXMATCH(join("", "",$F705:$G705),K$1)=TRUE,""✓"",""✗"")"),"✗")</f>
        <v>✗</v>
      </c>
      <c r="L705" s="23" t="str">
        <f>IFERROR(__xludf.DUMMYFUNCTION("if(REGEXMATCH(join("", "",$F705:$G705),L$1)=TRUE,""✓"",""✗"")"),"✗")</f>
        <v>✗</v>
      </c>
      <c r="M705" s="23" t="str">
        <f>IFERROR(__xludf.DUMMYFUNCTION("if(REGEXMATCH(join("", "",$F705:$G705),M$1)=TRUE,""✓"",""✗"")"),"✗")</f>
        <v>✗</v>
      </c>
      <c r="N705" s="23" t="str">
        <f>IFERROR(__xludf.DUMMYFUNCTION("if(REGEXMATCH(join("", "",$F705:$G705),N$1)=TRUE,""✓"",""✗"")"),"✗")</f>
        <v>✗</v>
      </c>
      <c r="O705" s="23" t="str">
        <f>IFERROR(__xludf.DUMMYFUNCTION("if(REGEXMATCH(join("", "",$F705:$G705),O$1)=TRUE,""✓"",""✗"")"),"✗")</f>
        <v>✗</v>
      </c>
      <c r="P705" s="23" t="str">
        <f>IFERROR(__xludf.DUMMYFUNCTION("if(REGEXMATCH(join("", "",$F705:$G705),P$1)=TRUE,""✓"",""✗"")"),"✗")</f>
        <v>✗</v>
      </c>
      <c r="Q705" s="23" t="str">
        <f>IFERROR(__xludf.DUMMYFUNCTION("if(REGEXMATCH(join("", "",$F705:$G705),Q$1)=TRUE,""✓"",""✗"")"),"✗")</f>
        <v>✗</v>
      </c>
      <c r="R705" s="23" t="str">
        <f>IFERROR(__xludf.DUMMYFUNCTION("if(REGEXMATCH(join("", "",$F705:$G705),R$1)=TRUE,""✓"",""✗"")"),"✗")</f>
        <v>✗</v>
      </c>
      <c r="S705" s="23" t="str">
        <f>IFERROR(__xludf.DUMMYFUNCTION("if(REGEXMATCH(join("", "",$F705:$G705),S$1)=TRUE,""✓"",""✗"")"),"✗")</f>
        <v>✗</v>
      </c>
      <c r="T705" s="23" t="str">
        <f>IFERROR(__xludf.DUMMYFUNCTION("if(REGEXMATCH(join("", "",$F705:$G705),T$1)=TRUE,""✓"",""✗"")"),"✗")</f>
        <v>✗</v>
      </c>
      <c r="U705" s="33"/>
      <c r="V705" s="33"/>
      <c r="W705" s="33"/>
      <c r="X705" s="33"/>
      <c r="Y705" s="33"/>
      <c r="Z705" s="33"/>
      <c r="AA705" s="33"/>
      <c r="AB705" s="33"/>
      <c r="AC705" s="33"/>
    </row>
    <row r="706" hidden="1">
      <c r="A706" s="17" t="s">
        <v>302</v>
      </c>
      <c r="B706" s="33"/>
      <c r="C706" s="33"/>
      <c r="D706" s="33"/>
      <c r="E706" s="33"/>
      <c r="F706" s="33"/>
      <c r="G706" s="33"/>
      <c r="H706" s="23" t="str">
        <f>IFERROR(__xludf.DUMMYFUNCTION("if(REGEXMATCH(join("", "",$F706:$G706),H$1)=TRUE,""✓"",""✗"")"),"✗")</f>
        <v>✗</v>
      </c>
      <c r="I706" s="23" t="str">
        <f>IFERROR(__xludf.DUMMYFUNCTION("if(REGEXMATCH(join("", "",$F706:$G706),I$1)=TRUE,""✓"",""✗"")"),"✗")</f>
        <v>✗</v>
      </c>
      <c r="J706" s="23" t="str">
        <f>IFERROR(__xludf.DUMMYFUNCTION("if(REGEXMATCH(join("", "",$F706:$G706),J$1)=TRUE,""✓"",""✗"")"),"✗")</f>
        <v>✗</v>
      </c>
      <c r="K706" s="23" t="str">
        <f>IFERROR(__xludf.DUMMYFUNCTION("if(REGEXMATCH(join("", "",$F706:$G706),K$1)=TRUE,""✓"",""✗"")"),"✗")</f>
        <v>✗</v>
      </c>
      <c r="L706" s="23" t="str">
        <f>IFERROR(__xludf.DUMMYFUNCTION("if(REGEXMATCH(join("", "",$F706:$G706),L$1)=TRUE,""✓"",""✗"")"),"✗")</f>
        <v>✗</v>
      </c>
      <c r="M706" s="23" t="str">
        <f>IFERROR(__xludf.DUMMYFUNCTION("if(REGEXMATCH(join("", "",$F706:$G706),M$1)=TRUE,""✓"",""✗"")"),"✗")</f>
        <v>✗</v>
      </c>
      <c r="N706" s="23" t="str">
        <f>IFERROR(__xludf.DUMMYFUNCTION("if(REGEXMATCH(join("", "",$F706:$G706),N$1)=TRUE,""✓"",""✗"")"),"✗")</f>
        <v>✗</v>
      </c>
      <c r="O706" s="23" t="str">
        <f>IFERROR(__xludf.DUMMYFUNCTION("if(REGEXMATCH(join("", "",$F706:$G706),O$1)=TRUE,""✓"",""✗"")"),"✗")</f>
        <v>✗</v>
      </c>
      <c r="P706" s="23" t="str">
        <f>IFERROR(__xludf.DUMMYFUNCTION("if(REGEXMATCH(join("", "",$F706:$G706),P$1)=TRUE,""✓"",""✗"")"),"✗")</f>
        <v>✗</v>
      </c>
      <c r="Q706" s="23" t="str">
        <f>IFERROR(__xludf.DUMMYFUNCTION("if(REGEXMATCH(join("", "",$F706:$G706),Q$1)=TRUE,""✓"",""✗"")"),"✗")</f>
        <v>✗</v>
      </c>
      <c r="R706" s="23" t="str">
        <f>IFERROR(__xludf.DUMMYFUNCTION("if(REGEXMATCH(join("", "",$F706:$G706),R$1)=TRUE,""✓"",""✗"")"),"✗")</f>
        <v>✗</v>
      </c>
      <c r="S706" s="23" t="str">
        <f>IFERROR(__xludf.DUMMYFUNCTION("if(REGEXMATCH(join("", "",$F706:$G706),S$1)=TRUE,""✓"",""✗"")"),"✗")</f>
        <v>✗</v>
      </c>
      <c r="T706" s="23" t="str">
        <f>IFERROR(__xludf.DUMMYFUNCTION("if(REGEXMATCH(join("", "",$F706:$G706),T$1)=TRUE,""✓"",""✗"")"),"✗")</f>
        <v>✗</v>
      </c>
      <c r="U706" s="33"/>
      <c r="V706" s="33"/>
      <c r="W706" s="33"/>
      <c r="X706" s="33"/>
      <c r="Y706" s="33"/>
      <c r="Z706" s="33"/>
      <c r="AA706" s="33"/>
      <c r="AB706" s="33"/>
      <c r="AC706" s="33"/>
    </row>
    <row r="707" hidden="1">
      <c r="A707" s="17" t="s">
        <v>302</v>
      </c>
      <c r="B707" s="33"/>
      <c r="C707" s="33"/>
      <c r="D707" s="33"/>
      <c r="E707" s="33"/>
      <c r="F707" s="33"/>
      <c r="G707" s="33"/>
      <c r="H707" s="23" t="str">
        <f>IFERROR(__xludf.DUMMYFUNCTION("if(REGEXMATCH(join("", "",$F707:$G707),H$1)=TRUE,""✓"",""✗"")"),"✗")</f>
        <v>✗</v>
      </c>
      <c r="I707" s="23" t="str">
        <f>IFERROR(__xludf.DUMMYFUNCTION("if(REGEXMATCH(join("", "",$F707:$G707),I$1)=TRUE,""✓"",""✗"")"),"✗")</f>
        <v>✗</v>
      </c>
      <c r="J707" s="23" t="str">
        <f>IFERROR(__xludf.DUMMYFUNCTION("if(REGEXMATCH(join("", "",$F707:$G707),J$1)=TRUE,""✓"",""✗"")"),"✗")</f>
        <v>✗</v>
      </c>
      <c r="K707" s="23" t="str">
        <f>IFERROR(__xludf.DUMMYFUNCTION("if(REGEXMATCH(join("", "",$F707:$G707),K$1)=TRUE,""✓"",""✗"")"),"✗")</f>
        <v>✗</v>
      </c>
      <c r="L707" s="23" t="str">
        <f>IFERROR(__xludf.DUMMYFUNCTION("if(REGEXMATCH(join("", "",$F707:$G707),L$1)=TRUE,""✓"",""✗"")"),"✗")</f>
        <v>✗</v>
      </c>
      <c r="M707" s="23" t="str">
        <f>IFERROR(__xludf.DUMMYFUNCTION("if(REGEXMATCH(join("", "",$F707:$G707),M$1)=TRUE,""✓"",""✗"")"),"✗")</f>
        <v>✗</v>
      </c>
      <c r="N707" s="23" t="str">
        <f>IFERROR(__xludf.DUMMYFUNCTION("if(REGEXMATCH(join("", "",$F707:$G707),N$1)=TRUE,""✓"",""✗"")"),"✗")</f>
        <v>✗</v>
      </c>
      <c r="O707" s="23" t="str">
        <f>IFERROR(__xludf.DUMMYFUNCTION("if(REGEXMATCH(join("", "",$F707:$G707),O$1)=TRUE,""✓"",""✗"")"),"✗")</f>
        <v>✗</v>
      </c>
      <c r="P707" s="23" t="str">
        <f>IFERROR(__xludf.DUMMYFUNCTION("if(REGEXMATCH(join("", "",$F707:$G707),P$1)=TRUE,""✓"",""✗"")"),"✗")</f>
        <v>✗</v>
      </c>
      <c r="Q707" s="23" t="str">
        <f>IFERROR(__xludf.DUMMYFUNCTION("if(REGEXMATCH(join("", "",$F707:$G707),Q$1)=TRUE,""✓"",""✗"")"),"✗")</f>
        <v>✗</v>
      </c>
      <c r="R707" s="23" t="str">
        <f>IFERROR(__xludf.DUMMYFUNCTION("if(REGEXMATCH(join("", "",$F707:$G707),R$1)=TRUE,""✓"",""✗"")"),"✗")</f>
        <v>✗</v>
      </c>
      <c r="S707" s="23" t="str">
        <f>IFERROR(__xludf.DUMMYFUNCTION("if(REGEXMATCH(join("", "",$F707:$G707),S$1)=TRUE,""✓"",""✗"")"),"✗")</f>
        <v>✗</v>
      </c>
      <c r="T707" s="23" t="str">
        <f>IFERROR(__xludf.DUMMYFUNCTION("if(REGEXMATCH(join("", "",$F707:$G707),T$1)=TRUE,""✓"",""✗"")"),"✗")</f>
        <v>✗</v>
      </c>
      <c r="U707" s="33"/>
      <c r="V707" s="33"/>
      <c r="W707" s="33"/>
      <c r="X707" s="33"/>
      <c r="Y707" s="33"/>
      <c r="Z707" s="33"/>
      <c r="AA707" s="33"/>
      <c r="AB707" s="33"/>
      <c r="AC707" s="33"/>
    </row>
    <row r="708" hidden="1">
      <c r="A708" s="17" t="s">
        <v>302</v>
      </c>
      <c r="B708" s="33"/>
      <c r="C708" s="33"/>
      <c r="D708" s="33"/>
      <c r="E708" s="33"/>
      <c r="F708" s="33"/>
      <c r="G708" s="33"/>
      <c r="H708" s="23" t="str">
        <f>IFERROR(__xludf.DUMMYFUNCTION("if(REGEXMATCH(join("", "",$F708:$G708),H$1)=TRUE,""✓"",""✗"")"),"✗")</f>
        <v>✗</v>
      </c>
      <c r="I708" s="23" t="str">
        <f>IFERROR(__xludf.DUMMYFUNCTION("if(REGEXMATCH(join("", "",$F708:$G708),I$1)=TRUE,""✓"",""✗"")"),"✗")</f>
        <v>✗</v>
      </c>
      <c r="J708" s="23" t="str">
        <f>IFERROR(__xludf.DUMMYFUNCTION("if(REGEXMATCH(join("", "",$F708:$G708),J$1)=TRUE,""✓"",""✗"")"),"✗")</f>
        <v>✗</v>
      </c>
      <c r="K708" s="23" t="str">
        <f>IFERROR(__xludf.DUMMYFUNCTION("if(REGEXMATCH(join("", "",$F708:$G708),K$1)=TRUE,""✓"",""✗"")"),"✗")</f>
        <v>✗</v>
      </c>
      <c r="L708" s="23" t="str">
        <f>IFERROR(__xludf.DUMMYFUNCTION("if(REGEXMATCH(join("", "",$F708:$G708),L$1)=TRUE,""✓"",""✗"")"),"✗")</f>
        <v>✗</v>
      </c>
      <c r="M708" s="23" t="str">
        <f>IFERROR(__xludf.DUMMYFUNCTION("if(REGEXMATCH(join("", "",$F708:$G708),M$1)=TRUE,""✓"",""✗"")"),"✗")</f>
        <v>✗</v>
      </c>
      <c r="N708" s="23" t="str">
        <f>IFERROR(__xludf.DUMMYFUNCTION("if(REGEXMATCH(join("", "",$F708:$G708),N$1)=TRUE,""✓"",""✗"")"),"✗")</f>
        <v>✗</v>
      </c>
      <c r="O708" s="23" t="str">
        <f>IFERROR(__xludf.DUMMYFUNCTION("if(REGEXMATCH(join("", "",$F708:$G708),O$1)=TRUE,""✓"",""✗"")"),"✗")</f>
        <v>✗</v>
      </c>
      <c r="P708" s="23" t="str">
        <f>IFERROR(__xludf.DUMMYFUNCTION("if(REGEXMATCH(join("", "",$F708:$G708),P$1)=TRUE,""✓"",""✗"")"),"✗")</f>
        <v>✗</v>
      </c>
      <c r="Q708" s="23" t="str">
        <f>IFERROR(__xludf.DUMMYFUNCTION("if(REGEXMATCH(join("", "",$F708:$G708),Q$1)=TRUE,""✓"",""✗"")"),"✗")</f>
        <v>✗</v>
      </c>
      <c r="R708" s="23" t="str">
        <f>IFERROR(__xludf.DUMMYFUNCTION("if(REGEXMATCH(join("", "",$F708:$G708),R$1)=TRUE,""✓"",""✗"")"),"✗")</f>
        <v>✗</v>
      </c>
      <c r="S708" s="23" t="str">
        <f>IFERROR(__xludf.DUMMYFUNCTION("if(REGEXMATCH(join("", "",$F708:$G708),S$1)=TRUE,""✓"",""✗"")"),"✗")</f>
        <v>✗</v>
      </c>
      <c r="T708" s="23" t="str">
        <f>IFERROR(__xludf.DUMMYFUNCTION("if(REGEXMATCH(join("", "",$F708:$G708),T$1)=TRUE,""✓"",""✗"")"),"✗")</f>
        <v>✗</v>
      </c>
      <c r="U708" s="33"/>
      <c r="V708" s="33"/>
      <c r="W708" s="33"/>
      <c r="X708" s="33"/>
      <c r="Y708" s="33"/>
      <c r="Z708" s="33"/>
      <c r="AA708" s="33"/>
      <c r="AB708" s="33"/>
      <c r="AC708" s="33"/>
    </row>
    <row r="709" hidden="1">
      <c r="A709" s="17" t="s">
        <v>302</v>
      </c>
      <c r="B709" s="33"/>
      <c r="C709" s="33"/>
      <c r="D709" s="33"/>
      <c r="E709" s="33"/>
      <c r="F709" s="33"/>
      <c r="G709" s="33"/>
      <c r="H709" s="23" t="str">
        <f>IFERROR(__xludf.DUMMYFUNCTION("if(REGEXMATCH(join("", "",$F709:$G709),H$1)=TRUE,""✓"",""✗"")"),"✗")</f>
        <v>✗</v>
      </c>
      <c r="I709" s="23" t="str">
        <f>IFERROR(__xludf.DUMMYFUNCTION("if(REGEXMATCH(join("", "",$F709:$G709),I$1)=TRUE,""✓"",""✗"")"),"✗")</f>
        <v>✗</v>
      </c>
      <c r="J709" s="23" t="str">
        <f>IFERROR(__xludf.DUMMYFUNCTION("if(REGEXMATCH(join("", "",$F709:$G709),J$1)=TRUE,""✓"",""✗"")"),"✗")</f>
        <v>✗</v>
      </c>
      <c r="K709" s="23" t="str">
        <f>IFERROR(__xludf.DUMMYFUNCTION("if(REGEXMATCH(join("", "",$F709:$G709),K$1)=TRUE,""✓"",""✗"")"),"✗")</f>
        <v>✗</v>
      </c>
      <c r="L709" s="23" t="str">
        <f>IFERROR(__xludf.DUMMYFUNCTION("if(REGEXMATCH(join("", "",$F709:$G709),L$1)=TRUE,""✓"",""✗"")"),"✗")</f>
        <v>✗</v>
      </c>
      <c r="M709" s="23" t="str">
        <f>IFERROR(__xludf.DUMMYFUNCTION("if(REGEXMATCH(join("", "",$F709:$G709),M$1)=TRUE,""✓"",""✗"")"),"✗")</f>
        <v>✗</v>
      </c>
      <c r="N709" s="23" t="str">
        <f>IFERROR(__xludf.DUMMYFUNCTION("if(REGEXMATCH(join("", "",$F709:$G709),N$1)=TRUE,""✓"",""✗"")"),"✗")</f>
        <v>✗</v>
      </c>
      <c r="O709" s="23" t="str">
        <f>IFERROR(__xludf.DUMMYFUNCTION("if(REGEXMATCH(join("", "",$F709:$G709),O$1)=TRUE,""✓"",""✗"")"),"✗")</f>
        <v>✗</v>
      </c>
      <c r="P709" s="23" t="str">
        <f>IFERROR(__xludf.DUMMYFUNCTION("if(REGEXMATCH(join("", "",$F709:$G709),P$1)=TRUE,""✓"",""✗"")"),"✗")</f>
        <v>✗</v>
      </c>
      <c r="Q709" s="23" t="str">
        <f>IFERROR(__xludf.DUMMYFUNCTION("if(REGEXMATCH(join("", "",$F709:$G709),Q$1)=TRUE,""✓"",""✗"")"),"✗")</f>
        <v>✗</v>
      </c>
      <c r="R709" s="23" t="str">
        <f>IFERROR(__xludf.DUMMYFUNCTION("if(REGEXMATCH(join("", "",$F709:$G709),R$1)=TRUE,""✓"",""✗"")"),"✗")</f>
        <v>✗</v>
      </c>
      <c r="S709" s="23" t="str">
        <f>IFERROR(__xludf.DUMMYFUNCTION("if(REGEXMATCH(join("", "",$F709:$G709),S$1)=TRUE,""✓"",""✗"")"),"✗")</f>
        <v>✗</v>
      </c>
      <c r="T709" s="23" t="str">
        <f>IFERROR(__xludf.DUMMYFUNCTION("if(REGEXMATCH(join("", "",$F709:$G709),T$1)=TRUE,""✓"",""✗"")"),"✗")</f>
        <v>✗</v>
      </c>
      <c r="U709" s="33"/>
      <c r="V709" s="33"/>
      <c r="W709" s="33"/>
      <c r="X709" s="33"/>
      <c r="Y709" s="33"/>
      <c r="Z709" s="33"/>
      <c r="AA709" s="33"/>
      <c r="AB709" s="33"/>
      <c r="AC709" s="33"/>
    </row>
    <row r="710" hidden="1">
      <c r="A710" s="17" t="s">
        <v>302</v>
      </c>
      <c r="B710" s="33"/>
      <c r="C710" s="33"/>
      <c r="D710" s="33"/>
      <c r="E710" s="33"/>
      <c r="F710" s="33"/>
      <c r="G710" s="33"/>
      <c r="H710" s="23" t="str">
        <f>IFERROR(__xludf.DUMMYFUNCTION("if(REGEXMATCH(join("", "",$F710:$G710),H$1)=TRUE,""✓"",""✗"")"),"✗")</f>
        <v>✗</v>
      </c>
      <c r="I710" s="23" t="str">
        <f>IFERROR(__xludf.DUMMYFUNCTION("if(REGEXMATCH(join("", "",$F710:$G710),I$1)=TRUE,""✓"",""✗"")"),"✗")</f>
        <v>✗</v>
      </c>
      <c r="J710" s="23" t="str">
        <f>IFERROR(__xludf.DUMMYFUNCTION("if(REGEXMATCH(join("", "",$F710:$G710),J$1)=TRUE,""✓"",""✗"")"),"✗")</f>
        <v>✗</v>
      </c>
      <c r="K710" s="23" t="str">
        <f>IFERROR(__xludf.DUMMYFUNCTION("if(REGEXMATCH(join("", "",$F710:$G710),K$1)=TRUE,""✓"",""✗"")"),"✗")</f>
        <v>✗</v>
      </c>
      <c r="L710" s="23" t="str">
        <f>IFERROR(__xludf.DUMMYFUNCTION("if(REGEXMATCH(join("", "",$F710:$G710),L$1)=TRUE,""✓"",""✗"")"),"✗")</f>
        <v>✗</v>
      </c>
      <c r="M710" s="23" t="str">
        <f>IFERROR(__xludf.DUMMYFUNCTION("if(REGEXMATCH(join("", "",$F710:$G710),M$1)=TRUE,""✓"",""✗"")"),"✗")</f>
        <v>✗</v>
      </c>
      <c r="N710" s="23" t="str">
        <f>IFERROR(__xludf.DUMMYFUNCTION("if(REGEXMATCH(join("", "",$F710:$G710),N$1)=TRUE,""✓"",""✗"")"),"✗")</f>
        <v>✗</v>
      </c>
      <c r="O710" s="23" t="str">
        <f>IFERROR(__xludf.DUMMYFUNCTION("if(REGEXMATCH(join("", "",$F710:$G710),O$1)=TRUE,""✓"",""✗"")"),"✗")</f>
        <v>✗</v>
      </c>
      <c r="P710" s="23" t="str">
        <f>IFERROR(__xludf.DUMMYFUNCTION("if(REGEXMATCH(join("", "",$F710:$G710),P$1)=TRUE,""✓"",""✗"")"),"✗")</f>
        <v>✗</v>
      </c>
      <c r="Q710" s="23" t="str">
        <f>IFERROR(__xludf.DUMMYFUNCTION("if(REGEXMATCH(join("", "",$F710:$G710),Q$1)=TRUE,""✓"",""✗"")"),"✗")</f>
        <v>✗</v>
      </c>
      <c r="R710" s="23" t="str">
        <f>IFERROR(__xludf.DUMMYFUNCTION("if(REGEXMATCH(join("", "",$F710:$G710),R$1)=TRUE,""✓"",""✗"")"),"✗")</f>
        <v>✗</v>
      </c>
      <c r="S710" s="23" t="str">
        <f>IFERROR(__xludf.DUMMYFUNCTION("if(REGEXMATCH(join("", "",$F710:$G710),S$1)=TRUE,""✓"",""✗"")"),"✗")</f>
        <v>✗</v>
      </c>
      <c r="T710" s="23" t="str">
        <f>IFERROR(__xludf.DUMMYFUNCTION("if(REGEXMATCH(join("", "",$F710:$G710),T$1)=TRUE,""✓"",""✗"")"),"✗")</f>
        <v>✗</v>
      </c>
      <c r="U710" s="33"/>
      <c r="V710" s="33"/>
      <c r="W710" s="33"/>
      <c r="X710" s="33"/>
      <c r="Y710" s="33"/>
      <c r="Z710" s="33"/>
      <c r="AA710" s="33"/>
      <c r="AB710" s="33"/>
      <c r="AC710" s="33"/>
    </row>
    <row r="711" hidden="1">
      <c r="A711" s="17" t="s">
        <v>302</v>
      </c>
      <c r="B711" s="33"/>
      <c r="C711" s="33"/>
      <c r="D711" s="33"/>
      <c r="E711" s="33"/>
      <c r="F711" s="33"/>
      <c r="G711" s="33"/>
      <c r="H711" s="23" t="str">
        <f>IFERROR(__xludf.DUMMYFUNCTION("if(REGEXMATCH(join("", "",$F711:$G711),H$1)=TRUE,""✓"",""✗"")"),"✗")</f>
        <v>✗</v>
      </c>
      <c r="I711" s="23" t="str">
        <f>IFERROR(__xludf.DUMMYFUNCTION("if(REGEXMATCH(join("", "",$F711:$G711),I$1)=TRUE,""✓"",""✗"")"),"✗")</f>
        <v>✗</v>
      </c>
      <c r="J711" s="23" t="str">
        <f>IFERROR(__xludf.DUMMYFUNCTION("if(REGEXMATCH(join("", "",$F711:$G711),J$1)=TRUE,""✓"",""✗"")"),"✗")</f>
        <v>✗</v>
      </c>
      <c r="K711" s="23" t="str">
        <f>IFERROR(__xludf.DUMMYFUNCTION("if(REGEXMATCH(join("", "",$F711:$G711),K$1)=TRUE,""✓"",""✗"")"),"✗")</f>
        <v>✗</v>
      </c>
      <c r="L711" s="23" t="str">
        <f>IFERROR(__xludf.DUMMYFUNCTION("if(REGEXMATCH(join("", "",$F711:$G711),L$1)=TRUE,""✓"",""✗"")"),"✗")</f>
        <v>✗</v>
      </c>
      <c r="M711" s="23" t="str">
        <f>IFERROR(__xludf.DUMMYFUNCTION("if(REGEXMATCH(join("", "",$F711:$G711),M$1)=TRUE,""✓"",""✗"")"),"✗")</f>
        <v>✗</v>
      </c>
      <c r="N711" s="23" t="str">
        <f>IFERROR(__xludf.DUMMYFUNCTION("if(REGEXMATCH(join("", "",$F711:$G711),N$1)=TRUE,""✓"",""✗"")"),"✗")</f>
        <v>✗</v>
      </c>
      <c r="O711" s="23" t="str">
        <f>IFERROR(__xludf.DUMMYFUNCTION("if(REGEXMATCH(join("", "",$F711:$G711),O$1)=TRUE,""✓"",""✗"")"),"✗")</f>
        <v>✗</v>
      </c>
      <c r="P711" s="23" t="str">
        <f>IFERROR(__xludf.DUMMYFUNCTION("if(REGEXMATCH(join("", "",$F711:$G711),P$1)=TRUE,""✓"",""✗"")"),"✗")</f>
        <v>✗</v>
      </c>
      <c r="Q711" s="23" t="str">
        <f>IFERROR(__xludf.DUMMYFUNCTION("if(REGEXMATCH(join("", "",$F711:$G711),Q$1)=TRUE,""✓"",""✗"")"),"✗")</f>
        <v>✗</v>
      </c>
      <c r="R711" s="23" t="str">
        <f>IFERROR(__xludf.DUMMYFUNCTION("if(REGEXMATCH(join("", "",$F711:$G711),R$1)=TRUE,""✓"",""✗"")"),"✗")</f>
        <v>✗</v>
      </c>
      <c r="S711" s="23" t="str">
        <f>IFERROR(__xludf.DUMMYFUNCTION("if(REGEXMATCH(join("", "",$F711:$G711),S$1)=TRUE,""✓"",""✗"")"),"✗")</f>
        <v>✗</v>
      </c>
      <c r="T711" s="23" t="str">
        <f>IFERROR(__xludf.DUMMYFUNCTION("if(REGEXMATCH(join("", "",$F711:$G711),T$1)=TRUE,""✓"",""✗"")"),"✗")</f>
        <v>✗</v>
      </c>
      <c r="U711" s="33"/>
      <c r="V711" s="33"/>
      <c r="W711" s="33"/>
      <c r="X711" s="33"/>
      <c r="Y711" s="33"/>
      <c r="Z711" s="33"/>
      <c r="AA711" s="33"/>
      <c r="AB711" s="33"/>
      <c r="AC711" s="33"/>
    </row>
    <row r="712" hidden="1">
      <c r="A712" s="17" t="s">
        <v>302</v>
      </c>
      <c r="B712" s="33"/>
      <c r="C712" s="33"/>
      <c r="D712" s="33"/>
      <c r="E712" s="33"/>
      <c r="F712" s="33"/>
      <c r="G712" s="33"/>
      <c r="H712" s="23" t="str">
        <f>IFERROR(__xludf.DUMMYFUNCTION("if(REGEXMATCH(join("", "",$F712:$G712),H$1)=TRUE,""✓"",""✗"")"),"✗")</f>
        <v>✗</v>
      </c>
      <c r="I712" s="23" t="str">
        <f>IFERROR(__xludf.DUMMYFUNCTION("if(REGEXMATCH(join("", "",$F712:$G712),I$1)=TRUE,""✓"",""✗"")"),"✗")</f>
        <v>✗</v>
      </c>
      <c r="J712" s="23" t="str">
        <f>IFERROR(__xludf.DUMMYFUNCTION("if(REGEXMATCH(join("", "",$F712:$G712),J$1)=TRUE,""✓"",""✗"")"),"✗")</f>
        <v>✗</v>
      </c>
      <c r="K712" s="23" t="str">
        <f>IFERROR(__xludf.DUMMYFUNCTION("if(REGEXMATCH(join("", "",$F712:$G712),K$1)=TRUE,""✓"",""✗"")"),"✗")</f>
        <v>✗</v>
      </c>
      <c r="L712" s="23" t="str">
        <f>IFERROR(__xludf.DUMMYFUNCTION("if(REGEXMATCH(join("", "",$F712:$G712),L$1)=TRUE,""✓"",""✗"")"),"✗")</f>
        <v>✗</v>
      </c>
      <c r="M712" s="23" t="str">
        <f>IFERROR(__xludf.DUMMYFUNCTION("if(REGEXMATCH(join("", "",$F712:$G712),M$1)=TRUE,""✓"",""✗"")"),"✗")</f>
        <v>✗</v>
      </c>
      <c r="N712" s="23" t="str">
        <f>IFERROR(__xludf.DUMMYFUNCTION("if(REGEXMATCH(join("", "",$F712:$G712),N$1)=TRUE,""✓"",""✗"")"),"✗")</f>
        <v>✗</v>
      </c>
      <c r="O712" s="23" t="str">
        <f>IFERROR(__xludf.DUMMYFUNCTION("if(REGEXMATCH(join("", "",$F712:$G712),O$1)=TRUE,""✓"",""✗"")"),"✗")</f>
        <v>✗</v>
      </c>
      <c r="P712" s="23" t="str">
        <f>IFERROR(__xludf.DUMMYFUNCTION("if(REGEXMATCH(join("", "",$F712:$G712),P$1)=TRUE,""✓"",""✗"")"),"✗")</f>
        <v>✗</v>
      </c>
      <c r="Q712" s="23" t="str">
        <f>IFERROR(__xludf.DUMMYFUNCTION("if(REGEXMATCH(join("", "",$F712:$G712),Q$1)=TRUE,""✓"",""✗"")"),"✗")</f>
        <v>✗</v>
      </c>
      <c r="R712" s="23" t="str">
        <f>IFERROR(__xludf.DUMMYFUNCTION("if(REGEXMATCH(join("", "",$F712:$G712),R$1)=TRUE,""✓"",""✗"")"),"✗")</f>
        <v>✗</v>
      </c>
      <c r="S712" s="23" t="str">
        <f>IFERROR(__xludf.DUMMYFUNCTION("if(REGEXMATCH(join("", "",$F712:$G712),S$1)=TRUE,""✓"",""✗"")"),"✗")</f>
        <v>✗</v>
      </c>
      <c r="T712" s="23" t="str">
        <f>IFERROR(__xludf.DUMMYFUNCTION("if(REGEXMATCH(join("", "",$F712:$G712),T$1)=TRUE,""✓"",""✗"")"),"✗")</f>
        <v>✗</v>
      </c>
      <c r="U712" s="33"/>
      <c r="V712" s="33"/>
      <c r="W712" s="33"/>
      <c r="X712" s="33"/>
      <c r="Y712" s="33"/>
      <c r="Z712" s="33"/>
      <c r="AA712" s="33"/>
      <c r="AB712" s="33"/>
      <c r="AC712" s="33"/>
    </row>
    <row r="713" hidden="1">
      <c r="A713" s="17" t="s">
        <v>302</v>
      </c>
      <c r="B713" s="33"/>
      <c r="C713" s="33"/>
      <c r="D713" s="33"/>
      <c r="E713" s="33"/>
      <c r="F713" s="33"/>
      <c r="G713" s="33"/>
      <c r="H713" s="23" t="str">
        <f>IFERROR(__xludf.DUMMYFUNCTION("if(REGEXMATCH(join("", "",$F713:$G713),H$1)=TRUE,""✓"",""✗"")"),"✗")</f>
        <v>✗</v>
      </c>
      <c r="I713" s="23" t="str">
        <f>IFERROR(__xludf.DUMMYFUNCTION("if(REGEXMATCH(join("", "",$F713:$G713),I$1)=TRUE,""✓"",""✗"")"),"✗")</f>
        <v>✗</v>
      </c>
      <c r="J713" s="23" t="str">
        <f>IFERROR(__xludf.DUMMYFUNCTION("if(REGEXMATCH(join("", "",$F713:$G713),J$1)=TRUE,""✓"",""✗"")"),"✗")</f>
        <v>✗</v>
      </c>
      <c r="K713" s="23" t="str">
        <f>IFERROR(__xludf.DUMMYFUNCTION("if(REGEXMATCH(join("", "",$F713:$G713),K$1)=TRUE,""✓"",""✗"")"),"✗")</f>
        <v>✗</v>
      </c>
      <c r="L713" s="23" t="str">
        <f>IFERROR(__xludf.DUMMYFUNCTION("if(REGEXMATCH(join("", "",$F713:$G713),L$1)=TRUE,""✓"",""✗"")"),"✗")</f>
        <v>✗</v>
      </c>
      <c r="M713" s="23" t="str">
        <f>IFERROR(__xludf.DUMMYFUNCTION("if(REGEXMATCH(join("", "",$F713:$G713),M$1)=TRUE,""✓"",""✗"")"),"✗")</f>
        <v>✗</v>
      </c>
      <c r="N713" s="23" t="str">
        <f>IFERROR(__xludf.DUMMYFUNCTION("if(REGEXMATCH(join("", "",$F713:$G713),N$1)=TRUE,""✓"",""✗"")"),"✗")</f>
        <v>✗</v>
      </c>
      <c r="O713" s="23" t="str">
        <f>IFERROR(__xludf.DUMMYFUNCTION("if(REGEXMATCH(join("", "",$F713:$G713),O$1)=TRUE,""✓"",""✗"")"),"✗")</f>
        <v>✗</v>
      </c>
      <c r="P713" s="23" t="str">
        <f>IFERROR(__xludf.DUMMYFUNCTION("if(REGEXMATCH(join("", "",$F713:$G713),P$1)=TRUE,""✓"",""✗"")"),"✗")</f>
        <v>✗</v>
      </c>
      <c r="Q713" s="23" t="str">
        <f>IFERROR(__xludf.DUMMYFUNCTION("if(REGEXMATCH(join("", "",$F713:$G713),Q$1)=TRUE,""✓"",""✗"")"),"✗")</f>
        <v>✗</v>
      </c>
      <c r="R713" s="23" t="str">
        <f>IFERROR(__xludf.DUMMYFUNCTION("if(REGEXMATCH(join("", "",$F713:$G713),R$1)=TRUE,""✓"",""✗"")"),"✗")</f>
        <v>✗</v>
      </c>
      <c r="S713" s="23" t="str">
        <f>IFERROR(__xludf.DUMMYFUNCTION("if(REGEXMATCH(join("", "",$F713:$G713),S$1)=TRUE,""✓"",""✗"")"),"✗")</f>
        <v>✗</v>
      </c>
      <c r="T713" s="23" t="str">
        <f>IFERROR(__xludf.DUMMYFUNCTION("if(REGEXMATCH(join("", "",$F713:$G713),T$1)=TRUE,""✓"",""✗"")"),"✗")</f>
        <v>✗</v>
      </c>
      <c r="U713" s="33"/>
      <c r="V713" s="33"/>
      <c r="W713" s="33"/>
      <c r="X713" s="33"/>
      <c r="Y713" s="33"/>
      <c r="Z713" s="33"/>
      <c r="AA713" s="33"/>
      <c r="AB713" s="33"/>
      <c r="AC713" s="33"/>
    </row>
    <row r="714" hidden="1">
      <c r="A714" s="17" t="s">
        <v>302</v>
      </c>
      <c r="B714" s="33"/>
      <c r="C714" s="33"/>
      <c r="D714" s="33"/>
      <c r="E714" s="33"/>
      <c r="F714" s="33"/>
      <c r="G714" s="33"/>
      <c r="H714" s="23" t="str">
        <f>IFERROR(__xludf.DUMMYFUNCTION("if(REGEXMATCH(join("", "",$F714:$G714),H$1)=TRUE,""✓"",""✗"")"),"✗")</f>
        <v>✗</v>
      </c>
      <c r="I714" s="23" t="str">
        <f>IFERROR(__xludf.DUMMYFUNCTION("if(REGEXMATCH(join("", "",$F714:$G714),I$1)=TRUE,""✓"",""✗"")"),"✗")</f>
        <v>✗</v>
      </c>
      <c r="J714" s="23" t="str">
        <f>IFERROR(__xludf.DUMMYFUNCTION("if(REGEXMATCH(join("", "",$F714:$G714),J$1)=TRUE,""✓"",""✗"")"),"✗")</f>
        <v>✗</v>
      </c>
      <c r="K714" s="23" t="str">
        <f>IFERROR(__xludf.DUMMYFUNCTION("if(REGEXMATCH(join("", "",$F714:$G714),K$1)=TRUE,""✓"",""✗"")"),"✗")</f>
        <v>✗</v>
      </c>
      <c r="L714" s="23" t="str">
        <f>IFERROR(__xludf.DUMMYFUNCTION("if(REGEXMATCH(join("", "",$F714:$G714),L$1)=TRUE,""✓"",""✗"")"),"✗")</f>
        <v>✗</v>
      </c>
      <c r="M714" s="23" t="str">
        <f>IFERROR(__xludf.DUMMYFUNCTION("if(REGEXMATCH(join("", "",$F714:$G714),M$1)=TRUE,""✓"",""✗"")"),"✗")</f>
        <v>✗</v>
      </c>
      <c r="N714" s="23" t="str">
        <f>IFERROR(__xludf.DUMMYFUNCTION("if(REGEXMATCH(join("", "",$F714:$G714),N$1)=TRUE,""✓"",""✗"")"),"✗")</f>
        <v>✗</v>
      </c>
      <c r="O714" s="23" t="str">
        <f>IFERROR(__xludf.DUMMYFUNCTION("if(REGEXMATCH(join("", "",$F714:$G714),O$1)=TRUE,""✓"",""✗"")"),"✗")</f>
        <v>✗</v>
      </c>
      <c r="P714" s="23" t="str">
        <f>IFERROR(__xludf.DUMMYFUNCTION("if(REGEXMATCH(join("", "",$F714:$G714),P$1)=TRUE,""✓"",""✗"")"),"✗")</f>
        <v>✗</v>
      </c>
      <c r="Q714" s="23" t="str">
        <f>IFERROR(__xludf.DUMMYFUNCTION("if(REGEXMATCH(join("", "",$F714:$G714),Q$1)=TRUE,""✓"",""✗"")"),"✗")</f>
        <v>✗</v>
      </c>
      <c r="R714" s="23" t="str">
        <f>IFERROR(__xludf.DUMMYFUNCTION("if(REGEXMATCH(join("", "",$F714:$G714),R$1)=TRUE,""✓"",""✗"")"),"✗")</f>
        <v>✗</v>
      </c>
      <c r="S714" s="23" t="str">
        <f>IFERROR(__xludf.DUMMYFUNCTION("if(REGEXMATCH(join("", "",$F714:$G714),S$1)=TRUE,""✓"",""✗"")"),"✗")</f>
        <v>✗</v>
      </c>
      <c r="T714" s="23" t="str">
        <f>IFERROR(__xludf.DUMMYFUNCTION("if(REGEXMATCH(join("", "",$F714:$G714),T$1)=TRUE,""✓"",""✗"")"),"✗")</f>
        <v>✗</v>
      </c>
      <c r="U714" s="33"/>
      <c r="V714" s="33"/>
      <c r="W714" s="33"/>
      <c r="X714" s="33"/>
      <c r="Y714" s="33"/>
      <c r="Z714" s="33"/>
      <c r="AA714" s="33"/>
      <c r="AB714" s="33"/>
      <c r="AC714" s="33"/>
    </row>
    <row r="715" hidden="1">
      <c r="A715" s="17" t="s">
        <v>302</v>
      </c>
      <c r="B715" s="33"/>
      <c r="C715" s="33"/>
      <c r="D715" s="33"/>
      <c r="E715" s="33"/>
      <c r="F715" s="33"/>
      <c r="G715" s="33"/>
      <c r="H715" s="23" t="str">
        <f>IFERROR(__xludf.DUMMYFUNCTION("if(REGEXMATCH(join("", "",$F715:$G715),H$1)=TRUE,""✓"",""✗"")"),"✗")</f>
        <v>✗</v>
      </c>
      <c r="I715" s="23" t="str">
        <f>IFERROR(__xludf.DUMMYFUNCTION("if(REGEXMATCH(join("", "",$F715:$G715),I$1)=TRUE,""✓"",""✗"")"),"✗")</f>
        <v>✗</v>
      </c>
      <c r="J715" s="23" t="str">
        <f>IFERROR(__xludf.DUMMYFUNCTION("if(REGEXMATCH(join("", "",$F715:$G715),J$1)=TRUE,""✓"",""✗"")"),"✗")</f>
        <v>✗</v>
      </c>
      <c r="K715" s="23" t="str">
        <f>IFERROR(__xludf.DUMMYFUNCTION("if(REGEXMATCH(join("", "",$F715:$G715),K$1)=TRUE,""✓"",""✗"")"),"✗")</f>
        <v>✗</v>
      </c>
      <c r="L715" s="23" t="str">
        <f>IFERROR(__xludf.DUMMYFUNCTION("if(REGEXMATCH(join("", "",$F715:$G715),L$1)=TRUE,""✓"",""✗"")"),"✗")</f>
        <v>✗</v>
      </c>
      <c r="M715" s="23" t="str">
        <f>IFERROR(__xludf.DUMMYFUNCTION("if(REGEXMATCH(join("", "",$F715:$G715),M$1)=TRUE,""✓"",""✗"")"),"✗")</f>
        <v>✗</v>
      </c>
      <c r="N715" s="23" t="str">
        <f>IFERROR(__xludf.DUMMYFUNCTION("if(REGEXMATCH(join("", "",$F715:$G715),N$1)=TRUE,""✓"",""✗"")"),"✗")</f>
        <v>✗</v>
      </c>
      <c r="O715" s="23" t="str">
        <f>IFERROR(__xludf.DUMMYFUNCTION("if(REGEXMATCH(join("", "",$F715:$G715),O$1)=TRUE,""✓"",""✗"")"),"✗")</f>
        <v>✗</v>
      </c>
      <c r="P715" s="23" t="str">
        <f>IFERROR(__xludf.DUMMYFUNCTION("if(REGEXMATCH(join("", "",$F715:$G715),P$1)=TRUE,""✓"",""✗"")"),"✗")</f>
        <v>✗</v>
      </c>
      <c r="Q715" s="23" t="str">
        <f>IFERROR(__xludf.DUMMYFUNCTION("if(REGEXMATCH(join("", "",$F715:$G715),Q$1)=TRUE,""✓"",""✗"")"),"✗")</f>
        <v>✗</v>
      </c>
      <c r="R715" s="23" t="str">
        <f>IFERROR(__xludf.DUMMYFUNCTION("if(REGEXMATCH(join("", "",$F715:$G715),R$1)=TRUE,""✓"",""✗"")"),"✗")</f>
        <v>✗</v>
      </c>
      <c r="S715" s="23" t="str">
        <f>IFERROR(__xludf.DUMMYFUNCTION("if(REGEXMATCH(join("", "",$F715:$G715),S$1)=TRUE,""✓"",""✗"")"),"✗")</f>
        <v>✗</v>
      </c>
      <c r="T715" s="23" t="str">
        <f>IFERROR(__xludf.DUMMYFUNCTION("if(REGEXMATCH(join("", "",$F715:$G715),T$1)=TRUE,""✓"",""✗"")"),"✗")</f>
        <v>✗</v>
      </c>
      <c r="U715" s="33"/>
      <c r="V715" s="33"/>
      <c r="W715" s="33"/>
      <c r="X715" s="33"/>
      <c r="Y715" s="33"/>
      <c r="Z715" s="33"/>
      <c r="AA715" s="33"/>
      <c r="AB715" s="33"/>
      <c r="AC715" s="33"/>
    </row>
    <row r="716" hidden="1">
      <c r="A716" s="17" t="s">
        <v>302</v>
      </c>
      <c r="B716" s="33"/>
      <c r="C716" s="33"/>
      <c r="D716" s="33"/>
      <c r="E716" s="33"/>
      <c r="F716" s="33"/>
      <c r="G716" s="33"/>
      <c r="H716" s="23" t="str">
        <f>IFERROR(__xludf.DUMMYFUNCTION("if(REGEXMATCH(join("", "",$F716:$G716),H$1)=TRUE,""✓"",""✗"")"),"✗")</f>
        <v>✗</v>
      </c>
      <c r="I716" s="23" t="str">
        <f>IFERROR(__xludf.DUMMYFUNCTION("if(REGEXMATCH(join("", "",$F716:$G716),I$1)=TRUE,""✓"",""✗"")"),"✗")</f>
        <v>✗</v>
      </c>
      <c r="J716" s="23" t="str">
        <f>IFERROR(__xludf.DUMMYFUNCTION("if(REGEXMATCH(join("", "",$F716:$G716),J$1)=TRUE,""✓"",""✗"")"),"✗")</f>
        <v>✗</v>
      </c>
      <c r="K716" s="23" t="str">
        <f>IFERROR(__xludf.DUMMYFUNCTION("if(REGEXMATCH(join("", "",$F716:$G716),K$1)=TRUE,""✓"",""✗"")"),"✗")</f>
        <v>✗</v>
      </c>
      <c r="L716" s="23" t="str">
        <f>IFERROR(__xludf.DUMMYFUNCTION("if(REGEXMATCH(join("", "",$F716:$G716),L$1)=TRUE,""✓"",""✗"")"),"✗")</f>
        <v>✗</v>
      </c>
      <c r="M716" s="23" t="str">
        <f>IFERROR(__xludf.DUMMYFUNCTION("if(REGEXMATCH(join("", "",$F716:$G716),M$1)=TRUE,""✓"",""✗"")"),"✗")</f>
        <v>✗</v>
      </c>
      <c r="N716" s="23" t="str">
        <f>IFERROR(__xludf.DUMMYFUNCTION("if(REGEXMATCH(join("", "",$F716:$G716),N$1)=TRUE,""✓"",""✗"")"),"✗")</f>
        <v>✗</v>
      </c>
      <c r="O716" s="23" t="str">
        <f>IFERROR(__xludf.DUMMYFUNCTION("if(REGEXMATCH(join("", "",$F716:$G716),O$1)=TRUE,""✓"",""✗"")"),"✗")</f>
        <v>✗</v>
      </c>
      <c r="P716" s="23" t="str">
        <f>IFERROR(__xludf.DUMMYFUNCTION("if(REGEXMATCH(join("", "",$F716:$G716),P$1)=TRUE,""✓"",""✗"")"),"✗")</f>
        <v>✗</v>
      </c>
      <c r="Q716" s="23" t="str">
        <f>IFERROR(__xludf.DUMMYFUNCTION("if(REGEXMATCH(join("", "",$F716:$G716),Q$1)=TRUE,""✓"",""✗"")"),"✗")</f>
        <v>✗</v>
      </c>
      <c r="R716" s="23" t="str">
        <f>IFERROR(__xludf.DUMMYFUNCTION("if(REGEXMATCH(join("", "",$F716:$G716),R$1)=TRUE,""✓"",""✗"")"),"✗")</f>
        <v>✗</v>
      </c>
      <c r="S716" s="23" t="str">
        <f>IFERROR(__xludf.DUMMYFUNCTION("if(REGEXMATCH(join("", "",$F716:$G716),S$1)=TRUE,""✓"",""✗"")"),"✗")</f>
        <v>✗</v>
      </c>
      <c r="T716" s="23" t="str">
        <f>IFERROR(__xludf.DUMMYFUNCTION("if(REGEXMATCH(join("", "",$F716:$G716),T$1)=TRUE,""✓"",""✗"")"),"✗")</f>
        <v>✗</v>
      </c>
      <c r="U716" s="33"/>
      <c r="V716" s="33"/>
      <c r="W716" s="33"/>
      <c r="X716" s="33"/>
      <c r="Y716" s="33"/>
      <c r="Z716" s="33"/>
      <c r="AA716" s="33"/>
      <c r="AB716" s="33"/>
      <c r="AC716" s="33"/>
    </row>
    <row r="717" hidden="1">
      <c r="A717" s="17" t="s">
        <v>302</v>
      </c>
      <c r="B717" s="33"/>
      <c r="C717" s="33"/>
      <c r="D717" s="33"/>
      <c r="E717" s="33"/>
      <c r="F717" s="33"/>
      <c r="G717" s="33"/>
      <c r="H717" s="23" t="str">
        <f>IFERROR(__xludf.DUMMYFUNCTION("if(REGEXMATCH(join("", "",$F717:$G717),H$1)=TRUE,""✓"",""✗"")"),"✗")</f>
        <v>✗</v>
      </c>
      <c r="I717" s="23" t="str">
        <f>IFERROR(__xludf.DUMMYFUNCTION("if(REGEXMATCH(join("", "",$F717:$G717),I$1)=TRUE,""✓"",""✗"")"),"✗")</f>
        <v>✗</v>
      </c>
      <c r="J717" s="23" t="str">
        <f>IFERROR(__xludf.DUMMYFUNCTION("if(REGEXMATCH(join("", "",$F717:$G717),J$1)=TRUE,""✓"",""✗"")"),"✗")</f>
        <v>✗</v>
      </c>
      <c r="K717" s="23" t="str">
        <f>IFERROR(__xludf.DUMMYFUNCTION("if(REGEXMATCH(join("", "",$F717:$G717),K$1)=TRUE,""✓"",""✗"")"),"✗")</f>
        <v>✗</v>
      </c>
      <c r="L717" s="23" t="str">
        <f>IFERROR(__xludf.DUMMYFUNCTION("if(REGEXMATCH(join("", "",$F717:$G717),L$1)=TRUE,""✓"",""✗"")"),"✗")</f>
        <v>✗</v>
      </c>
      <c r="M717" s="23" t="str">
        <f>IFERROR(__xludf.DUMMYFUNCTION("if(REGEXMATCH(join("", "",$F717:$G717),M$1)=TRUE,""✓"",""✗"")"),"✗")</f>
        <v>✗</v>
      </c>
      <c r="N717" s="23" t="str">
        <f>IFERROR(__xludf.DUMMYFUNCTION("if(REGEXMATCH(join("", "",$F717:$G717),N$1)=TRUE,""✓"",""✗"")"),"✗")</f>
        <v>✗</v>
      </c>
      <c r="O717" s="23" t="str">
        <f>IFERROR(__xludf.DUMMYFUNCTION("if(REGEXMATCH(join("", "",$F717:$G717),O$1)=TRUE,""✓"",""✗"")"),"✗")</f>
        <v>✗</v>
      </c>
      <c r="P717" s="23" t="str">
        <f>IFERROR(__xludf.DUMMYFUNCTION("if(REGEXMATCH(join("", "",$F717:$G717),P$1)=TRUE,""✓"",""✗"")"),"✗")</f>
        <v>✗</v>
      </c>
      <c r="Q717" s="23" t="str">
        <f>IFERROR(__xludf.DUMMYFUNCTION("if(REGEXMATCH(join("", "",$F717:$G717),Q$1)=TRUE,""✓"",""✗"")"),"✗")</f>
        <v>✗</v>
      </c>
      <c r="R717" s="23" t="str">
        <f>IFERROR(__xludf.DUMMYFUNCTION("if(REGEXMATCH(join("", "",$F717:$G717),R$1)=TRUE,""✓"",""✗"")"),"✗")</f>
        <v>✗</v>
      </c>
      <c r="S717" s="23" t="str">
        <f>IFERROR(__xludf.DUMMYFUNCTION("if(REGEXMATCH(join("", "",$F717:$G717),S$1)=TRUE,""✓"",""✗"")"),"✗")</f>
        <v>✗</v>
      </c>
      <c r="T717" s="23" t="str">
        <f>IFERROR(__xludf.DUMMYFUNCTION("if(REGEXMATCH(join("", "",$F717:$G717),T$1)=TRUE,""✓"",""✗"")"),"✗")</f>
        <v>✗</v>
      </c>
      <c r="U717" s="33"/>
      <c r="V717" s="33"/>
      <c r="W717" s="33"/>
      <c r="X717" s="33"/>
      <c r="Y717" s="33"/>
      <c r="Z717" s="33"/>
      <c r="AA717" s="33"/>
      <c r="AB717" s="33"/>
      <c r="AC717" s="33"/>
    </row>
    <row r="718" hidden="1">
      <c r="A718" s="17" t="s">
        <v>302</v>
      </c>
      <c r="B718" s="33"/>
      <c r="C718" s="33"/>
      <c r="D718" s="33"/>
      <c r="E718" s="33"/>
      <c r="F718" s="33"/>
      <c r="G718" s="33"/>
      <c r="H718" s="23" t="str">
        <f>IFERROR(__xludf.DUMMYFUNCTION("if(REGEXMATCH(join("", "",$F718:$G718),H$1)=TRUE,""✓"",""✗"")"),"✗")</f>
        <v>✗</v>
      </c>
      <c r="I718" s="23" t="str">
        <f>IFERROR(__xludf.DUMMYFUNCTION("if(REGEXMATCH(join("", "",$F718:$G718),I$1)=TRUE,""✓"",""✗"")"),"✗")</f>
        <v>✗</v>
      </c>
      <c r="J718" s="23" t="str">
        <f>IFERROR(__xludf.DUMMYFUNCTION("if(REGEXMATCH(join("", "",$F718:$G718),J$1)=TRUE,""✓"",""✗"")"),"✗")</f>
        <v>✗</v>
      </c>
      <c r="K718" s="23" t="str">
        <f>IFERROR(__xludf.DUMMYFUNCTION("if(REGEXMATCH(join("", "",$F718:$G718),K$1)=TRUE,""✓"",""✗"")"),"✗")</f>
        <v>✗</v>
      </c>
      <c r="L718" s="23" t="str">
        <f>IFERROR(__xludf.DUMMYFUNCTION("if(REGEXMATCH(join("", "",$F718:$G718),L$1)=TRUE,""✓"",""✗"")"),"✗")</f>
        <v>✗</v>
      </c>
      <c r="M718" s="23" t="str">
        <f>IFERROR(__xludf.DUMMYFUNCTION("if(REGEXMATCH(join("", "",$F718:$G718),M$1)=TRUE,""✓"",""✗"")"),"✗")</f>
        <v>✗</v>
      </c>
      <c r="N718" s="23" t="str">
        <f>IFERROR(__xludf.DUMMYFUNCTION("if(REGEXMATCH(join("", "",$F718:$G718),N$1)=TRUE,""✓"",""✗"")"),"✗")</f>
        <v>✗</v>
      </c>
      <c r="O718" s="23" t="str">
        <f>IFERROR(__xludf.DUMMYFUNCTION("if(REGEXMATCH(join("", "",$F718:$G718),O$1)=TRUE,""✓"",""✗"")"),"✗")</f>
        <v>✗</v>
      </c>
      <c r="P718" s="23" t="str">
        <f>IFERROR(__xludf.DUMMYFUNCTION("if(REGEXMATCH(join("", "",$F718:$G718),P$1)=TRUE,""✓"",""✗"")"),"✗")</f>
        <v>✗</v>
      </c>
      <c r="Q718" s="23" t="str">
        <f>IFERROR(__xludf.DUMMYFUNCTION("if(REGEXMATCH(join("", "",$F718:$G718),Q$1)=TRUE,""✓"",""✗"")"),"✗")</f>
        <v>✗</v>
      </c>
      <c r="R718" s="23" t="str">
        <f>IFERROR(__xludf.DUMMYFUNCTION("if(REGEXMATCH(join("", "",$F718:$G718),R$1)=TRUE,""✓"",""✗"")"),"✗")</f>
        <v>✗</v>
      </c>
      <c r="S718" s="23" t="str">
        <f>IFERROR(__xludf.DUMMYFUNCTION("if(REGEXMATCH(join("", "",$F718:$G718),S$1)=TRUE,""✓"",""✗"")"),"✗")</f>
        <v>✗</v>
      </c>
      <c r="T718" s="23" t="str">
        <f>IFERROR(__xludf.DUMMYFUNCTION("if(REGEXMATCH(join("", "",$F718:$G718),T$1)=TRUE,""✓"",""✗"")"),"✗")</f>
        <v>✗</v>
      </c>
      <c r="U718" s="33"/>
      <c r="V718" s="33"/>
      <c r="W718" s="33"/>
      <c r="X718" s="33"/>
      <c r="Y718" s="33"/>
      <c r="Z718" s="33"/>
      <c r="AA718" s="33"/>
      <c r="AB718" s="33"/>
      <c r="AC718" s="33"/>
    </row>
    <row r="719" hidden="1">
      <c r="A719" s="17" t="s">
        <v>302</v>
      </c>
      <c r="B719" s="33"/>
      <c r="C719" s="33"/>
      <c r="D719" s="33"/>
      <c r="E719" s="33"/>
      <c r="F719" s="33"/>
      <c r="G719" s="33"/>
      <c r="H719" s="23" t="str">
        <f>IFERROR(__xludf.DUMMYFUNCTION("if(REGEXMATCH(join("", "",$F719:$G719),H$1)=TRUE,""✓"",""✗"")"),"✗")</f>
        <v>✗</v>
      </c>
      <c r="I719" s="23" t="str">
        <f>IFERROR(__xludf.DUMMYFUNCTION("if(REGEXMATCH(join("", "",$F719:$G719),I$1)=TRUE,""✓"",""✗"")"),"✗")</f>
        <v>✗</v>
      </c>
      <c r="J719" s="23" t="str">
        <f>IFERROR(__xludf.DUMMYFUNCTION("if(REGEXMATCH(join("", "",$F719:$G719),J$1)=TRUE,""✓"",""✗"")"),"✗")</f>
        <v>✗</v>
      </c>
      <c r="K719" s="23" t="str">
        <f>IFERROR(__xludf.DUMMYFUNCTION("if(REGEXMATCH(join("", "",$F719:$G719),K$1)=TRUE,""✓"",""✗"")"),"✗")</f>
        <v>✗</v>
      </c>
      <c r="L719" s="23" t="str">
        <f>IFERROR(__xludf.DUMMYFUNCTION("if(REGEXMATCH(join("", "",$F719:$G719),L$1)=TRUE,""✓"",""✗"")"),"✗")</f>
        <v>✗</v>
      </c>
      <c r="M719" s="23" t="str">
        <f>IFERROR(__xludf.DUMMYFUNCTION("if(REGEXMATCH(join("", "",$F719:$G719),M$1)=TRUE,""✓"",""✗"")"),"✗")</f>
        <v>✗</v>
      </c>
      <c r="N719" s="23" t="str">
        <f>IFERROR(__xludf.DUMMYFUNCTION("if(REGEXMATCH(join("", "",$F719:$G719),N$1)=TRUE,""✓"",""✗"")"),"✗")</f>
        <v>✗</v>
      </c>
      <c r="O719" s="23" t="str">
        <f>IFERROR(__xludf.DUMMYFUNCTION("if(REGEXMATCH(join("", "",$F719:$G719),O$1)=TRUE,""✓"",""✗"")"),"✗")</f>
        <v>✗</v>
      </c>
      <c r="P719" s="23" t="str">
        <f>IFERROR(__xludf.DUMMYFUNCTION("if(REGEXMATCH(join("", "",$F719:$G719),P$1)=TRUE,""✓"",""✗"")"),"✗")</f>
        <v>✗</v>
      </c>
      <c r="Q719" s="23" t="str">
        <f>IFERROR(__xludf.DUMMYFUNCTION("if(REGEXMATCH(join("", "",$F719:$G719),Q$1)=TRUE,""✓"",""✗"")"),"✗")</f>
        <v>✗</v>
      </c>
      <c r="R719" s="23" t="str">
        <f>IFERROR(__xludf.DUMMYFUNCTION("if(REGEXMATCH(join("", "",$F719:$G719),R$1)=TRUE,""✓"",""✗"")"),"✗")</f>
        <v>✗</v>
      </c>
      <c r="S719" s="23" t="str">
        <f>IFERROR(__xludf.DUMMYFUNCTION("if(REGEXMATCH(join("", "",$F719:$G719),S$1)=TRUE,""✓"",""✗"")"),"✗")</f>
        <v>✗</v>
      </c>
      <c r="T719" s="23" t="str">
        <f>IFERROR(__xludf.DUMMYFUNCTION("if(REGEXMATCH(join("", "",$F719:$G719),T$1)=TRUE,""✓"",""✗"")"),"✗")</f>
        <v>✗</v>
      </c>
      <c r="U719" s="33"/>
      <c r="V719" s="33"/>
      <c r="W719" s="33"/>
      <c r="X719" s="33"/>
      <c r="Y719" s="33"/>
      <c r="Z719" s="33"/>
      <c r="AA719" s="33"/>
      <c r="AB719" s="33"/>
      <c r="AC719" s="33"/>
    </row>
    <row r="720" hidden="1">
      <c r="A720" s="17" t="s">
        <v>302</v>
      </c>
      <c r="B720" s="33"/>
      <c r="C720" s="33"/>
      <c r="D720" s="33"/>
      <c r="E720" s="33"/>
      <c r="F720" s="33"/>
      <c r="G720" s="33"/>
      <c r="H720" s="23" t="str">
        <f>IFERROR(__xludf.DUMMYFUNCTION("if(REGEXMATCH(join("", "",$F720:$G720),H$1)=TRUE,""✓"",""✗"")"),"✗")</f>
        <v>✗</v>
      </c>
      <c r="I720" s="23" t="str">
        <f>IFERROR(__xludf.DUMMYFUNCTION("if(REGEXMATCH(join("", "",$F720:$G720),I$1)=TRUE,""✓"",""✗"")"),"✗")</f>
        <v>✗</v>
      </c>
      <c r="J720" s="23" t="str">
        <f>IFERROR(__xludf.DUMMYFUNCTION("if(REGEXMATCH(join("", "",$F720:$G720),J$1)=TRUE,""✓"",""✗"")"),"✗")</f>
        <v>✗</v>
      </c>
      <c r="K720" s="23" t="str">
        <f>IFERROR(__xludf.DUMMYFUNCTION("if(REGEXMATCH(join("", "",$F720:$G720),K$1)=TRUE,""✓"",""✗"")"),"✗")</f>
        <v>✗</v>
      </c>
      <c r="L720" s="23" t="str">
        <f>IFERROR(__xludf.DUMMYFUNCTION("if(REGEXMATCH(join("", "",$F720:$G720),L$1)=TRUE,""✓"",""✗"")"),"✗")</f>
        <v>✗</v>
      </c>
      <c r="M720" s="23" t="str">
        <f>IFERROR(__xludf.DUMMYFUNCTION("if(REGEXMATCH(join("", "",$F720:$G720),M$1)=TRUE,""✓"",""✗"")"),"✗")</f>
        <v>✗</v>
      </c>
      <c r="N720" s="23" t="str">
        <f>IFERROR(__xludf.DUMMYFUNCTION("if(REGEXMATCH(join("", "",$F720:$G720),N$1)=TRUE,""✓"",""✗"")"),"✗")</f>
        <v>✗</v>
      </c>
      <c r="O720" s="23" t="str">
        <f>IFERROR(__xludf.DUMMYFUNCTION("if(REGEXMATCH(join("", "",$F720:$G720),O$1)=TRUE,""✓"",""✗"")"),"✗")</f>
        <v>✗</v>
      </c>
      <c r="P720" s="23" t="str">
        <f>IFERROR(__xludf.DUMMYFUNCTION("if(REGEXMATCH(join("", "",$F720:$G720),P$1)=TRUE,""✓"",""✗"")"),"✗")</f>
        <v>✗</v>
      </c>
      <c r="Q720" s="23" t="str">
        <f>IFERROR(__xludf.DUMMYFUNCTION("if(REGEXMATCH(join("", "",$F720:$G720),Q$1)=TRUE,""✓"",""✗"")"),"✗")</f>
        <v>✗</v>
      </c>
      <c r="R720" s="23" t="str">
        <f>IFERROR(__xludf.DUMMYFUNCTION("if(REGEXMATCH(join("", "",$F720:$G720),R$1)=TRUE,""✓"",""✗"")"),"✗")</f>
        <v>✗</v>
      </c>
      <c r="S720" s="23" t="str">
        <f>IFERROR(__xludf.DUMMYFUNCTION("if(REGEXMATCH(join("", "",$F720:$G720),S$1)=TRUE,""✓"",""✗"")"),"✗")</f>
        <v>✗</v>
      </c>
      <c r="T720" s="23" t="str">
        <f>IFERROR(__xludf.DUMMYFUNCTION("if(REGEXMATCH(join("", "",$F720:$G720),T$1)=TRUE,""✓"",""✗"")"),"✗")</f>
        <v>✗</v>
      </c>
      <c r="U720" s="33"/>
      <c r="V720" s="33"/>
      <c r="W720" s="33"/>
      <c r="X720" s="33"/>
      <c r="Y720" s="33"/>
      <c r="Z720" s="33"/>
      <c r="AA720" s="33"/>
      <c r="AB720" s="33"/>
      <c r="AC720" s="33"/>
    </row>
    <row r="721" hidden="1">
      <c r="A721" s="17" t="s">
        <v>302</v>
      </c>
      <c r="B721" s="33"/>
      <c r="C721" s="33"/>
      <c r="D721" s="33"/>
      <c r="E721" s="33"/>
      <c r="F721" s="33"/>
      <c r="G721" s="33"/>
      <c r="H721" s="23" t="str">
        <f>IFERROR(__xludf.DUMMYFUNCTION("if(REGEXMATCH(join("", "",$F721:$G721),H$1)=TRUE,""✓"",""✗"")"),"✗")</f>
        <v>✗</v>
      </c>
      <c r="I721" s="23" t="str">
        <f>IFERROR(__xludf.DUMMYFUNCTION("if(REGEXMATCH(join("", "",$F721:$G721),I$1)=TRUE,""✓"",""✗"")"),"✗")</f>
        <v>✗</v>
      </c>
      <c r="J721" s="23" t="str">
        <f>IFERROR(__xludf.DUMMYFUNCTION("if(REGEXMATCH(join("", "",$F721:$G721),J$1)=TRUE,""✓"",""✗"")"),"✗")</f>
        <v>✗</v>
      </c>
      <c r="K721" s="23" t="str">
        <f>IFERROR(__xludf.DUMMYFUNCTION("if(REGEXMATCH(join("", "",$F721:$G721),K$1)=TRUE,""✓"",""✗"")"),"✗")</f>
        <v>✗</v>
      </c>
      <c r="L721" s="23" t="str">
        <f>IFERROR(__xludf.DUMMYFUNCTION("if(REGEXMATCH(join("", "",$F721:$G721),L$1)=TRUE,""✓"",""✗"")"),"✗")</f>
        <v>✗</v>
      </c>
      <c r="M721" s="23" t="str">
        <f>IFERROR(__xludf.DUMMYFUNCTION("if(REGEXMATCH(join("", "",$F721:$G721),M$1)=TRUE,""✓"",""✗"")"),"✗")</f>
        <v>✗</v>
      </c>
      <c r="N721" s="23" t="str">
        <f>IFERROR(__xludf.DUMMYFUNCTION("if(REGEXMATCH(join("", "",$F721:$G721),N$1)=TRUE,""✓"",""✗"")"),"✗")</f>
        <v>✗</v>
      </c>
      <c r="O721" s="23" t="str">
        <f>IFERROR(__xludf.DUMMYFUNCTION("if(REGEXMATCH(join("", "",$F721:$G721),O$1)=TRUE,""✓"",""✗"")"),"✗")</f>
        <v>✗</v>
      </c>
      <c r="P721" s="23" t="str">
        <f>IFERROR(__xludf.DUMMYFUNCTION("if(REGEXMATCH(join("", "",$F721:$G721),P$1)=TRUE,""✓"",""✗"")"),"✗")</f>
        <v>✗</v>
      </c>
      <c r="Q721" s="23" t="str">
        <f>IFERROR(__xludf.DUMMYFUNCTION("if(REGEXMATCH(join("", "",$F721:$G721),Q$1)=TRUE,""✓"",""✗"")"),"✗")</f>
        <v>✗</v>
      </c>
      <c r="R721" s="23" t="str">
        <f>IFERROR(__xludf.DUMMYFUNCTION("if(REGEXMATCH(join("", "",$F721:$G721),R$1)=TRUE,""✓"",""✗"")"),"✗")</f>
        <v>✗</v>
      </c>
      <c r="S721" s="23" t="str">
        <f>IFERROR(__xludf.DUMMYFUNCTION("if(REGEXMATCH(join("", "",$F721:$G721),S$1)=TRUE,""✓"",""✗"")"),"✗")</f>
        <v>✗</v>
      </c>
      <c r="T721" s="23" t="str">
        <f>IFERROR(__xludf.DUMMYFUNCTION("if(REGEXMATCH(join("", "",$F721:$G721),T$1)=TRUE,""✓"",""✗"")"),"✗")</f>
        <v>✗</v>
      </c>
      <c r="U721" s="33"/>
      <c r="V721" s="33"/>
      <c r="W721" s="33"/>
      <c r="X721" s="33"/>
      <c r="Y721" s="33"/>
      <c r="Z721" s="33"/>
      <c r="AA721" s="33"/>
      <c r="AB721" s="33"/>
      <c r="AC721" s="33"/>
    </row>
    <row r="722" hidden="1">
      <c r="A722" s="17" t="s">
        <v>302</v>
      </c>
      <c r="B722" s="33"/>
      <c r="C722" s="33"/>
      <c r="D722" s="33"/>
      <c r="E722" s="33"/>
      <c r="F722" s="33"/>
      <c r="G722" s="33"/>
      <c r="H722" s="23" t="str">
        <f>IFERROR(__xludf.DUMMYFUNCTION("if(REGEXMATCH(join("", "",$F722:$G722),H$1)=TRUE,""✓"",""✗"")"),"✗")</f>
        <v>✗</v>
      </c>
      <c r="I722" s="23" t="str">
        <f>IFERROR(__xludf.DUMMYFUNCTION("if(REGEXMATCH(join("", "",$F722:$G722),I$1)=TRUE,""✓"",""✗"")"),"✗")</f>
        <v>✗</v>
      </c>
      <c r="J722" s="23" t="str">
        <f>IFERROR(__xludf.DUMMYFUNCTION("if(REGEXMATCH(join("", "",$F722:$G722),J$1)=TRUE,""✓"",""✗"")"),"✗")</f>
        <v>✗</v>
      </c>
      <c r="K722" s="23" t="str">
        <f>IFERROR(__xludf.DUMMYFUNCTION("if(REGEXMATCH(join("", "",$F722:$G722),K$1)=TRUE,""✓"",""✗"")"),"✗")</f>
        <v>✗</v>
      </c>
      <c r="L722" s="23" t="str">
        <f>IFERROR(__xludf.DUMMYFUNCTION("if(REGEXMATCH(join("", "",$F722:$G722),L$1)=TRUE,""✓"",""✗"")"),"✗")</f>
        <v>✗</v>
      </c>
      <c r="M722" s="23" t="str">
        <f>IFERROR(__xludf.DUMMYFUNCTION("if(REGEXMATCH(join("", "",$F722:$G722),M$1)=TRUE,""✓"",""✗"")"),"✗")</f>
        <v>✗</v>
      </c>
      <c r="N722" s="23" t="str">
        <f>IFERROR(__xludf.DUMMYFUNCTION("if(REGEXMATCH(join("", "",$F722:$G722),N$1)=TRUE,""✓"",""✗"")"),"✗")</f>
        <v>✗</v>
      </c>
      <c r="O722" s="23" t="str">
        <f>IFERROR(__xludf.DUMMYFUNCTION("if(REGEXMATCH(join("", "",$F722:$G722),O$1)=TRUE,""✓"",""✗"")"),"✗")</f>
        <v>✗</v>
      </c>
      <c r="P722" s="23" t="str">
        <f>IFERROR(__xludf.DUMMYFUNCTION("if(REGEXMATCH(join("", "",$F722:$G722),P$1)=TRUE,""✓"",""✗"")"),"✗")</f>
        <v>✗</v>
      </c>
      <c r="Q722" s="23" t="str">
        <f>IFERROR(__xludf.DUMMYFUNCTION("if(REGEXMATCH(join("", "",$F722:$G722),Q$1)=TRUE,""✓"",""✗"")"),"✗")</f>
        <v>✗</v>
      </c>
      <c r="R722" s="23" t="str">
        <f>IFERROR(__xludf.DUMMYFUNCTION("if(REGEXMATCH(join("", "",$F722:$G722),R$1)=TRUE,""✓"",""✗"")"),"✗")</f>
        <v>✗</v>
      </c>
      <c r="S722" s="23" t="str">
        <f>IFERROR(__xludf.DUMMYFUNCTION("if(REGEXMATCH(join("", "",$F722:$G722),S$1)=TRUE,""✓"",""✗"")"),"✗")</f>
        <v>✗</v>
      </c>
      <c r="T722" s="23" t="str">
        <f>IFERROR(__xludf.DUMMYFUNCTION("if(REGEXMATCH(join("", "",$F722:$G722),T$1)=TRUE,""✓"",""✗"")"),"✗")</f>
        <v>✗</v>
      </c>
      <c r="U722" s="33"/>
      <c r="V722" s="33"/>
      <c r="W722" s="33"/>
      <c r="X722" s="33"/>
      <c r="Y722" s="33"/>
      <c r="Z722" s="33"/>
      <c r="AA722" s="33"/>
      <c r="AB722" s="33"/>
      <c r="AC722" s="33"/>
    </row>
    <row r="723" hidden="1">
      <c r="A723" s="17" t="s">
        <v>302</v>
      </c>
      <c r="B723" s="33"/>
      <c r="C723" s="33"/>
      <c r="D723" s="33"/>
      <c r="E723" s="33"/>
      <c r="F723" s="33"/>
      <c r="G723" s="33"/>
      <c r="H723" s="23" t="str">
        <f>IFERROR(__xludf.DUMMYFUNCTION("if(REGEXMATCH(join("", "",$F723:$G723),H$1)=TRUE,""✓"",""✗"")"),"✗")</f>
        <v>✗</v>
      </c>
      <c r="I723" s="23" t="str">
        <f>IFERROR(__xludf.DUMMYFUNCTION("if(REGEXMATCH(join("", "",$F723:$G723),I$1)=TRUE,""✓"",""✗"")"),"✗")</f>
        <v>✗</v>
      </c>
      <c r="J723" s="23" t="str">
        <f>IFERROR(__xludf.DUMMYFUNCTION("if(REGEXMATCH(join("", "",$F723:$G723),J$1)=TRUE,""✓"",""✗"")"),"✗")</f>
        <v>✗</v>
      </c>
      <c r="K723" s="23" t="str">
        <f>IFERROR(__xludf.DUMMYFUNCTION("if(REGEXMATCH(join("", "",$F723:$G723),K$1)=TRUE,""✓"",""✗"")"),"✗")</f>
        <v>✗</v>
      </c>
      <c r="L723" s="23" t="str">
        <f>IFERROR(__xludf.DUMMYFUNCTION("if(REGEXMATCH(join("", "",$F723:$G723),L$1)=TRUE,""✓"",""✗"")"),"✗")</f>
        <v>✗</v>
      </c>
      <c r="M723" s="23" t="str">
        <f>IFERROR(__xludf.DUMMYFUNCTION("if(REGEXMATCH(join("", "",$F723:$G723),M$1)=TRUE,""✓"",""✗"")"),"✗")</f>
        <v>✗</v>
      </c>
      <c r="N723" s="23" t="str">
        <f>IFERROR(__xludf.DUMMYFUNCTION("if(REGEXMATCH(join("", "",$F723:$G723),N$1)=TRUE,""✓"",""✗"")"),"✗")</f>
        <v>✗</v>
      </c>
      <c r="O723" s="23" t="str">
        <f>IFERROR(__xludf.DUMMYFUNCTION("if(REGEXMATCH(join("", "",$F723:$G723),O$1)=TRUE,""✓"",""✗"")"),"✗")</f>
        <v>✗</v>
      </c>
      <c r="P723" s="23" t="str">
        <f>IFERROR(__xludf.DUMMYFUNCTION("if(REGEXMATCH(join("", "",$F723:$G723),P$1)=TRUE,""✓"",""✗"")"),"✗")</f>
        <v>✗</v>
      </c>
      <c r="Q723" s="23" t="str">
        <f>IFERROR(__xludf.DUMMYFUNCTION("if(REGEXMATCH(join("", "",$F723:$G723),Q$1)=TRUE,""✓"",""✗"")"),"✗")</f>
        <v>✗</v>
      </c>
      <c r="R723" s="23" t="str">
        <f>IFERROR(__xludf.DUMMYFUNCTION("if(REGEXMATCH(join("", "",$F723:$G723),R$1)=TRUE,""✓"",""✗"")"),"✗")</f>
        <v>✗</v>
      </c>
      <c r="S723" s="23" t="str">
        <f>IFERROR(__xludf.DUMMYFUNCTION("if(REGEXMATCH(join("", "",$F723:$G723),S$1)=TRUE,""✓"",""✗"")"),"✗")</f>
        <v>✗</v>
      </c>
      <c r="T723" s="23" t="str">
        <f>IFERROR(__xludf.DUMMYFUNCTION("if(REGEXMATCH(join("", "",$F723:$G723),T$1)=TRUE,""✓"",""✗"")"),"✗")</f>
        <v>✗</v>
      </c>
      <c r="U723" s="33"/>
      <c r="V723" s="33"/>
      <c r="W723" s="33"/>
      <c r="X723" s="33"/>
      <c r="Y723" s="33"/>
      <c r="Z723" s="33"/>
      <c r="AA723" s="33"/>
      <c r="AB723" s="33"/>
      <c r="AC723" s="33"/>
    </row>
    <row r="724" hidden="1">
      <c r="A724" s="17" t="s">
        <v>302</v>
      </c>
      <c r="B724" s="33"/>
      <c r="C724" s="33"/>
      <c r="D724" s="33"/>
      <c r="E724" s="33"/>
      <c r="F724" s="33"/>
      <c r="G724" s="33"/>
      <c r="H724" s="23" t="str">
        <f>IFERROR(__xludf.DUMMYFUNCTION("if(REGEXMATCH(join("", "",$F724:$G724),H$1)=TRUE,""✓"",""✗"")"),"✗")</f>
        <v>✗</v>
      </c>
      <c r="I724" s="23" t="str">
        <f>IFERROR(__xludf.DUMMYFUNCTION("if(REGEXMATCH(join("", "",$F724:$G724),I$1)=TRUE,""✓"",""✗"")"),"✗")</f>
        <v>✗</v>
      </c>
      <c r="J724" s="23" t="str">
        <f>IFERROR(__xludf.DUMMYFUNCTION("if(REGEXMATCH(join("", "",$F724:$G724),J$1)=TRUE,""✓"",""✗"")"),"✗")</f>
        <v>✗</v>
      </c>
      <c r="K724" s="23" t="str">
        <f>IFERROR(__xludf.DUMMYFUNCTION("if(REGEXMATCH(join("", "",$F724:$G724),K$1)=TRUE,""✓"",""✗"")"),"✗")</f>
        <v>✗</v>
      </c>
      <c r="L724" s="23" t="str">
        <f>IFERROR(__xludf.DUMMYFUNCTION("if(REGEXMATCH(join("", "",$F724:$G724),L$1)=TRUE,""✓"",""✗"")"),"✗")</f>
        <v>✗</v>
      </c>
      <c r="M724" s="23" t="str">
        <f>IFERROR(__xludf.DUMMYFUNCTION("if(REGEXMATCH(join("", "",$F724:$G724),M$1)=TRUE,""✓"",""✗"")"),"✗")</f>
        <v>✗</v>
      </c>
      <c r="N724" s="23" t="str">
        <f>IFERROR(__xludf.DUMMYFUNCTION("if(REGEXMATCH(join("", "",$F724:$G724),N$1)=TRUE,""✓"",""✗"")"),"✗")</f>
        <v>✗</v>
      </c>
      <c r="O724" s="23" t="str">
        <f>IFERROR(__xludf.DUMMYFUNCTION("if(REGEXMATCH(join("", "",$F724:$G724),O$1)=TRUE,""✓"",""✗"")"),"✗")</f>
        <v>✗</v>
      </c>
      <c r="P724" s="23" t="str">
        <f>IFERROR(__xludf.DUMMYFUNCTION("if(REGEXMATCH(join("", "",$F724:$G724),P$1)=TRUE,""✓"",""✗"")"),"✗")</f>
        <v>✗</v>
      </c>
      <c r="Q724" s="23" t="str">
        <f>IFERROR(__xludf.DUMMYFUNCTION("if(REGEXMATCH(join("", "",$F724:$G724),Q$1)=TRUE,""✓"",""✗"")"),"✗")</f>
        <v>✗</v>
      </c>
      <c r="R724" s="23" t="str">
        <f>IFERROR(__xludf.DUMMYFUNCTION("if(REGEXMATCH(join("", "",$F724:$G724),R$1)=TRUE,""✓"",""✗"")"),"✗")</f>
        <v>✗</v>
      </c>
      <c r="S724" s="23" t="str">
        <f>IFERROR(__xludf.DUMMYFUNCTION("if(REGEXMATCH(join("", "",$F724:$G724),S$1)=TRUE,""✓"",""✗"")"),"✗")</f>
        <v>✗</v>
      </c>
      <c r="T724" s="23" t="str">
        <f>IFERROR(__xludf.DUMMYFUNCTION("if(REGEXMATCH(join("", "",$F724:$G724),T$1)=TRUE,""✓"",""✗"")"),"✗")</f>
        <v>✗</v>
      </c>
      <c r="U724" s="33"/>
      <c r="V724" s="33"/>
      <c r="W724" s="33"/>
      <c r="X724" s="33"/>
      <c r="Y724" s="33"/>
      <c r="Z724" s="33"/>
      <c r="AA724" s="33"/>
      <c r="AB724" s="33"/>
      <c r="AC724" s="33"/>
    </row>
    <row r="725" hidden="1">
      <c r="A725" s="17" t="s">
        <v>302</v>
      </c>
      <c r="B725" s="33"/>
      <c r="C725" s="33"/>
      <c r="D725" s="33"/>
      <c r="E725" s="33"/>
      <c r="F725" s="33"/>
      <c r="G725" s="33"/>
      <c r="H725" s="23" t="str">
        <f>IFERROR(__xludf.DUMMYFUNCTION("if(REGEXMATCH(join("", "",$F725:$G725),H$1)=TRUE,""✓"",""✗"")"),"✗")</f>
        <v>✗</v>
      </c>
      <c r="I725" s="23" t="str">
        <f>IFERROR(__xludf.DUMMYFUNCTION("if(REGEXMATCH(join("", "",$F725:$G725),I$1)=TRUE,""✓"",""✗"")"),"✗")</f>
        <v>✗</v>
      </c>
      <c r="J725" s="23" t="str">
        <f>IFERROR(__xludf.DUMMYFUNCTION("if(REGEXMATCH(join("", "",$F725:$G725),J$1)=TRUE,""✓"",""✗"")"),"✗")</f>
        <v>✗</v>
      </c>
      <c r="K725" s="23" t="str">
        <f>IFERROR(__xludf.DUMMYFUNCTION("if(REGEXMATCH(join("", "",$F725:$G725),K$1)=TRUE,""✓"",""✗"")"),"✗")</f>
        <v>✗</v>
      </c>
      <c r="L725" s="23" t="str">
        <f>IFERROR(__xludf.DUMMYFUNCTION("if(REGEXMATCH(join("", "",$F725:$G725),L$1)=TRUE,""✓"",""✗"")"),"✗")</f>
        <v>✗</v>
      </c>
      <c r="M725" s="23" t="str">
        <f>IFERROR(__xludf.DUMMYFUNCTION("if(REGEXMATCH(join("", "",$F725:$G725),M$1)=TRUE,""✓"",""✗"")"),"✗")</f>
        <v>✗</v>
      </c>
      <c r="N725" s="23" t="str">
        <f>IFERROR(__xludf.DUMMYFUNCTION("if(REGEXMATCH(join("", "",$F725:$G725),N$1)=TRUE,""✓"",""✗"")"),"✗")</f>
        <v>✗</v>
      </c>
      <c r="O725" s="23" t="str">
        <f>IFERROR(__xludf.DUMMYFUNCTION("if(REGEXMATCH(join("", "",$F725:$G725),O$1)=TRUE,""✓"",""✗"")"),"✗")</f>
        <v>✗</v>
      </c>
      <c r="P725" s="23" t="str">
        <f>IFERROR(__xludf.DUMMYFUNCTION("if(REGEXMATCH(join("", "",$F725:$G725),P$1)=TRUE,""✓"",""✗"")"),"✗")</f>
        <v>✗</v>
      </c>
      <c r="Q725" s="23" t="str">
        <f>IFERROR(__xludf.DUMMYFUNCTION("if(REGEXMATCH(join("", "",$F725:$G725),Q$1)=TRUE,""✓"",""✗"")"),"✗")</f>
        <v>✗</v>
      </c>
      <c r="R725" s="23" t="str">
        <f>IFERROR(__xludf.DUMMYFUNCTION("if(REGEXMATCH(join("", "",$F725:$G725),R$1)=TRUE,""✓"",""✗"")"),"✗")</f>
        <v>✗</v>
      </c>
      <c r="S725" s="23" t="str">
        <f>IFERROR(__xludf.DUMMYFUNCTION("if(REGEXMATCH(join("", "",$F725:$G725),S$1)=TRUE,""✓"",""✗"")"),"✗")</f>
        <v>✗</v>
      </c>
      <c r="T725" s="23" t="str">
        <f>IFERROR(__xludf.DUMMYFUNCTION("if(REGEXMATCH(join("", "",$F725:$G725),T$1)=TRUE,""✓"",""✗"")"),"✗")</f>
        <v>✗</v>
      </c>
      <c r="U725" s="33"/>
      <c r="V725" s="33"/>
      <c r="W725" s="33"/>
      <c r="X725" s="33"/>
      <c r="Y725" s="33"/>
      <c r="Z725" s="33"/>
      <c r="AA725" s="33"/>
      <c r="AB725" s="33"/>
      <c r="AC725" s="33"/>
    </row>
    <row r="726" hidden="1">
      <c r="A726" s="17" t="s">
        <v>302</v>
      </c>
      <c r="B726" s="33"/>
      <c r="C726" s="33"/>
      <c r="D726" s="33"/>
      <c r="E726" s="33"/>
      <c r="F726" s="33"/>
      <c r="G726" s="33"/>
      <c r="H726" s="23" t="str">
        <f>IFERROR(__xludf.DUMMYFUNCTION("if(REGEXMATCH(join("", "",$F726:$G726),H$1)=TRUE,""✓"",""✗"")"),"✗")</f>
        <v>✗</v>
      </c>
      <c r="I726" s="23" t="str">
        <f>IFERROR(__xludf.DUMMYFUNCTION("if(REGEXMATCH(join("", "",$F726:$G726),I$1)=TRUE,""✓"",""✗"")"),"✗")</f>
        <v>✗</v>
      </c>
      <c r="J726" s="23" t="str">
        <f>IFERROR(__xludf.DUMMYFUNCTION("if(REGEXMATCH(join("", "",$F726:$G726),J$1)=TRUE,""✓"",""✗"")"),"✗")</f>
        <v>✗</v>
      </c>
      <c r="K726" s="23" t="str">
        <f>IFERROR(__xludf.DUMMYFUNCTION("if(REGEXMATCH(join("", "",$F726:$G726),K$1)=TRUE,""✓"",""✗"")"),"✗")</f>
        <v>✗</v>
      </c>
      <c r="L726" s="23" t="str">
        <f>IFERROR(__xludf.DUMMYFUNCTION("if(REGEXMATCH(join("", "",$F726:$G726),L$1)=TRUE,""✓"",""✗"")"),"✗")</f>
        <v>✗</v>
      </c>
      <c r="M726" s="23" t="str">
        <f>IFERROR(__xludf.DUMMYFUNCTION("if(REGEXMATCH(join("", "",$F726:$G726),M$1)=TRUE,""✓"",""✗"")"),"✗")</f>
        <v>✗</v>
      </c>
      <c r="N726" s="23" t="str">
        <f>IFERROR(__xludf.DUMMYFUNCTION("if(REGEXMATCH(join("", "",$F726:$G726),N$1)=TRUE,""✓"",""✗"")"),"✗")</f>
        <v>✗</v>
      </c>
      <c r="O726" s="23" t="str">
        <f>IFERROR(__xludf.DUMMYFUNCTION("if(REGEXMATCH(join("", "",$F726:$G726),O$1)=TRUE,""✓"",""✗"")"),"✗")</f>
        <v>✗</v>
      </c>
      <c r="P726" s="23" t="str">
        <f>IFERROR(__xludf.DUMMYFUNCTION("if(REGEXMATCH(join("", "",$F726:$G726),P$1)=TRUE,""✓"",""✗"")"),"✗")</f>
        <v>✗</v>
      </c>
      <c r="Q726" s="23" t="str">
        <f>IFERROR(__xludf.DUMMYFUNCTION("if(REGEXMATCH(join("", "",$F726:$G726),Q$1)=TRUE,""✓"",""✗"")"),"✗")</f>
        <v>✗</v>
      </c>
      <c r="R726" s="23" t="str">
        <f>IFERROR(__xludf.DUMMYFUNCTION("if(REGEXMATCH(join("", "",$F726:$G726),R$1)=TRUE,""✓"",""✗"")"),"✗")</f>
        <v>✗</v>
      </c>
      <c r="S726" s="23" t="str">
        <f>IFERROR(__xludf.DUMMYFUNCTION("if(REGEXMATCH(join("", "",$F726:$G726),S$1)=TRUE,""✓"",""✗"")"),"✗")</f>
        <v>✗</v>
      </c>
      <c r="T726" s="23" t="str">
        <f>IFERROR(__xludf.DUMMYFUNCTION("if(REGEXMATCH(join("", "",$F726:$G726),T$1)=TRUE,""✓"",""✗"")"),"✗")</f>
        <v>✗</v>
      </c>
      <c r="U726" s="33"/>
      <c r="V726" s="33"/>
      <c r="W726" s="33"/>
      <c r="X726" s="33"/>
      <c r="Y726" s="33"/>
      <c r="Z726" s="33"/>
      <c r="AA726" s="33"/>
      <c r="AB726" s="33"/>
      <c r="AC726" s="33"/>
    </row>
    <row r="727" hidden="1">
      <c r="A727" s="17" t="s">
        <v>302</v>
      </c>
      <c r="B727" s="33"/>
      <c r="C727" s="33"/>
      <c r="D727" s="33"/>
      <c r="E727" s="33"/>
      <c r="F727" s="33"/>
      <c r="G727" s="33"/>
      <c r="H727" s="23" t="str">
        <f>IFERROR(__xludf.DUMMYFUNCTION("if(REGEXMATCH(join("", "",$F727:$G727),H$1)=TRUE,""✓"",""✗"")"),"✗")</f>
        <v>✗</v>
      </c>
      <c r="I727" s="23" t="str">
        <f>IFERROR(__xludf.DUMMYFUNCTION("if(REGEXMATCH(join("", "",$F727:$G727),I$1)=TRUE,""✓"",""✗"")"),"✗")</f>
        <v>✗</v>
      </c>
      <c r="J727" s="23" t="str">
        <f>IFERROR(__xludf.DUMMYFUNCTION("if(REGEXMATCH(join("", "",$F727:$G727),J$1)=TRUE,""✓"",""✗"")"),"✗")</f>
        <v>✗</v>
      </c>
      <c r="K727" s="23" t="str">
        <f>IFERROR(__xludf.DUMMYFUNCTION("if(REGEXMATCH(join("", "",$F727:$G727),K$1)=TRUE,""✓"",""✗"")"),"✗")</f>
        <v>✗</v>
      </c>
      <c r="L727" s="23" t="str">
        <f>IFERROR(__xludf.DUMMYFUNCTION("if(REGEXMATCH(join("", "",$F727:$G727),L$1)=TRUE,""✓"",""✗"")"),"✗")</f>
        <v>✗</v>
      </c>
      <c r="M727" s="23" t="str">
        <f>IFERROR(__xludf.DUMMYFUNCTION("if(REGEXMATCH(join("", "",$F727:$G727),M$1)=TRUE,""✓"",""✗"")"),"✗")</f>
        <v>✗</v>
      </c>
      <c r="N727" s="23" t="str">
        <f>IFERROR(__xludf.DUMMYFUNCTION("if(REGEXMATCH(join("", "",$F727:$G727),N$1)=TRUE,""✓"",""✗"")"),"✗")</f>
        <v>✗</v>
      </c>
      <c r="O727" s="23" t="str">
        <f>IFERROR(__xludf.DUMMYFUNCTION("if(REGEXMATCH(join("", "",$F727:$G727),O$1)=TRUE,""✓"",""✗"")"),"✗")</f>
        <v>✗</v>
      </c>
      <c r="P727" s="23" t="str">
        <f>IFERROR(__xludf.DUMMYFUNCTION("if(REGEXMATCH(join("", "",$F727:$G727),P$1)=TRUE,""✓"",""✗"")"),"✗")</f>
        <v>✗</v>
      </c>
      <c r="Q727" s="23" t="str">
        <f>IFERROR(__xludf.DUMMYFUNCTION("if(REGEXMATCH(join("", "",$F727:$G727),Q$1)=TRUE,""✓"",""✗"")"),"✗")</f>
        <v>✗</v>
      </c>
      <c r="R727" s="23" t="str">
        <f>IFERROR(__xludf.DUMMYFUNCTION("if(REGEXMATCH(join("", "",$F727:$G727),R$1)=TRUE,""✓"",""✗"")"),"✗")</f>
        <v>✗</v>
      </c>
      <c r="S727" s="23" t="str">
        <f>IFERROR(__xludf.DUMMYFUNCTION("if(REGEXMATCH(join("", "",$F727:$G727),S$1)=TRUE,""✓"",""✗"")"),"✗")</f>
        <v>✗</v>
      </c>
      <c r="T727" s="23" t="str">
        <f>IFERROR(__xludf.DUMMYFUNCTION("if(REGEXMATCH(join("", "",$F727:$G727),T$1)=TRUE,""✓"",""✗"")"),"✗")</f>
        <v>✗</v>
      </c>
      <c r="U727" s="33"/>
      <c r="V727" s="33"/>
      <c r="W727" s="33"/>
      <c r="X727" s="33"/>
      <c r="Y727" s="33"/>
      <c r="Z727" s="33"/>
      <c r="AA727" s="33"/>
      <c r="AB727" s="33"/>
      <c r="AC727" s="33"/>
    </row>
    <row r="728" hidden="1">
      <c r="A728" s="17" t="s">
        <v>302</v>
      </c>
      <c r="B728" s="33"/>
      <c r="C728" s="33"/>
      <c r="D728" s="33"/>
      <c r="E728" s="33"/>
      <c r="F728" s="33"/>
      <c r="G728" s="33"/>
      <c r="H728" s="23" t="str">
        <f>IFERROR(__xludf.DUMMYFUNCTION("if(REGEXMATCH(join("", "",$F728:$G728),H$1)=TRUE,""✓"",""✗"")"),"✗")</f>
        <v>✗</v>
      </c>
      <c r="I728" s="23" t="str">
        <f>IFERROR(__xludf.DUMMYFUNCTION("if(REGEXMATCH(join("", "",$F728:$G728),I$1)=TRUE,""✓"",""✗"")"),"✗")</f>
        <v>✗</v>
      </c>
      <c r="J728" s="23" t="str">
        <f>IFERROR(__xludf.DUMMYFUNCTION("if(REGEXMATCH(join("", "",$F728:$G728),J$1)=TRUE,""✓"",""✗"")"),"✗")</f>
        <v>✗</v>
      </c>
      <c r="K728" s="23" t="str">
        <f>IFERROR(__xludf.DUMMYFUNCTION("if(REGEXMATCH(join("", "",$F728:$G728),K$1)=TRUE,""✓"",""✗"")"),"✗")</f>
        <v>✗</v>
      </c>
      <c r="L728" s="23" t="str">
        <f>IFERROR(__xludf.DUMMYFUNCTION("if(REGEXMATCH(join("", "",$F728:$G728),L$1)=TRUE,""✓"",""✗"")"),"✗")</f>
        <v>✗</v>
      </c>
      <c r="M728" s="23" t="str">
        <f>IFERROR(__xludf.DUMMYFUNCTION("if(REGEXMATCH(join("", "",$F728:$G728),M$1)=TRUE,""✓"",""✗"")"),"✗")</f>
        <v>✗</v>
      </c>
      <c r="N728" s="23" t="str">
        <f>IFERROR(__xludf.DUMMYFUNCTION("if(REGEXMATCH(join("", "",$F728:$G728),N$1)=TRUE,""✓"",""✗"")"),"✗")</f>
        <v>✗</v>
      </c>
      <c r="O728" s="23" t="str">
        <f>IFERROR(__xludf.DUMMYFUNCTION("if(REGEXMATCH(join("", "",$F728:$G728),O$1)=TRUE,""✓"",""✗"")"),"✗")</f>
        <v>✗</v>
      </c>
      <c r="P728" s="23" t="str">
        <f>IFERROR(__xludf.DUMMYFUNCTION("if(REGEXMATCH(join("", "",$F728:$G728),P$1)=TRUE,""✓"",""✗"")"),"✗")</f>
        <v>✗</v>
      </c>
      <c r="Q728" s="23" t="str">
        <f>IFERROR(__xludf.DUMMYFUNCTION("if(REGEXMATCH(join("", "",$F728:$G728),Q$1)=TRUE,""✓"",""✗"")"),"✗")</f>
        <v>✗</v>
      </c>
      <c r="R728" s="23" t="str">
        <f>IFERROR(__xludf.DUMMYFUNCTION("if(REGEXMATCH(join("", "",$F728:$G728),R$1)=TRUE,""✓"",""✗"")"),"✗")</f>
        <v>✗</v>
      </c>
      <c r="S728" s="23" t="str">
        <f>IFERROR(__xludf.DUMMYFUNCTION("if(REGEXMATCH(join("", "",$F728:$G728),S$1)=TRUE,""✓"",""✗"")"),"✗")</f>
        <v>✗</v>
      </c>
      <c r="T728" s="23" t="str">
        <f>IFERROR(__xludf.DUMMYFUNCTION("if(REGEXMATCH(join("", "",$F728:$G728),T$1)=TRUE,""✓"",""✗"")"),"✗")</f>
        <v>✗</v>
      </c>
      <c r="U728" s="33"/>
      <c r="V728" s="33"/>
      <c r="W728" s="33"/>
      <c r="X728" s="33"/>
      <c r="Y728" s="33"/>
      <c r="Z728" s="33"/>
      <c r="AA728" s="33"/>
      <c r="AB728" s="33"/>
      <c r="AC728" s="33"/>
    </row>
    <row r="729" hidden="1">
      <c r="A729" s="17" t="s">
        <v>302</v>
      </c>
      <c r="B729" s="33"/>
      <c r="C729" s="33"/>
      <c r="D729" s="33"/>
      <c r="E729" s="33"/>
      <c r="F729" s="33"/>
      <c r="G729" s="33"/>
      <c r="H729" s="23" t="str">
        <f>IFERROR(__xludf.DUMMYFUNCTION("if(REGEXMATCH(join("", "",$F729:$G729),H$1)=TRUE,""✓"",""✗"")"),"✗")</f>
        <v>✗</v>
      </c>
      <c r="I729" s="23" t="str">
        <f>IFERROR(__xludf.DUMMYFUNCTION("if(REGEXMATCH(join("", "",$F729:$G729),I$1)=TRUE,""✓"",""✗"")"),"✗")</f>
        <v>✗</v>
      </c>
      <c r="J729" s="23" t="str">
        <f>IFERROR(__xludf.DUMMYFUNCTION("if(REGEXMATCH(join("", "",$F729:$G729),J$1)=TRUE,""✓"",""✗"")"),"✗")</f>
        <v>✗</v>
      </c>
      <c r="K729" s="23" t="str">
        <f>IFERROR(__xludf.DUMMYFUNCTION("if(REGEXMATCH(join("", "",$F729:$G729),K$1)=TRUE,""✓"",""✗"")"),"✗")</f>
        <v>✗</v>
      </c>
      <c r="L729" s="23" t="str">
        <f>IFERROR(__xludf.DUMMYFUNCTION("if(REGEXMATCH(join("", "",$F729:$G729),L$1)=TRUE,""✓"",""✗"")"),"✗")</f>
        <v>✗</v>
      </c>
      <c r="M729" s="23" t="str">
        <f>IFERROR(__xludf.DUMMYFUNCTION("if(REGEXMATCH(join("", "",$F729:$G729),M$1)=TRUE,""✓"",""✗"")"),"✗")</f>
        <v>✗</v>
      </c>
      <c r="N729" s="23" t="str">
        <f>IFERROR(__xludf.DUMMYFUNCTION("if(REGEXMATCH(join("", "",$F729:$G729),N$1)=TRUE,""✓"",""✗"")"),"✗")</f>
        <v>✗</v>
      </c>
      <c r="O729" s="23" t="str">
        <f>IFERROR(__xludf.DUMMYFUNCTION("if(REGEXMATCH(join("", "",$F729:$G729),O$1)=TRUE,""✓"",""✗"")"),"✗")</f>
        <v>✗</v>
      </c>
      <c r="P729" s="23" t="str">
        <f>IFERROR(__xludf.DUMMYFUNCTION("if(REGEXMATCH(join("", "",$F729:$G729),P$1)=TRUE,""✓"",""✗"")"),"✗")</f>
        <v>✗</v>
      </c>
      <c r="Q729" s="23" t="str">
        <f>IFERROR(__xludf.DUMMYFUNCTION("if(REGEXMATCH(join("", "",$F729:$G729),Q$1)=TRUE,""✓"",""✗"")"),"✗")</f>
        <v>✗</v>
      </c>
      <c r="R729" s="23" t="str">
        <f>IFERROR(__xludf.DUMMYFUNCTION("if(REGEXMATCH(join("", "",$F729:$G729),R$1)=TRUE,""✓"",""✗"")"),"✗")</f>
        <v>✗</v>
      </c>
      <c r="S729" s="23" t="str">
        <f>IFERROR(__xludf.DUMMYFUNCTION("if(REGEXMATCH(join("", "",$F729:$G729),S$1)=TRUE,""✓"",""✗"")"),"✗")</f>
        <v>✗</v>
      </c>
      <c r="T729" s="23" t="str">
        <f>IFERROR(__xludf.DUMMYFUNCTION("if(REGEXMATCH(join("", "",$F729:$G729),T$1)=TRUE,""✓"",""✗"")"),"✗")</f>
        <v>✗</v>
      </c>
      <c r="U729" s="33"/>
      <c r="V729" s="33"/>
      <c r="W729" s="33"/>
      <c r="X729" s="33"/>
      <c r="Y729" s="33"/>
      <c r="Z729" s="33"/>
      <c r="AA729" s="33"/>
      <c r="AB729" s="33"/>
      <c r="AC729" s="33"/>
    </row>
    <row r="730" hidden="1">
      <c r="A730" s="17" t="s">
        <v>302</v>
      </c>
      <c r="B730" s="33"/>
      <c r="C730" s="33"/>
      <c r="D730" s="33"/>
      <c r="E730" s="33"/>
      <c r="F730" s="33"/>
      <c r="G730" s="33"/>
      <c r="H730" s="23" t="str">
        <f>IFERROR(__xludf.DUMMYFUNCTION("if(REGEXMATCH(join("", "",$F730:$G730),H$1)=TRUE,""✓"",""✗"")"),"✗")</f>
        <v>✗</v>
      </c>
      <c r="I730" s="23" t="str">
        <f>IFERROR(__xludf.DUMMYFUNCTION("if(REGEXMATCH(join("", "",$F730:$G730),I$1)=TRUE,""✓"",""✗"")"),"✗")</f>
        <v>✗</v>
      </c>
      <c r="J730" s="23" t="str">
        <f>IFERROR(__xludf.DUMMYFUNCTION("if(REGEXMATCH(join("", "",$F730:$G730),J$1)=TRUE,""✓"",""✗"")"),"✗")</f>
        <v>✗</v>
      </c>
      <c r="K730" s="23" t="str">
        <f>IFERROR(__xludf.DUMMYFUNCTION("if(REGEXMATCH(join("", "",$F730:$G730),K$1)=TRUE,""✓"",""✗"")"),"✗")</f>
        <v>✗</v>
      </c>
      <c r="L730" s="23" t="str">
        <f>IFERROR(__xludf.DUMMYFUNCTION("if(REGEXMATCH(join("", "",$F730:$G730),L$1)=TRUE,""✓"",""✗"")"),"✗")</f>
        <v>✗</v>
      </c>
      <c r="M730" s="23" t="str">
        <f>IFERROR(__xludf.DUMMYFUNCTION("if(REGEXMATCH(join("", "",$F730:$G730),M$1)=TRUE,""✓"",""✗"")"),"✗")</f>
        <v>✗</v>
      </c>
      <c r="N730" s="23" t="str">
        <f>IFERROR(__xludf.DUMMYFUNCTION("if(REGEXMATCH(join("", "",$F730:$G730),N$1)=TRUE,""✓"",""✗"")"),"✗")</f>
        <v>✗</v>
      </c>
      <c r="O730" s="23" t="str">
        <f>IFERROR(__xludf.DUMMYFUNCTION("if(REGEXMATCH(join("", "",$F730:$G730),O$1)=TRUE,""✓"",""✗"")"),"✗")</f>
        <v>✗</v>
      </c>
      <c r="P730" s="23" t="str">
        <f>IFERROR(__xludf.DUMMYFUNCTION("if(REGEXMATCH(join("", "",$F730:$G730),P$1)=TRUE,""✓"",""✗"")"),"✗")</f>
        <v>✗</v>
      </c>
      <c r="Q730" s="23" t="str">
        <f>IFERROR(__xludf.DUMMYFUNCTION("if(REGEXMATCH(join("", "",$F730:$G730),Q$1)=TRUE,""✓"",""✗"")"),"✗")</f>
        <v>✗</v>
      </c>
      <c r="R730" s="23" t="str">
        <f>IFERROR(__xludf.DUMMYFUNCTION("if(REGEXMATCH(join("", "",$F730:$G730),R$1)=TRUE,""✓"",""✗"")"),"✗")</f>
        <v>✗</v>
      </c>
      <c r="S730" s="23" t="str">
        <f>IFERROR(__xludf.DUMMYFUNCTION("if(REGEXMATCH(join("", "",$F730:$G730),S$1)=TRUE,""✓"",""✗"")"),"✗")</f>
        <v>✗</v>
      </c>
      <c r="T730" s="23" t="str">
        <f>IFERROR(__xludf.DUMMYFUNCTION("if(REGEXMATCH(join("", "",$F730:$G730),T$1)=TRUE,""✓"",""✗"")"),"✗")</f>
        <v>✗</v>
      </c>
      <c r="U730" s="33"/>
      <c r="V730" s="33"/>
      <c r="W730" s="33"/>
      <c r="X730" s="33"/>
      <c r="Y730" s="33"/>
      <c r="Z730" s="33"/>
      <c r="AA730" s="33"/>
      <c r="AB730" s="33"/>
      <c r="AC730" s="33"/>
    </row>
    <row r="731" hidden="1">
      <c r="A731" s="17" t="s">
        <v>302</v>
      </c>
      <c r="B731" s="33"/>
      <c r="C731" s="33"/>
      <c r="D731" s="33"/>
      <c r="E731" s="33"/>
      <c r="F731" s="33"/>
      <c r="G731" s="33"/>
      <c r="H731" s="23" t="str">
        <f>IFERROR(__xludf.DUMMYFUNCTION("if(REGEXMATCH(join("", "",$F731:$G731),H$1)=TRUE,""✓"",""✗"")"),"✗")</f>
        <v>✗</v>
      </c>
      <c r="I731" s="23" t="str">
        <f>IFERROR(__xludf.DUMMYFUNCTION("if(REGEXMATCH(join("", "",$F731:$G731),I$1)=TRUE,""✓"",""✗"")"),"✗")</f>
        <v>✗</v>
      </c>
      <c r="J731" s="23" t="str">
        <f>IFERROR(__xludf.DUMMYFUNCTION("if(REGEXMATCH(join("", "",$F731:$G731),J$1)=TRUE,""✓"",""✗"")"),"✗")</f>
        <v>✗</v>
      </c>
      <c r="K731" s="23" t="str">
        <f>IFERROR(__xludf.DUMMYFUNCTION("if(REGEXMATCH(join("", "",$F731:$G731),K$1)=TRUE,""✓"",""✗"")"),"✗")</f>
        <v>✗</v>
      </c>
      <c r="L731" s="23" t="str">
        <f>IFERROR(__xludf.DUMMYFUNCTION("if(REGEXMATCH(join("", "",$F731:$G731),L$1)=TRUE,""✓"",""✗"")"),"✗")</f>
        <v>✗</v>
      </c>
      <c r="M731" s="23" t="str">
        <f>IFERROR(__xludf.DUMMYFUNCTION("if(REGEXMATCH(join("", "",$F731:$G731),M$1)=TRUE,""✓"",""✗"")"),"✗")</f>
        <v>✗</v>
      </c>
      <c r="N731" s="23" t="str">
        <f>IFERROR(__xludf.DUMMYFUNCTION("if(REGEXMATCH(join("", "",$F731:$G731),N$1)=TRUE,""✓"",""✗"")"),"✗")</f>
        <v>✗</v>
      </c>
      <c r="O731" s="23" t="str">
        <f>IFERROR(__xludf.DUMMYFUNCTION("if(REGEXMATCH(join("", "",$F731:$G731),O$1)=TRUE,""✓"",""✗"")"),"✗")</f>
        <v>✗</v>
      </c>
      <c r="P731" s="23" t="str">
        <f>IFERROR(__xludf.DUMMYFUNCTION("if(REGEXMATCH(join("", "",$F731:$G731),P$1)=TRUE,""✓"",""✗"")"),"✗")</f>
        <v>✗</v>
      </c>
      <c r="Q731" s="23" t="str">
        <f>IFERROR(__xludf.DUMMYFUNCTION("if(REGEXMATCH(join("", "",$F731:$G731),Q$1)=TRUE,""✓"",""✗"")"),"✗")</f>
        <v>✗</v>
      </c>
      <c r="R731" s="23" t="str">
        <f>IFERROR(__xludf.DUMMYFUNCTION("if(REGEXMATCH(join("", "",$F731:$G731),R$1)=TRUE,""✓"",""✗"")"),"✗")</f>
        <v>✗</v>
      </c>
      <c r="S731" s="23" t="str">
        <f>IFERROR(__xludf.DUMMYFUNCTION("if(REGEXMATCH(join("", "",$F731:$G731),S$1)=TRUE,""✓"",""✗"")"),"✗")</f>
        <v>✗</v>
      </c>
      <c r="T731" s="23" t="str">
        <f>IFERROR(__xludf.DUMMYFUNCTION("if(REGEXMATCH(join("", "",$F731:$G731),T$1)=TRUE,""✓"",""✗"")"),"✗")</f>
        <v>✗</v>
      </c>
      <c r="U731" s="33"/>
      <c r="V731" s="33"/>
      <c r="W731" s="33"/>
      <c r="X731" s="33"/>
      <c r="Y731" s="33"/>
      <c r="Z731" s="33"/>
      <c r="AA731" s="33"/>
      <c r="AB731" s="33"/>
      <c r="AC731" s="33"/>
    </row>
    <row r="732" hidden="1">
      <c r="A732" s="17" t="s">
        <v>302</v>
      </c>
      <c r="B732" s="33"/>
      <c r="C732" s="33"/>
      <c r="D732" s="33"/>
      <c r="E732" s="33"/>
      <c r="F732" s="33"/>
      <c r="G732" s="33"/>
      <c r="H732" s="23" t="str">
        <f>IFERROR(__xludf.DUMMYFUNCTION("if(REGEXMATCH(join("", "",$F732:$G732),H$1)=TRUE,""✓"",""✗"")"),"✗")</f>
        <v>✗</v>
      </c>
      <c r="I732" s="23" t="str">
        <f>IFERROR(__xludf.DUMMYFUNCTION("if(REGEXMATCH(join("", "",$F732:$G732),I$1)=TRUE,""✓"",""✗"")"),"✗")</f>
        <v>✗</v>
      </c>
      <c r="J732" s="23" t="str">
        <f>IFERROR(__xludf.DUMMYFUNCTION("if(REGEXMATCH(join("", "",$F732:$G732),J$1)=TRUE,""✓"",""✗"")"),"✗")</f>
        <v>✗</v>
      </c>
      <c r="K732" s="23" t="str">
        <f>IFERROR(__xludf.DUMMYFUNCTION("if(REGEXMATCH(join("", "",$F732:$G732),K$1)=TRUE,""✓"",""✗"")"),"✗")</f>
        <v>✗</v>
      </c>
      <c r="L732" s="23" t="str">
        <f>IFERROR(__xludf.DUMMYFUNCTION("if(REGEXMATCH(join("", "",$F732:$G732),L$1)=TRUE,""✓"",""✗"")"),"✗")</f>
        <v>✗</v>
      </c>
      <c r="M732" s="23" t="str">
        <f>IFERROR(__xludf.DUMMYFUNCTION("if(REGEXMATCH(join("", "",$F732:$G732),M$1)=TRUE,""✓"",""✗"")"),"✗")</f>
        <v>✗</v>
      </c>
      <c r="N732" s="23" t="str">
        <f>IFERROR(__xludf.DUMMYFUNCTION("if(REGEXMATCH(join("", "",$F732:$G732),N$1)=TRUE,""✓"",""✗"")"),"✗")</f>
        <v>✗</v>
      </c>
      <c r="O732" s="23" t="str">
        <f>IFERROR(__xludf.DUMMYFUNCTION("if(REGEXMATCH(join("", "",$F732:$G732),O$1)=TRUE,""✓"",""✗"")"),"✗")</f>
        <v>✗</v>
      </c>
      <c r="P732" s="23" t="str">
        <f>IFERROR(__xludf.DUMMYFUNCTION("if(REGEXMATCH(join("", "",$F732:$G732),P$1)=TRUE,""✓"",""✗"")"),"✗")</f>
        <v>✗</v>
      </c>
      <c r="Q732" s="23" t="str">
        <f>IFERROR(__xludf.DUMMYFUNCTION("if(REGEXMATCH(join("", "",$F732:$G732),Q$1)=TRUE,""✓"",""✗"")"),"✗")</f>
        <v>✗</v>
      </c>
      <c r="R732" s="23" t="str">
        <f>IFERROR(__xludf.DUMMYFUNCTION("if(REGEXMATCH(join("", "",$F732:$G732),R$1)=TRUE,""✓"",""✗"")"),"✗")</f>
        <v>✗</v>
      </c>
      <c r="S732" s="23" t="str">
        <f>IFERROR(__xludf.DUMMYFUNCTION("if(REGEXMATCH(join("", "",$F732:$G732),S$1)=TRUE,""✓"",""✗"")"),"✗")</f>
        <v>✗</v>
      </c>
      <c r="T732" s="23" t="str">
        <f>IFERROR(__xludf.DUMMYFUNCTION("if(REGEXMATCH(join("", "",$F732:$G732),T$1)=TRUE,""✓"",""✗"")"),"✗")</f>
        <v>✗</v>
      </c>
      <c r="U732" s="33"/>
      <c r="V732" s="33"/>
      <c r="W732" s="33"/>
      <c r="X732" s="33"/>
      <c r="Y732" s="33"/>
      <c r="Z732" s="33"/>
      <c r="AA732" s="33"/>
      <c r="AB732" s="33"/>
      <c r="AC732" s="33"/>
    </row>
    <row r="733" hidden="1">
      <c r="A733" s="17" t="s">
        <v>302</v>
      </c>
      <c r="B733" s="33"/>
      <c r="C733" s="33"/>
      <c r="D733" s="33"/>
      <c r="E733" s="33"/>
      <c r="F733" s="33"/>
      <c r="G733" s="33"/>
      <c r="H733" s="23" t="str">
        <f>IFERROR(__xludf.DUMMYFUNCTION("if(REGEXMATCH(join("", "",$F733:$G733),H$1)=TRUE,""✓"",""✗"")"),"✗")</f>
        <v>✗</v>
      </c>
      <c r="I733" s="23" t="str">
        <f>IFERROR(__xludf.DUMMYFUNCTION("if(REGEXMATCH(join("", "",$F733:$G733),I$1)=TRUE,""✓"",""✗"")"),"✗")</f>
        <v>✗</v>
      </c>
      <c r="J733" s="23" t="str">
        <f>IFERROR(__xludf.DUMMYFUNCTION("if(REGEXMATCH(join("", "",$F733:$G733),J$1)=TRUE,""✓"",""✗"")"),"✗")</f>
        <v>✗</v>
      </c>
      <c r="K733" s="23" t="str">
        <f>IFERROR(__xludf.DUMMYFUNCTION("if(REGEXMATCH(join("", "",$F733:$G733),K$1)=TRUE,""✓"",""✗"")"),"✗")</f>
        <v>✗</v>
      </c>
      <c r="L733" s="23" t="str">
        <f>IFERROR(__xludf.DUMMYFUNCTION("if(REGEXMATCH(join("", "",$F733:$G733),L$1)=TRUE,""✓"",""✗"")"),"✗")</f>
        <v>✗</v>
      </c>
      <c r="M733" s="23" t="str">
        <f>IFERROR(__xludf.DUMMYFUNCTION("if(REGEXMATCH(join("", "",$F733:$G733),M$1)=TRUE,""✓"",""✗"")"),"✗")</f>
        <v>✗</v>
      </c>
      <c r="N733" s="23" t="str">
        <f>IFERROR(__xludf.DUMMYFUNCTION("if(REGEXMATCH(join("", "",$F733:$G733),N$1)=TRUE,""✓"",""✗"")"),"✗")</f>
        <v>✗</v>
      </c>
      <c r="O733" s="23" t="str">
        <f>IFERROR(__xludf.DUMMYFUNCTION("if(REGEXMATCH(join("", "",$F733:$G733),O$1)=TRUE,""✓"",""✗"")"),"✗")</f>
        <v>✗</v>
      </c>
      <c r="P733" s="23" t="str">
        <f>IFERROR(__xludf.DUMMYFUNCTION("if(REGEXMATCH(join("", "",$F733:$G733),P$1)=TRUE,""✓"",""✗"")"),"✗")</f>
        <v>✗</v>
      </c>
      <c r="Q733" s="23" t="str">
        <f>IFERROR(__xludf.DUMMYFUNCTION("if(REGEXMATCH(join("", "",$F733:$G733),Q$1)=TRUE,""✓"",""✗"")"),"✗")</f>
        <v>✗</v>
      </c>
      <c r="R733" s="23" t="str">
        <f>IFERROR(__xludf.DUMMYFUNCTION("if(REGEXMATCH(join("", "",$F733:$G733),R$1)=TRUE,""✓"",""✗"")"),"✗")</f>
        <v>✗</v>
      </c>
      <c r="S733" s="23" t="str">
        <f>IFERROR(__xludf.DUMMYFUNCTION("if(REGEXMATCH(join("", "",$F733:$G733),S$1)=TRUE,""✓"",""✗"")"),"✗")</f>
        <v>✗</v>
      </c>
      <c r="T733" s="23" t="str">
        <f>IFERROR(__xludf.DUMMYFUNCTION("if(REGEXMATCH(join("", "",$F733:$G733),T$1)=TRUE,""✓"",""✗"")"),"✗")</f>
        <v>✗</v>
      </c>
      <c r="U733" s="33"/>
      <c r="V733" s="33"/>
      <c r="W733" s="33"/>
      <c r="X733" s="33"/>
      <c r="Y733" s="33"/>
      <c r="Z733" s="33"/>
      <c r="AA733" s="33"/>
      <c r="AB733" s="33"/>
      <c r="AC733" s="33"/>
    </row>
    <row r="734" hidden="1">
      <c r="A734" s="17" t="s">
        <v>302</v>
      </c>
      <c r="B734" s="33"/>
      <c r="C734" s="33"/>
      <c r="D734" s="33"/>
      <c r="E734" s="33"/>
      <c r="F734" s="33"/>
      <c r="G734" s="33"/>
      <c r="H734" s="23" t="str">
        <f>IFERROR(__xludf.DUMMYFUNCTION("if(REGEXMATCH(join("", "",$F734:$G734),H$1)=TRUE,""✓"",""✗"")"),"✗")</f>
        <v>✗</v>
      </c>
      <c r="I734" s="23" t="str">
        <f>IFERROR(__xludf.DUMMYFUNCTION("if(REGEXMATCH(join("", "",$F734:$G734),I$1)=TRUE,""✓"",""✗"")"),"✗")</f>
        <v>✗</v>
      </c>
      <c r="J734" s="23" t="str">
        <f>IFERROR(__xludf.DUMMYFUNCTION("if(REGEXMATCH(join("", "",$F734:$G734),J$1)=TRUE,""✓"",""✗"")"),"✗")</f>
        <v>✗</v>
      </c>
      <c r="K734" s="23" t="str">
        <f>IFERROR(__xludf.DUMMYFUNCTION("if(REGEXMATCH(join("", "",$F734:$G734),K$1)=TRUE,""✓"",""✗"")"),"✗")</f>
        <v>✗</v>
      </c>
      <c r="L734" s="23" t="str">
        <f>IFERROR(__xludf.DUMMYFUNCTION("if(REGEXMATCH(join("", "",$F734:$G734),L$1)=TRUE,""✓"",""✗"")"),"✗")</f>
        <v>✗</v>
      </c>
      <c r="M734" s="23" t="str">
        <f>IFERROR(__xludf.DUMMYFUNCTION("if(REGEXMATCH(join("", "",$F734:$G734),M$1)=TRUE,""✓"",""✗"")"),"✗")</f>
        <v>✗</v>
      </c>
      <c r="N734" s="23" t="str">
        <f>IFERROR(__xludf.DUMMYFUNCTION("if(REGEXMATCH(join("", "",$F734:$G734),N$1)=TRUE,""✓"",""✗"")"),"✗")</f>
        <v>✗</v>
      </c>
      <c r="O734" s="23" t="str">
        <f>IFERROR(__xludf.DUMMYFUNCTION("if(REGEXMATCH(join("", "",$F734:$G734),O$1)=TRUE,""✓"",""✗"")"),"✗")</f>
        <v>✗</v>
      </c>
      <c r="P734" s="23" t="str">
        <f>IFERROR(__xludf.DUMMYFUNCTION("if(REGEXMATCH(join("", "",$F734:$G734),P$1)=TRUE,""✓"",""✗"")"),"✗")</f>
        <v>✗</v>
      </c>
      <c r="Q734" s="23" t="str">
        <f>IFERROR(__xludf.DUMMYFUNCTION("if(REGEXMATCH(join("", "",$F734:$G734),Q$1)=TRUE,""✓"",""✗"")"),"✗")</f>
        <v>✗</v>
      </c>
      <c r="R734" s="23" t="str">
        <f>IFERROR(__xludf.DUMMYFUNCTION("if(REGEXMATCH(join("", "",$F734:$G734),R$1)=TRUE,""✓"",""✗"")"),"✗")</f>
        <v>✗</v>
      </c>
      <c r="S734" s="23" t="str">
        <f>IFERROR(__xludf.DUMMYFUNCTION("if(REGEXMATCH(join("", "",$F734:$G734),S$1)=TRUE,""✓"",""✗"")"),"✗")</f>
        <v>✗</v>
      </c>
      <c r="T734" s="23" t="str">
        <f>IFERROR(__xludf.DUMMYFUNCTION("if(REGEXMATCH(join("", "",$F734:$G734),T$1)=TRUE,""✓"",""✗"")"),"✗")</f>
        <v>✗</v>
      </c>
      <c r="U734" s="33"/>
      <c r="V734" s="33"/>
      <c r="W734" s="33"/>
      <c r="X734" s="33"/>
      <c r="Y734" s="33"/>
      <c r="Z734" s="33"/>
      <c r="AA734" s="33"/>
      <c r="AB734" s="33"/>
      <c r="AC734" s="33"/>
    </row>
    <row r="735" hidden="1">
      <c r="A735" s="17" t="s">
        <v>302</v>
      </c>
      <c r="B735" s="33"/>
      <c r="C735" s="33"/>
      <c r="D735" s="33"/>
      <c r="E735" s="33"/>
      <c r="F735" s="33"/>
      <c r="G735" s="33"/>
      <c r="H735" s="23" t="str">
        <f>IFERROR(__xludf.DUMMYFUNCTION("if(REGEXMATCH(join("", "",$F735:$G735),H$1)=TRUE,""✓"",""✗"")"),"✗")</f>
        <v>✗</v>
      </c>
      <c r="I735" s="23" t="str">
        <f>IFERROR(__xludf.DUMMYFUNCTION("if(REGEXMATCH(join("", "",$F735:$G735),I$1)=TRUE,""✓"",""✗"")"),"✗")</f>
        <v>✗</v>
      </c>
      <c r="J735" s="23" t="str">
        <f>IFERROR(__xludf.DUMMYFUNCTION("if(REGEXMATCH(join("", "",$F735:$G735),J$1)=TRUE,""✓"",""✗"")"),"✗")</f>
        <v>✗</v>
      </c>
      <c r="K735" s="23" t="str">
        <f>IFERROR(__xludf.DUMMYFUNCTION("if(REGEXMATCH(join("", "",$F735:$G735),K$1)=TRUE,""✓"",""✗"")"),"✗")</f>
        <v>✗</v>
      </c>
      <c r="L735" s="23" t="str">
        <f>IFERROR(__xludf.DUMMYFUNCTION("if(REGEXMATCH(join("", "",$F735:$G735),L$1)=TRUE,""✓"",""✗"")"),"✗")</f>
        <v>✗</v>
      </c>
      <c r="M735" s="23" t="str">
        <f>IFERROR(__xludf.DUMMYFUNCTION("if(REGEXMATCH(join("", "",$F735:$G735),M$1)=TRUE,""✓"",""✗"")"),"✗")</f>
        <v>✗</v>
      </c>
      <c r="N735" s="23" t="str">
        <f>IFERROR(__xludf.DUMMYFUNCTION("if(REGEXMATCH(join("", "",$F735:$G735),N$1)=TRUE,""✓"",""✗"")"),"✗")</f>
        <v>✗</v>
      </c>
      <c r="O735" s="23" t="str">
        <f>IFERROR(__xludf.DUMMYFUNCTION("if(REGEXMATCH(join("", "",$F735:$G735),O$1)=TRUE,""✓"",""✗"")"),"✗")</f>
        <v>✗</v>
      </c>
      <c r="P735" s="23" t="str">
        <f>IFERROR(__xludf.DUMMYFUNCTION("if(REGEXMATCH(join("", "",$F735:$G735),P$1)=TRUE,""✓"",""✗"")"),"✗")</f>
        <v>✗</v>
      </c>
      <c r="Q735" s="23" t="str">
        <f>IFERROR(__xludf.DUMMYFUNCTION("if(REGEXMATCH(join("", "",$F735:$G735),Q$1)=TRUE,""✓"",""✗"")"),"✗")</f>
        <v>✗</v>
      </c>
      <c r="R735" s="23" t="str">
        <f>IFERROR(__xludf.DUMMYFUNCTION("if(REGEXMATCH(join("", "",$F735:$G735),R$1)=TRUE,""✓"",""✗"")"),"✗")</f>
        <v>✗</v>
      </c>
      <c r="S735" s="23" t="str">
        <f>IFERROR(__xludf.DUMMYFUNCTION("if(REGEXMATCH(join("", "",$F735:$G735),S$1)=TRUE,""✓"",""✗"")"),"✗")</f>
        <v>✗</v>
      </c>
      <c r="T735" s="23" t="str">
        <f>IFERROR(__xludf.DUMMYFUNCTION("if(REGEXMATCH(join("", "",$F735:$G735),T$1)=TRUE,""✓"",""✗"")"),"✗")</f>
        <v>✗</v>
      </c>
      <c r="U735" s="33"/>
      <c r="V735" s="33"/>
      <c r="W735" s="33"/>
      <c r="X735" s="33"/>
      <c r="Y735" s="33"/>
      <c r="Z735" s="33"/>
      <c r="AA735" s="33"/>
      <c r="AB735" s="33"/>
      <c r="AC735" s="33"/>
    </row>
    <row r="736" hidden="1">
      <c r="A736" s="17" t="s">
        <v>302</v>
      </c>
      <c r="B736" s="33"/>
      <c r="C736" s="33"/>
      <c r="D736" s="33"/>
      <c r="E736" s="33"/>
      <c r="F736" s="33"/>
      <c r="G736" s="33"/>
      <c r="H736" s="23" t="str">
        <f>IFERROR(__xludf.DUMMYFUNCTION("if(REGEXMATCH(join("", "",$F736:$G736),H$1)=TRUE,""✓"",""✗"")"),"✗")</f>
        <v>✗</v>
      </c>
      <c r="I736" s="23" t="str">
        <f>IFERROR(__xludf.DUMMYFUNCTION("if(REGEXMATCH(join("", "",$F736:$G736),I$1)=TRUE,""✓"",""✗"")"),"✗")</f>
        <v>✗</v>
      </c>
      <c r="J736" s="23" t="str">
        <f>IFERROR(__xludf.DUMMYFUNCTION("if(REGEXMATCH(join("", "",$F736:$G736),J$1)=TRUE,""✓"",""✗"")"),"✗")</f>
        <v>✗</v>
      </c>
      <c r="K736" s="23" t="str">
        <f>IFERROR(__xludf.DUMMYFUNCTION("if(REGEXMATCH(join("", "",$F736:$G736),K$1)=TRUE,""✓"",""✗"")"),"✗")</f>
        <v>✗</v>
      </c>
      <c r="L736" s="23" t="str">
        <f>IFERROR(__xludf.DUMMYFUNCTION("if(REGEXMATCH(join("", "",$F736:$G736),L$1)=TRUE,""✓"",""✗"")"),"✗")</f>
        <v>✗</v>
      </c>
      <c r="M736" s="23" t="str">
        <f>IFERROR(__xludf.DUMMYFUNCTION("if(REGEXMATCH(join("", "",$F736:$G736),M$1)=TRUE,""✓"",""✗"")"),"✗")</f>
        <v>✗</v>
      </c>
      <c r="N736" s="23" t="str">
        <f>IFERROR(__xludf.DUMMYFUNCTION("if(REGEXMATCH(join("", "",$F736:$G736),N$1)=TRUE,""✓"",""✗"")"),"✗")</f>
        <v>✗</v>
      </c>
      <c r="O736" s="23" t="str">
        <f>IFERROR(__xludf.DUMMYFUNCTION("if(REGEXMATCH(join("", "",$F736:$G736),O$1)=TRUE,""✓"",""✗"")"),"✗")</f>
        <v>✗</v>
      </c>
      <c r="P736" s="23" t="str">
        <f>IFERROR(__xludf.DUMMYFUNCTION("if(REGEXMATCH(join("", "",$F736:$G736),P$1)=TRUE,""✓"",""✗"")"),"✗")</f>
        <v>✗</v>
      </c>
      <c r="Q736" s="23" t="str">
        <f>IFERROR(__xludf.DUMMYFUNCTION("if(REGEXMATCH(join("", "",$F736:$G736),Q$1)=TRUE,""✓"",""✗"")"),"✗")</f>
        <v>✗</v>
      </c>
      <c r="R736" s="23" t="str">
        <f>IFERROR(__xludf.DUMMYFUNCTION("if(REGEXMATCH(join("", "",$F736:$G736),R$1)=TRUE,""✓"",""✗"")"),"✗")</f>
        <v>✗</v>
      </c>
      <c r="S736" s="23" t="str">
        <f>IFERROR(__xludf.DUMMYFUNCTION("if(REGEXMATCH(join("", "",$F736:$G736),S$1)=TRUE,""✓"",""✗"")"),"✗")</f>
        <v>✗</v>
      </c>
      <c r="T736" s="23" t="str">
        <f>IFERROR(__xludf.DUMMYFUNCTION("if(REGEXMATCH(join("", "",$F736:$G736),T$1)=TRUE,""✓"",""✗"")"),"✗")</f>
        <v>✗</v>
      </c>
      <c r="U736" s="33"/>
      <c r="V736" s="33"/>
      <c r="W736" s="33"/>
      <c r="X736" s="33"/>
      <c r="Y736" s="33"/>
      <c r="Z736" s="33"/>
      <c r="AA736" s="33"/>
      <c r="AB736" s="33"/>
      <c r="AC736" s="33"/>
    </row>
    <row r="737" hidden="1">
      <c r="A737" s="17" t="s">
        <v>302</v>
      </c>
      <c r="B737" s="33"/>
      <c r="C737" s="33"/>
      <c r="D737" s="33"/>
      <c r="E737" s="33"/>
      <c r="F737" s="33"/>
      <c r="G737" s="33"/>
      <c r="H737" s="23" t="str">
        <f>IFERROR(__xludf.DUMMYFUNCTION("if(REGEXMATCH(join("", "",$F737:$G737),H$1)=TRUE,""✓"",""✗"")"),"✗")</f>
        <v>✗</v>
      </c>
      <c r="I737" s="23" t="str">
        <f>IFERROR(__xludf.DUMMYFUNCTION("if(REGEXMATCH(join("", "",$F737:$G737),I$1)=TRUE,""✓"",""✗"")"),"✗")</f>
        <v>✗</v>
      </c>
      <c r="J737" s="23" t="str">
        <f>IFERROR(__xludf.DUMMYFUNCTION("if(REGEXMATCH(join("", "",$F737:$G737),J$1)=TRUE,""✓"",""✗"")"),"✗")</f>
        <v>✗</v>
      </c>
      <c r="K737" s="23" t="str">
        <f>IFERROR(__xludf.DUMMYFUNCTION("if(REGEXMATCH(join("", "",$F737:$G737),K$1)=TRUE,""✓"",""✗"")"),"✗")</f>
        <v>✗</v>
      </c>
      <c r="L737" s="23" t="str">
        <f>IFERROR(__xludf.DUMMYFUNCTION("if(REGEXMATCH(join("", "",$F737:$G737),L$1)=TRUE,""✓"",""✗"")"),"✗")</f>
        <v>✗</v>
      </c>
      <c r="M737" s="23" t="str">
        <f>IFERROR(__xludf.DUMMYFUNCTION("if(REGEXMATCH(join("", "",$F737:$G737),M$1)=TRUE,""✓"",""✗"")"),"✗")</f>
        <v>✗</v>
      </c>
      <c r="N737" s="23" t="str">
        <f>IFERROR(__xludf.DUMMYFUNCTION("if(REGEXMATCH(join("", "",$F737:$G737),N$1)=TRUE,""✓"",""✗"")"),"✗")</f>
        <v>✗</v>
      </c>
      <c r="O737" s="23" t="str">
        <f>IFERROR(__xludf.DUMMYFUNCTION("if(REGEXMATCH(join("", "",$F737:$G737),O$1)=TRUE,""✓"",""✗"")"),"✗")</f>
        <v>✗</v>
      </c>
      <c r="P737" s="23" t="str">
        <f>IFERROR(__xludf.DUMMYFUNCTION("if(REGEXMATCH(join("", "",$F737:$G737),P$1)=TRUE,""✓"",""✗"")"),"✗")</f>
        <v>✗</v>
      </c>
      <c r="Q737" s="23" t="str">
        <f>IFERROR(__xludf.DUMMYFUNCTION("if(REGEXMATCH(join("", "",$F737:$G737),Q$1)=TRUE,""✓"",""✗"")"),"✗")</f>
        <v>✗</v>
      </c>
      <c r="R737" s="23" t="str">
        <f>IFERROR(__xludf.DUMMYFUNCTION("if(REGEXMATCH(join("", "",$F737:$G737),R$1)=TRUE,""✓"",""✗"")"),"✗")</f>
        <v>✗</v>
      </c>
      <c r="S737" s="23" t="str">
        <f>IFERROR(__xludf.DUMMYFUNCTION("if(REGEXMATCH(join("", "",$F737:$G737),S$1)=TRUE,""✓"",""✗"")"),"✗")</f>
        <v>✗</v>
      </c>
      <c r="T737" s="23" t="str">
        <f>IFERROR(__xludf.DUMMYFUNCTION("if(REGEXMATCH(join("", "",$F737:$G737),T$1)=TRUE,""✓"",""✗"")"),"✗")</f>
        <v>✗</v>
      </c>
      <c r="U737" s="33"/>
      <c r="V737" s="33"/>
      <c r="W737" s="33"/>
      <c r="X737" s="33"/>
      <c r="Y737" s="33"/>
      <c r="Z737" s="33"/>
      <c r="AA737" s="33"/>
      <c r="AB737" s="33"/>
      <c r="AC737" s="33"/>
    </row>
    <row r="738" hidden="1">
      <c r="A738" s="17" t="s">
        <v>302</v>
      </c>
      <c r="B738" s="33"/>
      <c r="C738" s="33"/>
      <c r="D738" s="33"/>
      <c r="E738" s="33"/>
      <c r="F738" s="33"/>
      <c r="G738" s="33"/>
      <c r="H738" s="23" t="str">
        <f>IFERROR(__xludf.DUMMYFUNCTION("if(REGEXMATCH(join("", "",$F738:$G738),H$1)=TRUE,""✓"",""✗"")"),"✗")</f>
        <v>✗</v>
      </c>
      <c r="I738" s="23" t="str">
        <f>IFERROR(__xludf.DUMMYFUNCTION("if(REGEXMATCH(join("", "",$F738:$G738),I$1)=TRUE,""✓"",""✗"")"),"✗")</f>
        <v>✗</v>
      </c>
      <c r="J738" s="23" t="str">
        <f>IFERROR(__xludf.DUMMYFUNCTION("if(REGEXMATCH(join("", "",$F738:$G738),J$1)=TRUE,""✓"",""✗"")"),"✗")</f>
        <v>✗</v>
      </c>
      <c r="K738" s="23" t="str">
        <f>IFERROR(__xludf.DUMMYFUNCTION("if(REGEXMATCH(join("", "",$F738:$G738),K$1)=TRUE,""✓"",""✗"")"),"✗")</f>
        <v>✗</v>
      </c>
      <c r="L738" s="23" t="str">
        <f>IFERROR(__xludf.DUMMYFUNCTION("if(REGEXMATCH(join("", "",$F738:$G738),L$1)=TRUE,""✓"",""✗"")"),"✗")</f>
        <v>✗</v>
      </c>
      <c r="M738" s="23" t="str">
        <f>IFERROR(__xludf.DUMMYFUNCTION("if(REGEXMATCH(join("", "",$F738:$G738),M$1)=TRUE,""✓"",""✗"")"),"✗")</f>
        <v>✗</v>
      </c>
      <c r="N738" s="23" t="str">
        <f>IFERROR(__xludf.DUMMYFUNCTION("if(REGEXMATCH(join("", "",$F738:$G738),N$1)=TRUE,""✓"",""✗"")"),"✗")</f>
        <v>✗</v>
      </c>
      <c r="O738" s="23" t="str">
        <f>IFERROR(__xludf.DUMMYFUNCTION("if(REGEXMATCH(join("", "",$F738:$G738),O$1)=TRUE,""✓"",""✗"")"),"✗")</f>
        <v>✗</v>
      </c>
      <c r="P738" s="23" t="str">
        <f>IFERROR(__xludf.DUMMYFUNCTION("if(REGEXMATCH(join("", "",$F738:$G738),P$1)=TRUE,""✓"",""✗"")"),"✗")</f>
        <v>✗</v>
      </c>
      <c r="Q738" s="23" t="str">
        <f>IFERROR(__xludf.DUMMYFUNCTION("if(REGEXMATCH(join("", "",$F738:$G738),Q$1)=TRUE,""✓"",""✗"")"),"✗")</f>
        <v>✗</v>
      </c>
      <c r="R738" s="23" t="str">
        <f>IFERROR(__xludf.DUMMYFUNCTION("if(REGEXMATCH(join("", "",$F738:$G738),R$1)=TRUE,""✓"",""✗"")"),"✗")</f>
        <v>✗</v>
      </c>
      <c r="S738" s="23" t="str">
        <f>IFERROR(__xludf.DUMMYFUNCTION("if(REGEXMATCH(join("", "",$F738:$G738),S$1)=TRUE,""✓"",""✗"")"),"✗")</f>
        <v>✗</v>
      </c>
      <c r="T738" s="23" t="str">
        <f>IFERROR(__xludf.DUMMYFUNCTION("if(REGEXMATCH(join("", "",$F738:$G738),T$1)=TRUE,""✓"",""✗"")"),"✗")</f>
        <v>✗</v>
      </c>
      <c r="U738" s="33"/>
      <c r="V738" s="33"/>
      <c r="W738" s="33"/>
      <c r="X738" s="33"/>
      <c r="Y738" s="33"/>
      <c r="Z738" s="33"/>
      <c r="AA738" s="33"/>
      <c r="AB738" s="33"/>
      <c r="AC738" s="33"/>
    </row>
    <row r="739" hidden="1">
      <c r="A739" s="17" t="s">
        <v>302</v>
      </c>
      <c r="B739" s="33"/>
      <c r="C739" s="33"/>
      <c r="D739" s="33"/>
      <c r="E739" s="33"/>
      <c r="F739" s="33"/>
      <c r="G739" s="33"/>
      <c r="H739" s="23" t="str">
        <f>IFERROR(__xludf.DUMMYFUNCTION("if(REGEXMATCH(join("", "",$F739:$G739),H$1)=TRUE,""✓"",""✗"")"),"✗")</f>
        <v>✗</v>
      </c>
      <c r="I739" s="23" t="str">
        <f>IFERROR(__xludf.DUMMYFUNCTION("if(REGEXMATCH(join("", "",$F739:$G739),I$1)=TRUE,""✓"",""✗"")"),"✗")</f>
        <v>✗</v>
      </c>
      <c r="J739" s="23" t="str">
        <f>IFERROR(__xludf.DUMMYFUNCTION("if(REGEXMATCH(join("", "",$F739:$G739),J$1)=TRUE,""✓"",""✗"")"),"✗")</f>
        <v>✗</v>
      </c>
      <c r="K739" s="23" t="str">
        <f>IFERROR(__xludf.DUMMYFUNCTION("if(REGEXMATCH(join("", "",$F739:$G739),K$1)=TRUE,""✓"",""✗"")"),"✗")</f>
        <v>✗</v>
      </c>
      <c r="L739" s="23" t="str">
        <f>IFERROR(__xludf.DUMMYFUNCTION("if(REGEXMATCH(join("", "",$F739:$G739),L$1)=TRUE,""✓"",""✗"")"),"✗")</f>
        <v>✗</v>
      </c>
      <c r="M739" s="23" t="str">
        <f>IFERROR(__xludf.DUMMYFUNCTION("if(REGEXMATCH(join("", "",$F739:$G739),M$1)=TRUE,""✓"",""✗"")"),"✗")</f>
        <v>✗</v>
      </c>
      <c r="N739" s="23" t="str">
        <f>IFERROR(__xludf.DUMMYFUNCTION("if(REGEXMATCH(join("", "",$F739:$G739),N$1)=TRUE,""✓"",""✗"")"),"✗")</f>
        <v>✗</v>
      </c>
      <c r="O739" s="23" t="str">
        <f>IFERROR(__xludf.DUMMYFUNCTION("if(REGEXMATCH(join("", "",$F739:$G739),O$1)=TRUE,""✓"",""✗"")"),"✗")</f>
        <v>✗</v>
      </c>
      <c r="P739" s="23" t="str">
        <f>IFERROR(__xludf.DUMMYFUNCTION("if(REGEXMATCH(join("", "",$F739:$G739),P$1)=TRUE,""✓"",""✗"")"),"✗")</f>
        <v>✗</v>
      </c>
      <c r="Q739" s="23" t="str">
        <f>IFERROR(__xludf.DUMMYFUNCTION("if(REGEXMATCH(join("", "",$F739:$G739),Q$1)=TRUE,""✓"",""✗"")"),"✗")</f>
        <v>✗</v>
      </c>
      <c r="R739" s="23" t="str">
        <f>IFERROR(__xludf.DUMMYFUNCTION("if(REGEXMATCH(join("", "",$F739:$G739),R$1)=TRUE,""✓"",""✗"")"),"✗")</f>
        <v>✗</v>
      </c>
      <c r="S739" s="23" t="str">
        <f>IFERROR(__xludf.DUMMYFUNCTION("if(REGEXMATCH(join("", "",$F739:$G739),S$1)=TRUE,""✓"",""✗"")"),"✗")</f>
        <v>✗</v>
      </c>
      <c r="T739" s="23" t="str">
        <f>IFERROR(__xludf.DUMMYFUNCTION("if(REGEXMATCH(join("", "",$F739:$G739),T$1)=TRUE,""✓"",""✗"")"),"✗")</f>
        <v>✗</v>
      </c>
      <c r="U739" s="33"/>
      <c r="V739" s="33"/>
      <c r="W739" s="33"/>
      <c r="X739" s="33"/>
      <c r="Y739" s="33"/>
      <c r="Z739" s="33"/>
      <c r="AA739" s="33"/>
      <c r="AB739" s="33"/>
      <c r="AC739" s="33"/>
    </row>
    <row r="740" hidden="1">
      <c r="A740" s="17" t="s">
        <v>302</v>
      </c>
      <c r="B740" s="33"/>
      <c r="C740" s="33"/>
      <c r="D740" s="33"/>
      <c r="E740" s="33"/>
      <c r="F740" s="33"/>
      <c r="G740" s="33"/>
      <c r="H740" s="23" t="str">
        <f>IFERROR(__xludf.DUMMYFUNCTION("if(REGEXMATCH(join("", "",$F740:$G740),H$1)=TRUE,""✓"",""✗"")"),"✗")</f>
        <v>✗</v>
      </c>
      <c r="I740" s="23" t="str">
        <f>IFERROR(__xludf.DUMMYFUNCTION("if(REGEXMATCH(join("", "",$F740:$G740),I$1)=TRUE,""✓"",""✗"")"),"✗")</f>
        <v>✗</v>
      </c>
      <c r="J740" s="23" t="str">
        <f>IFERROR(__xludf.DUMMYFUNCTION("if(REGEXMATCH(join("", "",$F740:$G740),J$1)=TRUE,""✓"",""✗"")"),"✗")</f>
        <v>✗</v>
      </c>
      <c r="K740" s="23" t="str">
        <f>IFERROR(__xludf.DUMMYFUNCTION("if(REGEXMATCH(join("", "",$F740:$G740),K$1)=TRUE,""✓"",""✗"")"),"✗")</f>
        <v>✗</v>
      </c>
      <c r="L740" s="23" t="str">
        <f>IFERROR(__xludf.DUMMYFUNCTION("if(REGEXMATCH(join("", "",$F740:$G740),L$1)=TRUE,""✓"",""✗"")"),"✗")</f>
        <v>✗</v>
      </c>
      <c r="M740" s="23" t="str">
        <f>IFERROR(__xludf.DUMMYFUNCTION("if(REGEXMATCH(join("", "",$F740:$G740),M$1)=TRUE,""✓"",""✗"")"),"✗")</f>
        <v>✗</v>
      </c>
      <c r="N740" s="23" t="str">
        <f>IFERROR(__xludf.DUMMYFUNCTION("if(REGEXMATCH(join("", "",$F740:$G740),N$1)=TRUE,""✓"",""✗"")"),"✗")</f>
        <v>✗</v>
      </c>
      <c r="O740" s="23" t="str">
        <f>IFERROR(__xludf.DUMMYFUNCTION("if(REGEXMATCH(join("", "",$F740:$G740),O$1)=TRUE,""✓"",""✗"")"),"✗")</f>
        <v>✗</v>
      </c>
      <c r="P740" s="23" t="str">
        <f>IFERROR(__xludf.DUMMYFUNCTION("if(REGEXMATCH(join("", "",$F740:$G740),P$1)=TRUE,""✓"",""✗"")"),"✗")</f>
        <v>✗</v>
      </c>
      <c r="Q740" s="23" t="str">
        <f>IFERROR(__xludf.DUMMYFUNCTION("if(REGEXMATCH(join("", "",$F740:$G740),Q$1)=TRUE,""✓"",""✗"")"),"✗")</f>
        <v>✗</v>
      </c>
      <c r="R740" s="23" t="str">
        <f>IFERROR(__xludf.DUMMYFUNCTION("if(REGEXMATCH(join("", "",$F740:$G740),R$1)=TRUE,""✓"",""✗"")"),"✗")</f>
        <v>✗</v>
      </c>
      <c r="S740" s="23" t="str">
        <f>IFERROR(__xludf.DUMMYFUNCTION("if(REGEXMATCH(join("", "",$F740:$G740),S$1)=TRUE,""✓"",""✗"")"),"✗")</f>
        <v>✗</v>
      </c>
      <c r="T740" s="23" t="str">
        <f>IFERROR(__xludf.DUMMYFUNCTION("if(REGEXMATCH(join("", "",$F740:$G740),T$1)=TRUE,""✓"",""✗"")"),"✗")</f>
        <v>✗</v>
      </c>
      <c r="U740" s="33"/>
      <c r="V740" s="33"/>
      <c r="W740" s="33"/>
      <c r="X740" s="33"/>
      <c r="Y740" s="33"/>
      <c r="Z740" s="33"/>
      <c r="AA740" s="33"/>
      <c r="AB740" s="33"/>
      <c r="AC740" s="33"/>
    </row>
    <row r="741" hidden="1">
      <c r="A741" s="17" t="s">
        <v>302</v>
      </c>
      <c r="B741" s="33"/>
      <c r="C741" s="33"/>
      <c r="D741" s="33"/>
      <c r="E741" s="33"/>
      <c r="F741" s="33"/>
      <c r="G741" s="33"/>
      <c r="H741" s="23" t="str">
        <f>IFERROR(__xludf.DUMMYFUNCTION("if(REGEXMATCH(join("", "",$F741:$G741),H$1)=TRUE,""✓"",""✗"")"),"✗")</f>
        <v>✗</v>
      </c>
      <c r="I741" s="23" t="str">
        <f>IFERROR(__xludf.DUMMYFUNCTION("if(REGEXMATCH(join("", "",$F741:$G741),I$1)=TRUE,""✓"",""✗"")"),"✗")</f>
        <v>✗</v>
      </c>
      <c r="J741" s="23" t="str">
        <f>IFERROR(__xludf.DUMMYFUNCTION("if(REGEXMATCH(join("", "",$F741:$G741),J$1)=TRUE,""✓"",""✗"")"),"✗")</f>
        <v>✗</v>
      </c>
      <c r="K741" s="23" t="str">
        <f>IFERROR(__xludf.DUMMYFUNCTION("if(REGEXMATCH(join("", "",$F741:$G741),K$1)=TRUE,""✓"",""✗"")"),"✗")</f>
        <v>✗</v>
      </c>
      <c r="L741" s="23" t="str">
        <f>IFERROR(__xludf.DUMMYFUNCTION("if(REGEXMATCH(join("", "",$F741:$G741),L$1)=TRUE,""✓"",""✗"")"),"✗")</f>
        <v>✗</v>
      </c>
      <c r="M741" s="23" t="str">
        <f>IFERROR(__xludf.DUMMYFUNCTION("if(REGEXMATCH(join("", "",$F741:$G741),M$1)=TRUE,""✓"",""✗"")"),"✗")</f>
        <v>✗</v>
      </c>
      <c r="N741" s="23" t="str">
        <f>IFERROR(__xludf.DUMMYFUNCTION("if(REGEXMATCH(join("", "",$F741:$G741),N$1)=TRUE,""✓"",""✗"")"),"✗")</f>
        <v>✗</v>
      </c>
      <c r="O741" s="23" t="str">
        <f>IFERROR(__xludf.DUMMYFUNCTION("if(REGEXMATCH(join("", "",$F741:$G741),O$1)=TRUE,""✓"",""✗"")"),"✗")</f>
        <v>✗</v>
      </c>
      <c r="P741" s="23" t="str">
        <f>IFERROR(__xludf.DUMMYFUNCTION("if(REGEXMATCH(join("", "",$F741:$G741),P$1)=TRUE,""✓"",""✗"")"),"✗")</f>
        <v>✗</v>
      </c>
      <c r="Q741" s="23" t="str">
        <f>IFERROR(__xludf.DUMMYFUNCTION("if(REGEXMATCH(join("", "",$F741:$G741),Q$1)=TRUE,""✓"",""✗"")"),"✗")</f>
        <v>✗</v>
      </c>
      <c r="R741" s="23" t="str">
        <f>IFERROR(__xludf.DUMMYFUNCTION("if(REGEXMATCH(join("", "",$F741:$G741),R$1)=TRUE,""✓"",""✗"")"),"✗")</f>
        <v>✗</v>
      </c>
      <c r="S741" s="23" t="str">
        <f>IFERROR(__xludf.DUMMYFUNCTION("if(REGEXMATCH(join("", "",$F741:$G741),S$1)=TRUE,""✓"",""✗"")"),"✗")</f>
        <v>✗</v>
      </c>
      <c r="T741" s="23" t="str">
        <f>IFERROR(__xludf.DUMMYFUNCTION("if(REGEXMATCH(join("", "",$F741:$G741),T$1)=TRUE,""✓"",""✗"")"),"✗")</f>
        <v>✗</v>
      </c>
      <c r="U741" s="33"/>
      <c r="V741" s="33"/>
      <c r="W741" s="33"/>
      <c r="X741" s="33"/>
      <c r="Y741" s="33"/>
      <c r="Z741" s="33"/>
      <c r="AA741" s="33"/>
      <c r="AB741" s="33"/>
      <c r="AC741" s="33"/>
    </row>
    <row r="742" hidden="1">
      <c r="A742" s="17" t="s">
        <v>302</v>
      </c>
      <c r="B742" s="33"/>
      <c r="C742" s="33"/>
      <c r="D742" s="33"/>
      <c r="E742" s="33"/>
      <c r="F742" s="33"/>
      <c r="G742" s="33"/>
      <c r="H742" s="23" t="str">
        <f>IFERROR(__xludf.DUMMYFUNCTION("if(REGEXMATCH(join("", "",$F742:$G742),H$1)=TRUE,""✓"",""✗"")"),"✗")</f>
        <v>✗</v>
      </c>
      <c r="I742" s="23" t="str">
        <f>IFERROR(__xludf.DUMMYFUNCTION("if(REGEXMATCH(join("", "",$F742:$G742),I$1)=TRUE,""✓"",""✗"")"),"✗")</f>
        <v>✗</v>
      </c>
      <c r="J742" s="23" t="str">
        <f>IFERROR(__xludf.DUMMYFUNCTION("if(REGEXMATCH(join("", "",$F742:$G742),J$1)=TRUE,""✓"",""✗"")"),"✗")</f>
        <v>✗</v>
      </c>
      <c r="K742" s="23" t="str">
        <f>IFERROR(__xludf.DUMMYFUNCTION("if(REGEXMATCH(join("", "",$F742:$G742),K$1)=TRUE,""✓"",""✗"")"),"✗")</f>
        <v>✗</v>
      </c>
      <c r="L742" s="23" t="str">
        <f>IFERROR(__xludf.DUMMYFUNCTION("if(REGEXMATCH(join("", "",$F742:$G742),L$1)=TRUE,""✓"",""✗"")"),"✗")</f>
        <v>✗</v>
      </c>
      <c r="M742" s="23" t="str">
        <f>IFERROR(__xludf.DUMMYFUNCTION("if(REGEXMATCH(join("", "",$F742:$G742),M$1)=TRUE,""✓"",""✗"")"),"✗")</f>
        <v>✗</v>
      </c>
      <c r="N742" s="23" t="str">
        <f>IFERROR(__xludf.DUMMYFUNCTION("if(REGEXMATCH(join("", "",$F742:$G742),N$1)=TRUE,""✓"",""✗"")"),"✗")</f>
        <v>✗</v>
      </c>
      <c r="O742" s="23" t="str">
        <f>IFERROR(__xludf.DUMMYFUNCTION("if(REGEXMATCH(join("", "",$F742:$G742),O$1)=TRUE,""✓"",""✗"")"),"✗")</f>
        <v>✗</v>
      </c>
      <c r="P742" s="23" t="str">
        <f>IFERROR(__xludf.DUMMYFUNCTION("if(REGEXMATCH(join("", "",$F742:$G742),P$1)=TRUE,""✓"",""✗"")"),"✗")</f>
        <v>✗</v>
      </c>
      <c r="Q742" s="23" t="str">
        <f>IFERROR(__xludf.DUMMYFUNCTION("if(REGEXMATCH(join("", "",$F742:$G742),Q$1)=TRUE,""✓"",""✗"")"),"✗")</f>
        <v>✗</v>
      </c>
      <c r="R742" s="23" t="str">
        <f>IFERROR(__xludf.DUMMYFUNCTION("if(REGEXMATCH(join("", "",$F742:$G742),R$1)=TRUE,""✓"",""✗"")"),"✗")</f>
        <v>✗</v>
      </c>
      <c r="S742" s="23" t="str">
        <f>IFERROR(__xludf.DUMMYFUNCTION("if(REGEXMATCH(join("", "",$F742:$G742),S$1)=TRUE,""✓"",""✗"")"),"✗")</f>
        <v>✗</v>
      </c>
      <c r="T742" s="23" t="str">
        <f>IFERROR(__xludf.DUMMYFUNCTION("if(REGEXMATCH(join("", "",$F742:$G742),T$1)=TRUE,""✓"",""✗"")"),"✗")</f>
        <v>✗</v>
      </c>
      <c r="U742" s="33"/>
      <c r="V742" s="33"/>
      <c r="W742" s="33"/>
      <c r="X742" s="33"/>
      <c r="Y742" s="33"/>
      <c r="Z742" s="33"/>
      <c r="AA742" s="33"/>
      <c r="AB742" s="33"/>
      <c r="AC742" s="33"/>
    </row>
    <row r="743" hidden="1">
      <c r="A743" s="17" t="s">
        <v>302</v>
      </c>
      <c r="B743" s="33"/>
      <c r="C743" s="33"/>
      <c r="D743" s="33"/>
      <c r="E743" s="33"/>
      <c r="F743" s="33"/>
      <c r="G743" s="33"/>
      <c r="H743" s="23" t="str">
        <f>IFERROR(__xludf.DUMMYFUNCTION("if(REGEXMATCH(join("", "",$F743:$G743),H$1)=TRUE,""✓"",""✗"")"),"✗")</f>
        <v>✗</v>
      </c>
      <c r="I743" s="23" t="str">
        <f>IFERROR(__xludf.DUMMYFUNCTION("if(REGEXMATCH(join("", "",$F743:$G743),I$1)=TRUE,""✓"",""✗"")"),"✗")</f>
        <v>✗</v>
      </c>
      <c r="J743" s="23" t="str">
        <f>IFERROR(__xludf.DUMMYFUNCTION("if(REGEXMATCH(join("", "",$F743:$G743),J$1)=TRUE,""✓"",""✗"")"),"✗")</f>
        <v>✗</v>
      </c>
      <c r="K743" s="23" t="str">
        <f>IFERROR(__xludf.DUMMYFUNCTION("if(REGEXMATCH(join("", "",$F743:$G743),K$1)=TRUE,""✓"",""✗"")"),"✗")</f>
        <v>✗</v>
      </c>
      <c r="L743" s="23" t="str">
        <f>IFERROR(__xludf.DUMMYFUNCTION("if(REGEXMATCH(join("", "",$F743:$G743),L$1)=TRUE,""✓"",""✗"")"),"✗")</f>
        <v>✗</v>
      </c>
      <c r="M743" s="23" t="str">
        <f>IFERROR(__xludf.DUMMYFUNCTION("if(REGEXMATCH(join("", "",$F743:$G743),M$1)=TRUE,""✓"",""✗"")"),"✗")</f>
        <v>✗</v>
      </c>
      <c r="N743" s="23" t="str">
        <f>IFERROR(__xludf.DUMMYFUNCTION("if(REGEXMATCH(join("", "",$F743:$G743),N$1)=TRUE,""✓"",""✗"")"),"✗")</f>
        <v>✗</v>
      </c>
      <c r="O743" s="23" t="str">
        <f>IFERROR(__xludf.DUMMYFUNCTION("if(REGEXMATCH(join("", "",$F743:$G743),O$1)=TRUE,""✓"",""✗"")"),"✗")</f>
        <v>✗</v>
      </c>
      <c r="P743" s="23" t="str">
        <f>IFERROR(__xludf.DUMMYFUNCTION("if(REGEXMATCH(join("", "",$F743:$G743),P$1)=TRUE,""✓"",""✗"")"),"✗")</f>
        <v>✗</v>
      </c>
      <c r="Q743" s="23" t="str">
        <f>IFERROR(__xludf.DUMMYFUNCTION("if(REGEXMATCH(join("", "",$F743:$G743),Q$1)=TRUE,""✓"",""✗"")"),"✗")</f>
        <v>✗</v>
      </c>
      <c r="R743" s="23" t="str">
        <f>IFERROR(__xludf.DUMMYFUNCTION("if(REGEXMATCH(join("", "",$F743:$G743),R$1)=TRUE,""✓"",""✗"")"),"✗")</f>
        <v>✗</v>
      </c>
      <c r="S743" s="23" t="str">
        <f>IFERROR(__xludf.DUMMYFUNCTION("if(REGEXMATCH(join("", "",$F743:$G743),S$1)=TRUE,""✓"",""✗"")"),"✗")</f>
        <v>✗</v>
      </c>
      <c r="T743" s="23" t="str">
        <f>IFERROR(__xludf.DUMMYFUNCTION("if(REGEXMATCH(join("", "",$F743:$G743),T$1)=TRUE,""✓"",""✗"")"),"✗")</f>
        <v>✗</v>
      </c>
      <c r="U743" s="33"/>
      <c r="V743" s="33"/>
      <c r="W743" s="33"/>
      <c r="X743" s="33"/>
      <c r="Y743" s="33"/>
      <c r="Z743" s="33"/>
      <c r="AA743" s="33"/>
      <c r="AB743" s="33"/>
      <c r="AC743" s="33"/>
    </row>
    <row r="744" hidden="1">
      <c r="A744" s="17" t="s">
        <v>302</v>
      </c>
      <c r="B744" s="33"/>
      <c r="C744" s="33"/>
      <c r="D744" s="33"/>
      <c r="E744" s="33"/>
      <c r="F744" s="33"/>
      <c r="G744" s="33"/>
      <c r="H744" s="23" t="str">
        <f>IFERROR(__xludf.DUMMYFUNCTION("if(REGEXMATCH(join("", "",$F744:$G744),H$1)=TRUE,""✓"",""✗"")"),"✗")</f>
        <v>✗</v>
      </c>
      <c r="I744" s="23" t="str">
        <f>IFERROR(__xludf.DUMMYFUNCTION("if(REGEXMATCH(join("", "",$F744:$G744),I$1)=TRUE,""✓"",""✗"")"),"✗")</f>
        <v>✗</v>
      </c>
      <c r="J744" s="23" t="str">
        <f>IFERROR(__xludf.DUMMYFUNCTION("if(REGEXMATCH(join("", "",$F744:$G744),J$1)=TRUE,""✓"",""✗"")"),"✗")</f>
        <v>✗</v>
      </c>
      <c r="K744" s="23" t="str">
        <f>IFERROR(__xludf.DUMMYFUNCTION("if(REGEXMATCH(join("", "",$F744:$G744),K$1)=TRUE,""✓"",""✗"")"),"✗")</f>
        <v>✗</v>
      </c>
      <c r="L744" s="23" t="str">
        <f>IFERROR(__xludf.DUMMYFUNCTION("if(REGEXMATCH(join("", "",$F744:$G744),L$1)=TRUE,""✓"",""✗"")"),"✗")</f>
        <v>✗</v>
      </c>
      <c r="M744" s="23" t="str">
        <f>IFERROR(__xludf.DUMMYFUNCTION("if(REGEXMATCH(join("", "",$F744:$G744),M$1)=TRUE,""✓"",""✗"")"),"✗")</f>
        <v>✗</v>
      </c>
      <c r="N744" s="23" t="str">
        <f>IFERROR(__xludf.DUMMYFUNCTION("if(REGEXMATCH(join("", "",$F744:$G744),N$1)=TRUE,""✓"",""✗"")"),"✗")</f>
        <v>✗</v>
      </c>
      <c r="O744" s="23" t="str">
        <f>IFERROR(__xludf.DUMMYFUNCTION("if(REGEXMATCH(join("", "",$F744:$G744),O$1)=TRUE,""✓"",""✗"")"),"✗")</f>
        <v>✗</v>
      </c>
      <c r="P744" s="23" t="str">
        <f>IFERROR(__xludf.DUMMYFUNCTION("if(REGEXMATCH(join("", "",$F744:$G744),P$1)=TRUE,""✓"",""✗"")"),"✗")</f>
        <v>✗</v>
      </c>
      <c r="Q744" s="23" t="str">
        <f>IFERROR(__xludf.DUMMYFUNCTION("if(REGEXMATCH(join("", "",$F744:$G744),Q$1)=TRUE,""✓"",""✗"")"),"✗")</f>
        <v>✗</v>
      </c>
      <c r="R744" s="23" t="str">
        <f>IFERROR(__xludf.DUMMYFUNCTION("if(REGEXMATCH(join("", "",$F744:$G744),R$1)=TRUE,""✓"",""✗"")"),"✗")</f>
        <v>✗</v>
      </c>
      <c r="S744" s="23" t="str">
        <f>IFERROR(__xludf.DUMMYFUNCTION("if(REGEXMATCH(join("", "",$F744:$G744),S$1)=TRUE,""✓"",""✗"")"),"✗")</f>
        <v>✗</v>
      </c>
      <c r="T744" s="23" t="str">
        <f>IFERROR(__xludf.DUMMYFUNCTION("if(REGEXMATCH(join("", "",$F744:$G744),T$1)=TRUE,""✓"",""✗"")"),"✗")</f>
        <v>✗</v>
      </c>
      <c r="U744" s="33"/>
      <c r="V744" s="33"/>
      <c r="W744" s="33"/>
      <c r="X744" s="33"/>
      <c r="Y744" s="33"/>
      <c r="Z744" s="33"/>
      <c r="AA744" s="33"/>
      <c r="AB744" s="33"/>
      <c r="AC744" s="33"/>
    </row>
    <row r="745" hidden="1">
      <c r="A745" s="17" t="s">
        <v>302</v>
      </c>
      <c r="B745" s="33"/>
      <c r="C745" s="33"/>
      <c r="D745" s="33"/>
      <c r="E745" s="33"/>
      <c r="F745" s="33"/>
      <c r="G745" s="33"/>
      <c r="H745" s="23" t="str">
        <f>IFERROR(__xludf.DUMMYFUNCTION("if(REGEXMATCH(join("", "",$F745:$G745),H$1)=TRUE,""✓"",""✗"")"),"✗")</f>
        <v>✗</v>
      </c>
      <c r="I745" s="23" t="str">
        <f>IFERROR(__xludf.DUMMYFUNCTION("if(REGEXMATCH(join("", "",$F745:$G745),I$1)=TRUE,""✓"",""✗"")"),"✗")</f>
        <v>✗</v>
      </c>
      <c r="J745" s="23" t="str">
        <f>IFERROR(__xludf.DUMMYFUNCTION("if(REGEXMATCH(join("", "",$F745:$G745),J$1)=TRUE,""✓"",""✗"")"),"✗")</f>
        <v>✗</v>
      </c>
      <c r="K745" s="23" t="str">
        <f>IFERROR(__xludf.DUMMYFUNCTION("if(REGEXMATCH(join("", "",$F745:$G745),K$1)=TRUE,""✓"",""✗"")"),"✗")</f>
        <v>✗</v>
      </c>
      <c r="L745" s="23" t="str">
        <f>IFERROR(__xludf.DUMMYFUNCTION("if(REGEXMATCH(join("", "",$F745:$G745),L$1)=TRUE,""✓"",""✗"")"),"✗")</f>
        <v>✗</v>
      </c>
      <c r="M745" s="23" t="str">
        <f>IFERROR(__xludf.DUMMYFUNCTION("if(REGEXMATCH(join("", "",$F745:$G745),M$1)=TRUE,""✓"",""✗"")"),"✗")</f>
        <v>✗</v>
      </c>
      <c r="N745" s="23" t="str">
        <f>IFERROR(__xludf.DUMMYFUNCTION("if(REGEXMATCH(join("", "",$F745:$G745),N$1)=TRUE,""✓"",""✗"")"),"✗")</f>
        <v>✗</v>
      </c>
      <c r="O745" s="23" t="str">
        <f>IFERROR(__xludf.DUMMYFUNCTION("if(REGEXMATCH(join("", "",$F745:$G745),O$1)=TRUE,""✓"",""✗"")"),"✗")</f>
        <v>✗</v>
      </c>
      <c r="P745" s="23" t="str">
        <f>IFERROR(__xludf.DUMMYFUNCTION("if(REGEXMATCH(join("", "",$F745:$G745),P$1)=TRUE,""✓"",""✗"")"),"✗")</f>
        <v>✗</v>
      </c>
      <c r="Q745" s="23" t="str">
        <f>IFERROR(__xludf.DUMMYFUNCTION("if(REGEXMATCH(join("", "",$F745:$G745),Q$1)=TRUE,""✓"",""✗"")"),"✗")</f>
        <v>✗</v>
      </c>
      <c r="R745" s="23" t="str">
        <f>IFERROR(__xludf.DUMMYFUNCTION("if(REGEXMATCH(join("", "",$F745:$G745),R$1)=TRUE,""✓"",""✗"")"),"✗")</f>
        <v>✗</v>
      </c>
      <c r="S745" s="23" t="str">
        <f>IFERROR(__xludf.DUMMYFUNCTION("if(REGEXMATCH(join("", "",$F745:$G745),S$1)=TRUE,""✓"",""✗"")"),"✗")</f>
        <v>✗</v>
      </c>
      <c r="T745" s="23" t="str">
        <f>IFERROR(__xludf.DUMMYFUNCTION("if(REGEXMATCH(join("", "",$F745:$G745),T$1)=TRUE,""✓"",""✗"")"),"✗")</f>
        <v>✗</v>
      </c>
      <c r="U745" s="33"/>
      <c r="V745" s="33"/>
      <c r="W745" s="33"/>
      <c r="X745" s="33"/>
      <c r="Y745" s="33"/>
      <c r="Z745" s="33"/>
      <c r="AA745" s="33"/>
      <c r="AB745" s="33"/>
      <c r="AC745" s="33"/>
    </row>
    <row r="746" hidden="1">
      <c r="A746" s="17" t="s">
        <v>302</v>
      </c>
      <c r="B746" s="33"/>
      <c r="C746" s="33"/>
      <c r="D746" s="33"/>
      <c r="E746" s="33"/>
      <c r="F746" s="33"/>
      <c r="G746" s="33"/>
      <c r="H746" s="23" t="str">
        <f>IFERROR(__xludf.DUMMYFUNCTION("if(REGEXMATCH(join("", "",$F746:$G746),H$1)=TRUE,""✓"",""✗"")"),"✗")</f>
        <v>✗</v>
      </c>
      <c r="I746" s="23" t="str">
        <f>IFERROR(__xludf.DUMMYFUNCTION("if(REGEXMATCH(join("", "",$F746:$G746),I$1)=TRUE,""✓"",""✗"")"),"✗")</f>
        <v>✗</v>
      </c>
      <c r="J746" s="23" t="str">
        <f>IFERROR(__xludf.DUMMYFUNCTION("if(REGEXMATCH(join("", "",$F746:$G746),J$1)=TRUE,""✓"",""✗"")"),"✗")</f>
        <v>✗</v>
      </c>
      <c r="K746" s="23" t="str">
        <f>IFERROR(__xludf.DUMMYFUNCTION("if(REGEXMATCH(join("", "",$F746:$G746),K$1)=TRUE,""✓"",""✗"")"),"✗")</f>
        <v>✗</v>
      </c>
      <c r="L746" s="23" t="str">
        <f>IFERROR(__xludf.DUMMYFUNCTION("if(REGEXMATCH(join("", "",$F746:$G746),L$1)=TRUE,""✓"",""✗"")"),"✗")</f>
        <v>✗</v>
      </c>
      <c r="M746" s="23" t="str">
        <f>IFERROR(__xludf.DUMMYFUNCTION("if(REGEXMATCH(join("", "",$F746:$G746),M$1)=TRUE,""✓"",""✗"")"),"✗")</f>
        <v>✗</v>
      </c>
      <c r="N746" s="23" t="str">
        <f>IFERROR(__xludf.DUMMYFUNCTION("if(REGEXMATCH(join("", "",$F746:$G746),N$1)=TRUE,""✓"",""✗"")"),"✗")</f>
        <v>✗</v>
      </c>
      <c r="O746" s="23" t="str">
        <f>IFERROR(__xludf.DUMMYFUNCTION("if(REGEXMATCH(join("", "",$F746:$G746),O$1)=TRUE,""✓"",""✗"")"),"✗")</f>
        <v>✗</v>
      </c>
      <c r="P746" s="23" t="str">
        <f>IFERROR(__xludf.DUMMYFUNCTION("if(REGEXMATCH(join("", "",$F746:$G746),P$1)=TRUE,""✓"",""✗"")"),"✗")</f>
        <v>✗</v>
      </c>
      <c r="Q746" s="23" t="str">
        <f>IFERROR(__xludf.DUMMYFUNCTION("if(REGEXMATCH(join("", "",$F746:$G746),Q$1)=TRUE,""✓"",""✗"")"),"✗")</f>
        <v>✗</v>
      </c>
      <c r="R746" s="23" t="str">
        <f>IFERROR(__xludf.DUMMYFUNCTION("if(REGEXMATCH(join("", "",$F746:$G746),R$1)=TRUE,""✓"",""✗"")"),"✗")</f>
        <v>✗</v>
      </c>
      <c r="S746" s="23" t="str">
        <f>IFERROR(__xludf.DUMMYFUNCTION("if(REGEXMATCH(join("", "",$F746:$G746),S$1)=TRUE,""✓"",""✗"")"),"✗")</f>
        <v>✗</v>
      </c>
      <c r="T746" s="23" t="str">
        <f>IFERROR(__xludf.DUMMYFUNCTION("if(REGEXMATCH(join("", "",$F746:$G746),T$1)=TRUE,""✓"",""✗"")"),"✗")</f>
        <v>✗</v>
      </c>
      <c r="U746" s="33"/>
      <c r="V746" s="33"/>
      <c r="W746" s="33"/>
      <c r="X746" s="33"/>
      <c r="Y746" s="33"/>
      <c r="Z746" s="33"/>
      <c r="AA746" s="33"/>
      <c r="AB746" s="33"/>
      <c r="AC746" s="33"/>
    </row>
    <row r="747" hidden="1">
      <c r="A747" s="17" t="s">
        <v>302</v>
      </c>
      <c r="B747" s="33"/>
      <c r="C747" s="33"/>
      <c r="D747" s="33"/>
      <c r="E747" s="33"/>
      <c r="F747" s="33"/>
      <c r="G747" s="33"/>
      <c r="H747" s="23" t="str">
        <f>IFERROR(__xludf.DUMMYFUNCTION("if(REGEXMATCH(join("", "",$F747:$G747),H$1)=TRUE,""✓"",""✗"")"),"✗")</f>
        <v>✗</v>
      </c>
      <c r="I747" s="23" t="str">
        <f>IFERROR(__xludf.DUMMYFUNCTION("if(REGEXMATCH(join("", "",$F747:$G747),I$1)=TRUE,""✓"",""✗"")"),"✗")</f>
        <v>✗</v>
      </c>
      <c r="J747" s="23" t="str">
        <f>IFERROR(__xludf.DUMMYFUNCTION("if(REGEXMATCH(join("", "",$F747:$G747),J$1)=TRUE,""✓"",""✗"")"),"✗")</f>
        <v>✗</v>
      </c>
      <c r="K747" s="23" t="str">
        <f>IFERROR(__xludf.DUMMYFUNCTION("if(REGEXMATCH(join("", "",$F747:$G747),K$1)=TRUE,""✓"",""✗"")"),"✗")</f>
        <v>✗</v>
      </c>
      <c r="L747" s="23" t="str">
        <f>IFERROR(__xludf.DUMMYFUNCTION("if(REGEXMATCH(join("", "",$F747:$G747),L$1)=TRUE,""✓"",""✗"")"),"✗")</f>
        <v>✗</v>
      </c>
      <c r="M747" s="23" t="str">
        <f>IFERROR(__xludf.DUMMYFUNCTION("if(REGEXMATCH(join("", "",$F747:$G747),M$1)=TRUE,""✓"",""✗"")"),"✗")</f>
        <v>✗</v>
      </c>
      <c r="N747" s="23" t="str">
        <f>IFERROR(__xludf.DUMMYFUNCTION("if(REGEXMATCH(join("", "",$F747:$G747),N$1)=TRUE,""✓"",""✗"")"),"✗")</f>
        <v>✗</v>
      </c>
      <c r="O747" s="23" t="str">
        <f>IFERROR(__xludf.DUMMYFUNCTION("if(REGEXMATCH(join("", "",$F747:$G747),O$1)=TRUE,""✓"",""✗"")"),"✗")</f>
        <v>✗</v>
      </c>
      <c r="P747" s="23" t="str">
        <f>IFERROR(__xludf.DUMMYFUNCTION("if(REGEXMATCH(join("", "",$F747:$G747),P$1)=TRUE,""✓"",""✗"")"),"✗")</f>
        <v>✗</v>
      </c>
      <c r="Q747" s="23" t="str">
        <f>IFERROR(__xludf.DUMMYFUNCTION("if(REGEXMATCH(join("", "",$F747:$G747),Q$1)=TRUE,""✓"",""✗"")"),"✗")</f>
        <v>✗</v>
      </c>
      <c r="R747" s="23" t="str">
        <f>IFERROR(__xludf.DUMMYFUNCTION("if(REGEXMATCH(join("", "",$F747:$G747),R$1)=TRUE,""✓"",""✗"")"),"✗")</f>
        <v>✗</v>
      </c>
      <c r="S747" s="23" t="str">
        <f>IFERROR(__xludf.DUMMYFUNCTION("if(REGEXMATCH(join("", "",$F747:$G747),S$1)=TRUE,""✓"",""✗"")"),"✗")</f>
        <v>✗</v>
      </c>
      <c r="T747" s="23" t="str">
        <f>IFERROR(__xludf.DUMMYFUNCTION("if(REGEXMATCH(join("", "",$F747:$G747),T$1)=TRUE,""✓"",""✗"")"),"✗")</f>
        <v>✗</v>
      </c>
      <c r="U747" s="33"/>
      <c r="V747" s="33"/>
      <c r="W747" s="33"/>
      <c r="X747" s="33"/>
      <c r="Y747" s="33"/>
      <c r="Z747" s="33"/>
      <c r="AA747" s="33"/>
      <c r="AB747" s="33"/>
      <c r="AC747" s="33"/>
    </row>
    <row r="748" hidden="1">
      <c r="A748" s="17" t="s">
        <v>302</v>
      </c>
      <c r="B748" s="33"/>
      <c r="C748" s="33"/>
      <c r="D748" s="33"/>
      <c r="E748" s="33"/>
      <c r="F748" s="33"/>
      <c r="G748" s="33"/>
      <c r="H748" s="23" t="str">
        <f>IFERROR(__xludf.DUMMYFUNCTION("if(REGEXMATCH(join("", "",$F748:$G748),H$1)=TRUE,""✓"",""✗"")"),"✗")</f>
        <v>✗</v>
      </c>
      <c r="I748" s="23" t="str">
        <f>IFERROR(__xludf.DUMMYFUNCTION("if(REGEXMATCH(join("", "",$F748:$G748),I$1)=TRUE,""✓"",""✗"")"),"✗")</f>
        <v>✗</v>
      </c>
      <c r="J748" s="23" t="str">
        <f>IFERROR(__xludf.DUMMYFUNCTION("if(REGEXMATCH(join("", "",$F748:$G748),J$1)=TRUE,""✓"",""✗"")"),"✗")</f>
        <v>✗</v>
      </c>
      <c r="K748" s="23" t="str">
        <f>IFERROR(__xludf.DUMMYFUNCTION("if(REGEXMATCH(join("", "",$F748:$G748),K$1)=TRUE,""✓"",""✗"")"),"✗")</f>
        <v>✗</v>
      </c>
      <c r="L748" s="23" t="str">
        <f>IFERROR(__xludf.DUMMYFUNCTION("if(REGEXMATCH(join("", "",$F748:$G748),L$1)=TRUE,""✓"",""✗"")"),"✗")</f>
        <v>✗</v>
      </c>
      <c r="M748" s="23" t="str">
        <f>IFERROR(__xludf.DUMMYFUNCTION("if(REGEXMATCH(join("", "",$F748:$G748),M$1)=TRUE,""✓"",""✗"")"),"✗")</f>
        <v>✗</v>
      </c>
      <c r="N748" s="23" t="str">
        <f>IFERROR(__xludf.DUMMYFUNCTION("if(REGEXMATCH(join("", "",$F748:$G748),N$1)=TRUE,""✓"",""✗"")"),"✗")</f>
        <v>✗</v>
      </c>
      <c r="O748" s="23" t="str">
        <f>IFERROR(__xludf.DUMMYFUNCTION("if(REGEXMATCH(join("", "",$F748:$G748),O$1)=TRUE,""✓"",""✗"")"),"✗")</f>
        <v>✗</v>
      </c>
      <c r="P748" s="23" t="str">
        <f>IFERROR(__xludf.DUMMYFUNCTION("if(REGEXMATCH(join("", "",$F748:$G748),P$1)=TRUE,""✓"",""✗"")"),"✗")</f>
        <v>✗</v>
      </c>
      <c r="Q748" s="23" t="str">
        <f>IFERROR(__xludf.DUMMYFUNCTION("if(REGEXMATCH(join("", "",$F748:$G748),Q$1)=TRUE,""✓"",""✗"")"),"✗")</f>
        <v>✗</v>
      </c>
      <c r="R748" s="23" t="str">
        <f>IFERROR(__xludf.DUMMYFUNCTION("if(REGEXMATCH(join("", "",$F748:$G748),R$1)=TRUE,""✓"",""✗"")"),"✗")</f>
        <v>✗</v>
      </c>
      <c r="S748" s="23" t="str">
        <f>IFERROR(__xludf.DUMMYFUNCTION("if(REGEXMATCH(join("", "",$F748:$G748),S$1)=TRUE,""✓"",""✗"")"),"✗")</f>
        <v>✗</v>
      </c>
      <c r="T748" s="23" t="str">
        <f>IFERROR(__xludf.DUMMYFUNCTION("if(REGEXMATCH(join("", "",$F748:$G748),T$1)=TRUE,""✓"",""✗"")"),"✗")</f>
        <v>✗</v>
      </c>
      <c r="U748" s="33"/>
      <c r="V748" s="33"/>
      <c r="W748" s="33"/>
      <c r="X748" s="33"/>
      <c r="Y748" s="33"/>
      <c r="Z748" s="33"/>
      <c r="AA748" s="33"/>
      <c r="AB748" s="33"/>
      <c r="AC748" s="33"/>
    </row>
    <row r="749" hidden="1">
      <c r="A749" s="17" t="s">
        <v>302</v>
      </c>
      <c r="B749" s="33"/>
      <c r="C749" s="33"/>
      <c r="D749" s="33"/>
      <c r="E749" s="33"/>
      <c r="F749" s="33"/>
      <c r="G749" s="33"/>
      <c r="H749" s="23" t="str">
        <f>IFERROR(__xludf.DUMMYFUNCTION("if(REGEXMATCH(join("", "",$F749:$G749),H$1)=TRUE,""✓"",""✗"")"),"✗")</f>
        <v>✗</v>
      </c>
      <c r="I749" s="23" t="str">
        <f>IFERROR(__xludf.DUMMYFUNCTION("if(REGEXMATCH(join("", "",$F749:$G749),I$1)=TRUE,""✓"",""✗"")"),"✗")</f>
        <v>✗</v>
      </c>
      <c r="J749" s="23" t="str">
        <f>IFERROR(__xludf.DUMMYFUNCTION("if(REGEXMATCH(join("", "",$F749:$G749),J$1)=TRUE,""✓"",""✗"")"),"✗")</f>
        <v>✗</v>
      </c>
      <c r="K749" s="23" t="str">
        <f>IFERROR(__xludf.DUMMYFUNCTION("if(REGEXMATCH(join("", "",$F749:$G749),K$1)=TRUE,""✓"",""✗"")"),"✗")</f>
        <v>✗</v>
      </c>
      <c r="L749" s="23" t="str">
        <f>IFERROR(__xludf.DUMMYFUNCTION("if(REGEXMATCH(join("", "",$F749:$G749),L$1)=TRUE,""✓"",""✗"")"),"✗")</f>
        <v>✗</v>
      </c>
      <c r="M749" s="23" t="str">
        <f>IFERROR(__xludf.DUMMYFUNCTION("if(REGEXMATCH(join("", "",$F749:$G749),M$1)=TRUE,""✓"",""✗"")"),"✗")</f>
        <v>✗</v>
      </c>
      <c r="N749" s="23" t="str">
        <f>IFERROR(__xludf.DUMMYFUNCTION("if(REGEXMATCH(join("", "",$F749:$G749),N$1)=TRUE,""✓"",""✗"")"),"✗")</f>
        <v>✗</v>
      </c>
      <c r="O749" s="23" t="str">
        <f>IFERROR(__xludf.DUMMYFUNCTION("if(REGEXMATCH(join("", "",$F749:$G749),O$1)=TRUE,""✓"",""✗"")"),"✗")</f>
        <v>✗</v>
      </c>
      <c r="P749" s="23" t="str">
        <f>IFERROR(__xludf.DUMMYFUNCTION("if(REGEXMATCH(join("", "",$F749:$G749),P$1)=TRUE,""✓"",""✗"")"),"✗")</f>
        <v>✗</v>
      </c>
      <c r="Q749" s="23" t="str">
        <f>IFERROR(__xludf.DUMMYFUNCTION("if(REGEXMATCH(join("", "",$F749:$G749),Q$1)=TRUE,""✓"",""✗"")"),"✗")</f>
        <v>✗</v>
      </c>
      <c r="R749" s="23" t="str">
        <f>IFERROR(__xludf.DUMMYFUNCTION("if(REGEXMATCH(join("", "",$F749:$G749),R$1)=TRUE,""✓"",""✗"")"),"✗")</f>
        <v>✗</v>
      </c>
      <c r="S749" s="23" t="str">
        <f>IFERROR(__xludf.DUMMYFUNCTION("if(REGEXMATCH(join("", "",$F749:$G749),S$1)=TRUE,""✓"",""✗"")"),"✗")</f>
        <v>✗</v>
      </c>
      <c r="T749" s="23" t="str">
        <f>IFERROR(__xludf.DUMMYFUNCTION("if(REGEXMATCH(join("", "",$F749:$G749),T$1)=TRUE,""✓"",""✗"")"),"✗")</f>
        <v>✗</v>
      </c>
      <c r="U749" s="33"/>
      <c r="V749" s="33"/>
      <c r="W749" s="33"/>
      <c r="X749" s="33"/>
      <c r="Y749" s="33"/>
      <c r="Z749" s="33"/>
      <c r="AA749" s="33"/>
      <c r="AB749" s="33"/>
      <c r="AC749" s="33"/>
    </row>
    <row r="750" hidden="1">
      <c r="A750" s="17" t="s">
        <v>302</v>
      </c>
      <c r="B750" s="33"/>
      <c r="C750" s="33"/>
      <c r="D750" s="33"/>
      <c r="E750" s="33"/>
      <c r="F750" s="33"/>
      <c r="G750" s="33"/>
      <c r="H750" s="23" t="str">
        <f>IFERROR(__xludf.DUMMYFUNCTION("if(REGEXMATCH(join("", "",$F750:$G750),H$1)=TRUE,""✓"",""✗"")"),"✗")</f>
        <v>✗</v>
      </c>
      <c r="I750" s="23" t="str">
        <f>IFERROR(__xludf.DUMMYFUNCTION("if(REGEXMATCH(join("", "",$F750:$G750),I$1)=TRUE,""✓"",""✗"")"),"✗")</f>
        <v>✗</v>
      </c>
      <c r="J750" s="23" t="str">
        <f>IFERROR(__xludf.DUMMYFUNCTION("if(REGEXMATCH(join("", "",$F750:$G750),J$1)=TRUE,""✓"",""✗"")"),"✗")</f>
        <v>✗</v>
      </c>
      <c r="K750" s="23" t="str">
        <f>IFERROR(__xludf.DUMMYFUNCTION("if(REGEXMATCH(join("", "",$F750:$G750),K$1)=TRUE,""✓"",""✗"")"),"✗")</f>
        <v>✗</v>
      </c>
      <c r="L750" s="23" t="str">
        <f>IFERROR(__xludf.DUMMYFUNCTION("if(REGEXMATCH(join("", "",$F750:$G750),L$1)=TRUE,""✓"",""✗"")"),"✗")</f>
        <v>✗</v>
      </c>
      <c r="M750" s="23" t="str">
        <f>IFERROR(__xludf.DUMMYFUNCTION("if(REGEXMATCH(join("", "",$F750:$G750),M$1)=TRUE,""✓"",""✗"")"),"✗")</f>
        <v>✗</v>
      </c>
      <c r="N750" s="23" t="str">
        <f>IFERROR(__xludf.DUMMYFUNCTION("if(REGEXMATCH(join("", "",$F750:$G750),N$1)=TRUE,""✓"",""✗"")"),"✗")</f>
        <v>✗</v>
      </c>
      <c r="O750" s="23" t="str">
        <f>IFERROR(__xludf.DUMMYFUNCTION("if(REGEXMATCH(join("", "",$F750:$G750),O$1)=TRUE,""✓"",""✗"")"),"✗")</f>
        <v>✗</v>
      </c>
      <c r="P750" s="23" t="str">
        <f>IFERROR(__xludf.DUMMYFUNCTION("if(REGEXMATCH(join("", "",$F750:$G750),P$1)=TRUE,""✓"",""✗"")"),"✗")</f>
        <v>✗</v>
      </c>
      <c r="Q750" s="23" t="str">
        <f>IFERROR(__xludf.DUMMYFUNCTION("if(REGEXMATCH(join("", "",$F750:$G750),Q$1)=TRUE,""✓"",""✗"")"),"✗")</f>
        <v>✗</v>
      </c>
      <c r="R750" s="23" t="str">
        <f>IFERROR(__xludf.DUMMYFUNCTION("if(REGEXMATCH(join("", "",$F750:$G750),R$1)=TRUE,""✓"",""✗"")"),"✗")</f>
        <v>✗</v>
      </c>
      <c r="S750" s="23" t="str">
        <f>IFERROR(__xludf.DUMMYFUNCTION("if(REGEXMATCH(join("", "",$F750:$G750),S$1)=TRUE,""✓"",""✗"")"),"✗")</f>
        <v>✗</v>
      </c>
      <c r="T750" s="23" t="str">
        <f>IFERROR(__xludf.DUMMYFUNCTION("if(REGEXMATCH(join("", "",$F750:$G750),T$1)=TRUE,""✓"",""✗"")"),"✗")</f>
        <v>✗</v>
      </c>
      <c r="U750" s="33"/>
      <c r="V750" s="33"/>
      <c r="W750" s="33"/>
      <c r="X750" s="33"/>
      <c r="Y750" s="33"/>
      <c r="Z750" s="33"/>
      <c r="AA750" s="33"/>
      <c r="AB750" s="33"/>
      <c r="AC750" s="33"/>
    </row>
    <row r="751" hidden="1">
      <c r="A751" s="17" t="s">
        <v>302</v>
      </c>
      <c r="B751" s="33"/>
      <c r="C751" s="33"/>
      <c r="D751" s="33"/>
      <c r="E751" s="33"/>
      <c r="F751" s="33"/>
      <c r="G751" s="33"/>
      <c r="H751" s="23" t="str">
        <f>IFERROR(__xludf.DUMMYFUNCTION("if(REGEXMATCH(join("", "",$F751:$G751),H$1)=TRUE,""✓"",""✗"")"),"✗")</f>
        <v>✗</v>
      </c>
      <c r="I751" s="23" t="str">
        <f>IFERROR(__xludf.DUMMYFUNCTION("if(REGEXMATCH(join("", "",$F751:$G751),I$1)=TRUE,""✓"",""✗"")"),"✗")</f>
        <v>✗</v>
      </c>
      <c r="J751" s="23" t="str">
        <f>IFERROR(__xludf.DUMMYFUNCTION("if(REGEXMATCH(join("", "",$F751:$G751),J$1)=TRUE,""✓"",""✗"")"),"✗")</f>
        <v>✗</v>
      </c>
      <c r="K751" s="23" t="str">
        <f>IFERROR(__xludf.DUMMYFUNCTION("if(REGEXMATCH(join("", "",$F751:$G751),K$1)=TRUE,""✓"",""✗"")"),"✗")</f>
        <v>✗</v>
      </c>
      <c r="L751" s="23" t="str">
        <f>IFERROR(__xludf.DUMMYFUNCTION("if(REGEXMATCH(join("", "",$F751:$G751),L$1)=TRUE,""✓"",""✗"")"),"✗")</f>
        <v>✗</v>
      </c>
      <c r="M751" s="23" t="str">
        <f>IFERROR(__xludf.DUMMYFUNCTION("if(REGEXMATCH(join("", "",$F751:$G751),M$1)=TRUE,""✓"",""✗"")"),"✗")</f>
        <v>✗</v>
      </c>
      <c r="N751" s="23" t="str">
        <f>IFERROR(__xludf.DUMMYFUNCTION("if(REGEXMATCH(join("", "",$F751:$G751),N$1)=TRUE,""✓"",""✗"")"),"✗")</f>
        <v>✗</v>
      </c>
      <c r="O751" s="23" t="str">
        <f>IFERROR(__xludf.DUMMYFUNCTION("if(REGEXMATCH(join("", "",$F751:$G751),O$1)=TRUE,""✓"",""✗"")"),"✗")</f>
        <v>✗</v>
      </c>
      <c r="P751" s="23" t="str">
        <f>IFERROR(__xludf.DUMMYFUNCTION("if(REGEXMATCH(join("", "",$F751:$G751),P$1)=TRUE,""✓"",""✗"")"),"✗")</f>
        <v>✗</v>
      </c>
      <c r="Q751" s="23" t="str">
        <f>IFERROR(__xludf.DUMMYFUNCTION("if(REGEXMATCH(join("", "",$F751:$G751),Q$1)=TRUE,""✓"",""✗"")"),"✗")</f>
        <v>✗</v>
      </c>
      <c r="R751" s="23" t="str">
        <f>IFERROR(__xludf.DUMMYFUNCTION("if(REGEXMATCH(join("", "",$F751:$G751),R$1)=TRUE,""✓"",""✗"")"),"✗")</f>
        <v>✗</v>
      </c>
      <c r="S751" s="23" t="str">
        <f>IFERROR(__xludf.DUMMYFUNCTION("if(REGEXMATCH(join("", "",$F751:$G751),S$1)=TRUE,""✓"",""✗"")"),"✗")</f>
        <v>✗</v>
      </c>
      <c r="T751" s="23" t="str">
        <f>IFERROR(__xludf.DUMMYFUNCTION("if(REGEXMATCH(join("", "",$F751:$G751),T$1)=TRUE,""✓"",""✗"")"),"✗")</f>
        <v>✗</v>
      </c>
      <c r="U751" s="33"/>
      <c r="V751" s="33"/>
      <c r="W751" s="33"/>
      <c r="X751" s="33"/>
      <c r="Y751" s="33"/>
      <c r="Z751" s="33"/>
      <c r="AA751" s="33"/>
      <c r="AB751" s="33"/>
      <c r="AC751" s="33"/>
    </row>
    <row r="752" hidden="1">
      <c r="A752" s="17" t="s">
        <v>302</v>
      </c>
      <c r="B752" s="33"/>
      <c r="C752" s="33"/>
      <c r="D752" s="33"/>
      <c r="E752" s="33"/>
      <c r="F752" s="33"/>
      <c r="G752" s="33"/>
      <c r="H752" s="23" t="str">
        <f>IFERROR(__xludf.DUMMYFUNCTION("if(REGEXMATCH(join("", "",$F752:$G752),H$1)=TRUE,""✓"",""✗"")"),"✗")</f>
        <v>✗</v>
      </c>
      <c r="I752" s="23" t="str">
        <f>IFERROR(__xludf.DUMMYFUNCTION("if(REGEXMATCH(join("", "",$F752:$G752),I$1)=TRUE,""✓"",""✗"")"),"✗")</f>
        <v>✗</v>
      </c>
      <c r="J752" s="23" t="str">
        <f>IFERROR(__xludf.DUMMYFUNCTION("if(REGEXMATCH(join("", "",$F752:$G752),J$1)=TRUE,""✓"",""✗"")"),"✗")</f>
        <v>✗</v>
      </c>
      <c r="K752" s="23" t="str">
        <f>IFERROR(__xludf.DUMMYFUNCTION("if(REGEXMATCH(join("", "",$F752:$G752),K$1)=TRUE,""✓"",""✗"")"),"✗")</f>
        <v>✗</v>
      </c>
      <c r="L752" s="23" t="str">
        <f>IFERROR(__xludf.DUMMYFUNCTION("if(REGEXMATCH(join("", "",$F752:$G752),L$1)=TRUE,""✓"",""✗"")"),"✗")</f>
        <v>✗</v>
      </c>
      <c r="M752" s="23" t="str">
        <f>IFERROR(__xludf.DUMMYFUNCTION("if(REGEXMATCH(join("", "",$F752:$G752),M$1)=TRUE,""✓"",""✗"")"),"✗")</f>
        <v>✗</v>
      </c>
      <c r="N752" s="23" t="str">
        <f>IFERROR(__xludf.DUMMYFUNCTION("if(REGEXMATCH(join("", "",$F752:$G752),N$1)=TRUE,""✓"",""✗"")"),"✗")</f>
        <v>✗</v>
      </c>
      <c r="O752" s="23" t="str">
        <f>IFERROR(__xludf.DUMMYFUNCTION("if(REGEXMATCH(join("", "",$F752:$G752),O$1)=TRUE,""✓"",""✗"")"),"✗")</f>
        <v>✗</v>
      </c>
      <c r="P752" s="23" t="str">
        <f>IFERROR(__xludf.DUMMYFUNCTION("if(REGEXMATCH(join("", "",$F752:$G752),P$1)=TRUE,""✓"",""✗"")"),"✗")</f>
        <v>✗</v>
      </c>
      <c r="Q752" s="23" t="str">
        <f>IFERROR(__xludf.DUMMYFUNCTION("if(REGEXMATCH(join("", "",$F752:$G752),Q$1)=TRUE,""✓"",""✗"")"),"✗")</f>
        <v>✗</v>
      </c>
      <c r="R752" s="23" t="str">
        <f>IFERROR(__xludf.DUMMYFUNCTION("if(REGEXMATCH(join("", "",$F752:$G752),R$1)=TRUE,""✓"",""✗"")"),"✗")</f>
        <v>✗</v>
      </c>
      <c r="S752" s="23" t="str">
        <f>IFERROR(__xludf.DUMMYFUNCTION("if(REGEXMATCH(join("", "",$F752:$G752),S$1)=TRUE,""✓"",""✗"")"),"✗")</f>
        <v>✗</v>
      </c>
      <c r="T752" s="23" t="str">
        <f>IFERROR(__xludf.DUMMYFUNCTION("if(REGEXMATCH(join("", "",$F752:$G752),T$1)=TRUE,""✓"",""✗"")"),"✗")</f>
        <v>✗</v>
      </c>
      <c r="U752" s="33"/>
      <c r="V752" s="33"/>
      <c r="W752" s="33"/>
      <c r="X752" s="33"/>
      <c r="Y752" s="33"/>
      <c r="Z752" s="33"/>
      <c r="AA752" s="33"/>
      <c r="AB752" s="33"/>
      <c r="AC752" s="33"/>
    </row>
    <row r="753" hidden="1">
      <c r="A753" s="17" t="s">
        <v>302</v>
      </c>
      <c r="B753" s="33"/>
      <c r="C753" s="33"/>
      <c r="D753" s="33"/>
      <c r="E753" s="33"/>
      <c r="F753" s="33"/>
      <c r="G753" s="33"/>
      <c r="H753" s="23" t="str">
        <f>IFERROR(__xludf.DUMMYFUNCTION("if(REGEXMATCH(join("", "",$F753:$G753),H$1)=TRUE,""✓"",""✗"")"),"✗")</f>
        <v>✗</v>
      </c>
      <c r="I753" s="23" t="str">
        <f>IFERROR(__xludf.DUMMYFUNCTION("if(REGEXMATCH(join("", "",$F753:$G753),I$1)=TRUE,""✓"",""✗"")"),"✗")</f>
        <v>✗</v>
      </c>
      <c r="J753" s="23" t="str">
        <f>IFERROR(__xludf.DUMMYFUNCTION("if(REGEXMATCH(join("", "",$F753:$G753),J$1)=TRUE,""✓"",""✗"")"),"✗")</f>
        <v>✗</v>
      </c>
      <c r="K753" s="23" t="str">
        <f>IFERROR(__xludf.DUMMYFUNCTION("if(REGEXMATCH(join("", "",$F753:$G753),K$1)=TRUE,""✓"",""✗"")"),"✗")</f>
        <v>✗</v>
      </c>
      <c r="L753" s="23" t="str">
        <f>IFERROR(__xludf.DUMMYFUNCTION("if(REGEXMATCH(join("", "",$F753:$G753),L$1)=TRUE,""✓"",""✗"")"),"✗")</f>
        <v>✗</v>
      </c>
      <c r="M753" s="23" t="str">
        <f>IFERROR(__xludf.DUMMYFUNCTION("if(REGEXMATCH(join("", "",$F753:$G753),M$1)=TRUE,""✓"",""✗"")"),"✗")</f>
        <v>✗</v>
      </c>
      <c r="N753" s="23" t="str">
        <f>IFERROR(__xludf.DUMMYFUNCTION("if(REGEXMATCH(join("", "",$F753:$G753),N$1)=TRUE,""✓"",""✗"")"),"✗")</f>
        <v>✗</v>
      </c>
      <c r="O753" s="23" t="str">
        <f>IFERROR(__xludf.DUMMYFUNCTION("if(REGEXMATCH(join("", "",$F753:$G753),O$1)=TRUE,""✓"",""✗"")"),"✗")</f>
        <v>✗</v>
      </c>
      <c r="P753" s="23" t="str">
        <f>IFERROR(__xludf.DUMMYFUNCTION("if(REGEXMATCH(join("", "",$F753:$G753),P$1)=TRUE,""✓"",""✗"")"),"✗")</f>
        <v>✗</v>
      </c>
      <c r="Q753" s="23" t="str">
        <f>IFERROR(__xludf.DUMMYFUNCTION("if(REGEXMATCH(join("", "",$F753:$G753),Q$1)=TRUE,""✓"",""✗"")"),"✗")</f>
        <v>✗</v>
      </c>
      <c r="R753" s="23" t="str">
        <f>IFERROR(__xludf.DUMMYFUNCTION("if(REGEXMATCH(join("", "",$F753:$G753),R$1)=TRUE,""✓"",""✗"")"),"✗")</f>
        <v>✗</v>
      </c>
      <c r="S753" s="23" t="str">
        <f>IFERROR(__xludf.DUMMYFUNCTION("if(REGEXMATCH(join("", "",$F753:$G753),S$1)=TRUE,""✓"",""✗"")"),"✗")</f>
        <v>✗</v>
      </c>
      <c r="T753" s="23" t="str">
        <f>IFERROR(__xludf.DUMMYFUNCTION("if(REGEXMATCH(join("", "",$F753:$G753),T$1)=TRUE,""✓"",""✗"")"),"✗")</f>
        <v>✗</v>
      </c>
      <c r="U753" s="33"/>
      <c r="V753" s="33"/>
      <c r="W753" s="33"/>
      <c r="X753" s="33"/>
      <c r="Y753" s="33"/>
      <c r="Z753" s="33"/>
      <c r="AA753" s="33"/>
      <c r="AB753" s="33"/>
      <c r="AC753" s="33"/>
    </row>
    <row r="754" hidden="1">
      <c r="A754" s="17" t="s">
        <v>302</v>
      </c>
      <c r="B754" s="33"/>
      <c r="C754" s="33"/>
      <c r="D754" s="33"/>
      <c r="E754" s="33"/>
      <c r="F754" s="33"/>
      <c r="G754" s="33"/>
      <c r="H754" s="23" t="str">
        <f>IFERROR(__xludf.DUMMYFUNCTION("if(REGEXMATCH(join("", "",$F754:$G754),H$1)=TRUE,""✓"",""✗"")"),"✗")</f>
        <v>✗</v>
      </c>
      <c r="I754" s="23" t="str">
        <f>IFERROR(__xludf.DUMMYFUNCTION("if(REGEXMATCH(join("", "",$F754:$G754),I$1)=TRUE,""✓"",""✗"")"),"✗")</f>
        <v>✗</v>
      </c>
      <c r="J754" s="23" t="str">
        <f>IFERROR(__xludf.DUMMYFUNCTION("if(REGEXMATCH(join("", "",$F754:$G754),J$1)=TRUE,""✓"",""✗"")"),"✗")</f>
        <v>✗</v>
      </c>
      <c r="K754" s="23" t="str">
        <f>IFERROR(__xludf.DUMMYFUNCTION("if(REGEXMATCH(join("", "",$F754:$G754),K$1)=TRUE,""✓"",""✗"")"),"✗")</f>
        <v>✗</v>
      </c>
      <c r="L754" s="23" t="str">
        <f>IFERROR(__xludf.DUMMYFUNCTION("if(REGEXMATCH(join("", "",$F754:$G754),L$1)=TRUE,""✓"",""✗"")"),"✗")</f>
        <v>✗</v>
      </c>
      <c r="M754" s="23" t="str">
        <f>IFERROR(__xludf.DUMMYFUNCTION("if(REGEXMATCH(join("", "",$F754:$G754),M$1)=TRUE,""✓"",""✗"")"),"✗")</f>
        <v>✗</v>
      </c>
      <c r="N754" s="23" t="str">
        <f>IFERROR(__xludf.DUMMYFUNCTION("if(REGEXMATCH(join("", "",$F754:$G754),N$1)=TRUE,""✓"",""✗"")"),"✗")</f>
        <v>✗</v>
      </c>
      <c r="O754" s="23" t="str">
        <f>IFERROR(__xludf.DUMMYFUNCTION("if(REGEXMATCH(join("", "",$F754:$G754),O$1)=TRUE,""✓"",""✗"")"),"✗")</f>
        <v>✗</v>
      </c>
      <c r="P754" s="23" t="str">
        <f>IFERROR(__xludf.DUMMYFUNCTION("if(REGEXMATCH(join("", "",$F754:$G754),P$1)=TRUE,""✓"",""✗"")"),"✗")</f>
        <v>✗</v>
      </c>
      <c r="Q754" s="23" t="str">
        <f>IFERROR(__xludf.DUMMYFUNCTION("if(REGEXMATCH(join("", "",$F754:$G754),Q$1)=TRUE,""✓"",""✗"")"),"✗")</f>
        <v>✗</v>
      </c>
      <c r="R754" s="23" t="str">
        <f>IFERROR(__xludf.DUMMYFUNCTION("if(REGEXMATCH(join("", "",$F754:$G754),R$1)=TRUE,""✓"",""✗"")"),"✗")</f>
        <v>✗</v>
      </c>
      <c r="S754" s="23" t="str">
        <f>IFERROR(__xludf.DUMMYFUNCTION("if(REGEXMATCH(join("", "",$F754:$G754),S$1)=TRUE,""✓"",""✗"")"),"✗")</f>
        <v>✗</v>
      </c>
      <c r="T754" s="23" t="str">
        <f>IFERROR(__xludf.DUMMYFUNCTION("if(REGEXMATCH(join("", "",$F754:$G754),T$1)=TRUE,""✓"",""✗"")"),"✗")</f>
        <v>✗</v>
      </c>
      <c r="U754" s="33"/>
      <c r="V754" s="33"/>
      <c r="W754" s="33"/>
      <c r="X754" s="33"/>
      <c r="Y754" s="33"/>
      <c r="Z754" s="33"/>
      <c r="AA754" s="33"/>
      <c r="AB754" s="33"/>
      <c r="AC754" s="33"/>
    </row>
    <row r="755" hidden="1">
      <c r="A755" s="17" t="s">
        <v>302</v>
      </c>
      <c r="B755" s="33"/>
      <c r="C755" s="33"/>
      <c r="D755" s="33"/>
      <c r="E755" s="33"/>
      <c r="F755" s="33"/>
      <c r="G755" s="33"/>
      <c r="H755" s="23" t="str">
        <f>IFERROR(__xludf.DUMMYFUNCTION("if(REGEXMATCH(join("", "",$F755:$G755),H$1)=TRUE,""✓"",""✗"")"),"✗")</f>
        <v>✗</v>
      </c>
      <c r="I755" s="23" t="str">
        <f>IFERROR(__xludf.DUMMYFUNCTION("if(REGEXMATCH(join("", "",$F755:$G755),I$1)=TRUE,""✓"",""✗"")"),"✗")</f>
        <v>✗</v>
      </c>
      <c r="J755" s="23" t="str">
        <f>IFERROR(__xludf.DUMMYFUNCTION("if(REGEXMATCH(join("", "",$F755:$G755),J$1)=TRUE,""✓"",""✗"")"),"✗")</f>
        <v>✗</v>
      </c>
      <c r="K755" s="23" t="str">
        <f>IFERROR(__xludf.DUMMYFUNCTION("if(REGEXMATCH(join("", "",$F755:$G755),K$1)=TRUE,""✓"",""✗"")"),"✗")</f>
        <v>✗</v>
      </c>
      <c r="L755" s="23" t="str">
        <f>IFERROR(__xludf.DUMMYFUNCTION("if(REGEXMATCH(join("", "",$F755:$G755),L$1)=TRUE,""✓"",""✗"")"),"✗")</f>
        <v>✗</v>
      </c>
      <c r="M755" s="23" t="str">
        <f>IFERROR(__xludf.DUMMYFUNCTION("if(REGEXMATCH(join("", "",$F755:$G755),M$1)=TRUE,""✓"",""✗"")"),"✗")</f>
        <v>✗</v>
      </c>
      <c r="N755" s="23" t="str">
        <f>IFERROR(__xludf.DUMMYFUNCTION("if(REGEXMATCH(join("", "",$F755:$G755),N$1)=TRUE,""✓"",""✗"")"),"✗")</f>
        <v>✗</v>
      </c>
      <c r="O755" s="23" t="str">
        <f>IFERROR(__xludf.DUMMYFUNCTION("if(REGEXMATCH(join("", "",$F755:$G755),O$1)=TRUE,""✓"",""✗"")"),"✗")</f>
        <v>✗</v>
      </c>
      <c r="P755" s="23" t="str">
        <f>IFERROR(__xludf.DUMMYFUNCTION("if(REGEXMATCH(join("", "",$F755:$G755),P$1)=TRUE,""✓"",""✗"")"),"✗")</f>
        <v>✗</v>
      </c>
      <c r="Q755" s="23" t="str">
        <f>IFERROR(__xludf.DUMMYFUNCTION("if(REGEXMATCH(join("", "",$F755:$G755),Q$1)=TRUE,""✓"",""✗"")"),"✗")</f>
        <v>✗</v>
      </c>
      <c r="R755" s="23" t="str">
        <f>IFERROR(__xludf.DUMMYFUNCTION("if(REGEXMATCH(join("", "",$F755:$G755),R$1)=TRUE,""✓"",""✗"")"),"✗")</f>
        <v>✗</v>
      </c>
      <c r="S755" s="23" t="str">
        <f>IFERROR(__xludf.DUMMYFUNCTION("if(REGEXMATCH(join("", "",$F755:$G755),S$1)=TRUE,""✓"",""✗"")"),"✗")</f>
        <v>✗</v>
      </c>
      <c r="T755" s="23" t="str">
        <f>IFERROR(__xludf.DUMMYFUNCTION("if(REGEXMATCH(join("", "",$F755:$G755),T$1)=TRUE,""✓"",""✗"")"),"✗")</f>
        <v>✗</v>
      </c>
      <c r="U755" s="33"/>
      <c r="V755" s="33"/>
      <c r="W755" s="33"/>
      <c r="X755" s="33"/>
      <c r="Y755" s="33"/>
      <c r="Z755" s="33"/>
      <c r="AA755" s="33"/>
      <c r="AB755" s="33"/>
      <c r="AC755" s="33"/>
    </row>
    <row r="756" hidden="1">
      <c r="A756" s="17" t="s">
        <v>302</v>
      </c>
      <c r="B756" s="33"/>
      <c r="C756" s="33"/>
      <c r="D756" s="33"/>
      <c r="E756" s="33"/>
      <c r="F756" s="33"/>
      <c r="G756" s="33"/>
      <c r="H756" s="23" t="str">
        <f>IFERROR(__xludf.DUMMYFUNCTION("if(REGEXMATCH(join("", "",$F756:$G756),H$1)=TRUE,""✓"",""✗"")"),"✗")</f>
        <v>✗</v>
      </c>
      <c r="I756" s="23" t="str">
        <f>IFERROR(__xludf.DUMMYFUNCTION("if(REGEXMATCH(join("", "",$F756:$G756),I$1)=TRUE,""✓"",""✗"")"),"✗")</f>
        <v>✗</v>
      </c>
      <c r="J756" s="23" t="str">
        <f>IFERROR(__xludf.DUMMYFUNCTION("if(REGEXMATCH(join("", "",$F756:$G756),J$1)=TRUE,""✓"",""✗"")"),"✗")</f>
        <v>✗</v>
      </c>
      <c r="K756" s="23" t="str">
        <f>IFERROR(__xludf.DUMMYFUNCTION("if(REGEXMATCH(join("", "",$F756:$G756),K$1)=TRUE,""✓"",""✗"")"),"✗")</f>
        <v>✗</v>
      </c>
      <c r="L756" s="23" t="str">
        <f>IFERROR(__xludf.DUMMYFUNCTION("if(REGEXMATCH(join("", "",$F756:$G756),L$1)=TRUE,""✓"",""✗"")"),"✗")</f>
        <v>✗</v>
      </c>
      <c r="M756" s="23" t="str">
        <f>IFERROR(__xludf.DUMMYFUNCTION("if(REGEXMATCH(join("", "",$F756:$G756),M$1)=TRUE,""✓"",""✗"")"),"✗")</f>
        <v>✗</v>
      </c>
      <c r="N756" s="23" t="str">
        <f>IFERROR(__xludf.DUMMYFUNCTION("if(REGEXMATCH(join("", "",$F756:$G756),N$1)=TRUE,""✓"",""✗"")"),"✗")</f>
        <v>✗</v>
      </c>
      <c r="O756" s="23" t="str">
        <f>IFERROR(__xludf.DUMMYFUNCTION("if(REGEXMATCH(join("", "",$F756:$G756),O$1)=TRUE,""✓"",""✗"")"),"✗")</f>
        <v>✗</v>
      </c>
      <c r="P756" s="23" t="str">
        <f>IFERROR(__xludf.DUMMYFUNCTION("if(REGEXMATCH(join("", "",$F756:$G756),P$1)=TRUE,""✓"",""✗"")"),"✗")</f>
        <v>✗</v>
      </c>
      <c r="Q756" s="23" t="str">
        <f>IFERROR(__xludf.DUMMYFUNCTION("if(REGEXMATCH(join("", "",$F756:$G756),Q$1)=TRUE,""✓"",""✗"")"),"✗")</f>
        <v>✗</v>
      </c>
      <c r="R756" s="23" t="str">
        <f>IFERROR(__xludf.DUMMYFUNCTION("if(REGEXMATCH(join("", "",$F756:$G756),R$1)=TRUE,""✓"",""✗"")"),"✗")</f>
        <v>✗</v>
      </c>
      <c r="S756" s="23" t="str">
        <f>IFERROR(__xludf.DUMMYFUNCTION("if(REGEXMATCH(join("", "",$F756:$G756),S$1)=TRUE,""✓"",""✗"")"),"✗")</f>
        <v>✗</v>
      </c>
      <c r="T756" s="23" t="str">
        <f>IFERROR(__xludf.DUMMYFUNCTION("if(REGEXMATCH(join("", "",$F756:$G756),T$1)=TRUE,""✓"",""✗"")"),"✗")</f>
        <v>✗</v>
      </c>
      <c r="U756" s="33"/>
      <c r="V756" s="33"/>
      <c r="W756" s="33"/>
      <c r="X756" s="33"/>
      <c r="Y756" s="33"/>
      <c r="Z756" s="33"/>
      <c r="AA756" s="33"/>
      <c r="AB756" s="33"/>
      <c r="AC756" s="33"/>
    </row>
    <row r="757" hidden="1">
      <c r="A757" s="17" t="s">
        <v>302</v>
      </c>
      <c r="B757" s="33"/>
      <c r="C757" s="33"/>
      <c r="D757" s="33"/>
      <c r="E757" s="33"/>
      <c r="F757" s="33"/>
      <c r="G757" s="33"/>
      <c r="H757" s="23" t="str">
        <f>IFERROR(__xludf.DUMMYFUNCTION("if(REGEXMATCH(join("", "",$F757:$G757),H$1)=TRUE,""✓"",""✗"")"),"✗")</f>
        <v>✗</v>
      </c>
      <c r="I757" s="23" t="str">
        <f>IFERROR(__xludf.DUMMYFUNCTION("if(REGEXMATCH(join("", "",$F757:$G757),I$1)=TRUE,""✓"",""✗"")"),"✗")</f>
        <v>✗</v>
      </c>
      <c r="J757" s="23" t="str">
        <f>IFERROR(__xludf.DUMMYFUNCTION("if(REGEXMATCH(join("", "",$F757:$G757),J$1)=TRUE,""✓"",""✗"")"),"✗")</f>
        <v>✗</v>
      </c>
      <c r="K757" s="23" t="str">
        <f>IFERROR(__xludf.DUMMYFUNCTION("if(REGEXMATCH(join("", "",$F757:$G757),K$1)=TRUE,""✓"",""✗"")"),"✗")</f>
        <v>✗</v>
      </c>
      <c r="L757" s="23" t="str">
        <f>IFERROR(__xludf.DUMMYFUNCTION("if(REGEXMATCH(join("", "",$F757:$G757),L$1)=TRUE,""✓"",""✗"")"),"✗")</f>
        <v>✗</v>
      </c>
      <c r="M757" s="23" t="str">
        <f>IFERROR(__xludf.DUMMYFUNCTION("if(REGEXMATCH(join("", "",$F757:$G757),M$1)=TRUE,""✓"",""✗"")"),"✗")</f>
        <v>✗</v>
      </c>
      <c r="N757" s="23" t="str">
        <f>IFERROR(__xludf.DUMMYFUNCTION("if(REGEXMATCH(join("", "",$F757:$G757),N$1)=TRUE,""✓"",""✗"")"),"✗")</f>
        <v>✗</v>
      </c>
      <c r="O757" s="23" t="str">
        <f>IFERROR(__xludf.DUMMYFUNCTION("if(REGEXMATCH(join("", "",$F757:$G757),O$1)=TRUE,""✓"",""✗"")"),"✗")</f>
        <v>✗</v>
      </c>
      <c r="P757" s="23" t="str">
        <f>IFERROR(__xludf.DUMMYFUNCTION("if(REGEXMATCH(join("", "",$F757:$G757),P$1)=TRUE,""✓"",""✗"")"),"✗")</f>
        <v>✗</v>
      </c>
      <c r="Q757" s="23" t="str">
        <f>IFERROR(__xludf.DUMMYFUNCTION("if(REGEXMATCH(join("", "",$F757:$G757),Q$1)=TRUE,""✓"",""✗"")"),"✗")</f>
        <v>✗</v>
      </c>
      <c r="R757" s="23" t="str">
        <f>IFERROR(__xludf.DUMMYFUNCTION("if(REGEXMATCH(join("", "",$F757:$G757),R$1)=TRUE,""✓"",""✗"")"),"✗")</f>
        <v>✗</v>
      </c>
      <c r="S757" s="23" t="str">
        <f>IFERROR(__xludf.DUMMYFUNCTION("if(REGEXMATCH(join("", "",$F757:$G757),S$1)=TRUE,""✓"",""✗"")"),"✗")</f>
        <v>✗</v>
      </c>
      <c r="T757" s="23" t="str">
        <f>IFERROR(__xludf.DUMMYFUNCTION("if(REGEXMATCH(join("", "",$F757:$G757),T$1)=TRUE,""✓"",""✗"")"),"✗")</f>
        <v>✗</v>
      </c>
      <c r="U757" s="33"/>
      <c r="V757" s="33"/>
      <c r="W757" s="33"/>
      <c r="X757" s="33"/>
      <c r="Y757" s="33"/>
      <c r="Z757" s="33"/>
      <c r="AA757" s="33"/>
      <c r="AB757" s="33"/>
      <c r="AC757" s="33"/>
    </row>
    <row r="758" hidden="1">
      <c r="A758" s="17" t="s">
        <v>302</v>
      </c>
      <c r="B758" s="33"/>
      <c r="C758" s="33"/>
      <c r="D758" s="33"/>
      <c r="E758" s="33"/>
      <c r="F758" s="33"/>
      <c r="G758" s="33"/>
      <c r="H758" s="23" t="str">
        <f>IFERROR(__xludf.DUMMYFUNCTION("if(REGEXMATCH(join("", "",$F758:$G758),H$1)=TRUE,""✓"",""✗"")"),"✗")</f>
        <v>✗</v>
      </c>
      <c r="I758" s="23" t="str">
        <f>IFERROR(__xludf.DUMMYFUNCTION("if(REGEXMATCH(join("", "",$F758:$G758),I$1)=TRUE,""✓"",""✗"")"),"✗")</f>
        <v>✗</v>
      </c>
      <c r="J758" s="23" t="str">
        <f>IFERROR(__xludf.DUMMYFUNCTION("if(REGEXMATCH(join("", "",$F758:$G758),J$1)=TRUE,""✓"",""✗"")"),"✗")</f>
        <v>✗</v>
      </c>
      <c r="K758" s="23" t="str">
        <f>IFERROR(__xludf.DUMMYFUNCTION("if(REGEXMATCH(join("", "",$F758:$G758),K$1)=TRUE,""✓"",""✗"")"),"✗")</f>
        <v>✗</v>
      </c>
      <c r="L758" s="23" t="str">
        <f>IFERROR(__xludf.DUMMYFUNCTION("if(REGEXMATCH(join("", "",$F758:$G758),L$1)=TRUE,""✓"",""✗"")"),"✗")</f>
        <v>✗</v>
      </c>
      <c r="M758" s="23" t="str">
        <f>IFERROR(__xludf.DUMMYFUNCTION("if(REGEXMATCH(join("", "",$F758:$G758),M$1)=TRUE,""✓"",""✗"")"),"✗")</f>
        <v>✗</v>
      </c>
      <c r="N758" s="23" t="str">
        <f>IFERROR(__xludf.DUMMYFUNCTION("if(REGEXMATCH(join("", "",$F758:$G758),N$1)=TRUE,""✓"",""✗"")"),"✗")</f>
        <v>✗</v>
      </c>
      <c r="O758" s="23" t="str">
        <f>IFERROR(__xludf.DUMMYFUNCTION("if(REGEXMATCH(join("", "",$F758:$G758),O$1)=TRUE,""✓"",""✗"")"),"✗")</f>
        <v>✗</v>
      </c>
      <c r="P758" s="23" t="str">
        <f>IFERROR(__xludf.DUMMYFUNCTION("if(REGEXMATCH(join("", "",$F758:$G758),P$1)=TRUE,""✓"",""✗"")"),"✗")</f>
        <v>✗</v>
      </c>
      <c r="Q758" s="23" t="str">
        <f>IFERROR(__xludf.DUMMYFUNCTION("if(REGEXMATCH(join("", "",$F758:$G758),Q$1)=TRUE,""✓"",""✗"")"),"✗")</f>
        <v>✗</v>
      </c>
      <c r="R758" s="23" t="str">
        <f>IFERROR(__xludf.DUMMYFUNCTION("if(REGEXMATCH(join("", "",$F758:$G758),R$1)=TRUE,""✓"",""✗"")"),"✗")</f>
        <v>✗</v>
      </c>
      <c r="S758" s="23" t="str">
        <f>IFERROR(__xludf.DUMMYFUNCTION("if(REGEXMATCH(join("", "",$F758:$G758),S$1)=TRUE,""✓"",""✗"")"),"✗")</f>
        <v>✗</v>
      </c>
      <c r="T758" s="23" t="str">
        <f>IFERROR(__xludf.DUMMYFUNCTION("if(REGEXMATCH(join("", "",$F758:$G758),T$1)=TRUE,""✓"",""✗"")"),"✗")</f>
        <v>✗</v>
      </c>
      <c r="U758" s="33"/>
      <c r="V758" s="33"/>
      <c r="W758" s="33"/>
      <c r="X758" s="33"/>
      <c r="Y758" s="33"/>
      <c r="Z758" s="33"/>
      <c r="AA758" s="33"/>
      <c r="AB758" s="33"/>
      <c r="AC758" s="33"/>
    </row>
    <row r="759" hidden="1">
      <c r="A759" s="17" t="s">
        <v>302</v>
      </c>
      <c r="B759" s="33"/>
      <c r="C759" s="33"/>
      <c r="D759" s="33"/>
      <c r="E759" s="33"/>
      <c r="F759" s="33"/>
      <c r="G759" s="33"/>
      <c r="H759" s="23" t="str">
        <f>IFERROR(__xludf.DUMMYFUNCTION("if(REGEXMATCH(join("", "",$F759:$G759),H$1)=TRUE,""✓"",""✗"")"),"✗")</f>
        <v>✗</v>
      </c>
      <c r="I759" s="23" t="str">
        <f>IFERROR(__xludf.DUMMYFUNCTION("if(REGEXMATCH(join("", "",$F759:$G759),I$1)=TRUE,""✓"",""✗"")"),"✗")</f>
        <v>✗</v>
      </c>
      <c r="J759" s="23" t="str">
        <f>IFERROR(__xludf.DUMMYFUNCTION("if(REGEXMATCH(join("", "",$F759:$G759),J$1)=TRUE,""✓"",""✗"")"),"✗")</f>
        <v>✗</v>
      </c>
      <c r="K759" s="23" t="str">
        <f>IFERROR(__xludf.DUMMYFUNCTION("if(REGEXMATCH(join("", "",$F759:$G759),K$1)=TRUE,""✓"",""✗"")"),"✗")</f>
        <v>✗</v>
      </c>
      <c r="L759" s="23" t="str">
        <f>IFERROR(__xludf.DUMMYFUNCTION("if(REGEXMATCH(join("", "",$F759:$G759),L$1)=TRUE,""✓"",""✗"")"),"✗")</f>
        <v>✗</v>
      </c>
      <c r="M759" s="23" t="str">
        <f>IFERROR(__xludf.DUMMYFUNCTION("if(REGEXMATCH(join("", "",$F759:$G759),M$1)=TRUE,""✓"",""✗"")"),"✗")</f>
        <v>✗</v>
      </c>
      <c r="N759" s="23" t="str">
        <f>IFERROR(__xludf.DUMMYFUNCTION("if(REGEXMATCH(join("", "",$F759:$G759),N$1)=TRUE,""✓"",""✗"")"),"✗")</f>
        <v>✗</v>
      </c>
      <c r="O759" s="23" t="str">
        <f>IFERROR(__xludf.DUMMYFUNCTION("if(REGEXMATCH(join("", "",$F759:$G759),O$1)=TRUE,""✓"",""✗"")"),"✗")</f>
        <v>✗</v>
      </c>
      <c r="P759" s="23" t="str">
        <f>IFERROR(__xludf.DUMMYFUNCTION("if(REGEXMATCH(join("", "",$F759:$G759),P$1)=TRUE,""✓"",""✗"")"),"✗")</f>
        <v>✗</v>
      </c>
      <c r="Q759" s="23" t="str">
        <f>IFERROR(__xludf.DUMMYFUNCTION("if(REGEXMATCH(join("", "",$F759:$G759),Q$1)=TRUE,""✓"",""✗"")"),"✗")</f>
        <v>✗</v>
      </c>
      <c r="R759" s="23" t="str">
        <f>IFERROR(__xludf.DUMMYFUNCTION("if(REGEXMATCH(join("", "",$F759:$G759),R$1)=TRUE,""✓"",""✗"")"),"✗")</f>
        <v>✗</v>
      </c>
      <c r="S759" s="23" t="str">
        <f>IFERROR(__xludf.DUMMYFUNCTION("if(REGEXMATCH(join("", "",$F759:$G759),S$1)=TRUE,""✓"",""✗"")"),"✗")</f>
        <v>✗</v>
      </c>
      <c r="T759" s="23" t="str">
        <f>IFERROR(__xludf.DUMMYFUNCTION("if(REGEXMATCH(join("", "",$F759:$G759),T$1)=TRUE,""✓"",""✗"")"),"✗")</f>
        <v>✗</v>
      </c>
      <c r="U759" s="33"/>
      <c r="V759" s="33"/>
      <c r="W759" s="33"/>
      <c r="X759" s="33"/>
      <c r="Y759" s="33"/>
      <c r="Z759" s="33"/>
      <c r="AA759" s="33"/>
      <c r="AB759" s="33"/>
      <c r="AC759" s="33"/>
    </row>
    <row r="760" hidden="1">
      <c r="A760" s="17" t="s">
        <v>302</v>
      </c>
      <c r="B760" s="33"/>
      <c r="C760" s="33"/>
      <c r="D760" s="33"/>
      <c r="E760" s="33"/>
      <c r="F760" s="33"/>
      <c r="G760" s="33"/>
      <c r="H760" s="23" t="str">
        <f>IFERROR(__xludf.DUMMYFUNCTION("if(REGEXMATCH(join("", "",$F760:$G760),H$1)=TRUE,""✓"",""✗"")"),"✗")</f>
        <v>✗</v>
      </c>
      <c r="I760" s="23" t="str">
        <f>IFERROR(__xludf.DUMMYFUNCTION("if(REGEXMATCH(join("", "",$F760:$G760),I$1)=TRUE,""✓"",""✗"")"),"✗")</f>
        <v>✗</v>
      </c>
      <c r="J760" s="23" t="str">
        <f>IFERROR(__xludf.DUMMYFUNCTION("if(REGEXMATCH(join("", "",$F760:$G760),J$1)=TRUE,""✓"",""✗"")"),"✗")</f>
        <v>✗</v>
      </c>
      <c r="K760" s="23" t="str">
        <f>IFERROR(__xludf.DUMMYFUNCTION("if(REGEXMATCH(join("", "",$F760:$G760),K$1)=TRUE,""✓"",""✗"")"),"✗")</f>
        <v>✗</v>
      </c>
      <c r="L760" s="23" t="str">
        <f>IFERROR(__xludf.DUMMYFUNCTION("if(REGEXMATCH(join("", "",$F760:$G760),L$1)=TRUE,""✓"",""✗"")"),"✗")</f>
        <v>✗</v>
      </c>
      <c r="M760" s="23" t="str">
        <f>IFERROR(__xludf.DUMMYFUNCTION("if(REGEXMATCH(join("", "",$F760:$G760),M$1)=TRUE,""✓"",""✗"")"),"✗")</f>
        <v>✗</v>
      </c>
      <c r="N760" s="23" t="str">
        <f>IFERROR(__xludf.DUMMYFUNCTION("if(REGEXMATCH(join("", "",$F760:$G760),N$1)=TRUE,""✓"",""✗"")"),"✗")</f>
        <v>✗</v>
      </c>
      <c r="O760" s="23" t="str">
        <f>IFERROR(__xludf.DUMMYFUNCTION("if(REGEXMATCH(join("", "",$F760:$G760),O$1)=TRUE,""✓"",""✗"")"),"✗")</f>
        <v>✗</v>
      </c>
      <c r="P760" s="23" t="str">
        <f>IFERROR(__xludf.DUMMYFUNCTION("if(REGEXMATCH(join("", "",$F760:$G760),P$1)=TRUE,""✓"",""✗"")"),"✗")</f>
        <v>✗</v>
      </c>
      <c r="Q760" s="23" t="str">
        <f>IFERROR(__xludf.DUMMYFUNCTION("if(REGEXMATCH(join("", "",$F760:$G760),Q$1)=TRUE,""✓"",""✗"")"),"✗")</f>
        <v>✗</v>
      </c>
      <c r="R760" s="23" t="str">
        <f>IFERROR(__xludf.DUMMYFUNCTION("if(REGEXMATCH(join("", "",$F760:$G760),R$1)=TRUE,""✓"",""✗"")"),"✗")</f>
        <v>✗</v>
      </c>
      <c r="S760" s="23" t="str">
        <f>IFERROR(__xludf.DUMMYFUNCTION("if(REGEXMATCH(join("", "",$F760:$G760),S$1)=TRUE,""✓"",""✗"")"),"✗")</f>
        <v>✗</v>
      </c>
      <c r="T760" s="23" t="str">
        <f>IFERROR(__xludf.DUMMYFUNCTION("if(REGEXMATCH(join("", "",$F760:$G760),T$1)=TRUE,""✓"",""✗"")"),"✗")</f>
        <v>✗</v>
      </c>
      <c r="U760" s="33"/>
      <c r="V760" s="33"/>
      <c r="W760" s="33"/>
      <c r="X760" s="33"/>
      <c r="Y760" s="33"/>
      <c r="Z760" s="33"/>
      <c r="AA760" s="33"/>
      <c r="AB760" s="33"/>
      <c r="AC760" s="33"/>
    </row>
    <row r="761" hidden="1">
      <c r="A761" s="17" t="s">
        <v>302</v>
      </c>
      <c r="B761" s="33"/>
      <c r="C761" s="33"/>
      <c r="D761" s="33"/>
      <c r="E761" s="33"/>
      <c r="F761" s="33"/>
      <c r="G761" s="33"/>
      <c r="H761" s="23" t="str">
        <f>IFERROR(__xludf.DUMMYFUNCTION("if(REGEXMATCH(join("", "",$F761:$G761),H$1)=TRUE,""✓"",""✗"")"),"✗")</f>
        <v>✗</v>
      </c>
      <c r="I761" s="23" t="str">
        <f>IFERROR(__xludf.DUMMYFUNCTION("if(REGEXMATCH(join("", "",$F761:$G761),I$1)=TRUE,""✓"",""✗"")"),"✗")</f>
        <v>✗</v>
      </c>
      <c r="J761" s="23" t="str">
        <f>IFERROR(__xludf.DUMMYFUNCTION("if(REGEXMATCH(join("", "",$F761:$G761),J$1)=TRUE,""✓"",""✗"")"),"✗")</f>
        <v>✗</v>
      </c>
      <c r="K761" s="23" t="str">
        <f>IFERROR(__xludf.DUMMYFUNCTION("if(REGEXMATCH(join("", "",$F761:$G761),K$1)=TRUE,""✓"",""✗"")"),"✗")</f>
        <v>✗</v>
      </c>
      <c r="L761" s="23" t="str">
        <f>IFERROR(__xludf.DUMMYFUNCTION("if(REGEXMATCH(join("", "",$F761:$G761),L$1)=TRUE,""✓"",""✗"")"),"✗")</f>
        <v>✗</v>
      </c>
      <c r="M761" s="23" t="str">
        <f>IFERROR(__xludf.DUMMYFUNCTION("if(REGEXMATCH(join("", "",$F761:$G761),M$1)=TRUE,""✓"",""✗"")"),"✗")</f>
        <v>✗</v>
      </c>
      <c r="N761" s="23" t="str">
        <f>IFERROR(__xludf.DUMMYFUNCTION("if(REGEXMATCH(join("", "",$F761:$G761),N$1)=TRUE,""✓"",""✗"")"),"✗")</f>
        <v>✗</v>
      </c>
      <c r="O761" s="23" t="str">
        <f>IFERROR(__xludf.DUMMYFUNCTION("if(REGEXMATCH(join("", "",$F761:$G761),O$1)=TRUE,""✓"",""✗"")"),"✗")</f>
        <v>✗</v>
      </c>
      <c r="P761" s="23" t="str">
        <f>IFERROR(__xludf.DUMMYFUNCTION("if(REGEXMATCH(join("", "",$F761:$G761),P$1)=TRUE,""✓"",""✗"")"),"✗")</f>
        <v>✗</v>
      </c>
      <c r="Q761" s="23" t="str">
        <f>IFERROR(__xludf.DUMMYFUNCTION("if(REGEXMATCH(join("", "",$F761:$G761),Q$1)=TRUE,""✓"",""✗"")"),"✗")</f>
        <v>✗</v>
      </c>
      <c r="R761" s="23" t="str">
        <f>IFERROR(__xludf.DUMMYFUNCTION("if(REGEXMATCH(join("", "",$F761:$G761),R$1)=TRUE,""✓"",""✗"")"),"✗")</f>
        <v>✗</v>
      </c>
      <c r="S761" s="23" t="str">
        <f>IFERROR(__xludf.DUMMYFUNCTION("if(REGEXMATCH(join("", "",$F761:$G761),S$1)=TRUE,""✓"",""✗"")"),"✗")</f>
        <v>✗</v>
      </c>
      <c r="T761" s="23" t="str">
        <f>IFERROR(__xludf.DUMMYFUNCTION("if(REGEXMATCH(join("", "",$F761:$G761),T$1)=TRUE,""✓"",""✗"")"),"✗")</f>
        <v>✗</v>
      </c>
      <c r="U761" s="33"/>
      <c r="V761" s="33"/>
      <c r="W761" s="33"/>
      <c r="X761" s="33"/>
      <c r="Y761" s="33"/>
      <c r="Z761" s="33"/>
      <c r="AA761" s="33"/>
      <c r="AB761" s="33"/>
      <c r="AC761" s="33"/>
    </row>
    <row r="762" hidden="1">
      <c r="A762" s="17" t="s">
        <v>302</v>
      </c>
      <c r="B762" s="33"/>
      <c r="C762" s="33"/>
      <c r="D762" s="33"/>
      <c r="E762" s="33"/>
      <c r="F762" s="33"/>
      <c r="G762" s="33"/>
      <c r="H762" s="23" t="str">
        <f>IFERROR(__xludf.DUMMYFUNCTION("if(REGEXMATCH(join("", "",$F762:$G762),H$1)=TRUE,""✓"",""✗"")"),"✗")</f>
        <v>✗</v>
      </c>
      <c r="I762" s="23" t="str">
        <f>IFERROR(__xludf.DUMMYFUNCTION("if(REGEXMATCH(join("", "",$F762:$G762),I$1)=TRUE,""✓"",""✗"")"),"✗")</f>
        <v>✗</v>
      </c>
      <c r="J762" s="23" t="str">
        <f>IFERROR(__xludf.DUMMYFUNCTION("if(REGEXMATCH(join("", "",$F762:$G762),J$1)=TRUE,""✓"",""✗"")"),"✗")</f>
        <v>✗</v>
      </c>
      <c r="K762" s="23" t="str">
        <f>IFERROR(__xludf.DUMMYFUNCTION("if(REGEXMATCH(join("", "",$F762:$G762),K$1)=TRUE,""✓"",""✗"")"),"✗")</f>
        <v>✗</v>
      </c>
      <c r="L762" s="23" t="str">
        <f>IFERROR(__xludf.DUMMYFUNCTION("if(REGEXMATCH(join("", "",$F762:$G762),L$1)=TRUE,""✓"",""✗"")"),"✗")</f>
        <v>✗</v>
      </c>
      <c r="M762" s="23" t="str">
        <f>IFERROR(__xludf.DUMMYFUNCTION("if(REGEXMATCH(join("", "",$F762:$G762),M$1)=TRUE,""✓"",""✗"")"),"✗")</f>
        <v>✗</v>
      </c>
      <c r="N762" s="23" t="str">
        <f>IFERROR(__xludf.DUMMYFUNCTION("if(REGEXMATCH(join("", "",$F762:$G762),N$1)=TRUE,""✓"",""✗"")"),"✗")</f>
        <v>✗</v>
      </c>
      <c r="O762" s="23" t="str">
        <f>IFERROR(__xludf.DUMMYFUNCTION("if(REGEXMATCH(join("", "",$F762:$G762),O$1)=TRUE,""✓"",""✗"")"),"✗")</f>
        <v>✗</v>
      </c>
      <c r="P762" s="23" t="str">
        <f>IFERROR(__xludf.DUMMYFUNCTION("if(REGEXMATCH(join("", "",$F762:$G762),P$1)=TRUE,""✓"",""✗"")"),"✗")</f>
        <v>✗</v>
      </c>
      <c r="Q762" s="23" t="str">
        <f>IFERROR(__xludf.DUMMYFUNCTION("if(REGEXMATCH(join("", "",$F762:$G762),Q$1)=TRUE,""✓"",""✗"")"),"✗")</f>
        <v>✗</v>
      </c>
      <c r="R762" s="23" t="str">
        <f>IFERROR(__xludf.DUMMYFUNCTION("if(REGEXMATCH(join("", "",$F762:$G762),R$1)=TRUE,""✓"",""✗"")"),"✗")</f>
        <v>✗</v>
      </c>
      <c r="S762" s="23" t="str">
        <f>IFERROR(__xludf.DUMMYFUNCTION("if(REGEXMATCH(join("", "",$F762:$G762),S$1)=TRUE,""✓"",""✗"")"),"✗")</f>
        <v>✗</v>
      </c>
      <c r="T762" s="23" t="str">
        <f>IFERROR(__xludf.DUMMYFUNCTION("if(REGEXMATCH(join("", "",$F762:$G762),T$1)=TRUE,""✓"",""✗"")"),"✗")</f>
        <v>✗</v>
      </c>
      <c r="U762" s="33"/>
      <c r="V762" s="33"/>
      <c r="W762" s="33"/>
      <c r="X762" s="33"/>
      <c r="Y762" s="33"/>
      <c r="Z762" s="33"/>
      <c r="AA762" s="33"/>
      <c r="AB762" s="33"/>
      <c r="AC762" s="33"/>
    </row>
    <row r="763" hidden="1">
      <c r="A763" s="17" t="s">
        <v>302</v>
      </c>
      <c r="B763" s="33"/>
      <c r="C763" s="33"/>
      <c r="D763" s="33"/>
      <c r="E763" s="33"/>
      <c r="F763" s="33"/>
      <c r="G763" s="33"/>
      <c r="H763" s="23" t="str">
        <f>IFERROR(__xludf.DUMMYFUNCTION("if(REGEXMATCH(join("", "",$F763:$G763),H$1)=TRUE,""✓"",""✗"")"),"✗")</f>
        <v>✗</v>
      </c>
      <c r="I763" s="23" t="str">
        <f>IFERROR(__xludf.DUMMYFUNCTION("if(REGEXMATCH(join("", "",$F763:$G763),I$1)=TRUE,""✓"",""✗"")"),"✗")</f>
        <v>✗</v>
      </c>
      <c r="J763" s="23" t="str">
        <f>IFERROR(__xludf.DUMMYFUNCTION("if(REGEXMATCH(join("", "",$F763:$G763),J$1)=TRUE,""✓"",""✗"")"),"✗")</f>
        <v>✗</v>
      </c>
      <c r="K763" s="23" t="str">
        <f>IFERROR(__xludf.DUMMYFUNCTION("if(REGEXMATCH(join("", "",$F763:$G763),K$1)=TRUE,""✓"",""✗"")"),"✗")</f>
        <v>✗</v>
      </c>
      <c r="L763" s="23" t="str">
        <f>IFERROR(__xludf.DUMMYFUNCTION("if(REGEXMATCH(join("", "",$F763:$G763),L$1)=TRUE,""✓"",""✗"")"),"✗")</f>
        <v>✗</v>
      </c>
      <c r="M763" s="23" t="str">
        <f>IFERROR(__xludf.DUMMYFUNCTION("if(REGEXMATCH(join("", "",$F763:$G763),M$1)=TRUE,""✓"",""✗"")"),"✗")</f>
        <v>✗</v>
      </c>
      <c r="N763" s="23" t="str">
        <f>IFERROR(__xludf.DUMMYFUNCTION("if(REGEXMATCH(join("", "",$F763:$G763),N$1)=TRUE,""✓"",""✗"")"),"✗")</f>
        <v>✗</v>
      </c>
      <c r="O763" s="23" t="str">
        <f>IFERROR(__xludf.DUMMYFUNCTION("if(REGEXMATCH(join("", "",$F763:$G763),O$1)=TRUE,""✓"",""✗"")"),"✗")</f>
        <v>✗</v>
      </c>
      <c r="P763" s="23" t="str">
        <f>IFERROR(__xludf.DUMMYFUNCTION("if(REGEXMATCH(join("", "",$F763:$G763),P$1)=TRUE,""✓"",""✗"")"),"✗")</f>
        <v>✗</v>
      </c>
      <c r="Q763" s="23" t="str">
        <f>IFERROR(__xludf.DUMMYFUNCTION("if(REGEXMATCH(join("", "",$F763:$G763),Q$1)=TRUE,""✓"",""✗"")"),"✗")</f>
        <v>✗</v>
      </c>
      <c r="R763" s="23" t="str">
        <f>IFERROR(__xludf.DUMMYFUNCTION("if(REGEXMATCH(join("", "",$F763:$G763),R$1)=TRUE,""✓"",""✗"")"),"✗")</f>
        <v>✗</v>
      </c>
      <c r="S763" s="23" t="str">
        <f>IFERROR(__xludf.DUMMYFUNCTION("if(REGEXMATCH(join("", "",$F763:$G763),S$1)=TRUE,""✓"",""✗"")"),"✗")</f>
        <v>✗</v>
      </c>
      <c r="T763" s="23" t="str">
        <f>IFERROR(__xludf.DUMMYFUNCTION("if(REGEXMATCH(join("", "",$F763:$G763),T$1)=TRUE,""✓"",""✗"")"),"✗")</f>
        <v>✗</v>
      </c>
      <c r="U763" s="33"/>
      <c r="V763" s="33"/>
      <c r="W763" s="33"/>
      <c r="X763" s="33"/>
      <c r="Y763" s="33"/>
      <c r="Z763" s="33"/>
      <c r="AA763" s="33"/>
      <c r="AB763" s="33"/>
      <c r="AC763" s="33"/>
    </row>
    <row r="764" hidden="1">
      <c r="A764" s="17" t="s">
        <v>302</v>
      </c>
      <c r="B764" s="33"/>
      <c r="C764" s="33"/>
      <c r="D764" s="33"/>
      <c r="E764" s="33"/>
      <c r="F764" s="33"/>
      <c r="G764" s="33"/>
      <c r="H764" s="23" t="str">
        <f>IFERROR(__xludf.DUMMYFUNCTION("if(REGEXMATCH(join("", "",$F764:$G764),H$1)=TRUE,""✓"",""✗"")"),"✗")</f>
        <v>✗</v>
      </c>
      <c r="I764" s="23" t="str">
        <f>IFERROR(__xludf.DUMMYFUNCTION("if(REGEXMATCH(join("", "",$F764:$G764),I$1)=TRUE,""✓"",""✗"")"),"✗")</f>
        <v>✗</v>
      </c>
      <c r="J764" s="23" t="str">
        <f>IFERROR(__xludf.DUMMYFUNCTION("if(REGEXMATCH(join("", "",$F764:$G764),J$1)=TRUE,""✓"",""✗"")"),"✗")</f>
        <v>✗</v>
      </c>
      <c r="K764" s="23" t="str">
        <f>IFERROR(__xludf.DUMMYFUNCTION("if(REGEXMATCH(join("", "",$F764:$G764),K$1)=TRUE,""✓"",""✗"")"),"✗")</f>
        <v>✗</v>
      </c>
      <c r="L764" s="23" t="str">
        <f>IFERROR(__xludf.DUMMYFUNCTION("if(REGEXMATCH(join("", "",$F764:$G764),L$1)=TRUE,""✓"",""✗"")"),"✗")</f>
        <v>✗</v>
      </c>
      <c r="M764" s="23" t="str">
        <f>IFERROR(__xludf.DUMMYFUNCTION("if(REGEXMATCH(join("", "",$F764:$G764),M$1)=TRUE,""✓"",""✗"")"),"✗")</f>
        <v>✗</v>
      </c>
      <c r="N764" s="23" t="str">
        <f>IFERROR(__xludf.DUMMYFUNCTION("if(REGEXMATCH(join("", "",$F764:$G764),N$1)=TRUE,""✓"",""✗"")"),"✗")</f>
        <v>✗</v>
      </c>
      <c r="O764" s="23" t="str">
        <f>IFERROR(__xludf.DUMMYFUNCTION("if(REGEXMATCH(join("", "",$F764:$G764),O$1)=TRUE,""✓"",""✗"")"),"✗")</f>
        <v>✗</v>
      </c>
      <c r="P764" s="23" t="str">
        <f>IFERROR(__xludf.DUMMYFUNCTION("if(REGEXMATCH(join("", "",$F764:$G764),P$1)=TRUE,""✓"",""✗"")"),"✗")</f>
        <v>✗</v>
      </c>
      <c r="Q764" s="23" t="str">
        <f>IFERROR(__xludf.DUMMYFUNCTION("if(REGEXMATCH(join("", "",$F764:$G764),Q$1)=TRUE,""✓"",""✗"")"),"✗")</f>
        <v>✗</v>
      </c>
      <c r="R764" s="23" t="str">
        <f>IFERROR(__xludf.DUMMYFUNCTION("if(REGEXMATCH(join("", "",$F764:$G764),R$1)=TRUE,""✓"",""✗"")"),"✗")</f>
        <v>✗</v>
      </c>
      <c r="S764" s="23" t="str">
        <f>IFERROR(__xludf.DUMMYFUNCTION("if(REGEXMATCH(join("", "",$F764:$G764),S$1)=TRUE,""✓"",""✗"")"),"✗")</f>
        <v>✗</v>
      </c>
      <c r="T764" s="23" t="str">
        <f>IFERROR(__xludf.DUMMYFUNCTION("if(REGEXMATCH(join("", "",$F764:$G764),T$1)=TRUE,""✓"",""✗"")"),"✗")</f>
        <v>✗</v>
      </c>
      <c r="U764" s="33"/>
      <c r="V764" s="33"/>
      <c r="W764" s="33"/>
      <c r="X764" s="33"/>
      <c r="Y764" s="33"/>
      <c r="Z764" s="33"/>
      <c r="AA764" s="33"/>
      <c r="AB764" s="33"/>
      <c r="AC764" s="33"/>
    </row>
    <row r="765" hidden="1">
      <c r="A765" s="17" t="s">
        <v>302</v>
      </c>
      <c r="B765" s="33"/>
      <c r="C765" s="33"/>
      <c r="D765" s="33"/>
      <c r="E765" s="33"/>
      <c r="F765" s="33"/>
      <c r="G765" s="33"/>
      <c r="H765" s="23" t="str">
        <f>IFERROR(__xludf.DUMMYFUNCTION("if(REGEXMATCH(join("", "",$F765:$G765),H$1)=TRUE,""✓"",""✗"")"),"✗")</f>
        <v>✗</v>
      </c>
      <c r="I765" s="23" t="str">
        <f>IFERROR(__xludf.DUMMYFUNCTION("if(REGEXMATCH(join("", "",$F765:$G765),I$1)=TRUE,""✓"",""✗"")"),"✗")</f>
        <v>✗</v>
      </c>
      <c r="J765" s="23" t="str">
        <f>IFERROR(__xludf.DUMMYFUNCTION("if(REGEXMATCH(join("", "",$F765:$G765),J$1)=TRUE,""✓"",""✗"")"),"✗")</f>
        <v>✗</v>
      </c>
      <c r="K765" s="23" t="str">
        <f>IFERROR(__xludf.DUMMYFUNCTION("if(REGEXMATCH(join("", "",$F765:$G765),K$1)=TRUE,""✓"",""✗"")"),"✗")</f>
        <v>✗</v>
      </c>
      <c r="L765" s="23" t="str">
        <f>IFERROR(__xludf.DUMMYFUNCTION("if(REGEXMATCH(join("", "",$F765:$G765),L$1)=TRUE,""✓"",""✗"")"),"✗")</f>
        <v>✗</v>
      </c>
      <c r="M765" s="23" t="str">
        <f>IFERROR(__xludf.DUMMYFUNCTION("if(REGEXMATCH(join("", "",$F765:$G765),M$1)=TRUE,""✓"",""✗"")"),"✗")</f>
        <v>✗</v>
      </c>
      <c r="N765" s="23" t="str">
        <f>IFERROR(__xludf.DUMMYFUNCTION("if(REGEXMATCH(join("", "",$F765:$G765),N$1)=TRUE,""✓"",""✗"")"),"✗")</f>
        <v>✗</v>
      </c>
      <c r="O765" s="23" t="str">
        <f>IFERROR(__xludf.DUMMYFUNCTION("if(REGEXMATCH(join("", "",$F765:$G765),O$1)=TRUE,""✓"",""✗"")"),"✗")</f>
        <v>✗</v>
      </c>
      <c r="P765" s="23" t="str">
        <f>IFERROR(__xludf.DUMMYFUNCTION("if(REGEXMATCH(join("", "",$F765:$G765),P$1)=TRUE,""✓"",""✗"")"),"✗")</f>
        <v>✗</v>
      </c>
      <c r="Q765" s="23" t="str">
        <f>IFERROR(__xludf.DUMMYFUNCTION("if(REGEXMATCH(join("", "",$F765:$G765),Q$1)=TRUE,""✓"",""✗"")"),"✗")</f>
        <v>✗</v>
      </c>
      <c r="R765" s="23" t="str">
        <f>IFERROR(__xludf.DUMMYFUNCTION("if(REGEXMATCH(join("", "",$F765:$G765),R$1)=TRUE,""✓"",""✗"")"),"✗")</f>
        <v>✗</v>
      </c>
      <c r="S765" s="23" t="str">
        <f>IFERROR(__xludf.DUMMYFUNCTION("if(REGEXMATCH(join("", "",$F765:$G765),S$1)=TRUE,""✓"",""✗"")"),"✗")</f>
        <v>✗</v>
      </c>
      <c r="T765" s="23" t="str">
        <f>IFERROR(__xludf.DUMMYFUNCTION("if(REGEXMATCH(join("", "",$F765:$G765),T$1)=TRUE,""✓"",""✗"")"),"✗")</f>
        <v>✗</v>
      </c>
      <c r="U765" s="33"/>
      <c r="V765" s="33"/>
      <c r="W765" s="33"/>
      <c r="X765" s="33"/>
      <c r="Y765" s="33"/>
      <c r="Z765" s="33"/>
      <c r="AA765" s="33"/>
      <c r="AB765" s="33"/>
      <c r="AC765" s="33"/>
    </row>
    <row r="766" hidden="1">
      <c r="A766" s="17" t="s">
        <v>302</v>
      </c>
      <c r="B766" s="33"/>
      <c r="C766" s="33"/>
      <c r="D766" s="33"/>
      <c r="E766" s="33"/>
      <c r="F766" s="33"/>
      <c r="G766" s="33"/>
      <c r="H766" s="23" t="str">
        <f>IFERROR(__xludf.DUMMYFUNCTION("if(REGEXMATCH(join("", "",$F766:$G766),H$1)=TRUE,""✓"",""✗"")"),"✗")</f>
        <v>✗</v>
      </c>
      <c r="I766" s="23" t="str">
        <f>IFERROR(__xludf.DUMMYFUNCTION("if(REGEXMATCH(join("", "",$F766:$G766),I$1)=TRUE,""✓"",""✗"")"),"✗")</f>
        <v>✗</v>
      </c>
      <c r="J766" s="23" t="str">
        <f>IFERROR(__xludf.DUMMYFUNCTION("if(REGEXMATCH(join("", "",$F766:$G766),J$1)=TRUE,""✓"",""✗"")"),"✗")</f>
        <v>✗</v>
      </c>
      <c r="K766" s="23" t="str">
        <f>IFERROR(__xludf.DUMMYFUNCTION("if(REGEXMATCH(join("", "",$F766:$G766),K$1)=TRUE,""✓"",""✗"")"),"✗")</f>
        <v>✗</v>
      </c>
      <c r="L766" s="23" t="str">
        <f>IFERROR(__xludf.DUMMYFUNCTION("if(REGEXMATCH(join("", "",$F766:$G766),L$1)=TRUE,""✓"",""✗"")"),"✗")</f>
        <v>✗</v>
      </c>
      <c r="M766" s="23" t="str">
        <f>IFERROR(__xludf.DUMMYFUNCTION("if(REGEXMATCH(join("", "",$F766:$G766),M$1)=TRUE,""✓"",""✗"")"),"✗")</f>
        <v>✗</v>
      </c>
      <c r="N766" s="23" t="str">
        <f>IFERROR(__xludf.DUMMYFUNCTION("if(REGEXMATCH(join("", "",$F766:$G766),N$1)=TRUE,""✓"",""✗"")"),"✗")</f>
        <v>✗</v>
      </c>
      <c r="O766" s="23" t="str">
        <f>IFERROR(__xludf.DUMMYFUNCTION("if(REGEXMATCH(join("", "",$F766:$G766),O$1)=TRUE,""✓"",""✗"")"),"✗")</f>
        <v>✗</v>
      </c>
      <c r="P766" s="23" t="str">
        <f>IFERROR(__xludf.DUMMYFUNCTION("if(REGEXMATCH(join("", "",$F766:$G766),P$1)=TRUE,""✓"",""✗"")"),"✗")</f>
        <v>✗</v>
      </c>
      <c r="Q766" s="23" t="str">
        <f>IFERROR(__xludf.DUMMYFUNCTION("if(REGEXMATCH(join("", "",$F766:$G766),Q$1)=TRUE,""✓"",""✗"")"),"✗")</f>
        <v>✗</v>
      </c>
      <c r="R766" s="23" t="str">
        <f>IFERROR(__xludf.DUMMYFUNCTION("if(REGEXMATCH(join("", "",$F766:$G766),R$1)=TRUE,""✓"",""✗"")"),"✗")</f>
        <v>✗</v>
      </c>
      <c r="S766" s="23" t="str">
        <f>IFERROR(__xludf.DUMMYFUNCTION("if(REGEXMATCH(join("", "",$F766:$G766),S$1)=TRUE,""✓"",""✗"")"),"✗")</f>
        <v>✗</v>
      </c>
      <c r="T766" s="23" t="str">
        <f>IFERROR(__xludf.DUMMYFUNCTION("if(REGEXMATCH(join("", "",$F766:$G766),T$1)=TRUE,""✓"",""✗"")"),"✗")</f>
        <v>✗</v>
      </c>
      <c r="U766" s="33"/>
      <c r="V766" s="33"/>
      <c r="W766" s="33"/>
      <c r="X766" s="33"/>
      <c r="Y766" s="33"/>
      <c r="Z766" s="33"/>
      <c r="AA766" s="33"/>
      <c r="AB766" s="33"/>
      <c r="AC766" s="33"/>
    </row>
    <row r="767" hidden="1">
      <c r="A767" s="17" t="s">
        <v>302</v>
      </c>
      <c r="B767" s="33"/>
      <c r="C767" s="33"/>
      <c r="D767" s="33"/>
      <c r="E767" s="33"/>
      <c r="F767" s="33"/>
      <c r="G767" s="33"/>
      <c r="H767" s="23" t="str">
        <f>IFERROR(__xludf.DUMMYFUNCTION("if(REGEXMATCH(join("", "",$F767:$G767),H$1)=TRUE,""✓"",""✗"")"),"✗")</f>
        <v>✗</v>
      </c>
      <c r="I767" s="23" t="str">
        <f>IFERROR(__xludf.DUMMYFUNCTION("if(REGEXMATCH(join("", "",$F767:$G767),I$1)=TRUE,""✓"",""✗"")"),"✗")</f>
        <v>✗</v>
      </c>
      <c r="J767" s="23" t="str">
        <f>IFERROR(__xludf.DUMMYFUNCTION("if(REGEXMATCH(join("", "",$F767:$G767),J$1)=TRUE,""✓"",""✗"")"),"✗")</f>
        <v>✗</v>
      </c>
      <c r="K767" s="23" t="str">
        <f>IFERROR(__xludf.DUMMYFUNCTION("if(REGEXMATCH(join("", "",$F767:$G767),K$1)=TRUE,""✓"",""✗"")"),"✗")</f>
        <v>✗</v>
      </c>
      <c r="L767" s="23" t="str">
        <f>IFERROR(__xludf.DUMMYFUNCTION("if(REGEXMATCH(join("", "",$F767:$G767),L$1)=TRUE,""✓"",""✗"")"),"✗")</f>
        <v>✗</v>
      </c>
      <c r="M767" s="23" t="str">
        <f>IFERROR(__xludf.DUMMYFUNCTION("if(REGEXMATCH(join("", "",$F767:$G767),M$1)=TRUE,""✓"",""✗"")"),"✗")</f>
        <v>✗</v>
      </c>
      <c r="N767" s="23" t="str">
        <f>IFERROR(__xludf.DUMMYFUNCTION("if(REGEXMATCH(join("", "",$F767:$G767),N$1)=TRUE,""✓"",""✗"")"),"✗")</f>
        <v>✗</v>
      </c>
      <c r="O767" s="23" t="str">
        <f>IFERROR(__xludf.DUMMYFUNCTION("if(REGEXMATCH(join("", "",$F767:$G767),O$1)=TRUE,""✓"",""✗"")"),"✗")</f>
        <v>✗</v>
      </c>
      <c r="P767" s="23" t="str">
        <f>IFERROR(__xludf.DUMMYFUNCTION("if(REGEXMATCH(join("", "",$F767:$G767),P$1)=TRUE,""✓"",""✗"")"),"✗")</f>
        <v>✗</v>
      </c>
      <c r="Q767" s="23" t="str">
        <f>IFERROR(__xludf.DUMMYFUNCTION("if(REGEXMATCH(join("", "",$F767:$G767),Q$1)=TRUE,""✓"",""✗"")"),"✗")</f>
        <v>✗</v>
      </c>
      <c r="R767" s="23" t="str">
        <f>IFERROR(__xludf.DUMMYFUNCTION("if(REGEXMATCH(join("", "",$F767:$G767),R$1)=TRUE,""✓"",""✗"")"),"✗")</f>
        <v>✗</v>
      </c>
      <c r="S767" s="23" t="str">
        <f>IFERROR(__xludf.DUMMYFUNCTION("if(REGEXMATCH(join("", "",$F767:$G767),S$1)=TRUE,""✓"",""✗"")"),"✗")</f>
        <v>✗</v>
      </c>
      <c r="T767" s="23" t="str">
        <f>IFERROR(__xludf.DUMMYFUNCTION("if(REGEXMATCH(join("", "",$F767:$G767),T$1)=TRUE,""✓"",""✗"")"),"✗")</f>
        <v>✗</v>
      </c>
      <c r="U767" s="33"/>
      <c r="V767" s="33"/>
      <c r="W767" s="33"/>
      <c r="X767" s="33"/>
      <c r="Y767" s="33"/>
      <c r="Z767" s="33"/>
      <c r="AA767" s="33"/>
      <c r="AB767" s="33"/>
      <c r="AC767" s="33"/>
    </row>
    <row r="768" hidden="1">
      <c r="A768" s="17" t="s">
        <v>302</v>
      </c>
      <c r="B768" s="33"/>
      <c r="C768" s="33"/>
      <c r="D768" s="33"/>
      <c r="E768" s="33"/>
      <c r="F768" s="33"/>
      <c r="G768" s="33"/>
      <c r="H768" s="23" t="str">
        <f>IFERROR(__xludf.DUMMYFUNCTION("if(REGEXMATCH(join("", "",$F768:$G768),H$1)=TRUE,""✓"",""✗"")"),"✗")</f>
        <v>✗</v>
      </c>
      <c r="I768" s="23" t="str">
        <f>IFERROR(__xludf.DUMMYFUNCTION("if(REGEXMATCH(join("", "",$F768:$G768),I$1)=TRUE,""✓"",""✗"")"),"✗")</f>
        <v>✗</v>
      </c>
      <c r="J768" s="23" t="str">
        <f>IFERROR(__xludf.DUMMYFUNCTION("if(REGEXMATCH(join("", "",$F768:$G768),J$1)=TRUE,""✓"",""✗"")"),"✗")</f>
        <v>✗</v>
      </c>
      <c r="K768" s="23" t="str">
        <f>IFERROR(__xludf.DUMMYFUNCTION("if(REGEXMATCH(join("", "",$F768:$G768),K$1)=TRUE,""✓"",""✗"")"),"✗")</f>
        <v>✗</v>
      </c>
      <c r="L768" s="23" t="str">
        <f>IFERROR(__xludf.DUMMYFUNCTION("if(REGEXMATCH(join("", "",$F768:$G768),L$1)=TRUE,""✓"",""✗"")"),"✗")</f>
        <v>✗</v>
      </c>
      <c r="M768" s="23" t="str">
        <f>IFERROR(__xludf.DUMMYFUNCTION("if(REGEXMATCH(join("", "",$F768:$G768),M$1)=TRUE,""✓"",""✗"")"),"✗")</f>
        <v>✗</v>
      </c>
      <c r="N768" s="23" t="str">
        <f>IFERROR(__xludf.DUMMYFUNCTION("if(REGEXMATCH(join("", "",$F768:$G768),N$1)=TRUE,""✓"",""✗"")"),"✗")</f>
        <v>✗</v>
      </c>
      <c r="O768" s="23" t="str">
        <f>IFERROR(__xludf.DUMMYFUNCTION("if(REGEXMATCH(join("", "",$F768:$G768),O$1)=TRUE,""✓"",""✗"")"),"✗")</f>
        <v>✗</v>
      </c>
      <c r="P768" s="23" t="str">
        <f>IFERROR(__xludf.DUMMYFUNCTION("if(REGEXMATCH(join("", "",$F768:$G768),P$1)=TRUE,""✓"",""✗"")"),"✗")</f>
        <v>✗</v>
      </c>
      <c r="Q768" s="23" t="str">
        <f>IFERROR(__xludf.DUMMYFUNCTION("if(REGEXMATCH(join("", "",$F768:$G768),Q$1)=TRUE,""✓"",""✗"")"),"✗")</f>
        <v>✗</v>
      </c>
      <c r="R768" s="23" t="str">
        <f>IFERROR(__xludf.DUMMYFUNCTION("if(REGEXMATCH(join("", "",$F768:$G768),R$1)=TRUE,""✓"",""✗"")"),"✗")</f>
        <v>✗</v>
      </c>
      <c r="S768" s="23" t="str">
        <f>IFERROR(__xludf.DUMMYFUNCTION("if(REGEXMATCH(join("", "",$F768:$G768),S$1)=TRUE,""✓"",""✗"")"),"✗")</f>
        <v>✗</v>
      </c>
      <c r="T768" s="23" t="str">
        <f>IFERROR(__xludf.DUMMYFUNCTION("if(REGEXMATCH(join("", "",$F768:$G768),T$1)=TRUE,""✓"",""✗"")"),"✗")</f>
        <v>✗</v>
      </c>
      <c r="U768" s="33"/>
      <c r="V768" s="33"/>
      <c r="W768" s="33"/>
      <c r="X768" s="33"/>
      <c r="Y768" s="33"/>
      <c r="Z768" s="33"/>
      <c r="AA768" s="33"/>
      <c r="AB768" s="33"/>
      <c r="AC768" s="33"/>
    </row>
    <row r="769" hidden="1">
      <c r="A769" s="17" t="s">
        <v>302</v>
      </c>
      <c r="B769" s="33"/>
      <c r="C769" s="33"/>
      <c r="D769" s="33"/>
      <c r="E769" s="33"/>
      <c r="F769" s="33"/>
      <c r="G769" s="33"/>
      <c r="H769" s="23" t="str">
        <f>IFERROR(__xludf.DUMMYFUNCTION("if(REGEXMATCH(join("", "",$F769:$G769),H$1)=TRUE,""✓"",""✗"")"),"✗")</f>
        <v>✗</v>
      </c>
      <c r="I769" s="23" t="str">
        <f>IFERROR(__xludf.DUMMYFUNCTION("if(REGEXMATCH(join("", "",$F769:$G769),I$1)=TRUE,""✓"",""✗"")"),"✗")</f>
        <v>✗</v>
      </c>
      <c r="J769" s="23" t="str">
        <f>IFERROR(__xludf.DUMMYFUNCTION("if(REGEXMATCH(join("", "",$F769:$G769),J$1)=TRUE,""✓"",""✗"")"),"✗")</f>
        <v>✗</v>
      </c>
      <c r="K769" s="23" t="str">
        <f>IFERROR(__xludf.DUMMYFUNCTION("if(REGEXMATCH(join("", "",$F769:$G769),K$1)=TRUE,""✓"",""✗"")"),"✗")</f>
        <v>✗</v>
      </c>
      <c r="L769" s="23" t="str">
        <f>IFERROR(__xludf.DUMMYFUNCTION("if(REGEXMATCH(join("", "",$F769:$G769),L$1)=TRUE,""✓"",""✗"")"),"✗")</f>
        <v>✗</v>
      </c>
      <c r="M769" s="23" t="str">
        <f>IFERROR(__xludf.DUMMYFUNCTION("if(REGEXMATCH(join("", "",$F769:$G769),M$1)=TRUE,""✓"",""✗"")"),"✗")</f>
        <v>✗</v>
      </c>
      <c r="N769" s="23" t="str">
        <f>IFERROR(__xludf.DUMMYFUNCTION("if(REGEXMATCH(join("", "",$F769:$G769),N$1)=TRUE,""✓"",""✗"")"),"✗")</f>
        <v>✗</v>
      </c>
      <c r="O769" s="23" t="str">
        <f>IFERROR(__xludf.DUMMYFUNCTION("if(REGEXMATCH(join("", "",$F769:$G769),O$1)=TRUE,""✓"",""✗"")"),"✗")</f>
        <v>✗</v>
      </c>
      <c r="P769" s="23" t="str">
        <f>IFERROR(__xludf.DUMMYFUNCTION("if(REGEXMATCH(join("", "",$F769:$G769),P$1)=TRUE,""✓"",""✗"")"),"✗")</f>
        <v>✗</v>
      </c>
      <c r="Q769" s="23" t="str">
        <f>IFERROR(__xludf.DUMMYFUNCTION("if(REGEXMATCH(join("", "",$F769:$G769),Q$1)=TRUE,""✓"",""✗"")"),"✗")</f>
        <v>✗</v>
      </c>
      <c r="R769" s="23" t="str">
        <f>IFERROR(__xludf.DUMMYFUNCTION("if(REGEXMATCH(join("", "",$F769:$G769),R$1)=TRUE,""✓"",""✗"")"),"✗")</f>
        <v>✗</v>
      </c>
      <c r="S769" s="23" t="str">
        <f>IFERROR(__xludf.DUMMYFUNCTION("if(REGEXMATCH(join("", "",$F769:$G769),S$1)=TRUE,""✓"",""✗"")"),"✗")</f>
        <v>✗</v>
      </c>
      <c r="T769" s="23" t="str">
        <f>IFERROR(__xludf.DUMMYFUNCTION("if(REGEXMATCH(join("", "",$F769:$G769),T$1)=TRUE,""✓"",""✗"")"),"✗")</f>
        <v>✗</v>
      </c>
      <c r="U769" s="33"/>
      <c r="V769" s="33"/>
      <c r="W769" s="33"/>
      <c r="X769" s="33"/>
      <c r="Y769" s="33"/>
      <c r="Z769" s="33"/>
      <c r="AA769" s="33"/>
      <c r="AB769" s="33"/>
      <c r="AC769" s="33"/>
    </row>
    <row r="770" hidden="1">
      <c r="A770" s="17" t="s">
        <v>302</v>
      </c>
      <c r="B770" s="33"/>
      <c r="C770" s="33"/>
      <c r="D770" s="33"/>
      <c r="E770" s="33"/>
      <c r="F770" s="33"/>
      <c r="G770" s="33"/>
      <c r="H770" s="51">
        <f t="shared" ref="H770:T770" si="21">countif(H662:H769,"✓")</f>
        <v>0</v>
      </c>
      <c r="I770" s="51">
        <f t="shared" si="21"/>
        <v>0</v>
      </c>
      <c r="J770" s="51">
        <f t="shared" si="21"/>
        <v>0</v>
      </c>
      <c r="K770" s="51">
        <f t="shared" si="21"/>
        <v>0</v>
      </c>
      <c r="L770" s="51">
        <f t="shared" si="21"/>
        <v>0</v>
      </c>
      <c r="M770" s="51">
        <f t="shared" si="21"/>
        <v>0</v>
      </c>
      <c r="N770" s="51">
        <f t="shared" si="21"/>
        <v>0</v>
      </c>
      <c r="O770" s="51">
        <f t="shared" si="21"/>
        <v>0</v>
      </c>
      <c r="P770" s="51">
        <f t="shared" si="21"/>
        <v>0</v>
      </c>
      <c r="Q770" s="51">
        <f t="shared" si="21"/>
        <v>0</v>
      </c>
      <c r="R770" s="51">
        <f t="shared" si="21"/>
        <v>0</v>
      </c>
      <c r="S770" s="51">
        <f t="shared" si="21"/>
        <v>0</v>
      </c>
      <c r="T770" s="51">
        <f t="shared" si="21"/>
        <v>0</v>
      </c>
      <c r="U770" s="33"/>
      <c r="V770" s="33"/>
      <c r="W770" s="33"/>
      <c r="X770" s="33"/>
      <c r="Y770" s="33"/>
      <c r="Z770" s="33"/>
      <c r="AA770" s="33"/>
      <c r="AB770" s="33"/>
      <c r="AC770" s="33"/>
    </row>
    <row r="771" hidden="1">
      <c r="A771" s="17" t="s">
        <v>302</v>
      </c>
      <c r="B771" s="33"/>
      <c r="C771" s="33"/>
      <c r="D771" s="33"/>
      <c r="E771" s="33"/>
      <c r="F771" s="33"/>
      <c r="G771" s="33"/>
      <c r="H771" s="13" t="s">
        <v>2</v>
      </c>
      <c r="I771" s="13" t="s">
        <v>9</v>
      </c>
      <c r="J771" s="13" t="s">
        <v>10</v>
      </c>
      <c r="K771" s="13" t="s">
        <v>11</v>
      </c>
      <c r="L771" s="13" t="s">
        <v>12</v>
      </c>
      <c r="M771" s="13" t="s">
        <v>13</v>
      </c>
      <c r="N771" s="13" t="s">
        <v>14</v>
      </c>
      <c r="O771" s="13" t="s">
        <v>15</v>
      </c>
      <c r="P771" s="13" t="s">
        <v>4</v>
      </c>
      <c r="Q771" s="13" t="s">
        <v>16</v>
      </c>
      <c r="R771" s="13" t="s">
        <v>17</v>
      </c>
      <c r="S771" s="13" t="s">
        <v>19</v>
      </c>
      <c r="T771" s="13" t="s">
        <v>20</v>
      </c>
      <c r="U771" s="33"/>
      <c r="V771" s="33"/>
      <c r="W771" s="33"/>
      <c r="X771" s="33"/>
      <c r="Y771" s="33"/>
      <c r="Z771" s="33"/>
      <c r="AA771" s="33"/>
      <c r="AB771" s="33"/>
      <c r="AC771" s="33"/>
    </row>
    <row r="772" hidden="1">
      <c r="A772" s="17" t="s">
        <v>302</v>
      </c>
      <c r="B772" s="33"/>
      <c r="C772" s="33"/>
      <c r="D772" s="33"/>
      <c r="E772" s="33"/>
      <c r="F772" s="33"/>
      <c r="G772" s="33"/>
      <c r="H772" s="23" t="str">
        <f>IFERROR(__xludf.DUMMYFUNCTION("if(REGEXMATCH(join("", "",$F772:$G772),H$1)=TRUE,""✓"",""✗"")"),"✗")</f>
        <v>✗</v>
      </c>
      <c r="I772" s="23" t="str">
        <f>IFERROR(__xludf.DUMMYFUNCTION("if(REGEXMATCH(join("", "",$F772:$G772),I$1)=TRUE,""✓"",""✗"")"),"✗")</f>
        <v>✗</v>
      </c>
      <c r="J772" s="23" t="str">
        <f>IFERROR(__xludf.DUMMYFUNCTION("if(REGEXMATCH(join("", "",$F772:$G772),J$1)=TRUE,""✓"",""✗"")"),"✗")</f>
        <v>✗</v>
      </c>
      <c r="K772" s="23" t="str">
        <f>IFERROR(__xludf.DUMMYFUNCTION("if(REGEXMATCH(join("", "",$F772:$G772),K$1)=TRUE,""✓"",""✗"")"),"✗")</f>
        <v>✗</v>
      </c>
      <c r="L772" s="23" t="str">
        <f>IFERROR(__xludf.DUMMYFUNCTION("if(REGEXMATCH(join("", "",$F772:$G772),L$1)=TRUE,""✓"",""✗"")"),"✗")</f>
        <v>✗</v>
      </c>
      <c r="M772" s="23" t="str">
        <f>IFERROR(__xludf.DUMMYFUNCTION("if(REGEXMATCH(join("", "",$F772:$G772),M$1)=TRUE,""✓"",""✗"")"),"✗")</f>
        <v>✗</v>
      </c>
      <c r="N772" s="23" t="str">
        <f>IFERROR(__xludf.DUMMYFUNCTION("if(REGEXMATCH(join("", "",$F772:$G772),N$1)=TRUE,""✓"",""✗"")"),"✗")</f>
        <v>✗</v>
      </c>
      <c r="O772" s="23" t="str">
        <f>IFERROR(__xludf.DUMMYFUNCTION("if(REGEXMATCH(join("", "",$F772:$G772),O$1)=TRUE,""✓"",""✗"")"),"✗")</f>
        <v>✗</v>
      </c>
      <c r="P772" s="23" t="str">
        <f>IFERROR(__xludf.DUMMYFUNCTION("if(REGEXMATCH(join("", "",$F772:$G772),P$1)=TRUE,""✓"",""✗"")"),"✗")</f>
        <v>✗</v>
      </c>
      <c r="Q772" s="23" t="str">
        <f>IFERROR(__xludf.DUMMYFUNCTION("if(REGEXMATCH(join("", "",$F772:$G772),Q$1)=TRUE,""✓"",""✗"")"),"✗")</f>
        <v>✗</v>
      </c>
      <c r="R772" s="23" t="str">
        <f>IFERROR(__xludf.DUMMYFUNCTION("if(REGEXMATCH(join("", "",$F772:$G772),R$1)=TRUE,""✓"",""✗"")"),"✗")</f>
        <v>✗</v>
      </c>
      <c r="S772" s="23" t="str">
        <f>IFERROR(__xludf.DUMMYFUNCTION("if(REGEXMATCH(join("", "",$F772:$G772),S$1)=TRUE,""✓"",""✗"")"),"✗")</f>
        <v>✗</v>
      </c>
      <c r="T772" s="23" t="str">
        <f>IFERROR(__xludf.DUMMYFUNCTION("if(REGEXMATCH(join("", "",$F772:$G772),T$1)=TRUE,""✓"",""✗"")"),"✗")</f>
        <v>✗</v>
      </c>
      <c r="U772" s="33"/>
      <c r="V772" s="33"/>
      <c r="W772" s="33"/>
      <c r="X772" s="33"/>
      <c r="Y772" s="33"/>
      <c r="Z772" s="33"/>
      <c r="AA772" s="33"/>
      <c r="AB772" s="33"/>
      <c r="AC772" s="33"/>
    </row>
    <row r="773" hidden="1">
      <c r="A773" s="17" t="s">
        <v>302</v>
      </c>
      <c r="B773" s="33"/>
      <c r="C773" s="33"/>
      <c r="D773" s="33"/>
      <c r="E773" s="33"/>
      <c r="F773" s="33"/>
      <c r="G773" s="33"/>
      <c r="H773" s="23" t="str">
        <f>IFERROR(__xludf.DUMMYFUNCTION("if(REGEXMATCH(join("", "",$F773:$G773),H$1)=TRUE,""✓"",""✗"")"),"✗")</f>
        <v>✗</v>
      </c>
      <c r="I773" s="23" t="str">
        <f>IFERROR(__xludf.DUMMYFUNCTION("if(REGEXMATCH(join("", "",$F773:$G773),I$1)=TRUE,""✓"",""✗"")"),"✗")</f>
        <v>✗</v>
      </c>
      <c r="J773" s="23" t="str">
        <f>IFERROR(__xludf.DUMMYFUNCTION("if(REGEXMATCH(join("", "",$F773:$G773),J$1)=TRUE,""✓"",""✗"")"),"✗")</f>
        <v>✗</v>
      </c>
      <c r="K773" s="23" t="str">
        <f>IFERROR(__xludf.DUMMYFUNCTION("if(REGEXMATCH(join("", "",$F773:$G773),K$1)=TRUE,""✓"",""✗"")"),"✗")</f>
        <v>✗</v>
      </c>
      <c r="L773" s="23" t="str">
        <f>IFERROR(__xludf.DUMMYFUNCTION("if(REGEXMATCH(join("", "",$F773:$G773),L$1)=TRUE,""✓"",""✗"")"),"✗")</f>
        <v>✗</v>
      </c>
      <c r="M773" s="23" t="str">
        <f>IFERROR(__xludf.DUMMYFUNCTION("if(REGEXMATCH(join("", "",$F773:$G773),M$1)=TRUE,""✓"",""✗"")"),"✗")</f>
        <v>✗</v>
      </c>
      <c r="N773" s="23" t="str">
        <f>IFERROR(__xludf.DUMMYFUNCTION("if(REGEXMATCH(join("", "",$F773:$G773),N$1)=TRUE,""✓"",""✗"")"),"✗")</f>
        <v>✗</v>
      </c>
      <c r="O773" s="23" t="str">
        <f>IFERROR(__xludf.DUMMYFUNCTION("if(REGEXMATCH(join("", "",$F773:$G773),O$1)=TRUE,""✓"",""✗"")"),"✗")</f>
        <v>✗</v>
      </c>
      <c r="P773" s="23" t="str">
        <f>IFERROR(__xludf.DUMMYFUNCTION("if(REGEXMATCH(join("", "",$F773:$G773),P$1)=TRUE,""✓"",""✗"")"),"✗")</f>
        <v>✗</v>
      </c>
      <c r="Q773" s="23" t="str">
        <f>IFERROR(__xludf.DUMMYFUNCTION("if(REGEXMATCH(join("", "",$F773:$G773),Q$1)=TRUE,""✓"",""✗"")"),"✗")</f>
        <v>✗</v>
      </c>
      <c r="R773" s="23" t="str">
        <f>IFERROR(__xludf.DUMMYFUNCTION("if(REGEXMATCH(join("", "",$F773:$G773),R$1)=TRUE,""✓"",""✗"")"),"✗")</f>
        <v>✗</v>
      </c>
      <c r="S773" s="23" t="str">
        <f>IFERROR(__xludf.DUMMYFUNCTION("if(REGEXMATCH(join("", "",$F773:$G773),S$1)=TRUE,""✓"",""✗"")"),"✗")</f>
        <v>✗</v>
      </c>
      <c r="T773" s="23" t="str">
        <f>IFERROR(__xludf.DUMMYFUNCTION("if(REGEXMATCH(join("", "",$F773:$G773),T$1)=TRUE,""✓"",""✗"")"),"✗")</f>
        <v>✗</v>
      </c>
      <c r="U773" s="33"/>
      <c r="V773" s="33"/>
      <c r="W773" s="33"/>
      <c r="X773" s="33"/>
      <c r="Y773" s="33"/>
      <c r="Z773" s="33"/>
      <c r="AA773" s="33"/>
      <c r="AB773" s="33"/>
      <c r="AC773" s="33"/>
    </row>
    <row r="774" hidden="1">
      <c r="A774" s="17" t="s">
        <v>302</v>
      </c>
      <c r="B774" s="33"/>
      <c r="C774" s="33"/>
      <c r="D774" s="33"/>
      <c r="E774" s="33"/>
      <c r="F774" s="33"/>
      <c r="G774" s="33"/>
      <c r="H774" s="23" t="str">
        <f>IFERROR(__xludf.DUMMYFUNCTION("if(REGEXMATCH(join("", "",$F774:$G774),H$1)=TRUE,""✓"",""✗"")"),"✗")</f>
        <v>✗</v>
      </c>
      <c r="I774" s="23" t="str">
        <f>IFERROR(__xludf.DUMMYFUNCTION("if(REGEXMATCH(join("", "",$F774:$G774),I$1)=TRUE,""✓"",""✗"")"),"✗")</f>
        <v>✗</v>
      </c>
      <c r="J774" s="23" t="str">
        <f>IFERROR(__xludf.DUMMYFUNCTION("if(REGEXMATCH(join("", "",$F774:$G774),J$1)=TRUE,""✓"",""✗"")"),"✗")</f>
        <v>✗</v>
      </c>
      <c r="K774" s="23" t="str">
        <f>IFERROR(__xludf.DUMMYFUNCTION("if(REGEXMATCH(join("", "",$F774:$G774),K$1)=TRUE,""✓"",""✗"")"),"✗")</f>
        <v>✗</v>
      </c>
      <c r="L774" s="23" t="str">
        <f>IFERROR(__xludf.DUMMYFUNCTION("if(REGEXMATCH(join("", "",$F774:$G774),L$1)=TRUE,""✓"",""✗"")"),"✗")</f>
        <v>✗</v>
      </c>
      <c r="M774" s="23" t="str">
        <f>IFERROR(__xludf.DUMMYFUNCTION("if(REGEXMATCH(join("", "",$F774:$G774),M$1)=TRUE,""✓"",""✗"")"),"✗")</f>
        <v>✗</v>
      </c>
      <c r="N774" s="23" t="str">
        <f>IFERROR(__xludf.DUMMYFUNCTION("if(REGEXMATCH(join("", "",$F774:$G774),N$1)=TRUE,""✓"",""✗"")"),"✗")</f>
        <v>✗</v>
      </c>
      <c r="O774" s="23" t="str">
        <f>IFERROR(__xludf.DUMMYFUNCTION("if(REGEXMATCH(join("", "",$F774:$G774),O$1)=TRUE,""✓"",""✗"")"),"✗")</f>
        <v>✗</v>
      </c>
      <c r="P774" s="23" t="str">
        <f>IFERROR(__xludf.DUMMYFUNCTION("if(REGEXMATCH(join("", "",$F774:$G774),P$1)=TRUE,""✓"",""✗"")"),"✗")</f>
        <v>✗</v>
      </c>
      <c r="Q774" s="23" t="str">
        <f>IFERROR(__xludf.DUMMYFUNCTION("if(REGEXMATCH(join("", "",$F774:$G774),Q$1)=TRUE,""✓"",""✗"")"),"✗")</f>
        <v>✗</v>
      </c>
      <c r="R774" s="23" t="str">
        <f>IFERROR(__xludf.DUMMYFUNCTION("if(REGEXMATCH(join("", "",$F774:$G774),R$1)=TRUE,""✓"",""✗"")"),"✗")</f>
        <v>✗</v>
      </c>
      <c r="S774" s="23" t="str">
        <f>IFERROR(__xludf.DUMMYFUNCTION("if(REGEXMATCH(join("", "",$F774:$G774),S$1)=TRUE,""✓"",""✗"")"),"✗")</f>
        <v>✗</v>
      </c>
      <c r="T774" s="23" t="str">
        <f>IFERROR(__xludf.DUMMYFUNCTION("if(REGEXMATCH(join("", "",$F774:$G774),T$1)=TRUE,""✓"",""✗"")"),"✗")</f>
        <v>✗</v>
      </c>
      <c r="U774" s="33"/>
      <c r="V774" s="33"/>
      <c r="W774" s="33"/>
      <c r="X774" s="33"/>
      <c r="Y774" s="33"/>
      <c r="Z774" s="33"/>
      <c r="AA774" s="33"/>
      <c r="AB774" s="33"/>
      <c r="AC774" s="33"/>
    </row>
    <row r="775" hidden="1">
      <c r="A775" s="17" t="s">
        <v>302</v>
      </c>
      <c r="B775" s="33"/>
      <c r="C775" s="33"/>
      <c r="D775" s="33"/>
      <c r="E775" s="33"/>
      <c r="F775" s="33"/>
      <c r="G775" s="33"/>
      <c r="H775" s="23" t="str">
        <f>IFERROR(__xludf.DUMMYFUNCTION("if(REGEXMATCH(join("", "",$F775:$G775),H$1)=TRUE,""✓"",""✗"")"),"✗")</f>
        <v>✗</v>
      </c>
      <c r="I775" s="23" t="str">
        <f>IFERROR(__xludf.DUMMYFUNCTION("if(REGEXMATCH(join("", "",$F775:$G775),I$1)=TRUE,""✓"",""✗"")"),"✗")</f>
        <v>✗</v>
      </c>
      <c r="J775" s="23" t="str">
        <f>IFERROR(__xludf.DUMMYFUNCTION("if(REGEXMATCH(join("", "",$F775:$G775),J$1)=TRUE,""✓"",""✗"")"),"✗")</f>
        <v>✗</v>
      </c>
      <c r="K775" s="23" t="str">
        <f>IFERROR(__xludf.DUMMYFUNCTION("if(REGEXMATCH(join("", "",$F775:$G775),K$1)=TRUE,""✓"",""✗"")"),"✗")</f>
        <v>✗</v>
      </c>
      <c r="L775" s="23" t="str">
        <f>IFERROR(__xludf.DUMMYFUNCTION("if(REGEXMATCH(join("", "",$F775:$G775),L$1)=TRUE,""✓"",""✗"")"),"✗")</f>
        <v>✗</v>
      </c>
      <c r="M775" s="23" t="str">
        <f>IFERROR(__xludf.DUMMYFUNCTION("if(REGEXMATCH(join("", "",$F775:$G775),M$1)=TRUE,""✓"",""✗"")"),"✗")</f>
        <v>✗</v>
      </c>
      <c r="N775" s="23" t="str">
        <f>IFERROR(__xludf.DUMMYFUNCTION("if(REGEXMATCH(join("", "",$F775:$G775),N$1)=TRUE,""✓"",""✗"")"),"✗")</f>
        <v>✗</v>
      </c>
      <c r="O775" s="23" t="str">
        <f>IFERROR(__xludf.DUMMYFUNCTION("if(REGEXMATCH(join("", "",$F775:$G775),O$1)=TRUE,""✓"",""✗"")"),"✗")</f>
        <v>✗</v>
      </c>
      <c r="P775" s="23" t="str">
        <f>IFERROR(__xludf.DUMMYFUNCTION("if(REGEXMATCH(join("", "",$F775:$G775),P$1)=TRUE,""✓"",""✗"")"),"✗")</f>
        <v>✗</v>
      </c>
      <c r="Q775" s="23" t="str">
        <f>IFERROR(__xludf.DUMMYFUNCTION("if(REGEXMATCH(join("", "",$F775:$G775),Q$1)=TRUE,""✓"",""✗"")"),"✗")</f>
        <v>✗</v>
      </c>
      <c r="R775" s="23" t="str">
        <f>IFERROR(__xludf.DUMMYFUNCTION("if(REGEXMATCH(join("", "",$F775:$G775),R$1)=TRUE,""✓"",""✗"")"),"✗")</f>
        <v>✗</v>
      </c>
      <c r="S775" s="23" t="str">
        <f>IFERROR(__xludf.DUMMYFUNCTION("if(REGEXMATCH(join("", "",$F775:$G775),S$1)=TRUE,""✓"",""✗"")"),"✗")</f>
        <v>✗</v>
      </c>
      <c r="T775" s="23" t="str">
        <f>IFERROR(__xludf.DUMMYFUNCTION("if(REGEXMATCH(join("", "",$F775:$G775),T$1)=TRUE,""✓"",""✗"")"),"✗")</f>
        <v>✗</v>
      </c>
      <c r="U775" s="33"/>
      <c r="V775" s="33"/>
      <c r="W775" s="33"/>
      <c r="X775" s="33"/>
      <c r="Y775" s="33"/>
      <c r="Z775" s="33"/>
      <c r="AA775" s="33"/>
      <c r="AB775" s="33"/>
      <c r="AC775" s="33"/>
    </row>
    <row r="776" hidden="1">
      <c r="A776" s="17" t="s">
        <v>302</v>
      </c>
      <c r="B776" s="33"/>
      <c r="C776" s="33"/>
      <c r="D776" s="33"/>
      <c r="E776" s="33"/>
      <c r="F776" s="33"/>
      <c r="G776" s="33"/>
      <c r="H776" s="23" t="str">
        <f>IFERROR(__xludf.DUMMYFUNCTION("if(REGEXMATCH(join("", "",$F776:$G776),H$1)=TRUE,""✓"",""✗"")"),"✗")</f>
        <v>✗</v>
      </c>
      <c r="I776" s="23" t="str">
        <f>IFERROR(__xludf.DUMMYFUNCTION("if(REGEXMATCH(join("", "",$F776:$G776),I$1)=TRUE,""✓"",""✗"")"),"✗")</f>
        <v>✗</v>
      </c>
      <c r="J776" s="23" t="str">
        <f>IFERROR(__xludf.DUMMYFUNCTION("if(REGEXMATCH(join("", "",$F776:$G776),J$1)=TRUE,""✓"",""✗"")"),"✗")</f>
        <v>✗</v>
      </c>
      <c r="K776" s="23" t="str">
        <f>IFERROR(__xludf.DUMMYFUNCTION("if(REGEXMATCH(join("", "",$F776:$G776),K$1)=TRUE,""✓"",""✗"")"),"✗")</f>
        <v>✗</v>
      </c>
      <c r="L776" s="23" t="str">
        <f>IFERROR(__xludf.DUMMYFUNCTION("if(REGEXMATCH(join("", "",$F776:$G776),L$1)=TRUE,""✓"",""✗"")"),"✗")</f>
        <v>✗</v>
      </c>
      <c r="M776" s="23" t="str">
        <f>IFERROR(__xludf.DUMMYFUNCTION("if(REGEXMATCH(join("", "",$F776:$G776),M$1)=TRUE,""✓"",""✗"")"),"✗")</f>
        <v>✗</v>
      </c>
      <c r="N776" s="23" t="str">
        <f>IFERROR(__xludf.DUMMYFUNCTION("if(REGEXMATCH(join("", "",$F776:$G776),N$1)=TRUE,""✓"",""✗"")"),"✗")</f>
        <v>✗</v>
      </c>
      <c r="O776" s="23" t="str">
        <f>IFERROR(__xludf.DUMMYFUNCTION("if(REGEXMATCH(join("", "",$F776:$G776),O$1)=TRUE,""✓"",""✗"")"),"✗")</f>
        <v>✗</v>
      </c>
      <c r="P776" s="23" t="str">
        <f>IFERROR(__xludf.DUMMYFUNCTION("if(REGEXMATCH(join("", "",$F776:$G776),P$1)=TRUE,""✓"",""✗"")"),"✗")</f>
        <v>✗</v>
      </c>
      <c r="Q776" s="23" t="str">
        <f>IFERROR(__xludf.DUMMYFUNCTION("if(REGEXMATCH(join("", "",$F776:$G776),Q$1)=TRUE,""✓"",""✗"")"),"✗")</f>
        <v>✗</v>
      </c>
      <c r="R776" s="23" t="str">
        <f>IFERROR(__xludf.DUMMYFUNCTION("if(REGEXMATCH(join("", "",$F776:$G776),R$1)=TRUE,""✓"",""✗"")"),"✗")</f>
        <v>✗</v>
      </c>
      <c r="S776" s="23" t="str">
        <f>IFERROR(__xludf.DUMMYFUNCTION("if(REGEXMATCH(join("", "",$F776:$G776),S$1)=TRUE,""✓"",""✗"")"),"✗")</f>
        <v>✗</v>
      </c>
      <c r="T776" s="23" t="str">
        <f>IFERROR(__xludf.DUMMYFUNCTION("if(REGEXMATCH(join("", "",$F776:$G776),T$1)=TRUE,""✓"",""✗"")"),"✗")</f>
        <v>✗</v>
      </c>
      <c r="U776" s="33"/>
      <c r="V776" s="33"/>
      <c r="W776" s="33"/>
      <c r="X776" s="33"/>
      <c r="Y776" s="33"/>
      <c r="Z776" s="33"/>
      <c r="AA776" s="33"/>
      <c r="AB776" s="33"/>
      <c r="AC776" s="33"/>
    </row>
    <row r="777" hidden="1">
      <c r="A777" s="17" t="s">
        <v>302</v>
      </c>
      <c r="B777" s="33"/>
      <c r="C777" s="33"/>
      <c r="D777" s="33"/>
      <c r="E777" s="33"/>
      <c r="F777" s="33"/>
      <c r="G777" s="33"/>
      <c r="H777" s="23" t="str">
        <f>IFERROR(__xludf.DUMMYFUNCTION("if(REGEXMATCH(join("", "",$F777:$G777),H$1)=TRUE,""✓"",""✗"")"),"✗")</f>
        <v>✗</v>
      </c>
      <c r="I777" s="23" t="str">
        <f>IFERROR(__xludf.DUMMYFUNCTION("if(REGEXMATCH(join("", "",$F777:$G777),I$1)=TRUE,""✓"",""✗"")"),"✗")</f>
        <v>✗</v>
      </c>
      <c r="J777" s="23" t="str">
        <f>IFERROR(__xludf.DUMMYFUNCTION("if(REGEXMATCH(join("", "",$F777:$G777),J$1)=TRUE,""✓"",""✗"")"),"✗")</f>
        <v>✗</v>
      </c>
      <c r="K777" s="23" t="str">
        <f>IFERROR(__xludf.DUMMYFUNCTION("if(REGEXMATCH(join("", "",$F777:$G777),K$1)=TRUE,""✓"",""✗"")"),"✗")</f>
        <v>✗</v>
      </c>
      <c r="L777" s="23" t="str">
        <f>IFERROR(__xludf.DUMMYFUNCTION("if(REGEXMATCH(join("", "",$F777:$G777),L$1)=TRUE,""✓"",""✗"")"),"✗")</f>
        <v>✗</v>
      </c>
      <c r="M777" s="23" t="str">
        <f>IFERROR(__xludf.DUMMYFUNCTION("if(REGEXMATCH(join("", "",$F777:$G777),M$1)=TRUE,""✓"",""✗"")"),"✗")</f>
        <v>✗</v>
      </c>
      <c r="N777" s="23" t="str">
        <f>IFERROR(__xludf.DUMMYFUNCTION("if(REGEXMATCH(join("", "",$F777:$G777),N$1)=TRUE,""✓"",""✗"")"),"✗")</f>
        <v>✗</v>
      </c>
      <c r="O777" s="23" t="str">
        <f>IFERROR(__xludf.DUMMYFUNCTION("if(REGEXMATCH(join("", "",$F777:$G777),O$1)=TRUE,""✓"",""✗"")"),"✗")</f>
        <v>✗</v>
      </c>
      <c r="P777" s="23" t="str">
        <f>IFERROR(__xludf.DUMMYFUNCTION("if(REGEXMATCH(join("", "",$F777:$G777),P$1)=TRUE,""✓"",""✗"")"),"✗")</f>
        <v>✗</v>
      </c>
      <c r="Q777" s="23" t="str">
        <f>IFERROR(__xludf.DUMMYFUNCTION("if(REGEXMATCH(join("", "",$F777:$G777),Q$1)=TRUE,""✓"",""✗"")"),"✗")</f>
        <v>✗</v>
      </c>
      <c r="R777" s="23" t="str">
        <f>IFERROR(__xludf.DUMMYFUNCTION("if(REGEXMATCH(join("", "",$F777:$G777),R$1)=TRUE,""✓"",""✗"")"),"✗")</f>
        <v>✗</v>
      </c>
      <c r="S777" s="23" t="str">
        <f>IFERROR(__xludf.DUMMYFUNCTION("if(REGEXMATCH(join("", "",$F777:$G777),S$1)=TRUE,""✓"",""✗"")"),"✗")</f>
        <v>✗</v>
      </c>
      <c r="T777" s="23" t="str">
        <f>IFERROR(__xludf.DUMMYFUNCTION("if(REGEXMATCH(join("", "",$F777:$G777),T$1)=TRUE,""✓"",""✗"")"),"✗")</f>
        <v>✗</v>
      </c>
      <c r="U777" s="33"/>
      <c r="V777" s="33"/>
      <c r="W777" s="33"/>
      <c r="X777" s="33"/>
      <c r="Y777" s="33"/>
      <c r="Z777" s="33"/>
      <c r="AA777" s="33"/>
      <c r="AB777" s="33"/>
      <c r="AC777" s="33"/>
    </row>
    <row r="778" hidden="1">
      <c r="A778" s="17" t="s">
        <v>302</v>
      </c>
      <c r="B778" s="33"/>
      <c r="C778" s="33"/>
      <c r="D778" s="33"/>
      <c r="E778" s="33"/>
      <c r="F778" s="33"/>
      <c r="G778" s="33"/>
      <c r="H778" s="23" t="str">
        <f>IFERROR(__xludf.DUMMYFUNCTION("if(REGEXMATCH(join("", "",$F778:$G778),H$1)=TRUE,""✓"",""✗"")"),"✗")</f>
        <v>✗</v>
      </c>
      <c r="I778" s="23" t="str">
        <f>IFERROR(__xludf.DUMMYFUNCTION("if(REGEXMATCH(join("", "",$F778:$G778),I$1)=TRUE,""✓"",""✗"")"),"✗")</f>
        <v>✗</v>
      </c>
      <c r="J778" s="23" t="str">
        <f>IFERROR(__xludf.DUMMYFUNCTION("if(REGEXMATCH(join("", "",$F778:$G778),J$1)=TRUE,""✓"",""✗"")"),"✗")</f>
        <v>✗</v>
      </c>
      <c r="K778" s="23" t="str">
        <f>IFERROR(__xludf.DUMMYFUNCTION("if(REGEXMATCH(join("", "",$F778:$G778),K$1)=TRUE,""✓"",""✗"")"),"✗")</f>
        <v>✗</v>
      </c>
      <c r="L778" s="23" t="str">
        <f>IFERROR(__xludf.DUMMYFUNCTION("if(REGEXMATCH(join("", "",$F778:$G778),L$1)=TRUE,""✓"",""✗"")"),"✗")</f>
        <v>✗</v>
      </c>
      <c r="M778" s="23" t="str">
        <f>IFERROR(__xludf.DUMMYFUNCTION("if(REGEXMATCH(join("", "",$F778:$G778),M$1)=TRUE,""✓"",""✗"")"),"✗")</f>
        <v>✗</v>
      </c>
      <c r="N778" s="23" t="str">
        <f>IFERROR(__xludf.DUMMYFUNCTION("if(REGEXMATCH(join("", "",$F778:$G778),N$1)=TRUE,""✓"",""✗"")"),"✗")</f>
        <v>✗</v>
      </c>
      <c r="O778" s="23" t="str">
        <f>IFERROR(__xludf.DUMMYFUNCTION("if(REGEXMATCH(join("", "",$F778:$G778),O$1)=TRUE,""✓"",""✗"")"),"✗")</f>
        <v>✗</v>
      </c>
      <c r="P778" s="23" t="str">
        <f>IFERROR(__xludf.DUMMYFUNCTION("if(REGEXMATCH(join("", "",$F778:$G778),P$1)=TRUE,""✓"",""✗"")"),"✗")</f>
        <v>✗</v>
      </c>
      <c r="Q778" s="23" t="str">
        <f>IFERROR(__xludf.DUMMYFUNCTION("if(REGEXMATCH(join("", "",$F778:$G778),Q$1)=TRUE,""✓"",""✗"")"),"✗")</f>
        <v>✗</v>
      </c>
      <c r="R778" s="23" t="str">
        <f>IFERROR(__xludf.DUMMYFUNCTION("if(REGEXMATCH(join("", "",$F778:$G778),R$1)=TRUE,""✓"",""✗"")"),"✗")</f>
        <v>✗</v>
      </c>
      <c r="S778" s="23" t="str">
        <f>IFERROR(__xludf.DUMMYFUNCTION("if(REGEXMATCH(join("", "",$F778:$G778),S$1)=TRUE,""✓"",""✗"")"),"✗")</f>
        <v>✗</v>
      </c>
      <c r="T778" s="23" t="str">
        <f>IFERROR(__xludf.DUMMYFUNCTION("if(REGEXMATCH(join("", "",$F778:$G778),T$1)=TRUE,""✓"",""✗"")"),"✗")</f>
        <v>✗</v>
      </c>
      <c r="U778" s="33"/>
      <c r="V778" s="33"/>
      <c r="W778" s="33"/>
      <c r="X778" s="33"/>
      <c r="Y778" s="33"/>
      <c r="Z778" s="33"/>
      <c r="AA778" s="33"/>
      <c r="AB778" s="33"/>
      <c r="AC778" s="33"/>
    </row>
    <row r="779" hidden="1">
      <c r="A779" s="17" t="s">
        <v>302</v>
      </c>
      <c r="B779" s="33"/>
      <c r="C779" s="33"/>
      <c r="D779" s="33"/>
      <c r="E779" s="33"/>
      <c r="F779" s="33"/>
      <c r="G779" s="33"/>
      <c r="H779" s="23" t="str">
        <f>IFERROR(__xludf.DUMMYFUNCTION("if(REGEXMATCH(join("", "",$F779:$G779),H$1)=TRUE,""✓"",""✗"")"),"✗")</f>
        <v>✗</v>
      </c>
      <c r="I779" s="23" t="str">
        <f>IFERROR(__xludf.DUMMYFUNCTION("if(REGEXMATCH(join("", "",$F779:$G779),I$1)=TRUE,""✓"",""✗"")"),"✗")</f>
        <v>✗</v>
      </c>
      <c r="J779" s="23" t="str">
        <f>IFERROR(__xludf.DUMMYFUNCTION("if(REGEXMATCH(join("", "",$F779:$G779),J$1)=TRUE,""✓"",""✗"")"),"✗")</f>
        <v>✗</v>
      </c>
      <c r="K779" s="23" t="str">
        <f>IFERROR(__xludf.DUMMYFUNCTION("if(REGEXMATCH(join("", "",$F779:$G779),K$1)=TRUE,""✓"",""✗"")"),"✗")</f>
        <v>✗</v>
      </c>
      <c r="L779" s="23" t="str">
        <f>IFERROR(__xludf.DUMMYFUNCTION("if(REGEXMATCH(join("", "",$F779:$G779),L$1)=TRUE,""✓"",""✗"")"),"✗")</f>
        <v>✗</v>
      </c>
      <c r="M779" s="23" t="str">
        <f>IFERROR(__xludf.DUMMYFUNCTION("if(REGEXMATCH(join("", "",$F779:$G779),M$1)=TRUE,""✓"",""✗"")"),"✗")</f>
        <v>✗</v>
      </c>
      <c r="N779" s="23" t="str">
        <f>IFERROR(__xludf.DUMMYFUNCTION("if(REGEXMATCH(join("", "",$F779:$G779),N$1)=TRUE,""✓"",""✗"")"),"✗")</f>
        <v>✗</v>
      </c>
      <c r="O779" s="23" t="str">
        <f>IFERROR(__xludf.DUMMYFUNCTION("if(REGEXMATCH(join("", "",$F779:$G779),O$1)=TRUE,""✓"",""✗"")"),"✗")</f>
        <v>✗</v>
      </c>
      <c r="P779" s="23" t="str">
        <f>IFERROR(__xludf.DUMMYFUNCTION("if(REGEXMATCH(join("", "",$F779:$G779),P$1)=TRUE,""✓"",""✗"")"),"✗")</f>
        <v>✗</v>
      </c>
      <c r="Q779" s="23" t="str">
        <f>IFERROR(__xludf.DUMMYFUNCTION("if(REGEXMATCH(join("", "",$F779:$G779),Q$1)=TRUE,""✓"",""✗"")"),"✗")</f>
        <v>✗</v>
      </c>
      <c r="R779" s="23" t="str">
        <f>IFERROR(__xludf.DUMMYFUNCTION("if(REGEXMATCH(join("", "",$F779:$G779),R$1)=TRUE,""✓"",""✗"")"),"✗")</f>
        <v>✗</v>
      </c>
      <c r="S779" s="23" t="str">
        <f>IFERROR(__xludf.DUMMYFUNCTION("if(REGEXMATCH(join("", "",$F779:$G779),S$1)=TRUE,""✓"",""✗"")"),"✗")</f>
        <v>✗</v>
      </c>
      <c r="T779" s="23" t="str">
        <f>IFERROR(__xludf.DUMMYFUNCTION("if(REGEXMATCH(join("", "",$F779:$G779),T$1)=TRUE,""✓"",""✗"")"),"✗")</f>
        <v>✗</v>
      </c>
      <c r="U779" s="33"/>
      <c r="V779" s="33"/>
      <c r="W779" s="33"/>
      <c r="X779" s="33"/>
      <c r="Y779" s="33"/>
      <c r="Z779" s="33"/>
      <c r="AA779" s="33"/>
      <c r="AB779" s="33"/>
      <c r="AC779" s="33"/>
    </row>
    <row r="780" hidden="1">
      <c r="A780" s="17" t="s">
        <v>302</v>
      </c>
      <c r="B780" s="33"/>
      <c r="C780" s="33"/>
      <c r="D780" s="33"/>
      <c r="E780" s="33"/>
      <c r="F780" s="33"/>
      <c r="G780" s="33"/>
      <c r="H780" s="23" t="str">
        <f>IFERROR(__xludf.DUMMYFUNCTION("if(REGEXMATCH(join("", "",$F780:$G780),H$1)=TRUE,""✓"",""✗"")"),"✗")</f>
        <v>✗</v>
      </c>
      <c r="I780" s="23" t="str">
        <f>IFERROR(__xludf.DUMMYFUNCTION("if(REGEXMATCH(join("", "",$F780:$G780),I$1)=TRUE,""✓"",""✗"")"),"✗")</f>
        <v>✗</v>
      </c>
      <c r="J780" s="23" t="str">
        <f>IFERROR(__xludf.DUMMYFUNCTION("if(REGEXMATCH(join("", "",$F780:$G780),J$1)=TRUE,""✓"",""✗"")"),"✗")</f>
        <v>✗</v>
      </c>
      <c r="K780" s="23" t="str">
        <f>IFERROR(__xludf.DUMMYFUNCTION("if(REGEXMATCH(join("", "",$F780:$G780),K$1)=TRUE,""✓"",""✗"")"),"✗")</f>
        <v>✗</v>
      </c>
      <c r="L780" s="23" t="str">
        <f>IFERROR(__xludf.DUMMYFUNCTION("if(REGEXMATCH(join("", "",$F780:$G780),L$1)=TRUE,""✓"",""✗"")"),"✗")</f>
        <v>✗</v>
      </c>
      <c r="M780" s="23" t="str">
        <f>IFERROR(__xludf.DUMMYFUNCTION("if(REGEXMATCH(join("", "",$F780:$G780),M$1)=TRUE,""✓"",""✗"")"),"✗")</f>
        <v>✗</v>
      </c>
      <c r="N780" s="23" t="str">
        <f>IFERROR(__xludf.DUMMYFUNCTION("if(REGEXMATCH(join("", "",$F780:$G780),N$1)=TRUE,""✓"",""✗"")"),"✗")</f>
        <v>✗</v>
      </c>
      <c r="O780" s="23" t="str">
        <f>IFERROR(__xludf.DUMMYFUNCTION("if(REGEXMATCH(join("", "",$F780:$G780),O$1)=TRUE,""✓"",""✗"")"),"✗")</f>
        <v>✗</v>
      </c>
      <c r="P780" s="23" t="str">
        <f>IFERROR(__xludf.DUMMYFUNCTION("if(REGEXMATCH(join("", "",$F780:$G780),P$1)=TRUE,""✓"",""✗"")"),"✗")</f>
        <v>✗</v>
      </c>
      <c r="Q780" s="23" t="str">
        <f>IFERROR(__xludf.DUMMYFUNCTION("if(REGEXMATCH(join("", "",$F780:$G780),Q$1)=TRUE,""✓"",""✗"")"),"✗")</f>
        <v>✗</v>
      </c>
      <c r="R780" s="23" t="str">
        <f>IFERROR(__xludf.DUMMYFUNCTION("if(REGEXMATCH(join("", "",$F780:$G780),R$1)=TRUE,""✓"",""✗"")"),"✗")</f>
        <v>✗</v>
      </c>
      <c r="S780" s="23" t="str">
        <f>IFERROR(__xludf.DUMMYFUNCTION("if(REGEXMATCH(join("", "",$F780:$G780),S$1)=TRUE,""✓"",""✗"")"),"✗")</f>
        <v>✗</v>
      </c>
      <c r="T780" s="23" t="str">
        <f>IFERROR(__xludf.DUMMYFUNCTION("if(REGEXMATCH(join("", "",$F780:$G780),T$1)=TRUE,""✓"",""✗"")"),"✗")</f>
        <v>✗</v>
      </c>
      <c r="U780" s="33"/>
      <c r="V780" s="33"/>
      <c r="W780" s="33"/>
      <c r="X780" s="33"/>
      <c r="Y780" s="33"/>
      <c r="Z780" s="33"/>
      <c r="AA780" s="33"/>
      <c r="AB780" s="33"/>
      <c r="AC780" s="33"/>
    </row>
    <row r="781" hidden="1">
      <c r="A781" s="17" t="s">
        <v>302</v>
      </c>
      <c r="B781" s="33"/>
      <c r="C781" s="33"/>
      <c r="D781" s="33"/>
      <c r="E781" s="33"/>
      <c r="F781" s="33"/>
      <c r="G781" s="33"/>
      <c r="H781" s="23" t="str">
        <f>IFERROR(__xludf.DUMMYFUNCTION("if(REGEXMATCH(join("", "",$F781:$G781),H$1)=TRUE,""✓"",""✗"")"),"✗")</f>
        <v>✗</v>
      </c>
      <c r="I781" s="23" t="str">
        <f>IFERROR(__xludf.DUMMYFUNCTION("if(REGEXMATCH(join("", "",$F781:$G781),I$1)=TRUE,""✓"",""✗"")"),"✗")</f>
        <v>✗</v>
      </c>
      <c r="J781" s="23" t="str">
        <f>IFERROR(__xludf.DUMMYFUNCTION("if(REGEXMATCH(join("", "",$F781:$G781),J$1)=TRUE,""✓"",""✗"")"),"✗")</f>
        <v>✗</v>
      </c>
      <c r="K781" s="23" t="str">
        <f>IFERROR(__xludf.DUMMYFUNCTION("if(REGEXMATCH(join("", "",$F781:$G781),K$1)=TRUE,""✓"",""✗"")"),"✗")</f>
        <v>✗</v>
      </c>
      <c r="L781" s="23" t="str">
        <f>IFERROR(__xludf.DUMMYFUNCTION("if(REGEXMATCH(join("", "",$F781:$G781),L$1)=TRUE,""✓"",""✗"")"),"✗")</f>
        <v>✗</v>
      </c>
      <c r="M781" s="23" t="str">
        <f>IFERROR(__xludf.DUMMYFUNCTION("if(REGEXMATCH(join("", "",$F781:$G781),M$1)=TRUE,""✓"",""✗"")"),"✗")</f>
        <v>✗</v>
      </c>
      <c r="N781" s="23" t="str">
        <f>IFERROR(__xludf.DUMMYFUNCTION("if(REGEXMATCH(join("", "",$F781:$G781),N$1)=TRUE,""✓"",""✗"")"),"✗")</f>
        <v>✗</v>
      </c>
      <c r="O781" s="23" t="str">
        <f>IFERROR(__xludf.DUMMYFUNCTION("if(REGEXMATCH(join("", "",$F781:$G781),O$1)=TRUE,""✓"",""✗"")"),"✗")</f>
        <v>✗</v>
      </c>
      <c r="P781" s="23" t="str">
        <f>IFERROR(__xludf.DUMMYFUNCTION("if(REGEXMATCH(join("", "",$F781:$G781),P$1)=TRUE,""✓"",""✗"")"),"✗")</f>
        <v>✗</v>
      </c>
      <c r="Q781" s="23" t="str">
        <f>IFERROR(__xludf.DUMMYFUNCTION("if(REGEXMATCH(join("", "",$F781:$G781),Q$1)=TRUE,""✓"",""✗"")"),"✗")</f>
        <v>✗</v>
      </c>
      <c r="R781" s="23" t="str">
        <f>IFERROR(__xludf.DUMMYFUNCTION("if(REGEXMATCH(join("", "",$F781:$G781),R$1)=TRUE,""✓"",""✗"")"),"✗")</f>
        <v>✗</v>
      </c>
      <c r="S781" s="23" t="str">
        <f>IFERROR(__xludf.DUMMYFUNCTION("if(REGEXMATCH(join("", "",$F781:$G781),S$1)=TRUE,""✓"",""✗"")"),"✗")</f>
        <v>✗</v>
      </c>
      <c r="T781" s="23" t="str">
        <f>IFERROR(__xludf.DUMMYFUNCTION("if(REGEXMATCH(join("", "",$F781:$G781),T$1)=TRUE,""✓"",""✗"")"),"✗")</f>
        <v>✗</v>
      </c>
      <c r="U781" s="33"/>
      <c r="V781" s="33"/>
      <c r="W781" s="33"/>
      <c r="X781" s="33"/>
      <c r="Y781" s="33"/>
      <c r="Z781" s="33"/>
      <c r="AA781" s="33"/>
      <c r="AB781" s="33"/>
      <c r="AC781" s="33"/>
    </row>
    <row r="782" hidden="1">
      <c r="A782" s="17" t="s">
        <v>302</v>
      </c>
      <c r="B782" s="33"/>
      <c r="C782" s="33"/>
      <c r="D782" s="33"/>
      <c r="E782" s="33"/>
      <c r="F782" s="33"/>
      <c r="G782" s="33"/>
      <c r="H782" s="23" t="str">
        <f>IFERROR(__xludf.DUMMYFUNCTION("if(REGEXMATCH(join("", "",$F782:$G782),H$1)=TRUE,""✓"",""✗"")"),"✗")</f>
        <v>✗</v>
      </c>
      <c r="I782" s="23" t="str">
        <f>IFERROR(__xludf.DUMMYFUNCTION("if(REGEXMATCH(join("", "",$F782:$G782),I$1)=TRUE,""✓"",""✗"")"),"✗")</f>
        <v>✗</v>
      </c>
      <c r="J782" s="23" t="str">
        <f>IFERROR(__xludf.DUMMYFUNCTION("if(REGEXMATCH(join("", "",$F782:$G782),J$1)=TRUE,""✓"",""✗"")"),"✗")</f>
        <v>✗</v>
      </c>
      <c r="K782" s="23" t="str">
        <f>IFERROR(__xludf.DUMMYFUNCTION("if(REGEXMATCH(join("", "",$F782:$G782),K$1)=TRUE,""✓"",""✗"")"),"✗")</f>
        <v>✗</v>
      </c>
      <c r="L782" s="23" t="str">
        <f>IFERROR(__xludf.DUMMYFUNCTION("if(REGEXMATCH(join("", "",$F782:$G782),L$1)=TRUE,""✓"",""✗"")"),"✗")</f>
        <v>✗</v>
      </c>
      <c r="M782" s="23" t="str">
        <f>IFERROR(__xludf.DUMMYFUNCTION("if(REGEXMATCH(join("", "",$F782:$G782),M$1)=TRUE,""✓"",""✗"")"),"✗")</f>
        <v>✗</v>
      </c>
      <c r="N782" s="23" t="str">
        <f>IFERROR(__xludf.DUMMYFUNCTION("if(REGEXMATCH(join("", "",$F782:$G782),N$1)=TRUE,""✓"",""✗"")"),"✗")</f>
        <v>✗</v>
      </c>
      <c r="O782" s="23" t="str">
        <f>IFERROR(__xludf.DUMMYFUNCTION("if(REGEXMATCH(join("", "",$F782:$G782),O$1)=TRUE,""✓"",""✗"")"),"✗")</f>
        <v>✗</v>
      </c>
      <c r="P782" s="23" t="str">
        <f>IFERROR(__xludf.DUMMYFUNCTION("if(REGEXMATCH(join("", "",$F782:$G782),P$1)=TRUE,""✓"",""✗"")"),"✗")</f>
        <v>✗</v>
      </c>
      <c r="Q782" s="23" t="str">
        <f>IFERROR(__xludf.DUMMYFUNCTION("if(REGEXMATCH(join("", "",$F782:$G782),Q$1)=TRUE,""✓"",""✗"")"),"✗")</f>
        <v>✗</v>
      </c>
      <c r="R782" s="23" t="str">
        <f>IFERROR(__xludf.DUMMYFUNCTION("if(REGEXMATCH(join("", "",$F782:$G782),R$1)=TRUE,""✓"",""✗"")"),"✗")</f>
        <v>✗</v>
      </c>
      <c r="S782" s="23" t="str">
        <f>IFERROR(__xludf.DUMMYFUNCTION("if(REGEXMATCH(join("", "",$F782:$G782),S$1)=TRUE,""✓"",""✗"")"),"✗")</f>
        <v>✗</v>
      </c>
      <c r="T782" s="23" t="str">
        <f>IFERROR(__xludf.DUMMYFUNCTION("if(REGEXMATCH(join("", "",$F782:$G782),T$1)=TRUE,""✓"",""✗"")"),"✗")</f>
        <v>✗</v>
      </c>
      <c r="U782" s="33"/>
      <c r="V782" s="33"/>
      <c r="W782" s="33"/>
      <c r="X782" s="33"/>
      <c r="Y782" s="33"/>
      <c r="Z782" s="33"/>
      <c r="AA782" s="33"/>
      <c r="AB782" s="33"/>
      <c r="AC782" s="33"/>
    </row>
    <row r="783" hidden="1">
      <c r="A783" s="17" t="s">
        <v>302</v>
      </c>
      <c r="B783" s="33"/>
      <c r="C783" s="33"/>
      <c r="D783" s="33"/>
      <c r="E783" s="33"/>
      <c r="F783" s="33"/>
      <c r="G783" s="33"/>
      <c r="H783" s="23" t="str">
        <f>IFERROR(__xludf.DUMMYFUNCTION("if(REGEXMATCH(join("", "",$F783:$G783),H$1)=TRUE,""✓"",""✗"")"),"✗")</f>
        <v>✗</v>
      </c>
      <c r="I783" s="23" t="str">
        <f>IFERROR(__xludf.DUMMYFUNCTION("if(REGEXMATCH(join("", "",$F783:$G783),I$1)=TRUE,""✓"",""✗"")"),"✗")</f>
        <v>✗</v>
      </c>
      <c r="J783" s="23" t="str">
        <f>IFERROR(__xludf.DUMMYFUNCTION("if(REGEXMATCH(join("", "",$F783:$G783),J$1)=TRUE,""✓"",""✗"")"),"✗")</f>
        <v>✗</v>
      </c>
      <c r="K783" s="23" t="str">
        <f>IFERROR(__xludf.DUMMYFUNCTION("if(REGEXMATCH(join("", "",$F783:$G783),K$1)=TRUE,""✓"",""✗"")"),"✗")</f>
        <v>✗</v>
      </c>
      <c r="L783" s="23" t="str">
        <f>IFERROR(__xludf.DUMMYFUNCTION("if(REGEXMATCH(join("", "",$F783:$G783),L$1)=TRUE,""✓"",""✗"")"),"✗")</f>
        <v>✗</v>
      </c>
      <c r="M783" s="23" t="str">
        <f>IFERROR(__xludf.DUMMYFUNCTION("if(REGEXMATCH(join("", "",$F783:$G783),M$1)=TRUE,""✓"",""✗"")"),"✗")</f>
        <v>✗</v>
      </c>
      <c r="N783" s="23" t="str">
        <f>IFERROR(__xludf.DUMMYFUNCTION("if(REGEXMATCH(join("", "",$F783:$G783),N$1)=TRUE,""✓"",""✗"")"),"✗")</f>
        <v>✗</v>
      </c>
      <c r="O783" s="23" t="str">
        <f>IFERROR(__xludf.DUMMYFUNCTION("if(REGEXMATCH(join("", "",$F783:$G783),O$1)=TRUE,""✓"",""✗"")"),"✗")</f>
        <v>✗</v>
      </c>
      <c r="P783" s="23" t="str">
        <f>IFERROR(__xludf.DUMMYFUNCTION("if(REGEXMATCH(join("", "",$F783:$G783),P$1)=TRUE,""✓"",""✗"")"),"✗")</f>
        <v>✗</v>
      </c>
      <c r="Q783" s="23" t="str">
        <f>IFERROR(__xludf.DUMMYFUNCTION("if(REGEXMATCH(join("", "",$F783:$G783),Q$1)=TRUE,""✓"",""✗"")"),"✗")</f>
        <v>✗</v>
      </c>
      <c r="R783" s="23" t="str">
        <f>IFERROR(__xludf.DUMMYFUNCTION("if(REGEXMATCH(join("", "",$F783:$G783),R$1)=TRUE,""✓"",""✗"")"),"✗")</f>
        <v>✗</v>
      </c>
      <c r="S783" s="23" t="str">
        <f>IFERROR(__xludf.DUMMYFUNCTION("if(REGEXMATCH(join("", "",$F783:$G783),S$1)=TRUE,""✓"",""✗"")"),"✗")</f>
        <v>✗</v>
      </c>
      <c r="T783" s="23" t="str">
        <f>IFERROR(__xludf.DUMMYFUNCTION("if(REGEXMATCH(join("", "",$F783:$G783),T$1)=TRUE,""✓"",""✗"")"),"✗")</f>
        <v>✗</v>
      </c>
      <c r="U783" s="33"/>
      <c r="V783" s="33"/>
      <c r="W783" s="33"/>
      <c r="X783" s="33"/>
      <c r="Y783" s="33"/>
      <c r="Z783" s="33"/>
      <c r="AA783" s="33"/>
      <c r="AB783" s="33"/>
      <c r="AC783" s="33"/>
    </row>
    <row r="784" hidden="1">
      <c r="A784" s="17" t="s">
        <v>302</v>
      </c>
      <c r="B784" s="33"/>
      <c r="C784" s="33"/>
      <c r="D784" s="33"/>
      <c r="E784" s="33"/>
      <c r="F784" s="33"/>
      <c r="G784" s="33"/>
      <c r="H784" s="23" t="str">
        <f>IFERROR(__xludf.DUMMYFUNCTION("if(REGEXMATCH(join("", "",$F784:$G784),H$1)=TRUE,""✓"",""✗"")"),"✗")</f>
        <v>✗</v>
      </c>
      <c r="I784" s="23" t="str">
        <f>IFERROR(__xludf.DUMMYFUNCTION("if(REGEXMATCH(join("", "",$F784:$G784),I$1)=TRUE,""✓"",""✗"")"),"✗")</f>
        <v>✗</v>
      </c>
      <c r="J784" s="23" t="str">
        <f>IFERROR(__xludf.DUMMYFUNCTION("if(REGEXMATCH(join("", "",$F784:$G784),J$1)=TRUE,""✓"",""✗"")"),"✗")</f>
        <v>✗</v>
      </c>
      <c r="K784" s="23" t="str">
        <f>IFERROR(__xludf.DUMMYFUNCTION("if(REGEXMATCH(join("", "",$F784:$G784),K$1)=TRUE,""✓"",""✗"")"),"✗")</f>
        <v>✗</v>
      </c>
      <c r="L784" s="23" t="str">
        <f>IFERROR(__xludf.DUMMYFUNCTION("if(REGEXMATCH(join("", "",$F784:$G784),L$1)=TRUE,""✓"",""✗"")"),"✗")</f>
        <v>✗</v>
      </c>
      <c r="M784" s="23" t="str">
        <f>IFERROR(__xludf.DUMMYFUNCTION("if(REGEXMATCH(join("", "",$F784:$G784),M$1)=TRUE,""✓"",""✗"")"),"✗")</f>
        <v>✗</v>
      </c>
      <c r="N784" s="23" t="str">
        <f>IFERROR(__xludf.DUMMYFUNCTION("if(REGEXMATCH(join("", "",$F784:$G784),N$1)=TRUE,""✓"",""✗"")"),"✗")</f>
        <v>✗</v>
      </c>
      <c r="O784" s="23" t="str">
        <f>IFERROR(__xludf.DUMMYFUNCTION("if(REGEXMATCH(join("", "",$F784:$G784),O$1)=TRUE,""✓"",""✗"")"),"✗")</f>
        <v>✗</v>
      </c>
      <c r="P784" s="23" t="str">
        <f>IFERROR(__xludf.DUMMYFUNCTION("if(REGEXMATCH(join("", "",$F784:$G784),P$1)=TRUE,""✓"",""✗"")"),"✗")</f>
        <v>✗</v>
      </c>
      <c r="Q784" s="23" t="str">
        <f>IFERROR(__xludf.DUMMYFUNCTION("if(REGEXMATCH(join("", "",$F784:$G784),Q$1)=TRUE,""✓"",""✗"")"),"✗")</f>
        <v>✗</v>
      </c>
      <c r="R784" s="23" t="str">
        <f>IFERROR(__xludf.DUMMYFUNCTION("if(REGEXMATCH(join("", "",$F784:$G784),R$1)=TRUE,""✓"",""✗"")"),"✗")</f>
        <v>✗</v>
      </c>
      <c r="S784" s="23" t="str">
        <f>IFERROR(__xludf.DUMMYFUNCTION("if(REGEXMATCH(join("", "",$F784:$G784),S$1)=TRUE,""✓"",""✗"")"),"✗")</f>
        <v>✗</v>
      </c>
      <c r="T784" s="23" t="str">
        <f>IFERROR(__xludf.DUMMYFUNCTION("if(REGEXMATCH(join("", "",$F784:$G784),T$1)=TRUE,""✓"",""✗"")"),"✗")</f>
        <v>✗</v>
      </c>
      <c r="U784" s="33"/>
      <c r="V784" s="33"/>
      <c r="W784" s="33"/>
      <c r="X784" s="33"/>
      <c r="Y784" s="33"/>
      <c r="Z784" s="33"/>
      <c r="AA784" s="33"/>
      <c r="AB784" s="33"/>
      <c r="AC784" s="33"/>
    </row>
    <row r="785" hidden="1">
      <c r="A785" s="17" t="s">
        <v>302</v>
      </c>
      <c r="B785" s="33"/>
      <c r="C785" s="33"/>
      <c r="D785" s="33"/>
      <c r="E785" s="33"/>
      <c r="F785" s="33"/>
      <c r="G785" s="33"/>
      <c r="H785" s="23" t="str">
        <f>IFERROR(__xludf.DUMMYFUNCTION("if(REGEXMATCH(join("", "",$F785:$G785),H$1)=TRUE,""✓"",""✗"")"),"✗")</f>
        <v>✗</v>
      </c>
      <c r="I785" s="23" t="str">
        <f>IFERROR(__xludf.DUMMYFUNCTION("if(REGEXMATCH(join("", "",$F785:$G785),I$1)=TRUE,""✓"",""✗"")"),"✗")</f>
        <v>✗</v>
      </c>
      <c r="J785" s="23" t="str">
        <f>IFERROR(__xludf.DUMMYFUNCTION("if(REGEXMATCH(join("", "",$F785:$G785),J$1)=TRUE,""✓"",""✗"")"),"✗")</f>
        <v>✗</v>
      </c>
      <c r="K785" s="23" t="str">
        <f>IFERROR(__xludf.DUMMYFUNCTION("if(REGEXMATCH(join("", "",$F785:$G785),K$1)=TRUE,""✓"",""✗"")"),"✗")</f>
        <v>✗</v>
      </c>
      <c r="L785" s="23" t="str">
        <f>IFERROR(__xludf.DUMMYFUNCTION("if(REGEXMATCH(join("", "",$F785:$G785),L$1)=TRUE,""✓"",""✗"")"),"✗")</f>
        <v>✗</v>
      </c>
      <c r="M785" s="23" t="str">
        <f>IFERROR(__xludf.DUMMYFUNCTION("if(REGEXMATCH(join("", "",$F785:$G785),M$1)=TRUE,""✓"",""✗"")"),"✗")</f>
        <v>✗</v>
      </c>
      <c r="N785" s="23" t="str">
        <f>IFERROR(__xludf.DUMMYFUNCTION("if(REGEXMATCH(join("", "",$F785:$G785),N$1)=TRUE,""✓"",""✗"")"),"✗")</f>
        <v>✗</v>
      </c>
      <c r="O785" s="23" t="str">
        <f>IFERROR(__xludf.DUMMYFUNCTION("if(REGEXMATCH(join("", "",$F785:$G785),O$1)=TRUE,""✓"",""✗"")"),"✗")</f>
        <v>✗</v>
      </c>
      <c r="P785" s="23" t="str">
        <f>IFERROR(__xludf.DUMMYFUNCTION("if(REGEXMATCH(join("", "",$F785:$G785),P$1)=TRUE,""✓"",""✗"")"),"✗")</f>
        <v>✗</v>
      </c>
      <c r="Q785" s="23" t="str">
        <f>IFERROR(__xludf.DUMMYFUNCTION("if(REGEXMATCH(join("", "",$F785:$G785),Q$1)=TRUE,""✓"",""✗"")"),"✗")</f>
        <v>✗</v>
      </c>
      <c r="R785" s="23" t="str">
        <f>IFERROR(__xludf.DUMMYFUNCTION("if(REGEXMATCH(join("", "",$F785:$G785),R$1)=TRUE,""✓"",""✗"")"),"✗")</f>
        <v>✗</v>
      </c>
      <c r="S785" s="23" t="str">
        <f>IFERROR(__xludf.DUMMYFUNCTION("if(REGEXMATCH(join("", "",$F785:$G785),S$1)=TRUE,""✓"",""✗"")"),"✗")</f>
        <v>✗</v>
      </c>
      <c r="T785" s="23" t="str">
        <f>IFERROR(__xludf.DUMMYFUNCTION("if(REGEXMATCH(join("", "",$F785:$G785),T$1)=TRUE,""✓"",""✗"")"),"✗")</f>
        <v>✗</v>
      </c>
      <c r="U785" s="33"/>
      <c r="V785" s="33"/>
      <c r="W785" s="33"/>
      <c r="X785" s="33"/>
      <c r="Y785" s="33"/>
      <c r="Z785" s="33"/>
      <c r="AA785" s="33"/>
      <c r="AB785" s="33"/>
      <c r="AC785" s="33"/>
    </row>
    <row r="786" hidden="1">
      <c r="A786" s="17" t="s">
        <v>302</v>
      </c>
      <c r="B786" s="33"/>
      <c r="C786" s="33"/>
      <c r="D786" s="33"/>
      <c r="E786" s="33"/>
      <c r="F786" s="33"/>
      <c r="G786" s="33"/>
      <c r="H786" s="23" t="str">
        <f>IFERROR(__xludf.DUMMYFUNCTION("if(REGEXMATCH(join("", "",$F786:$G786),H$1)=TRUE,""✓"",""✗"")"),"✗")</f>
        <v>✗</v>
      </c>
      <c r="I786" s="23" t="str">
        <f>IFERROR(__xludf.DUMMYFUNCTION("if(REGEXMATCH(join("", "",$F786:$G786),I$1)=TRUE,""✓"",""✗"")"),"✗")</f>
        <v>✗</v>
      </c>
      <c r="J786" s="23" t="str">
        <f>IFERROR(__xludf.DUMMYFUNCTION("if(REGEXMATCH(join("", "",$F786:$G786),J$1)=TRUE,""✓"",""✗"")"),"✗")</f>
        <v>✗</v>
      </c>
      <c r="K786" s="23" t="str">
        <f>IFERROR(__xludf.DUMMYFUNCTION("if(REGEXMATCH(join("", "",$F786:$G786),K$1)=TRUE,""✓"",""✗"")"),"✗")</f>
        <v>✗</v>
      </c>
      <c r="L786" s="23" t="str">
        <f>IFERROR(__xludf.DUMMYFUNCTION("if(REGEXMATCH(join("", "",$F786:$G786),L$1)=TRUE,""✓"",""✗"")"),"✗")</f>
        <v>✗</v>
      </c>
      <c r="M786" s="23" t="str">
        <f>IFERROR(__xludf.DUMMYFUNCTION("if(REGEXMATCH(join("", "",$F786:$G786),M$1)=TRUE,""✓"",""✗"")"),"✗")</f>
        <v>✗</v>
      </c>
      <c r="N786" s="23" t="str">
        <f>IFERROR(__xludf.DUMMYFUNCTION("if(REGEXMATCH(join("", "",$F786:$G786),N$1)=TRUE,""✓"",""✗"")"),"✗")</f>
        <v>✗</v>
      </c>
      <c r="O786" s="23" t="str">
        <f>IFERROR(__xludf.DUMMYFUNCTION("if(REGEXMATCH(join("", "",$F786:$G786),O$1)=TRUE,""✓"",""✗"")"),"✗")</f>
        <v>✗</v>
      </c>
      <c r="P786" s="23" t="str">
        <f>IFERROR(__xludf.DUMMYFUNCTION("if(REGEXMATCH(join("", "",$F786:$G786),P$1)=TRUE,""✓"",""✗"")"),"✗")</f>
        <v>✗</v>
      </c>
      <c r="Q786" s="23" t="str">
        <f>IFERROR(__xludf.DUMMYFUNCTION("if(REGEXMATCH(join("", "",$F786:$G786),Q$1)=TRUE,""✓"",""✗"")"),"✗")</f>
        <v>✗</v>
      </c>
      <c r="R786" s="23" t="str">
        <f>IFERROR(__xludf.DUMMYFUNCTION("if(REGEXMATCH(join("", "",$F786:$G786),R$1)=TRUE,""✓"",""✗"")"),"✗")</f>
        <v>✗</v>
      </c>
      <c r="S786" s="23" t="str">
        <f>IFERROR(__xludf.DUMMYFUNCTION("if(REGEXMATCH(join("", "",$F786:$G786),S$1)=TRUE,""✓"",""✗"")"),"✗")</f>
        <v>✗</v>
      </c>
      <c r="T786" s="23" t="str">
        <f>IFERROR(__xludf.DUMMYFUNCTION("if(REGEXMATCH(join("", "",$F786:$G786),T$1)=TRUE,""✓"",""✗"")"),"✗")</f>
        <v>✗</v>
      </c>
      <c r="U786" s="33"/>
      <c r="V786" s="33"/>
      <c r="W786" s="33"/>
      <c r="X786" s="33"/>
      <c r="Y786" s="33"/>
      <c r="Z786" s="33"/>
      <c r="AA786" s="33"/>
      <c r="AB786" s="33"/>
      <c r="AC786" s="33"/>
    </row>
    <row r="787" hidden="1">
      <c r="A787" s="17" t="s">
        <v>302</v>
      </c>
      <c r="B787" s="33"/>
      <c r="C787" s="33"/>
      <c r="D787" s="33"/>
      <c r="E787" s="33"/>
      <c r="F787" s="33"/>
      <c r="G787" s="33"/>
      <c r="H787" s="23" t="str">
        <f>IFERROR(__xludf.DUMMYFUNCTION("if(REGEXMATCH(join("", "",$F787:$G787),H$1)=TRUE,""✓"",""✗"")"),"✗")</f>
        <v>✗</v>
      </c>
      <c r="I787" s="23" t="str">
        <f>IFERROR(__xludf.DUMMYFUNCTION("if(REGEXMATCH(join("", "",$F787:$G787),I$1)=TRUE,""✓"",""✗"")"),"✗")</f>
        <v>✗</v>
      </c>
      <c r="J787" s="23" t="str">
        <f>IFERROR(__xludf.DUMMYFUNCTION("if(REGEXMATCH(join("", "",$F787:$G787),J$1)=TRUE,""✓"",""✗"")"),"✗")</f>
        <v>✗</v>
      </c>
      <c r="K787" s="23" t="str">
        <f>IFERROR(__xludf.DUMMYFUNCTION("if(REGEXMATCH(join("", "",$F787:$G787),K$1)=TRUE,""✓"",""✗"")"),"✗")</f>
        <v>✗</v>
      </c>
      <c r="L787" s="23" t="str">
        <f>IFERROR(__xludf.DUMMYFUNCTION("if(REGEXMATCH(join("", "",$F787:$G787),L$1)=TRUE,""✓"",""✗"")"),"✗")</f>
        <v>✗</v>
      </c>
      <c r="M787" s="23" t="str">
        <f>IFERROR(__xludf.DUMMYFUNCTION("if(REGEXMATCH(join("", "",$F787:$G787),M$1)=TRUE,""✓"",""✗"")"),"✗")</f>
        <v>✗</v>
      </c>
      <c r="N787" s="23" t="str">
        <f>IFERROR(__xludf.DUMMYFUNCTION("if(REGEXMATCH(join("", "",$F787:$G787),N$1)=TRUE,""✓"",""✗"")"),"✗")</f>
        <v>✗</v>
      </c>
      <c r="O787" s="23" t="str">
        <f>IFERROR(__xludf.DUMMYFUNCTION("if(REGEXMATCH(join("", "",$F787:$G787),O$1)=TRUE,""✓"",""✗"")"),"✗")</f>
        <v>✗</v>
      </c>
      <c r="P787" s="23" t="str">
        <f>IFERROR(__xludf.DUMMYFUNCTION("if(REGEXMATCH(join("", "",$F787:$G787),P$1)=TRUE,""✓"",""✗"")"),"✗")</f>
        <v>✗</v>
      </c>
      <c r="Q787" s="23" t="str">
        <f>IFERROR(__xludf.DUMMYFUNCTION("if(REGEXMATCH(join("", "",$F787:$G787),Q$1)=TRUE,""✓"",""✗"")"),"✗")</f>
        <v>✗</v>
      </c>
      <c r="R787" s="23" t="str">
        <f>IFERROR(__xludf.DUMMYFUNCTION("if(REGEXMATCH(join("", "",$F787:$G787),R$1)=TRUE,""✓"",""✗"")"),"✗")</f>
        <v>✗</v>
      </c>
      <c r="S787" s="23" t="str">
        <f>IFERROR(__xludf.DUMMYFUNCTION("if(REGEXMATCH(join("", "",$F787:$G787),S$1)=TRUE,""✓"",""✗"")"),"✗")</f>
        <v>✗</v>
      </c>
      <c r="T787" s="23" t="str">
        <f>IFERROR(__xludf.DUMMYFUNCTION("if(REGEXMATCH(join("", "",$F787:$G787),T$1)=TRUE,""✓"",""✗"")"),"✗")</f>
        <v>✗</v>
      </c>
      <c r="U787" s="33"/>
      <c r="V787" s="33"/>
      <c r="W787" s="33"/>
      <c r="X787" s="33"/>
      <c r="Y787" s="33"/>
      <c r="Z787" s="33"/>
      <c r="AA787" s="33"/>
      <c r="AB787" s="33"/>
      <c r="AC787" s="33"/>
    </row>
    <row r="788" hidden="1">
      <c r="A788" s="17" t="s">
        <v>302</v>
      </c>
      <c r="B788" s="33"/>
      <c r="C788" s="33"/>
      <c r="D788" s="33"/>
      <c r="E788" s="33"/>
      <c r="F788" s="33"/>
      <c r="G788" s="33"/>
      <c r="H788" s="23" t="str">
        <f>IFERROR(__xludf.DUMMYFUNCTION("if(REGEXMATCH(join("", "",$F788:$G788),H$1)=TRUE,""✓"",""✗"")"),"✗")</f>
        <v>✗</v>
      </c>
      <c r="I788" s="23" t="str">
        <f>IFERROR(__xludf.DUMMYFUNCTION("if(REGEXMATCH(join("", "",$F788:$G788),I$1)=TRUE,""✓"",""✗"")"),"✗")</f>
        <v>✗</v>
      </c>
      <c r="J788" s="23" t="str">
        <f>IFERROR(__xludf.DUMMYFUNCTION("if(REGEXMATCH(join("", "",$F788:$G788),J$1)=TRUE,""✓"",""✗"")"),"✗")</f>
        <v>✗</v>
      </c>
      <c r="K788" s="23" t="str">
        <f>IFERROR(__xludf.DUMMYFUNCTION("if(REGEXMATCH(join("", "",$F788:$G788),K$1)=TRUE,""✓"",""✗"")"),"✗")</f>
        <v>✗</v>
      </c>
      <c r="L788" s="23" t="str">
        <f>IFERROR(__xludf.DUMMYFUNCTION("if(REGEXMATCH(join("", "",$F788:$G788),L$1)=TRUE,""✓"",""✗"")"),"✗")</f>
        <v>✗</v>
      </c>
      <c r="M788" s="23" t="str">
        <f>IFERROR(__xludf.DUMMYFUNCTION("if(REGEXMATCH(join("", "",$F788:$G788),M$1)=TRUE,""✓"",""✗"")"),"✗")</f>
        <v>✗</v>
      </c>
      <c r="N788" s="23" t="str">
        <f>IFERROR(__xludf.DUMMYFUNCTION("if(REGEXMATCH(join("", "",$F788:$G788),N$1)=TRUE,""✓"",""✗"")"),"✗")</f>
        <v>✗</v>
      </c>
      <c r="O788" s="23" t="str">
        <f>IFERROR(__xludf.DUMMYFUNCTION("if(REGEXMATCH(join("", "",$F788:$G788),O$1)=TRUE,""✓"",""✗"")"),"✗")</f>
        <v>✗</v>
      </c>
      <c r="P788" s="23" t="str">
        <f>IFERROR(__xludf.DUMMYFUNCTION("if(REGEXMATCH(join("", "",$F788:$G788),P$1)=TRUE,""✓"",""✗"")"),"✗")</f>
        <v>✗</v>
      </c>
      <c r="Q788" s="23" t="str">
        <f>IFERROR(__xludf.DUMMYFUNCTION("if(REGEXMATCH(join("", "",$F788:$G788),Q$1)=TRUE,""✓"",""✗"")"),"✗")</f>
        <v>✗</v>
      </c>
      <c r="R788" s="23" t="str">
        <f>IFERROR(__xludf.DUMMYFUNCTION("if(REGEXMATCH(join("", "",$F788:$G788),R$1)=TRUE,""✓"",""✗"")"),"✗")</f>
        <v>✗</v>
      </c>
      <c r="S788" s="23" t="str">
        <f>IFERROR(__xludf.DUMMYFUNCTION("if(REGEXMATCH(join("", "",$F788:$G788),S$1)=TRUE,""✓"",""✗"")"),"✗")</f>
        <v>✗</v>
      </c>
      <c r="T788" s="23" t="str">
        <f>IFERROR(__xludf.DUMMYFUNCTION("if(REGEXMATCH(join("", "",$F788:$G788),T$1)=TRUE,""✓"",""✗"")"),"✗")</f>
        <v>✗</v>
      </c>
      <c r="U788" s="33"/>
      <c r="V788" s="33"/>
      <c r="W788" s="33"/>
      <c r="X788" s="33"/>
      <c r="Y788" s="33"/>
      <c r="Z788" s="33"/>
      <c r="AA788" s="33"/>
      <c r="AB788" s="33"/>
      <c r="AC788" s="33"/>
    </row>
    <row r="789" hidden="1">
      <c r="A789" s="17" t="s">
        <v>302</v>
      </c>
      <c r="B789" s="33"/>
      <c r="C789" s="33"/>
      <c r="D789" s="33"/>
      <c r="E789" s="33"/>
      <c r="F789" s="33"/>
      <c r="G789" s="33"/>
      <c r="H789" s="23" t="str">
        <f>IFERROR(__xludf.DUMMYFUNCTION("if(REGEXMATCH(join("", "",$F789:$G789),H$1)=TRUE,""✓"",""✗"")"),"✗")</f>
        <v>✗</v>
      </c>
      <c r="I789" s="23" t="str">
        <f>IFERROR(__xludf.DUMMYFUNCTION("if(REGEXMATCH(join("", "",$F789:$G789),I$1)=TRUE,""✓"",""✗"")"),"✗")</f>
        <v>✗</v>
      </c>
      <c r="J789" s="23" t="str">
        <f>IFERROR(__xludf.DUMMYFUNCTION("if(REGEXMATCH(join("", "",$F789:$G789),J$1)=TRUE,""✓"",""✗"")"),"✗")</f>
        <v>✗</v>
      </c>
      <c r="K789" s="23" t="str">
        <f>IFERROR(__xludf.DUMMYFUNCTION("if(REGEXMATCH(join("", "",$F789:$G789),K$1)=TRUE,""✓"",""✗"")"),"✗")</f>
        <v>✗</v>
      </c>
      <c r="L789" s="23" t="str">
        <f>IFERROR(__xludf.DUMMYFUNCTION("if(REGEXMATCH(join("", "",$F789:$G789),L$1)=TRUE,""✓"",""✗"")"),"✗")</f>
        <v>✗</v>
      </c>
      <c r="M789" s="23" t="str">
        <f>IFERROR(__xludf.DUMMYFUNCTION("if(REGEXMATCH(join("", "",$F789:$G789),M$1)=TRUE,""✓"",""✗"")"),"✗")</f>
        <v>✗</v>
      </c>
      <c r="N789" s="23" t="str">
        <f>IFERROR(__xludf.DUMMYFUNCTION("if(REGEXMATCH(join("", "",$F789:$G789),N$1)=TRUE,""✓"",""✗"")"),"✗")</f>
        <v>✗</v>
      </c>
      <c r="O789" s="23" t="str">
        <f>IFERROR(__xludf.DUMMYFUNCTION("if(REGEXMATCH(join("", "",$F789:$G789),O$1)=TRUE,""✓"",""✗"")"),"✗")</f>
        <v>✗</v>
      </c>
      <c r="P789" s="23" t="str">
        <f>IFERROR(__xludf.DUMMYFUNCTION("if(REGEXMATCH(join("", "",$F789:$G789),P$1)=TRUE,""✓"",""✗"")"),"✗")</f>
        <v>✗</v>
      </c>
      <c r="Q789" s="23" t="str">
        <f>IFERROR(__xludf.DUMMYFUNCTION("if(REGEXMATCH(join("", "",$F789:$G789),Q$1)=TRUE,""✓"",""✗"")"),"✗")</f>
        <v>✗</v>
      </c>
      <c r="R789" s="23" t="str">
        <f>IFERROR(__xludf.DUMMYFUNCTION("if(REGEXMATCH(join("", "",$F789:$G789),R$1)=TRUE,""✓"",""✗"")"),"✗")</f>
        <v>✗</v>
      </c>
      <c r="S789" s="23" t="str">
        <f>IFERROR(__xludf.DUMMYFUNCTION("if(REGEXMATCH(join("", "",$F789:$G789),S$1)=TRUE,""✓"",""✗"")"),"✗")</f>
        <v>✗</v>
      </c>
      <c r="T789" s="23" t="str">
        <f>IFERROR(__xludf.DUMMYFUNCTION("if(REGEXMATCH(join("", "",$F789:$G789),T$1)=TRUE,""✓"",""✗"")"),"✗")</f>
        <v>✗</v>
      </c>
      <c r="U789" s="33"/>
      <c r="V789" s="33"/>
      <c r="W789" s="33"/>
      <c r="X789" s="33"/>
      <c r="Y789" s="33"/>
      <c r="Z789" s="33"/>
      <c r="AA789" s="33"/>
      <c r="AB789" s="33"/>
      <c r="AC789" s="33"/>
    </row>
    <row r="790" hidden="1">
      <c r="A790" s="17" t="s">
        <v>302</v>
      </c>
      <c r="B790" s="33"/>
      <c r="C790" s="33"/>
      <c r="D790" s="33"/>
      <c r="E790" s="33"/>
      <c r="F790" s="33"/>
      <c r="G790" s="33"/>
      <c r="H790" s="23" t="str">
        <f>IFERROR(__xludf.DUMMYFUNCTION("if(REGEXMATCH(join("", "",$F790:$G790),H$1)=TRUE,""✓"",""✗"")"),"✗")</f>
        <v>✗</v>
      </c>
      <c r="I790" s="23" t="str">
        <f>IFERROR(__xludf.DUMMYFUNCTION("if(REGEXMATCH(join("", "",$F790:$G790),I$1)=TRUE,""✓"",""✗"")"),"✗")</f>
        <v>✗</v>
      </c>
      <c r="J790" s="23" t="str">
        <f>IFERROR(__xludf.DUMMYFUNCTION("if(REGEXMATCH(join("", "",$F790:$G790),J$1)=TRUE,""✓"",""✗"")"),"✗")</f>
        <v>✗</v>
      </c>
      <c r="K790" s="23" t="str">
        <f>IFERROR(__xludf.DUMMYFUNCTION("if(REGEXMATCH(join("", "",$F790:$G790),K$1)=TRUE,""✓"",""✗"")"),"✗")</f>
        <v>✗</v>
      </c>
      <c r="L790" s="23" t="str">
        <f>IFERROR(__xludf.DUMMYFUNCTION("if(REGEXMATCH(join("", "",$F790:$G790),L$1)=TRUE,""✓"",""✗"")"),"✗")</f>
        <v>✗</v>
      </c>
      <c r="M790" s="23" t="str">
        <f>IFERROR(__xludf.DUMMYFUNCTION("if(REGEXMATCH(join("", "",$F790:$G790),M$1)=TRUE,""✓"",""✗"")"),"✗")</f>
        <v>✗</v>
      </c>
      <c r="N790" s="23" t="str">
        <f>IFERROR(__xludf.DUMMYFUNCTION("if(REGEXMATCH(join("", "",$F790:$G790),N$1)=TRUE,""✓"",""✗"")"),"✗")</f>
        <v>✗</v>
      </c>
      <c r="O790" s="23" t="str">
        <f>IFERROR(__xludf.DUMMYFUNCTION("if(REGEXMATCH(join("", "",$F790:$G790),O$1)=TRUE,""✓"",""✗"")"),"✗")</f>
        <v>✗</v>
      </c>
      <c r="P790" s="23" t="str">
        <f>IFERROR(__xludf.DUMMYFUNCTION("if(REGEXMATCH(join("", "",$F790:$G790),P$1)=TRUE,""✓"",""✗"")"),"✗")</f>
        <v>✗</v>
      </c>
      <c r="Q790" s="23" t="str">
        <f>IFERROR(__xludf.DUMMYFUNCTION("if(REGEXMATCH(join("", "",$F790:$G790),Q$1)=TRUE,""✓"",""✗"")"),"✗")</f>
        <v>✗</v>
      </c>
      <c r="R790" s="23" t="str">
        <f>IFERROR(__xludf.DUMMYFUNCTION("if(REGEXMATCH(join("", "",$F790:$G790),R$1)=TRUE,""✓"",""✗"")"),"✗")</f>
        <v>✗</v>
      </c>
      <c r="S790" s="23" t="str">
        <f>IFERROR(__xludf.DUMMYFUNCTION("if(REGEXMATCH(join("", "",$F790:$G790),S$1)=TRUE,""✓"",""✗"")"),"✗")</f>
        <v>✗</v>
      </c>
      <c r="T790" s="23" t="str">
        <f>IFERROR(__xludf.DUMMYFUNCTION("if(REGEXMATCH(join("", "",$F790:$G790),T$1)=TRUE,""✓"",""✗"")"),"✗")</f>
        <v>✗</v>
      </c>
      <c r="U790" s="33"/>
      <c r="V790" s="33"/>
      <c r="W790" s="33"/>
      <c r="X790" s="33"/>
      <c r="Y790" s="33"/>
      <c r="Z790" s="33"/>
      <c r="AA790" s="33"/>
      <c r="AB790" s="33"/>
      <c r="AC790" s="33"/>
    </row>
    <row r="791" hidden="1">
      <c r="A791" s="17" t="s">
        <v>302</v>
      </c>
      <c r="B791" s="33"/>
      <c r="C791" s="33"/>
      <c r="D791" s="33"/>
      <c r="E791" s="33"/>
      <c r="F791" s="33"/>
      <c r="G791" s="33"/>
      <c r="H791" s="23" t="str">
        <f>IFERROR(__xludf.DUMMYFUNCTION("if(REGEXMATCH(join("", "",$F791:$G791),H$1)=TRUE,""✓"",""✗"")"),"✗")</f>
        <v>✗</v>
      </c>
      <c r="I791" s="23" t="str">
        <f>IFERROR(__xludf.DUMMYFUNCTION("if(REGEXMATCH(join("", "",$F791:$G791),I$1)=TRUE,""✓"",""✗"")"),"✗")</f>
        <v>✗</v>
      </c>
      <c r="J791" s="23" t="str">
        <f>IFERROR(__xludf.DUMMYFUNCTION("if(REGEXMATCH(join("", "",$F791:$G791),J$1)=TRUE,""✓"",""✗"")"),"✗")</f>
        <v>✗</v>
      </c>
      <c r="K791" s="23" t="str">
        <f>IFERROR(__xludf.DUMMYFUNCTION("if(REGEXMATCH(join("", "",$F791:$G791),K$1)=TRUE,""✓"",""✗"")"),"✗")</f>
        <v>✗</v>
      </c>
      <c r="L791" s="23" t="str">
        <f>IFERROR(__xludf.DUMMYFUNCTION("if(REGEXMATCH(join("", "",$F791:$G791),L$1)=TRUE,""✓"",""✗"")"),"✗")</f>
        <v>✗</v>
      </c>
      <c r="M791" s="23" t="str">
        <f>IFERROR(__xludf.DUMMYFUNCTION("if(REGEXMATCH(join("", "",$F791:$G791),M$1)=TRUE,""✓"",""✗"")"),"✗")</f>
        <v>✗</v>
      </c>
      <c r="N791" s="23" t="str">
        <f>IFERROR(__xludf.DUMMYFUNCTION("if(REGEXMATCH(join("", "",$F791:$G791),N$1)=TRUE,""✓"",""✗"")"),"✗")</f>
        <v>✗</v>
      </c>
      <c r="O791" s="23" t="str">
        <f>IFERROR(__xludf.DUMMYFUNCTION("if(REGEXMATCH(join("", "",$F791:$G791),O$1)=TRUE,""✓"",""✗"")"),"✗")</f>
        <v>✗</v>
      </c>
      <c r="P791" s="23" t="str">
        <f>IFERROR(__xludf.DUMMYFUNCTION("if(REGEXMATCH(join("", "",$F791:$G791),P$1)=TRUE,""✓"",""✗"")"),"✗")</f>
        <v>✗</v>
      </c>
      <c r="Q791" s="23" t="str">
        <f>IFERROR(__xludf.DUMMYFUNCTION("if(REGEXMATCH(join("", "",$F791:$G791),Q$1)=TRUE,""✓"",""✗"")"),"✗")</f>
        <v>✗</v>
      </c>
      <c r="R791" s="23" t="str">
        <f>IFERROR(__xludf.DUMMYFUNCTION("if(REGEXMATCH(join("", "",$F791:$G791),R$1)=TRUE,""✓"",""✗"")"),"✗")</f>
        <v>✗</v>
      </c>
      <c r="S791" s="23" t="str">
        <f>IFERROR(__xludf.DUMMYFUNCTION("if(REGEXMATCH(join("", "",$F791:$G791),S$1)=TRUE,""✓"",""✗"")"),"✗")</f>
        <v>✗</v>
      </c>
      <c r="T791" s="23" t="str">
        <f>IFERROR(__xludf.DUMMYFUNCTION("if(REGEXMATCH(join("", "",$F791:$G791),T$1)=TRUE,""✓"",""✗"")"),"✗")</f>
        <v>✗</v>
      </c>
      <c r="U791" s="33"/>
      <c r="V791" s="33"/>
      <c r="W791" s="33"/>
      <c r="X791" s="33"/>
      <c r="Y791" s="33"/>
      <c r="Z791" s="33"/>
      <c r="AA791" s="33"/>
      <c r="AB791" s="33"/>
      <c r="AC791" s="33"/>
    </row>
    <row r="792" hidden="1">
      <c r="A792" s="17" t="s">
        <v>302</v>
      </c>
      <c r="B792" s="33"/>
      <c r="C792" s="33"/>
      <c r="D792" s="33"/>
      <c r="E792" s="33"/>
      <c r="F792" s="33"/>
      <c r="G792" s="33"/>
      <c r="H792" s="23" t="str">
        <f>IFERROR(__xludf.DUMMYFUNCTION("if(REGEXMATCH(join("", "",$F792:$G792),H$1)=TRUE,""✓"",""✗"")"),"✗")</f>
        <v>✗</v>
      </c>
      <c r="I792" s="23" t="str">
        <f>IFERROR(__xludf.DUMMYFUNCTION("if(REGEXMATCH(join("", "",$F792:$G792),I$1)=TRUE,""✓"",""✗"")"),"✗")</f>
        <v>✗</v>
      </c>
      <c r="J792" s="23" t="str">
        <f>IFERROR(__xludf.DUMMYFUNCTION("if(REGEXMATCH(join("", "",$F792:$G792),J$1)=TRUE,""✓"",""✗"")"),"✗")</f>
        <v>✗</v>
      </c>
      <c r="K792" s="23" t="str">
        <f>IFERROR(__xludf.DUMMYFUNCTION("if(REGEXMATCH(join("", "",$F792:$G792),K$1)=TRUE,""✓"",""✗"")"),"✗")</f>
        <v>✗</v>
      </c>
      <c r="L792" s="23" t="str">
        <f>IFERROR(__xludf.DUMMYFUNCTION("if(REGEXMATCH(join("", "",$F792:$G792),L$1)=TRUE,""✓"",""✗"")"),"✗")</f>
        <v>✗</v>
      </c>
      <c r="M792" s="23" t="str">
        <f>IFERROR(__xludf.DUMMYFUNCTION("if(REGEXMATCH(join("", "",$F792:$G792),M$1)=TRUE,""✓"",""✗"")"),"✗")</f>
        <v>✗</v>
      </c>
      <c r="N792" s="23" t="str">
        <f>IFERROR(__xludf.DUMMYFUNCTION("if(REGEXMATCH(join("", "",$F792:$G792),N$1)=TRUE,""✓"",""✗"")"),"✗")</f>
        <v>✗</v>
      </c>
      <c r="O792" s="23" t="str">
        <f>IFERROR(__xludf.DUMMYFUNCTION("if(REGEXMATCH(join("", "",$F792:$G792),O$1)=TRUE,""✓"",""✗"")"),"✗")</f>
        <v>✗</v>
      </c>
      <c r="P792" s="23" t="str">
        <f>IFERROR(__xludf.DUMMYFUNCTION("if(REGEXMATCH(join("", "",$F792:$G792),P$1)=TRUE,""✓"",""✗"")"),"✗")</f>
        <v>✗</v>
      </c>
      <c r="Q792" s="23" t="str">
        <f>IFERROR(__xludf.DUMMYFUNCTION("if(REGEXMATCH(join("", "",$F792:$G792),Q$1)=TRUE,""✓"",""✗"")"),"✗")</f>
        <v>✗</v>
      </c>
      <c r="R792" s="23" t="str">
        <f>IFERROR(__xludf.DUMMYFUNCTION("if(REGEXMATCH(join("", "",$F792:$G792),R$1)=TRUE,""✓"",""✗"")"),"✗")</f>
        <v>✗</v>
      </c>
      <c r="S792" s="23" t="str">
        <f>IFERROR(__xludf.DUMMYFUNCTION("if(REGEXMATCH(join("", "",$F792:$G792),S$1)=TRUE,""✓"",""✗"")"),"✗")</f>
        <v>✗</v>
      </c>
      <c r="T792" s="23" t="str">
        <f>IFERROR(__xludf.DUMMYFUNCTION("if(REGEXMATCH(join("", "",$F792:$G792),T$1)=TRUE,""✓"",""✗"")"),"✗")</f>
        <v>✗</v>
      </c>
      <c r="U792" s="33"/>
      <c r="V792" s="33"/>
      <c r="W792" s="33"/>
      <c r="X792" s="33"/>
      <c r="Y792" s="33"/>
      <c r="Z792" s="33"/>
      <c r="AA792" s="33"/>
      <c r="AB792" s="33"/>
      <c r="AC792" s="33"/>
    </row>
    <row r="793" hidden="1">
      <c r="A793" s="17" t="s">
        <v>302</v>
      </c>
      <c r="B793" s="33"/>
      <c r="C793" s="33"/>
      <c r="D793" s="33"/>
      <c r="E793" s="33"/>
      <c r="F793" s="33"/>
      <c r="G793" s="33"/>
      <c r="H793" s="23" t="str">
        <f>IFERROR(__xludf.DUMMYFUNCTION("if(REGEXMATCH(join("", "",$F793:$G793),H$1)=TRUE,""✓"",""✗"")"),"✗")</f>
        <v>✗</v>
      </c>
      <c r="I793" s="23" t="str">
        <f>IFERROR(__xludf.DUMMYFUNCTION("if(REGEXMATCH(join("", "",$F793:$G793),I$1)=TRUE,""✓"",""✗"")"),"✗")</f>
        <v>✗</v>
      </c>
      <c r="J793" s="23" t="str">
        <f>IFERROR(__xludf.DUMMYFUNCTION("if(REGEXMATCH(join("", "",$F793:$G793),J$1)=TRUE,""✓"",""✗"")"),"✗")</f>
        <v>✗</v>
      </c>
      <c r="K793" s="23" t="str">
        <f>IFERROR(__xludf.DUMMYFUNCTION("if(REGEXMATCH(join("", "",$F793:$G793),K$1)=TRUE,""✓"",""✗"")"),"✗")</f>
        <v>✗</v>
      </c>
      <c r="L793" s="23" t="str">
        <f>IFERROR(__xludf.DUMMYFUNCTION("if(REGEXMATCH(join("", "",$F793:$G793),L$1)=TRUE,""✓"",""✗"")"),"✗")</f>
        <v>✗</v>
      </c>
      <c r="M793" s="23" t="str">
        <f>IFERROR(__xludf.DUMMYFUNCTION("if(REGEXMATCH(join("", "",$F793:$G793),M$1)=TRUE,""✓"",""✗"")"),"✗")</f>
        <v>✗</v>
      </c>
      <c r="N793" s="23" t="str">
        <f>IFERROR(__xludf.DUMMYFUNCTION("if(REGEXMATCH(join("", "",$F793:$G793),N$1)=TRUE,""✓"",""✗"")"),"✗")</f>
        <v>✗</v>
      </c>
      <c r="O793" s="23" t="str">
        <f>IFERROR(__xludf.DUMMYFUNCTION("if(REGEXMATCH(join("", "",$F793:$G793),O$1)=TRUE,""✓"",""✗"")"),"✗")</f>
        <v>✗</v>
      </c>
      <c r="P793" s="23" t="str">
        <f>IFERROR(__xludf.DUMMYFUNCTION("if(REGEXMATCH(join("", "",$F793:$G793),P$1)=TRUE,""✓"",""✗"")"),"✗")</f>
        <v>✗</v>
      </c>
      <c r="Q793" s="23" t="str">
        <f>IFERROR(__xludf.DUMMYFUNCTION("if(REGEXMATCH(join("", "",$F793:$G793),Q$1)=TRUE,""✓"",""✗"")"),"✗")</f>
        <v>✗</v>
      </c>
      <c r="R793" s="23" t="str">
        <f>IFERROR(__xludf.DUMMYFUNCTION("if(REGEXMATCH(join("", "",$F793:$G793),R$1)=TRUE,""✓"",""✗"")"),"✗")</f>
        <v>✗</v>
      </c>
      <c r="S793" s="23" t="str">
        <f>IFERROR(__xludf.DUMMYFUNCTION("if(REGEXMATCH(join("", "",$F793:$G793),S$1)=TRUE,""✓"",""✗"")"),"✗")</f>
        <v>✗</v>
      </c>
      <c r="T793" s="23" t="str">
        <f>IFERROR(__xludf.DUMMYFUNCTION("if(REGEXMATCH(join("", "",$F793:$G793),T$1)=TRUE,""✓"",""✗"")"),"✗")</f>
        <v>✗</v>
      </c>
      <c r="U793" s="33"/>
      <c r="V793" s="33"/>
      <c r="W793" s="33"/>
      <c r="X793" s="33"/>
      <c r="Y793" s="33"/>
      <c r="Z793" s="33"/>
      <c r="AA793" s="33"/>
      <c r="AB793" s="33"/>
      <c r="AC793" s="33"/>
    </row>
    <row r="794" hidden="1">
      <c r="A794" s="17" t="s">
        <v>302</v>
      </c>
      <c r="B794" s="33"/>
      <c r="C794" s="33"/>
      <c r="D794" s="33"/>
      <c r="E794" s="33"/>
      <c r="F794" s="33"/>
      <c r="G794" s="33"/>
      <c r="H794" s="23" t="str">
        <f>IFERROR(__xludf.DUMMYFUNCTION("if(REGEXMATCH(join("", "",$F794:$G794),H$1)=TRUE,""✓"",""✗"")"),"✗")</f>
        <v>✗</v>
      </c>
      <c r="I794" s="23" t="str">
        <f>IFERROR(__xludf.DUMMYFUNCTION("if(REGEXMATCH(join("", "",$F794:$G794),I$1)=TRUE,""✓"",""✗"")"),"✗")</f>
        <v>✗</v>
      </c>
      <c r="J794" s="23" t="str">
        <f>IFERROR(__xludf.DUMMYFUNCTION("if(REGEXMATCH(join("", "",$F794:$G794),J$1)=TRUE,""✓"",""✗"")"),"✗")</f>
        <v>✗</v>
      </c>
      <c r="K794" s="23" t="str">
        <f>IFERROR(__xludf.DUMMYFUNCTION("if(REGEXMATCH(join("", "",$F794:$G794),K$1)=TRUE,""✓"",""✗"")"),"✗")</f>
        <v>✗</v>
      </c>
      <c r="L794" s="23" t="str">
        <f>IFERROR(__xludf.DUMMYFUNCTION("if(REGEXMATCH(join("", "",$F794:$G794),L$1)=TRUE,""✓"",""✗"")"),"✗")</f>
        <v>✗</v>
      </c>
      <c r="M794" s="23" t="str">
        <f>IFERROR(__xludf.DUMMYFUNCTION("if(REGEXMATCH(join("", "",$F794:$G794),M$1)=TRUE,""✓"",""✗"")"),"✗")</f>
        <v>✗</v>
      </c>
      <c r="N794" s="23" t="str">
        <f>IFERROR(__xludf.DUMMYFUNCTION("if(REGEXMATCH(join("", "",$F794:$G794),N$1)=TRUE,""✓"",""✗"")"),"✗")</f>
        <v>✗</v>
      </c>
      <c r="O794" s="23" t="str">
        <f>IFERROR(__xludf.DUMMYFUNCTION("if(REGEXMATCH(join("", "",$F794:$G794),O$1)=TRUE,""✓"",""✗"")"),"✗")</f>
        <v>✗</v>
      </c>
      <c r="P794" s="23" t="str">
        <f>IFERROR(__xludf.DUMMYFUNCTION("if(REGEXMATCH(join("", "",$F794:$G794),P$1)=TRUE,""✓"",""✗"")"),"✗")</f>
        <v>✗</v>
      </c>
      <c r="Q794" s="23" t="str">
        <f>IFERROR(__xludf.DUMMYFUNCTION("if(REGEXMATCH(join("", "",$F794:$G794),Q$1)=TRUE,""✓"",""✗"")"),"✗")</f>
        <v>✗</v>
      </c>
      <c r="R794" s="23" t="str">
        <f>IFERROR(__xludf.DUMMYFUNCTION("if(REGEXMATCH(join("", "",$F794:$G794),R$1)=TRUE,""✓"",""✗"")"),"✗")</f>
        <v>✗</v>
      </c>
      <c r="S794" s="23" t="str">
        <f>IFERROR(__xludf.DUMMYFUNCTION("if(REGEXMATCH(join("", "",$F794:$G794),S$1)=TRUE,""✓"",""✗"")"),"✗")</f>
        <v>✗</v>
      </c>
      <c r="T794" s="23" t="str">
        <f>IFERROR(__xludf.DUMMYFUNCTION("if(REGEXMATCH(join("", "",$F794:$G794),T$1)=TRUE,""✓"",""✗"")"),"✗")</f>
        <v>✗</v>
      </c>
      <c r="U794" s="33"/>
      <c r="V794" s="33"/>
      <c r="W794" s="33"/>
      <c r="X794" s="33"/>
      <c r="Y794" s="33"/>
      <c r="Z794" s="33"/>
      <c r="AA794" s="33"/>
      <c r="AB794" s="33"/>
      <c r="AC794" s="33"/>
    </row>
    <row r="795" hidden="1">
      <c r="A795" s="17" t="s">
        <v>302</v>
      </c>
      <c r="B795" s="33"/>
      <c r="C795" s="33"/>
      <c r="D795" s="33"/>
      <c r="E795" s="33"/>
      <c r="F795" s="33"/>
      <c r="G795" s="33"/>
      <c r="H795" s="23" t="str">
        <f>IFERROR(__xludf.DUMMYFUNCTION("if(REGEXMATCH(join("", "",$F795:$G795),H$1)=TRUE,""✓"",""✗"")"),"✗")</f>
        <v>✗</v>
      </c>
      <c r="I795" s="23" t="str">
        <f>IFERROR(__xludf.DUMMYFUNCTION("if(REGEXMATCH(join("", "",$F795:$G795),I$1)=TRUE,""✓"",""✗"")"),"✗")</f>
        <v>✗</v>
      </c>
      <c r="J795" s="23" t="str">
        <f>IFERROR(__xludf.DUMMYFUNCTION("if(REGEXMATCH(join("", "",$F795:$G795),J$1)=TRUE,""✓"",""✗"")"),"✗")</f>
        <v>✗</v>
      </c>
      <c r="K795" s="23" t="str">
        <f>IFERROR(__xludf.DUMMYFUNCTION("if(REGEXMATCH(join("", "",$F795:$G795),K$1)=TRUE,""✓"",""✗"")"),"✗")</f>
        <v>✗</v>
      </c>
      <c r="L795" s="23" t="str">
        <f>IFERROR(__xludf.DUMMYFUNCTION("if(REGEXMATCH(join("", "",$F795:$G795),L$1)=TRUE,""✓"",""✗"")"),"✗")</f>
        <v>✗</v>
      </c>
      <c r="M795" s="23" t="str">
        <f>IFERROR(__xludf.DUMMYFUNCTION("if(REGEXMATCH(join("", "",$F795:$G795),M$1)=TRUE,""✓"",""✗"")"),"✗")</f>
        <v>✗</v>
      </c>
      <c r="N795" s="23" t="str">
        <f>IFERROR(__xludf.DUMMYFUNCTION("if(REGEXMATCH(join("", "",$F795:$G795),N$1)=TRUE,""✓"",""✗"")"),"✗")</f>
        <v>✗</v>
      </c>
      <c r="O795" s="23" t="str">
        <f>IFERROR(__xludf.DUMMYFUNCTION("if(REGEXMATCH(join("", "",$F795:$G795),O$1)=TRUE,""✓"",""✗"")"),"✗")</f>
        <v>✗</v>
      </c>
      <c r="P795" s="23" t="str">
        <f>IFERROR(__xludf.DUMMYFUNCTION("if(REGEXMATCH(join("", "",$F795:$G795),P$1)=TRUE,""✓"",""✗"")"),"✗")</f>
        <v>✗</v>
      </c>
      <c r="Q795" s="23" t="str">
        <f>IFERROR(__xludf.DUMMYFUNCTION("if(REGEXMATCH(join("", "",$F795:$G795),Q$1)=TRUE,""✓"",""✗"")"),"✗")</f>
        <v>✗</v>
      </c>
      <c r="R795" s="23" t="str">
        <f>IFERROR(__xludf.DUMMYFUNCTION("if(REGEXMATCH(join("", "",$F795:$G795),R$1)=TRUE,""✓"",""✗"")"),"✗")</f>
        <v>✗</v>
      </c>
      <c r="S795" s="23" t="str">
        <f>IFERROR(__xludf.DUMMYFUNCTION("if(REGEXMATCH(join("", "",$F795:$G795),S$1)=TRUE,""✓"",""✗"")"),"✗")</f>
        <v>✗</v>
      </c>
      <c r="T795" s="23" t="str">
        <f>IFERROR(__xludf.DUMMYFUNCTION("if(REGEXMATCH(join("", "",$F795:$G795),T$1)=TRUE,""✓"",""✗"")"),"✗")</f>
        <v>✗</v>
      </c>
      <c r="U795" s="33"/>
      <c r="V795" s="33"/>
      <c r="W795" s="33"/>
      <c r="X795" s="33"/>
      <c r="Y795" s="33"/>
      <c r="Z795" s="33"/>
      <c r="AA795" s="33"/>
      <c r="AB795" s="33"/>
      <c r="AC795" s="33"/>
    </row>
    <row r="796" hidden="1">
      <c r="A796" s="17" t="s">
        <v>302</v>
      </c>
      <c r="B796" s="33"/>
      <c r="C796" s="33"/>
      <c r="D796" s="33"/>
      <c r="E796" s="33"/>
      <c r="F796" s="33"/>
      <c r="G796" s="33"/>
      <c r="H796" s="23" t="str">
        <f>IFERROR(__xludf.DUMMYFUNCTION("if(REGEXMATCH(join("", "",$F796:$G796),H$1)=TRUE,""✓"",""✗"")"),"✗")</f>
        <v>✗</v>
      </c>
      <c r="I796" s="23" t="str">
        <f>IFERROR(__xludf.DUMMYFUNCTION("if(REGEXMATCH(join("", "",$F796:$G796),I$1)=TRUE,""✓"",""✗"")"),"✗")</f>
        <v>✗</v>
      </c>
      <c r="J796" s="23" t="str">
        <f>IFERROR(__xludf.DUMMYFUNCTION("if(REGEXMATCH(join("", "",$F796:$G796),J$1)=TRUE,""✓"",""✗"")"),"✗")</f>
        <v>✗</v>
      </c>
      <c r="K796" s="23" t="str">
        <f>IFERROR(__xludf.DUMMYFUNCTION("if(REGEXMATCH(join("", "",$F796:$G796),K$1)=TRUE,""✓"",""✗"")"),"✗")</f>
        <v>✗</v>
      </c>
      <c r="L796" s="23" t="str">
        <f>IFERROR(__xludf.DUMMYFUNCTION("if(REGEXMATCH(join("", "",$F796:$G796),L$1)=TRUE,""✓"",""✗"")"),"✗")</f>
        <v>✗</v>
      </c>
      <c r="M796" s="23" t="str">
        <f>IFERROR(__xludf.DUMMYFUNCTION("if(REGEXMATCH(join("", "",$F796:$G796),M$1)=TRUE,""✓"",""✗"")"),"✗")</f>
        <v>✗</v>
      </c>
      <c r="N796" s="23" t="str">
        <f>IFERROR(__xludf.DUMMYFUNCTION("if(REGEXMATCH(join("", "",$F796:$G796),N$1)=TRUE,""✓"",""✗"")"),"✗")</f>
        <v>✗</v>
      </c>
      <c r="O796" s="23" t="str">
        <f>IFERROR(__xludf.DUMMYFUNCTION("if(REGEXMATCH(join("", "",$F796:$G796),O$1)=TRUE,""✓"",""✗"")"),"✗")</f>
        <v>✗</v>
      </c>
      <c r="P796" s="23" t="str">
        <f>IFERROR(__xludf.DUMMYFUNCTION("if(REGEXMATCH(join("", "",$F796:$G796),P$1)=TRUE,""✓"",""✗"")"),"✗")</f>
        <v>✗</v>
      </c>
      <c r="Q796" s="23" t="str">
        <f>IFERROR(__xludf.DUMMYFUNCTION("if(REGEXMATCH(join("", "",$F796:$G796),Q$1)=TRUE,""✓"",""✗"")"),"✗")</f>
        <v>✗</v>
      </c>
      <c r="R796" s="23" t="str">
        <f>IFERROR(__xludf.DUMMYFUNCTION("if(REGEXMATCH(join("", "",$F796:$G796),R$1)=TRUE,""✓"",""✗"")"),"✗")</f>
        <v>✗</v>
      </c>
      <c r="S796" s="23" t="str">
        <f>IFERROR(__xludf.DUMMYFUNCTION("if(REGEXMATCH(join("", "",$F796:$G796),S$1)=TRUE,""✓"",""✗"")"),"✗")</f>
        <v>✗</v>
      </c>
      <c r="T796" s="23" t="str">
        <f>IFERROR(__xludf.DUMMYFUNCTION("if(REGEXMATCH(join("", "",$F796:$G796),T$1)=TRUE,""✓"",""✗"")"),"✗")</f>
        <v>✗</v>
      </c>
      <c r="U796" s="33"/>
      <c r="V796" s="33"/>
      <c r="W796" s="33"/>
      <c r="X796" s="33"/>
      <c r="Y796" s="33"/>
      <c r="Z796" s="33"/>
      <c r="AA796" s="33"/>
      <c r="AB796" s="33"/>
      <c r="AC796" s="33"/>
    </row>
    <row r="797" hidden="1">
      <c r="A797" s="17" t="s">
        <v>302</v>
      </c>
      <c r="B797" s="33"/>
      <c r="C797" s="33"/>
      <c r="D797" s="33"/>
      <c r="E797" s="33"/>
      <c r="F797" s="33"/>
      <c r="G797" s="33"/>
      <c r="H797" s="23" t="str">
        <f>IFERROR(__xludf.DUMMYFUNCTION("if(REGEXMATCH(join("", "",$F797:$G797),H$1)=TRUE,""✓"",""✗"")"),"✗")</f>
        <v>✗</v>
      </c>
      <c r="I797" s="23" t="str">
        <f>IFERROR(__xludf.DUMMYFUNCTION("if(REGEXMATCH(join("", "",$F797:$G797),I$1)=TRUE,""✓"",""✗"")"),"✗")</f>
        <v>✗</v>
      </c>
      <c r="J797" s="23" t="str">
        <f>IFERROR(__xludf.DUMMYFUNCTION("if(REGEXMATCH(join("", "",$F797:$G797),J$1)=TRUE,""✓"",""✗"")"),"✗")</f>
        <v>✗</v>
      </c>
      <c r="K797" s="23" t="str">
        <f>IFERROR(__xludf.DUMMYFUNCTION("if(REGEXMATCH(join("", "",$F797:$G797),K$1)=TRUE,""✓"",""✗"")"),"✗")</f>
        <v>✗</v>
      </c>
      <c r="L797" s="23" t="str">
        <f>IFERROR(__xludf.DUMMYFUNCTION("if(REGEXMATCH(join("", "",$F797:$G797),L$1)=TRUE,""✓"",""✗"")"),"✗")</f>
        <v>✗</v>
      </c>
      <c r="M797" s="23" t="str">
        <f>IFERROR(__xludf.DUMMYFUNCTION("if(REGEXMATCH(join("", "",$F797:$G797),M$1)=TRUE,""✓"",""✗"")"),"✗")</f>
        <v>✗</v>
      </c>
      <c r="N797" s="23" t="str">
        <f>IFERROR(__xludf.DUMMYFUNCTION("if(REGEXMATCH(join("", "",$F797:$G797),N$1)=TRUE,""✓"",""✗"")"),"✗")</f>
        <v>✗</v>
      </c>
      <c r="O797" s="23" t="str">
        <f>IFERROR(__xludf.DUMMYFUNCTION("if(REGEXMATCH(join("", "",$F797:$G797),O$1)=TRUE,""✓"",""✗"")"),"✗")</f>
        <v>✗</v>
      </c>
      <c r="P797" s="23" t="str">
        <f>IFERROR(__xludf.DUMMYFUNCTION("if(REGEXMATCH(join("", "",$F797:$G797),P$1)=TRUE,""✓"",""✗"")"),"✗")</f>
        <v>✗</v>
      </c>
      <c r="Q797" s="23" t="str">
        <f>IFERROR(__xludf.DUMMYFUNCTION("if(REGEXMATCH(join("", "",$F797:$G797),Q$1)=TRUE,""✓"",""✗"")"),"✗")</f>
        <v>✗</v>
      </c>
      <c r="R797" s="23" t="str">
        <f>IFERROR(__xludf.DUMMYFUNCTION("if(REGEXMATCH(join("", "",$F797:$G797),R$1)=TRUE,""✓"",""✗"")"),"✗")</f>
        <v>✗</v>
      </c>
      <c r="S797" s="23" t="str">
        <f>IFERROR(__xludf.DUMMYFUNCTION("if(REGEXMATCH(join("", "",$F797:$G797),S$1)=TRUE,""✓"",""✗"")"),"✗")</f>
        <v>✗</v>
      </c>
      <c r="T797" s="23" t="str">
        <f>IFERROR(__xludf.DUMMYFUNCTION("if(REGEXMATCH(join("", "",$F797:$G797),T$1)=TRUE,""✓"",""✗"")"),"✗")</f>
        <v>✗</v>
      </c>
      <c r="U797" s="33"/>
      <c r="V797" s="33"/>
      <c r="W797" s="33"/>
      <c r="X797" s="33"/>
      <c r="Y797" s="33"/>
      <c r="Z797" s="33"/>
      <c r="AA797" s="33"/>
      <c r="AB797" s="33"/>
      <c r="AC797" s="33"/>
    </row>
    <row r="798" hidden="1">
      <c r="A798" s="17" t="s">
        <v>302</v>
      </c>
      <c r="B798" s="33"/>
      <c r="C798" s="33"/>
      <c r="D798" s="33"/>
      <c r="E798" s="33"/>
      <c r="F798" s="33"/>
      <c r="G798" s="33"/>
      <c r="H798" s="23" t="str">
        <f>IFERROR(__xludf.DUMMYFUNCTION("if(REGEXMATCH(join("", "",$F798:$G798),H$1)=TRUE,""✓"",""✗"")"),"✗")</f>
        <v>✗</v>
      </c>
      <c r="I798" s="23" t="str">
        <f>IFERROR(__xludf.DUMMYFUNCTION("if(REGEXMATCH(join("", "",$F798:$G798),I$1)=TRUE,""✓"",""✗"")"),"✗")</f>
        <v>✗</v>
      </c>
      <c r="J798" s="23" t="str">
        <f>IFERROR(__xludf.DUMMYFUNCTION("if(REGEXMATCH(join("", "",$F798:$G798),J$1)=TRUE,""✓"",""✗"")"),"✗")</f>
        <v>✗</v>
      </c>
      <c r="K798" s="23" t="str">
        <f>IFERROR(__xludf.DUMMYFUNCTION("if(REGEXMATCH(join("", "",$F798:$G798),K$1)=TRUE,""✓"",""✗"")"),"✗")</f>
        <v>✗</v>
      </c>
      <c r="L798" s="23" t="str">
        <f>IFERROR(__xludf.DUMMYFUNCTION("if(REGEXMATCH(join("", "",$F798:$G798),L$1)=TRUE,""✓"",""✗"")"),"✗")</f>
        <v>✗</v>
      </c>
      <c r="M798" s="23" t="str">
        <f>IFERROR(__xludf.DUMMYFUNCTION("if(REGEXMATCH(join("", "",$F798:$G798),M$1)=TRUE,""✓"",""✗"")"),"✗")</f>
        <v>✗</v>
      </c>
      <c r="N798" s="23" t="str">
        <f>IFERROR(__xludf.DUMMYFUNCTION("if(REGEXMATCH(join("", "",$F798:$G798),N$1)=TRUE,""✓"",""✗"")"),"✗")</f>
        <v>✗</v>
      </c>
      <c r="O798" s="23" t="str">
        <f>IFERROR(__xludf.DUMMYFUNCTION("if(REGEXMATCH(join("", "",$F798:$G798),O$1)=TRUE,""✓"",""✗"")"),"✗")</f>
        <v>✗</v>
      </c>
      <c r="P798" s="23" t="str">
        <f>IFERROR(__xludf.DUMMYFUNCTION("if(REGEXMATCH(join("", "",$F798:$G798),P$1)=TRUE,""✓"",""✗"")"),"✗")</f>
        <v>✗</v>
      </c>
      <c r="Q798" s="23" t="str">
        <f>IFERROR(__xludf.DUMMYFUNCTION("if(REGEXMATCH(join("", "",$F798:$G798),Q$1)=TRUE,""✓"",""✗"")"),"✗")</f>
        <v>✗</v>
      </c>
      <c r="R798" s="23" t="str">
        <f>IFERROR(__xludf.DUMMYFUNCTION("if(REGEXMATCH(join("", "",$F798:$G798),R$1)=TRUE,""✓"",""✗"")"),"✗")</f>
        <v>✗</v>
      </c>
      <c r="S798" s="23" t="str">
        <f>IFERROR(__xludf.DUMMYFUNCTION("if(REGEXMATCH(join("", "",$F798:$G798),S$1)=TRUE,""✓"",""✗"")"),"✗")</f>
        <v>✗</v>
      </c>
      <c r="T798" s="23" t="str">
        <f>IFERROR(__xludf.DUMMYFUNCTION("if(REGEXMATCH(join("", "",$F798:$G798),T$1)=TRUE,""✓"",""✗"")"),"✗")</f>
        <v>✗</v>
      </c>
      <c r="U798" s="33"/>
      <c r="V798" s="33"/>
      <c r="W798" s="33"/>
      <c r="X798" s="33"/>
      <c r="Y798" s="33"/>
      <c r="Z798" s="33"/>
      <c r="AA798" s="33"/>
      <c r="AB798" s="33"/>
      <c r="AC798" s="33"/>
    </row>
    <row r="799" hidden="1">
      <c r="A799" s="17" t="s">
        <v>302</v>
      </c>
      <c r="B799" s="33"/>
      <c r="C799" s="33"/>
      <c r="D799" s="33"/>
      <c r="E799" s="33"/>
      <c r="F799" s="33"/>
      <c r="G799" s="33"/>
      <c r="H799" s="23" t="str">
        <f>IFERROR(__xludf.DUMMYFUNCTION("if(REGEXMATCH(join("", "",$F799:$G799),H$1)=TRUE,""✓"",""✗"")"),"✗")</f>
        <v>✗</v>
      </c>
      <c r="I799" s="23" t="str">
        <f>IFERROR(__xludf.DUMMYFUNCTION("if(REGEXMATCH(join("", "",$F799:$G799),I$1)=TRUE,""✓"",""✗"")"),"✗")</f>
        <v>✗</v>
      </c>
      <c r="J799" s="23" t="str">
        <f>IFERROR(__xludf.DUMMYFUNCTION("if(REGEXMATCH(join("", "",$F799:$G799),J$1)=TRUE,""✓"",""✗"")"),"✗")</f>
        <v>✗</v>
      </c>
      <c r="K799" s="23" t="str">
        <f>IFERROR(__xludf.DUMMYFUNCTION("if(REGEXMATCH(join("", "",$F799:$G799),K$1)=TRUE,""✓"",""✗"")"),"✗")</f>
        <v>✗</v>
      </c>
      <c r="L799" s="23" t="str">
        <f>IFERROR(__xludf.DUMMYFUNCTION("if(REGEXMATCH(join("", "",$F799:$G799),L$1)=TRUE,""✓"",""✗"")"),"✗")</f>
        <v>✗</v>
      </c>
      <c r="M799" s="23" t="str">
        <f>IFERROR(__xludf.DUMMYFUNCTION("if(REGEXMATCH(join("", "",$F799:$G799),M$1)=TRUE,""✓"",""✗"")"),"✗")</f>
        <v>✗</v>
      </c>
      <c r="N799" s="23" t="str">
        <f>IFERROR(__xludf.DUMMYFUNCTION("if(REGEXMATCH(join("", "",$F799:$G799),N$1)=TRUE,""✓"",""✗"")"),"✗")</f>
        <v>✗</v>
      </c>
      <c r="O799" s="23" t="str">
        <f>IFERROR(__xludf.DUMMYFUNCTION("if(REGEXMATCH(join("", "",$F799:$G799),O$1)=TRUE,""✓"",""✗"")"),"✗")</f>
        <v>✗</v>
      </c>
      <c r="P799" s="23" t="str">
        <f>IFERROR(__xludf.DUMMYFUNCTION("if(REGEXMATCH(join("", "",$F799:$G799),P$1)=TRUE,""✓"",""✗"")"),"✗")</f>
        <v>✗</v>
      </c>
      <c r="Q799" s="23" t="str">
        <f>IFERROR(__xludf.DUMMYFUNCTION("if(REGEXMATCH(join("", "",$F799:$G799),Q$1)=TRUE,""✓"",""✗"")"),"✗")</f>
        <v>✗</v>
      </c>
      <c r="R799" s="23" t="str">
        <f>IFERROR(__xludf.DUMMYFUNCTION("if(REGEXMATCH(join("", "",$F799:$G799),R$1)=TRUE,""✓"",""✗"")"),"✗")</f>
        <v>✗</v>
      </c>
      <c r="S799" s="23" t="str">
        <f>IFERROR(__xludf.DUMMYFUNCTION("if(REGEXMATCH(join("", "",$F799:$G799),S$1)=TRUE,""✓"",""✗"")"),"✗")</f>
        <v>✗</v>
      </c>
      <c r="T799" s="23" t="str">
        <f>IFERROR(__xludf.DUMMYFUNCTION("if(REGEXMATCH(join("", "",$F799:$G799),T$1)=TRUE,""✓"",""✗"")"),"✗")</f>
        <v>✗</v>
      </c>
      <c r="U799" s="33"/>
      <c r="V799" s="33"/>
      <c r="W799" s="33"/>
      <c r="X799" s="33"/>
      <c r="Y799" s="33"/>
      <c r="Z799" s="33"/>
      <c r="AA799" s="33"/>
      <c r="AB799" s="33"/>
      <c r="AC799" s="33"/>
    </row>
    <row r="800" hidden="1">
      <c r="A800" s="17" t="s">
        <v>302</v>
      </c>
      <c r="B800" s="33"/>
      <c r="C800" s="33"/>
      <c r="D800" s="33"/>
      <c r="E800" s="33"/>
      <c r="F800" s="33"/>
      <c r="G800" s="33"/>
      <c r="H800" s="23" t="str">
        <f>IFERROR(__xludf.DUMMYFUNCTION("if(REGEXMATCH(join("", "",$F800:$G800),H$1)=TRUE,""✓"",""✗"")"),"✗")</f>
        <v>✗</v>
      </c>
      <c r="I800" s="23" t="str">
        <f>IFERROR(__xludf.DUMMYFUNCTION("if(REGEXMATCH(join("", "",$F800:$G800),I$1)=TRUE,""✓"",""✗"")"),"✗")</f>
        <v>✗</v>
      </c>
      <c r="J800" s="23" t="str">
        <f>IFERROR(__xludf.DUMMYFUNCTION("if(REGEXMATCH(join("", "",$F800:$G800),J$1)=TRUE,""✓"",""✗"")"),"✗")</f>
        <v>✗</v>
      </c>
      <c r="K800" s="23" t="str">
        <f>IFERROR(__xludf.DUMMYFUNCTION("if(REGEXMATCH(join("", "",$F800:$G800),K$1)=TRUE,""✓"",""✗"")"),"✗")</f>
        <v>✗</v>
      </c>
      <c r="L800" s="23" t="str">
        <f>IFERROR(__xludf.DUMMYFUNCTION("if(REGEXMATCH(join("", "",$F800:$G800),L$1)=TRUE,""✓"",""✗"")"),"✗")</f>
        <v>✗</v>
      </c>
      <c r="M800" s="23" t="str">
        <f>IFERROR(__xludf.DUMMYFUNCTION("if(REGEXMATCH(join("", "",$F800:$G800),M$1)=TRUE,""✓"",""✗"")"),"✗")</f>
        <v>✗</v>
      </c>
      <c r="N800" s="23" t="str">
        <f>IFERROR(__xludf.DUMMYFUNCTION("if(REGEXMATCH(join("", "",$F800:$G800),N$1)=TRUE,""✓"",""✗"")"),"✗")</f>
        <v>✗</v>
      </c>
      <c r="O800" s="23" t="str">
        <f>IFERROR(__xludf.DUMMYFUNCTION("if(REGEXMATCH(join("", "",$F800:$G800),O$1)=TRUE,""✓"",""✗"")"),"✗")</f>
        <v>✗</v>
      </c>
      <c r="P800" s="23" t="str">
        <f>IFERROR(__xludf.DUMMYFUNCTION("if(REGEXMATCH(join("", "",$F800:$G800),P$1)=TRUE,""✓"",""✗"")"),"✗")</f>
        <v>✗</v>
      </c>
      <c r="Q800" s="23" t="str">
        <f>IFERROR(__xludf.DUMMYFUNCTION("if(REGEXMATCH(join("", "",$F800:$G800),Q$1)=TRUE,""✓"",""✗"")"),"✗")</f>
        <v>✗</v>
      </c>
      <c r="R800" s="23" t="str">
        <f>IFERROR(__xludf.DUMMYFUNCTION("if(REGEXMATCH(join("", "",$F800:$G800),R$1)=TRUE,""✓"",""✗"")"),"✗")</f>
        <v>✗</v>
      </c>
      <c r="S800" s="23" t="str">
        <f>IFERROR(__xludf.DUMMYFUNCTION("if(REGEXMATCH(join("", "",$F800:$G800),S$1)=TRUE,""✓"",""✗"")"),"✗")</f>
        <v>✗</v>
      </c>
      <c r="T800" s="23" t="str">
        <f>IFERROR(__xludf.DUMMYFUNCTION("if(REGEXMATCH(join("", "",$F800:$G800),T$1)=TRUE,""✓"",""✗"")"),"✗")</f>
        <v>✗</v>
      </c>
      <c r="U800" s="33"/>
      <c r="V800" s="33"/>
      <c r="W800" s="33"/>
      <c r="X800" s="33"/>
      <c r="Y800" s="33"/>
      <c r="Z800" s="33"/>
      <c r="AA800" s="33"/>
      <c r="AB800" s="33"/>
      <c r="AC800" s="33"/>
    </row>
    <row r="801" hidden="1">
      <c r="A801" s="17" t="s">
        <v>302</v>
      </c>
      <c r="B801" s="33"/>
      <c r="C801" s="33"/>
      <c r="D801" s="33"/>
      <c r="E801" s="33"/>
      <c r="F801" s="33"/>
      <c r="G801" s="33"/>
      <c r="H801" s="23" t="str">
        <f>IFERROR(__xludf.DUMMYFUNCTION("if(REGEXMATCH(join("", "",$F801:$G801),H$1)=TRUE,""✓"",""✗"")"),"✗")</f>
        <v>✗</v>
      </c>
      <c r="I801" s="23" t="str">
        <f>IFERROR(__xludf.DUMMYFUNCTION("if(REGEXMATCH(join("", "",$F801:$G801),I$1)=TRUE,""✓"",""✗"")"),"✗")</f>
        <v>✗</v>
      </c>
      <c r="J801" s="23" t="str">
        <f>IFERROR(__xludf.DUMMYFUNCTION("if(REGEXMATCH(join("", "",$F801:$G801),J$1)=TRUE,""✓"",""✗"")"),"✗")</f>
        <v>✗</v>
      </c>
      <c r="K801" s="23" t="str">
        <f>IFERROR(__xludf.DUMMYFUNCTION("if(REGEXMATCH(join("", "",$F801:$G801),K$1)=TRUE,""✓"",""✗"")"),"✗")</f>
        <v>✗</v>
      </c>
      <c r="L801" s="23" t="str">
        <f>IFERROR(__xludf.DUMMYFUNCTION("if(REGEXMATCH(join("", "",$F801:$G801),L$1)=TRUE,""✓"",""✗"")"),"✗")</f>
        <v>✗</v>
      </c>
      <c r="M801" s="23" t="str">
        <f>IFERROR(__xludf.DUMMYFUNCTION("if(REGEXMATCH(join("", "",$F801:$G801),M$1)=TRUE,""✓"",""✗"")"),"✗")</f>
        <v>✗</v>
      </c>
      <c r="N801" s="23" t="str">
        <f>IFERROR(__xludf.DUMMYFUNCTION("if(REGEXMATCH(join("", "",$F801:$G801),N$1)=TRUE,""✓"",""✗"")"),"✗")</f>
        <v>✗</v>
      </c>
      <c r="O801" s="23" t="str">
        <f>IFERROR(__xludf.DUMMYFUNCTION("if(REGEXMATCH(join("", "",$F801:$G801),O$1)=TRUE,""✓"",""✗"")"),"✗")</f>
        <v>✗</v>
      </c>
      <c r="P801" s="23" t="str">
        <f>IFERROR(__xludf.DUMMYFUNCTION("if(REGEXMATCH(join("", "",$F801:$G801),P$1)=TRUE,""✓"",""✗"")"),"✗")</f>
        <v>✗</v>
      </c>
      <c r="Q801" s="23" t="str">
        <f>IFERROR(__xludf.DUMMYFUNCTION("if(REGEXMATCH(join("", "",$F801:$G801),Q$1)=TRUE,""✓"",""✗"")"),"✗")</f>
        <v>✗</v>
      </c>
      <c r="R801" s="23" t="str">
        <f>IFERROR(__xludf.DUMMYFUNCTION("if(REGEXMATCH(join("", "",$F801:$G801),R$1)=TRUE,""✓"",""✗"")"),"✗")</f>
        <v>✗</v>
      </c>
      <c r="S801" s="23" t="str">
        <f>IFERROR(__xludf.DUMMYFUNCTION("if(REGEXMATCH(join("", "",$F801:$G801),S$1)=TRUE,""✓"",""✗"")"),"✗")</f>
        <v>✗</v>
      </c>
      <c r="T801" s="23" t="str">
        <f>IFERROR(__xludf.DUMMYFUNCTION("if(REGEXMATCH(join("", "",$F801:$G801),T$1)=TRUE,""✓"",""✗"")"),"✗")</f>
        <v>✗</v>
      </c>
      <c r="U801" s="33"/>
      <c r="V801" s="33"/>
      <c r="W801" s="33"/>
      <c r="X801" s="33"/>
      <c r="Y801" s="33"/>
      <c r="Z801" s="33"/>
      <c r="AA801" s="33"/>
      <c r="AB801" s="33"/>
      <c r="AC801" s="33"/>
    </row>
    <row r="802" hidden="1">
      <c r="A802" s="17" t="s">
        <v>302</v>
      </c>
      <c r="B802" s="33"/>
      <c r="C802" s="33"/>
      <c r="D802" s="33"/>
      <c r="E802" s="33"/>
      <c r="F802" s="33"/>
      <c r="G802" s="33"/>
      <c r="H802" s="23" t="str">
        <f>IFERROR(__xludf.DUMMYFUNCTION("if(REGEXMATCH(join("", "",$F802:$G802),H$1)=TRUE,""✓"",""✗"")"),"✗")</f>
        <v>✗</v>
      </c>
      <c r="I802" s="23" t="str">
        <f>IFERROR(__xludf.DUMMYFUNCTION("if(REGEXMATCH(join("", "",$F802:$G802),I$1)=TRUE,""✓"",""✗"")"),"✗")</f>
        <v>✗</v>
      </c>
      <c r="J802" s="23" t="str">
        <f>IFERROR(__xludf.DUMMYFUNCTION("if(REGEXMATCH(join("", "",$F802:$G802),J$1)=TRUE,""✓"",""✗"")"),"✗")</f>
        <v>✗</v>
      </c>
      <c r="K802" s="23" t="str">
        <f>IFERROR(__xludf.DUMMYFUNCTION("if(REGEXMATCH(join("", "",$F802:$G802),K$1)=TRUE,""✓"",""✗"")"),"✗")</f>
        <v>✗</v>
      </c>
      <c r="L802" s="23" t="str">
        <f>IFERROR(__xludf.DUMMYFUNCTION("if(REGEXMATCH(join("", "",$F802:$G802),L$1)=TRUE,""✓"",""✗"")"),"✗")</f>
        <v>✗</v>
      </c>
      <c r="M802" s="23" t="str">
        <f>IFERROR(__xludf.DUMMYFUNCTION("if(REGEXMATCH(join("", "",$F802:$G802),M$1)=TRUE,""✓"",""✗"")"),"✗")</f>
        <v>✗</v>
      </c>
      <c r="N802" s="23" t="str">
        <f>IFERROR(__xludf.DUMMYFUNCTION("if(REGEXMATCH(join("", "",$F802:$G802),N$1)=TRUE,""✓"",""✗"")"),"✗")</f>
        <v>✗</v>
      </c>
      <c r="O802" s="23" t="str">
        <f>IFERROR(__xludf.DUMMYFUNCTION("if(REGEXMATCH(join("", "",$F802:$G802),O$1)=TRUE,""✓"",""✗"")"),"✗")</f>
        <v>✗</v>
      </c>
      <c r="P802" s="23" t="str">
        <f>IFERROR(__xludf.DUMMYFUNCTION("if(REGEXMATCH(join("", "",$F802:$G802),P$1)=TRUE,""✓"",""✗"")"),"✗")</f>
        <v>✗</v>
      </c>
      <c r="Q802" s="23" t="str">
        <f>IFERROR(__xludf.DUMMYFUNCTION("if(REGEXMATCH(join("", "",$F802:$G802),Q$1)=TRUE,""✓"",""✗"")"),"✗")</f>
        <v>✗</v>
      </c>
      <c r="R802" s="23" t="str">
        <f>IFERROR(__xludf.DUMMYFUNCTION("if(REGEXMATCH(join("", "",$F802:$G802),R$1)=TRUE,""✓"",""✗"")"),"✗")</f>
        <v>✗</v>
      </c>
      <c r="S802" s="23" t="str">
        <f>IFERROR(__xludf.DUMMYFUNCTION("if(REGEXMATCH(join("", "",$F802:$G802),S$1)=TRUE,""✓"",""✗"")"),"✗")</f>
        <v>✗</v>
      </c>
      <c r="T802" s="23" t="str">
        <f>IFERROR(__xludf.DUMMYFUNCTION("if(REGEXMATCH(join("", "",$F802:$G802),T$1)=TRUE,""✓"",""✗"")"),"✗")</f>
        <v>✗</v>
      </c>
      <c r="U802" s="33"/>
      <c r="V802" s="33"/>
      <c r="W802" s="33"/>
      <c r="X802" s="33"/>
      <c r="Y802" s="33"/>
      <c r="Z802" s="33"/>
      <c r="AA802" s="33"/>
      <c r="AB802" s="33"/>
      <c r="AC802" s="33"/>
    </row>
    <row r="803" hidden="1">
      <c r="A803" s="17" t="s">
        <v>302</v>
      </c>
      <c r="B803" s="33"/>
      <c r="C803" s="33"/>
      <c r="D803" s="33"/>
      <c r="E803" s="33"/>
      <c r="F803" s="33"/>
      <c r="G803" s="33"/>
      <c r="H803" s="23" t="str">
        <f>IFERROR(__xludf.DUMMYFUNCTION("if(REGEXMATCH(join("", "",$F803:$G803),H$1)=TRUE,""✓"",""✗"")"),"✗")</f>
        <v>✗</v>
      </c>
      <c r="I803" s="23" t="str">
        <f>IFERROR(__xludf.DUMMYFUNCTION("if(REGEXMATCH(join("", "",$F803:$G803),I$1)=TRUE,""✓"",""✗"")"),"✗")</f>
        <v>✗</v>
      </c>
      <c r="J803" s="23" t="str">
        <f>IFERROR(__xludf.DUMMYFUNCTION("if(REGEXMATCH(join("", "",$F803:$G803),J$1)=TRUE,""✓"",""✗"")"),"✗")</f>
        <v>✗</v>
      </c>
      <c r="K803" s="23" t="str">
        <f>IFERROR(__xludf.DUMMYFUNCTION("if(REGEXMATCH(join("", "",$F803:$G803),K$1)=TRUE,""✓"",""✗"")"),"✗")</f>
        <v>✗</v>
      </c>
      <c r="L803" s="23" t="str">
        <f>IFERROR(__xludf.DUMMYFUNCTION("if(REGEXMATCH(join("", "",$F803:$G803),L$1)=TRUE,""✓"",""✗"")"),"✗")</f>
        <v>✗</v>
      </c>
      <c r="M803" s="23" t="str">
        <f>IFERROR(__xludf.DUMMYFUNCTION("if(REGEXMATCH(join("", "",$F803:$G803),M$1)=TRUE,""✓"",""✗"")"),"✗")</f>
        <v>✗</v>
      </c>
      <c r="N803" s="23" t="str">
        <f>IFERROR(__xludf.DUMMYFUNCTION("if(REGEXMATCH(join("", "",$F803:$G803),N$1)=TRUE,""✓"",""✗"")"),"✗")</f>
        <v>✗</v>
      </c>
      <c r="O803" s="23" t="str">
        <f>IFERROR(__xludf.DUMMYFUNCTION("if(REGEXMATCH(join("", "",$F803:$G803),O$1)=TRUE,""✓"",""✗"")"),"✗")</f>
        <v>✗</v>
      </c>
      <c r="P803" s="23" t="str">
        <f>IFERROR(__xludf.DUMMYFUNCTION("if(REGEXMATCH(join("", "",$F803:$G803),P$1)=TRUE,""✓"",""✗"")"),"✗")</f>
        <v>✗</v>
      </c>
      <c r="Q803" s="23" t="str">
        <f>IFERROR(__xludf.DUMMYFUNCTION("if(REGEXMATCH(join("", "",$F803:$G803),Q$1)=TRUE,""✓"",""✗"")"),"✗")</f>
        <v>✗</v>
      </c>
      <c r="R803" s="23" t="str">
        <f>IFERROR(__xludf.DUMMYFUNCTION("if(REGEXMATCH(join("", "",$F803:$G803),R$1)=TRUE,""✓"",""✗"")"),"✗")</f>
        <v>✗</v>
      </c>
      <c r="S803" s="23" t="str">
        <f>IFERROR(__xludf.DUMMYFUNCTION("if(REGEXMATCH(join("", "",$F803:$G803),S$1)=TRUE,""✓"",""✗"")"),"✗")</f>
        <v>✗</v>
      </c>
      <c r="T803" s="23" t="str">
        <f>IFERROR(__xludf.DUMMYFUNCTION("if(REGEXMATCH(join("", "",$F803:$G803),T$1)=TRUE,""✓"",""✗"")"),"✗")</f>
        <v>✗</v>
      </c>
      <c r="U803" s="33"/>
      <c r="V803" s="33"/>
      <c r="W803" s="33"/>
      <c r="X803" s="33"/>
      <c r="Y803" s="33"/>
      <c r="Z803" s="33"/>
      <c r="AA803" s="33"/>
      <c r="AB803" s="33"/>
      <c r="AC803" s="33"/>
    </row>
    <row r="804" hidden="1">
      <c r="A804" s="17" t="s">
        <v>302</v>
      </c>
      <c r="B804" s="33"/>
      <c r="C804" s="33"/>
      <c r="D804" s="33"/>
      <c r="E804" s="33"/>
      <c r="F804" s="33"/>
      <c r="G804" s="33"/>
      <c r="H804" s="23" t="str">
        <f>IFERROR(__xludf.DUMMYFUNCTION("if(REGEXMATCH(join("", "",$F804:$G804),H$1)=TRUE,""✓"",""✗"")"),"✗")</f>
        <v>✗</v>
      </c>
      <c r="I804" s="23" t="str">
        <f>IFERROR(__xludf.DUMMYFUNCTION("if(REGEXMATCH(join("", "",$F804:$G804),I$1)=TRUE,""✓"",""✗"")"),"✗")</f>
        <v>✗</v>
      </c>
      <c r="J804" s="23" t="str">
        <f>IFERROR(__xludf.DUMMYFUNCTION("if(REGEXMATCH(join("", "",$F804:$G804),J$1)=TRUE,""✓"",""✗"")"),"✗")</f>
        <v>✗</v>
      </c>
      <c r="K804" s="23" t="str">
        <f>IFERROR(__xludf.DUMMYFUNCTION("if(REGEXMATCH(join("", "",$F804:$G804),K$1)=TRUE,""✓"",""✗"")"),"✗")</f>
        <v>✗</v>
      </c>
      <c r="L804" s="23" t="str">
        <f>IFERROR(__xludf.DUMMYFUNCTION("if(REGEXMATCH(join("", "",$F804:$G804),L$1)=TRUE,""✓"",""✗"")"),"✗")</f>
        <v>✗</v>
      </c>
      <c r="M804" s="23" t="str">
        <f>IFERROR(__xludf.DUMMYFUNCTION("if(REGEXMATCH(join("", "",$F804:$G804),M$1)=TRUE,""✓"",""✗"")"),"✗")</f>
        <v>✗</v>
      </c>
      <c r="N804" s="23" t="str">
        <f>IFERROR(__xludf.DUMMYFUNCTION("if(REGEXMATCH(join("", "",$F804:$G804),N$1)=TRUE,""✓"",""✗"")"),"✗")</f>
        <v>✗</v>
      </c>
      <c r="O804" s="23" t="str">
        <f>IFERROR(__xludf.DUMMYFUNCTION("if(REGEXMATCH(join("", "",$F804:$G804),O$1)=TRUE,""✓"",""✗"")"),"✗")</f>
        <v>✗</v>
      </c>
      <c r="P804" s="23" t="str">
        <f>IFERROR(__xludf.DUMMYFUNCTION("if(REGEXMATCH(join("", "",$F804:$G804),P$1)=TRUE,""✓"",""✗"")"),"✗")</f>
        <v>✗</v>
      </c>
      <c r="Q804" s="23" t="str">
        <f>IFERROR(__xludf.DUMMYFUNCTION("if(REGEXMATCH(join("", "",$F804:$G804),Q$1)=TRUE,""✓"",""✗"")"),"✗")</f>
        <v>✗</v>
      </c>
      <c r="R804" s="23" t="str">
        <f>IFERROR(__xludf.DUMMYFUNCTION("if(REGEXMATCH(join("", "",$F804:$G804),R$1)=TRUE,""✓"",""✗"")"),"✗")</f>
        <v>✗</v>
      </c>
      <c r="S804" s="23" t="str">
        <f>IFERROR(__xludf.DUMMYFUNCTION("if(REGEXMATCH(join("", "",$F804:$G804),S$1)=TRUE,""✓"",""✗"")"),"✗")</f>
        <v>✗</v>
      </c>
      <c r="T804" s="23" t="str">
        <f>IFERROR(__xludf.DUMMYFUNCTION("if(REGEXMATCH(join("", "",$F804:$G804),T$1)=TRUE,""✓"",""✗"")"),"✗")</f>
        <v>✗</v>
      </c>
      <c r="U804" s="33"/>
      <c r="V804" s="33"/>
      <c r="W804" s="33"/>
      <c r="X804" s="33"/>
      <c r="Y804" s="33"/>
      <c r="Z804" s="33"/>
      <c r="AA804" s="33"/>
      <c r="AB804" s="33"/>
      <c r="AC804" s="33"/>
    </row>
    <row r="805" hidden="1">
      <c r="A805" s="17" t="s">
        <v>302</v>
      </c>
      <c r="B805" s="33"/>
      <c r="C805" s="33"/>
      <c r="D805" s="33"/>
      <c r="E805" s="33"/>
      <c r="F805" s="33"/>
      <c r="G805" s="33"/>
      <c r="H805" s="23" t="str">
        <f>IFERROR(__xludf.DUMMYFUNCTION("if(REGEXMATCH(join("", "",$F805:$G805),H$1)=TRUE,""✓"",""✗"")"),"✗")</f>
        <v>✗</v>
      </c>
      <c r="I805" s="23" t="str">
        <f>IFERROR(__xludf.DUMMYFUNCTION("if(REGEXMATCH(join("", "",$F805:$G805),I$1)=TRUE,""✓"",""✗"")"),"✗")</f>
        <v>✗</v>
      </c>
      <c r="J805" s="23" t="str">
        <f>IFERROR(__xludf.DUMMYFUNCTION("if(REGEXMATCH(join("", "",$F805:$G805),J$1)=TRUE,""✓"",""✗"")"),"✗")</f>
        <v>✗</v>
      </c>
      <c r="K805" s="23" t="str">
        <f>IFERROR(__xludf.DUMMYFUNCTION("if(REGEXMATCH(join("", "",$F805:$G805),K$1)=TRUE,""✓"",""✗"")"),"✗")</f>
        <v>✗</v>
      </c>
      <c r="L805" s="23" t="str">
        <f>IFERROR(__xludf.DUMMYFUNCTION("if(REGEXMATCH(join("", "",$F805:$G805),L$1)=TRUE,""✓"",""✗"")"),"✗")</f>
        <v>✗</v>
      </c>
      <c r="M805" s="23" t="str">
        <f>IFERROR(__xludf.DUMMYFUNCTION("if(REGEXMATCH(join("", "",$F805:$G805),M$1)=TRUE,""✓"",""✗"")"),"✗")</f>
        <v>✗</v>
      </c>
      <c r="N805" s="23" t="str">
        <f>IFERROR(__xludf.DUMMYFUNCTION("if(REGEXMATCH(join("", "",$F805:$G805),N$1)=TRUE,""✓"",""✗"")"),"✗")</f>
        <v>✗</v>
      </c>
      <c r="O805" s="23" t="str">
        <f>IFERROR(__xludf.DUMMYFUNCTION("if(REGEXMATCH(join("", "",$F805:$G805),O$1)=TRUE,""✓"",""✗"")"),"✗")</f>
        <v>✗</v>
      </c>
      <c r="P805" s="23" t="str">
        <f>IFERROR(__xludf.DUMMYFUNCTION("if(REGEXMATCH(join("", "",$F805:$G805),P$1)=TRUE,""✓"",""✗"")"),"✗")</f>
        <v>✗</v>
      </c>
      <c r="Q805" s="23" t="str">
        <f>IFERROR(__xludf.DUMMYFUNCTION("if(REGEXMATCH(join("", "",$F805:$G805),Q$1)=TRUE,""✓"",""✗"")"),"✗")</f>
        <v>✗</v>
      </c>
      <c r="R805" s="23" t="str">
        <f>IFERROR(__xludf.DUMMYFUNCTION("if(REGEXMATCH(join("", "",$F805:$G805),R$1)=TRUE,""✓"",""✗"")"),"✗")</f>
        <v>✗</v>
      </c>
      <c r="S805" s="23" t="str">
        <f>IFERROR(__xludf.DUMMYFUNCTION("if(REGEXMATCH(join("", "",$F805:$G805),S$1)=TRUE,""✓"",""✗"")"),"✗")</f>
        <v>✗</v>
      </c>
      <c r="T805" s="23" t="str">
        <f>IFERROR(__xludf.DUMMYFUNCTION("if(REGEXMATCH(join("", "",$F805:$G805),T$1)=TRUE,""✓"",""✗"")"),"✗")</f>
        <v>✗</v>
      </c>
      <c r="U805" s="33"/>
      <c r="V805" s="33"/>
      <c r="W805" s="33"/>
      <c r="X805" s="33"/>
      <c r="Y805" s="33"/>
      <c r="Z805" s="33"/>
      <c r="AA805" s="33"/>
      <c r="AB805" s="33"/>
      <c r="AC805" s="33"/>
    </row>
    <row r="806" hidden="1">
      <c r="A806" s="17" t="s">
        <v>302</v>
      </c>
      <c r="B806" s="33"/>
      <c r="C806" s="33"/>
      <c r="D806" s="33"/>
      <c r="E806" s="33"/>
      <c r="F806" s="33"/>
      <c r="G806" s="33"/>
      <c r="H806" s="23" t="str">
        <f>IFERROR(__xludf.DUMMYFUNCTION("if(REGEXMATCH(join("", "",$F806:$G806),H$1)=TRUE,""✓"",""✗"")"),"✗")</f>
        <v>✗</v>
      </c>
      <c r="I806" s="23" t="str">
        <f>IFERROR(__xludf.DUMMYFUNCTION("if(REGEXMATCH(join("", "",$F806:$G806),I$1)=TRUE,""✓"",""✗"")"),"✗")</f>
        <v>✗</v>
      </c>
      <c r="J806" s="23" t="str">
        <f>IFERROR(__xludf.DUMMYFUNCTION("if(REGEXMATCH(join("", "",$F806:$G806),J$1)=TRUE,""✓"",""✗"")"),"✗")</f>
        <v>✗</v>
      </c>
      <c r="K806" s="23" t="str">
        <f>IFERROR(__xludf.DUMMYFUNCTION("if(REGEXMATCH(join("", "",$F806:$G806),K$1)=TRUE,""✓"",""✗"")"),"✗")</f>
        <v>✗</v>
      </c>
      <c r="L806" s="23" t="str">
        <f>IFERROR(__xludf.DUMMYFUNCTION("if(REGEXMATCH(join("", "",$F806:$G806),L$1)=TRUE,""✓"",""✗"")"),"✗")</f>
        <v>✗</v>
      </c>
      <c r="M806" s="23" t="str">
        <f>IFERROR(__xludf.DUMMYFUNCTION("if(REGEXMATCH(join("", "",$F806:$G806),M$1)=TRUE,""✓"",""✗"")"),"✗")</f>
        <v>✗</v>
      </c>
      <c r="N806" s="23" t="str">
        <f>IFERROR(__xludf.DUMMYFUNCTION("if(REGEXMATCH(join("", "",$F806:$G806),N$1)=TRUE,""✓"",""✗"")"),"✗")</f>
        <v>✗</v>
      </c>
      <c r="O806" s="23" t="str">
        <f>IFERROR(__xludf.DUMMYFUNCTION("if(REGEXMATCH(join("", "",$F806:$G806),O$1)=TRUE,""✓"",""✗"")"),"✗")</f>
        <v>✗</v>
      </c>
      <c r="P806" s="23" t="str">
        <f>IFERROR(__xludf.DUMMYFUNCTION("if(REGEXMATCH(join("", "",$F806:$G806),P$1)=TRUE,""✓"",""✗"")"),"✗")</f>
        <v>✗</v>
      </c>
      <c r="Q806" s="23" t="str">
        <f>IFERROR(__xludf.DUMMYFUNCTION("if(REGEXMATCH(join("", "",$F806:$G806),Q$1)=TRUE,""✓"",""✗"")"),"✗")</f>
        <v>✗</v>
      </c>
      <c r="R806" s="23" t="str">
        <f>IFERROR(__xludf.DUMMYFUNCTION("if(REGEXMATCH(join("", "",$F806:$G806),R$1)=TRUE,""✓"",""✗"")"),"✗")</f>
        <v>✗</v>
      </c>
      <c r="S806" s="23" t="str">
        <f>IFERROR(__xludf.DUMMYFUNCTION("if(REGEXMATCH(join("", "",$F806:$G806),S$1)=TRUE,""✓"",""✗"")"),"✗")</f>
        <v>✗</v>
      </c>
      <c r="T806" s="23" t="str">
        <f>IFERROR(__xludf.DUMMYFUNCTION("if(REGEXMATCH(join("", "",$F806:$G806),T$1)=TRUE,""✓"",""✗"")"),"✗")</f>
        <v>✗</v>
      </c>
      <c r="U806" s="33"/>
      <c r="V806" s="33"/>
      <c r="W806" s="33"/>
      <c r="X806" s="33"/>
      <c r="Y806" s="33"/>
      <c r="Z806" s="33"/>
      <c r="AA806" s="33"/>
      <c r="AB806" s="33"/>
      <c r="AC806" s="33"/>
    </row>
    <row r="807" hidden="1">
      <c r="A807" s="17" t="s">
        <v>302</v>
      </c>
      <c r="B807" s="33"/>
      <c r="C807" s="33"/>
      <c r="D807" s="33"/>
      <c r="E807" s="33"/>
      <c r="F807" s="33"/>
      <c r="G807" s="33"/>
      <c r="H807" s="23" t="str">
        <f>IFERROR(__xludf.DUMMYFUNCTION("if(REGEXMATCH(join("", "",$F807:$G807),H$1)=TRUE,""✓"",""✗"")"),"✗")</f>
        <v>✗</v>
      </c>
      <c r="I807" s="23" t="str">
        <f>IFERROR(__xludf.DUMMYFUNCTION("if(REGEXMATCH(join("", "",$F807:$G807),I$1)=TRUE,""✓"",""✗"")"),"✗")</f>
        <v>✗</v>
      </c>
      <c r="J807" s="23" t="str">
        <f>IFERROR(__xludf.DUMMYFUNCTION("if(REGEXMATCH(join("", "",$F807:$G807),J$1)=TRUE,""✓"",""✗"")"),"✗")</f>
        <v>✗</v>
      </c>
      <c r="K807" s="23" t="str">
        <f>IFERROR(__xludf.DUMMYFUNCTION("if(REGEXMATCH(join("", "",$F807:$G807),K$1)=TRUE,""✓"",""✗"")"),"✗")</f>
        <v>✗</v>
      </c>
      <c r="L807" s="23" t="str">
        <f>IFERROR(__xludf.DUMMYFUNCTION("if(REGEXMATCH(join("", "",$F807:$G807),L$1)=TRUE,""✓"",""✗"")"),"✗")</f>
        <v>✗</v>
      </c>
      <c r="M807" s="23" t="str">
        <f>IFERROR(__xludf.DUMMYFUNCTION("if(REGEXMATCH(join("", "",$F807:$G807),M$1)=TRUE,""✓"",""✗"")"),"✗")</f>
        <v>✗</v>
      </c>
      <c r="N807" s="23" t="str">
        <f>IFERROR(__xludf.DUMMYFUNCTION("if(REGEXMATCH(join("", "",$F807:$G807),N$1)=TRUE,""✓"",""✗"")"),"✗")</f>
        <v>✗</v>
      </c>
      <c r="O807" s="23" t="str">
        <f>IFERROR(__xludf.DUMMYFUNCTION("if(REGEXMATCH(join("", "",$F807:$G807),O$1)=TRUE,""✓"",""✗"")"),"✗")</f>
        <v>✗</v>
      </c>
      <c r="P807" s="23" t="str">
        <f>IFERROR(__xludf.DUMMYFUNCTION("if(REGEXMATCH(join("", "",$F807:$G807),P$1)=TRUE,""✓"",""✗"")"),"✗")</f>
        <v>✗</v>
      </c>
      <c r="Q807" s="23" t="str">
        <f>IFERROR(__xludf.DUMMYFUNCTION("if(REGEXMATCH(join("", "",$F807:$G807),Q$1)=TRUE,""✓"",""✗"")"),"✗")</f>
        <v>✗</v>
      </c>
      <c r="R807" s="23" t="str">
        <f>IFERROR(__xludf.DUMMYFUNCTION("if(REGEXMATCH(join("", "",$F807:$G807),R$1)=TRUE,""✓"",""✗"")"),"✗")</f>
        <v>✗</v>
      </c>
      <c r="S807" s="23" t="str">
        <f>IFERROR(__xludf.DUMMYFUNCTION("if(REGEXMATCH(join("", "",$F807:$G807),S$1)=TRUE,""✓"",""✗"")"),"✗")</f>
        <v>✗</v>
      </c>
      <c r="T807" s="23" t="str">
        <f>IFERROR(__xludf.DUMMYFUNCTION("if(REGEXMATCH(join("", "",$F807:$G807),T$1)=TRUE,""✓"",""✗"")"),"✗")</f>
        <v>✗</v>
      </c>
      <c r="U807" s="33"/>
      <c r="V807" s="33"/>
      <c r="W807" s="33"/>
      <c r="X807" s="33"/>
      <c r="Y807" s="33"/>
      <c r="Z807" s="33"/>
      <c r="AA807" s="33"/>
      <c r="AB807" s="33"/>
      <c r="AC807" s="33"/>
    </row>
    <row r="808" hidden="1">
      <c r="A808" s="17" t="s">
        <v>302</v>
      </c>
      <c r="B808" s="33"/>
      <c r="C808" s="33"/>
      <c r="D808" s="33"/>
      <c r="E808" s="33"/>
      <c r="F808" s="33"/>
      <c r="G808" s="33"/>
      <c r="H808" s="23" t="str">
        <f>IFERROR(__xludf.DUMMYFUNCTION("if(REGEXMATCH(join("", "",$F808:$G808),H$1)=TRUE,""✓"",""✗"")"),"✗")</f>
        <v>✗</v>
      </c>
      <c r="I808" s="23" t="str">
        <f>IFERROR(__xludf.DUMMYFUNCTION("if(REGEXMATCH(join("", "",$F808:$G808),I$1)=TRUE,""✓"",""✗"")"),"✗")</f>
        <v>✗</v>
      </c>
      <c r="J808" s="23" t="str">
        <f>IFERROR(__xludf.DUMMYFUNCTION("if(REGEXMATCH(join("", "",$F808:$G808),J$1)=TRUE,""✓"",""✗"")"),"✗")</f>
        <v>✗</v>
      </c>
      <c r="K808" s="23" t="str">
        <f>IFERROR(__xludf.DUMMYFUNCTION("if(REGEXMATCH(join("", "",$F808:$G808),K$1)=TRUE,""✓"",""✗"")"),"✗")</f>
        <v>✗</v>
      </c>
      <c r="L808" s="23" t="str">
        <f>IFERROR(__xludf.DUMMYFUNCTION("if(REGEXMATCH(join("", "",$F808:$G808),L$1)=TRUE,""✓"",""✗"")"),"✗")</f>
        <v>✗</v>
      </c>
      <c r="M808" s="23" t="str">
        <f>IFERROR(__xludf.DUMMYFUNCTION("if(REGEXMATCH(join("", "",$F808:$G808),M$1)=TRUE,""✓"",""✗"")"),"✗")</f>
        <v>✗</v>
      </c>
      <c r="N808" s="23" t="str">
        <f>IFERROR(__xludf.DUMMYFUNCTION("if(REGEXMATCH(join("", "",$F808:$G808),N$1)=TRUE,""✓"",""✗"")"),"✗")</f>
        <v>✗</v>
      </c>
      <c r="O808" s="23" t="str">
        <f>IFERROR(__xludf.DUMMYFUNCTION("if(REGEXMATCH(join("", "",$F808:$G808),O$1)=TRUE,""✓"",""✗"")"),"✗")</f>
        <v>✗</v>
      </c>
      <c r="P808" s="23" t="str">
        <f>IFERROR(__xludf.DUMMYFUNCTION("if(REGEXMATCH(join("", "",$F808:$G808),P$1)=TRUE,""✓"",""✗"")"),"✗")</f>
        <v>✗</v>
      </c>
      <c r="Q808" s="23" t="str">
        <f>IFERROR(__xludf.DUMMYFUNCTION("if(REGEXMATCH(join("", "",$F808:$G808),Q$1)=TRUE,""✓"",""✗"")"),"✗")</f>
        <v>✗</v>
      </c>
      <c r="R808" s="23" t="str">
        <f>IFERROR(__xludf.DUMMYFUNCTION("if(REGEXMATCH(join("", "",$F808:$G808),R$1)=TRUE,""✓"",""✗"")"),"✗")</f>
        <v>✗</v>
      </c>
      <c r="S808" s="23" t="str">
        <f>IFERROR(__xludf.DUMMYFUNCTION("if(REGEXMATCH(join("", "",$F808:$G808),S$1)=TRUE,""✓"",""✗"")"),"✗")</f>
        <v>✗</v>
      </c>
      <c r="T808" s="23" t="str">
        <f>IFERROR(__xludf.DUMMYFUNCTION("if(REGEXMATCH(join("", "",$F808:$G808),T$1)=TRUE,""✓"",""✗"")"),"✗")</f>
        <v>✗</v>
      </c>
      <c r="U808" s="33"/>
      <c r="V808" s="33"/>
      <c r="W808" s="33"/>
      <c r="X808" s="33"/>
      <c r="Y808" s="33"/>
      <c r="Z808" s="33"/>
      <c r="AA808" s="33"/>
      <c r="AB808" s="33"/>
      <c r="AC808" s="33"/>
    </row>
    <row r="809" hidden="1">
      <c r="A809" s="17" t="s">
        <v>302</v>
      </c>
      <c r="B809" s="33"/>
      <c r="C809" s="33"/>
      <c r="D809" s="33"/>
      <c r="E809" s="33"/>
      <c r="F809" s="33"/>
      <c r="G809" s="33"/>
      <c r="H809" s="23" t="str">
        <f>IFERROR(__xludf.DUMMYFUNCTION("if(REGEXMATCH(join("", "",$F809:$G809),H$1)=TRUE,""✓"",""✗"")"),"✗")</f>
        <v>✗</v>
      </c>
      <c r="I809" s="23" t="str">
        <f>IFERROR(__xludf.DUMMYFUNCTION("if(REGEXMATCH(join("", "",$F809:$G809),I$1)=TRUE,""✓"",""✗"")"),"✗")</f>
        <v>✗</v>
      </c>
      <c r="J809" s="23" t="str">
        <f>IFERROR(__xludf.DUMMYFUNCTION("if(REGEXMATCH(join("", "",$F809:$G809),J$1)=TRUE,""✓"",""✗"")"),"✗")</f>
        <v>✗</v>
      </c>
      <c r="K809" s="23" t="str">
        <f>IFERROR(__xludf.DUMMYFUNCTION("if(REGEXMATCH(join("", "",$F809:$G809),K$1)=TRUE,""✓"",""✗"")"),"✗")</f>
        <v>✗</v>
      </c>
      <c r="L809" s="23" t="str">
        <f>IFERROR(__xludf.DUMMYFUNCTION("if(REGEXMATCH(join("", "",$F809:$G809),L$1)=TRUE,""✓"",""✗"")"),"✗")</f>
        <v>✗</v>
      </c>
      <c r="M809" s="23" t="str">
        <f>IFERROR(__xludf.DUMMYFUNCTION("if(REGEXMATCH(join("", "",$F809:$G809),M$1)=TRUE,""✓"",""✗"")"),"✗")</f>
        <v>✗</v>
      </c>
      <c r="N809" s="23" t="str">
        <f>IFERROR(__xludf.DUMMYFUNCTION("if(REGEXMATCH(join("", "",$F809:$G809),N$1)=TRUE,""✓"",""✗"")"),"✗")</f>
        <v>✗</v>
      </c>
      <c r="O809" s="23" t="str">
        <f>IFERROR(__xludf.DUMMYFUNCTION("if(REGEXMATCH(join("", "",$F809:$G809),O$1)=TRUE,""✓"",""✗"")"),"✗")</f>
        <v>✗</v>
      </c>
      <c r="P809" s="23" t="str">
        <f>IFERROR(__xludf.DUMMYFUNCTION("if(REGEXMATCH(join("", "",$F809:$G809),P$1)=TRUE,""✓"",""✗"")"),"✗")</f>
        <v>✗</v>
      </c>
      <c r="Q809" s="23" t="str">
        <f>IFERROR(__xludf.DUMMYFUNCTION("if(REGEXMATCH(join("", "",$F809:$G809),Q$1)=TRUE,""✓"",""✗"")"),"✗")</f>
        <v>✗</v>
      </c>
      <c r="R809" s="23" t="str">
        <f>IFERROR(__xludf.DUMMYFUNCTION("if(REGEXMATCH(join("", "",$F809:$G809),R$1)=TRUE,""✓"",""✗"")"),"✗")</f>
        <v>✗</v>
      </c>
      <c r="S809" s="23" t="str">
        <f>IFERROR(__xludf.DUMMYFUNCTION("if(REGEXMATCH(join("", "",$F809:$G809),S$1)=TRUE,""✓"",""✗"")"),"✗")</f>
        <v>✗</v>
      </c>
      <c r="T809" s="23" t="str">
        <f>IFERROR(__xludf.DUMMYFUNCTION("if(REGEXMATCH(join("", "",$F809:$G809),T$1)=TRUE,""✓"",""✗"")"),"✗")</f>
        <v>✗</v>
      </c>
      <c r="U809" s="33"/>
      <c r="V809" s="33"/>
      <c r="W809" s="33"/>
      <c r="X809" s="33"/>
      <c r="Y809" s="33"/>
      <c r="Z809" s="33"/>
      <c r="AA809" s="33"/>
      <c r="AB809" s="33"/>
      <c r="AC809" s="33"/>
    </row>
    <row r="810" hidden="1">
      <c r="A810" s="17" t="s">
        <v>302</v>
      </c>
      <c r="B810" s="33"/>
      <c r="C810" s="33"/>
      <c r="D810" s="33"/>
      <c r="E810" s="33"/>
      <c r="F810" s="33"/>
      <c r="G810" s="33"/>
      <c r="H810" s="23" t="str">
        <f>IFERROR(__xludf.DUMMYFUNCTION("if(REGEXMATCH(join("", "",$F810:$G810),H$1)=TRUE,""✓"",""✗"")"),"✗")</f>
        <v>✗</v>
      </c>
      <c r="I810" s="23" t="str">
        <f>IFERROR(__xludf.DUMMYFUNCTION("if(REGEXMATCH(join("", "",$F810:$G810),I$1)=TRUE,""✓"",""✗"")"),"✗")</f>
        <v>✗</v>
      </c>
      <c r="J810" s="23" t="str">
        <f>IFERROR(__xludf.DUMMYFUNCTION("if(REGEXMATCH(join("", "",$F810:$G810),J$1)=TRUE,""✓"",""✗"")"),"✗")</f>
        <v>✗</v>
      </c>
      <c r="K810" s="23" t="str">
        <f>IFERROR(__xludf.DUMMYFUNCTION("if(REGEXMATCH(join("", "",$F810:$G810),K$1)=TRUE,""✓"",""✗"")"),"✗")</f>
        <v>✗</v>
      </c>
      <c r="L810" s="23" t="str">
        <f>IFERROR(__xludf.DUMMYFUNCTION("if(REGEXMATCH(join("", "",$F810:$G810),L$1)=TRUE,""✓"",""✗"")"),"✗")</f>
        <v>✗</v>
      </c>
      <c r="M810" s="23" t="str">
        <f>IFERROR(__xludf.DUMMYFUNCTION("if(REGEXMATCH(join("", "",$F810:$G810),M$1)=TRUE,""✓"",""✗"")"),"✗")</f>
        <v>✗</v>
      </c>
      <c r="N810" s="23" t="str">
        <f>IFERROR(__xludf.DUMMYFUNCTION("if(REGEXMATCH(join("", "",$F810:$G810),N$1)=TRUE,""✓"",""✗"")"),"✗")</f>
        <v>✗</v>
      </c>
      <c r="O810" s="23" t="str">
        <f>IFERROR(__xludf.DUMMYFUNCTION("if(REGEXMATCH(join("", "",$F810:$G810),O$1)=TRUE,""✓"",""✗"")"),"✗")</f>
        <v>✗</v>
      </c>
      <c r="P810" s="23" t="str">
        <f>IFERROR(__xludf.DUMMYFUNCTION("if(REGEXMATCH(join("", "",$F810:$G810),P$1)=TRUE,""✓"",""✗"")"),"✗")</f>
        <v>✗</v>
      </c>
      <c r="Q810" s="23" t="str">
        <f>IFERROR(__xludf.DUMMYFUNCTION("if(REGEXMATCH(join("", "",$F810:$G810),Q$1)=TRUE,""✓"",""✗"")"),"✗")</f>
        <v>✗</v>
      </c>
      <c r="R810" s="23" t="str">
        <f>IFERROR(__xludf.DUMMYFUNCTION("if(REGEXMATCH(join("", "",$F810:$G810),R$1)=TRUE,""✓"",""✗"")"),"✗")</f>
        <v>✗</v>
      </c>
      <c r="S810" s="23" t="str">
        <f>IFERROR(__xludf.DUMMYFUNCTION("if(REGEXMATCH(join("", "",$F810:$G810),S$1)=TRUE,""✓"",""✗"")"),"✗")</f>
        <v>✗</v>
      </c>
      <c r="T810" s="23" t="str">
        <f>IFERROR(__xludf.DUMMYFUNCTION("if(REGEXMATCH(join("", "",$F810:$G810),T$1)=TRUE,""✓"",""✗"")"),"✗")</f>
        <v>✗</v>
      </c>
      <c r="U810" s="33"/>
      <c r="V810" s="33"/>
      <c r="W810" s="33"/>
      <c r="X810" s="33"/>
      <c r="Y810" s="33"/>
      <c r="Z810" s="33"/>
      <c r="AA810" s="33"/>
      <c r="AB810" s="33"/>
      <c r="AC810" s="33"/>
    </row>
    <row r="811" hidden="1">
      <c r="A811" s="17" t="s">
        <v>302</v>
      </c>
      <c r="B811" s="33"/>
      <c r="C811" s="33"/>
      <c r="D811" s="33"/>
      <c r="E811" s="33"/>
      <c r="F811" s="33"/>
      <c r="G811" s="33"/>
      <c r="H811" s="23" t="str">
        <f>IFERROR(__xludf.DUMMYFUNCTION("if(REGEXMATCH(join("", "",$F811:$G811),H$1)=TRUE,""✓"",""✗"")"),"✗")</f>
        <v>✗</v>
      </c>
      <c r="I811" s="23" t="str">
        <f>IFERROR(__xludf.DUMMYFUNCTION("if(REGEXMATCH(join("", "",$F811:$G811),I$1)=TRUE,""✓"",""✗"")"),"✗")</f>
        <v>✗</v>
      </c>
      <c r="J811" s="23" t="str">
        <f>IFERROR(__xludf.DUMMYFUNCTION("if(REGEXMATCH(join("", "",$F811:$G811),J$1)=TRUE,""✓"",""✗"")"),"✗")</f>
        <v>✗</v>
      </c>
      <c r="K811" s="23" t="str">
        <f>IFERROR(__xludf.DUMMYFUNCTION("if(REGEXMATCH(join("", "",$F811:$G811),K$1)=TRUE,""✓"",""✗"")"),"✗")</f>
        <v>✗</v>
      </c>
      <c r="L811" s="23" t="str">
        <f>IFERROR(__xludf.DUMMYFUNCTION("if(REGEXMATCH(join("", "",$F811:$G811),L$1)=TRUE,""✓"",""✗"")"),"✗")</f>
        <v>✗</v>
      </c>
      <c r="M811" s="23" t="str">
        <f>IFERROR(__xludf.DUMMYFUNCTION("if(REGEXMATCH(join("", "",$F811:$G811),M$1)=TRUE,""✓"",""✗"")"),"✗")</f>
        <v>✗</v>
      </c>
      <c r="N811" s="23" t="str">
        <f>IFERROR(__xludf.DUMMYFUNCTION("if(REGEXMATCH(join("", "",$F811:$G811),N$1)=TRUE,""✓"",""✗"")"),"✗")</f>
        <v>✗</v>
      </c>
      <c r="O811" s="23" t="str">
        <f>IFERROR(__xludf.DUMMYFUNCTION("if(REGEXMATCH(join("", "",$F811:$G811),O$1)=TRUE,""✓"",""✗"")"),"✗")</f>
        <v>✗</v>
      </c>
      <c r="P811" s="23" t="str">
        <f>IFERROR(__xludf.DUMMYFUNCTION("if(REGEXMATCH(join("", "",$F811:$G811),P$1)=TRUE,""✓"",""✗"")"),"✗")</f>
        <v>✗</v>
      </c>
      <c r="Q811" s="23" t="str">
        <f>IFERROR(__xludf.DUMMYFUNCTION("if(REGEXMATCH(join("", "",$F811:$G811),Q$1)=TRUE,""✓"",""✗"")"),"✗")</f>
        <v>✗</v>
      </c>
      <c r="R811" s="23" t="str">
        <f>IFERROR(__xludf.DUMMYFUNCTION("if(REGEXMATCH(join("", "",$F811:$G811),R$1)=TRUE,""✓"",""✗"")"),"✗")</f>
        <v>✗</v>
      </c>
      <c r="S811" s="23" t="str">
        <f>IFERROR(__xludf.DUMMYFUNCTION("if(REGEXMATCH(join("", "",$F811:$G811),S$1)=TRUE,""✓"",""✗"")"),"✗")</f>
        <v>✗</v>
      </c>
      <c r="T811" s="23" t="str">
        <f>IFERROR(__xludf.DUMMYFUNCTION("if(REGEXMATCH(join("", "",$F811:$G811),T$1)=TRUE,""✓"",""✗"")"),"✗")</f>
        <v>✗</v>
      </c>
      <c r="U811" s="33"/>
      <c r="V811" s="33"/>
      <c r="W811" s="33"/>
      <c r="X811" s="33"/>
      <c r="Y811" s="33"/>
      <c r="Z811" s="33"/>
      <c r="AA811" s="33"/>
      <c r="AB811" s="33"/>
      <c r="AC811" s="33"/>
    </row>
    <row r="812" hidden="1">
      <c r="A812" s="17" t="s">
        <v>302</v>
      </c>
      <c r="B812" s="33"/>
      <c r="C812" s="33"/>
      <c r="D812" s="33"/>
      <c r="E812" s="33"/>
      <c r="F812" s="33"/>
      <c r="G812" s="33"/>
      <c r="H812" s="23" t="str">
        <f>IFERROR(__xludf.DUMMYFUNCTION("if(REGEXMATCH(join("", "",$F812:$G812),H$1)=TRUE,""✓"",""✗"")"),"✗")</f>
        <v>✗</v>
      </c>
      <c r="I812" s="23" t="str">
        <f>IFERROR(__xludf.DUMMYFUNCTION("if(REGEXMATCH(join("", "",$F812:$G812),I$1)=TRUE,""✓"",""✗"")"),"✗")</f>
        <v>✗</v>
      </c>
      <c r="J812" s="23" t="str">
        <f>IFERROR(__xludf.DUMMYFUNCTION("if(REGEXMATCH(join("", "",$F812:$G812),J$1)=TRUE,""✓"",""✗"")"),"✗")</f>
        <v>✗</v>
      </c>
      <c r="K812" s="23" t="str">
        <f>IFERROR(__xludf.DUMMYFUNCTION("if(REGEXMATCH(join("", "",$F812:$G812),K$1)=TRUE,""✓"",""✗"")"),"✗")</f>
        <v>✗</v>
      </c>
      <c r="L812" s="23" t="str">
        <f>IFERROR(__xludf.DUMMYFUNCTION("if(REGEXMATCH(join("", "",$F812:$G812),L$1)=TRUE,""✓"",""✗"")"),"✗")</f>
        <v>✗</v>
      </c>
      <c r="M812" s="23" t="str">
        <f>IFERROR(__xludf.DUMMYFUNCTION("if(REGEXMATCH(join("", "",$F812:$G812),M$1)=TRUE,""✓"",""✗"")"),"✗")</f>
        <v>✗</v>
      </c>
      <c r="N812" s="23" t="str">
        <f>IFERROR(__xludf.DUMMYFUNCTION("if(REGEXMATCH(join("", "",$F812:$G812),N$1)=TRUE,""✓"",""✗"")"),"✗")</f>
        <v>✗</v>
      </c>
      <c r="O812" s="23" t="str">
        <f>IFERROR(__xludf.DUMMYFUNCTION("if(REGEXMATCH(join("", "",$F812:$G812),O$1)=TRUE,""✓"",""✗"")"),"✗")</f>
        <v>✗</v>
      </c>
      <c r="P812" s="23" t="str">
        <f>IFERROR(__xludf.DUMMYFUNCTION("if(REGEXMATCH(join("", "",$F812:$G812),P$1)=TRUE,""✓"",""✗"")"),"✗")</f>
        <v>✗</v>
      </c>
      <c r="Q812" s="23" t="str">
        <f>IFERROR(__xludf.DUMMYFUNCTION("if(REGEXMATCH(join("", "",$F812:$G812),Q$1)=TRUE,""✓"",""✗"")"),"✗")</f>
        <v>✗</v>
      </c>
      <c r="R812" s="23" t="str">
        <f>IFERROR(__xludf.DUMMYFUNCTION("if(REGEXMATCH(join("", "",$F812:$G812),R$1)=TRUE,""✓"",""✗"")"),"✗")</f>
        <v>✗</v>
      </c>
      <c r="S812" s="23" t="str">
        <f>IFERROR(__xludf.DUMMYFUNCTION("if(REGEXMATCH(join("", "",$F812:$G812),S$1)=TRUE,""✓"",""✗"")"),"✗")</f>
        <v>✗</v>
      </c>
      <c r="T812" s="23" t="str">
        <f>IFERROR(__xludf.DUMMYFUNCTION("if(REGEXMATCH(join("", "",$F812:$G812),T$1)=TRUE,""✓"",""✗"")"),"✗")</f>
        <v>✗</v>
      </c>
      <c r="U812" s="33"/>
      <c r="V812" s="33"/>
      <c r="W812" s="33"/>
      <c r="X812" s="33"/>
      <c r="Y812" s="33"/>
      <c r="Z812" s="33"/>
      <c r="AA812" s="33"/>
      <c r="AB812" s="33"/>
      <c r="AC812" s="33"/>
    </row>
    <row r="813" hidden="1">
      <c r="A813" s="17" t="s">
        <v>302</v>
      </c>
      <c r="B813" s="33"/>
      <c r="C813" s="33"/>
      <c r="D813" s="33"/>
      <c r="E813" s="33"/>
      <c r="F813" s="33"/>
      <c r="G813" s="33"/>
      <c r="H813" s="23" t="str">
        <f>IFERROR(__xludf.DUMMYFUNCTION("if(REGEXMATCH(join("", "",$F813:$G813),H$1)=TRUE,""✓"",""✗"")"),"✗")</f>
        <v>✗</v>
      </c>
      <c r="I813" s="23" t="str">
        <f>IFERROR(__xludf.DUMMYFUNCTION("if(REGEXMATCH(join("", "",$F813:$G813),I$1)=TRUE,""✓"",""✗"")"),"✗")</f>
        <v>✗</v>
      </c>
      <c r="J813" s="23" t="str">
        <f>IFERROR(__xludf.DUMMYFUNCTION("if(REGEXMATCH(join("", "",$F813:$G813),J$1)=TRUE,""✓"",""✗"")"),"✗")</f>
        <v>✗</v>
      </c>
      <c r="K813" s="23" t="str">
        <f>IFERROR(__xludf.DUMMYFUNCTION("if(REGEXMATCH(join("", "",$F813:$G813),K$1)=TRUE,""✓"",""✗"")"),"✗")</f>
        <v>✗</v>
      </c>
      <c r="L813" s="23" t="str">
        <f>IFERROR(__xludf.DUMMYFUNCTION("if(REGEXMATCH(join("", "",$F813:$G813),L$1)=TRUE,""✓"",""✗"")"),"✗")</f>
        <v>✗</v>
      </c>
      <c r="M813" s="23" t="str">
        <f>IFERROR(__xludf.DUMMYFUNCTION("if(REGEXMATCH(join("", "",$F813:$G813),M$1)=TRUE,""✓"",""✗"")"),"✗")</f>
        <v>✗</v>
      </c>
      <c r="N813" s="23" t="str">
        <f>IFERROR(__xludf.DUMMYFUNCTION("if(REGEXMATCH(join("", "",$F813:$G813),N$1)=TRUE,""✓"",""✗"")"),"✗")</f>
        <v>✗</v>
      </c>
      <c r="O813" s="23" t="str">
        <f>IFERROR(__xludf.DUMMYFUNCTION("if(REGEXMATCH(join("", "",$F813:$G813),O$1)=TRUE,""✓"",""✗"")"),"✗")</f>
        <v>✗</v>
      </c>
      <c r="P813" s="23" t="str">
        <f>IFERROR(__xludf.DUMMYFUNCTION("if(REGEXMATCH(join("", "",$F813:$G813),P$1)=TRUE,""✓"",""✗"")"),"✗")</f>
        <v>✗</v>
      </c>
      <c r="Q813" s="23" t="str">
        <f>IFERROR(__xludf.DUMMYFUNCTION("if(REGEXMATCH(join("", "",$F813:$G813),Q$1)=TRUE,""✓"",""✗"")"),"✗")</f>
        <v>✗</v>
      </c>
      <c r="R813" s="23" t="str">
        <f>IFERROR(__xludf.DUMMYFUNCTION("if(REGEXMATCH(join("", "",$F813:$G813),R$1)=TRUE,""✓"",""✗"")"),"✗")</f>
        <v>✗</v>
      </c>
      <c r="S813" s="23" t="str">
        <f>IFERROR(__xludf.DUMMYFUNCTION("if(REGEXMATCH(join("", "",$F813:$G813),S$1)=TRUE,""✓"",""✗"")"),"✗")</f>
        <v>✗</v>
      </c>
      <c r="T813" s="23" t="str">
        <f>IFERROR(__xludf.DUMMYFUNCTION("if(REGEXMATCH(join("", "",$F813:$G813),T$1)=TRUE,""✓"",""✗"")"),"✗")</f>
        <v>✗</v>
      </c>
      <c r="U813" s="33"/>
      <c r="V813" s="33"/>
      <c r="W813" s="33"/>
      <c r="X813" s="33"/>
      <c r="Y813" s="33"/>
      <c r="Z813" s="33"/>
      <c r="AA813" s="33"/>
      <c r="AB813" s="33"/>
      <c r="AC813" s="33"/>
    </row>
    <row r="814" hidden="1">
      <c r="A814" s="17" t="s">
        <v>302</v>
      </c>
      <c r="B814" s="33"/>
      <c r="C814" s="33"/>
      <c r="D814" s="33"/>
      <c r="E814" s="33"/>
      <c r="F814" s="33"/>
      <c r="G814" s="33"/>
      <c r="H814" s="23" t="str">
        <f>IFERROR(__xludf.DUMMYFUNCTION("if(REGEXMATCH(join("", "",$F814:$G814),H$1)=TRUE,""✓"",""✗"")"),"✗")</f>
        <v>✗</v>
      </c>
      <c r="I814" s="23" t="str">
        <f>IFERROR(__xludf.DUMMYFUNCTION("if(REGEXMATCH(join("", "",$F814:$G814),I$1)=TRUE,""✓"",""✗"")"),"✗")</f>
        <v>✗</v>
      </c>
      <c r="J814" s="23" t="str">
        <f>IFERROR(__xludf.DUMMYFUNCTION("if(REGEXMATCH(join("", "",$F814:$G814),J$1)=TRUE,""✓"",""✗"")"),"✗")</f>
        <v>✗</v>
      </c>
      <c r="K814" s="23" t="str">
        <f>IFERROR(__xludf.DUMMYFUNCTION("if(REGEXMATCH(join("", "",$F814:$G814),K$1)=TRUE,""✓"",""✗"")"),"✗")</f>
        <v>✗</v>
      </c>
      <c r="L814" s="23" t="str">
        <f>IFERROR(__xludf.DUMMYFUNCTION("if(REGEXMATCH(join("", "",$F814:$G814),L$1)=TRUE,""✓"",""✗"")"),"✗")</f>
        <v>✗</v>
      </c>
      <c r="M814" s="23" t="str">
        <f>IFERROR(__xludf.DUMMYFUNCTION("if(REGEXMATCH(join("", "",$F814:$G814),M$1)=TRUE,""✓"",""✗"")"),"✗")</f>
        <v>✗</v>
      </c>
      <c r="N814" s="23" t="str">
        <f>IFERROR(__xludf.DUMMYFUNCTION("if(REGEXMATCH(join("", "",$F814:$G814),N$1)=TRUE,""✓"",""✗"")"),"✗")</f>
        <v>✗</v>
      </c>
      <c r="O814" s="23" t="str">
        <f>IFERROR(__xludf.DUMMYFUNCTION("if(REGEXMATCH(join("", "",$F814:$G814),O$1)=TRUE,""✓"",""✗"")"),"✗")</f>
        <v>✗</v>
      </c>
      <c r="P814" s="23" t="str">
        <f>IFERROR(__xludf.DUMMYFUNCTION("if(REGEXMATCH(join("", "",$F814:$G814),P$1)=TRUE,""✓"",""✗"")"),"✗")</f>
        <v>✗</v>
      </c>
      <c r="Q814" s="23" t="str">
        <f>IFERROR(__xludf.DUMMYFUNCTION("if(REGEXMATCH(join("", "",$F814:$G814),Q$1)=TRUE,""✓"",""✗"")"),"✗")</f>
        <v>✗</v>
      </c>
      <c r="R814" s="23" t="str">
        <f>IFERROR(__xludf.DUMMYFUNCTION("if(REGEXMATCH(join("", "",$F814:$G814),R$1)=TRUE,""✓"",""✗"")"),"✗")</f>
        <v>✗</v>
      </c>
      <c r="S814" s="23" t="str">
        <f>IFERROR(__xludf.DUMMYFUNCTION("if(REGEXMATCH(join("", "",$F814:$G814),S$1)=TRUE,""✓"",""✗"")"),"✗")</f>
        <v>✗</v>
      </c>
      <c r="T814" s="23" t="str">
        <f>IFERROR(__xludf.DUMMYFUNCTION("if(REGEXMATCH(join("", "",$F814:$G814),T$1)=TRUE,""✓"",""✗"")"),"✗")</f>
        <v>✗</v>
      </c>
      <c r="U814" s="33"/>
      <c r="V814" s="33"/>
      <c r="W814" s="33"/>
      <c r="X814" s="33"/>
      <c r="Y814" s="33"/>
      <c r="Z814" s="33"/>
      <c r="AA814" s="33"/>
      <c r="AB814" s="33"/>
      <c r="AC814" s="33"/>
    </row>
    <row r="815" hidden="1">
      <c r="A815" s="17" t="s">
        <v>302</v>
      </c>
      <c r="B815" s="33"/>
      <c r="C815" s="33"/>
      <c r="D815" s="33"/>
      <c r="E815" s="33"/>
      <c r="F815" s="33"/>
      <c r="G815" s="33"/>
      <c r="H815" s="23" t="str">
        <f>IFERROR(__xludf.DUMMYFUNCTION("if(REGEXMATCH(join("", "",$F815:$G815),H$1)=TRUE,""✓"",""✗"")"),"✗")</f>
        <v>✗</v>
      </c>
      <c r="I815" s="23" t="str">
        <f>IFERROR(__xludf.DUMMYFUNCTION("if(REGEXMATCH(join("", "",$F815:$G815),I$1)=TRUE,""✓"",""✗"")"),"✗")</f>
        <v>✗</v>
      </c>
      <c r="J815" s="23" t="str">
        <f>IFERROR(__xludf.DUMMYFUNCTION("if(REGEXMATCH(join("", "",$F815:$G815),J$1)=TRUE,""✓"",""✗"")"),"✗")</f>
        <v>✗</v>
      </c>
      <c r="K815" s="23" t="str">
        <f>IFERROR(__xludf.DUMMYFUNCTION("if(REGEXMATCH(join("", "",$F815:$G815),K$1)=TRUE,""✓"",""✗"")"),"✗")</f>
        <v>✗</v>
      </c>
      <c r="L815" s="23" t="str">
        <f>IFERROR(__xludf.DUMMYFUNCTION("if(REGEXMATCH(join("", "",$F815:$G815),L$1)=TRUE,""✓"",""✗"")"),"✗")</f>
        <v>✗</v>
      </c>
      <c r="M815" s="23" t="str">
        <f>IFERROR(__xludf.DUMMYFUNCTION("if(REGEXMATCH(join("", "",$F815:$G815),M$1)=TRUE,""✓"",""✗"")"),"✗")</f>
        <v>✗</v>
      </c>
      <c r="N815" s="23" t="str">
        <f>IFERROR(__xludf.DUMMYFUNCTION("if(REGEXMATCH(join("", "",$F815:$G815),N$1)=TRUE,""✓"",""✗"")"),"✗")</f>
        <v>✗</v>
      </c>
      <c r="O815" s="23" t="str">
        <f>IFERROR(__xludf.DUMMYFUNCTION("if(REGEXMATCH(join("", "",$F815:$G815),O$1)=TRUE,""✓"",""✗"")"),"✗")</f>
        <v>✗</v>
      </c>
      <c r="P815" s="23" t="str">
        <f>IFERROR(__xludf.DUMMYFUNCTION("if(REGEXMATCH(join("", "",$F815:$G815),P$1)=TRUE,""✓"",""✗"")"),"✗")</f>
        <v>✗</v>
      </c>
      <c r="Q815" s="23" t="str">
        <f>IFERROR(__xludf.DUMMYFUNCTION("if(REGEXMATCH(join("", "",$F815:$G815),Q$1)=TRUE,""✓"",""✗"")"),"✗")</f>
        <v>✗</v>
      </c>
      <c r="R815" s="23" t="str">
        <f>IFERROR(__xludf.DUMMYFUNCTION("if(REGEXMATCH(join("", "",$F815:$G815),R$1)=TRUE,""✓"",""✗"")"),"✗")</f>
        <v>✗</v>
      </c>
      <c r="S815" s="23" t="str">
        <f>IFERROR(__xludf.DUMMYFUNCTION("if(REGEXMATCH(join("", "",$F815:$G815),S$1)=TRUE,""✓"",""✗"")"),"✗")</f>
        <v>✗</v>
      </c>
      <c r="T815" s="23" t="str">
        <f>IFERROR(__xludf.DUMMYFUNCTION("if(REGEXMATCH(join("", "",$F815:$G815),T$1)=TRUE,""✓"",""✗"")"),"✗")</f>
        <v>✗</v>
      </c>
      <c r="U815" s="33"/>
      <c r="V815" s="33"/>
      <c r="W815" s="33"/>
      <c r="X815" s="33"/>
      <c r="Y815" s="33"/>
      <c r="Z815" s="33"/>
      <c r="AA815" s="33"/>
      <c r="AB815" s="33"/>
      <c r="AC815" s="33"/>
    </row>
    <row r="816" hidden="1">
      <c r="A816" s="17" t="s">
        <v>302</v>
      </c>
      <c r="B816" s="33"/>
      <c r="C816" s="33"/>
      <c r="D816" s="33"/>
      <c r="E816" s="33"/>
      <c r="F816" s="33"/>
      <c r="G816" s="33"/>
      <c r="H816" s="23" t="str">
        <f>IFERROR(__xludf.DUMMYFUNCTION("if(REGEXMATCH(join("", "",$F816:$G816),H$1)=TRUE,""✓"",""✗"")"),"✗")</f>
        <v>✗</v>
      </c>
      <c r="I816" s="23" t="str">
        <f>IFERROR(__xludf.DUMMYFUNCTION("if(REGEXMATCH(join("", "",$F816:$G816),I$1)=TRUE,""✓"",""✗"")"),"✗")</f>
        <v>✗</v>
      </c>
      <c r="J816" s="23" t="str">
        <f>IFERROR(__xludf.DUMMYFUNCTION("if(REGEXMATCH(join("", "",$F816:$G816),J$1)=TRUE,""✓"",""✗"")"),"✗")</f>
        <v>✗</v>
      </c>
      <c r="K816" s="23" t="str">
        <f>IFERROR(__xludf.DUMMYFUNCTION("if(REGEXMATCH(join("", "",$F816:$G816),K$1)=TRUE,""✓"",""✗"")"),"✗")</f>
        <v>✗</v>
      </c>
      <c r="L816" s="23" t="str">
        <f>IFERROR(__xludf.DUMMYFUNCTION("if(REGEXMATCH(join("", "",$F816:$G816),L$1)=TRUE,""✓"",""✗"")"),"✗")</f>
        <v>✗</v>
      </c>
      <c r="M816" s="23" t="str">
        <f>IFERROR(__xludf.DUMMYFUNCTION("if(REGEXMATCH(join("", "",$F816:$G816),M$1)=TRUE,""✓"",""✗"")"),"✗")</f>
        <v>✗</v>
      </c>
      <c r="N816" s="23" t="str">
        <f>IFERROR(__xludf.DUMMYFUNCTION("if(REGEXMATCH(join("", "",$F816:$G816),N$1)=TRUE,""✓"",""✗"")"),"✗")</f>
        <v>✗</v>
      </c>
      <c r="O816" s="23" t="str">
        <f>IFERROR(__xludf.DUMMYFUNCTION("if(REGEXMATCH(join("", "",$F816:$G816),O$1)=TRUE,""✓"",""✗"")"),"✗")</f>
        <v>✗</v>
      </c>
      <c r="P816" s="23" t="str">
        <f>IFERROR(__xludf.DUMMYFUNCTION("if(REGEXMATCH(join("", "",$F816:$G816),P$1)=TRUE,""✓"",""✗"")"),"✗")</f>
        <v>✗</v>
      </c>
      <c r="Q816" s="23" t="str">
        <f>IFERROR(__xludf.DUMMYFUNCTION("if(REGEXMATCH(join("", "",$F816:$G816),Q$1)=TRUE,""✓"",""✗"")"),"✗")</f>
        <v>✗</v>
      </c>
      <c r="R816" s="23" t="str">
        <f>IFERROR(__xludf.DUMMYFUNCTION("if(REGEXMATCH(join("", "",$F816:$G816),R$1)=TRUE,""✓"",""✗"")"),"✗")</f>
        <v>✗</v>
      </c>
      <c r="S816" s="23" t="str">
        <f>IFERROR(__xludf.DUMMYFUNCTION("if(REGEXMATCH(join("", "",$F816:$G816),S$1)=TRUE,""✓"",""✗"")"),"✗")</f>
        <v>✗</v>
      </c>
      <c r="T816" s="23" t="str">
        <f>IFERROR(__xludf.DUMMYFUNCTION("if(REGEXMATCH(join("", "",$F816:$G816),T$1)=TRUE,""✓"",""✗"")"),"✗")</f>
        <v>✗</v>
      </c>
      <c r="U816" s="33"/>
      <c r="V816" s="33"/>
      <c r="W816" s="33"/>
      <c r="X816" s="33"/>
      <c r="Y816" s="33"/>
      <c r="Z816" s="33"/>
      <c r="AA816" s="33"/>
      <c r="AB816" s="33"/>
      <c r="AC816" s="33"/>
    </row>
    <row r="817" hidden="1">
      <c r="A817" s="17" t="s">
        <v>302</v>
      </c>
      <c r="B817" s="33"/>
      <c r="C817" s="33"/>
      <c r="D817" s="33"/>
      <c r="E817" s="33"/>
      <c r="F817" s="33"/>
      <c r="G817" s="33"/>
      <c r="H817" s="23" t="str">
        <f>IFERROR(__xludf.DUMMYFUNCTION("if(REGEXMATCH(join("", "",$F817:$G817),H$1)=TRUE,""✓"",""✗"")"),"✗")</f>
        <v>✗</v>
      </c>
      <c r="I817" s="23" t="str">
        <f>IFERROR(__xludf.DUMMYFUNCTION("if(REGEXMATCH(join("", "",$F817:$G817),I$1)=TRUE,""✓"",""✗"")"),"✗")</f>
        <v>✗</v>
      </c>
      <c r="J817" s="23" t="str">
        <f>IFERROR(__xludf.DUMMYFUNCTION("if(REGEXMATCH(join("", "",$F817:$G817),J$1)=TRUE,""✓"",""✗"")"),"✗")</f>
        <v>✗</v>
      </c>
      <c r="K817" s="23" t="str">
        <f>IFERROR(__xludf.DUMMYFUNCTION("if(REGEXMATCH(join("", "",$F817:$G817),K$1)=TRUE,""✓"",""✗"")"),"✗")</f>
        <v>✗</v>
      </c>
      <c r="L817" s="23" t="str">
        <f>IFERROR(__xludf.DUMMYFUNCTION("if(REGEXMATCH(join("", "",$F817:$G817),L$1)=TRUE,""✓"",""✗"")"),"✗")</f>
        <v>✗</v>
      </c>
      <c r="M817" s="23" t="str">
        <f>IFERROR(__xludf.DUMMYFUNCTION("if(REGEXMATCH(join("", "",$F817:$G817),M$1)=TRUE,""✓"",""✗"")"),"✗")</f>
        <v>✗</v>
      </c>
      <c r="N817" s="23" t="str">
        <f>IFERROR(__xludf.DUMMYFUNCTION("if(REGEXMATCH(join("", "",$F817:$G817),N$1)=TRUE,""✓"",""✗"")"),"✗")</f>
        <v>✗</v>
      </c>
      <c r="O817" s="23" t="str">
        <f>IFERROR(__xludf.DUMMYFUNCTION("if(REGEXMATCH(join("", "",$F817:$G817),O$1)=TRUE,""✓"",""✗"")"),"✗")</f>
        <v>✗</v>
      </c>
      <c r="P817" s="23" t="str">
        <f>IFERROR(__xludf.DUMMYFUNCTION("if(REGEXMATCH(join("", "",$F817:$G817),P$1)=TRUE,""✓"",""✗"")"),"✗")</f>
        <v>✗</v>
      </c>
      <c r="Q817" s="23" t="str">
        <f>IFERROR(__xludf.DUMMYFUNCTION("if(REGEXMATCH(join("", "",$F817:$G817),Q$1)=TRUE,""✓"",""✗"")"),"✗")</f>
        <v>✗</v>
      </c>
      <c r="R817" s="23" t="str">
        <f>IFERROR(__xludf.DUMMYFUNCTION("if(REGEXMATCH(join("", "",$F817:$G817),R$1)=TRUE,""✓"",""✗"")"),"✗")</f>
        <v>✗</v>
      </c>
      <c r="S817" s="23" t="str">
        <f>IFERROR(__xludf.DUMMYFUNCTION("if(REGEXMATCH(join("", "",$F817:$G817),S$1)=TRUE,""✓"",""✗"")"),"✗")</f>
        <v>✗</v>
      </c>
      <c r="T817" s="23" t="str">
        <f>IFERROR(__xludf.DUMMYFUNCTION("if(REGEXMATCH(join("", "",$F817:$G817),T$1)=TRUE,""✓"",""✗"")"),"✗")</f>
        <v>✗</v>
      </c>
      <c r="U817" s="33"/>
      <c r="V817" s="33"/>
      <c r="W817" s="33"/>
      <c r="X817" s="33"/>
      <c r="Y817" s="33"/>
      <c r="Z817" s="33"/>
      <c r="AA817" s="33"/>
      <c r="AB817" s="33"/>
      <c r="AC817" s="33"/>
    </row>
    <row r="818" hidden="1">
      <c r="A818" s="17" t="s">
        <v>302</v>
      </c>
      <c r="B818" s="33"/>
      <c r="C818" s="33"/>
      <c r="D818" s="33"/>
      <c r="E818" s="33"/>
      <c r="F818" s="33"/>
      <c r="G818" s="33"/>
      <c r="H818" s="23" t="str">
        <f>IFERROR(__xludf.DUMMYFUNCTION("if(REGEXMATCH(join("", "",$F818:$G818),H$1)=TRUE,""✓"",""✗"")"),"✗")</f>
        <v>✗</v>
      </c>
      <c r="I818" s="23" t="str">
        <f>IFERROR(__xludf.DUMMYFUNCTION("if(REGEXMATCH(join("", "",$F818:$G818),I$1)=TRUE,""✓"",""✗"")"),"✗")</f>
        <v>✗</v>
      </c>
      <c r="J818" s="23" t="str">
        <f>IFERROR(__xludf.DUMMYFUNCTION("if(REGEXMATCH(join("", "",$F818:$G818),J$1)=TRUE,""✓"",""✗"")"),"✗")</f>
        <v>✗</v>
      </c>
      <c r="K818" s="23" t="str">
        <f>IFERROR(__xludf.DUMMYFUNCTION("if(REGEXMATCH(join("", "",$F818:$G818),K$1)=TRUE,""✓"",""✗"")"),"✗")</f>
        <v>✗</v>
      </c>
      <c r="L818" s="23" t="str">
        <f>IFERROR(__xludf.DUMMYFUNCTION("if(REGEXMATCH(join("", "",$F818:$G818),L$1)=TRUE,""✓"",""✗"")"),"✗")</f>
        <v>✗</v>
      </c>
      <c r="M818" s="23" t="str">
        <f>IFERROR(__xludf.DUMMYFUNCTION("if(REGEXMATCH(join("", "",$F818:$G818),M$1)=TRUE,""✓"",""✗"")"),"✗")</f>
        <v>✗</v>
      </c>
      <c r="N818" s="23" t="str">
        <f>IFERROR(__xludf.DUMMYFUNCTION("if(REGEXMATCH(join("", "",$F818:$G818),N$1)=TRUE,""✓"",""✗"")"),"✗")</f>
        <v>✗</v>
      </c>
      <c r="O818" s="23" t="str">
        <f>IFERROR(__xludf.DUMMYFUNCTION("if(REGEXMATCH(join("", "",$F818:$G818),O$1)=TRUE,""✓"",""✗"")"),"✗")</f>
        <v>✗</v>
      </c>
      <c r="P818" s="23" t="str">
        <f>IFERROR(__xludf.DUMMYFUNCTION("if(REGEXMATCH(join("", "",$F818:$G818),P$1)=TRUE,""✓"",""✗"")"),"✗")</f>
        <v>✗</v>
      </c>
      <c r="Q818" s="23" t="str">
        <f>IFERROR(__xludf.DUMMYFUNCTION("if(REGEXMATCH(join("", "",$F818:$G818),Q$1)=TRUE,""✓"",""✗"")"),"✗")</f>
        <v>✗</v>
      </c>
      <c r="R818" s="23" t="str">
        <f>IFERROR(__xludf.DUMMYFUNCTION("if(REGEXMATCH(join("", "",$F818:$G818),R$1)=TRUE,""✓"",""✗"")"),"✗")</f>
        <v>✗</v>
      </c>
      <c r="S818" s="23" t="str">
        <f>IFERROR(__xludf.DUMMYFUNCTION("if(REGEXMATCH(join("", "",$F818:$G818),S$1)=TRUE,""✓"",""✗"")"),"✗")</f>
        <v>✗</v>
      </c>
      <c r="T818" s="23" t="str">
        <f>IFERROR(__xludf.DUMMYFUNCTION("if(REGEXMATCH(join("", "",$F818:$G818),T$1)=TRUE,""✓"",""✗"")"),"✗")</f>
        <v>✗</v>
      </c>
      <c r="U818" s="33"/>
      <c r="V818" s="33"/>
      <c r="W818" s="33"/>
      <c r="X818" s="33"/>
      <c r="Y818" s="33"/>
      <c r="Z818" s="33"/>
      <c r="AA818" s="33"/>
      <c r="AB818" s="33"/>
      <c r="AC818" s="33"/>
    </row>
    <row r="819" hidden="1">
      <c r="A819" s="17" t="s">
        <v>302</v>
      </c>
      <c r="B819" s="33"/>
      <c r="C819" s="33"/>
      <c r="D819" s="33"/>
      <c r="E819" s="33"/>
      <c r="F819" s="33"/>
      <c r="G819" s="33"/>
      <c r="H819" s="23" t="str">
        <f>IFERROR(__xludf.DUMMYFUNCTION("if(REGEXMATCH(join("", "",$F819:$G819),H$1)=TRUE,""✓"",""✗"")"),"✗")</f>
        <v>✗</v>
      </c>
      <c r="I819" s="23" t="str">
        <f>IFERROR(__xludf.DUMMYFUNCTION("if(REGEXMATCH(join("", "",$F819:$G819),I$1)=TRUE,""✓"",""✗"")"),"✗")</f>
        <v>✗</v>
      </c>
      <c r="J819" s="23" t="str">
        <f>IFERROR(__xludf.DUMMYFUNCTION("if(REGEXMATCH(join("", "",$F819:$G819),J$1)=TRUE,""✓"",""✗"")"),"✗")</f>
        <v>✗</v>
      </c>
      <c r="K819" s="23" t="str">
        <f>IFERROR(__xludf.DUMMYFUNCTION("if(REGEXMATCH(join("", "",$F819:$G819),K$1)=TRUE,""✓"",""✗"")"),"✗")</f>
        <v>✗</v>
      </c>
      <c r="L819" s="23" t="str">
        <f>IFERROR(__xludf.DUMMYFUNCTION("if(REGEXMATCH(join("", "",$F819:$G819),L$1)=TRUE,""✓"",""✗"")"),"✗")</f>
        <v>✗</v>
      </c>
      <c r="M819" s="23" t="str">
        <f>IFERROR(__xludf.DUMMYFUNCTION("if(REGEXMATCH(join("", "",$F819:$G819),M$1)=TRUE,""✓"",""✗"")"),"✗")</f>
        <v>✗</v>
      </c>
      <c r="N819" s="23" t="str">
        <f>IFERROR(__xludf.DUMMYFUNCTION("if(REGEXMATCH(join("", "",$F819:$G819),N$1)=TRUE,""✓"",""✗"")"),"✗")</f>
        <v>✗</v>
      </c>
      <c r="O819" s="23" t="str">
        <f>IFERROR(__xludf.DUMMYFUNCTION("if(REGEXMATCH(join("", "",$F819:$G819),O$1)=TRUE,""✓"",""✗"")"),"✗")</f>
        <v>✗</v>
      </c>
      <c r="P819" s="23" t="str">
        <f>IFERROR(__xludf.DUMMYFUNCTION("if(REGEXMATCH(join("", "",$F819:$G819),P$1)=TRUE,""✓"",""✗"")"),"✗")</f>
        <v>✗</v>
      </c>
      <c r="Q819" s="23" t="str">
        <f>IFERROR(__xludf.DUMMYFUNCTION("if(REGEXMATCH(join("", "",$F819:$G819),Q$1)=TRUE,""✓"",""✗"")"),"✗")</f>
        <v>✗</v>
      </c>
      <c r="R819" s="23" t="str">
        <f>IFERROR(__xludf.DUMMYFUNCTION("if(REGEXMATCH(join("", "",$F819:$G819),R$1)=TRUE,""✓"",""✗"")"),"✗")</f>
        <v>✗</v>
      </c>
      <c r="S819" s="23" t="str">
        <f>IFERROR(__xludf.DUMMYFUNCTION("if(REGEXMATCH(join("", "",$F819:$G819),S$1)=TRUE,""✓"",""✗"")"),"✗")</f>
        <v>✗</v>
      </c>
      <c r="T819" s="23" t="str">
        <f>IFERROR(__xludf.DUMMYFUNCTION("if(REGEXMATCH(join("", "",$F819:$G819),T$1)=TRUE,""✓"",""✗"")"),"✗")</f>
        <v>✗</v>
      </c>
      <c r="U819" s="33"/>
      <c r="V819" s="33"/>
      <c r="W819" s="33"/>
      <c r="X819" s="33"/>
      <c r="Y819" s="33"/>
      <c r="Z819" s="33"/>
      <c r="AA819" s="33"/>
      <c r="AB819" s="33"/>
      <c r="AC819" s="33"/>
    </row>
    <row r="820" hidden="1">
      <c r="A820" s="17" t="s">
        <v>302</v>
      </c>
      <c r="B820" s="33"/>
      <c r="C820" s="33"/>
      <c r="D820" s="33"/>
      <c r="E820" s="33"/>
      <c r="F820" s="33"/>
      <c r="G820" s="33"/>
      <c r="H820" s="23" t="str">
        <f>IFERROR(__xludf.DUMMYFUNCTION("if(REGEXMATCH(join("", "",$F820:$G820),H$1)=TRUE,""✓"",""✗"")"),"✗")</f>
        <v>✗</v>
      </c>
      <c r="I820" s="23" t="str">
        <f>IFERROR(__xludf.DUMMYFUNCTION("if(REGEXMATCH(join("", "",$F820:$G820),I$1)=TRUE,""✓"",""✗"")"),"✗")</f>
        <v>✗</v>
      </c>
      <c r="J820" s="23" t="str">
        <f>IFERROR(__xludf.DUMMYFUNCTION("if(REGEXMATCH(join("", "",$F820:$G820),J$1)=TRUE,""✓"",""✗"")"),"✗")</f>
        <v>✗</v>
      </c>
      <c r="K820" s="23" t="str">
        <f>IFERROR(__xludf.DUMMYFUNCTION("if(REGEXMATCH(join("", "",$F820:$G820),K$1)=TRUE,""✓"",""✗"")"),"✗")</f>
        <v>✗</v>
      </c>
      <c r="L820" s="23" t="str">
        <f>IFERROR(__xludf.DUMMYFUNCTION("if(REGEXMATCH(join("", "",$F820:$G820),L$1)=TRUE,""✓"",""✗"")"),"✗")</f>
        <v>✗</v>
      </c>
      <c r="M820" s="23" t="str">
        <f>IFERROR(__xludf.DUMMYFUNCTION("if(REGEXMATCH(join("", "",$F820:$G820),M$1)=TRUE,""✓"",""✗"")"),"✗")</f>
        <v>✗</v>
      </c>
      <c r="N820" s="23" t="str">
        <f>IFERROR(__xludf.DUMMYFUNCTION("if(REGEXMATCH(join("", "",$F820:$G820),N$1)=TRUE,""✓"",""✗"")"),"✗")</f>
        <v>✗</v>
      </c>
      <c r="O820" s="23" t="str">
        <f>IFERROR(__xludf.DUMMYFUNCTION("if(REGEXMATCH(join("", "",$F820:$G820),O$1)=TRUE,""✓"",""✗"")"),"✗")</f>
        <v>✗</v>
      </c>
      <c r="P820" s="23" t="str">
        <f>IFERROR(__xludf.DUMMYFUNCTION("if(REGEXMATCH(join("", "",$F820:$G820),P$1)=TRUE,""✓"",""✗"")"),"✗")</f>
        <v>✗</v>
      </c>
      <c r="Q820" s="23" t="str">
        <f>IFERROR(__xludf.DUMMYFUNCTION("if(REGEXMATCH(join("", "",$F820:$G820),Q$1)=TRUE,""✓"",""✗"")"),"✗")</f>
        <v>✗</v>
      </c>
      <c r="R820" s="23" t="str">
        <f>IFERROR(__xludf.DUMMYFUNCTION("if(REGEXMATCH(join("", "",$F820:$G820),R$1)=TRUE,""✓"",""✗"")"),"✗")</f>
        <v>✗</v>
      </c>
      <c r="S820" s="23" t="str">
        <f>IFERROR(__xludf.DUMMYFUNCTION("if(REGEXMATCH(join("", "",$F820:$G820),S$1)=TRUE,""✓"",""✗"")"),"✗")</f>
        <v>✗</v>
      </c>
      <c r="T820" s="23" t="str">
        <f>IFERROR(__xludf.DUMMYFUNCTION("if(REGEXMATCH(join("", "",$F820:$G820),T$1)=TRUE,""✓"",""✗"")"),"✗")</f>
        <v>✗</v>
      </c>
      <c r="U820" s="33"/>
      <c r="V820" s="33"/>
      <c r="W820" s="33"/>
      <c r="X820" s="33"/>
      <c r="Y820" s="33"/>
      <c r="Z820" s="33"/>
      <c r="AA820" s="33"/>
      <c r="AB820" s="33"/>
      <c r="AC820" s="33"/>
    </row>
    <row r="821" hidden="1">
      <c r="A821" s="17" t="s">
        <v>302</v>
      </c>
      <c r="B821" s="33"/>
      <c r="C821" s="33"/>
      <c r="D821" s="33"/>
      <c r="E821" s="33"/>
      <c r="F821" s="33"/>
      <c r="G821" s="33"/>
      <c r="H821" s="23" t="str">
        <f>IFERROR(__xludf.DUMMYFUNCTION("if(REGEXMATCH(join("", "",$F821:$G821),H$1)=TRUE,""✓"",""✗"")"),"✗")</f>
        <v>✗</v>
      </c>
      <c r="I821" s="23" t="str">
        <f>IFERROR(__xludf.DUMMYFUNCTION("if(REGEXMATCH(join("", "",$F821:$G821),I$1)=TRUE,""✓"",""✗"")"),"✗")</f>
        <v>✗</v>
      </c>
      <c r="J821" s="23" t="str">
        <f>IFERROR(__xludf.DUMMYFUNCTION("if(REGEXMATCH(join("", "",$F821:$G821),J$1)=TRUE,""✓"",""✗"")"),"✗")</f>
        <v>✗</v>
      </c>
      <c r="K821" s="23" t="str">
        <f>IFERROR(__xludf.DUMMYFUNCTION("if(REGEXMATCH(join("", "",$F821:$G821),K$1)=TRUE,""✓"",""✗"")"),"✗")</f>
        <v>✗</v>
      </c>
      <c r="L821" s="23" t="str">
        <f>IFERROR(__xludf.DUMMYFUNCTION("if(REGEXMATCH(join("", "",$F821:$G821),L$1)=TRUE,""✓"",""✗"")"),"✗")</f>
        <v>✗</v>
      </c>
      <c r="M821" s="23" t="str">
        <f>IFERROR(__xludf.DUMMYFUNCTION("if(REGEXMATCH(join("", "",$F821:$G821),M$1)=TRUE,""✓"",""✗"")"),"✗")</f>
        <v>✗</v>
      </c>
      <c r="N821" s="23" t="str">
        <f>IFERROR(__xludf.DUMMYFUNCTION("if(REGEXMATCH(join("", "",$F821:$G821),N$1)=TRUE,""✓"",""✗"")"),"✗")</f>
        <v>✗</v>
      </c>
      <c r="O821" s="23" t="str">
        <f>IFERROR(__xludf.DUMMYFUNCTION("if(REGEXMATCH(join("", "",$F821:$G821),O$1)=TRUE,""✓"",""✗"")"),"✗")</f>
        <v>✗</v>
      </c>
      <c r="P821" s="23" t="str">
        <f>IFERROR(__xludf.DUMMYFUNCTION("if(REGEXMATCH(join("", "",$F821:$G821),P$1)=TRUE,""✓"",""✗"")"),"✗")</f>
        <v>✗</v>
      </c>
      <c r="Q821" s="23" t="str">
        <f>IFERROR(__xludf.DUMMYFUNCTION("if(REGEXMATCH(join("", "",$F821:$G821),Q$1)=TRUE,""✓"",""✗"")"),"✗")</f>
        <v>✗</v>
      </c>
      <c r="R821" s="23" t="str">
        <f>IFERROR(__xludf.DUMMYFUNCTION("if(REGEXMATCH(join("", "",$F821:$G821),R$1)=TRUE,""✓"",""✗"")"),"✗")</f>
        <v>✗</v>
      </c>
      <c r="S821" s="23" t="str">
        <f>IFERROR(__xludf.DUMMYFUNCTION("if(REGEXMATCH(join("", "",$F821:$G821),S$1)=TRUE,""✓"",""✗"")"),"✗")</f>
        <v>✗</v>
      </c>
      <c r="T821" s="23" t="str">
        <f>IFERROR(__xludf.DUMMYFUNCTION("if(REGEXMATCH(join("", "",$F821:$G821),T$1)=TRUE,""✓"",""✗"")"),"✗")</f>
        <v>✗</v>
      </c>
      <c r="U821" s="33"/>
      <c r="V821" s="33"/>
      <c r="W821" s="33"/>
      <c r="X821" s="33"/>
      <c r="Y821" s="33"/>
      <c r="Z821" s="33"/>
      <c r="AA821" s="33"/>
      <c r="AB821" s="33"/>
      <c r="AC821" s="33"/>
    </row>
    <row r="822" hidden="1">
      <c r="A822" s="17" t="s">
        <v>302</v>
      </c>
      <c r="B822" s="33"/>
      <c r="C822" s="33"/>
      <c r="D822" s="33"/>
      <c r="E822" s="33"/>
      <c r="F822" s="33"/>
      <c r="G822" s="33"/>
      <c r="H822" s="23" t="str">
        <f>IFERROR(__xludf.DUMMYFUNCTION("if(REGEXMATCH(join("", "",$F822:$G822),H$1)=TRUE,""✓"",""✗"")"),"✗")</f>
        <v>✗</v>
      </c>
      <c r="I822" s="23" t="str">
        <f>IFERROR(__xludf.DUMMYFUNCTION("if(REGEXMATCH(join("", "",$F822:$G822),I$1)=TRUE,""✓"",""✗"")"),"✗")</f>
        <v>✗</v>
      </c>
      <c r="J822" s="23" t="str">
        <f>IFERROR(__xludf.DUMMYFUNCTION("if(REGEXMATCH(join("", "",$F822:$G822),J$1)=TRUE,""✓"",""✗"")"),"✗")</f>
        <v>✗</v>
      </c>
      <c r="K822" s="23" t="str">
        <f>IFERROR(__xludf.DUMMYFUNCTION("if(REGEXMATCH(join("", "",$F822:$G822),K$1)=TRUE,""✓"",""✗"")"),"✗")</f>
        <v>✗</v>
      </c>
      <c r="L822" s="23" t="str">
        <f>IFERROR(__xludf.DUMMYFUNCTION("if(REGEXMATCH(join("", "",$F822:$G822),L$1)=TRUE,""✓"",""✗"")"),"✗")</f>
        <v>✗</v>
      </c>
      <c r="M822" s="23" t="str">
        <f>IFERROR(__xludf.DUMMYFUNCTION("if(REGEXMATCH(join("", "",$F822:$G822),M$1)=TRUE,""✓"",""✗"")"),"✗")</f>
        <v>✗</v>
      </c>
      <c r="N822" s="23" t="str">
        <f>IFERROR(__xludf.DUMMYFUNCTION("if(REGEXMATCH(join("", "",$F822:$G822),N$1)=TRUE,""✓"",""✗"")"),"✗")</f>
        <v>✗</v>
      </c>
      <c r="O822" s="23" t="str">
        <f>IFERROR(__xludf.DUMMYFUNCTION("if(REGEXMATCH(join("", "",$F822:$G822),O$1)=TRUE,""✓"",""✗"")"),"✗")</f>
        <v>✗</v>
      </c>
      <c r="P822" s="23" t="str">
        <f>IFERROR(__xludf.DUMMYFUNCTION("if(REGEXMATCH(join("", "",$F822:$G822),P$1)=TRUE,""✓"",""✗"")"),"✗")</f>
        <v>✗</v>
      </c>
      <c r="Q822" s="23" t="str">
        <f>IFERROR(__xludf.DUMMYFUNCTION("if(REGEXMATCH(join("", "",$F822:$G822),Q$1)=TRUE,""✓"",""✗"")"),"✗")</f>
        <v>✗</v>
      </c>
      <c r="R822" s="23" t="str">
        <f>IFERROR(__xludf.DUMMYFUNCTION("if(REGEXMATCH(join("", "",$F822:$G822),R$1)=TRUE,""✓"",""✗"")"),"✗")</f>
        <v>✗</v>
      </c>
      <c r="S822" s="23" t="str">
        <f>IFERROR(__xludf.DUMMYFUNCTION("if(REGEXMATCH(join("", "",$F822:$G822),S$1)=TRUE,""✓"",""✗"")"),"✗")</f>
        <v>✗</v>
      </c>
      <c r="T822" s="23" t="str">
        <f>IFERROR(__xludf.DUMMYFUNCTION("if(REGEXMATCH(join("", "",$F822:$G822),T$1)=TRUE,""✓"",""✗"")"),"✗")</f>
        <v>✗</v>
      </c>
      <c r="U822" s="33"/>
      <c r="V822" s="33"/>
      <c r="W822" s="33"/>
      <c r="X822" s="33"/>
      <c r="Y822" s="33"/>
      <c r="Z822" s="33"/>
      <c r="AA822" s="33"/>
      <c r="AB822" s="33"/>
      <c r="AC822" s="33"/>
    </row>
    <row r="823" hidden="1">
      <c r="A823" s="17" t="s">
        <v>302</v>
      </c>
      <c r="B823" s="33"/>
      <c r="C823" s="33"/>
      <c r="D823" s="33"/>
      <c r="E823" s="33"/>
      <c r="F823" s="33"/>
      <c r="G823" s="33"/>
      <c r="H823" s="23" t="str">
        <f>IFERROR(__xludf.DUMMYFUNCTION("if(REGEXMATCH(join("", "",$F823:$G823),H$1)=TRUE,""✓"",""✗"")"),"✗")</f>
        <v>✗</v>
      </c>
      <c r="I823" s="23" t="str">
        <f>IFERROR(__xludf.DUMMYFUNCTION("if(REGEXMATCH(join("", "",$F823:$G823),I$1)=TRUE,""✓"",""✗"")"),"✗")</f>
        <v>✗</v>
      </c>
      <c r="J823" s="23" t="str">
        <f>IFERROR(__xludf.DUMMYFUNCTION("if(REGEXMATCH(join("", "",$F823:$G823),J$1)=TRUE,""✓"",""✗"")"),"✗")</f>
        <v>✗</v>
      </c>
      <c r="K823" s="23" t="str">
        <f>IFERROR(__xludf.DUMMYFUNCTION("if(REGEXMATCH(join("", "",$F823:$G823),K$1)=TRUE,""✓"",""✗"")"),"✗")</f>
        <v>✗</v>
      </c>
      <c r="L823" s="23" t="str">
        <f>IFERROR(__xludf.DUMMYFUNCTION("if(REGEXMATCH(join("", "",$F823:$G823),L$1)=TRUE,""✓"",""✗"")"),"✗")</f>
        <v>✗</v>
      </c>
      <c r="M823" s="23" t="str">
        <f>IFERROR(__xludf.DUMMYFUNCTION("if(REGEXMATCH(join("", "",$F823:$G823),M$1)=TRUE,""✓"",""✗"")"),"✗")</f>
        <v>✗</v>
      </c>
      <c r="N823" s="23" t="str">
        <f>IFERROR(__xludf.DUMMYFUNCTION("if(REGEXMATCH(join("", "",$F823:$G823),N$1)=TRUE,""✓"",""✗"")"),"✗")</f>
        <v>✗</v>
      </c>
      <c r="O823" s="23" t="str">
        <f>IFERROR(__xludf.DUMMYFUNCTION("if(REGEXMATCH(join("", "",$F823:$G823),O$1)=TRUE,""✓"",""✗"")"),"✗")</f>
        <v>✗</v>
      </c>
      <c r="P823" s="23" t="str">
        <f>IFERROR(__xludf.DUMMYFUNCTION("if(REGEXMATCH(join("", "",$F823:$G823),P$1)=TRUE,""✓"",""✗"")"),"✗")</f>
        <v>✗</v>
      </c>
      <c r="Q823" s="23" t="str">
        <f>IFERROR(__xludf.DUMMYFUNCTION("if(REGEXMATCH(join("", "",$F823:$G823),Q$1)=TRUE,""✓"",""✗"")"),"✗")</f>
        <v>✗</v>
      </c>
      <c r="R823" s="23" t="str">
        <f>IFERROR(__xludf.DUMMYFUNCTION("if(REGEXMATCH(join("", "",$F823:$G823),R$1)=TRUE,""✓"",""✗"")"),"✗")</f>
        <v>✗</v>
      </c>
      <c r="S823" s="23" t="str">
        <f>IFERROR(__xludf.DUMMYFUNCTION("if(REGEXMATCH(join("", "",$F823:$G823),S$1)=TRUE,""✓"",""✗"")"),"✗")</f>
        <v>✗</v>
      </c>
      <c r="T823" s="23" t="str">
        <f>IFERROR(__xludf.DUMMYFUNCTION("if(REGEXMATCH(join("", "",$F823:$G823),T$1)=TRUE,""✓"",""✗"")"),"✗")</f>
        <v>✗</v>
      </c>
      <c r="U823" s="33"/>
      <c r="V823" s="33"/>
      <c r="W823" s="33"/>
      <c r="X823" s="33"/>
      <c r="Y823" s="33"/>
      <c r="Z823" s="33"/>
      <c r="AA823" s="33"/>
      <c r="AB823" s="33"/>
      <c r="AC823" s="33"/>
    </row>
    <row r="824" hidden="1">
      <c r="A824" s="17" t="s">
        <v>302</v>
      </c>
      <c r="B824" s="33"/>
      <c r="C824" s="33"/>
      <c r="D824" s="33"/>
      <c r="E824" s="33"/>
      <c r="F824" s="33"/>
      <c r="G824" s="33"/>
      <c r="H824" s="23" t="str">
        <f>IFERROR(__xludf.DUMMYFUNCTION("if(REGEXMATCH(join("", "",$F824:$G824),H$1)=TRUE,""✓"",""✗"")"),"✗")</f>
        <v>✗</v>
      </c>
      <c r="I824" s="23" t="str">
        <f>IFERROR(__xludf.DUMMYFUNCTION("if(REGEXMATCH(join("", "",$F824:$G824),I$1)=TRUE,""✓"",""✗"")"),"✗")</f>
        <v>✗</v>
      </c>
      <c r="J824" s="23" t="str">
        <f>IFERROR(__xludf.DUMMYFUNCTION("if(REGEXMATCH(join("", "",$F824:$G824),J$1)=TRUE,""✓"",""✗"")"),"✗")</f>
        <v>✗</v>
      </c>
      <c r="K824" s="23" t="str">
        <f>IFERROR(__xludf.DUMMYFUNCTION("if(REGEXMATCH(join("", "",$F824:$G824),K$1)=TRUE,""✓"",""✗"")"),"✗")</f>
        <v>✗</v>
      </c>
      <c r="L824" s="23" t="str">
        <f>IFERROR(__xludf.DUMMYFUNCTION("if(REGEXMATCH(join("", "",$F824:$G824),L$1)=TRUE,""✓"",""✗"")"),"✗")</f>
        <v>✗</v>
      </c>
      <c r="M824" s="23" t="str">
        <f>IFERROR(__xludf.DUMMYFUNCTION("if(REGEXMATCH(join("", "",$F824:$G824),M$1)=TRUE,""✓"",""✗"")"),"✗")</f>
        <v>✗</v>
      </c>
      <c r="N824" s="23" t="str">
        <f>IFERROR(__xludf.DUMMYFUNCTION("if(REGEXMATCH(join("", "",$F824:$G824),N$1)=TRUE,""✓"",""✗"")"),"✗")</f>
        <v>✗</v>
      </c>
      <c r="O824" s="23" t="str">
        <f>IFERROR(__xludf.DUMMYFUNCTION("if(REGEXMATCH(join("", "",$F824:$G824),O$1)=TRUE,""✓"",""✗"")"),"✗")</f>
        <v>✗</v>
      </c>
      <c r="P824" s="23" t="str">
        <f>IFERROR(__xludf.DUMMYFUNCTION("if(REGEXMATCH(join("", "",$F824:$G824),P$1)=TRUE,""✓"",""✗"")"),"✗")</f>
        <v>✗</v>
      </c>
      <c r="Q824" s="23" t="str">
        <f>IFERROR(__xludf.DUMMYFUNCTION("if(REGEXMATCH(join("", "",$F824:$G824),Q$1)=TRUE,""✓"",""✗"")"),"✗")</f>
        <v>✗</v>
      </c>
      <c r="R824" s="23" t="str">
        <f>IFERROR(__xludf.DUMMYFUNCTION("if(REGEXMATCH(join("", "",$F824:$G824),R$1)=TRUE,""✓"",""✗"")"),"✗")</f>
        <v>✗</v>
      </c>
      <c r="S824" s="23" t="str">
        <f>IFERROR(__xludf.DUMMYFUNCTION("if(REGEXMATCH(join("", "",$F824:$G824),S$1)=TRUE,""✓"",""✗"")"),"✗")</f>
        <v>✗</v>
      </c>
      <c r="T824" s="23" t="str">
        <f>IFERROR(__xludf.DUMMYFUNCTION("if(REGEXMATCH(join("", "",$F824:$G824),T$1)=TRUE,""✓"",""✗"")"),"✗")</f>
        <v>✗</v>
      </c>
      <c r="U824" s="33"/>
      <c r="V824" s="33"/>
      <c r="W824" s="33"/>
      <c r="X824" s="33"/>
      <c r="Y824" s="33"/>
      <c r="Z824" s="33"/>
      <c r="AA824" s="33"/>
      <c r="AB824" s="33"/>
      <c r="AC824" s="33"/>
    </row>
    <row r="825" hidden="1">
      <c r="A825" s="17" t="s">
        <v>302</v>
      </c>
      <c r="B825" s="33"/>
      <c r="C825" s="33"/>
      <c r="D825" s="33"/>
      <c r="E825" s="33"/>
      <c r="F825" s="33"/>
      <c r="G825" s="33"/>
      <c r="H825" s="23" t="str">
        <f>IFERROR(__xludf.DUMMYFUNCTION("if(REGEXMATCH(join("", "",$F825:$G825),H$1)=TRUE,""✓"",""✗"")"),"✗")</f>
        <v>✗</v>
      </c>
      <c r="I825" s="23" t="str">
        <f>IFERROR(__xludf.DUMMYFUNCTION("if(REGEXMATCH(join("", "",$F825:$G825),I$1)=TRUE,""✓"",""✗"")"),"✗")</f>
        <v>✗</v>
      </c>
      <c r="J825" s="23" t="str">
        <f>IFERROR(__xludf.DUMMYFUNCTION("if(REGEXMATCH(join("", "",$F825:$G825),J$1)=TRUE,""✓"",""✗"")"),"✗")</f>
        <v>✗</v>
      </c>
      <c r="K825" s="23" t="str">
        <f>IFERROR(__xludf.DUMMYFUNCTION("if(REGEXMATCH(join("", "",$F825:$G825),K$1)=TRUE,""✓"",""✗"")"),"✗")</f>
        <v>✗</v>
      </c>
      <c r="L825" s="23" t="str">
        <f>IFERROR(__xludf.DUMMYFUNCTION("if(REGEXMATCH(join("", "",$F825:$G825),L$1)=TRUE,""✓"",""✗"")"),"✗")</f>
        <v>✗</v>
      </c>
      <c r="M825" s="23" t="str">
        <f>IFERROR(__xludf.DUMMYFUNCTION("if(REGEXMATCH(join("", "",$F825:$G825),M$1)=TRUE,""✓"",""✗"")"),"✗")</f>
        <v>✗</v>
      </c>
      <c r="N825" s="23" t="str">
        <f>IFERROR(__xludf.DUMMYFUNCTION("if(REGEXMATCH(join("", "",$F825:$G825),N$1)=TRUE,""✓"",""✗"")"),"✗")</f>
        <v>✗</v>
      </c>
      <c r="O825" s="23" t="str">
        <f>IFERROR(__xludf.DUMMYFUNCTION("if(REGEXMATCH(join("", "",$F825:$G825),O$1)=TRUE,""✓"",""✗"")"),"✗")</f>
        <v>✗</v>
      </c>
      <c r="P825" s="23" t="str">
        <f>IFERROR(__xludf.DUMMYFUNCTION("if(REGEXMATCH(join("", "",$F825:$G825),P$1)=TRUE,""✓"",""✗"")"),"✗")</f>
        <v>✗</v>
      </c>
      <c r="Q825" s="23" t="str">
        <f>IFERROR(__xludf.DUMMYFUNCTION("if(REGEXMATCH(join("", "",$F825:$G825),Q$1)=TRUE,""✓"",""✗"")"),"✗")</f>
        <v>✗</v>
      </c>
      <c r="R825" s="23" t="str">
        <f>IFERROR(__xludf.DUMMYFUNCTION("if(REGEXMATCH(join("", "",$F825:$G825),R$1)=TRUE,""✓"",""✗"")"),"✗")</f>
        <v>✗</v>
      </c>
      <c r="S825" s="23" t="str">
        <f>IFERROR(__xludf.DUMMYFUNCTION("if(REGEXMATCH(join("", "",$F825:$G825),S$1)=TRUE,""✓"",""✗"")"),"✗")</f>
        <v>✗</v>
      </c>
      <c r="T825" s="23" t="str">
        <f>IFERROR(__xludf.DUMMYFUNCTION("if(REGEXMATCH(join("", "",$F825:$G825),T$1)=TRUE,""✓"",""✗"")"),"✗")</f>
        <v>✗</v>
      </c>
      <c r="U825" s="33"/>
      <c r="V825" s="33"/>
      <c r="W825" s="33"/>
      <c r="X825" s="33"/>
      <c r="Y825" s="33"/>
      <c r="Z825" s="33"/>
      <c r="AA825" s="33"/>
      <c r="AB825" s="33"/>
      <c r="AC825" s="33"/>
    </row>
    <row r="826" hidden="1">
      <c r="A826" s="17" t="s">
        <v>302</v>
      </c>
      <c r="B826" s="33"/>
      <c r="C826" s="33"/>
      <c r="D826" s="33"/>
      <c r="E826" s="33"/>
      <c r="F826" s="33"/>
      <c r="G826" s="33"/>
      <c r="H826" s="23" t="str">
        <f>IFERROR(__xludf.DUMMYFUNCTION("if(REGEXMATCH(join("", "",$F826:$G826),H$1)=TRUE,""✓"",""✗"")"),"✗")</f>
        <v>✗</v>
      </c>
      <c r="I826" s="23" t="str">
        <f>IFERROR(__xludf.DUMMYFUNCTION("if(REGEXMATCH(join("", "",$F826:$G826),I$1)=TRUE,""✓"",""✗"")"),"✗")</f>
        <v>✗</v>
      </c>
      <c r="J826" s="23" t="str">
        <f>IFERROR(__xludf.DUMMYFUNCTION("if(REGEXMATCH(join("", "",$F826:$G826),J$1)=TRUE,""✓"",""✗"")"),"✗")</f>
        <v>✗</v>
      </c>
      <c r="K826" s="23" t="str">
        <f>IFERROR(__xludf.DUMMYFUNCTION("if(REGEXMATCH(join("", "",$F826:$G826),K$1)=TRUE,""✓"",""✗"")"),"✗")</f>
        <v>✗</v>
      </c>
      <c r="L826" s="23" t="str">
        <f>IFERROR(__xludf.DUMMYFUNCTION("if(REGEXMATCH(join("", "",$F826:$G826),L$1)=TRUE,""✓"",""✗"")"),"✗")</f>
        <v>✗</v>
      </c>
      <c r="M826" s="23" t="str">
        <f>IFERROR(__xludf.DUMMYFUNCTION("if(REGEXMATCH(join("", "",$F826:$G826),M$1)=TRUE,""✓"",""✗"")"),"✗")</f>
        <v>✗</v>
      </c>
      <c r="N826" s="23" t="str">
        <f>IFERROR(__xludf.DUMMYFUNCTION("if(REGEXMATCH(join("", "",$F826:$G826),N$1)=TRUE,""✓"",""✗"")"),"✗")</f>
        <v>✗</v>
      </c>
      <c r="O826" s="23" t="str">
        <f>IFERROR(__xludf.DUMMYFUNCTION("if(REGEXMATCH(join("", "",$F826:$G826),O$1)=TRUE,""✓"",""✗"")"),"✗")</f>
        <v>✗</v>
      </c>
      <c r="P826" s="23" t="str">
        <f>IFERROR(__xludf.DUMMYFUNCTION("if(REGEXMATCH(join("", "",$F826:$G826),P$1)=TRUE,""✓"",""✗"")"),"✗")</f>
        <v>✗</v>
      </c>
      <c r="Q826" s="23" t="str">
        <f>IFERROR(__xludf.DUMMYFUNCTION("if(REGEXMATCH(join("", "",$F826:$G826),Q$1)=TRUE,""✓"",""✗"")"),"✗")</f>
        <v>✗</v>
      </c>
      <c r="R826" s="23" t="str">
        <f>IFERROR(__xludf.DUMMYFUNCTION("if(REGEXMATCH(join("", "",$F826:$G826),R$1)=TRUE,""✓"",""✗"")"),"✗")</f>
        <v>✗</v>
      </c>
      <c r="S826" s="23" t="str">
        <f>IFERROR(__xludf.DUMMYFUNCTION("if(REGEXMATCH(join("", "",$F826:$G826),S$1)=TRUE,""✓"",""✗"")"),"✗")</f>
        <v>✗</v>
      </c>
      <c r="T826" s="23" t="str">
        <f>IFERROR(__xludf.DUMMYFUNCTION("if(REGEXMATCH(join("", "",$F826:$G826),T$1)=TRUE,""✓"",""✗"")"),"✗")</f>
        <v>✗</v>
      </c>
      <c r="U826" s="33"/>
      <c r="V826" s="33"/>
      <c r="W826" s="33"/>
      <c r="X826" s="33"/>
      <c r="Y826" s="33"/>
      <c r="Z826" s="33"/>
      <c r="AA826" s="33"/>
      <c r="AB826" s="33"/>
      <c r="AC826" s="33"/>
    </row>
    <row r="827" hidden="1">
      <c r="A827" s="17" t="s">
        <v>302</v>
      </c>
      <c r="B827" s="33"/>
      <c r="C827" s="33"/>
      <c r="D827" s="33"/>
      <c r="E827" s="33"/>
      <c r="F827" s="33"/>
      <c r="G827" s="33"/>
      <c r="H827" s="23" t="str">
        <f>IFERROR(__xludf.DUMMYFUNCTION("if(REGEXMATCH(join("", "",$F827:$G827),H$1)=TRUE,""✓"",""✗"")"),"✗")</f>
        <v>✗</v>
      </c>
      <c r="I827" s="23" t="str">
        <f>IFERROR(__xludf.DUMMYFUNCTION("if(REGEXMATCH(join("", "",$F827:$G827),I$1)=TRUE,""✓"",""✗"")"),"✗")</f>
        <v>✗</v>
      </c>
      <c r="J827" s="23" t="str">
        <f>IFERROR(__xludf.DUMMYFUNCTION("if(REGEXMATCH(join("", "",$F827:$G827),J$1)=TRUE,""✓"",""✗"")"),"✗")</f>
        <v>✗</v>
      </c>
      <c r="K827" s="23" t="str">
        <f>IFERROR(__xludf.DUMMYFUNCTION("if(REGEXMATCH(join("", "",$F827:$G827),K$1)=TRUE,""✓"",""✗"")"),"✗")</f>
        <v>✗</v>
      </c>
      <c r="L827" s="23" t="str">
        <f>IFERROR(__xludf.DUMMYFUNCTION("if(REGEXMATCH(join("", "",$F827:$G827),L$1)=TRUE,""✓"",""✗"")"),"✗")</f>
        <v>✗</v>
      </c>
      <c r="M827" s="23" t="str">
        <f>IFERROR(__xludf.DUMMYFUNCTION("if(REGEXMATCH(join("", "",$F827:$G827),M$1)=TRUE,""✓"",""✗"")"),"✗")</f>
        <v>✗</v>
      </c>
      <c r="N827" s="23" t="str">
        <f>IFERROR(__xludf.DUMMYFUNCTION("if(REGEXMATCH(join("", "",$F827:$G827),N$1)=TRUE,""✓"",""✗"")"),"✗")</f>
        <v>✗</v>
      </c>
      <c r="O827" s="23" t="str">
        <f>IFERROR(__xludf.DUMMYFUNCTION("if(REGEXMATCH(join("", "",$F827:$G827),O$1)=TRUE,""✓"",""✗"")"),"✗")</f>
        <v>✗</v>
      </c>
      <c r="P827" s="23" t="str">
        <f>IFERROR(__xludf.DUMMYFUNCTION("if(REGEXMATCH(join("", "",$F827:$G827),P$1)=TRUE,""✓"",""✗"")"),"✗")</f>
        <v>✗</v>
      </c>
      <c r="Q827" s="23" t="str">
        <f>IFERROR(__xludf.DUMMYFUNCTION("if(REGEXMATCH(join("", "",$F827:$G827),Q$1)=TRUE,""✓"",""✗"")"),"✗")</f>
        <v>✗</v>
      </c>
      <c r="R827" s="23" t="str">
        <f>IFERROR(__xludf.DUMMYFUNCTION("if(REGEXMATCH(join("", "",$F827:$G827),R$1)=TRUE,""✓"",""✗"")"),"✗")</f>
        <v>✗</v>
      </c>
      <c r="S827" s="23" t="str">
        <f>IFERROR(__xludf.DUMMYFUNCTION("if(REGEXMATCH(join("", "",$F827:$G827),S$1)=TRUE,""✓"",""✗"")"),"✗")</f>
        <v>✗</v>
      </c>
      <c r="T827" s="23" t="str">
        <f>IFERROR(__xludf.DUMMYFUNCTION("if(REGEXMATCH(join("", "",$F827:$G827),T$1)=TRUE,""✓"",""✗"")"),"✗")</f>
        <v>✗</v>
      </c>
      <c r="U827" s="33"/>
      <c r="V827" s="33"/>
      <c r="W827" s="33"/>
      <c r="X827" s="33"/>
      <c r="Y827" s="33"/>
      <c r="Z827" s="33"/>
      <c r="AA827" s="33"/>
      <c r="AB827" s="33"/>
      <c r="AC827" s="33"/>
    </row>
    <row r="828" hidden="1">
      <c r="A828" s="17" t="s">
        <v>302</v>
      </c>
      <c r="B828" s="33"/>
      <c r="C828" s="33"/>
      <c r="D828" s="33"/>
      <c r="E828" s="33"/>
      <c r="F828" s="33"/>
      <c r="G828" s="33"/>
      <c r="H828" s="23" t="str">
        <f>IFERROR(__xludf.DUMMYFUNCTION("if(REGEXMATCH(join("", "",$F828:$G828),H$1)=TRUE,""✓"",""✗"")"),"✗")</f>
        <v>✗</v>
      </c>
      <c r="I828" s="23" t="str">
        <f>IFERROR(__xludf.DUMMYFUNCTION("if(REGEXMATCH(join("", "",$F828:$G828),I$1)=TRUE,""✓"",""✗"")"),"✗")</f>
        <v>✗</v>
      </c>
      <c r="J828" s="23" t="str">
        <f>IFERROR(__xludf.DUMMYFUNCTION("if(REGEXMATCH(join("", "",$F828:$G828),J$1)=TRUE,""✓"",""✗"")"),"✗")</f>
        <v>✗</v>
      </c>
      <c r="K828" s="23" t="str">
        <f>IFERROR(__xludf.DUMMYFUNCTION("if(REGEXMATCH(join("", "",$F828:$G828),K$1)=TRUE,""✓"",""✗"")"),"✗")</f>
        <v>✗</v>
      </c>
      <c r="L828" s="23" t="str">
        <f>IFERROR(__xludf.DUMMYFUNCTION("if(REGEXMATCH(join("", "",$F828:$G828),L$1)=TRUE,""✓"",""✗"")"),"✗")</f>
        <v>✗</v>
      </c>
      <c r="M828" s="23" t="str">
        <f>IFERROR(__xludf.DUMMYFUNCTION("if(REGEXMATCH(join("", "",$F828:$G828),M$1)=TRUE,""✓"",""✗"")"),"✗")</f>
        <v>✗</v>
      </c>
      <c r="N828" s="23" t="str">
        <f>IFERROR(__xludf.DUMMYFUNCTION("if(REGEXMATCH(join("", "",$F828:$G828),N$1)=TRUE,""✓"",""✗"")"),"✗")</f>
        <v>✗</v>
      </c>
      <c r="O828" s="23" t="str">
        <f>IFERROR(__xludf.DUMMYFUNCTION("if(REGEXMATCH(join("", "",$F828:$G828),O$1)=TRUE,""✓"",""✗"")"),"✗")</f>
        <v>✗</v>
      </c>
      <c r="P828" s="23" t="str">
        <f>IFERROR(__xludf.DUMMYFUNCTION("if(REGEXMATCH(join("", "",$F828:$G828),P$1)=TRUE,""✓"",""✗"")"),"✗")</f>
        <v>✗</v>
      </c>
      <c r="Q828" s="23" t="str">
        <f>IFERROR(__xludf.DUMMYFUNCTION("if(REGEXMATCH(join("", "",$F828:$G828),Q$1)=TRUE,""✓"",""✗"")"),"✗")</f>
        <v>✗</v>
      </c>
      <c r="R828" s="23" t="str">
        <f>IFERROR(__xludf.DUMMYFUNCTION("if(REGEXMATCH(join("", "",$F828:$G828),R$1)=TRUE,""✓"",""✗"")"),"✗")</f>
        <v>✗</v>
      </c>
      <c r="S828" s="23" t="str">
        <f>IFERROR(__xludf.DUMMYFUNCTION("if(REGEXMATCH(join("", "",$F828:$G828),S$1)=TRUE,""✓"",""✗"")"),"✗")</f>
        <v>✗</v>
      </c>
      <c r="T828" s="23" t="str">
        <f>IFERROR(__xludf.DUMMYFUNCTION("if(REGEXMATCH(join("", "",$F828:$G828),T$1)=TRUE,""✓"",""✗"")"),"✗")</f>
        <v>✗</v>
      </c>
      <c r="U828" s="33"/>
      <c r="V828" s="33"/>
      <c r="W828" s="33"/>
      <c r="X828" s="33"/>
      <c r="Y828" s="33"/>
      <c r="Z828" s="33"/>
      <c r="AA828" s="33"/>
      <c r="AB828" s="33"/>
      <c r="AC828" s="33"/>
    </row>
    <row r="829" hidden="1">
      <c r="A829" s="17" t="s">
        <v>302</v>
      </c>
      <c r="B829" s="33"/>
      <c r="C829" s="33"/>
      <c r="D829" s="33"/>
      <c r="E829" s="33"/>
      <c r="F829" s="33"/>
      <c r="G829" s="33"/>
      <c r="H829" s="23" t="str">
        <f>IFERROR(__xludf.DUMMYFUNCTION("if(REGEXMATCH(join("", "",$F829:$G829),H$1)=TRUE,""✓"",""✗"")"),"✗")</f>
        <v>✗</v>
      </c>
      <c r="I829" s="23" t="str">
        <f>IFERROR(__xludf.DUMMYFUNCTION("if(REGEXMATCH(join("", "",$F829:$G829),I$1)=TRUE,""✓"",""✗"")"),"✗")</f>
        <v>✗</v>
      </c>
      <c r="J829" s="23" t="str">
        <f>IFERROR(__xludf.DUMMYFUNCTION("if(REGEXMATCH(join("", "",$F829:$G829),J$1)=TRUE,""✓"",""✗"")"),"✗")</f>
        <v>✗</v>
      </c>
      <c r="K829" s="23" t="str">
        <f>IFERROR(__xludf.DUMMYFUNCTION("if(REGEXMATCH(join("", "",$F829:$G829),K$1)=TRUE,""✓"",""✗"")"),"✗")</f>
        <v>✗</v>
      </c>
      <c r="L829" s="23" t="str">
        <f>IFERROR(__xludf.DUMMYFUNCTION("if(REGEXMATCH(join("", "",$F829:$G829),L$1)=TRUE,""✓"",""✗"")"),"✗")</f>
        <v>✗</v>
      </c>
      <c r="M829" s="23" t="str">
        <f>IFERROR(__xludf.DUMMYFUNCTION("if(REGEXMATCH(join("", "",$F829:$G829),M$1)=TRUE,""✓"",""✗"")"),"✗")</f>
        <v>✗</v>
      </c>
      <c r="N829" s="23" t="str">
        <f>IFERROR(__xludf.DUMMYFUNCTION("if(REGEXMATCH(join("", "",$F829:$G829),N$1)=TRUE,""✓"",""✗"")"),"✗")</f>
        <v>✗</v>
      </c>
      <c r="O829" s="23" t="str">
        <f>IFERROR(__xludf.DUMMYFUNCTION("if(REGEXMATCH(join("", "",$F829:$G829),O$1)=TRUE,""✓"",""✗"")"),"✗")</f>
        <v>✗</v>
      </c>
      <c r="P829" s="23" t="str">
        <f>IFERROR(__xludf.DUMMYFUNCTION("if(REGEXMATCH(join("", "",$F829:$G829),P$1)=TRUE,""✓"",""✗"")"),"✗")</f>
        <v>✗</v>
      </c>
      <c r="Q829" s="23" t="str">
        <f>IFERROR(__xludf.DUMMYFUNCTION("if(REGEXMATCH(join("", "",$F829:$G829),Q$1)=TRUE,""✓"",""✗"")"),"✗")</f>
        <v>✗</v>
      </c>
      <c r="R829" s="23" t="str">
        <f>IFERROR(__xludf.DUMMYFUNCTION("if(REGEXMATCH(join("", "",$F829:$G829),R$1)=TRUE,""✓"",""✗"")"),"✗")</f>
        <v>✗</v>
      </c>
      <c r="S829" s="23" t="str">
        <f>IFERROR(__xludf.DUMMYFUNCTION("if(REGEXMATCH(join("", "",$F829:$G829),S$1)=TRUE,""✓"",""✗"")"),"✗")</f>
        <v>✗</v>
      </c>
      <c r="T829" s="23" t="str">
        <f>IFERROR(__xludf.DUMMYFUNCTION("if(REGEXMATCH(join("", "",$F829:$G829),T$1)=TRUE,""✓"",""✗"")"),"✗")</f>
        <v>✗</v>
      </c>
      <c r="U829" s="33"/>
      <c r="V829" s="33"/>
      <c r="W829" s="33"/>
      <c r="X829" s="33"/>
      <c r="Y829" s="33"/>
      <c r="Z829" s="33"/>
      <c r="AA829" s="33"/>
      <c r="AB829" s="33"/>
      <c r="AC829" s="33"/>
    </row>
    <row r="830" hidden="1">
      <c r="A830" s="17" t="s">
        <v>302</v>
      </c>
      <c r="B830" s="33"/>
      <c r="C830" s="33"/>
      <c r="D830" s="33"/>
      <c r="E830" s="33"/>
      <c r="F830" s="33"/>
      <c r="G830" s="33"/>
      <c r="H830" s="23" t="str">
        <f>IFERROR(__xludf.DUMMYFUNCTION("if(REGEXMATCH(join("", "",$F830:$G830),H$1)=TRUE,""✓"",""✗"")"),"✗")</f>
        <v>✗</v>
      </c>
      <c r="I830" s="23" t="str">
        <f>IFERROR(__xludf.DUMMYFUNCTION("if(REGEXMATCH(join("", "",$F830:$G830),I$1)=TRUE,""✓"",""✗"")"),"✗")</f>
        <v>✗</v>
      </c>
      <c r="J830" s="23" t="str">
        <f>IFERROR(__xludf.DUMMYFUNCTION("if(REGEXMATCH(join("", "",$F830:$G830),J$1)=TRUE,""✓"",""✗"")"),"✗")</f>
        <v>✗</v>
      </c>
      <c r="K830" s="23" t="str">
        <f>IFERROR(__xludf.DUMMYFUNCTION("if(REGEXMATCH(join("", "",$F830:$G830),K$1)=TRUE,""✓"",""✗"")"),"✗")</f>
        <v>✗</v>
      </c>
      <c r="L830" s="23" t="str">
        <f>IFERROR(__xludf.DUMMYFUNCTION("if(REGEXMATCH(join("", "",$F830:$G830),L$1)=TRUE,""✓"",""✗"")"),"✗")</f>
        <v>✗</v>
      </c>
      <c r="M830" s="23" t="str">
        <f>IFERROR(__xludf.DUMMYFUNCTION("if(REGEXMATCH(join("", "",$F830:$G830),M$1)=TRUE,""✓"",""✗"")"),"✗")</f>
        <v>✗</v>
      </c>
      <c r="N830" s="23" t="str">
        <f>IFERROR(__xludf.DUMMYFUNCTION("if(REGEXMATCH(join("", "",$F830:$G830),N$1)=TRUE,""✓"",""✗"")"),"✗")</f>
        <v>✗</v>
      </c>
      <c r="O830" s="23" t="str">
        <f>IFERROR(__xludf.DUMMYFUNCTION("if(REGEXMATCH(join("", "",$F830:$G830),O$1)=TRUE,""✓"",""✗"")"),"✗")</f>
        <v>✗</v>
      </c>
      <c r="P830" s="23" t="str">
        <f>IFERROR(__xludf.DUMMYFUNCTION("if(REGEXMATCH(join("", "",$F830:$G830),P$1)=TRUE,""✓"",""✗"")"),"✗")</f>
        <v>✗</v>
      </c>
      <c r="Q830" s="23" t="str">
        <f>IFERROR(__xludf.DUMMYFUNCTION("if(REGEXMATCH(join("", "",$F830:$G830),Q$1)=TRUE,""✓"",""✗"")"),"✗")</f>
        <v>✗</v>
      </c>
      <c r="R830" s="23" t="str">
        <f>IFERROR(__xludf.DUMMYFUNCTION("if(REGEXMATCH(join("", "",$F830:$G830),R$1)=TRUE,""✓"",""✗"")"),"✗")</f>
        <v>✗</v>
      </c>
      <c r="S830" s="23" t="str">
        <f>IFERROR(__xludf.DUMMYFUNCTION("if(REGEXMATCH(join("", "",$F830:$G830),S$1)=TRUE,""✓"",""✗"")"),"✗")</f>
        <v>✗</v>
      </c>
      <c r="T830" s="23" t="str">
        <f>IFERROR(__xludf.DUMMYFUNCTION("if(REGEXMATCH(join("", "",$F830:$G830),T$1)=TRUE,""✓"",""✗"")"),"✗")</f>
        <v>✗</v>
      </c>
      <c r="U830" s="33"/>
      <c r="V830" s="33"/>
      <c r="W830" s="33"/>
      <c r="X830" s="33"/>
      <c r="Y830" s="33"/>
      <c r="Z830" s="33"/>
      <c r="AA830" s="33"/>
      <c r="AB830" s="33"/>
      <c r="AC830" s="33"/>
    </row>
    <row r="831" hidden="1">
      <c r="A831" s="17" t="s">
        <v>302</v>
      </c>
      <c r="B831" s="33"/>
      <c r="C831" s="33"/>
      <c r="D831" s="33"/>
      <c r="E831" s="33"/>
      <c r="F831" s="33"/>
      <c r="G831" s="33"/>
      <c r="H831" s="23" t="str">
        <f>IFERROR(__xludf.DUMMYFUNCTION("if(REGEXMATCH(join("", "",$F831:$G831),H$1)=TRUE,""✓"",""✗"")"),"✗")</f>
        <v>✗</v>
      </c>
      <c r="I831" s="23" t="str">
        <f>IFERROR(__xludf.DUMMYFUNCTION("if(REGEXMATCH(join("", "",$F831:$G831),I$1)=TRUE,""✓"",""✗"")"),"✗")</f>
        <v>✗</v>
      </c>
      <c r="J831" s="23" t="str">
        <f>IFERROR(__xludf.DUMMYFUNCTION("if(REGEXMATCH(join("", "",$F831:$G831),J$1)=TRUE,""✓"",""✗"")"),"✗")</f>
        <v>✗</v>
      </c>
      <c r="K831" s="23" t="str">
        <f>IFERROR(__xludf.DUMMYFUNCTION("if(REGEXMATCH(join("", "",$F831:$G831),K$1)=TRUE,""✓"",""✗"")"),"✗")</f>
        <v>✗</v>
      </c>
      <c r="L831" s="23" t="str">
        <f>IFERROR(__xludf.DUMMYFUNCTION("if(REGEXMATCH(join("", "",$F831:$G831),L$1)=TRUE,""✓"",""✗"")"),"✗")</f>
        <v>✗</v>
      </c>
      <c r="M831" s="23" t="str">
        <f>IFERROR(__xludf.DUMMYFUNCTION("if(REGEXMATCH(join("", "",$F831:$G831),M$1)=TRUE,""✓"",""✗"")"),"✗")</f>
        <v>✗</v>
      </c>
      <c r="N831" s="23" t="str">
        <f>IFERROR(__xludf.DUMMYFUNCTION("if(REGEXMATCH(join("", "",$F831:$G831),N$1)=TRUE,""✓"",""✗"")"),"✗")</f>
        <v>✗</v>
      </c>
      <c r="O831" s="23" t="str">
        <f>IFERROR(__xludf.DUMMYFUNCTION("if(REGEXMATCH(join("", "",$F831:$G831),O$1)=TRUE,""✓"",""✗"")"),"✗")</f>
        <v>✗</v>
      </c>
      <c r="P831" s="23" t="str">
        <f>IFERROR(__xludf.DUMMYFUNCTION("if(REGEXMATCH(join("", "",$F831:$G831),P$1)=TRUE,""✓"",""✗"")"),"✗")</f>
        <v>✗</v>
      </c>
      <c r="Q831" s="23" t="str">
        <f>IFERROR(__xludf.DUMMYFUNCTION("if(REGEXMATCH(join("", "",$F831:$G831),Q$1)=TRUE,""✓"",""✗"")"),"✗")</f>
        <v>✗</v>
      </c>
      <c r="R831" s="23" t="str">
        <f>IFERROR(__xludf.DUMMYFUNCTION("if(REGEXMATCH(join("", "",$F831:$G831),R$1)=TRUE,""✓"",""✗"")"),"✗")</f>
        <v>✗</v>
      </c>
      <c r="S831" s="23" t="str">
        <f>IFERROR(__xludf.DUMMYFUNCTION("if(REGEXMATCH(join("", "",$F831:$G831),S$1)=TRUE,""✓"",""✗"")"),"✗")</f>
        <v>✗</v>
      </c>
      <c r="T831" s="23" t="str">
        <f>IFERROR(__xludf.DUMMYFUNCTION("if(REGEXMATCH(join("", "",$F831:$G831),T$1)=TRUE,""✓"",""✗"")"),"✗")</f>
        <v>✗</v>
      </c>
      <c r="U831" s="33"/>
      <c r="V831" s="33"/>
      <c r="W831" s="33"/>
      <c r="X831" s="33"/>
      <c r="Y831" s="33"/>
      <c r="Z831" s="33"/>
      <c r="AA831" s="33"/>
      <c r="AB831" s="33"/>
      <c r="AC831" s="33"/>
    </row>
    <row r="832" hidden="1">
      <c r="A832" s="17" t="s">
        <v>302</v>
      </c>
      <c r="B832" s="33"/>
      <c r="C832" s="33"/>
      <c r="D832" s="33"/>
      <c r="E832" s="33"/>
      <c r="F832" s="33"/>
      <c r="G832" s="33"/>
      <c r="H832" s="23" t="str">
        <f>IFERROR(__xludf.DUMMYFUNCTION("if(REGEXMATCH(join("", "",$F832:$G832),H$1)=TRUE,""✓"",""✗"")"),"✗")</f>
        <v>✗</v>
      </c>
      <c r="I832" s="23" t="str">
        <f>IFERROR(__xludf.DUMMYFUNCTION("if(REGEXMATCH(join("", "",$F832:$G832),I$1)=TRUE,""✓"",""✗"")"),"✗")</f>
        <v>✗</v>
      </c>
      <c r="J832" s="23" t="str">
        <f>IFERROR(__xludf.DUMMYFUNCTION("if(REGEXMATCH(join("", "",$F832:$G832),J$1)=TRUE,""✓"",""✗"")"),"✗")</f>
        <v>✗</v>
      </c>
      <c r="K832" s="23" t="str">
        <f>IFERROR(__xludf.DUMMYFUNCTION("if(REGEXMATCH(join("", "",$F832:$G832),K$1)=TRUE,""✓"",""✗"")"),"✗")</f>
        <v>✗</v>
      </c>
      <c r="L832" s="23" t="str">
        <f>IFERROR(__xludf.DUMMYFUNCTION("if(REGEXMATCH(join("", "",$F832:$G832),L$1)=TRUE,""✓"",""✗"")"),"✗")</f>
        <v>✗</v>
      </c>
      <c r="M832" s="23" t="str">
        <f>IFERROR(__xludf.DUMMYFUNCTION("if(REGEXMATCH(join("", "",$F832:$G832),M$1)=TRUE,""✓"",""✗"")"),"✗")</f>
        <v>✗</v>
      </c>
      <c r="N832" s="23" t="str">
        <f>IFERROR(__xludf.DUMMYFUNCTION("if(REGEXMATCH(join("", "",$F832:$G832),N$1)=TRUE,""✓"",""✗"")"),"✗")</f>
        <v>✗</v>
      </c>
      <c r="O832" s="23" t="str">
        <f>IFERROR(__xludf.DUMMYFUNCTION("if(REGEXMATCH(join("", "",$F832:$G832),O$1)=TRUE,""✓"",""✗"")"),"✗")</f>
        <v>✗</v>
      </c>
      <c r="P832" s="23" t="str">
        <f>IFERROR(__xludf.DUMMYFUNCTION("if(REGEXMATCH(join("", "",$F832:$G832),P$1)=TRUE,""✓"",""✗"")"),"✗")</f>
        <v>✗</v>
      </c>
      <c r="Q832" s="23" t="str">
        <f>IFERROR(__xludf.DUMMYFUNCTION("if(REGEXMATCH(join("", "",$F832:$G832),Q$1)=TRUE,""✓"",""✗"")"),"✗")</f>
        <v>✗</v>
      </c>
      <c r="R832" s="23" t="str">
        <f>IFERROR(__xludf.DUMMYFUNCTION("if(REGEXMATCH(join("", "",$F832:$G832),R$1)=TRUE,""✓"",""✗"")"),"✗")</f>
        <v>✗</v>
      </c>
      <c r="S832" s="23" t="str">
        <f>IFERROR(__xludf.DUMMYFUNCTION("if(REGEXMATCH(join("", "",$F832:$G832),S$1)=TRUE,""✓"",""✗"")"),"✗")</f>
        <v>✗</v>
      </c>
      <c r="T832" s="23" t="str">
        <f>IFERROR(__xludf.DUMMYFUNCTION("if(REGEXMATCH(join("", "",$F832:$G832),T$1)=TRUE,""✓"",""✗"")"),"✗")</f>
        <v>✗</v>
      </c>
      <c r="U832" s="33"/>
      <c r="V832" s="33"/>
      <c r="W832" s="33"/>
      <c r="X832" s="33"/>
      <c r="Y832" s="33"/>
      <c r="Z832" s="33"/>
      <c r="AA832" s="33"/>
      <c r="AB832" s="33"/>
      <c r="AC832" s="33"/>
    </row>
    <row r="833" hidden="1">
      <c r="A833" s="17" t="s">
        <v>302</v>
      </c>
      <c r="B833" s="33"/>
      <c r="C833" s="33"/>
      <c r="D833" s="33"/>
      <c r="E833" s="33"/>
      <c r="F833" s="33"/>
      <c r="G833" s="33"/>
      <c r="H833" s="23" t="str">
        <f>IFERROR(__xludf.DUMMYFUNCTION("if(REGEXMATCH(join("", "",$F833:$G833),H$1)=TRUE,""✓"",""✗"")"),"✗")</f>
        <v>✗</v>
      </c>
      <c r="I833" s="23" t="str">
        <f>IFERROR(__xludf.DUMMYFUNCTION("if(REGEXMATCH(join("", "",$F833:$G833),I$1)=TRUE,""✓"",""✗"")"),"✗")</f>
        <v>✗</v>
      </c>
      <c r="J833" s="23" t="str">
        <f>IFERROR(__xludf.DUMMYFUNCTION("if(REGEXMATCH(join("", "",$F833:$G833),J$1)=TRUE,""✓"",""✗"")"),"✗")</f>
        <v>✗</v>
      </c>
      <c r="K833" s="23" t="str">
        <f>IFERROR(__xludf.DUMMYFUNCTION("if(REGEXMATCH(join("", "",$F833:$G833),K$1)=TRUE,""✓"",""✗"")"),"✗")</f>
        <v>✗</v>
      </c>
      <c r="L833" s="23" t="str">
        <f>IFERROR(__xludf.DUMMYFUNCTION("if(REGEXMATCH(join("", "",$F833:$G833),L$1)=TRUE,""✓"",""✗"")"),"✗")</f>
        <v>✗</v>
      </c>
      <c r="M833" s="23" t="str">
        <f>IFERROR(__xludf.DUMMYFUNCTION("if(REGEXMATCH(join("", "",$F833:$G833),M$1)=TRUE,""✓"",""✗"")"),"✗")</f>
        <v>✗</v>
      </c>
      <c r="N833" s="23" t="str">
        <f>IFERROR(__xludf.DUMMYFUNCTION("if(REGEXMATCH(join("", "",$F833:$G833),N$1)=TRUE,""✓"",""✗"")"),"✗")</f>
        <v>✗</v>
      </c>
      <c r="O833" s="23" t="str">
        <f>IFERROR(__xludf.DUMMYFUNCTION("if(REGEXMATCH(join("", "",$F833:$G833),O$1)=TRUE,""✓"",""✗"")"),"✗")</f>
        <v>✗</v>
      </c>
      <c r="P833" s="23" t="str">
        <f>IFERROR(__xludf.DUMMYFUNCTION("if(REGEXMATCH(join("", "",$F833:$G833),P$1)=TRUE,""✓"",""✗"")"),"✗")</f>
        <v>✗</v>
      </c>
      <c r="Q833" s="23" t="str">
        <f>IFERROR(__xludf.DUMMYFUNCTION("if(REGEXMATCH(join("", "",$F833:$G833),Q$1)=TRUE,""✓"",""✗"")"),"✗")</f>
        <v>✗</v>
      </c>
      <c r="R833" s="23" t="str">
        <f>IFERROR(__xludf.DUMMYFUNCTION("if(REGEXMATCH(join("", "",$F833:$G833),R$1)=TRUE,""✓"",""✗"")"),"✗")</f>
        <v>✗</v>
      </c>
      <c r="S833" s="23" t="str">
        <f>IFERROR(__xludf.DUMMYFUNCTION("if(REGEXMATCH(join("", "",$F833:$G833),S$1)=TRUE,""✓"",""✗"")"),"✗")</f>
        <v>✗</v>
      </c>
      <c r="T833" s="23" t="str">
        <f>IFERROR(__xludf.DUMMYFUNCTION("if(REGEXMATCH(join("", "",$F833:$G833),T$1)=TRUE,""✓"",""✗"")"),"✗")</f>
        <v>✗</v>
      </c>
      <c r="U833" s="33"/>
      <c r="V833" s="33"/>
      <c r="W833" s="33"/>
      <c r="X833" s="33"/>
      <c r="Y833" s="33"/>
      <c r="Z833" s="33"/>
      <c r="AA833" s="33"/>
      <c r="AB833" s="33"/>
      <c r="AC833" s="33"/>
    </row>
    <row r="834" hidden="1">
      <c r="A834" s="17" t="s">
        <v>302</v>
      </c>
      <c r="B834" s="33"/>
      <c r="C834" s="33"/>
      <c r="D834" s="33"/>
      <c r="E834" s="33"/>
      <c r="F834" s="33"/>
      <c r="G834" s="33"/>
      <c r="H834" s="23" t="str">
        <f>IFERROR(__xludf.DUMMYFUNCTION("if(REGEXMATCH(join("", "",$F834:$G834),H$1)=TRUE,""✓"",""✗"")"),"✗")</f>
        <v>✗</v>
      </c>
      <c r="I834" s="23" t="str">
        <f>IFERROR(__xludf.DUMMYFUNCTION("if(REGEXMATCH(join("", "",$F834:$G834),I$1)=TRUE,""✓"",""✗"")"),"✗")</f>
        <v>✗</v>
      </c>
      <c r="J834" s="23" t="str">
        <f>IFERROR(__xludf.DUMMYFUNCTION("if(REGEXMATCH(join("", "",$F834:$G834),J$1)=TRUE,""✓"",""✗"")"),"✗")</f>
        <v>✗</v>
      </c>
      <c r="K834" s="23" t="str">
        <f>IFERROR(__xludf.DUMMYFUNCTION("if(REGEXMATCH(join("", "",$F834:$G834),K$1)=TRUE,""✓"",""✗"")"),"✗")</f>
        <v>✗</v>
      </c>
      <c r="L834" s="23" t="str">
        <f>IFERROR(__xludf.DUMMYFUNCTION("if(REGEXMATCH(join("", "",$F834:$G834),L$1)=TRUE,""✓"",""✗"")"),"✗")</f>
        <v>✗</v>
      </c>
      <c r="M834" s="23" t="str">
        <f>IFERROR(__xludf.DUMMYFUNCTION("if(REGEXMATCH(join("", "",$F834:$G834),M$1)=TRUE,""✓"",""✗"")"),"✗")</f>
        <v>✗</v>
      </c>
      <c r="N834" s="23" t="str">
        <f>IFERROR(__xludf.DUMMYFUNCTION("if(REGEXMATCH(join("", "",$F834:$G834),N$1)=TRUE,""✓"",""✗"")"),"✗")</f>
        <v>✗</v>
      </c>
      <c r="O834" s="23" t="str">
        <f>IFERROR(__xludf.DUMMYFUNCTION("if(REGEXMATCH(join("", "",$F834:$G834),O$1)=TRUE,""✓"",""✗"")"),"✗")</f>
        <v>✗</v>
      </c>
      <c r="P834" s="23" t="str">
        <f>IFERROR(__xludf.DUMMYFUNCTION("if(REGEXMATCH(join("", "",$F834:$G834),P$1)=TRUE,""✓"",""✗"")"),"✗")</f>
        <v>✗</v>
      </c>
      <c r="Q834" s="23" t="str">
        <f>IFERROR(__xludf.DUMMYFUNCTION("if(REGEXMATCH(join("", "",$F834:$G834),Q$1)=TRUE,""✓"",""✗"")"),"✗")</f>
        <v>✗</v>
      </c>
      <c r="R834" s="23" t="str">
        <f>IFERROR(__xludf.DUMMYFUNCTION("if(REGEXMATCH(join("", "",$F834:$G834),R$1)=TRUE,""✓"",""✗"")"),"✗")</f>
        <v>✗</v>
      </c>
      <c r="S834" s="23" t="str">
        <f>IFERROR(__xludf.DUMMYFUNCTION("if(REGEXMATCH(join("", "",$F834:$G834),S$1)=TRUE,""✓"",""✗"")"),"✗")</f>
        <v>✗</v>
      </c>
      <c r="T834" s="23" t="str">
        <f>IFERROR(__xludf.DUMMYFUNCTION("if(REGEXMATCH(join("", "",$F834:$G834),T$1)=TRUE,""✓"",""✗"")"),"✗")</f>
        <v>✗</v>
      </c>
      <c r="U834" s="33"/>
      <c r="V834" s="33"/>
      <c r="W834" s="33"/>
      <c r="X834" s="33"/>
      <c r="Y834" s="33"/>
      <c r="Z834" s="33"/>
      <c r="AA834" s="33"/>
      <c r="AB834" s="33"/>
      <c r="AC834" s="33"/>
    </row>
    <row r="835" hidden="1">
      <c r="A835" s="17" t="s">
        <v>302</v>
      </c>
      <c r="B835" s="33"/>
      <c r="C835" s="33"/>
      <c r="D835" s="33"/>
      <c r="E835" s="33"/>
      <c r="F835" s="33"/>
      <c r="G835" s="33"/>
      <c r="H835" s="23" t="str">
        <f>IFERROR(__xludf.DUMMYFUNCTION("if(REGEXMATCH(join("", "",$F835:$G835),H$1)=TRUE,""✓"",""✗"")"),"✗")</f>
        <v>✗</v>
      </c>
      <c r="I835" s="23" t="str">
        <f>IFERROR(__xludf.DUMMYFUNCTION("if(REGEXMATCH(join("", "",$F835:$G835),I$1)=TRUE,""✓"",""✗"")"),"✗")</f>
        <v>✗</v>
      </c>
      <c r="J835" s="23" t="str">
        <f>IFERROR(__xludf.DUMMYFUNCTION("if(REGEXMATCH(join("", "",$F835:$G835),J$1)=TRUE,""✓"",""✗"")"),"✗")</f>
        <v>✗</v>
      </c>
      <c r="K835" s="23" t="str">
        <f>IFERROR(__xludf.DUMMYFUNCTION("if(REGEXMATCH(join("", "",$F835:$G835),K$1)=TRUE,""✓"",""✗"")"),"✗")</f>
        <v>✗</v>
      </c>
      <c r="L835" s="23" t="str">
        <f>IFERROR(__xludf.DUMMYFUNCTION("if(REGEXMATCH(join("", "",$F835:$G835),L$1)=TRUE,""✓"",""✗"")"),"✗")</f>
        <v>✗</v>
      </c>
      <c r="M835" s="23" t="str">
        <f>IFERROR(__xludf.DUMMYFUNCTION("if(REGEXMATCH(join("", "",$F835:$G835),M$1)=TRUE,""✓"",""✗"")"),"✗")</f>
        <v>✗</v>
      </c>
      <c r="N835" s="23" t="str">
        <f>IFERROR(__xludf.DUMMYFUNCTION("if(REGEXMATCH(join("", "",$F835:$G835),N$1)=TRUE,""✓"",""✗"")"),"✗")</f>
        <v>✗</v>
      </c>
      <c r="O835" s="23" t="str">
        <f>IFERROR(__xludf.DUMMYFUNCTION("if(REGEXMATCH(join("", "",$F835:$G835),O$1)=TRUE,""✓"",""✗"")"),"✗")</f>
        <v>✗</v>
      </c>
      <c r="P835" s="23" t="str">
        <f>IFERROR(__xludf.DUMMYFUNCTION("if(REGEXMATCH(join("", "",$F835:$G835),P$1)=TRUE,""✓"",""✗"")"),"✗")</f>
        <v>✗</v>
      </c>
      <c r="Q835" s="23" t="str">
        <f>IFERROR(__xludf.DUMMYFUNCTION("if(REGEXMATCH(join("", "",$F835:$G835),Q$1)=TRUE,""✓"",""✗"")"),"✗")</f>
        <v>✗</v>
      </c>
      <c r="R835" s="23" t="str">
        <f>IFERROR(__xludf.DUMMYFUNCTION("if(REGEXMATCH(join("", "",$F835:$G835),R$1)=TRUE,""✓"",""✗"")"),"✗")</f>
        <v>✗</v>
      </c>
      <c r="S835" s="23" t="str">
        <f>IFERROR(__xludf.DUMMYFUNCTION("if(REGEXMATCH(join("", "",$F835:$G835),S$1)=TRUE,""✓"",""✗"")"),"✗")</f>
        <v>✗</v>
      </c>
      <c r="T835" s="23" t="str">
        <f>IFERROR(__xludf.DUMMYFUNCTION("if(REGEXMATCH(join("", "",$F835:$G835),T$1)=TRUE,""✓"",""✗"")"),"✗")</f>
        <v>✗</v>
      </c>
      <c r="U835" s="33"/>
      <c r="V835" s="33"/>
      <c r="W835" s="33"/>
      <c r="X835" s="33"/>
      <c r="Y835" s="33"/>
      <c r="Z835" s="33"/>
      <c r="AA835" s="33"/>
      <c r="AB835" s="33"/>
      <c r="AC835" s="33"/>
    </row>
    <row r="836" hidden="1">
      <c r="A836" s="17" t="s">
        <v>302</v>
      </c>
      <c r="B836" s="33"/>
      <c r="C836" s="33"/>
      <c r="D836" s="33"/>
      <c r="E836" s="33"/>
      <c r="F836" s="33"/>
      <c r="G836" s="33"/>
      <c r="H836" s="23" t="str">
        <f>IFERROR(__xludf.DUMMYFUNCTION("if(REGEXMATCH(join("", "",$F836:$G836),H$1)=TRUE,""✓"",""✗"")"),"✗")</f>
        <v>✗</v>
      </c>
      <c r="I836" s="23" t="str">
        <f>IFERROR(__xludf.DUMMYFUNCTION("if(REGEXMATCH(join("", "",$F836:$G836),I$1)=TRUE,""✓"",""✗"")"),"✗")</f>
        <v>✗</v>
      </c>
      <c r="J836" s="23" t="str">
        <f>IFERROR(__xludf.DUMMYFUNCTION("if(REGEXMATCH(join("", "",$F836:$G836),J$1)=TRUE,""✓"",""✗"")"),"✗")</f>
        <v>✗</v>
      </c>
      <c r="K836" s="23" t="str">
        <f>IFERROR(__xludf.DUMMYFUNCTION("if(REGEXMATCH(join("", "",$F836:$G836),K$1)=TRUE,""✓"",""✗"")"),"✗")</f>
        <v>✗</v>
      </c>
      <c r="L836" s="23" t="str">
        <f>IFERROR(__xludf.DUMMYFUNCTION("if(REGEXMATCH(join("", "",$F836:$G836),L$1)=TRUE,""✓"",""✗"")"),"✗")</f>
        <v>✗</v>
      </c>
      <c r="M836" s="23" t="str">
        <f>IFERROR(__xludf.DUMMYFUNCTION("if(REGEXMATCH(join("", "",$F836:$G836),M$1)=TRUE,""✓"",""✗"")"),"✗")</f>
        <v>✗</v>
      </c>
      <c r="N836" s="23" t="str">
        <f>IFERROR(__xludf.DUMMYFUNCTION("if(REGEXMATCH(join("", "",$F836:$G836),N$1)=TRUE,""✓"",""✗"")"),"✗")</f>
        <v>✗</v>
      </c>
      <c r="O836" s="23" t="str">
        <f>IFERROR(__xludf.DUMMYFUNCTION("if(REGEXMATCH(join("", "",$F836:$G836),O$1)=TRUE,""✓"",""✗"")"),"✗")</f>
        <v>✗</v>
      </c>
      <c r="P836" s="23" t="str">
        <f>IFERROR(__xludf.DUMMYFUNCTION("if(REGEXMATCH(join("", "",$F836:$G836),P$1)=TRUE,""✓"",""✗"")"),"✗")</f>
        <v>✗</v>
      </c>
      <c r="Q836" s="23" t="str">
        <f>IFERROR(__xludf.DUMMYFUNCTION("if(REGEXMATCH(join("", "",$F836:$G836),Q$1)=TRUE,""✓"",""✗"")"),"✗")</f>
        <v>✗</v>
      </c>
      <c r="R836" s="23" t="str">
        <f>IFERROR(__xludf.DUMMYFUNCTION("if(REGEXMATCH(join("", "",$F836:$G836),R$1)=TRUE,""✓"",""✗"")"),"✗")</f>
        <v>✗</v>
      </c>
      <c r="S836" s="23" t="str">
        <f>IFERROR(__xludf.DUMMYFUNCTION("if(REGEXMATCH(join("", "",$F836:$G836),S$1)=TRUE,""✓"",""✗"")"),"✗")</f>
        <v>✗</v>
      </c>
      <c r="T836" s="23" t="str">
        <f>IFERROR(__xludf.DUMMYFUNCTION("if(REGEXMATCH(join("", "",$F836:$G836),T$1)=TRUE,""✓"",""✗"")"),"✗")</f>
        <v>✗</v>
      </c>
      <c r="U836" s="33"/>
      <c r="V836" s="33"/>
      <c r="W836" s="33"/>
      <c r="X836" s="33"/>
      <c r="Y836" s="33"/>
      <c r="Z836" s="33"/>
      <c r="AA836" s="33"/>
      <c r="AB836" s="33"/>
      <c r="AC836" s="33"/>
    </row>
    <row r="837" hidden="1">
      <c r="A837" s="17" t="s">
        <v>302</v>
      </c>
      <c r="B837" s="33"/>
      <c r="C837" s="33"/>
      <c r="D837" s="33"/>
      <c r="E837" s="33"/>
      <c r="F837" s="33"/>
      <c r="G837" s="33"/>
      <c r="H837" s="23" t="str">
        <f>IFERROR(__xludf.DUMMYFUNCTION("if(REGEXMATCH(join("", "",$F837:$G837),H$1)=TRUE,""✓"",""✗"")"),"✗")</f>
        <v>✗</v>
      </c>
      <c r="I837" s="23" t="str">
        <f>IFERROR(__xludf.DUMMYFUNCTION("if(REGEXMATCH(join("", "",$F837:$G837),I$1)=TRUE,""✓"",""✗"")"),"✗")</f>
        <v>✗</v>
      </c>
      <c r="J837" s="23" t="str">
        <f>IFERROR(__xludf.DUMMYFUNCTION("if(REGEXMATCH(join("", "",$F837:$G837),J$1)=TRUE,""✓"",""✗"")"),"✗")</f>
        <v>✗</v>
      </c>
      <c r="K837" s="23" t="str">
        <f>IFERROR(__xludf.DUMMYFUNCTION("if(REGEXMATCH(join("", "",$F837:$G837),K$1)=TRUE,""✓"",""✗"")"),"✗")</f>
        <v>✗</v>
      </c>
      <c r="L837" s="23" t="str">
        <f>IFERROR(__xludf.DUMMYFUNCTION("if(REGEXMATCH(join("", "",$F837:$G837),L$1)=TRUE,""✓"",""✗"")"),"✗")</f>
        <v>✗</v>
      </c>
      <c r="M837" s="23" t="str">
        <f>IFERROR(__xludf.DUMMYFUNCTION("if(REGEXMATCH(join("", "",$F837:$G837),M$1)=TRUE,""✓"",""✗"")"),"✗")</f>
        <v>✗</v>
      </c>
      <c r="N837" s="23" t="str">
        <f>IFERROR(__xludf.DUMMYFUNCTION("if(REGEXMATCH(join("", "",$F837:$G837),N$1)=TRUE,""✓"",""✗"")"),"✗")</f>
        <v>✗</v>
      </c>
      <c r="O837" s="23" t="str">
        <f>IFERROR(__xludf.DUMMYFUNCTION("if(REGEXMATCH(join("", "",$F837:$G837),O$1)=TRUE,""✓"",""✗"")"),"✗")</f>
        <v>✗</v>
      </c>
      <c r="P837" s="23" t="str">
        <f>IFERROR(__xludf.DUMMYFUNCTION("if(REGEXMATCH(join("", "",$F837:$G837),P$1)=TRUE,""✓"",""✗"")"),"✗")</f>
        <v>✗</v>
      </c>
      <c r="Q837" s="23" t="str">
        <f>IFERROR(__xludf.DUMMYFUNCTION("if(REGEXMATCH(join("", "",$F837:$G837),Q$1)=TRUE,""✓"",""✗"")"),"✗")</f>
        <v>✗</v>
      </c>
      <c r="R837" s="23" t="str">
        <f>IFERROR(__xludf.DUMMYFUNCTION("if(REGEXMATCH(join("", "",$F837:$G837),R$1)=TRUE,""✓"",""✗"")"),"✗")</f>
        <v>✗</v>
      </c>
      <c r="S837" s="23" t="str">
        <f>IFERROR(__xludf.DUMMYFUNCTION("if(REGEXMATCH(join("", "",$F837:$G837),S$1)=TRUE,""✓"",""✗"")"),"✗")</f>
        <v>✗</v>
      </c>
      <c r="T837" s="23" t="str">
        <f>IFERROR(__xludf.DUMMYFUNCTION("if(REGEXMATCH(join("", "",$F837:$G837),T$1)=TRUE,""✓"",""✗"")"),"✗")</f>
        <v>✗</v>
      </c>
      <c r="U837" s="33"/>
      <c r="V837" s="33"/>
      <c r="W837" s="33"/>
      <c r="X837" s="33"/>
      <c r="Y837" s="33"/>
      <c r="Z837" s="33"/>
      <c r="AA837" s="33"/>
      <c r="AB837" s="33"/>
      <c r="AC837" s="33"/>
    </row>
    <row r="838" hidden="1">
      <c r="A838" s="17" t="s">
        <v>302</v>
      </c>
      <c r="B838" s="33"/>
      <c r="C838" s="33"/>
      <c r="D838" s="33"/>
      <c r="E838" s="33"/>
      <c r="F838" s="33"/>
      <c r="G838" s="33"/>
      <c r="H838" s="23" t="str">
        <f>IFERROR(__xludf.DUMMYFUNCTION("if(REGEXMATCH(join("", "",$F838:$G838),H$1)=TRUE,""✓"",""✗"")"),"✗")</f>
        <v>✗</v>
      </c>
      <c r="I838" s="23" t="str">
        <f>IFERROR(__xludf.DUMMYFUNCTION("if(REGEXMATCH(join("", "",$F838:$G838),I$1)=TRUE,""✓"",""✗"")"),"✗")</f>
        <v>✗</v>
      </c>
      <c r="J838" s="23" t="str">
        <f>IFERROR(__xludf.DUMMYFUNCTION("if(REGEXMATCH(join("", "",$F838:$G838),J$1)=TRUE,""✓"",""✗"")"),"✗")</f>
        <v>✗</v>
      </c>
      <c r="K838" s="23" t="str">
        <f>IFERROR(__xludf.DUMMYFUNCTION("if(REGEXMATCH(join("", "",$F838:$G838),K$1)=TRUE,""✓"",""✗"")"),"✗")</f>
        <v>✗</v>
      </c>
      <c r="L838" s="23" t="str">
        <f>IFERROR(__xludf.DUMMYFUNCTION("if(REGEXMATCH(join("", "",$F838:$G838),L$1)=TRUE,""✓"",""✗"")"),"✗")</f>
        <v>✗</v>
      </c>
      <c r="M838" s="23" t="str">
        <f>IFERROR(__xludf.DUMMYFUNCTION("if(REGEXMATCH(join("", "",$F838:$G838),M$1)=TRUE,""✓"",""✗"")"),"✗")</f>
        <v>✗</v>
      </c>
      <c r="N838" s="23" t="str">
        <f>IFERROR(__xludf.DUMMYFUNCTION("if(REGEXMATCH(join("", "",$F838:$G838),N$1)=TRUE,""✓"",""✗"")"),"✗")</f>
        <v>✗</v>
      </c>
      <c r="O838" s="23" t="str">
        <f>IFERROR(__xludf.DUMMYFUNCTION("if(REGEXMATCH(join("", "",$F838:$G838),O$1)=TRUE,""✓"",""✗"")"),"✗")</f>
        <v>✗</v>
      </c>
      <c r="P838" s="23" t="str">
        <f>IFERROR(__xludf.DUMMYFUNCTION("if(REGEXMATCH(join("", "",$F838:$G838),P$1)=TRUE,""✓"",""✗"")"),"✗")</f>
        <v>✗</v>
      </c>
      <c r="Q838" s="23" t="str">
        <f>IFERROR(__xludf.DUMMYFUNCTION("if(REGEXMATCH(join("", "",$F838:$G838),Q$1)=TRUE,""✓"",""✗"")"),"✗")</f>
        <v>✗</v>
      </c>
      <c r="R838" s="23" t="str">
        <f>IFERROR(__xludf.DUMMYFUNCTION("if(REGEXMATCH(join("", "",$F838:$G838),R$1)=TRUE,""✓"",""✗"")"),"✗")</f>
        <v>✗</v>
      </c>
      <c r="S838" s="23" t="str">
        <f>IFERROR(__xludf.DUMMYFUNCTION("if(REGEXMATCH(join("", "",$F838:$G838),S$1)=TRUE,""✓"",""✗"")"),"✗")</f>
        <v>✗</v>
      </c>
      <c r="T838" s="23" t="str">
        <f>IFERROR(__xludf.DUMMYFUNCTION("if(REGEXMATCH(join("", "",$F838:$G838),T$1)=TRUE,""✓"",""✗"")"),"✗")</f>
        <v>✗</v>
      </c>
      <c r="U838" s="33"/>
      <c r="V838" s="33"/>
      <c r="W838" s="33"/>
      <c r="X838" s="33"/>
      <c r="Y838" s="33"/>
      <c r="Z838" s="33"/>
      <c r="AA838" s="33"/>
      <c r="AB838" s="33"/>
      <c r="AC838" s="33"/>
    </row>
    <row r="839" hidden="1">
      <c r="A839" s="17" t="s">
        <v>302</v>
      </c>
      <c r="B839" s="33"/>
      <c r="C839" s="33"/>
      <c r="D839" s="33"/>
      <c r="E839" s="33"/>
      <c r="F839" s="33"/>
      <c r="G839" s="33"/>
      <c r="H839" s="23" t="str">
        <f>IFERROR(__xludf.DUMMYFUNCTION("if(REGEXMATCH(join("", "",$F839:$G839),H$1)=TRUE,""✓"",""✗"")"),"✗")</f>
        <v>✗</v>
      </c>
      <c r="I839" s="23" t="str">
        <f>IFERROR(__xludf.DUMMYFUNCTION("if(REGEXMATCH(join("", "",$F839:$G839),I$1)=TRUE,""✓"",""✗"")"),"✗")</f>
        <v>✗</v>
      </c>
      <c r="J839" s="23" t="str">
        <f>IFERROR(__xludf.DUMMYFUNCTION("if(REGEXMATCH(join("", "",$F839:$G839),J$1)=TRUE,""✓"",""✗"")"),"✗")</f>
        <v>✗</v>
      </c>
      <c r="K839" s="23" t="str">
        <f>IFERROR(__xludf.DUMMYFUNCTION("if(REGEXMATCH(join("", "",$F839:$G839),K$1)=TRUE,""✓"",""✗"")"),"✗")</f>
        <v>✗</v>
      </c>
      <c r="L839" s="23" t="str">
        <f>IFERROR(__xludf.DUMMYFUNCTION("if(REGEXMATCH(join("", "",$F839:$G839),L$1)=TRUE,""✓"",""✗"")"),"✗")</f>
        <v>✗</v>
      </c>
      <c r="M839" s="23" t="str">
        <f>IFERROR(__xludf.DUMMYFUNCTION("if(REGEXMATCH(join("", "",$F839:$G839),M$1)=TRUE,""✓"",""✗"")"),"✗")</f>
        <v>✗</v>
      </c>
      <c r="N839" s="23" t="str">
        <f>IFERROR(__xludf.DUMMYFUNCTION("if(REGEXMATCH(join("", "",$F839:$G839),N$1)=TRUE,""✓"",""✗"")"),"✗")</f>
        <v>✗</v>
      </c>
      <c r="O839" s="23" t="str">
        <f>IFERROR(__xludf.DUMMYFUNCTION("if(REGEXMATCH(join("", "",$F839:$G839),O$1)=TRUE,""✓"",""✗"")"),"✗")</f>
        <v>✗</v>
      </c>
      <c r="P839" s="23" t="str">
        <f>IFERROR(__xludf.DUMMYFUNCTION("if(REGEXMATCH(join("", "",$F839:$G839),P$1)=TRUE,""✓"",""✗"")"),"✗")</f>
        <v>✗</v>
      </c>
      <c r="Q839" s="23" t="str">
        <f>IFERROR(__xludf.DUMMYFUNCTION("if(REGEXMATCH(join("", "",$F839:$G839),Q$1)=TRUE,""✓"",""✗"")"),"✗")</f>
        <v>✗</v>
      </c>
      <c r="R839" s="23" t="str">
        <f>IFERROR(__xludf.DUMMYFUNCTION("if(REGEXMATCH(join("", "",$F839:$G839),R$1)=TRUE,""✓"",""✗"")"),"✗")</f>
        <v>✗</v>
      </c>
      <c r="S839" s="23" t="str">
        <f>IFERROR(__xludf.DUMMYFUNCTION("if(REGEXMATCH(join("", "",$F839:$G839),S$1)=TRUE,""✓"",""✗"")"),"✗")</f>
        <v>✗</v>
      </c>
      <c r="T839" s="23" t="str">
        <f>IFERROR(__xludf.DUMMYFUNCTION("if(REGEXMATCH(join("", "",$F839:$G839),T$1)=TRUE,""✓"",""✗"")"),"✗")</f>
        <v>✗</v>
      </c>
      <c r="U839" s="33"/>
      <c r="V839" s="33"/>
      <c r="W839" s="33"/>
      <c r="X839" s="33"/>
      <c r="Y839" s="33"/>
      <c r="Z839" s="33"/>
      <c r="AA839" s="33"/>
      <c r="AB839" s="33"/>
      <c r="AC839" s="33"/>
    </row>
    <row r="840" hidden="1">
      <c r="A840" s="17" t="s">
        <v>302</v>
      </c>
      <c r="B840" s="33"/>
      <c r="C840" s="33"/>
      <c r="D840" s="33"/>
      <c r="E840" s="33"/>
      <c r="F840" s="33"/>
      <c r="G840" s="33"/>
      <c r="H840" s="23" t="str">
        <f>IFERROR(__xludf.DUMMYFUNCTION("if(REGEXMATCH(join("", "",$F840:$G840),H$1)=TRUE,""✓"",""✗"")"),"✗")</f>
        <v>✗</v>
      </c>
      <c r="I840" s="23" t="str">
        <f>IFERROR(__xludf.DUMMYFUNCTION("if(REGEXMATCH(join("", "",$F840:$G840),I$1)=TRUE,""✓"",""✗"")"),"✗")</f>
        <v>✗</v>
      </c>
      <c r="J840" s="23" t="str">
        <f>IFERROR(__xludf.DUMMYFUNCTION("if(REGEXMATCH(join("", "",$F840:$G840),J$1)=TRUE,""✓"",""✗"")"),"✗")</f>
        <v>✗</v>
      </c>
      <c r="K840" s="23" t="str">
        <f>IFERROR(__xludf.DUMMYFUNCTION("if(REGEXMATCH(join("", "",$F840:$G840),K$1)=TRUE,""✓"",""✗"")"),"✗")</f>
        <v>✗</v>
      </c>
      <c r="L840" s="23" t="str">
        <f>IFERROR(__xludf.DUMMYFUNCTION("if(REGEXMATCH(join("", "",$F840:$G840),L$1)=TRUE,""✓"",""✗"")"),"✗")</f>
        <v>✗</v>
      </c>
      <c r="M840" s="23" t="str">
        <f>IFERROR(__xludf.DUMMYFUNCTION("if(REGEXMATCH(join("", "",$F840:$G840),M$1)=TRUE,""✓"",""✗"")"),"✗")</f>
        <v>✗</v>
      </c>
      <c r="N840" s="23" t="str">
        <f>IFERROR(__xludf.DUMMYFUNCTION("if(REGEXMATCH(join("", "",$F840:$G840),N$1)=TRUE,""✓"",""✗"")"),"✗")</f>
        <v>✗</v>
      </c>
      <c r="O840" s="23" t="str">
        <f>IFERROR(__xludf.DUMMYFUNCTION("if(REGEXMATCH(join("", "",$F840:$G840),O$1)=TRUE,""✓"",""✗"")"),"✗")</f>
        <v>✗</v>
      </c>
      <c r="P840" s="23" t="str">
        <f>IFERROR(__xludf.DUMMYFUNCTION("if(REGEXMATCH(join("", "",$F840:$G840),P$1)=TRUE,""✓"",""✗"")"),"✗")</f>
        <v>✗</v>
      </c>
      <c r="Q840" s="23" t="str">
        <f>IFERROR(__xludf.DUMMYFUNCTION("if(REGEXMATCH(join("", "",$F840:$G840),Q$1)=TRUE,""✓"",""✗"")"),"✗")</f>
        <v>✗</v>
      </c>
      <c r="R840" s="23" t="str">
        <f>IFERROR(__xludf.DUMMYFUNCTION("if(REGEXMATCH(join("", "",$F840:$G840),R$1)=TRUE,""✓"",""✗"")"),"✗")</f>
        <v>✗</v>
      </c>
      <c r="S840" s="23" t="str">
        <f>IFERROR(__xludf.DUMMYFUNCTION("if(REGEXMATCH(join("", "",$F840:$G840),S$1)=TRUE,""✓"",""✗"")"),"✗")</f>
        <v>✗</v>
      </c>
      <c r="T840" s="23" t="str">
        <f>IFERROR(__xludf.DUMMYFUNCTION("if(REGEXMATCH(join("", "",$F840:$G840),T$1)=TRUE,""✓"",""✗"")"),"✗")</f>
        <v>✗</v>
      </c>
      <c r="U840" s="33"/>
      <c r="V840" s="33"/>
      <c r="W840" s="33"/>
      <c r="X840" s="33"/>
      <c r="Y840" s="33"/>
      <c r="Z840" s="33"/>
      <c r="AA840" s="33"/>
      <c r="AB840" s="33"/>
      <c r="AC840" s="33"/>
    </row>
    <row r="841" hidden="1">
      <c r="A841" s="17" t="s">
        <v>302</v>
      </c>
      <c r="B841" s="33"/>
      <c r="C841" s="33"/>
      <c r="D841" s="33"/>
      <c r="E841" s="33"/>
      <c r="F841" s="33"/>
      <c r="G841" s="33"/>
      <c r="H841" s="23" t="str">
        <f>IFERROR(__xludf.DUMMYFUNCTION("if(REGEXMATCH(join("", "",$F841:$G841),H$1)=TRUE,""✓"",""✗"")"),"✗")</f>
        <v>✗</v>
      </c>
      <c r="I841" s="23" t="str">
        <f>IFERROR(__xludf.DUMMYFUNCTION("if(REGEXMATCH(join("", "",$F841:$G841),I$1)=TRUE,""✓"",""✗"")"),"✗")</f>
        <v>✗</v>
      </c>
      <c r="J841" s="23" t="str">
        <f>IFERROR(__xludf.DUMMYFUNCTION("if(REGEXMATCH(join("", "",$F841:$G841),J$1)=TRUE,""✓"",""✗"")"),"✗")</f>
        <v>✗</v>
      </c>
      <c r="K841" s="23" t="str">
        <f>IFERROR(__xludf.DUMMYFUNCTION("if(REGEXMATCH(join("", "",$F841:$G841),K$1)=TRUE,""✓"",""✗"")"),"✗")</f>
        <v>✗</v>
      </c>
      <c r="L841" s="23" t="str">
        <f>IFERROR(__xludf.DUMMYFUNCTION("if(REGEXMATCH(join("", "",$F841:$G841),L$1)=TRUE,""✓"",""✗"")"),"✗")</f>
        <v>✗</v>
      </c>
      <c r="M841" s="23" t="str">
        <f>IFERROR(__xludf.DUMMYFUNCTION("if(REGEXMATCH(join("", "",$F841:$G841),M$1)=TRUE,""✓"",""✗"")"),"✗")</f>
        <v>✗</v>
      </c>
      <c r="N841" s="23" t="str">
        <f>IFERROR(__xludf.DUMMYFUNCTION("if(REGEXMATCH(join("", "",$F841:$G841),N$1)=TRUE,""✓"",""✗"")"),"✗")</f>
        <v>✗</v>
      </c>
      <c r="O841" s="23" t="str">
        <f>IFERROR(__xludf.DUMMYFUNCTION("if(REGEXMATCH(join("", "",$F841:$G841),O$1)=TRUE,""✓"",""✗"")"),"✗")</f>
        <v>✗</v>
      </c>
      <c r="P841" s="23" t="str">
        <f>IFERROR(__xludf.DUMMYFUNCTION("if(REGEXMATCH(join("", "",$F841:$G841),P$1)=TRUE,""✓"",""✗"")"),"✗")</f>
        <v>✗</v>
      </c>
      <c r="Q841" s="23" t="str">
        <f>IFERROR(__xludf.DUMMYFUNCTION("if(REGEXMATCH(join("", "",$F841:$G841),Q$1)=TRUE,""✓"",""✗"")"),"✗")</f>
        <v>✗</v>
      </c>
      <c r="R841" s="23" t="str">
        <f>IFERROR(__xludf.DUMMYFUNCTION("if(REGEXMATCH(join("", "",$F841:$G841),R$1)=TRUE,""✓"",""✗"")"),"✗")</f>
        <v>✗</v>
      </c>
      <c r="S841" s="23" t="str">
        <f>IFERROR(__xludf.DUMMYFUNCTION("if(REGEXMATCH(join("", "",$F841:$G841),S$1)=TRUE,""✓"",""✗"")"),"✗")</f>
        <v>✗</v>
      </c>
      <c r="T841" s="23" t="str">
        <f>IFERROR(__xludf.DUMMYFUNCTION("if(REGEXMATCH(join("", "",$F841:$G841),T$1)=TRUE,""✓"",""✗"")"),"✗")</f>
        <v>✗</v>
      </c>
      <c r="U841" s="33"/>
      <c r="V841" s="33"/>
      <c r="W841" s="33"/>
      <c r="X841" s="33"/>
      <c r="Y841" s="33"/>
      <c r="Z841" s="33"/>
      <c r="AA841" s="33"/>
      <c r="AB841" s="33"/>
      <c r="AC841" s="33"/>
    </row>
    <row r="842" hidden="1">
      <c r="A842" s="17" t="s">
        <v>302</v>
      </c>
      <c r="B842" s="33"/>
      <c r="C842" s="33"/>
      <c r="D842" s="33"/>
      <c r="E842" s="33"/>
      <c r="F842" s="33"/>
      <c r="G842" s="33"/>
      <c r="H842" s="23" t="str">
        <f>IFERROR(__xludf.DUMMYFUNCTION("if(REGEXMATCH(join("", "",$F842:$G842),H$1)=TRUE,""✓"",""✗"")"),"✗")</f>
        <v>✗</v>
      </c>
      <c r="I842" s="23" t="str">
        <f>IFERROR(__xludf.DUMMYFUNCTION("if(REGEXMATCH(join("", "",$F842:$G842),I$1)=TRUE,""✓"",""✗"")"),"✗")</f>
        <v>✗</v>
      </c>
      <c r="J842" s="23" t="str">
        <f>IFERROR(__xludf.DUMMYFUNCTION("if(REGEXMATCH(join("", "",$F842:$G842),J$1)=TRUE,""✓"",""✗"")"),"✗")</f>
        <v>✗</v>
      </c>
      <c r="K842" s="23" t="str">
        <f>IFERROR(__xludf.DUMMYFUNCTION("if(REGEXMATCH(join("", "",$F842:$G842),K$1)=TRUE,""✓"",""✗"")"),"✗")</f>
        <v>✗</v>
      </c>
      <c r="L842" s="23" t="str">
        <f>IFERROR(__xludf.DUMMYFUNCTION("if(REGEXMATCH(join("", "",$F842:$G842),L$1)=TRUE,""✓"",""✗"")"),"✗")</f>
        <v>✗</v>
      </c>
      <c r="M842" s="23" t="str">
        <f>IFERROR(__xludf.DUMMYFUNCTION("if(REGEXMATCH(join("", "",$F842:$G842),M$1)=TRUE,""✓"",""✗"")"),"✗")</f>
        <v>✗</v>
      </c>
      <c r="N842" s="23" t="str">
        <f>IFERROR(__xludf.DUMMYFUNCTION("if(REGEXMATCH(join("", "",$F842:$G842),N$1)=TRUE,""✓"",""✗"")"),"✗")</f>
        <v>✗</v>
      </c>
      <c r="O842" s="23" t="str">
        <f>IFERROR(__xludf.DUMMYFUNCTION("if(REGEXMATCH(join("", "",$F842:$G842),O$1)=TRUE,""✓"",""✗"")"),"✗")</f>
        <v>✗</v>
      </c>
      <c r="P842" s="23" t="str">
        <f>IFERROR(__xludf.DUMMYFUNCTION("if(REGEXMATCH(join("", "",$F842:$G842),P$1)=TRUE,""✓"",""✗"")"),"✗")</f>
        <v>✗</v>
      </c>
      <c r="Q842" s="23" t="str">
        <f>IFERROR(__xludf.DUMMYFUNCTION("if(REGEXMATCH(join("", "",$F842:$G842),Q$1)=TRUE,""✓"",""✗"")"),"✗")</f>
        <v>✗</v>
      </c>
      <c r="R842" s="23" t="str">
        <f>IFERROR(__xludf.DUMMYFUNCTION("if(REGEXMATCH(join("", "",$F842:$G842),R$1)=TRUE,""✓"",""✗"")"),"✗")</f>
        <v>✗</v>
      </c>
      <c r="S842" s="23" t="str">
        <f>IFERROR(__xludf.DUMMYFUNCTION("if(REGEXMATCH(join("", "",$F842:$G842),S$1)=TRUE,""✓"",""✗"")"),"✗")</f>
        <v>✗</v>
      </c>
      <c r="T842" s="23" t="str">
        <f>IFERROR(__xludf.DUMMYFUNCTION("if(REGEXMATCH(join("", "",$F842:$G842),T$1)=TRUE,""✓"",""✗"")"),"✗")</f>
        <v>✗</v>
      </c>
      <c r="U842" s="33"/>
      <c r="V842" s="33"/>
      <c r="W842" s="33"/>
      <c r="X842" s="33"/>
      <c r="Y842" s="33"/>
      <c r="Z842" s="33"/>
      <c r="AA842" s="33"/>
      <c r="AB842" s="33"/>
      <c r="AC842" s="33"/>
    </row>
    <row r="843" hidden="1">
      <c r="A843" s="17" t="s">
        <v>302</v>
      </c>
      <c r="B843" s="33"/>
      <c r="C843" s="33"/>
      <c r="D843" s="33"/>
      <c r="E843" s="33"/>
      <c r="F843" s="33"/>
      <c r="G843" s="33"/>
      <c r="H843" s="23" t="str">
        <f>IFERROR(__xludf.DUMMYFUNCTION("if(REGEXMATCH(join("", "",$F843:$G843),H$1)=TRUE,""✓"",""✗"")"),"✗")</f>
        <v>✗</v>
      </c>
      <c r="I843" s="23" t="str">
        <f>IFERROR(__xludf.DUMMYFUNCTION("if(REGEXMATCH(join("", "",$F843:$G843),I$1)=TRUE,""✓"",""✗"")"),"✗")</f>
        <v>✗</v>
      </c>
      <c r="J843" s="23" t="str">
        <f>IFERROR(__xludf.DUMMYFUNCTION("if(REGEXMATCH(join("", "",$F843:$G843),J$1)=TRUE,""✓"",""✗"")"),"✗")</f>
        <v>✗</v>
      </c>
      <c r="K843" s="23" t="str">
        <f>IFERROR(__xludf.DUMMYFUNCTION("if(REGEXMATCH(join("", "",$F843:$G843),K$1)=TRUE,""✓"",""✗"")"),"✗")</f>
        <v>✗</v>
      </c>
      <c r="L843" s="23" t="str">
        <f>IFERROR(__xludf.DUMMYFUNCTION("if(REGEXMATCH(join("", "",$F843:$G843),L$1)=TRUE,""✓"",""✗"")"),"✗")</f>
        <v>✗</v>
      </c>
      <c r="M843" s="23" t="str">
        <f>IFERROR(__xludf.DUMMYFUNCTION("if(REGEXMATCH(join("", "",$F843:$G843),M$1)=TRUE,""✓"",""✗"")"),"✗")</f>
        <v>✗</v>
      </c>
      <c r="N843" s="23" t="str">
        <f>IFERROR(__xludf.DUMMYFUNCTION("if(REGEXMATCH(join("", "",$F843:$G843),N$1)=TRUE,""✓"",""✗"")"),"✗")</f>
        <v>✗</v>
      </c>
      <c r="O843" s="23" t="str">
        <f>IFERROR(__xludf.DUMMYFUNCTION("if(REGEXMATCH(join("", "",$F843:$G843),O$1)=TRUE,""✓"",""✗"")"),"✗")</f>
        <v>✗</v>
      </c>
      <c r="P843" s="23" t="str">
        <f>IFERROR(__xludf.DUMMYFUNCTION("if(REGEXMATCH(join("", "",$F843:$G843),P$1)=TRUE,""✓"",""✗"")"),"✗")</f>
        <v>✗</v>
      </c>
      <c r="Q843" s="23" t="str">
        <f>IFERROR(__xludf.DUMMYFUNCTION("if(REGEXMATCH(join("", "",$F843:$G843),Q$1)=TRUE,""✓"",""✗"")"),"✗")</f>
        <v>✗</v>
      </c>
      <c r="R843" s="23" t="str">
        <f>IFERROR(__xludf.DUMMYFUNCTION("if(REGEXMATCH(join("", "",$F843:$G843),R$1)=TRUE,""✓"",""✗"")"),"✗")</f>
        <v>✗</v>
      </c>
      <c r="S843" s="23" t="str">
        <f>IFERROR(__xludf.DUMMYFUNCTION("if(REGEXMATCH(join("", "",$F843:$G843),S$1)=TRUE,""✓"",""✗"")"),"✗")</f>
        <v>✗</v>
      </c>
      <c r="T843" s="23" t="str">
        <f>IFERROR(__xludf.DUMMYFUNCTION("if(REGEXMATCH(join("", "",$F843:$G843),T$1)=TRUE,""✓"",""✗"")"),"✗")</f>
        <v>✗</v>
      </c>
      <c r="U843" s="33"/>
      <c r="V843" s="33"/>
      <c r="W843" s="33"/>
      <c r="X843" s="33"/>
      <c r="Y843" s="33"/>
      <c r="Z843" s="33"/>
      <c r="AA843" s="33"/>
      <c r="AB843" s="33"/>
      <c r="AC843" s="33"/>
    </row>
    <row r="844" hidden="1">
      <c r="A844" s="17" t="s">
        <v>302</v>
      </c>
      <c r="B844" s="33"/>
      <c r="C844" s="33"/>
      <c r="D844" s="33"/>
      <c r="E844" s="33"/>
      <c r="F844" s="33"/>
      <c r="G844" s="33"/>
      <c r="H844" s="23" t="str">
        <f>IFERROR(__xludf.DUMMYFUNCTION("if(REGEXMATCH(join("", "",$F844:$G844),H$1)=TRUE,""✓"",""✗"")"),"✗")</f>
        <v>✗</v>
      </c>
      <c r="I844" s="23" t="str">
        <f>IFERROR(__xludf.DUMMYFUNCTION("if(REGEXMATCH(join("", "",$F844:$G844),I$1)=TRUE,""✓"",""✗"")"),"✗")</f>
        <v>✗</v>
      </c>
      <c r="J844" s="23" t="str">
        <f>IFERROR(__xludf.DUMMYFUNCTION("if(REGEXMATCH(join("", "",$F844:$G844),J$1)=TRUE,""✓"",""✗"")"),"✗")</f>
        <v>✗</v>
      </c>
      <c r="K844" s="23" t="str">
        <f>IFERROR(__xludf.DUMMYFUNCTION("if(REGEXMATCH(join("", "",$F844:$G844),K$1)=TRUE,""✓"",""✗"")"),"✗")</f>
        <v>✗</v>
      </c>
      <c r="L844" s="23" t="str">
        <f>IFERROR(__xludf.DUMMYFUNCTION("if(REGEXMATCH(join("", "",$F844:$G844),L$1)=TRUE,""✓"",""✗"")"),"✗")</f>
        <v>✗</v>
      </c>
      <c r="M844" s="23" t="str">
        <f>IFERROR(__xludf.DUMMYFUNCTION("if(REGEXMATCH(join("", "",$F844:$G844),M$1)=TRUE,""✓"",""✗"")"),"✗")</f>
        <v>✗</v>
      </c>
      <c r="N844" s="23" t="str">
        <f>IFERROR(__xludf.DUMMYFUNCTION("if(REGEXMATCH(join("", "",$F844:$G844),N$1)=TRUE,""✓"",""✗"")"),"✗")</f>
        <v>✗</v>
      </c>
      <c r="O844" s="23" t="str">
        <f>IFERROR(__xludf.DUMMYFUNCTION("if(REGEXMATCH(join("", "",$F844:$G844),O$1)=TRUE,""✓"",""✗"")"),"✗")</f>
        <v>✗</v>
      </c>
      <c r="P844" s="23" t="str">
        <f>IFERROR(__xludf.DUMMYFUNCTION("if(REGEXMATCH(join("", "",$F844:$G844),P$1)=TRUE,""✓"",""✗"")"),"✗")</f>
        <v>✗</v>
      </c>
      <c r="Q844" s="23" t="str">
        <f>IFERROR(__xludf.DUMMYFUNCTION("if(REGEXMATCH(join("", "",$F844:$G844),Q$1)=TRUE,""✓"",""✗"")"),"✗")</f>
        <v>✗</v>
      </c>
      <c r="R844" s="23" t="str">
        <f>IFERROR(__xludf.DUMMYFUNCTION("if(REGEXMATCH(join("", "",$F844:$G844),R$1)=TRUE,""✓"",""✗"")"),"✗")</f>
        <v>✗</v>
      </c>
      <c r="S844" s="23" t="str">
        <f>IFERROR(__xludf.DUMMYFUNCTION("if(REGEXMATCH(join("", "",$F844:$G844),S$1)=TRUE,""✓"",""✗"")"),"✗")</f>
        <v>✗</v>
      </c>
      <c r="T844" s="23" t="str">
        <f>IFERROR(__xludf.DUMMYFUNCTION("if(REGEXMATCH(join("", "",$F844:$G844),T$1)=TRUE,""✓"",""✗"")"),"✗")</f>
        <v>✗</v>
      </c>
      <c r="U844" s="33"/>
      <c r="V844" s="33"/>
      <c r="W844" s="33"/>
      <c r="X844" s="33"/>
      <c r="Y844" s="33"/>
      <c r="Z844" s="33"/>
      <c r="AA844" s="33"/>
      <c r="AB844" s="33"/>
      <c r="AC844" s="33"/>
    </row>
    <row r="845" hidden="1">
      <c r="A845" s="17" t="s">
        <v>302</v>
      </c>
      <c r="B845" s="33"/>
      <c r="C845" s="33"/>
      <c r="D845" s="33"/>
      <c r="E845" s="33"/>
      <c r="F845" s="33"/>
      <c r="G845" s="33"/>
      <c r="H845" s="23" t="str">
        <f>IFERROR(__xludf.DUMMYFUNCTION("if(REGEXMATCH(join("", "",$F845:$G845),H$1)=TRUE,""✓"",""✗"")"),"✗")</f>
        <v>✗</v>
      </c>
      <c r="I845" s="23" t="str">
        <f>IFERROR(__xludf.DUMMYFUNCTION("if(REGEXMATCH(join("", "",$F845:$G845),I$1)=TRUE,""✓"",""✗"")"),"✗")</f>
        <v>✗</v>
      </c>
      <c r="J845" s="23" t="str">
        <f>IFERROR(__xludf.DUMMYFUNCTION("if(REGEXMATCH(join("", "",$F845:$G845),J$1)=TRUE,""✓"",""✗"")"),"✗")</f>
        <v>✗</v>
      </c>
      <c r="K845" s="23" t="str">
        <f>IFERROR(__xludf.DUMMYFUNCTION("if(REGEXMATCH(join("", "",$F845:$G845),K$1)=TRUE,""✓"",""✗"")"),"✗")</f>
        <v>✗</v>
      </c>
      <c r="L845" s="23" t="str">
        <f>IFERROR(__xludf.DUMMYFUNCTION("if(REGEXMATCH(join("", "",$F845:$G845),L$1)=TRUE,""✓"",""✗"")"),"✗")</f>
        <v>✗</v>
      </c>
      <c r="M845" s="23" t="str">
        <f>IFERROR(__xludf.DUMMYFUNCTION("if(REGEXMATCH(join("", "",$F845:$G845),M$1)=TRUE,""✓"",""✗"")"),"✗")</f>
        <v>✗</v>
      </c>
      <c r="N845" s="23" t="str">
        <f>IFERROR(__xludf.DUMMYFUNCTION("if(REGEXMATCH(join("", "",$F845:$G845),N$1)=TRUE,""✓"",""✗"")"),"✗")</f>
        <v>✗</v>
      </c>
      <c r="O845" s="23" t="str">
        <f>IFERROR(__xludf.DUMMYFUNCTION("if(REGEXMATCH(join("", "",$F845:$G845),O$1)=TRUE,""✓"",""✗"")"),"✗")</f>
        <v>✗</v>
      </c>
      <c r="P845" s="23" t="str">
        <f>IFERROR(__xludf.DUMMYFUNCTION("if(REGEXMATCH(join("", "",$F845:$G845),P$1)=TRUE,""✓"",""✗"")"),"✗")</f>
        <v>✗</v>
      </c>
      <c r="Q845" s="23" t="str">
        <f>IFERROR(__xludf.DUMMYFUNCTION("if(REGEXMATCH(join("", "",$F845:$G845),Q$1)=TRUE,""✓"",""✗"")"),"✗")</f>
        <v>✗</v>
      </c>
      <c r="R845" s="23" t="str">
        <f>IFERROR(__xludf.DUMMYFUNCTION("if(REGEXMATCH(join("", "",$F845:$G845),R$1)=TRUE,""✓"",""✗"")"),"✗")</f>
        <v>✗</v>
      </c>
      <c r="S845" s="23" t="str">
        <f>IFERROR(__xludf.DUMMYFUNCTION("if(REGEXMATCH(join("", "",$F845:$G845),S$1)=TRUE,""✓"",""✗"")"),"✗")</f>
        <v>✗</v>
      </c>
      <c r="T845" s="23" t="str">
        <f>IFERROR(__xludf.DUMMYFUNCTION("if(REGEXMATCH(join("", "",$F845:$G845),T$1)=TRUE,""✓"",""✗"")"),"✗")</f>
        <v>✗</v>
      </c>
      <c r="U845" s="33"/>
      <c r="V845" s="33"/>
      <c r="W845" s="33"/>
      <c r="X845" s="33"/>
      <c r="Y845" s="33"/>
      <c r="Z845" s="33"/>
      <c r="AA845" s="33"/>
      <c r="AB845" s="33"/>
      <c r="AC845" s="33"/>
    </row>
    <row r="846" hidden="1">
      <c r="A846" s="17" t="s">
        <v>302</v>
      </c>
      <c r="B846" s="33"/>
      <c r="C846" s="33"/>
      <c r="D846" s="33"/>
      <c r="E846" s="33"/>
      <c r="F846" s="33"/>
      <c r="G846" s="33"/>
      <c r="H846" s="23" t="str">
        <f>IFERROR(__xludf.DUMMYFUNCTION("if(REGEXMATCH(join("", "",$F846:$G846),H$1)=TRUE,""✓"",""✗"")"),"✗")</f>
        <v>✗</v>
      </c>
      <c r="I846" s="23" t="str">
        <f>IFERROR(__xludf.DUMMYFUNCTION("if(REGEXMATCH(join("", "",$F846:$G846),I$1)=TRUE,""✓"",""✗"")"),"✗")</f>
        <v>✗</v>
      </c>
      <c r="J846" s="23" t="str">
        <f>IFERROR(__xludf.DUMMYFUNCTION("if(REGEXMATCH(join("", "",$F846:$G846),J$1)=TRUE,""✓"",""✗"")"),"✗")</f>
        <v>✗</v>
      </c>
      <c r="K846" s="23" t="str">
        <f>IFERROR(__xludf.DUMMYFUNCTION("if(REGEXMATCH(join("", "",$F846:$G846),K$1)=TRUE,""✓"",""✗"")"),"✗")</f>
        <v>✗</v>
      </c>
      <c r="L846" s="23" t="str">
        <f>IFERROR(__xludf.DUMMYFUNCTION("if(REGEXMATCH(join("", "",$F846:$G846),L$1)=TRUE,""✓"",""✗"")"),"✗")</f>
        <v>✗</v>
      </c>
      <c r="M846" s="23" t="str">
        <f>IFERROR(__xludf.DUMMYFUNCTION("if(REGEXMATCH(join("", "",$F846:$G846),M$1)=TRUE,""✓"",""✗"")"),"✗")</f>
        <v>✗</v>
      </c>
      <c r="N846" s="23" t="str">
        <f>IFERROR(__xludf.DUMMYFUNCTION("if(REGEXMATCH(join("", "",$F846:$G846),N$1)=TRUE,""✓"",""✗"")"),"✗")</f>
        <v>✗</v>
      </c>
      <c r="O846" s="23" t="str">
        <f>IFERROR(__xludf.DUMMYFUNCTION("if(REGEXMATCH(join("", "",$F846:$G846),O$1)=TRUE,""✓"",""✗"")"),"✗")</f>
        <v>✗</v>
      </c>
      <c r="P846" s="23" t="str">
        <f>IFERROR(__xludf.DUMMYFUNCTION("if(REGEXMATCH(join("", "",$F846:$G846),P$1)=TRUE,""✓"",""✗"")"),"✗")</f>
        <v>✗</v>
      </c>
      <c r="Q846" s="23" t="str">
        <f>IFERROR(__xludf.DUMMYFUNCTION("if(REGEXMATCH(join("", "",$F846:$G846),Q$1)=TRUE,""✓"",""✗"")"),"✗")</f>
        <v>✗</v>
      </c>
      <c r="R846" s="23" t="str">
        <f>IFERROR(__xludf.DUMMYFUNCTION("if(REGEXMATCH(join("", "",$F846:$G846),R$1)=TRUE,""✓"",""✗"")"),"✗")</f>
        <v>✗</v>
      </c>
      <c r="S846" s="23" t="str">
        <f>IFERROR(__xludf.DUMMYFUNCTION("if(REGEXMATCH(join("", "",$F846:$G846),S$1)=TRUE,""✓"",""✗"")"),"✗")</f>
        <v>✗</v>
      </c>
      <c r="T846" s="23" t="str">
        <f>IFERROR(__xludf.DUMMYFUNCTION("if(REGEXMATCH(join("", "",$F846:$G846),T$1)=TRUE,""✓"",""✗"")"),"✗")</f>
        <v>✗</v>
      </c>
      <c r="U846" s="33"/>
      <c r="V846" s="33"/>
      <c r="W846" s="33"/>
      <c r="X846" s="33"/>
      <c r="Y846" s="33"/>
      <c r="Z846" s="33"/>
      <c r="AA846" s="33"/>
      <c r="AB846" s="33"/>
      <c r="AC846" s="33"/>
    </row>
    <row r="847" hidden="1">
      <c r="A847" s="17" t="s">
        <v>302</v>
      </c>
      <c r="B847" s="33"/>
      <c r="C847" s="33"/>
      <c r="D847" s="33"/>
      <c r="E847" s="33"/>
      <c r="F847" s="33"/>
      <c r="G847" s="33"/>
      <c r="H847" s="23" t="str">
        <f>IFERROR(__xludf.DUMMYFUNCTION("if(REGEXMATCH(join("", "",$F847:$G847),H$1)=TRUE,""✓"",""✗"")"),"✗")</f>
        <v>✗</v>
      </c>
      <c r="I847" s="23" t="str">
        <f>IFERROR(__xludf.DUMMYFUNCTION("if(REGEXMATCH(join("", "",$F847:$G847),I$1)=TRUE,""✓"",""✗"")"),"✗")</f>
        <v>✗</v>
      </c>
      <c r="J847" s="23" t="str">
        <f>IFERROR(__xludf.DUMMYFUNCTION("if(REGEXMATCH(join("", "",$F847:$G847),J$1)=TRUE,""✓"",""✗"")"),"✗")</f>
        <v>✗</v>
      </c>
      <c r="K847" s="23" t="str">
        <f>IFERROR(__xludf.DUMMYFUNCTION("if(REGEXMATCH(join("", "",$F847:$G847),K$1)=TRUE,""✓"",""✗"")"),"✗")</f>
        <v>✗</v>
      </c>
      <c r="L847" s="23" t="str">
        <f>IFERROR(__xludf.DUMMYFUNCTION("if(REGEXMATCH(join("", "",$F847:$G847),L$1)=TRUE,""✓"",""✗"")"),"✗")</f>
        <v>✗</v>
      </c>
      <c r="M847" s="23" t="str">
        <f>IFERROR(__xludf.DUMMYFUNCTION("if(REGEXMATCH(join("", "",$F847:$G847),M$1)=TRUE,""✓"",""✗"")"),"✗")</f>
        <v>✗</v>
      </c>
      <c r="N847" s="23" t="str">
        <f>IFERROR(__xludf.DUMMYFUNCTION("if(REGEXMATCH(join("", "",$F847:$G847),N$1)=TRUE,""✓"",""✗"")"),"✗")</f>
        <v>✗</v>
      </c>
      <c r="O847" s="23" t="str">
        <f>IFERROR(__xludf.DUMMYFUNCTION("if(REGEXMATCH(join("", "",$F847:$G847),O$1)=TRUE,""✓"",""✗"")"),"✗")</f>
        <v>✗</v>
      </c>
      <c r="P847" s="23" t="str">
        <f>IFERROR(__xludf.DUMMYFUNCTION("if(REGEXMATCH(join("", "",$F847:$G847),P$1)=TRUE,""✓"",""✗"")"),"✗")</f>
        <v>✗</v>
      </c>
      <c r="Q847" s="23" t="str">
        <f>IFERROR(__xludf.DUMMYFUNCTION("if(REGEXMATCH(join("", "",$F847:$G847),Q$1)=TRUE,""✓"",""✗"")"),"✗")</f>
        <v>✗</v>
      </c>
      <c r="R847" s="23" t="str">
        <f>IFERROR(__xludf.DUMMYFUNCTION("if(REGEXMATCH(join("", "",$F847:$G847),R$1)=TRUE,""✓"",""✗"")"),"✗")</f>
        <v>✗</v>
      </c>
      <c r="S847" s="23" t="str">
        <f>IFERROR(__xludf.DUMMYFUNCTION("if(REGEXMATCH(join("", "",$F847:$G847),S$1)=TRUE,""✓"",""✗"")"),"✗")</f>
        <v>✗</v>
      </c>
      <c r="T847" s="23" t="str">
        <f>IFERROR(__xludf.DUMMYFUNCTION("if(REGEXMATCH(join("", "",$F847:$G847),T$1)=TRUE,""✓"",""✗"")"),"✗")</f>
        <v>✗</v>
      </c>
      <c r="U847" s="33"/>
      <c r="V847" s="33"/>
      <c r="W847" s="33"/>
      <c r="X847" s="33"/>
      <c r="Y847" s="33"/>
      <c r="Z847" s="33"/>
      <c r="AA847" s="33"/>
      <c r="AB847" s="33"/>
      <c r="AC847" s="33"/>
    </row>
    <row r="848" hidden="1">
      <c r="A848" s="17" t="s">
        <v>302</v>
      </c>
      <c r="B848" s="33"/>
      <c r="C848" s="33"/>
      <c r="D848" s="33"/>
      <c r="E848" s="33"/>
      <c r="F848" s="33"/>
      <c r="G848" s="33"/>
      <c r="H848" s="23" t="str">
        <f>IFERROR(__xludf.DUMMYFUNCTION("if(REGEXMATCH(join("", "",$F848:$G848),H$1)=TRUE,""✓"",""✗"")"),"✗")</f>
        <v>✗</v>
      </c>
      <c r="I848" s="23" t="str">
        <f>IFERROR(__xludf.DUMMYFUNCTION("if(REGEXMATCH(join("", "",$F848:$G848),I$1)=TRUE,""✓"",""✗"")"),"✗")</f>
        <v>✗</v>
      </c>
      <c r="J848" s="23" t="str">
        <f>IFERROR(__xludf.DUMMYFUNCTION("if(REGEXMATCH(join("", "",$F848:$G848),J$1)=TRUE,""✓"",""✗"")"),"✗")</f>
        <v>✗</v>
      </c>
      <c r="K848" s="23" t="str">
        <f>IFERROR(__xludf.DUMMYFUNCTION("if(REGEXMATCH(join("", "",$F848:$G848),K$1)=TRUE,""✓"",""✗"")"),"✗")</f>
        <v>✗</v>
      </c>
      <c r="L848" s="23" t="str">
        <f>IFERROR(__xludf.DUMMYFUNCTION("if(REGEXMATCH(join("", "",$F848:$G848),L$1)=TRUE,""✓"",""✗"")"),"✗")</f>
        <v>✗</v>
      </c>
      <c r="M848" s="23" t="str">
        <f>IFERROR(__xludf.DUMMYFUNCTION("if(REGEXMATCH(join("", "",$F848:$G848),M$1)=TRUE,""✓"",""✗"")"),"✗")</f>
        <v>✗</v>
      </c>
      <c r="N848" s="23" t="str">
        <f>IFERROR(__xludf.DUMMYFUNCTION("if(REGEXMATCH(join("", "",$F848:$G848),N$1)=TRUE,""✓"",""✗"")"),"✗")</f>
        <v>✗</v>
      </c>
      <c r="O848" s="23" t="str">
        <f>IFERROR(__xludf.DUMMYFUNCTION("if(REGEXMATCH(join("", "",$F848:$G848),O$1)=TRUE,""✓"",""✗"")"),"✗")</f>
        <v>✗</v>
      </c>
      <c r="P848" s="23" t="str">
        <f>IFERROR(__xludf.DUMMYFUNCTION("if(REGEXMATCH(join("", "",$F848:$G848),P$1)=TRUE,""✓"",""✗"")"),"✗")</f>
        <v>✗</v>
      </c>
      <c r="Q848" s="23" t="str">
        <f>IFERROR(__xludf.DUMMYFUNCTION("if(REGEXMATCH(join("", "",$F848:$G848),Q$1)=TRUE,""✓"",""✗"")"),"✗")</f>
        <v>✗</v>
      </c>
      <c r="R848" s="23" t="str">
        <f>IFERROR(__xludf.DUMMYFUNCTION("if(REGEXMATCH(join("", "",$F848:$G848),R$1)=TRUE,""✓"",""✗"")"),"✗")</f>
        <v>✗</v>
      </c>
      <c r="S848" s="23" t="str">
        <f>IFERROR(__xludf.DUMMYFUNCTION("if(REGEXMATCH(join("", "",$F848:$G848),S$1)=TRUE,""✓"",""✗"")"),"✗")</f>
        <v>✗</v>
      </c>
      <c r="T848" s="23" t="str">
        <f>IFERROR(__xludf.DUMMYFUNCTION("if(REGEXMATCH(join("", "",$F848:$G848),T$1)=TRUE,""✓"",""✗"")"),"✗")</f>
        <v>✗</v>
      </c>
      <c r="U848" s="33"/>
      <c r="V848" s="33"/>
      <c r="W848" s="33"/>
      <c r="X848" s="33"/>
      <c r="Y848" s="33"/>
      <c r="Z848" s="33"/>
      <c r="AA848" s="33"/>
      <c r="AB848" s="33"/>
      <c r="AC848" s="33"/>
    </row>
    <row r="849" hidden="1">
      <c r="A849" s="17" t="s">
        <v>302</v>
      </c>
      <c r="B849" s="33"/>
      <c r="C849" s="33"/>
      <c r="D849" s="33"/>
      <c r="E849" s="33"/>
      <c r="F849" s="33"/>
      <c r="G849" s="33"/>
      <c r="H849" s="23" t="str">
        <f>IFERROR(__xludf.DUMMYFUNCTION("if(REGEXMATCH(join("", "",$F849:$G849),H$1)=TRUE,""✓"",""✗"")"),"✗")</f>
        <v>✗</v>
      </c>
      <c r="I849" s="23" t="str">
        <f>IFERROR(__xludf.DUMMYFUNCTION("if(REGEXMATCH(join("", "",$F849:$G849),I$1)=TRUE,""✓"",""✗"")"),"✗")</f>
        <v>✗</v>
      </c>
      <c r="J849" s="23" t="str">
        <f>IFERROR(__xludf.DUMMYFUNCTION("if(REGEXMATCH(join("", "",$F849:$G849),J$1)=TRUE,""✓"",""✗"")"),"✗")</f>
        <v>✗</v>
      </c>
      <c r="K849" s="23" t="str">
        <f>IFERROR(__xludf.DUMMYFUNCTION("if(REGEXMATCH(join("", "",$F849:$G849),K$1)=TRUE,""✓"",""✗"")"),"✗")</f>
        <v>✗</v>
      </c>
      <c r="L849" s="23" t="str">
        <f>IFERROR(__xludf.DUMMYFUNCTION("if(REGEXMATCH(join("", "",$F849:$G849),L$1)=TRUE,""✓"",""✗"")"),"✗")</f>
        <v>✗</v>
      </c>
      <c r="M849" s="23" t="str">
        <f>IFERROR(__xludf.DUMMYFUNCTION("if(REGEXMATCH(join("", "",$F849:$G849),M$1)=TRUE,""✓"",""✗"")"),"✗")</f>
        <v>✗</v>
      </c>
      <c r="N849" s="23" t="str">
        <f>IFERROR(__xludf.DUMMYFUNCTION("if(REGEXMATCH(join("", "",$F849:$G849),N$1)=TRUE,""✓"",""✗"")"),"✗")</f>
        <v>✗</v>
      </c>
      <c r="O849" s="23" t="str">
        <f>IFERROR(__xludf.DUMMYFUNCTION("if(REGEXMATCH(join("", "",$F849:$G849),O$1)=TRUE,""✓"",""✗"")"),"✗")</f>
        <v>✗</v>
      </c>
      <c r="P849" s="23" t="str">
        <f>IFERROR(__xludf.DUMMYFUNCTION("if(REGEXMATCH(join("", "",$F849:$G849),P$1)=TRUE,""✓"",""✗"")"),"✗")</f>
        <v>✗</v>
      </c>
      <c r="Q849" s="23" t="str">
        <f>IFERROR(__xludf.DUMMYFUNCTION("if(REGEXMATCH(join("", "",$F849:$G849),Q$1)=TRUE,""✓"",""✗"")"),"✗")</f>
        <v>✗</v>
      </c>
      <c r="R849" s="23" t="str">
        <f>IFERROR(__xludf.DUMMYFUNCTION("if(REGEXMATCH(join("", "",$F849:$G849),R$1)=TRUE,""✓"",""✗"")"),"✗")</f>
        <v>✗</v>
      </c>
      <c r="S849" s="23" t="str">
        <f>IFERROR(__xludf.DUMMYFUNCTION("if(REGEXMATCH(join("", "",$F849:$G849),S$1)=TRUE,""✓"",""✗"")"),"✗")</f>
        <v>✗</v>
      </c>
      <c r="T849" s="23" t="str">
        <f>IFERROR(__xludf.DUMMYFUNCTION("if(REGEXMATCH(join("", "",$F849:$G849),T$1)=TRUE,""✓"",""✗"")"),"✗")</f>
        <v>✗</v>
      </c>
      <c r="U849" s="33"/>
      <c r="V849" s="33"/>
      <c r="W849" s="33"/>
      <c r="X849" s="33"/>
      <c r="Y849" s="33"/>
      <c r="Z849" s="33"/>
      <c r="AA849" s="33"/>
      <c r="AB849" s="33"/>
      <c r="AC849" s="33"/>
    </row>
    <row r="850" hidden="1">
      <c r="A850" s="17" t="s">
        <v>302</v>
      </c>
      <c r="B850" s="33"/>
      <c r="C850" s="33"/>
      <c r="D850" s="33"/>
      <c r="E850" s="33"/>
      <c r="F850" s="33"/>
      <c r="G850" s="33"/>
      <c r="H850" s="23" t="str">
        <f>IFERROR(__xludf.DUMMYFUNCTION("if(REGEXMATCH(join("", "",$F850:$G850),H$1)=TRUE,""✓"",""✗"")"),"✗")</f>
        <v>✗</v>
      </c>
      <c r="I850" s="23" t="str">
        <f>IFERROR(__xludf.DUMMYFUNCTION("if(REGEXMATCH(join("", "",$F850:$G850),I$1)=TRUE,""✓"",""✗"")"),"✗")</f>
        <v>✗</v>
      </c>
      <c r="J850" s="23" t="str">
        <f>IFERROR(__xludf.DUMMYFUNCTION("if(REGEXMATCH(join("", "",$F850:$G850),J$1)=TRUE,""✓"",""✗"")"),"✗")</f>
        <v>✗</v>
      </c>
      <c r="K850" s="23" t="str">
        <f>IFERROR(__xludf.DUMMYFUNCTION("if(REGEXMATCH(join("", "",$F850:$G850),K$1)=TRUE,""✓"",""✗"")"),"✗")</f>
        <v>✗</v>
      </c>
      <c r="L850" s="23" t="str">
        <f>IFERROR(__xludf.DUMMYFUNCTION("if(REGEXMATCH(join("", "",$F850:$G850),L$1)=TRUE,""✓"",""✗"")"),"✗")</f>
        <v>✗</v>
      </c>
      <c r="M850" s="23" t="str">
        <f>IFERROR(__xludf.DUMMYFUNCTION("if(REGEXMATCH(join("", "",$F850:$G850),M$1)=TRUE,""✓"",""✗"")"),"✗")</f>
        <v>✗</v>
      </c>
      <c r="N850" s="23" t="str">
        <f>IFERROR(__xludf.DUMMYFUNCTION("if(REGEXMATCH(join("", "",$F850:$G850),N$1)=TRUE,""✓"",""✗"")"),"✗")</f>
        <v>✗</v>
      </c>
      <c r="O850" s="23" t="str">
        <f>IFERROR(__xludf.DUMMYFUNCTION("if(REGEXMATCH(join("", "",$F850:$G850),O$1)=TRUE,""✓"",""✗"")"),"✗")</f>
        <v>✗</v>
      </c>
      <c r="P850" s="23" t="str">
        <f>IFERROR(__xludf.DUMMYFUNCTION("if(REGEXMATCH(join("", "",$F850:$G850),P$1)=TRUE,""✓"",""✗"")"),"✗")</f>
        <v>✗</v>
      </c>
      <c r="Q850" s="23" t="str">
        <f>IFERROR(__xludf.DUMMYFUNCTION("if(REGEXMATCH(join("", "",$F850:$G850),Q$1)=TRUE,""✓"",""✗"")"),"✗")</f>
        <v>✗</v>
      </c>
      <c r="R850" s="23" t="str">
        <f>IFERROR(__xludf.DUMMYFUNCTION("if(REGEXMATCH(join("", "",$F850:$G850),R$1)=TRUE,""✓"",""✗"")"),"✗")</f>
        <v>✗</v>
      </c>
      <c r="S850" s="23" t="str">
        <f>IFERROR(__xludf.DUMMYFUNCTION("if(REGEXMATCH(join("", "",$F850:$G850),S$1)=TRUE,""✓"",""✗"")"),"✗")</f>
        <v>✗</v>
      </c>
      <c r="T850" s="23" t="str">
        <f>IFERROR(__xludf.DUMMYFUNCTION("if(REGEXMATCH(join("", "",$F850:$G850),T$1)=TRUE,""✓"",""✗"")"),"✗")</f>
        <v>✗</v>
      </c>
      <c r="U850" s="33"/>
      <c r="V850" s="33"/>
      <c r="W850" s="33"/>
      <c r="X850" s="33"/>
      <c r="Y850" s="33"/>
      <c r="Z850" s="33"/>
      <c r="AA850" s="33"/>
      <c r="AB850" s="33"/>
      <c r="AC850" s="33"/>
    </row>
    <row r="851" hidden="1">
      <c r="A851" s="17" t="s">
        <v>302</v>
      </c>
      <c r="B851" s="33"/>
      <c r="C851" s="33"/>
      <c r="D851" s="33"/>
      <c r="E851" s="33"/>
      <c r="F851" s="33"/>
      <c r="G851" s="33"/>
      <c r="H851" s="23" t="str">
        <f>IFERROR(__xludf.DUMMYFUNCTION("if(REGEXMATCH(join("", "",$F851:$G851),H$1)=TRUE,""✓"",""✗"")"),"✗")</f>
        <v>✗</v>
      </c>
      <c r="I851" s="23" t="str">
        <f>IFERROR(__xludf.DUMMYFUNCTION("if(REGEXMATCH(join("", "",$F851:$G851),I$1)=TRUE,""✓"",""✗"")"),"✗")</f>
        <v>✗</v>
      </c>
      <c r="J851" s="23" t="str">
        <f>IFERROR(__xludf.DUMMYFUNCTION("if(REGEXMATCH(join("", "",$F851:$G851),J$1)=TRUE,""✓"",""✗"")"),"✗")</f>
        <v>✗</v>
      </c>
      <c r="K851" s="23" t="str">
        <f>IFERROR(__xludf.DUMMYFUNCTION("if(REGEXMATCH(join("", "",$F851:$G851),K$1)=TRUE,""✓"",""✗"")"),"✗")</f>
        <v>✗</v>
      </c>
      <c r="L851" s="23" t="str">
        <f>IFERROR(__xludf.DUMMYFUNCTION("if(REGEXMATCH(join("", "",$F851:$G851),L$1)=TRUE,""✓"",""✗"")"),"✗")</f>
        <v>✗</v>
      </c>
      <c r="M851" s="23" t="str">
        <f>IFERROR(__xludf.DUMMYFUNCTION("if(REGEXMATCH(join("", "",$F851:$G851),M$1)=TRUE,""✓"",""✗"")"),"✗")</f>
        <v>✗</v>
      </c>
      <c r="N851" s="23" t="str">
        <f>IFERROR(__xludf.DUMMYFUNCTION("if(REGEXMATCH(join("", "",$F851:$G851),N$1)=TRUE,""✓"",""✗"")"),"✗")</f>
        <v>✗</v>
      </c>
      <c r="O851" s="23" t="str">
        <f>IFERROR(__xludf.DUMMYFUNCTION("if(REGEXMATCH(join("", "",$F851:$G851),O$1)=TRUE,""✓"",""✗"")"),"✗")</f>
        <v>✗</v>
      </c>
      <c r="P851" s="23" t="str">
        <f>IFERROR(__xludf.DUMMYFUNCTION("if(REGEXMATCH(join("", "",$F851:$G851),P$1)=TRUE,""✓"",""✗"")"),"✗")</f>
        <v>✗</v>
      </c>
      <c r="Q851" s="23" t="str">
        <f>IFERROR(__xludf.DUMMYFUNCTION("if(REGEXMATCH(join("", "",$F851:$G851),Q$1)=TRUE,""✓"",""✗"")"),"✗")</f>
        <v>✗</v>
      </c>
      <c r="R851" s="23" t="str">
        <f>IFERROR(__xludf.DUMMYFUNCTION("if(REGEXMATCH(join("", "",$F851:$G851),R$1)=TRUE,""✓"",""✗"")"),"✗")</f>
        <v>✗</v>
      </c>
      <c r="S851" s="23" t="str">
        <f>IFERROR(__xludf.DUMMYFUNCTION("if(REGEXMATCH(join("", "",$F851:$G851),S$1)=TRUE,""✓"",""✗"")"),"✗")</f>
        <v>✗</v>
      </c>
      <c r="T851" s="23" t="str">
        <f>IFERROR(__xludf.DUMMYFUNCTION("if(REGEXMATCH(join("", "",$F851:$G851),T$1)=TRUE,""✓"",""✗"")"),"✗")</f>
        <v>✗</v>
      </c>
      <c r="U851" s="33"/>
      <c r="V851" s="33"/>
      <c r="W851" s="33"/>
      <c r="X851" s="33"/>
      <c r="Y851" s="33"/>
      <c r="Z851" s="33"/>
      <c r="AA851" s="33"/>
      <c r="AB851" s="33"/>
      <c r="AC851" s="33"/>
    </row>
    <row r="852" hidden="1">
      <c r="A852" s="17" t="s">
        <v>302</v>
      </c>
      <c r="B852" s="33"/>
      <c r="C852" s="33"/>
      <c r="D852" s="33"/>
      <c r="E852" s="33"/>
      <c r="F852" s="33"/>
      <c r="G852" s="33"/>
      <c r="H852" s="23" t="str">
        <f>IFERROR(__xludf.DUMMYFUNCTION("if(REGEXMATCH(join("", "",$F852:$G852),H$1)=TRUE,""✓"",""✗"")"),"✗")</f>
        <v>✗</v>
      </c>
      <c r="I852" s="23" t="str">
        <f>IFERROR(__xludf.DUMMYFUNCTION("if(REGEXMATCH(join("", "",$F852:$G852),I$1)=TRUE,""✓"",""✗"")"),"✗")</f>
        <v>✗</v>
      </c>
      <c r="J852" s="23" t="str">
        <f>IFERROR(__xludf.DUMMYFUNCTION("if(REGEXMATCH(join("", "",$F852:$G852),J$1)=TRUE,""✓"",""✗"")"),"✗")</f>
        <v>✗</v>
      </c>
      <c r="K852" s="23" t="str">
        <f>IFERROR(__xludf.DUMMYFUNCTION("if(REGEXMATCH(join("", "",$F852:$G852),K$1)=TRUE,""✓"",""✗"")"),"✗")</f>
        <v>✗</v>
      </c>
      <c r="L852" s="23" t="str">
        <f>IFERROR(__xludf.DUMMYFUNCTION("if(REGEXMATCH(join("", "",$F852:$G852),L$1)=TRUE,""✓"",""✗"")"),"✗")</f>
        <v>✗</v>
      </c>
      <c r="M852" s="23" t="str">
        <f>IFERROR(__xludf.DUMMYFUNCTION("if(REGEXMATCH(join("", "",$F852:$G852),M$1)=TRUE,""✓"",""✗"")"),"✗")</f>
        <v>✗</v>
      </c>
      <c r="N852" s="23" t="str">
        <f>IFERROR(__xludf.DUMMYFUNCTION("if(REGEXMATCH(join("", "",$F852:$G852),N$1)=TRUE,""✓"",""✗"")"),"✗")</f>
        <v>✗</v>
      </c>
      <c r="O852" s="23" t="str">
        <f>IFERROR(__xludf.DUMMYFUNCTION("if(REGEXMATCH(join("", "",$F852:$G852),O$1)=TRUE,""✓"",""✗"")"),"✗")</f>
        <v>✗</v>
      </c>
      <c r="P852" s="23" t="str">
        <f>IFERROR(__xludf.DUMMYFUNCTION("if(REGEXMATCH(join("", "",$F852:$G852),P$1)=TRUE,""✓"",""✗"")"),"✗")</f>
        <v>✗</v>
      </c>
      <c r="Q852" s="23" t="str">
        <f>IFERROR(__xludf.DUMMYFUNCTION("if(REGEXMATCH(join("", "",$F852:$G852),Q$1)=TRUE,""✓"",""✗"")"),"✗")</f>
        <v>✗</v>
      </c>
      <c r="R852" s="23" t="str">
        <f>IFERROR(__xludf.DUMMYFUNCTION("if(REGEXMATCH(join("", "",$F852:$G852),R$1)=TRUE,""✓"",""✗"")"),"✗")</f>
        <v>✗</v>
      </c>
      <c r="S852" s="23" t="str">
        <f>IFERROR(__xludf.DUMMYFUNCTION("if(REGEXMATCH(join("", "",$F852:$G852),S$1)=TRUE,""✓"",""✗"")"),"✗")</f>
        <v>✗</v>
      </c>
      <c r="T852" s="23" t="str">
        <f>IFERROR(__xludf.DUMMYFUNCTION("if(REGEXMATCH(join("", "",$F852:$G852),T$1)=TRUE,""✓"",""✗"")"),"✗")</f>
        <v>✗</v>
      </c>
      <c r="U852" s="33"/>
      <c r="V852" s="33"/>
      <c r="W852" s="33"/>
      <c r="X852" s="33"/>
      <c r="Y852" s="33"/>
      <c r="Z852" s="33"/>
      <c r="AA852" s="33"/>
      <c r="AB852" s="33"/>
      <c r="AC852" s="33"/>
    </row>
    <row r="853" hidden="1">
      <c r="A853" s="17" t="s">
        <v>302</v>
      </c>
      <c r="B853" s="33"/>
      <c r="C853" s="33"/>
      <c r="D853" s="33"/>
      <c r="E853" s="33"/>
      <c r="F853" s="33"/>
      <c r="G853" s="33"/>
      <c r="H853" s="23" t="str">
        <f>IFERROR(__xludf.DUMMYFUNCTION("if(REGEXMATCH(join("", "",$F853:$G853),H$1)=TRUE,""✓"",""✗"")"),"✗")</f>
        <v>✗</v>
      </c>
      <c r="I853" s="23" t="str">
        <f>IFERROR(__xludf.DUMMYFUNCTION("if(REGEXMATCH(join("", "",$F853:$G853),I$1)=TRUE,""✓"",""✗"")"),"✗")</f>
        <v>✗</v>
      </c>
      <c r="J853" s="23" t="str">
        <f>IFERROR(__xludf.DUMMYFUNCTION("if(REGEXMATCH(join("", "",$F853:$G853),J$1)=TRUE,""✓"",""✗"")"),"✗")</f>
        <v>✗</v>
      </c>
      <c r="K853" s="23" t="str">
        <f>IFERROR(__xludf.DUMMYFUNCTION("if(REGEXMATCH(join("", "",$F853:$G853),K$1)=TRUE,""✓"",""✗"")"),"✗")</f>
        <v>✗</v>
      </c>
      <c r="L853" s="23" t="str">
        <f>IFERROR(__xludf.DUMMYFUNCTION("if(REGEXMATCH(join("", "",$F853:$G853),L$1)=TRUE,""✓"",""✗"")"),"✗")</f>
        <v>✗</v>
      </c>
      <c r="M853" s="23" t="str">
        <f>IFERROR(__xludf.DUMMYFUNCTION("if(REGEXMATCH(join("", "",$F853:$G853),M$1)=TRUE,""✓"",""✗"")"),"✗")</f>
        <v>✗</v>
      </c>
      <c r="N853" s="23" t="str">
        <f>IFERROR(__xludf.DUMMYFUNCTION("if(REGEXMATCH(join("", "",$F853:$G853),N$1)=TRUE,""✓"",""✗"")"),"✗")</f>
        <v>✗</v>
      </c>
      <c r="O853" s="23" t="str">
        <f>IFERROR(__xludf.DUMMYFUNCTION("if(REGEXMATCH(join("", "",$F853:$G853),O$1)=TRUE,""✓"",""✗"")"),"✗")</f>
        <v>✗</v>
      </c>
      <c r="P853" s="23" t="str">
        <f>IFERROR(__xludf.DUMMYFUNCTION("if(REGEXMATCH(join("", "",$F853:$G853),P$1)=TRUE,""✓"",""✗"")"),"✗")</f>
        <v>✗</v>
      </c>
      <c r="Q853" s="23" t="str">
        <f>IFERROR(__xludf.DUMMYFUNCTION("if(REGEXMATCH(join("", "",$F853:$G853),Q$1)=TRUE,""✓"",""✗"")"),"✗")</f>
        <v>✗</v>
      </c>
      <c r="R853" s="23" t="str">
        <f>IFERROR(__xludf.DUMMYFUNCTION("if(REGEXMATCH(join("", "",$F853:$G853),R$1)=TRUE,""✓"",""✗"")"),"✗")</f>
        <v>✗</v>
      </c>
      <c r="S853" s="23" t="str">
        <f>IFERROR(__xludf.DUMMYFUNCTION("if(REGEXMATCH(join("", "",$F853:$G853),S$1)=TRUE,""✓"",""✗"")"),"✗")</f>
        <v>✗</v>
      </c>
      <c r="T853" s="23" t="str">
        <f>IFERROR(__xludf.DUMMYFUNCTION("if(REGEXMATCH(join("", "",$F853:$G853),T$1)=TRUE,""✓"",""✗"")"),"✗")</f>
        <v>✗</v>
      </c>
      <c r="U853" s="33"/>
      <c r="V853" s="33"/>
      <c r="W853" s="33"/>
      <c r="X853" s="33"/>
      <c r="Y853" s="33"/>
      <c r="Z853" s="33"/>
      <c r="AA853" s="33"/>
      <c r="AB853" s="33"/>
      <c r="AC853" s="33"/>
    </row>
    <row r="854" hidden="1">
      <c r="A854" s="17" t="s">
        <v>302</v>
      </c>
      <c r="B854" s="33"/>
      <c r="C854" s="33"/>
      <c r="D854" s="33"/>
      <c r="E854" s="33"/>
      <c r="F854" s="33"/>
      <c r="G854" s="33"/>
      <c r="H854" s="23" t="str">
        <f>IFERROR(__xludf.DUMMYFUNCTION("if(REGEXMATCH(join("", "",$F854:$G854),H$1)=TRUE,""✓"",""✗"")"),"✗")</f>
        <v>✗</v>
      </c>
      <c r="I854" s="23" t="str">
        <f>IFERROR(__xludf.DUMMYFUNCTION("if(REGEXMATCH(join("", "",$F854:$G854),I$1)=TRUE,""✓"",""✗"")"),"✗")</f>
        <v>✗</v>
      </c>
      <c r="J854" s="23" t="str">
        <f>IFERROR(__xludf.DUMMYFUNCTION("if(REGEXMATCH(join("", "",$F854:$G854),J$1)=TRUE,""✓"",""✗"")"),"✗")</f>
        <v>✗</v>
      </c>
      <c r="K854" s="23" t="str">
        <f>IFERROR(__xludf.DUMMYFUNCTION("if(REGEXMATCH(join("", "",$F854:$G854),K$1)=TRUE,""✓"",""✗"")"),"✗")</f>
        <v>✗</v>
      </c>
      <c r="L854" s="23" t="str">
        <f>IFERROR(__xludf.DUMMYFUNCTION("if(REGEXMATCH(join("", "",$F854:$G854),L$1)=TRUE,""✓"",""✗"")"),"✗")</f>
        <v>✗</v>
      </c>
      <c r="M854" s="23" t="str">
        <f>IFERROR(__xludf.DUMMYFUNCTION("if(REGEXMATCH(join("", "",$F854:$G854),M$1)=TRUE,""✓"",""✗"")"),"✗")</f>
        <v>✗</v>
      </c>
      <c r="N854" s="23" t="str">
        <f>IFERROR(__xludf.DUMMYFUNCTION("if(REGEXMATCH(join("", "",$F854:$G854),N$1)=TRUE,""✓"",""✗"")"),"✗")</f>
        <v>✗</v>
      </c>
      <c r="O854" s="23" t="str">
        <f>IFERROR(__xludf.DUMMYFUNCTION("if(REGEXMATCH(join("", "",$F854:$G854),O$1)=TRUE,""✓"",""✗"")"),"✗")</f>
        <v>✗</v>
      </c>
      <c r="P854" s="23" t="str">
        <f>IFERROR(__xludf.DUMMYFUNCTION("if(REGEXMATCH(join("", "",$F854:$G854),P$1)=TRUE,""✓"",""✗"")"),"✗")</f>
        <v>✗</v>
      </c>
      <c r="Q854" s="23" t="str">
        <f>IFERROR(__xludf.DUMMYFUNCTION("if(REGEXMATCH(join("", "",$F854:$G854),Q$1)=TRUE,""✓"",""✗"")"),"✗")</f>
        <v>✗</v>
      </c>
      <c r="R854" s="23" t="str">
        <f>IFERROR(__xludf.DUMMYFUNCTION("if(REGEXMATCH(join("", "",$F854:$G854),R$1)=TRUE,""✓"",""✗"")"),"✗")</f>
        <v>✗</v>
      </c>
      <c r="S854" s="23" t="str">
        <f>IFERROR(__xludf.DUMMYFUNCTION("if(REGEXMATCH(join("", "",$F854:$G854),S$1)=TRUE,""✓"",""✗"")"),"✗")</f>
        <v>✗</v>
      </c>
      <c r="T854" s="23" t="str">
        <f>IFERROR(__xludf.DUMMYFUNCTION("if(REGEXMATCH(join("", "",$F854:$G854),T$1)=TRUE,""✓"",""✗"")"),"✗")</f>
        <v>✗</v>
      </c>
      <c r="U854" s="33"/>
      <c r="V854" s="33"/>
      <c r="W854" s="33"/>
      <c r="X854" s="33"/>
      <c r="Y854" s="33"/>
      <c r="Z854" s="33"/>
      <c r="AA854" s="33"/>
      <c r="AB854" s="33"/>
      <c r="AC854" s="33"/>
    </row>
    <row r="855" hidden="1">
      <c r="A855" s="17" t="s">
        <v>302</v>
      </c>
      <c r="B855" s="33"/>
      <c r="C855" s="33"/>
      <c r="D855" s="33"/>
      <c r="E855" s="33"/>
      <c r="F855" s="33"/>
      <c r="G855" s="33"/>
      <c r="H855" s="23" t="str">
        <f>IFERROR(__xludf.DUMMYFUNCTION("if(REGEXMATCH(join("", "",$F855:$G855),H$1)=TRUE,""✓"",""✗"")"),"✗")</f>
        <v>✗</v>
      </c>
      <c r="I855" s="23" t="str">
        <f>IFERROR(__xludf.DUMMYFUNCTION("if(REGEXMATCH(join("", "",$F855:$G855),I$1)=TRUE,""✓"",""✗"")"),"✗")</f>
        <v>✗</v>
      </c>
      <c r="J855" s="23" t="str">
        <f>IFERROR(__xludf.DUMMYFUNCTION("if(REGEXMATCH(join("", "",$F855:$G855),J$1)=TRUE,""✓"",""✗"")"),"✗")</f>
        <v>✗</v>
      </c>
      <c r="K855" s="23" t="str">
        <f>IFERROR(__xludf.DUMMYFUNCTION("if(REGEXMATCH(join("", "",$F855:$G855),K$1)=TRUE,""✓"",""✗"")"),"✗")</f>
        <v>✗</v>
      </c>
      <c r="L855" s="23" t="str">
        <f>IFERROR(__xludf.DUMMYFUNCTION("if(REGEXMATCH(join("", "",$F855:$G855),L$1)=TRUE,""✓"",""✗"")"),"✗")</f>
        <v>✗</v>
      </c>
      <c r="M855" s="23" t="str">
        <f>IFERROR(__xludf.DUMMYFUNCTION("if(REGEXMATCH(join("", "",$F855:$G855),M$1)=TRUE,""✓"",""✗"")"),"✗")</f>
        <v>✗</v>
      </c>
      <c r="N855" s="23" t="str">
        <f>IFERROR(__xludf.DUMMYFUNCTION("if(REGEXMATCH(join("", "",$F855:$G855),N$1)=TRUE,""✓"",""✗"")"),"✗")</f>
        <v>✗</v>
      </c>
      <c r="O855" s="23" t="str">
        <f>IFERROR(__xludf.DUMMYFUNCTION("if(REGEXMATCH(join("", "",$F855:$G855),O$1)=TRUE,""✓"",""✗"")"),"✗")</f>
        <v>✗</v>
      </c>
      <c r="P855" s="23" t="str">
        <f>IFERROR(__xludf.DUMMYFUNCTION("if(REGEXMATCH(join("", "",$F855:$G855),P$1)=TRUE,""✓"",""✗"")"),"✗")</f>
        <v>✗</v>
      </c>
      <c r="Q855" s="23" t="str">
        <f>IFERROR(__xludf.DUMMYFUNCTION("if(REGEXMATCH(join("", "",$F855:$G855),Q$1)=TRUE,""✓"",""✗"")"),"✗")</f>
        <v>✗</v>
      </c>
      <c r="R855" s="23" t="str">
        <f>IFERROR(__xludf.DUMMYFUNCTION("if(REGEXMATCH(join("", "",$F855:$G855),R$1)=TRUE,""✓"",""✗"")"),"✗")</f>
        <v>✗</v>
      </c>
      <c r="S855" s="23" t="str">
        <f>IFERROR(__xludf.DUMMYFUNCTION("if(REGEXMATCH(join("", "",$F855:$G855),S$1)=TRUE,""✓"",""✗"")"),"✗")</f>
        <v>✗</v>
      </c>
      <c r="T855" s="23" t="str">
        <f>IFERROR(__xludf.DUMMYFUNCTION("if(REGEXMATCH(join("", "",$F855:$G855),T$1)=TRUE,""✓"",""✗"")"),"✗")</f>
        <v>✗</v>
      </c>
      <c r="U855" s="33"/>
      <c r="V855" s="33"/>
      <c r="W855" s="33"/>
      <c r="X855" s="33"/>
      <c r="Y855" s="33"/>
      <c r="Z855" s="33"/>
      <c r="AA855" s="33"/>
      <c r="AB855" s="33"/>
      <c r="AC855" s="33"/>
    </row>
    <row r="856" hidden="1">
      <c r="A856" s="17" t="s">
        <v>302</v>
      </c>
      <c r="B856" s="33"/>
      <c r="C856" s="33"/>
      <c r="D856" s="33"/>
      <c r="E856" s="33"/>
      <c r="F856" s="33"/>
      <c r="G856" s="33"/>
      <c r="H856" s="23" t="str">
        <f>IFERROR(__xludf.DUMMYFUNCTION("if(REGEXMATCH(join("", "",$F856:$G856),H$1)=TRUE,""✓"",""✗"")"),"✗")</f>
        <v>✗</v>
      </c>
      <c r="I856" s="23" t="str">
        <f>IFERROR(__xludf.DUMMYFUNCTION("if(REGEXMATCH(join("", "",$F856:$G856),I$1)=TRUE,""✓"",""✗"")"),"✗")</f>
        <v>✗</v>
      </c>
      <c r="J856" s="23" t="str">
        <f>IFERROR(__xludf.DUMMYFUNCTION("if(REGEXMATCH(join("", "",$F856:$G856),J$1)=TRUE,""✓"",""✗"")"),"✗")</f>
        <v>✗</v>
      </c>
      <c r="K856" s="23" t="str">
        <f>IFERROR(__xludf.DUMMYFUNCTION("if(REGEXMATCH(join("", "",$F856:$G856),K$1)=TRUE,""✓"",""✗"")"),"✗")</f>
        <v>✗</v>
      </c>
      <c r="L856" s="23" t="str">
        <f>IFERROR(__xludf.DUMMYFUNCTION("if(REGEXMATCH(join("", "",$F856:$G856),L$1)=TRUE,""✓"",""✗"")"),"✗")</f>
        <v>✗</v>
      </c>
      <c r="M856" s="23" t="str">
        <f>IFERROR(__xludf.DUMMYFUNCTION("if(REGEXMATCH(join("", "",$F856:$G856),M$1)=TRUE,""✓"",""✗"")"),"✗")</f>
        <v>✗</v>
      </c>
      <c r="N856" s="23" t="str">
        <f>IFERROR(__xludf.DUMMYFUNCTION("if(REGEXMATCH(join("", "",$F856:$G856),N$1)=TRUE,""✓"",""✗"")"),"✗")</f>
        <v>✗</v>
      </c>
      <c r="O856" s="23" t="str">
        <f>IFERROR(__xludf.DUMMYFUNCTION("if(REGEXMATCH(join("", "",$F856:$G856),O$1)=TRUE,""✓"",""✗"")"),"✗")</f>
        <v>✗</v>
      </c>
      <c r="P856" s="23" t="str">
        <f>IFERROR(__xludf.DUMMYFUNCTION("if(REGEXMATCH(join("", "",$F856:$G856),P$1)=TRUE,""✓"",""✗"")"),"✗")</f>
        <v>✗</v>
      </c>
      <c r="Q856" s="23" t="str">
        <f>IFERROR(__xludf.DUMMYFUNCTION("if(REGEXMATCH(join("", "",$F856:$G856),Q$1)=TRUE,""✓"",""✗"")"),"✗")</f>
        <v>✗</v>
      </c>
      <c r="R856" s="23" t="str">
        <f>IFERROR(__xludf.DUMMYFUNCTION("if(REGEXMATCH(join("", "",$F856:$G856),R$1)=TRUE,""✓"",""✗"")"),"✗")</f>
        <v>✗</v>
      </c>
      <c r="S856" s="23" t="str">
        <f>IFERROR(__xludf.DUMMYFUNCTION("if(REGEXMATCH(join("", "",$F856:$G856),S$1)=TRUE,""✓"",""✗"")"),"✗")</f>
        <v>✗</v>
      </c>
      <c r="T856" s="23" t="str">
        <f>IFERROR(__xludf.DUMMYFUNCTION("if(REGEXMATCH(join("", "",$F856:$G856),T$1)=TRUE,""✓"",""✗"")"),"✗")</f>
        <v>✗</v>
      </c>
      <c r="U856" s="33"/>
      <c r="V856" s="33"/>
      <c r="W856" s="33"/>
      <c r="X856" s="33"/>
      <c r="Y856" s="33"/>
      <c r="Z856" s="33"/>
      <c r="AA856" s="33"/>
      <c r="AB856" s="33"/>
      <c r="AC856" s="33"/>
    </row>
    <row r="857" hidden="1">
      <c r="A857" s="17" t="s">
        <v>302</v>
      </c>
      <c r="B857" s="33"/>
      <c r="C857" s="33"/>
      <c r="D857" s="33"/>
      <c r="E857" s="33"/>
      <c r="F857" s="33"/>
      <c r="G857" s="33"/>
      <c r="H857" s="23" t="str">
        <f>IFERROR(__xludf.DUMMYFUNCTION("if(REGEXMATCH(join("", "",$F857:$G857),H$1)=TRUE,""✓"",""✗"")"),"✗")</f>
        <v>✗</v>
      </c>
      <c r="I857" s="23" t="str">
        <f>IFERROR(__xludf.DUMMYFUNCTION("if(REGEXMATCH(join("", "",$F857:$G857),I$1)=TRUE,""✓"",""✗"")"),"✗")</f>
        <v>✗</v>
      </c>
      <c r="J857" s="23" t="str">
        <f>IFERROR(__xludf.DUMMYFUNCTION("if(REGEXMATCH(join("", "",$F857:$G857),J$1)=TRUE,""✓"",""✗"")"),"✗")</f>
        <v>✗</v>
      </c>
      <c r="K857" s="23" t="str">
        <f>IFERROR(__xludf.DUMMYFUNCTION("if(REGEXMATCH(join("", "",$F857:$G857),K$1)=TRUE,""✓"",""✗"")"),"✗")</f>
        <v>✗</v>
      </c>
      <c r="L857" s="23" t="str">
        <f>IFERROR(__xludf.DUMMYFUNCTION("if(REGEXMATCH(join("", "",$F857:$G857),L$1)=TRUE,""✓"",""✗"")"),"✗")</f>
        <v>✗</v>
      </c>
      <c r="M857" s="23" t="str">
        <f>IFERROR(__xludf.DUMMYFUNCTION("if(REGEXMATCH(join("", "",$F857:$G857),M$1)=TRUE,""✓"",""✗"")"),"✗")</f>
        <v>✗</v>
      </c>
      <c r="N857" s="23" t="str">
        <f>IFERROR(__xludf.DUMMYFUNCTION("if(REGEXMATCH(join("", "",$F857:$G857),N$1)=TRUE,""✓"",""✗"")"),"✗")</f>
        <v>✗</v>
      </c>
      <c r="O857" s="23" t="str">
        <f>IFERROR(__xludf.DUMMYFUNCTION("if(REGEXMATCH(join("", "",$F857:$G857),O$1)=TRUE,""✓"",""✗"")"),"✗")</f>
        <v>✗</v>
      </c>
      <c r="P857" s="23" t="str">
        <f>IFERROR(__xludf.DUMMYFUNCTION("if(REGEXMATCH(join("", "",$F857:$G857),P$1)=TRUE,""✓"",""✗"")"),"✗")</f>
        <v>✗</v>
      </c>
      <c r="Q857" s="23" t="str">
        <f>IFERROR(__xludf.DUMMYFUNCTION("if(REGEXMATCH(join("", "",$F857:$G857),Q$1)=TRUE,""✓"",""✗"")"),"✗")</f>
        <v>✗</v>
      </c>
      <c r="R857" s="23" t="str">
        <f>IFERROR(__xludf.DUMMYFUNCTION("if(REGEXMATCH(join("", "",$F857:$G857),R$1)=TRUE,""✓"",""✗"")"),"✗")</f>
        <v>✗</v>
      </c>
      <c r="S857" s="23" t="str">
        <f>IFERROR(__xludf.DUMMYFUNCTION("if(REGEXMATCH(join("", "",$F857:$G857),S$1)=TRUE,""✓"",""✗"")"),"✗")</f>
        <v>✗</v>
      </c>
      <c r="T857" s="23" t="str">
        <f>IFERROR(__xludf.DUMMYFUNCTION("if(REGEXMATCH(join("", "",$F857:$G857),T$1)=TRUE,""✓"",""✗"")"),"✗")</f>
        <v>✗</v>
      </c>
      <c r="U857" s="33"/>
      <c r="V857" s="33"/>
      <c r="W857" s="33"/>
      <c r="X857" s="33"/>
      <c r="Y857" s="33"/>
      <c r="Z857" s="33"/>
      <c r="AA857" s="33"/>
      <c r="AB857" s="33"/>
      <c r="AC857" s="33"/>
    </row>
    <row r="858" hidden="1">
      <c r="A858" s="17" t="s">
        <v>302</v>
      </c>
      <c r="B858" s="33"/>
      <c r="C858" s="33"/>
      <c r="D858" s="33"/>
      <c r="E858" s="33"/>
      <c r="F858" s="33"/>
      <c r="G858" s="33"/>
      <c r="H858" s="23" t="str">
        <f>IFERROR(__xludf.DUMMYFUNCTION("if(REGEXMATCH(join("", "",$F858:$G858),H$1)=TRUE,""✓"",""✗"")"),"✗")</f>
        <v>✗</v>
      </c>
      <c r="I858" s="23" t="str">
        <f>IFERROR(__xludf.DUMMYFUNCTION("if(REGEXMATCH(join("", "",$F858:$G858),I$1)=TRUE,""✓"",""✗"")"),"✗")</f>
        <v>✗</v>
      </c>
      <c r="J858" s="23" t="str">
        <f>IFERROR(__xludf.DUMMYFUNCTION("if(REGEXMATCH(join("", "",$F858:$G858),J$1)=TRUE,""✓"",""✗"")"),"✗")</f>
        <v>✗</v>
      </c>
      <c r="K858" s="23" t="str">
        <f>IFERROR(__xludf.DUMMYFUNCTION("if(REGEXMATCH(join("", "",$F858:$G858),K$1)=TRUE,""✓"",""✗"")"),"✗")</f>
        <v>✗</v>
      </c>
      <c r="L858" s="23" t="str">
        <f>IFERROR(__xludf.DUMMYFUNCTION("if(REGEXMATCH(join("", "",$F858:$G858),L$1)=TRUE,""✓"",""✗"")"),"✗")</f>
        <v>✗</v>
      </c>
      <c r="M858" s="23" t="str">
        <f>IFERROR(__xludf.DUMMYFUNCTION("if(REGEXMATCH(join("", "",$F858:$G858),M$1)=TRUE,""✓"",""✗"")"),"✗")</f>
        <v>✗</v>
      </c>
      <c r="N858" s="23" t="str">
        <f>IFERROR(__xludf.DUMMYFUNCTION("if(REGEXMATCH(join("", "",$F858:$G858),N$1)=TRUE,""✓"",""✗"")"),"✗")</f>
        <v>✗</v>
      </c>
      <c r="O858" s="23" t="str">
        <f>IFERROR(__xludf.DUMMYFUNCTION("if(REGEXMATCH(join("", "",$F858:$G858),O$1)=TRUE,""✓"",""✗"")"),"✗")</f>
        <v>✗</v>
      </c>
      <c r="P858" s="23" t="str">
        <f>IFERROR(__xludf.DUMMYFUNCTION("if(REGEXMATCH(join("", "",$F858:$G858),P$1)=TRUE,""✓"",""✗"")"),"✗")</f>
        <v>✗</v>
      </c>
      <c r="Q858" s="23" t="str">
        <f>IFERROR(__xludf.DUMMYFUNCTION("if(REGEXMATCH(join("", "",$F858:$G858),Q$1)=TRUE,""✓"",""✗"")"),"✗")</f>
        <v>✗</v>
      </c>
      <c r="R858" s="23" t="str">
        <f>IFERROR(__xludf.DUMMYFUNCTION("if(REGEXMATCH(join("", "",$F858:$G858),R$1)=TRUE,""✓"",""✗"")"),"✗")</f>
        <v>✗</v>
      </c>
      <c r="S858" s="23" t="str">
        <f>IFERROR(__xludf.DUMMYFUNCTION("if(REGEXMATCH(join("", "",$F858:$G858),S$1)=TRUE,""✓"",""✗"")"),"✗")</f>
        <v>✗</v>
      </c>
      <c r="T858" s="23" t="str">
        <f>IFERROR(__xludf.DUMMYFUNCTION("if(REGEXMATCH(join("", "",$F858:$G858),T$1)=TRUE,""✓"",""✗"")"),"✗")</f>
        <v>✗</v>
      </c>
      <c r="U858" s="33"/>
      <c r="V858" s="33"/>
      <c r="W858" s="33"/>
      <c r="X858" s="33"/>
      <c r="Y858" s="33"/>
      <c r="Z858" s="33"/>
      <c r="AA858" s="33"/>
      <c r="AB858" s="33"/>
      <c r="AC858" s="33"/>
    </row>
    <row r="859" hidden="1">
      <c r="A859" s="17" t="s">
        <v>302</v>
      </c>
      <c r="B859" s="33"/>
      <c r="C859" s="33"/>
      <c r="D859" s="33"/>
      <c r="E859" s="33"/>
      <c r="F859" s="33"/>
      <c r="G859" s="33"/>
      <c r="H859" s="23" t="str">
        <f>IFERROR(__xludf.DUMMYFUNCTION("if(REGEXMATCH(join("", "",$F859:$G859),H$1)=TRUE,""✓"",""✗"")"),"✗")</f>
        <v>✗</v>
      </c>
      <c r="I859" s="23" t="str">
        <f>IFERROR(__xludf.DUMMYFUNCTION("if(REGEXMATCH(join("", "",$F859:$G859),I$1)=TRUE,""✓"",""✗"")"),"✗")</f>
        <v>✗</v>
      </c>
      <c r="J859" s="23" t="str">
        <f>IFERROR(__xludf.DUMMYFUNCTION("if(REGEXMATCH(join("", "",$F859:$G859),J$1)=TRUE,""✓"",""✗"")"),"✗")</f>
        <v>✗</v>
      </c>
      <c r="K859" s="23" t="str">
        <f>IFERROR(__xludf.DUMMYFUNCTION("if(REGEXMATCH(join("", "",$F859:$G859),K$1)=TRUE,""✓"",""✗"")"),"✗")</f>
        <v>✗</v>
      </c>
      <c r="L859" s="23" t="str">
        <f>IFERROR(__xludf.DUMMYFUNCTION("if(REGEXMATCH(join("", "",$F859:$G859),L$1)=TRUE,""✓"",""✗"")"),"✗")</f>
        <v>✗</v>
      </c>
      <c r="M859" s="23" t="str">
        <f>IFERROR(__xludf.DUMMYFUNCTION("if(REGEXMATCH(join("", "",$F859:$G859),M$1)=TRUE,""✓"",""✗"")"),"✗")</f>
        <v>✗</v>
      </c>
      <c r="N859" s="23" t="str">
        <f>IFERROR(__xludf.DUMMYFUNCTION("if(REGEXMATCH(join("", "",$F859:$G859),N$1)=TRUE,""✓"",""✗"")"),"✗")</f>
        <v>✗</v>
      </c>
      <c r="O859" s="23" t="str">
        <f>IFERROR(__xludf.DUMMYFUNCTION("if(REGEXMATCH(join("", "",$F859:$G859),O$1)=TRUE,""✓"",""✗"")"),"✗")</f>
        <v>✗</v>
      </c>
      <c r="P859" s="23" t="str">
        <f>IFERROR(__xludf.DUMMYFUNCTION("if(REGEXMATCH(join("", "",$F859:$G859),P$1)=TRUE,""✓"",""✗"")"),"✗")</f>
        <v>✗</v>
      </c>
      <c r="Q859" s="23" t="str">
        <f>IFERROR(__xludf.DUMMYFUNCTION("if(REGEXMATCH(join("", "",$F859:$G859),Q$1)=TRUE,""✓"",""✗"")"),"✗")</f>
        <v>✗</v>
      </c>
      <c r="R859" s="23" t="str">
        <f>IFERROR(__xludf.DUMMYFUNCTION("if(REGEXMATCH(join("", "",$F859:$G859),R$1)=TRUE,""✓"",""✗"")"),"✗")</f>
        <v>✗</v>
      </c>
      <c r="S859" s="23" t="str">
        <f>IFERROR(__xludf.DUMMYFUNCTION("if(REGEXMATCH(join("", "",$F859:$G859),S$1)=TRUE,""✓"",""✗"")"),"✗")</f>
        <v>✗</v>
      </c>
      <c r="T859" s="23" t="str">
        <f>IFERROR(__xludf.DUMMYFUNCTION("if(REGEXMATCH(join("", "",$F859:$G859),T$1)=TRUE,""✓"",""✗"")"),"✗")</f>
        <v>✗</v>
      </c>
      <c r="U859" s="33"/>
      <c r="V859" s="33"/>
      <c r="W859" s="33"/>
      <c r="X859" s="33"/>
      <c r="Y859" s="33"/>
      <c r="Z859" s="33"/>
      <c r="AA859" s="33"/>
      <c r="AB859" s="33"/>
      <c r="AC859" s="33"/>
    </row>
    <row r="860" hidden="1">
      <c r="A860" s="17" t="s">
        <v>302</v>
      </c>
      <c r="B860" s="33"/>
      <c r="C860" s="33"/>
      <c r="D860" s="33"/>
      <c r="E860" s="33"/>
      <c r="F860" s="33"/>
      <c r="G860" s="33"/>
      <c r="H860" s="23" t="str">
        <f>IFERROR(__xludf.DUMMYFUNCTION("if(REGEXMATCH(join("", "",$F860:$G860),H$1)=TRUE,""✓"",""✗"")"),"✗")</f>
        <v>✗</v>
      </c>
      <c r="I860" s="23" t="str">
        <f>IFERROR(__xludf.DUMMYFUNCTION("if(REGEXMATCH(join("", "",$F860:$G860),I$1)=TRUE,""✓"",""✗"")"),"✗")</f>
        <v>✗</v>
      </c>
      <c r="J860" s="23" t="str">
        <f>IFERROR(__xludf.DUMMYFUNCTION("if(REGEXMATCH(join("", "",$F860:$G860),J$1)=TRUE,""✓"",""✗"")"),"✗")</f>
        <v>✗</v>
      </c>
      <c r="K860" s="23" t="str">
        <f>IFERROR(__xludf.DUMMYFUNCTION("if(REGEXMATCH(join("", "",$F860:$G860),K$1)=TRUE,""✓"",""✗"")"),"✗")</f>
        <v>✗</v>
      </c>
      <c r="L860" s="23" t="str">
        <f>IFERROR(__xludf.DUMMYFUNCTION("if(REGEXMATCH(join("", "",$F860:$G860),L$1)=TRUE,""✓"",""✗"")"),"✗")</f>
        <v>✗</v>
      </c>
      <c r="M860" s="23" t="str">
        <f>IFERROR(__xludf.DUMMYFUNCTION("if(REGEXMATCH(join("", "",$F860:$G860),M$1)=TRUE,""✓"",""✗"")"),"✗")</f>
        <v>✗</v>
      </c>
      <c r="N860" s="23" t="str">
        <f>IFERROR(__xludf.DUMMYFUNCTION("if(REGEXMATCH(join("", "",$F860:$G860),N$1)=TRUE,""✓"",""✗"")"),"✗")</f>
        <v>✗</v>
      </c>
      <c r="O860" s="23" t="str">
        <f>IFERROR(__xludf.DUMMYFUNCTION("if(REGEXMATCH(join("", "",$F860:$G860),O$1)=TRUE,""✓"",""✗"")"),"✗")</f>
        <v>✗</v>
      </c>
      <c r="P860" s="23" t="str">
        <f>IFERROR(__xludf.DUMMYFUNCTION("if(REGEXMATCH(join("", "",$F860:$G860),P$1)=TRUE,""✓"",""✗"")"),"✗")</f>
        <v>✗</v>
      </c>
      <c r="Q860" s="23" t="str">
        <f>IFERROR(__xludf.DUMMYFUNCTION("if(REGEXMATCH(join("", "",$F860:$G860),Q$1)=TRUE,""✓"",""✗"")"),"✗")</f>
        <v>✗</v>
      </c>
      <c r="R860" s="23" t="str">
        <f>IFERROR(__xludf.DUMMYFUNCTION("if(REGEXMATCH(join("", "",$F860:$G860),R$1)=TRUE,""✓"",""✗"")"),"✗")</f>
        <v>✗</v>
      </c>
      <c r="S860" s="23" t="str">
        <f>IFERROR(__xludf.DUMMYFUNCTION("if(REGEXMATCH(join("", "",$F860:$G860),S$1)=TRUE,""✓"",""✗"")"),"✗")</f>
        <v>✗</v>
      </c>
      <c r="T860" s="23" t="str">
        <f>IFERROR(__xludf.DUMMYFUNCTION("if(REGEXMATCH(join("", "",$F860:$G860),T$1)=TRUE,""✓"",""✗"")"),"✗")</f>
        <v>✗</v>
      </c>
      <c r="U860" s="33"/>
      <c r="V860" s="33"/>
      <c r="W860" s="33"/>
      <c r="X860" s="33"/>
      <c r="Y860" s="33"/>
      <c r="Z860" s="33"/>
      <c r="AA860" s="33"/>
      <c r="AB860" s="33"/>
      <c r="AC860" s="33"/>
    </row>
    <row r="861" hidden="1">
      <c r="A861" s="17" t="s">
        <v>302</v>
      </c>
      <c r="B861" s="33"/>
      <c r="C861" s="33"/>
      <c r="D861" s="33"/>
      <c r="E861" s="33"/>
      <c r="F861" s="33"/>
      <c r="G861" s="33"/>
      <c r="H861" s="23" t="str">
        <f>IFERROR(__xludf.DUMMYFUNCTION("if(REGEXMATCH(join("", "",$F861:$G861),H$1)=TRUE,""✓"",""✗"")"),"✗")</f>
        <v>✗</v>
      </c>
      <c r="I861" s="23" t="str">
        <f>IFERROR(__xludf.DUMMYFUNCTION("if(REGEXMATCH(join("", "",$F861:$G861),I$1)=TRUE,""✓"",""✗"")"),"✗")</f>
        <v>✗</v>
      </c>
      <c r="J861" s="23" t="str">
        <f>IFERROR(__xludf.DUMMYFUNCTION("if(REGEXMATCH(join("", "",$F861:$G861),J$1)=TRUE,""✓"",""✗"")"),"✗")</f>
        <v>✗</v>
      </c>
      <c r="K861" s="23" t="str">
        <f>IFERROR(__xludf.DUMMYFUNCTION("if(REGEXMATCH(join("", "",$F861:$G861),K$1)=TRUE,""✓"",""✗"")"),"✗")</f>
        <v>✗</v>
      </c>
      <c r="L861" s="23" t="str">
        <f>IFERROR(__xludf.DUMMYFUNCTION("if(REGEXMATCH(join("", "",$F861:$G861),L$1)=TRUE,""✓"",""✗"")"),"✗")</f>
        <v>✗</v>
      </c>
      <c r="M861" s="23" t="str">
        <f>IFERROR(__xludf.DUMMYFUNCTION("if(REGEXMATCH(join("", "",$F861:$G861),M$1)=TRUE,""✓"",""✗"")"),"✗")</f>
        <v>✗</v>
      </c>
      <c r="N861" s="23" t="str">
        <f>IFERROR(__xludf.DUMMYFUNCTION("if(REGEXMATCH(join("", "",$F861:$G861),N$1)=TRUE,""✓"",""✗"")"),"✗")</f>
        <v>✗</v>
      </c>
      <c r="O861" s="23" t="str">
        <f>IFERROR(__xludf.DUMMYFUNCTION("if(REGEXMATCH(join("", "",$F861:$G861),O$1)=TRUE,""✓"",""✗"")"),"✗")</f>
        <v>✗</v>
      </c>
      <c r="P861" s="23" t="str">
        <f>IFERROR(__xludf.DUMMYFUNCTION("if(REGEXMATCH(join("", "",$F861:$G861),P$1)=TRUE,""✓"",""✗"")"),"✗")</f>
        <v>✗</v>
      </c>
      <c r="Q861" s="23" t="str">
        <f>IFERROR(__xludf.DUMMYFUNCTION("if(REGEXMATCH(join("", "",$F861:$G861),Q$1)=TRUE,""✓"",""✗"")"),"✗")</f>
        <v>✗</v>
      </c>
      <c r="R861" s="23" t="str">
        <f>IFERROR(__xludf.DUMMYFUNCTION("if(REGEXMATCH(join("", "",$F861:$G861),R$1)=TRUE,""✓"",""✗"")"),"✗")</f>
        <v>✗</v>
      </c>
      <c r="S861" s="23" t="str">
        <f>IFERROR(__xludf.DUMMYFUNCTION("if(REGEXMATCH(join("", "",$F861:$G861),S$1)=TRUE,""✓"",""✗"")"),"✗")</f>
        <v>✗</v>
      </c>
      <c r="T861" s="23" t="str">
        <f>IFERROR(__xludf.DUMMYFUNCTION("if(REGEXMATCH(join("", "",$F861:$G861),T$1)=TRUE,""✓"",""✗"")"),"✗")</f>
        <v>✗</v>
      </c>
      <c r="U861" s="33"/>
      <c r="V861" s="33"/>
      <c r="W861" s="33"/>
      <c r="X861" s="33"/>
      <c r="Y861" s="33"/>
      <c r="Z861" s="33"/>
      <c r="AA861" s="33"/>
      <c r="AB861" s="33"/>
      <c r="AC861" s="33"/>
    </row>
    <row r="862" hidden="1">
      <c r="A862" s="17" t="s">
        <v>302</v>
      </c>
      <c r="B862" s="33"/>
      <c r="C862" s="33"/>
      <c r="D862" s="33"/>
      <c r="E862" s="33"/>
      <c r="F862" s="33"/>
      <c r="G862" s="33"/>
      <c r="H862" s="23" t="str">
        <f>IFERROR(__xludf.DUMMYFUNCTION("if(REGEXMATCH(join("", "",$F862:$G862),H$1)=TRUE,""✓"",""✗"")"),"✗")</f>
        <v>✗</v>
      </c>
      <c r="I862" s="23" t="str">
        <f>IFERROR(__xludf.DUMMYFUNCTION("if(REGEXMATCH(join("", "",$F862:$G862),I$1)=TRUE,""✓"",""✗"")"),"✗")</f>
        <v>✗</v>
      </c>
      <c r="J862" s="23" t="str">
        <f>IFERROR(__xludf.DUMMYFUNCTION("if(REGEXMATCH(join("", "",$F862:$G862),J$1)=TRUE,""✓"",""✗"")"),"✗")</f>
        <v>✗</v>
      </c>
      <c r="K862" s="23" t="str">
        <f>IFERROR(__xludf.DUMMYFUNCTION("if(REGEXMATCH(join("", "",$F862:$G862),K$1)=TRUE,""✓"",""✗"")"),"✗")</f>
        <v>✗</v>
      </c>
      <c r="L862" s="23" t="str">
        <f>IFERROR(__xludf.DUMMYFUNCTION("if(REGEXMATCH(join("", "",$F862:$G862),L$1)=TRUE,""✓"",""✗"")"),"✗")</f>
        <v>✗</v>
      </c>
      <c r="M862" s="23" t="str">
        <f>IFERROR(__xludf.DUMMYFUNCTION("if(REGEXMATCH(join("", "",$F862:$G862),M$1)=TRUE,""✓"",""✗"")"),"✗")</f>
        <v>✗</v>
      </c>
      <c r="N862" s="23" t="str">
        <f>IFERROR(__xludf.DUMMYFUNCTION("if(REGEXMATCH(join("", "",$F862:$G862),N$1)=TRUE,""✓"",""✗"")"),"✗")</f>
        <v>✗</v>
      </c>
      <c r="O862" s="23" t="str">
        <f>IFERROR(__xludf.DUMMYFUNCTION("if(REGEXMATCH(join("", "",$F862:$G862),O$1)=TRUE,""✓"",""✗"")"),"✗")</f>
        <v>✗</v>
      </c>
      <c r="P862" s="23" t="str">
        <f>IFERROR(__xludf.DUMMYFUNCTION("if(REGEXMATCH(join("", "",$F862:$G862),P$1)=TRUE,""✓"",""✗"")"),"✗")</f>
        <v>✗</v>
      </c>
      <c r="Q862" s="23" t="str">
        <f>IFERROR(__xludf.DUMMYFUNCTION("if(REGEXMATCH(join("", "",$F862:$G862),Q$1)=TRUE,""✓"",""✗"")"),"✗")</f>
        <v>✗</v>
      </c>
      <c r="R862" s="23" t="str">
        <f>IFERROR(__xludf.DUMMYFUNCTION("if(REGEXMATCH(join("", "",$F862:$G862),R$1)=TRUE,""✓"",""✗"")"),"✗")</f>
        <v>✗</v>
      </c>
      <c r="S862" s="23" t="str">
        <f>IFERROR(__xludf.DUMMYFUNCTION("if(REGEXMATCH(join("", "",$F862:$G862),S$1)=TRUE,""✓"",""✗"")"),"✗")</f>
        <v>✗</v>
      </c>
      <c r="T862" s="23" t="str">
        <f>IFERROR(__xludf.DUMMYFUNCTION("if(REGEXMATCH(join("", "",$F862:$G862),T$1)=TRUE,""✓"",""✗"")"),"✗")</f>
        <v>✗</v>
      </c>
      <c r="U862" s="33"/>
      <c r="V862" s="33"/>
      <c r="W862" s="33"/>
      <c r="X862" s="33"/>
      <c r="Y862" s="33"/>
      <c r="Z862" s="33"/>
      <c r="AA862" s="33"/>
      <c r="AB862" s="33"/>
      <c r="AC862" s="33"/>
    </row>
    <row r="863" hidden="1">
      <c r="A863" s="17" t="s">
        <v>302</v>
      </c>
      <c r="B863" s="33"/>
      <c r="C863" s="33"/>
      <c r="D863" s="33"/>
      <c r="E863" s="33"/>
      <c r="F863" s="33"/>
      <c r="G863" s="33"/>
      <c r="H863" s="23" t="str">
        <f>IFERROR(__xludf.DUMMYFUNCTION("if(REGEXMATCH(join("", "",$F863:$G863),H$1)=TRUE,""✓"",""✗"")"),"✗")</f>
        <v>✗</v>
      </c>
      <c r="I863" s="23" t="str">
        <f>IFERROR(__xludf.DUMMYFUNCTION("if(REGEXMATCH(join("", "",$F863:$G863),I$1)=TRUE,""✓"",""✗"")"),"✗")</f>
        <v>✗</v>
      </c>
      <c r="J863" s="23" t="str">
        <f>IFERROR(__xludf.DUMMYFUNCTION("if(REGEXMATCH(join("", "",$F863:$G863),J$1)=TRUE,""✓"",""✗"")"),"✗")</f>
        <v>✗</v>
      </c>
      <c r="K863" s="23" t="str">
        <f>IFERROR(__xludf.DUMMYFUNCTION("if(REGEXMATCH(join("", "",$F863:$G863),K$1)=TRUE,""✓"",""✗"")"),"✗")</f>
        <v>✗</v>
      </c>
      <c r="L863" s="23" t="str">
        <f>IFERROR(__xludf.DUMMYFUNCTION("if(REGEXMATCH(join("", "",$F863:$G863),L$1)=TRUE,""✓"",""✗"")"),"✗")</f>
        <v>✗</v>
      </c>
      <c r="M863" s="23" t="str">
        <f>IFERROR(__xludf.DUMMYFUNCTION("if(REGEXMATCH(join("", "",$F863:$G863),M$1)=TRUE,""✓"",""✗"")"),"✗")</f>
        <v>✗</v>
      </c>
      <c r="N863" s="23" t="str">
        <f>IFERROR(__xludf.DUMMYFUNCTION("if(REGEXMATCH(join("", "",$F863:$G863),N$1)=TRUE,""✓"",""✗"")"),"✗")</f>
        <v>✗</v>
      </c>
      <c r="O863" s="23" t="str">
        <f>IFERROR(__xludf.DUMMYFUNCTION("if(REGEXMATCH(join("", "",$F863:$G863),O$1)=TRUE,""✓"",""✗"")"),"✗")</f>
        <v>✗</v>
      </c>
      <c r="P863" s="23" t="str">
        <f>IFERROR(__xludf.DUMMYFUNCTION("if(REGEXMATCH(join("", "",$F863:$G863),P$1)=TRUE,""✓"",""✗"")"),"✗")</f>
        <v>✗</v>
      </c>
      <c r="Q863" s="23" t="str">
        <f>IFERROR(__xludf.DUMMYFUNCTION("if(REGEXMATCH(join("", "",$F863:$G863),Q$1)=TRUE,""✓"",""✗"")"),"✗")</f>
        <v>✗</v>
      </c>
      <c r="R863" s="23" t="str">
        <f>IFERROR(__xludf.DUMMYFUNCTION("if(REGEXMATCH(join("", "",$F863:$G863),R$1)=TRUE,""✓"",""✗"")"),"✗")</f>
        <v>✗</v>
      </c>
      <c r="S863" s="23" t="str">
        <f>IFERROR(__xludf.DUMMYFUNCTION("if(REGEXMATCH(join("", "",$F863:$G863),S$1)=TRUE,""✓"",""✗"")"),"✗")</f>
        <v>✗</v>
      </c>
      <c r="T863" s="23" t="str">
        <f>IFERROR(__xludf.DUMMYFUNCTION("if(REGEXMATCH(join("", "",$F863:$G863),T$1)=TRUE,""✓"",""✗"")"),"✗")</f>
        <v>✗</v>
      </c>
      <c r="U863" s="33"/>
      <c r="V863" s="33"/>
      <c r="W863" s="33"/>
      <c r="X863" s="33"/>
      <c r="Y863" s="33"/>
      <c r="Z863" s="33"/>
      <c r="AA863" s="33"/>
      <c r="AB863" s="33"/>
      <c r="AC863" s="33"/>
    </row>
    <row r="864" hidden="1">
      <c r="A864" s="17" t="s">
        <v>302</v>
      </c>
      <c r="B864" s="33"/>
      <c r="C864" s="33"/>
      <c r="D864" s="33"/>
      <c r="E864" s="33"/>
      <c r="F864" s="33"/>
      <c r="G864" s="33"/>
      <c r="H864" s="23" t="str">
        <f>IFERROR(__xludf.DUMMYFUNCTION("if(REGEXMATCH(join("", "",$F864:$G864),H$1)=TRUE,""✓"",""✗"")"),"✗")</f>
        <v>✗</v>
      </c>
      <c r="I864" s="23" t="str">
        <f>IFERROR(__xludf.DUMMYFUNCTION("if(REGEXMATCH(join("", "",$F864:$G864),I$1)=TRUE,""✓"",""✗"")"),"✗")</f>
        <v>✗</v>
      </c>
      <c r="J864" s="23" t="str">
        <f>IFERROR(__xludf.DUMMYFUNCTION("if(REGEXMATCH(join("", "",$F864:$G864),J$1)=TRUE,""✓"",""✗"")"),"✗")</f>
        <v>✗</v>
      </c>
      <c r="K864" s="23" t="str">
        <f>IFERROR(__xludf.DUMMYFUNCTION("if(REGEXMATCH(join("", "",$F864:$G864),K$1)=TRUE,""✓"",""✗"")"),"✗")</f>
        <v>✗</v>
      </c>
      <c r="L864" s="23" t="str">
        <f>IFERROR(__xludf.DUMMYFUNCTION("if(REGEXMATCH(join("", "",$F864:$G864),L$1)=TRUE,""✓"",""✗"")"),"✗")</f>
        <v>✗</v>
      </c>
      <c r="M864" s="23" t="str">
        <f>IFERROR(__xludf.DUMMYFUNCTION("if(REGEXMATCH(join("", "",$F864:$G864),M$1)=TRUE,""✓"",""✗"")"),"✗")</f>
        <v>✗</v>
      </c>
      <c r="N864" s="23" t="str">
        <f>IFERROR(__xludf.DUMMYFUNCTION("if(REGEXMATCH(join("", "",$F864:$G864),N$1)=TRUE,""✓"",""✗"")"),"✗")</f>
        <v>✗</v>
      </c>
      <c r="O864" s="23" t="str">
        <f>IFERROR(__xludf.DUMMYFUNCTION("if(REGEXMATCH(join("", "",$F864:$G864),O$1)=TRUE,""✓"",""✗"")"),"✗")</f>
        <v>✗</v>
      </c>
      <c r="P864" s="23" t="str">
        <f>IFERROR(__xludf.DUMMYFUNCTION("if(REGEXMATCH(join("", "",$F864:$G864),P$1)=TRUE,""✓"",""✗"")"),"✗")</f>
        <v>✗</v>
      </c>
      <c r="Q864" s="23" t="str">
        <f>IFERROR(__xludf.DUMMYFUNCTION("if(REGEXMATCH(join("", "",$F864:$G864),Q$1)=TRUE,""✓"",""✗"")"),"✗")</f>
        <v>✗</v>
      </c>
      <c r="R864" s="23" t="str">
        <f>IFERROR(__xludf.DUMMYFUNCTION("if(REGEXMATCH(join("", "",$F864:$G864),R$1)=TRUE,""✓"",""✗"")"),"✗")</f>
        <v>✗</v>
      </c>
      <c r="S864" s="23" t="str">
        <f>IFERROR(__xludf.DUMMYFUNCTION("if(REGEXMATCH(join("", "",$F864:$G864),S$1)=TRUE,""✓"",""✗"")"),"✗")</f>
        <v>✗</v>
      </c>
      <c r="T864" s="23" t="str">
        <f>IFERROR(__xludf.DUMMYFUNCTION("if(REGEXMATCH(join("", "",$F864:$G864),T$1)=TRUE,""✓"",""✗"")"),"✗")</f>
        <v>✗</v>
      </c>
      <c r="U864" s="33"/>
      <c r="V864" s="33"/>
      <c r="W864" s="33"/>
      <c r="X864" s="33"/>
      <c r="Y864" s="33"/>
      <c r="Z864" s="33"/>
      <c r="AA864" s="33"/>
      <c r="AB864" s="33"/>
      <c r="AC864" s="33"/>
    </row>
    <row r="865" hidden="1">
      <c r="A865" s="17" t="s">
        <v>302</v>
      </c>
      <c r="B865" s="33"/>
      <c r="C865" s="33"/>
      <c r="D865" s="33"/>
      <c r="E865" s="33"/>
      <c r="F865" s="33"/>
      <c r="G865" s="33"/>
      <c r="H865" s="23" t="str">
        <f>IFERROR(__xludf.DUMMYFUNCTION("if(REGEXMATCH(join("", "",$F865:$G865),H$1)=TRUE,""✓"",""✗"")"),"✗")</f>
        <v>✗</v>
      </c>
      <c r="I865" s="23" t="str">
        <f>IFERROR(__xludf.DUMMYFUNCTION("if(REGEXMATCH(join("", "",$F865:$G865),I$1)=TRUE,""✓"",""✗"")"),"✗")</f>
        <v>✗</v>
      </c>
      <c r="J865" s="23" t="str">
        <f>IFERROR(__xludf.DUMMYFUNCTION("if(REGEXMATCH(join("", "",$F865:$G865),J$1)=TRUE,""✓"",""✗"")"),"✗")</f>
        <v>✗</v>
      </c>
      <c r="K865" s="23" t="str">
        <f>IFERROR(__xludf.DUMMYFUNCTION("if(REGEXMATCH(join("", "",$F865:$G865),K$1)=TRUE,""✓"",""✗"")"),"✗")</f>
        <v>✗</v>
      </c>
      <c r="L865" s="23" t="str">
        <f>IFERROR(__xludf.DUMMYFUNCTION("if(REGEXMATCH(join("", "",$F865:$G865),L$1)=TRUE,""✓"",""✗"")"),"✗")</f>
        <v>✗</v>
      </c>
      <c r="M865" s="23" t="str">
        <f>IFERROR(__xludf.DUMMYFUNCTION("if(REGEXMATCH(join("", "",$F865:$G865),M$1)=TRUE,""✓"",""✗"")"),"✗")</f>
        <v>✗</v>
      </c>
      <c r="N865" s="23" t="str">
        <f>IFERROR(__xludf.DUMMYFUNCTION("if(REGEXMATCH(join("", "",$F865:$G865),N$1)=TRUE,""✓"",""✗"")"),"✗")</f>
        <v>✗</v>
      </c>
      <c r="O865" s="23" t="str">
        <f>IFERROR(__xludf.DUMMYFUNCTION("if(REGEXMATCH(join("", "",$F865:$G865),O$1)=TRUE,""✓"",""✗"")"),"✗")</f>
        <v>✗</v>
      </c>
      <c r="P865" s="23" t="str">
        <f>IFERROR(__xludf.DUMMYFUNCTION("if(REGEXMATCH(join("", "",$F865:$G865),P$1)=TRUE,""✓"",""✗"")"),"✗")</f>
        <v>✗</v>
      </c>
      <c r="Q865" s="23" t="str">
        <f>IFERROR(__xludf.DUMMYFUNCTION("if(REGEXMATCH(join("", "",$F865:$G865),Q$1)=TRUE,""✓"",""✗"")"),"✗")</f>
        <v>✗</v>
      </c>
      <c r="R865" s="23" t="str">
        <f>IFERROR(__xludf.DUMMYFUNCTION("if(REGEXMATCH(join("", "",$F865:$G865),R$1)=TRUE,""✓"",""✗"")"),"✗")</f>
        <v>✗</v>
      </c>
      <c r="S865" s="23" t="str">
        <f>IFERROR(__xludf.DUMMYFUNCTION("if(REGEXMATCH(join("", "",$F865:$G865),S$1)=TRUE,""✓"",""✗"")"),"✗")</f>
        <v>✗</v>
      </c>
      <c r="T865" s="23" t="str">
        <f>IFERROR(__xludf.DUMMYFUNCTION("if(REGEXMATCH(join("", "",$F865:$G865),T$1)=TRUE,""✓"",""✗"")"),"✗")</f>
        <v>✗</v>
      </c>
      <c r="U865" s="33"/>
      <c r="V865" s="33"/>
      <c r="W865" s="33"/>
      <c r="X865" s="33"/>
      <c r="Y865" s="33"/>
      <c r="Z865" s="33"/>
      <c r="AA865" s="33"/>
      <c r="AB865" s="33"/>
      <c r="AC865" s="33"/>
    </row>
    <row r="866" hidden="1">
      <c r="A866" s="17" t="s">
        <v>302</v>
      </c>
      <c r="B866" s="33"/>
      <c r="C866" s="33"/>
      <c r="D866" s="33"/>
      <c r="E866" s="33"/>
      <c r="F866" s="33"/>
      <c r="G866" s="33"/>
      <c r="H866" s="23" t="str">
        <f>IFERROR(__xludf.DUMMYFUNCTION("if(REGEXMATCH(join("", "",$F866:$G866),H$1)=TRUE,""✓"",""✗"")"),"✗")</f>
        <v>✗</v>
      </c>
      <c r="I866" s="23" t="str">
        <f>IFERROR(__xludf.DUMMYFUNCTION("if(REGEXMATCH(join("", "",$F866:$G866),I$1)=TRUE,""✓"",""✗"")"),"✗")</f>
        <v>✗</v>
      </c>
      <c r="J866" s="23" t="str">
        <f>IFERROR(__xludf.DUMMYFUNCTION("if(REGEXMATCH(join("", "",$F866:$G866),J$1)=TRUE,""✓"",""✗"")"),"✗")</f>
        <v>✗</v>
      </c>
      <c r="K866" s="23" t="str">
        <f>IFERROR(__xludf.DUMMYFUNCTION("if(REGEXMATCH(join("", "",$F866:$G866),K$1)=TRUE,""✓"",""✗"")"),"✗")</f>
        <v>✗</v>
      </c>
      <c r="L866" s="23" t="str">
        <f>IFERROR(__xludf.DUMMYFUNCTION("if(REGEXMATCH(join("", "",$F866:$G866),L$1)=TRUE,""✓"",""✗"")"),"✗")</f>
        <v>✗</v>
      </c>
      <c r="M866" s="23" t="str">
        <f>IFERROR(__xludf.DUMMYFUNCTION("if(REGEXMATCH(join("", "",$F866:$G866),M$1)=TRUE,""✓"",""✗"")"),"✗")</f>
        <v>✗</v>
      </c>
      <c r="N866" s="23" t="str">
        <f>IFERROR(__xludf.DUMMYFUNCTION("if(REGEXMATCH(join("", "",$F866:$G866),N$1)=TRUE,""✓"",""✗"")"),"✗")</f>
        <v>✗</v>
      </c>
      <c r="O866" s="23" t="str">
        <f>IFERROR(__xludf.DUMMYFUNCTION("if(REGEXMATCH(join("", "",$F866:$G866),O$1)=TRUE,""✓"",""✗"")"),"✗")</f>
        <v>✗</v>
      </c>
      <c r="P866" s="23" t="str">
        <f>IFERROR(__xludf.DUMMYFUNCTION("if(REGEXMATCH(join("", "",$F866:$G866),P$1)=TRUE,""✓"",""✗"")"),"✗")</f>
        <v>✗</v>
      </c>
      <c r="Q866" s="23" t="str">
        <f>IFERROR(__xludf.DUMMYFUNCTION("if(REGEXMATCH(join("", "",$F866:$G866),Q$1)=TRUE,""✓"",""✗"")"),"✗")</f>
        <v>✗</v>
      </c>
      <c r="R866" s="23" t="str">
        <f>IFERROR(__xludf.DUMMYFUNCTION("if(REGEXMATCH(join("", "",$F866:$G866),R$1)=TRUE,""✓"",""✗"")"),"✗")</f>
        <v>✗</v>
      </c>
      <c r="S866" s="23" t="str">
        <f>IFERROR(__xludf.DUMMYFUNCTION("if(REGEXMATCH(join("", "",$F866:$G866),S$1)=TRUE,""✓"",""✗"")"),"✗")</f>
        <v>✗</v>
      </c>
      <c r="T866" s="23" t="str">
        <f>IFERROR(__xludf.DUMMYFUNCTION("if(REGEXMATCH(join("", "",$F866:$G866),T$1)=TRUE,""✓"",""✗"")"),"✗")</f>
        <v>✗</v>
      </c>
      <c r="U866" s="33"/>
      <c r="V866" s="33"/>
      <c r="W866" s="33"/>
      <c r="X866" s="33"/>
      <c r="Y866" s="33"/>
      <c r="Z866" s="33"/>
      <c r="AA866" s="33"/>
      <c r="AB866" s="33"/>
      <c r="AC866" s="33"/>
    </row>
    <row r="867" hidden="1">
      <c r="A867" s="17" t="s">
        <v>302</v>
      </c>
      <c r="B867" s="33"/>
      <c r="C867" s="33"/>
      <c r="D867" s="33"/>
      <c r="E867" s="33"/>
      <c r="F867" s="33"/>
      <c r="G867" s="33"/>
      <c r="H867" s="23" t="str">
        <f>IFERROR(__xludf.DUMMYFUNCTION("if(REGEXMATCH(join("", "",$F867:$G867),H$1)=TRUE,""✓"",""✗"")"),"✗")</f>
        <v>✗</v>
      </c>
      <c r="I867" s="23" t="str">
        <f>IFERROR(__xludf.DUMMYFUNCTION("if(REGEXMATCH(join("", "",$F867:$G867),I$1)=TRUE,""✓"",""✗"")"),"✗")</f>
        <v>✗</v>
      </c>
      <c r="J867" s="23" t="str">
        <f>IFERROR(__xludf.DUMMYFUNCTION("if(REGEXMATCH(join("", "",$F867:$G867),J$1)=TRUE,""✓"",""✗"")"),"✗")</f>
        <v>✗</v>
      </c>
      <c r="K867" s="23" t="str">
        <f>IFERROR(__xludf.DUMMYFUNCTION("if(REGEXMATCH(join("", "",$F867:$G867),K$1)=TRUE,""✓"",""✗"")"),"✗")</f>
        <v>✗</v>
      </c>
      <c r="L867" s="23" t="str">
        <f>IFERROR(__xludf.DUMMYFUNCTION("if(REGEXMATCH(join("", "",$F867:$G867),L$1)=TRUE,""✓"",""✗"")"),"✗")</f>
        <v>✗</v>
      </c>
      <c r="M867" s="23" t="str">
        <f>IFERROR(__xludf.DUMMYFUNCTION("if(REGEXMATCH(join("", "",$F867:$G867),M$1)=TRUE,""✓"",""✗"")"),"✗")</f>
        <v>✗</v>
      </c>
      <c r="N867" s="23" t="str">
        <f>IFERROR(__xludf.DUMMYFUNCTION("if(REGEXMATCH(join("", "",$F867:$G867),N$1)=TRUE,""✓"",""✗"")"),"✗")</f>
        <v>✗</v>
      </c>
      <c r="O867" s="23" t="str">
        <f>IFERROR(__xludf.DUMMYFUNCTION("if(REGEXMATCH(join("", "",$F867:$G867),O$1)=TRUE,""✓"",""✗"")"),"✗")</f>
        <v>✗</v>
      </c>
      <c r="P867" s="23" t="str">
        <f>IFERROR(__xludf.DUMMYFUNCTION("if(REGEXMATCH(join("", "",$F867:$G867),P$1)=TRUE,""✓"",""✗"")"),"✗")</f>
        <v>✗</v>
      </c>
      <c r="Q867" s="23" t="str">
        <f>IFERROR(__xludf.DUMMYFUNCTION("if(REGEXMATCH(join("", "",$F867:$G867),Q$1)=TRUE,""✓"",""✗"")"),"✗")</f>
        <v>✗</v>
      </c>
      <c r="R867" s="23" t="str">
        <f>IFERROR(__xludf.DUMMYFUNCTION("if(REGEXMATCH(join("", "",$F867:$G867),R$1)=TRUE,""✓"",""✗"")"),"✗")</f>
        <v>✗</v>
      </c>
      <c r="S867" s="23" t="str">
        <f>IFERROR(__xludf.DUMMYFUNCTION("if(REGEXMATCH(join("", "",$F867:$G867),S$1)=TRUE,""✓"",""✗"")"),"✗")</f>
        <v>✗</v>
      </c>
      <c r="T867" s="23" t="str">
        <f>IFERROR(__xludf.DUMMYFUNCTION("if(REGEXMATCH(join("", "",$F867:$G867),T$1)=TRUE,""✓"",""✗"")"),"✗")</f>
        <v>✗</v>
      </c>
      <c r="U867" s="33"/>
      <c r="V867" s="33"/>
      <c r="W867" s="33"/>
      <c r="X867" s="33"/>
      <c r="Y867" s="33"/>
      <c r="Z867" s="33"/>
      <c r="AA867" s="33"/>
      <c r="AB867" s="33"/>
      <c r="AC867" s="33"/>
    </row>
    <row r="868" hidden="1">
      <c r="A868" s="17" t="s">
        <v>302</v>
      </c>
      <c r="B868" s="33"/>
      <c r="C868" s="33"/>
      <c r="D868" s="33"/>
      <c r="E868" s="33"/>
      <c r="F868" s="33"/>
      <c r="G868" s="33"/>
      <c r="H868" s="23" t="str">
        <f>IFERROR(__xludf.DUMMYFUNCTION("if(REGEXMATCH(join("", "",$F868:$G868),H$1)=TRUE,""✓"",""✗"")"),"✗")</f>
        <v>✗</v>
      </c>
      <c r="I868" s="23" t="str">
        <f>IFERROR(__xludf.DUMMYFUNCTION("if(REGEXMATCH(join("", "",$F868:$G868),I$1)=TRUE,""✓"",""✗"")"),"✗")</f>
        <v>✗</v>
      </c>
      <c r="J868" s="23" t="str">
        <f>IFERROR(__xludf.DUMMYFUNCTION("if(REGEXMATCH(join("", "",$F868:$G868),J$1)=TRUE,""✓"",""✗"")"),"✗")</f>
        <v>✗</v>
      </c>
      <c r="K868" s="23" t="str">
        <f>IFERROR(__xludf.DUMMYFUNCTION("if(REGEXMATCH(join("", "",$F868:$G868),K$1)=TRUE,""✓"",""✗"")"),"✗")</f>
        <v>✗</v>
      </c>
      <c r="L868" s="23" t="str">
        <f>IFERROR(__xludf.DUMMYFUNCTION("if(REGEXMATCH(join("", "",$F868:$G868),L$1)=TRUE,""✓"",""✗"")"),"✗")</f>
        <v>✗</v>
      </c>
      <c r="M868" s="23" t="str">
        <f>IFERROR(__xludf.DUMMYFUNCTION("if(REGEXMATCH(join("", "",$F868:$G868),M$1)=TRUE,""✓"",""✗"")"),"✗")</f>
        <v>✗</v>
      </c>
      <c r="N868" s="23" t="str">
        <f>IFERROR(__xludf.DUMMYFUNCTION("if(REGEXMATCH(join("", "",$F868:$G868),N$1)=TRUE,""✓"",""✗"")"),"✗")</f>
        <v>✗</v>
      </c>
      <c r="O868" s="23" t="str">
        <f>IFERROR(__xludf.DUMMYFUNCTION("if(REGEXMATCH(join("", "",$F868:$G868),O$1)=TRUE,""✓"",""✗"")"),"✗")</f>
        <v>✗</v>
      </c>
      <c r="P868" s="23" t="str">
        <f>IFERROR(__xludf.DUMMYFUNCTION("if(REGEXMATCH(join("", "",$F868:$G868),P$1)=TRUE,""✓"",""✗"")"),"✗")</f>
        <v>✗</v>
      </c>
      <c r="Q868" s="23" t="str">
        <f>IFERROR(__xludf.DUMMYFUNCTION("if(REGEXMATCH(join("", "",$F868:$G868),Q$1)=TRUE,""✓"",""✗"")"),"✗")</f>
        <v>✗</v>
      </c>
      <c r="R868" s="23" t="str">
        <f>IFERROR(__xludf.DUMMYFUNCTION("if(REGEXMATCH(join("", "",$F868:$G868),R$1)=TRUE,""✓"",""✗"")"),"✗")</f>
        <v>✗</v>
      </c>
      <c r="S868" s="23" t="str">
        <f>IFERROR(__xludf.DUMMYFUNCTION("if(REGEXMATCH(join("", "",$F868:$G868),S$1)=TRUE,""✓"",""✗"")"),"✗")</f>
        <v>✗</v>
      </c>
      <c r="T868" s="23" t="str">
        <f>IFERROR(__xludf.DUMMYFUNCTION("if(REGEXMATCH(join("", "",$F868:$G868),T$1)=TRUE,""✓"",""✗"")"),"✗")</f>
        <v>✗</v>
      </c>
      <c r="U868" s="33"/>
      <c r="V868" s="33"/>
      <c r="W868" s="33"/>
      <c r="X868" s="33"/>
      <c r="Y868" s="33"/>
      <c r="Z868" s="33"/>
      <c r="AA868" s="33"/>
      <c r="AB868" s="33"/>
      <c r="AC868" s="33"/>
    </row>
    <row r="869" hidden="1">
      <c r="A869" s="17" t="s">
        <v>302</v>
      </c>
      <c r="B869" s="33"/>
      <c r="C869" s="33"/>
      <c r="D869" s="33"/>
      <c r="E869" s="33"/>
      <c r="F869" s="33"/>
      <c r="G869" s="33"/>
      <c r="H869" s="23" t="str">
        <f>IFERROR(__xludf.DUMMYFUNCTION("if(REGEXMATCH(join("", "",$F869:$G869),H$1)=TRUE,""✓"",""✗"")"),"✗")</f>
        <v>✗</v>
      </c>
      <c r="I869" s="23" t="str">
        <f>IFERROR(__xludf.DUMMYFUNCTION("if(REGEXMATCH(join("", "",$F869:$G869),I$1)=TRUE,""✓"",""✗"")"),"✗")</f>
        <v>✗</v>
      </c>
      <c r="J869" s="23" t="str">
        <f>IFERROR(__xludf.DUMMYFUNCTION("if(REGEXMATCH(join("", "",$F869:$G869),J$1)=TRUE,""✓"",""✗"")"),"✗")</f>
        <v>✗</v>
      </c>
      <c r="K869" s="23" t="str">
        <f>IFERROR(__xludf.DUMMYFUNCTION("if(REGEXMATCH(join("", "",$F869:$G869),K$1)=TRUE,""✓"",""✗"")"),"✗")</f>
        <v>✗</v>
      </c>
      <c r="L869" s="23" t="str">
        <f>IFERROR(__xludf.DUMMYFUNCTION("if(REGEXMATCH(join("", "",$F869:$G869),L$1)=TRUE,""✓"",""✗"")"),"✗")</f>
        <v>✗</v>
      </c>
      <c r="M869" s="23" t="str">
        <f>IFERROR(__xludf.DUMMYFUNCTION("if(REGEXMATCH(join("", "",$F869:$G869),M$1)=TRUE,""✓"",""✗"")"),"✗")</f>
        <v>✗</v>
      </c>
      <c r="N869" s="23" t="str">
        <f>IFERROR(__xludf.DUMMYFUNCTION("if(REGEXMATCH(join("", "",$F869:$G869),N$1)=TRUE,""✓"",""✗"")"),"✗")</f>
        <v>✗</v>
      </c>
      <c r="O869" s="23" t="str">
        <f>IFERROR(__xludf.DUMMYFUNCTION("if(REGEXMATCH(join("", "",$F869:$G869),O$1)=TRUE,""✓"",""✗"")"),"✗")</f>
        <v>✗</v>
      </c>
      <c r="P869" s="23" t="str">
        <f>IFERROR(__xludf.DUMMYFUNCTION("if(REGEXMATCH(join("", "",$F869:$G869),P$1)=TRUE,""✓"",""✗"")"),"✗")</f>
        <v>✗</v>
      </c>
      <c r="Q869" s="23" t="str">
        <f>IFERROR(__xludf.DUMMYFUNCTION("if(REGEXMATCH(join("", "",$F869:$G869),Q$1)=TRUE,""✓"",""✗"")"),"✗")</f>
        <v>✗</v>
      </c>
      <c r="R869" s="23" t="str">
        <f>IFERROR(__xludf.DUMMYFUNCTION("if(REGEXMATCH(join("", "",$F869:$G869),R$1)=TRUE,""✓"",""✗"")"),"✗")</f>
        <v>✗</v>
      </c>
      <c r="S869" s="23" t="str">
        <f>IFERROR(__xludf.DUMMYFUNCTION("if(REGEXMATCH(join("", "",$F869:$G869),S$1)=TRUE,""✓"",""✗"")"),"✗")</f>
        <v>✗</v>
      </c>
      <c r="T869" s="23" t="str">
        <f>IFERROR(__xludf.DUMMYFUNCTION("if(REGEXMATCH(join("", "",$F869:$G869),T$1)=TRUE,""✓"",""✗"")"),"✗")</f>
        <v>✗</v>
      </c>
      <c r="U869" s="33"/>
      <c r="V869" s="33"/>
      <c r="W869" s="33"/>
      <c r="X869" s="33"/>
      <c r="Y869" s="33"/>
      <c r="Z869" s="33"/>
      <c r="AA869" s="33"/>
      <c r="AB869" s="33"/>
      <c r="AC869" s="33"/>
    </row>
    <row r="870" hidden="1">
      <c r="A870" s="17" t="s">
        <v>302</v>
      </c>
      <c r="B870" s="33"/>
      <c r="C870" s="33"/>
      <c r="D870" s="33"/>
      <c r="E870" s="33"/>
      <c r="F870" s="33"/>
      <c r="G870" s="33"/>
      <c r="H870" s="23" t="str">
        <f>IFERROR(__xludf.DUMMYFUNCTION("if(REGEXMATCH(join("", "",$F870:$G870),H$1)=TRUE,""✓"",""✗"")"),"✗")</f>
        <v>✗</v>
      </c>
      <c r="I870" s="23" t="str">
        <f>IFERROR(__xludf.DUMMYFUNCTION("if(REGEXMATCH(join("", "",$F870:$G870),I$1)=TRUE,""✓"",""✗"")"),"✗")</f>
        <v>✗</v>
      </c>
      <c r="J870" s="23" t="str">
        <f>IFERROR(__xludf.DUMMYFUNCTION("if(REGEXMATCH(join("", "",$F870:$G870),J$1)=TRUE,""✓"",""✗"")"),"✗")</f>
        <v>✗</v>
      </c>
      <c r="K870" s="23" t="str">
        <f>IFERROR(__xludf.DUMMYFUNCTION("if(REGEXMATCH(join("", "",$F870:$G870),K$1)=TRUE,""✓"",""✗"")"),"✗")</f>
        <v>✗</v>
      </c>
      <c r="L870" s="23" t="str">
        <f>IFERROR(__xludf.DUMMYFUNCTION("if(REGEXMATCH(join("", "",$F870:$G870),L$1)=TRUE,""✓"",""✗"")"),"✗")</f>
        <v>✗</v>
      </c>
      <c r="M870" s="23" t="str">
        <f>IFERROR(__xludf.DUMMYFUNCTION("if(REGEXMATCH(join("", "",$F870:$G870),M$1)=TRUE,""✓"",""✗"")"),"✗")</f>
        <v>✗</v>
      </c>
      <c r="N870" s="23" t="str">
        <f>IFERROR(__xludf.DUMMYFUNCTION("if(REGEXMATCH(join("", "",$F870:$G870),N$1)=TRUE,""✓"",""✗"")"),"✗")</f>
        <v>✗</v>
      </c>
      <c r="O870" s="23" t="str">
        <f>IFERROR(__xludf.DUMMYFUNCTION("if(REGEXMATCH(join("", "",$F870:$G870),O$1)=TRUE,""✓"",""✗"")"),"✗")</f>
        <v>✗</v>
      </c>
      <c r="P870" s="23" t="str">
        <f>IFERROR(__xludf.DUMMYFUNCTION("if(REGEXMATCH(join("", "",$F870:$G870),P$1)=TRUE,""✓"",""✗"")"),"✗")</f>
        <v>✗</v>
      </c>
      <c r="Q870" s="23" t="str">
        <f>IFERROR(__xludf.DUMMYFUNCTION("if(REGEXMATCH(join("", "",$F870:$G870),Q$1)=TRUE,""✓"",""✗"")"),"✗")</f>
        <v>✗</v>
      </c>
      <c r="R870" s="23" t="str">
        <f>IFERROR(__xludf.DUMMYFUNCTION("if(REGEXMATCH(join("", "",$F870:$G870),R$1)=TRUE,""✓"",""✗"")"),"✗")</f>
        <v>✗</v>
      </c>
      <c r="S870" s="23" t="str">
        <f>IFERROR(__xludf.DUMMYFUNCTION("if(REGEXMATCH(join("", "",$F870:$G870),S$1)=TRUE,""✓"",""✗"")"),"✗")</f>
        <v>✗</v>
      </c>
      <c r="T870" s="23" t="str">
        <f>IFERROR(__xludf.DUMMYFUNCTION("if(REGEXMATCH(join("", "",$F870:$G870),T$1)=TRUE,""✓"",""✗"")"),"✗")</f>
        <v>✗</v>
      </c>
      <c r="U870" s="33"/>
      <c r="V870" s="33"/>
      <c r="W870" s="33"/>
      <c r="X870" s="33"/>
      <c r="Y870" s="33"/>
      <c r="Z870" s="33"/>
      <c r="AA870" s="33"/>
      <c r="AB870" s="33"/>
      <c r="AC870" s="33"/>
    </row>
    <row r="871" hidden="1">
      <c r="A871" s="17" t="s">
        <v>302</v>
      </c>
      <c r="B871" s="33"/>
      <c r="C871" s="33"/>
      <c r="D871" s="33"/>
      <c r="E871" s="33"/>
      <c r="F871" s="33"/>
      <c r="G871" s="33"/>
      <c r="H871" s="23" t="str">
        <f>IFERROR(__xludf.DUMMYFUNCTION("if(REGEXMATCH(join("", "",$F871:$G871),H$1)=TRUE,""✓"",""✗"")"),"✗")</f>
        <v>✗</v>
      </c>
      <c r="I871" s="23" t="str">
        <f>IFERROR(__xludf.DUMMYFUNCTION("if(REGEXMATCH(join("", "",$F871:$G871),I$1)=TRUE,""✓"",""✗"")"),"✗")</f>
        <v>✗</v>
      </c>
      <c r="J871" s="23" t="str">
        <f>IFERROR(__xludf.DUMMYFUNCTION("if(REGEXMATCH(join("", "",$F871:$G871),J$1)=TRUE,""✓"",""✗"")"),"✗")</f>
        <v>✗</v>
      </c>
      <c r="K871" s="23" t="str">
        <f>IFERROR(__xludf.DUMMYFUNCTION("if(REGEXMATCH(join("", "",$F871:$G871),K$1)=TRUE,""✓"",""✗"")"),"✗")</f>
        <v>✗</v>
      </c>
      <c r="L871" s="23" t="str">
        <f>IFERROR(__xludf.DUMMYFUNCTION("if(REGEXMATCH(join("", "",$F871:$G871),L$1)=TRUE,""✓"",""✗"")"),"✗")</f>
        <v>✗</v>
      </c>
      <c r="M871" s="23" t="str">
        <f>IFERROR(__xludf.DUMMYFUNCTION("if(REGEXMATCH(join("", "",$F871:$G871),M$1)=TRUE,""✓"",""✗"")"),"✗")</f>
        <v>✗</v>
      </c>
      <c r="N871" s="23" t="str">
        <f>IFERROR(__xludf.DUMMYFUNCTION("if(REGEXMATCH(join("", "",$F871:$G871),N$1)=TRUE,""✓"",""✗"")"),"✗")</f>
        <v>✗</v>
      </c>
      <c r="O871" s="23" t="str">
        <f>IFERROR(__xludf.DUMMYFUNCTION("if(REGEXMATCH(join("", "",$F871:$G871),O$1)=TRUE,""✓"",""✗"")"),"✗")</f>
        <v>✗</v>
      </c>
      <c r="P871" s="23" t="str">
        <f>IFERROR(__xludf.DUMMYFUNCTION("if(REGEXMATCH(join("", "",$F871:$G871),P$1)=TRUE,""✓"",""✗"")"),"✗")</f>
        <v>✗</v>
      </c>
      <c r="Q871" s="23" t="str">
        <f>IFERROR(__xludf.DUMMYFUNCTION("if(REGEXMATCH(join("", "",$F871:$G871),Q$1)=TRUE,""✓"",""✗"")"),"✗")</f>
        <v>✗</v>
      </c>
      <c r="R871" s="23" t="str">
        <f>IFERROR(__xludf.DUMMYFUNCTION("if(REGEXMATCH(join("", "",$F871:$G871),R$1)=TRUE,""✓"",""✗"")"),"✗")</f>
        <v>✗</v>
      </c>
      <c r="S871" s="23" t="str">
        <f>IFERROR(__xludf.DUMMYFUNCTION("if(REGEXMATCH(join("", "",$F871:$G871),S$1)=TRUE,""✓"",""✗"")"),"✗")</f>
        <v>✗</v>
      </c>
      <c r="T871" s="23" t="str">
        <f>IFERROR(__xludf.DUMMYFUNCTION("if(REGEXMATCH(join("", "",$F871:$G871),T$1)=TRUE,""✓"",""✗"")"),"✗")</f>
        <v>✗</v>
      </c>
      <c r="U871" s="33"/>
      <c r="V871" s="33"/>
      <c r="W871" s="33"/>
      <c r="X871" s="33"/>
      <c r="Y871" s="33"/>
      <c r="Z871" s="33"/>
      <c r="AA871" s="33"/>
      <c r="AB871" s="33"/>
      <c r="AC871" s="33"/>
    </row>
    <row r="872" hidden="1">
      <c r="A872" s="17" t="s">
        <v>302</v>
      </c>
      <c r="B872" s="33"/>
      <c r="C872" s="33"/>
      <c r="D872" s="33"/>
      <c r="E872" s="33"/>
      <c r="F872" s="33"/>
      <c r="G872" s="33"/>
      <c r="H872" s="23" t="str">
        <f>IFERROR(__xludf.DUMMYFUNCTION("if(REGEXMATCH(join("", "",$F872:$G872),H$1)=TRUE,""✓"",""✗"")"),"✗")</f>
        <v>✗</v>
      </c>
      <c r="I872" s="23" t="str">
        <f>IFERROR(__xludf.DUMMYFUNCTION("if(REGEXMATCH(join("", "",$F872:$G872),I$1)=TRUE,""✓"",""✗"")"),"✗")</f>
        <v>✗</v>
      </c>
      <c r="J872" s="23" t="str">
        <f>IFERROR(__xludf.DUMMYFUNCTION("if(REGEXMATCH(join("", "",$F872:$G872),J$1)=TRUE,""✓"",""✗"")"),"✗")</f>
        <v>✗</v>
      </c>
      <c r="K872" s="23" t="str">
        <f>IFERROR(__xludf.DUMMYFUNCTION("if(REGEXMATCH(join("", "",$F872:$G872),K$1)=TRUE,""✓"",""✗"")"),"✗")</f>
        <v>✗</v>
      </c>
      <c r="L872" s="23" t="str">
        <f>IFERROR(__xludf.DUMMYFUNCTION("if(REGEXMATCH(join("", "",$F872:$G872),L$1)=TRUE,""✓"",""✗"")"),"✗")</f>
        <v>✗</v>
      </c>
      <c r="M872" s="23" t="str">
        <f>IFERROR(__xludf.DUMMYFUNCTION("if(REGEXMATCH(join("", "",$F872:$G872),M$1)=TRUE,""✓"",""✗"")"),"✗")</f>
        <v>✗</v>
      </c>
      <c r="N872" s="23" t="str">
        <f>IFERROR(__xludf.DUMMYFUNCTION("if(REGEXMATCH(join("", "",$F872:$G872),N$1)=TRUE,""✓"",""✗"")"),"✗")</f>
        <v>✗</v>
      </c>
      <c r="O872" s="23" t="str">
        <f>IFERROR(__xludf.DUMMYFUNCTION("if(REGEXMATCH(join("", "",$F872:$G872),O$1)=TRUE,""✓"",""✗"")"),"✗")</f>
        <v>✗</v>
      </c>
      <c r="P872" s="23" t="str">
        <f>IFERROR(__xludf.DUMMYFUNCTION("if(REGEXMATCH(join("", "",$F872:$G872),P$1)=TRUE,""✓"",""✗"")"),"✗")</f>
        <v>✗</v>
      </c>
      <c r="Q872" s="23" t="str">
        <f>IFERROR(__xludf.DUMMYFUNCTION("if(REGEXMATCH(join("", "",$F872:$G872),Q$1)=TRUE,""✓"",""✗"")"),"✗")</f>
        <v>✗</v>
      </c>
      <c r="R872" s="23" t="str">
        <f>IFERROR(__xludf.DUMMYFUNCTION("if(REGEXMATCH(join("", "",$F872:$G872),R$1)=TRUE,""✓"",""✗"")"),"✗")</f>
        <v>✗</v>
      </c>
      <c r="S872" s="23" t="str">
        <f>IFERROR(__xludf.DUMMYFUNCTION("if(REGEXMATCH(join("", "",$F872:$G872),S$1)=TRUE,""✓"",""✗"")"),"✗")</f>
        <v>✗</v>
      </c>
      <c r="T872" s="23" t="str">
        <f>IFERROR(__xludf.DUMMYFUNCTION("if(REGEXMATCH(join("", "",$F872:$G872),T$1)=TRUE,""✓"",""✗"")"),"✗")</f>
        <v>✗</v>
      </c>
      <c r="U872" s="33"/>
      <c r="V872" s="33"/>
      <c r="W872" s="33"/>
      <c r="X872" s="33"/>
      <c r="Y872" s="33"/>
      <c r="Z872" s="33"/>
      <c r="AA872" s="33"/>
      <c r="AB872" s="33"/>
      <c r="AC872" s="33"/>
    </row>
    <row r="873" hidden="1">
      <c r="A873" s="17" t="s">
        <v>302</v>
      </c>
      <c r="B873" s="33"/>
      <c r="C873" s="33"/>
      <c r="D873" s="33"/>
      <c r="E873" s="33"/>
      <c r="F873" s="33"/>
      <c r="G873" s="33"/>
      <c r="H873" s="23" t="str">
        <f>IFERROR(__xludf.DUMMYFUNCTION("if(REGEXMATCH(join("", "",$F873:$G873),H$1)=TRUE,""✓"",""✗"")"),"✗")</f>
        <v>✗</v>
      </c>
      <c r="I873" s="23" t="str">
        <f>IFERROR(__xludf.DUMMYFUNCTION("if(REGEXMATCH(join("", "",$F873:$G873),I$1)=TRUE,""✓"",""✗"")"),"✗")</f>
        <v>✗</v>
      </c>
      <c r="J873" s="23" t="str">
        <f>IFERROR(__xludf.DUMMYFUNCTION("if(REGEXMATCH(join("", "",$F873:$G873),J$1)=TRUE,""✓"",""✗"")"),"✗")</f>
        <v>✗</v>
      </c>
      <c r="K873" s="23" t="str">
        <f>IFERROR(__xludf.DUMMYFUNCTION("if(REGEXMATCH(join("", "",$F873:$G873),K$1)=TRUE,""✓"",""✗"")"),"✗")</f>
        <v>✗</v>
      </c>
      <c r="L873" s="23" t="str">
        <f>IFERROR(__xludf.DUMMYFUNCTION("if(REGEXMATCH(join("", "",$F873:$G873),L$1)=TRUE,""✓"",""✗"")"),"✗")</f>
        <v>✗</v>
      </c>
      <c r="M873" s="23" t="str">
        <f>IFERROR(__xludf.DUMMYFUNCTION("if(REGEXMATCH(join("", "",$F873:$G873),M$1)=TRUE,""✓"",""✗"")"),"✗")</f>
        <v>✗</v>
      </c>
      <c r="N873" s="23" t="str">
        <f>IFERROR(__xludf.DUMMYFUNCTION("if(REGEXMATCH(join("", "",$F873:$G873),N$1)=TRUE,""✓"",""✗"")"),"✗")</f>
        <v>✗</v>
      </c>
      <c r="O873" s="23" t="str">
        <f>IFERROR(__xludf.DUMMYFUNCTION("if(REGEXMATCH(join("", "",$F873:$G873),O$1)=TRUE,""✓"",""✗"")"),"✗")</f>
        <v>✗</v>
      </c>
      <c r="P873" s="23" t="str">
        <f>IFERROR(__xludf.DUMMYFUNCTION("if(REGEXMATCH(join("", "",$F873:$G873),P$1)=TRUE,""✓"",""✗"")"),"✗")</f>
        <v>✗</v>
      </c>
      <c r="Q873" s="23" t="str">
        <f>IFERROR(__xludf.DUMMYFUNCTION("if(REGEXMATCH(join("", "",$F873:$G873),Q$1)=TRUE,""✓"",""✗"")"),"✗")</f>
        <v>✗</v>
      </c>
      <c r="R873" s="23" t="str">
        <f>IFERROR(__xludf.DUMMYFUNCTION("if(REGEXMATCH(join("", "",$F873:$G873),R$1)=TRUE,""✓"",""✗"")"),"✗")</f>
        <v>✗</v>
      </c>
      <c r="S873" s="23" t="str">
        <f>IFERROR(__xludf.DUMMYFUNCTION("if(REGEXMATCH(join("", "",$F873:$G873),S$1)=TRUE,""✓"",""✗"")"),"✗")</f>
        <v>✗</v>
      </c>
      <c r="T873" s="23" t="str">
        <f>IFERROR(__xludf.DUMMYFUNCTION("if(REGEXMATCH(join("", "",$F873:$G873),T$1)=TRUE,""✓"",""✗"")"),"✗")</f>
        <v>✗</v>
      </c>
      <c r="U873" s="33"/>
      <c r="V873" s="33"/>
      <c r="W873" s="33"/>
      <c r="X873" s="33"/>
      <c r="Y873" s="33"/>
      <c r="Z873" s="33"/>
      <c r="AA873" s="33"/>
      <c r="AB873" s="33"/>
      <c r="AC873" s="33"/>
    </row>
    <row r="874" hidden="1">
      <c r="A874" s="17" t="s">
        <v>302</v>
      </c>
      <c r="B874" s="33"/>
      <c r="C874" s="33"/>
      <c r="D874" s="33"/>
      <c r="E874" s="33"/>
      <c r="F874" s="33"/>
      <c r="G874" s="33"/>
      <c r="H874" s="23" t="str">
        <f>IFERROR(__xludf.DUMMYFUNCTION("if(REGEXMATCH(join("", "",$F874:$G874),H$1)=TRUE,""✓"",""✗"")"),"✗")</f>
        <v>✗</v>
      </c>
      <c r="I874" s="23" t="str">
        <f>IFERROR(__xludf.DUMMYFUNCTION("if(REGEXMATCH(join("", "",$F874:$G874),I$1)=TRUE,""✓"",""✗"")"),"✗")</f>
        <v>✗</v>
      </c>
      <c r="J874" s="23" t="str">
        <f>IFERROR(__xludf.DUMMYFUNCTION("if(REGEXMATCH(join("", "",$F874:$G874),J$1)=TRUE,""✓"",""✗"")"),"✗")</f>
        <v>✗</v>
      </c>
      <c r="K874" s="23" t="str">
        <f>IFERROR(__xludf.DUMMYFUNCTION("if(REGEXMATCH(join("", "",$F874:$G874),K$1)=TRUE,""✓"",""✗"")"),"✗")</f>
        <v>✗</v>
      </c>
      <c r="L874" s="23" t="str">
        <f>IFERROR(__xludf.DUMMYFUNCTION("if(REGEXMATCH(join("", "",$F874:$G874),L$1)=TRUE,""✓"",""✗"")"),"✗")</f>
        <v>✗</v>
      </c>
      <c r="M874" s="23" t="str">
        <f>IFERROR(__xludf.DUMMYFUNCTION("if(REGEXMATCH(join("", "",$F874:$G874),M$1)=TRUE,""✓"",""✗"")"),"✗")</f>
        <v>✗</v>
      </c>
      <c r="N874" s="23" t="str">
        <f>IFERROR(__xludf.DUMMYFUNCTION("if(REGEXMATCH(join("", "",$F874:$G874),N$1)=TRUE,""✓"",""✗"")"),"✗")</f>
        <v>✗</v>
      </c>
      <c r="O874" s="23" t="str">
        <f>IFERROR(__xludf.DUMMYFUNCTION("if(REGEXMATCH(join("", "",$F874:$G874),O$1)=TRUE,""✓"",""✗"")"),"✗")</f>
        <v>✗</v>
      </c>
      <c r="P874" s="23" t="str">
        <f>IFERROR(__xludf.DUMMYFUNCTION("if(REGEXMATCH(join("", "",$F874:$G874),P$1)=TRUE,""✓"",""✗"")"),"✗")</f>
        <v>✗</v>
      </c>
      <c r="Q874" s="23" t="str">
        <f>IFERROR(__xludf.DUMMYFUNCTION("if(REGEXMATCH(join("", "",$F874:$G874),Q$1)=TRUE,""✓"",""✗"")"),"✗")</f>
        <v>✗</v>
      </c>
      <c r="R874" s="23" t="str">
        <f>IFERROR(__xludf.DUMMYFUNCTION("if(REGEXMATCH(join("", "",$F874:$G874),R$1)=TRUE,""✓"",""✗"")"),"✗")</f>
        <v>✗</v>
      </c>
      <c r="S874" s="23" t="str">
        <f>IFERROR(__xludf.DUMMYFUNCTION("if(REGEXMATCH(join("", "",$F874:$G874),S$1)=TRUE,""✓"",""✗"")"),"✗")</f>
        <v>✗</v>
      </c>
      <c r="T874" s="23" t="str">
        <f>IFERROR(__xludf.DUMMYFUNCTION("if(REGEXMATCH(join("", "",$F874:$G874),T$1)=TRUE,""✓"",""✗"")"),"✗")</f>
        <v>✗</v>
      </c>
      <c r="U874" s="33"/>
      <c r="V874" s="33"/>
      <c r="W874" s="33"/>
      <c r="X874" s="33"/>
      <c r="Y874" s="33"/>
      <c r="Z874" s="33"/>
      <c r="AA874" s="33"/>
      <c r="AB874" s="33"/>
      <c r="AC874" s="33"/>
    </row>
    <row r="875" hidden="1">
      <c r="A875" s="17" t="s">
        <v>302</v>
      </c>
      <c r="B875" s="33"/>
      <c r="C875" s="33"/>
      <c r="D875" s="33"/>
      <c r="E875" s="33"/>
      <c r="F875" s="33"/>
      <c r="G875" s="33"/>
      <c r="H875" s="23" t="str">
        <f>IFERROR(__xludf.DUMMYFUNCTION("if(REGEXMATCH(join("", "",$F875:$G875),H$1)=TRUE,""✓"",""✗"")"),"✗")</f>
        <v>✗</v>
      </c>
      <c r="I875" s="23" t="str">
        <f>IFERROR(__xludf.DUMMYFUNCTION("if(REGEXMATCH(join("", "",$F875:$G875),I$1)=TRUE,""✓"",""✗"")"),"✗")</f>
        <v>✗</v>
      </c>
      <c r="J875" s="23" t="str">
        <f>IFERROR(__xludf.DUMMYFUNCTION("if(REGEXMATCH(join("", "",$F875:$G875),J$1)=TRUE,""✓"",""✗"")"),"✗")</f>
        <v>✗</v>
      </c>
      <c r="K875" s="23" t="str">
        <f>IFERROR(__xludf.DUMMYFUNCTION("if(REGEXMATCH(join("", "",$F875:$G875),K$1)=TRUE,""✓"",""✗"")"),"✗")</f>
        <v>✗</v>
      </c>
      <c r="L875" s="23" t="str">
        <f>IFERROR(__xludf.DUMMYFUNCTION("if(REGEXMATCH(join("", "",$F875:$G875),L$1)=TRUE,""✓"",""✗"")"),"✗")</f>
        <v>✗</v>
      </c>
      <c r="M875" s="23" t="str">
        <f>IFERROR(__xludf.DUMMYFUNCTION("if(REGEXMATCH(join("", "",$F875:$G875),M$1)=TRUE,""✓"",""✗"")"),"✗")</f>
        <v>✗</v>
      </c>
      <c r="N875" s="23" t="str">
        <f>IFERROR(__xludf.DUMMYFUNCTION("if(REGEXMATCH(join("", "",$F875:$G875),N$1)=TRUE,""✓"",""✗"")"),"✗")</f>
        <v>✗</v>
      </c>
      <c r="O875" s="23" t="str">
        <f>IFERROR(__xludf.DUMMYFUNCTION("if(REGEXMATCH(join("", "",$F875:$G875),O$1)=TRUE,""✓"",""✗"")"),"✗")</f>
        <v>✗</v>
      </c>
      <c r="P875" s="23" t="str">
        <f>IFERROR(__xludf.DUMMYFUNCTION("if(REGEXMATCH(join("", "",$F875:$G875),P$1)=TRUE,""✓"",""✗"")"),"✗")</f>
        <v>✗</v>
      </c>
      <c r="Q875" s="23" t="str">
        <f>IFERROR(__xludf.DUMMYFUNCTION("if(REGEXMATCH(join("", "",$F875:$G875),Q$1)=TRUE,""✓"",""✗"")"),"✗")</f>
        <v>✗</v>
      </c>
      <c r="R875" s="23" t="str">
        <f>IFERROR(__xludf.DUMMYFUNCTION("if(REGEXMATCH(join("", "",$F875:$G875),R$1)=TRUE,""✓"",""✗"")"),"✗")</f>
        <v>✗</v>
      </c>
      <c r="S875" s="23" t="str">
        <f>IFERROR(__xludf.DUMMYFUNCTION("if(REGEXMATCH(join("", "",$F875:$G875),S$1)=TRUE,""✓"",""✗"")"),"✗")</f>
        <v>✗</v>
      </c>
      <c r="T875" s="23" t="str">
        <f>IFERROR(__xludf.DUMMYFUNCTION("if(REGEXMATCH(join("", "",$F875:$G875),T$1)=TRUE,""✓"",""✗"")"),"✗")</f>
        <v>✗</v>
      </c>
      <c r="U875" s="33"/>
      <c r="V875" s="33"/>
      <c r="W875" s="33"/>
      <c r="X875" s="33"/>
      <c r="Y875" s="33"/>
      <c r="Z875" s="33"/>
      <c r="AA875" s="33"/>
      <c r="AB875" s="33"/>
      <c r="AC875" s="33"/>
    </row>
    <row r="876" hidden="1">
      <c r="A876" s="17" t="s">
        <v>302</v>
      </c>
      <c r="B876" s="33"/>
      <c r="C876" s="33"/>
      <c r="D876" s="33"/>
      <c r="E876" s="33"/>
      <c r="F876" s="33"/>
      <c r="G876" s="33"/>
      <c r="H876" s="23" t="str">
        <f>IFERROR(__xludf.DUMMYFUNCTION("if(REGEXMATCH(join("", "",$F876:$G876),H$1)=TRUE,""✓"",""✗"")"),"✗")</f>
        <v>✗</v>
      </c>
      <c r="I876" s="23" t="str">
        <f>IFERROR(__xludf.DUMMYFUNCTION("if(REGEXMATCH(join("", "",$F876:$G876),I$1)=TRUE,""✓"",""✗"")"),"✗")</f>
        <v>✗</v>
      </c>
      <c r="J876" s="23" t="str">
        <f>IFERROR(__xludf.DUMMYFUNCTION("if(REGEXMATCH(join("", "",$F876:$G876),J$1)=TRUE,""✓"",""✗"")"),"✗")</f>
        <v>✗</v>
      </c>
      <c r="K876" s="23" t="str">
        <f>IFERROR(__xludf.DUMMYFUNCTION("if(REGEXMATCH(join("", "",$F876:$G876),K$1)=TRUE,""✓"",""✗"")"),"✗")</f>
        <v>✗</v>
      </c>
      <c r="L876" s="23" t="str">
        <f>IFERROR(__xludf.DUMMYFUNCTION("if(REGEXMATCH(join("", "",$F876:$G876),L$1)=TRUE,""✓"",""✗"")"),"✗")</f>
        <v>✗</v>
      </c>
      <c r="M876" s="23" t="str">
        <f>IFERROR(__xludf.DUMMYFUNCTION("if(REGEXMATCH(join("", "",$F876:$G876),M$1)=TRUE,""✓"",""✗"")"),"✗")</f>
        <v>✗</v>
      </c>
      <c r="N876" s="23" t="str">
        <f>IFERROR(__xludf.DUMMYFUNCTION("if(REGEXMATCH(join("", "",$F876:$G876),N$1)=TRUE,""✓"",""✗"")"),"✗")</f>
        <v>✗</v>
      </c>
      <c r="O876" s="23" t="str">
        <f>IFERROR(__xludf.DUMMYFUNCTION("if(REGEXMATCH(join("", "",$F876:$G876),O$1)=TRUE,""✓"",""✗"")"),"✗")</f>
        <v>✗</v>
      </c>
      <c r="P876" s="23" t="str">
        <f>IFERROR(__xludf.DUMMYFUNCTION("if(REGEXMATCH(join("", "",$F876:$G876),P$1)=TRUE,""✓"",""✗"")"),"✗")</f>
        <v>✗</v>
      </c>
      <c r="Q876" s="23" t="str">
        <f>IFERROR(__xludf.DUMMYFUNCTION("if(REGEXMATCH(join("", "",$F876:$G876),Q$1)=TRUE,""✓"",""✗"")"),"✗")</f>
        <v>✗</v>
      </c>
      <c r="R876" s="23" t="str">
        <f>IFERROR(__xludf.DUMMYFUNCTION("if(REGEXMATCH(join("", "",$F876:$G876),R$1)=TRUE,""✓"",""✗"")"),"✗")</f>
        <v>✗</v>
      </c>
      <c r="S876" s="23" t="str">
        <f>IFERROR(__xludf.DUMMYFUNCTION("if(REGEXMATCH(join("", "",$F876:$G876),S$1)=TRUE,""✓"",""✗"")"),"✗")</f>
        <v>✗</v>
      </c>
      <c r="T876" s="23" t="str">
        <f>IFERROR(__xludf.DUMMYFUNCTION("if(REGEXMATCH(join("", "",$F876:$G876),T$1)=TRUE,""✓"",""✗"")"),"✗")</f>
        <v>✗</v>
      </c>
      <c r="U876" s="33"/>
      <c r="V876" s="33"/>
      <c r="W876" s="33"/>
      <c r="X876" s="33"/>
      <c r="Y876" s="33"/>
      <c r="Z876" s="33"/>
      <c r="AA876" s="33"/>
      <c r="AB876" s="33"/>
      <c r="AC876" s="33"/>
    </row>
    <row r="877" hidden="1">
      <c r="A877" s="17" t="s">
        <v>302</v>
      </c>
      <c r="B877" s="33"/>
      <c r="C877" s="33"/>
      <c r="D877" s="33"/>
      <c r="E877" s="33"/>
      <c r="F877" s="33"/>
      <c r="G877" s="33"/>
      <c r="H877" s="23" t="str">
        <f>IFERROR(__xludf.DUMMYFUNCTION("if(REGEXMATCH(join("", "",$F877:$G877),H$1)=TRUE,""✓"",""✗"")"),"✗")</f>
        <v>✗</v>
      </c>
      <c r="I877" s="23" t="str">
        <f>IFERROR(__xludf.DUMMYFUNCTION("if(REGEXMATCH(join("", "",$F877:$G877),I$1)=TRUE,""✓"",""✗"")"),"✗")</f>
        <v>✗</v>
      </c>
      <c r="J877" s="23" t="str">
        <f>IFERROR(__xludf.DUMMYFUNCTION("if(REGEXMATCH(join("", "",$F877:$G877),J$1)=TRUE,""✓"",""✗"")"),"✗")</f>
        <v>✗</v>
      </c>
      <c r="K877" s="23" t="str">
        <f>IFERROR(__xludf.DUMMYFUNCTION("if(REGEXMATCH(join("", "",$F877:$G877),K$1)=TRUE,""✓"",""✗"")"),"✗")</f>
        <v>✗</v>
      </c>
      <c r="L877" s="23" t="str">
        <f>IFERROR(__xludf.DUMMYFUNCTION("if(REGEXMATCH(join("", "",$F877:$G877),L$1)=TRUE,""✓"",""✗"")"),"✗")</f>
        <v>✗</v>
      </c>
      <c r="M877" s="23" t="str">
        <f>IFERROR(__xludf.DUMMYFUNCTION("if(REGEXMATCH(join("", "",$F877:$G877),M$1)=TRUE,""✓"",""✗"")"),"✗")</f>
        <v>✗</v>
      </c>
      <c r="N877" s="23" t="str">
        <f>IFERROR(__xludf.DUMMYFUNCTION("if(REGEXMATCH(join("", "",$F877:$G877),N$1)=TRUE,""✓"",""✗"")"),"✗")</f>
        <v>✗</v>
      </c>
      <c r="O877" s="23" t="str">
        <f>IFERROR(__xludf.DUMMYFUNCTION("if(REGEXMATCH(join("", "",$F877:$G877),O$1)=TRUE,""✓"",""✗"")"),"✗")</f>
        <v>✗</v>
      </c>
      <c r="P877" s="23" t="str">
        <f>IFERROR(__xludf.DUMMYFUNCTION("if(REGEXMATCH(join("", "",$F877:$G877),P$1)=TRUE,""✓"",""✗"")"),"✗")</f>
        <v>✗</v>
      </c>
      <c r="Q877" s="23" t="str">
        <f>IFERROR(__xludf.DUMMYFUNCTION("if(REGEXMATCH(join("", "",$F877:$G877),Q$1)=TRUE,""✓"",""✗"")"),"✗")</f>
        <v>✗</v>
      </c>
      <c r="R877" s="23" t="str">
        <f>IFERROR(__xludf.DUMMYFUNCTION("if(REGEXMATCH(join("", "",$F877:$G877),R$1)=TRUE,""✓"",""✗"")"),"✗")</f>
        <v>✗</v>
      </c>
      <c r="S877" s="23" t="str">
        <f>IFERROR(__xludf.DUMMYFUNCTION("if(REGEXMATCH(join("", "",$F877:$G877),S$1)=TRUE,""✓"",""✗"")"),"✗")</f>
        <v>✗</v>
      </c>
      <c r="T877" s="23" t="str">
        <f>IFERROR(__xludf.DUMMYFUNCTION("if(REGEXMATCH(join("", "",$F877:$G877),T$1)=TRUE,""✓"",""✗"")"),"✗")</f>
        <v>✗</v>
      </c>
      <c r="U877" s="33"/>
      <c r="V877" s="33"/>
      <c r="W877" s="33"/>
      <c r="X877" s="33"/>
      <c r="Y877" s="33"/>
      <c r="Z877" s="33"/>
      <c r="AA877" s="33"/>
      <c r="AB877" s="33"/>
      <c r="AC877" s="33"/>
    </row>
    <row r="878" hidden="1">
      <c r="A878" s="17" t="s">
        <v>302</v>
      </c>
      <c r="B878" s="33"/>
      <c r="C878" s="33"/>
      <c r="D878" s="33"/>
      <c r="E878" s="33"/>
      <c r="F878" s="33"/>
      <c r="G878" s="33"/>
      <c r="H878" s="23" t="str">
        <f>IFERROR(__xludf.DUMMYFUNCTION("if(REGEXMATCH(join("", "",$F878:$G878),H$1)=TRUE,""✓"",""✗"")"),"✗")</f>
        <v>✗</v>
      </c>
      <c r="I878" s="23" t="str">
        <f>IFERROR(__xludf.DUMMYFUNCTION("if(REGEXMATCH(join("", "",$F878:$G878),I$1)=TRUE,""✓"",""✗"")"),"✗")</f>
        <v>✗</v>
      </c>
      <c r="J878" s="23" t="str">
        <f>IFERROR(__xludf.DUMMYFUNCTION("if(REGEXMATCH(join("", "",$F878:$G878),J$1)=TRUE,""✓"",""✗"")"),"✗")</f>
        <v>✗</v>
      </c>
      <c r="K878" s="23" t="str">
        <f>IFERROR(__xludf.DUMMYFUNCTION("if(REGEXMATCH(join("", "",$F878:$G878),K$1)=TRUE,""✓"",""✗"")"),"✗")</f>
        <v>✗</v>
      </c>
      <c r="L878" s="23" t="str">
        <f>IFERROR(__xludf.DUMMYFUNCTION("if(REGEXMATCH(join("", "",$F878:$G878),L$1)=TRUE,""✓"",""✗"")"),"✗")</f>
        <v>✗</v>
      </c>
      <c r="M878" s="23" t="str">
        <f>IFERROR(__xludf.DUMMYFUNCTION("if(REGEXMATCH(join("", "",$F878:$G878),M$1)=TRUE,""✓"",""✗"")"),"✗")</f>
        <v>✗</v>
      </c>
      <c r="N878" s="23" t="str">
        <f>IFERROR(__xludf.DUMMYFUNCTION("if(REGEXMATCH(join("", "",$F878:$G878),N$1)=TRUE,""✓"",""✗"")"),"✗")</f>
        <v>✗</v>
      </c>
      <c r="O878" s="23" t="str">
        <f>IFERROR(__xludf.DUMMYFUNCTION("if(REGEXMATCH(join("", "",$F878:$G878),O$1)=TRUE,""✓"",""✗"")"),"✗")</f>
        <v>✗</v>
      </c>
      <c r="P878" s="23" t="str">
        <f>IFERROR(__xludf.DUMMYFUNCTION("if(REGEXMATCH(join("", "",$F878:$G878),P$1)=TRUE,""✓"",""✗"")"),"✗")</f>
        <v>✗</v>
      </c>
      <c r="Q878" s="23" t="str">
        <f>IFERROR(__xludf.DUMMYFUNCTION("if(REGEXMATCH(join("", "",$F878:$G878),Q$1)=TRUE,""✓"",""✗"")"),"✗")</f>
        <v>✗</v>
      </c>
      <c r="R878" s="23" t="str">
        <f>IFERROR(__xludf.DUMMYFUNCTION("if(REGEXMATCH(join("", "",$F878:$G878),R$1)=TRUE,""✓"",""✗"")"),"✗")</f>
        <v>✗</v>
      </c>
      <c r="S878" s="23" t="str">
        <f>IFERROR(__xludf.DUMMYFUNCTION("if(REGEXMATCH(join("", "",$F878:$G878),S$1)=TRUE,""✓"",""✗"")"),"✗")</f>
        <v>✗</v>
      </c>
      <c r="T878" s="23" t="str">
        <f>IFERROR(__xludf.DUMMYFUNCTION("if(REGEXMATCH(join("", "",$F878:$G878),T$1)=TRUE,""✓"",""✗"")"),"✗")</f>
        <v>✗</v>
      </c>
      <c r="U878" s="33"/>
      <c r="V878" s="33"/>
      <c r="W878" s="33"/>
      <c r="X878" s="33"/>
      <c r="Y878" s="33"/>
      <c r="Z878" s="33"/>
      <c r="AA878" s="33"/>
      <c r="AB878" s="33"/>
      <c r="AC878" s="33"/>
    </row>
    <row r="879" hidden="1">
      <c r="A879" s="17" t="s">
        <v>302</v>
      </c>
      <c r="B879" s="33"/>
      <c r="C879" s="33"/>
      <c r="D879" s="33"/>
      <c r="E879" s="33"/>
      <c r="F879" s="33"/>
      <c r="G879" s="33"/>
      <c r="H879" s="23" t="str">
        <f>IFERROR(__xludf.DUMMYFUNCTION("if(REGEXMATCH(join("", "",$F879:$G879),H$1)=TRUE,""✓"",""✗"")"),"✗")</f>
        <v>✗</v>
      </c>
      <c r="I879" s="23" t="str">
        <f>IFERROR(__xludf.DUMMYFUNCTION("if(REGEXMATCH(join("", "",$F879:$G879),I$1)=TRUE,""✓"",""✗"")"),"✗")</f>
        <v>✗</v>
      </c>
      <c r="J879" s="23" t="str">
        <f>IFERROR(__xludf.DUMMYFUNCTION("if(REGEXMATCH(join("", "",$F879:$G879),J$1)=TRUE,""✓"",""✗"")"),"✗")</f>
        <v>✗</v>
      </c>
      <c r="K879" s="23" t="str">
        <f>IFERROR(__xludf.DUMMYFUNCTION("if(REGEXMATCH(join("", "",$F879:$G879),K$1)=TRUE,""✓"",""✗"")"),"✗")</f>
        <v>✗</v>
      </c>
      <c r="L879" s="23" t="str">
        <f>IFERROR(__xludf.DUMMYFUNCTION("if(REGEXMATCH(join("", "",$F879:$G879),L$1)=TRUE,""✓"",""✗"")"),"✗")</f>
        <v>✗</v>
      </c>
      <c r="M879" s="23" t="str">
        <f>IFERROR(__xludf.DUMMYFUNCTION("if(REGEXMATCH(join("", "",$F879:$G879),M$1)=TRUE,""✓"",""✗"")"),"✗")</f>
        <v>✗</v>
      </c>
      <c r="N879" s="23" t="str">
        <f>IFERROR(__xludf.DUMMYFUNCTION("if(REGEXMATCH(join("", "",$F879:$G879),N$1)=TRUE,""✓"",""✗"")"),"✗")</f>
        <v>✗</v>
      </c>
      <c r="O879" s="23" t="str">
        <f>IFERROR(__xludf.DUMMYFUNCTION("if(REGEXMATCH(join("", "",$F879:$G879),O$1)=TRUE,""✓"",""✗"")"),"✗")</f>
        <v>✗</v>
      </c>
      <c r="P879" s="23" t="str">
        <f>IFERROR(__xludf.DUMMYFUNCTION("if(REGEXMATCH(join("", "",$F879:$G879),P$1)=TRUE,""✓"",""✗"")"),"✗")</f>
        <v>✗</v>
      </c>
      <c r="Q879" s="23" t="str">
        <f>IFERROR(__xludf.DUMMYFUNCTION("if(REGEXMATCH(join("", "",$F879:$G879),Q$1)=TRUE,""✓"",""✗"")"),"✗")</f>
        <v>✗</v>
      </c>
      <c r="R879" s="23" t="str">
        <f>IFERROR(__xludf.DUMMYFUNCTION("if(REGEXMATCH(join("", "",$F879:$G879),R$1)=TRUE,""✓"",""✗"")"),"✗")</f>
        <v>✗</v>
      </c>
      <c r="S879" s="23" t="str">
        <f>IFERROR(__xludf.DUMMYFUNCTION("if(REGEXMATCH(join("", "",$F879:$G879),S$1)=TRUE,""✓"",""✗"")"),"✗")</f>
        <v>✗</v>
      </c>
      <c r="T879" s="23" t="str">
        <f>IFERROR(__xludf.DUMMYFUNCTION("if(REGEXMATCH(join("", "",$F879:$G879),T$1)=TRUE,""✓"",""✗"")"),"✗")</f>
        <v>✗</v>
      </c>
      <c r="U879" s="33"/>
      <c r="V879" s="33"/>
      <c r="W879" s="33"/>
      <c r="X879" s="33"/>
      <c r="Y879" s="33"/>
      <c r="Z879" s="33"/>
      <c r="AA879" s="33"/>
      <c r="AB879" s="33"/>
      <c r="AC879" s="33"/>
    </row>
    <row r="880" hidden="1">
      <c r="A880" s="17" t="s">
        <v>302</v>
      </c>
      <c r="B880" s="33"/>
      <c r="C880" s="33"/>
      <c r="D880" s="33"/>
      <c r="E880" s="33"/>
      <c r="F880" s="33"/>
      <c r="G880" s="33"/>
      <c r="H880" s="51">
        <f t="shared" ref="H880:T880" si="22">countif(H772:H879,"✓")</f>
        <v>0</v>
      </c>
      <c r="I880" s="51">
        <f t="shared" si="22"/>
        <v>0</v>
      </c>
      <c r="J880" s="51">
        <f t="shared" si="22"/>
        <v>0</v>
      </c>
      <c r="K880" s="51">
        <f t="shared" si="22"/>
        <v>0</v>
      </c>
      <c r="L880" s="51">
        <f t="shared" si="22"/>
        <v>0</v>
      </c>
      <c r="M880" s="51">
        <f t="shared" si="22"/>
        <v>0</v>
      </c>
      <c r="N880" s="51">
        <f t="shared" si="22"/>
        <v>0</v>
      </c>
      <c r="O880" s="51">
        <f t="shared" si="22"/>
        <v>0</v>
      </c>
      <c r="P880" s="51">
        <f t="shared" si="22"/>
        <v>0</v>
      </c>
      <c r="Q880" s="51">
        <f t="shared" si="22"/>
        <v>0</v>
      </c>
      <c r="R880" s="51">
        <f t="shared" si="22"/>
        <v>0</v>
      </c>
      <c r="S880" s="51">
        <f t="shared" si="22"/>
        <v>0</v>
      </c>
      <c r="T880" s="51">
        <f t="shared" si="22"/>
        <v>0</v>
      </c>
      <c r="U880" s="33"/>
      <c r="V880" s="33"/>
      <c r="W880" s="33"/>
      <c r="X880" s="33"/>
      <c r="Y880" s="33"/>
      <c r="Z880" s="33"/>
      <c r="AA880" s="33"/>
      <c r="AB880" s="33"/>
      <c r="AC880" s="33"/>
    </row>
    <row r="881" hidden="1">
      <c r="A881" s="17" t="s">
        <v>302</v>
      </c>
      <c r="B881" s="33"/>
      <c r="C881" s="33"/>
      <c r="D881" s="33"/>
      <c r="E881" s="33"/>
      <c r="F881" s="33"/>
      <c r="G881" s="33"/>
      <c r="H881" s="13" t="s">
        <v>2</v>
      </c>
      <c r="I881" s="13" t="s">
        <v>9</v>
      </c>
      <c r="J881" s="13" t="s">
        <v>10</v>
      </c>
      <c r="K881" s="13" t="s">
        <v>11</v>
      </c>
      <c r="L881" s="13" t="s">
        <v>12</v>
      </c>
      <c r="M881" s="13" t="s">
        <v>13</v>
      </c>
      <c r="N881" s="13" t="s">
        <v>14</v>
      </c>
      <c r="O881" s="13" t="s">
        <v>15</v>
      </c>
      <c r="P881" s="13" t="s">
        <v>4</v>
      </c>
      <c r="Q881" s="13" t="s">
        <v>16</v>
      </c>
      <c r="R881" s="13" t="s">
        <v>17</v>
      </c>
      <c r="S881" s="13" t="s">
        <v>19</v>
      </c>
      <c r="T881" s="13" t="s">
        <v>20</v>
      </c>
      <c r="U881" s="33"/>
      <c r="V881" s="33"/>
      <c r="W881" s="33"/>
      <c r="X881" s="33"/>
      <c r="Y881" s="33"/>
      <c r="Z881" s="33"/>
      <c r="AA881" s="33"/>
      <c r="AB881" s="33"/>
      <c r="AC881" s="33"/>
    </row>
    <row r="882" hidden="1">
      <c r="A882" s="17" t="s">
        <v>302</v>
      </c>
      <c r="B882" s="33"/>
      <c r="C882" s="33"/>
      <c r="D882" s="33"/>
      <c r="E882" s="33"/>
      <c r="F882" s="33"/>
      <c r="G882" s="33"/>
      <c r="H882" s="23" t="str">
        <f>IFERROR(__xludf.DUMMYFUNCTION("if(REGEXMATCH(join("", "",$F882:$G882),H$1)=TRUE,""✓"",""✗"")"),"✗")</f>
        <v>✗</v>
      </c>
      <c r="I882" s="23" t="str">
        <f>IFERROR(__xludf.DUMMYFUNCTION("if(REGEXMATCH(join("", "",$F882:$G882),I$1)=TRUE,""✓"",""✗"")"),"✗")</f>
        <v>✗</v>
      </c>
      <c r="J882" s="23" t="str">
        <f>IFERROR(__xludf.DUMMYFUNCTION("if(REGEXMATCH(join("", "",$F882:$G882),J$1)=TRUE,""✓"",""✗"")"),"✗")</f>
        <v>✗</v>
      </c>
      <c r="K882" s="23" t="str">
        <f>IFERROR(__xludf.DUMMYFUNCTION("if(REGEXMATCH(join("", "",$F882:$G882),K$1)=TRUE,""✓"",""✗"")"),"✗")</f>
        <v>✗</v>
      </c>
      <c r="L882" s="23" t="str">
        <f>IFERROR(__xludf.DUMMYFUNCTION("if(REGEXMATCH(join("", "",$F882:$G882),L$1)=TRUE,""✓"",""✗"")"),"✗")</f>
        <v>✗</v>
      </c>
      <c r="M882" s="23" t="str">
        <f>IFERROR(__xludf.DUMMYFUNCTION("if(REGEXMATCH(join("", "",$F882:$G882),M$1)=TRUE,""✓"",""✗"")"),"✗")</f>
        <v>✗</v>
      </c>
      <c r="N882" s="23" t="str">
        <f>IFERROR(__xludf.DUMMYFUNCTION("if(REGEXMATCH(join("", "",$F882:$G882),N$1)=TRUE,""✓"",""✗"")"),"✗")</f>
        <v>✗</v>
      </c>
      <c r="O882" s="23" t="str">
        <f>IFERROR(__xludf.DUMMYFUNCTION("if(REGEXMATCH(join("", "",$F882:$G882),O$1)=TRUE,""✓"",""✗"")"),"✗")</f>
        <v>✗</v>
      </c>
      <c r="P882" s="23" t="str">
        <f>IFERROR(__xludf.DUMMYFUNCTION("if(REGEXMATCH(join("", "",$F882:$G882),P$1)=TRUE,""✓"",""✗"")"),"✗")</f>
        <v>✗</v>
      </c>
      <c r="Q882" s="23" t="str">
        <f>IFERROR(__xludf.DUMMYFUNCTION("if(REGEXMATCH(join("", "",$F882:$G882),Q$1)=TRUE,""✓"",""✗"")"),"✗")</f>
        <v>✗</v>
      </c>
      <c r="R882" s="23" t="str">
        <f>IFERROR(__xludf.DUMMYFUNCTION("if(REGEXMATCH(join("", "",$F882:$G882),R$1)=TRUE,""✓"",""✗"")"),"✗")</f>
        <v>✗</v>
      </c>
      <c r="S882" s="23" t="str">
        <f>IFERROR(__xludf.DUMMYFUNCTION("if(REGEXMATCH(join("", "",$F882:$G882),S$1)=TRUE,""✓"",""✗"")"),"✗")</f>
        <v>✗</v>
      </c>
      <c r="T882" s="23" t="str">
        <f>IFERROR(__xludf.DUMMYFUNCTION("if(REGEXMATCH(join("", "",$F882:$G882),T$1)=TRUE,""✓"",""✗"")"),"✗")</f>
        <v>✗</v>
      </c>
      <c r="U882" s="33"/>
      <c r="V882" s="33"/>
      <c r="W882" s="33"/>
      <c r="X882" s="33"/>
      <c r="Y882" s="33"/>
      <c r="Z882" s="33"/>
      <c r="AA882" s="33"/>
      <c r="AB882" s="33"/>
      <c r="AC882" s="33"/>
    </row>
    <row r="883" hidden="1">
      <c r="A883" s="17" t="s">
        <v>302</v>
      </c>
      <c r="B883" s="33"/>
      <c r="C883" s="33"/>
      <c r="D883" s="33"/>
      <c r="E883" s="33"/>
      <c r="F883" s="33"/>
      <c r="G883" s="33"/>
      <c r="H883" s="23" t="str">
        <f>IFERROR(__xludf.DUMMYFUNCTION("if(REGEXMATCH(join("", "",$F883:$G883),H$1)=TRUE,""✓"",""✗"")"),"✗")</f>
        <v>✗</v>
      </c>
      <c r="I883" s="23" t="str">
        <f>IFERROR(__xludf.DUMMYFUNCTION("if(REGEXMATCH(join("", "",$F883:$G883),I$1)=TRUE,""✓"",""✗"")"),"✗")</f>
        <v>✗</v>
      </c>
      <c r="J883" s="23" t="str">
        <f>IFERROR(__xludf.DUMMYFUNCTION("if(REGEXMATCH(join("", "",$F883:$G883),J$1)=TRUE,""✓"",""✗"")"),"✗")</f>
        <v>✗</v>
      </c>
      <c r="K883" s="23" t="str">
        <f>IFERROR(__xludf.DUMMYFUNCTION("if(REGEXMATCH(join("", "",$F883:$G883),K$1)=TRUE,""✓"",""✗"")"),"✗")</f>
        <v>✗</v>
      </c>
      <c r="L883" s="23" t="str">
        <f>IFERROR(__xludf.DUMMYFUNCTION("if(REGEXMATCH(join("", "",$F883:$G883),L$1)=TRUE,""✓"",""✗"")"),"✗")</f>
        <v>✗</v>
      </c>
      <c r="M883" s="23" t="str">
        <f>IFERROR(__xludf.DUMMYFUNCTION("if(REGEXMATCH(join("", "",$F883:$G883),M$1)=TRUE,""✓"",""✗"")"),"✗")</f>
        <v>✗</v>
      </c>
      <c r="N883" s="23" t="str">
        <f>IFERROR(__xludf.DUMMYFUNCTION("if(REGEXMATCH(join("", "",$F883:$G883),N$1)=TRUE,""✓"",""✗"")"),"✗")</f>
        <v>✗</v>
      </c>
      <c r="O883" s="23" t="str">
        <f>IFERROR(__xludf.DUMMYFUNCTION("if(REGEXMATCH(join("", "",$F883:$G883),O$1)=TRUE,""✓"",""✗"")"),"✗")</f>
        <v>✗</v>
      </c>
      <c r="P883" s="23" t="str">
        <f>IFERROR(__xludf.DUMMYFUNCTION("if(REGEXMATCH(join("", "",$F883:$G883),P$1)=TRUE,""✓"",""✗"")"),"✗")</f>
        <v>✗</v>
      </c>
      <c r="Q883" s="23" t="str">
        <f>IFERROR(__xludf.DUMMYFUNCTION("if(REGEXMATCH(join("", "",$F883:$G883),Q$1)=TRUE,""✓"",""✗"")"),"✗")</f>
        <v>✗</v>
      </c>
      <c r="R883" s="23" t="str">
        <f>IFERROR(__xludf.DUMMYFUNCTION("if(REGEXMATCH(join("", "",$F883:$G883),R$1)=TRUE,""✓"",""✗"")"),"✗")</f>
        <v>✗</v>
      </c>
      <c r="S883" s="23" t="str">
        <f>IFERROR(__xludf.DUMMYFUNCTION("if(REGEXMATCH(join("", "",$F883:$G883),S$1)=TRUE,""✓"",""✗"")"),"✗")</f>
        <v>✗</v>
      </c>
      <c r="T883" s="23" t="str">
        <f>IFERROR(__xludf.DUMMYFUNCTION("if(REGEXMATCH(join("", "",$F883:$G883),T$1)=TRUE,""✓"",""✗"")"),"✗")</f>
        <v>✗</v>
      </c>
      <c r="U883" s="33"/>
      <c r="V883" s="33"/>
      <c r="W883" s="33"/>
      <c r="X883" s="33"/>
      <c r="Y883" s="33"/>
      <c r="Z883" s="33"/>
      <c r="AA883" s="33"/>
      <c r="AB883" s="33"/>
      <c r="AC883" s="33"/>
    </row>
    <row r="884" hidden="1">
      <c r="A884" s="17" t="s">
        <v>302</v>
      </c>
      <c r="B884" s="33"/>
      <c r="C884" s="33"/>
      <c r="D884" s="33"/>
      <c r="E884" s="33"/>
      <c r="F884" s="33"/>
      <c r="G884" s="33"/>
      <c r="H884" s="23" t="str">
        <f>IFERROR(__xludf.DUMMYFUNCTION("if(REGEXMATCH(join("", "",$F884:$G884),H$1)=TRUE,""✓"",""✗"")"),"✗")</f>
        <v>✗</v>
      </c>
      <c r="I884" s="23" t="str">
        <f>IFERROR(__xludf.DUMMYFUNCTION("if(REGEXMATCH(join("", "",$F884:$G884),I$1)=TRUE,""✓"",""✗"")"),"✗")</f>
        <v>✗</v>
      </c>
      <c r="J884" s="23" t="str">
        <f>IFERROR(__xludf.DUMMYFUNCTION("if(REGEXMATCH(join("", "",$F884:$G884),J$1)=TRUE,""✓"",""✗"")"),"✗")</f>
        <v>✗</v>
      </c>
      <c r="K884" s="23" t="str">
        <f>IFERROR(__xludf.DUMMYFUNCTION("if(REGEXMATCH(join("", "",$F884:$G884),K$1)=TRUE,""✓"",""✗"")"),"✗")</f>
        <v>✗</v>
      </c>
      <c r="L884" s="23" t="str">
        <f>IFERROR(__xludf.DUMMYFUNCTION("if(REGEXMATCH(join("", "",$F884:$G884),L$1)=TRUE,""✓"",""✗"")"),"✗")</f>
        <v>✗</v>
      </c>
      <c r="M884" s="23" t="str">
        <f>IFERROR(__xludf.DUMMYFUNCTION("if(REGEXMATCH(join("", "",$F884:$G884),M$1)=TRUE,""✓"",""✗"")"),"✗")</f>
        <v>✗</v>
      </c>
      <c r="N884" s="23" t="str">
        <f>IFERROR(__xludf.DUMMYFUNCTION("if(REGEXMATCH(join("", "",$F884:$G884),N$1)=TRUE,""✓"",""✗"")"),"✗")</f>
        <v>✗</v>
      </c>
      <c r="O884" s="23" t="str">
        <f>IFERROR(__xludf.DUMMYFUNCTION("if(REGEXMATCH(join("", "",$F884:$G884),O$1)=TRUE,""✓"",""✗"")"),"✗")</f>
        <v>✗</v>
      </c>
      <c r="P884" s="23" t="str">
        <f>IFERROR(__xludf.DUMMYFUNCTION("if(REGEXMATCH(join("", "",$F884:$G884),P$1)=TRUE,""✓"",""✗"")"),"✗")</f>
        <v>✗</v>
      </c>
      <c r="Q884" s="23" t="str">
        <f>IFERROR(__xludf.DUMMYFUNCTION("if(REGEXMATCH(join("", "",$F884:$G884),Q$1)=TRUE,""✓"",""✗"")"),"✗")</f>
        <v>✗</v>
      </c>
      <c r="R884" s="23" t="str">
        <f>IFERROR(__xludf.DUMMYFUNCTION("if(REGEXMATCH(join("", "",$F884:$G884),R$1)=TRUE,""✓"",""✗"")"),"✗")</f>
        <v>✗</v>
      </c>
      <c r="S884" s="23" t="str">
        <f>IFERROR(__xludf.DUMMYFUNCTION("if(REGEXMATCH(join("", "",$F884:$G884),S$1)=TRUE,""✓"",""✗"")"),"✗")</f>
        <v>✗</v>
      </c>
      <c r="T884" s="23" t="str">
        <f>IFERROR(__xludf.DUMMYFUNCTION("if(REGEXMATCH(join("", "",$F884:$G884),T$1)=TRUE,""✓"",""✗"")"),"✗")</f>
        <v>✗</v>
      </c>
      <c r="U884" s="33"/>
      <c r="V884" s="33"/>
      <c r="W884" s="33"/>
      <c r="X884" s="33"/>
      <c r="Y884" s="33"/>
      <c r="Z884" s="33"/>
      <c r="AA884" s="33"/>
      <c r="AB884" s="33"/>
      <c r="AC884" s="33"/>
    </row>
    <row r="885" hidden="1">
      <c r="A885" s="17" t="s">
        <v>302</v>
      </c>
      <c r="B885" s="33"/>
      <c r="C885" s="33"/>
      <c r="D885" s="33"/>
      <c r="E885" s="33"/>
      <c r="F885" s="33"/>
      <c r="G885" s="33"/>
      <c r="H885" s="23" t="str">
        <f>IFERROR(__xludf.DUMMYFUNCTION("if(REGEXMATCH(join("", "",$F885:$G885),H$1)=TRUE,""✓"",""✗"")"),"✗")</f>
        <v>✗</v>
      </c>
      <c r="I885" s="23" t="str">
        <f>IFERROR(__xludf.DUMMYFUNCTION("if(REGEXMATCH(join("", "",$F885:$G885),I$1)=TRUE,""✓"",""✗"")"),"✗")</f>
        <v>✗</v>
      </c>
      <c r="J885" s="23" t="str">
        <f>IFERROR(__xludf.DUMMYFUNCTION("if(REGEXMATCH(join("", "",$F885:$G885),J$1)=TRUE,""✓"",""✗"")"),"✗")</f>
        <v>✗</v>
      </c>
      <c r="K885" s="23" t="str">
        <f>IFERROR(__xludf.DUMMYFUNCTION("if(REGEXMATCH(join("", "",$F885:$G885),K$1)=TRUE,""✓"",""✗"")"),"✗")</f>
        <v>✗</v>
      </c>
      <c r="L885" s="23" t="str">
        <f>IFERROR(__xludf.DUMMYFUNCTION("if(REGEXMATCH(join("", "",$F885:$G885),L$1)=TRUE,""✓"",""✗"")"),"✗")</f>
        <v>✗</v>
      </c>
      <c r="M885" s="23" t="str">
        <f>IFERROR(__xludf.DUMMYFUNCTION("if(REGEXMATCH(join("", "",$F885:$G885),M$1)=TRUE,""✓"",""✗"")"),"✗")</f>
        <v>✗</v>
      </c>
      <c r="N885" s="23" t="str">
        <f>IFERROR(__xludf.DUMMYFUNCTION("if(REGEXMATCH(join("", "",$F885:$G885),N$1)=TRUE,""✓"",""✗"")"),"✗")</f>
        <v>✗</v>
      </c>
      <c r="O885" s="23" t="str">
        <f>IFERROR(__xludf.DUMMYFUNCTION("if(REGEXMATCH(join("", "",$F885:$G885),O$1)=TRUE,""✓"",""✗"")"),"✗")</f>
        <v>✗</v>
      </c>
      <c r="P885" s="23" t="str">
        <f>IFERROR(__xludf.DUMMYFUNCTION("if(REGEXMATCH(join("", "",$F885:$G885),P$1)=TRUE,""✓"",""✗"")"),"✗")</f>
        <v>✗</v>
      </c>
      <c r="Q885" s="23" t="str">
        <f>IFERROR(__xludf.DUMMYFUNCTION("if(REGEXMATCH(join("", "",$F885:$G885),Q$1)=TRUE,""✓"",""✗"")"),"✗")</f>
        <v>✗</v>
      </c>
      <c r="R885" s="23" t="str">
        <f>IFERROR(__xludf.DUMMYFUNCTION("if(REGEXMATCH(join("", "",$F885:$G885),R$1)=TRUE,""✓"",""✗"")"),"✗")</f>
        <v>✗</v>
      </c>
      <c r="S885" s="23" t="str">
        <f>IFERROR(__xludf.DUMMYFUNCTION("if(REGEXMATCH(join("", "",$F885:$G885),S$1)=TRUE,""✓"",""✗"")"),"✗")</f>
        <v>✗</v>
      </c>
      <c r="T885" s="23" t="str">
        <f>IFERROR(__xludf.DUMMYFUNCTION("if(REGEXMATCH(join("", "",$F885:$G885),T$1)=TRUE,""✓"",""✗"")"),"✗")</f>
        <v>✗</v>
      </c>
      <c r="U885" s="33"/>
      <c r="V885" s="33"/>
      <c r="W885" s="33"/>
      <c r="X885" s="33"/>
      <c r="Y885" s="33"/>
      <c r="Z885" s="33"/>
      <c r="AA885" s="33"/>
      <c r="AB885" s="33"/>
      <c r="AC885" s="33"/>
    </row>
    <row r="886" hidden="1">
      <c r="A886" s="17" t="s">
        <v>302</v>
      </c>
      <c r="B886" s="33"/>
      <c r="C886" s="33"/>
      <c r="D886" s="33"/>
      <c r="E886" s="33"/>
      <c r="F886" s="33"/>
      <c r="G886" s="33"/>
      <c r="H886" s="23" t="str">
        <f>IFERROR(__xludf.DUMMYFUNCTION("if(REGEXMATCH(join("", "",$F886:$G886),H$1)=TRUE,""✓"",""✗"")"),"✗")</f>
        <v>✗</v>
      </c>
      <c r="I886" s="23" t="str">
        <f>IFERROR(__xludf.DUMMYFUNCTION("if(REGEXMATCH(join("", "",$F886:$G886),I$1)=TRUE,""✓"",""✗"")"),"✗")</f>
        <v>✗</v>
      </c>
      <c r="J886" s="23" t="str">
        <f>IFERROR(__xludf.DUMMYFUNCTION("if(REGEXMATCH(join("", "",$F886:$G886),J$1)=TRUE,""✓"",""✗"")"),"✗")</f>
        <v>✗</v>
      </c>
      <c r="K886" s="23" t="str">
        <f>IFERROR(__xludf.DUMMYFUNCTION("if(REGEXMATCH(join("", "",$F886:$G886),K$1)=TRUE,""✓"",""✗"")"),"✗")</f>
        <v>✗</v>
      </c>
      <c r="L886" s="23" t="str">
        <f>IFERROR(__xludf.DUMMYFUNCTION("if(REGEXMATCH(join("", "",$F886:$G886),L$1)=TRUE,""✓"",""✗"")"),"✗")</f>
        <v>✗</v>
      </c>
      <c r="M886" s="23" t="str">
        <f>IFERROR(__xludf.DUMMYFUNCTION("if(REGEXMATCH(join("", "",$F886:$G886),M$1)=TRUE,""✓"",""✗"")"),"✗")</f>
        <v>✗</v>
      </c>
      <c r="N886" s="23" t="str">
        <f>IFERROR(__xludf.DUMMYFUNCTION("if(REGEXMATCH(join("", "",$F886:$G886),N$1)=TRUE,""✓"",""✗"")"),"✗")</f>
        <v>✗</v>
      </c>
      <c r="O886" s="23" t="str">
        <f>IFERROR(__xludf.DUMMYFUNCTION("if(REGEXMATCH(join("", "",$F886:$G886),O$1)=TRUE,""✓"",""✗"")"),"✗")</f>
        <v>✗</v>
      </c>
      <c r="P886" s="23" t="str">
        <f>IFERROR(__xludf.DUMMYFUNCTION("if(REGEXMATCH(join("", "",$F886:$G886),P$1)=TRUE,""✓"",""✗"")"),"✗")</f>
        <v>✗</v>
      </c>
      <c r="Q886" s="23" t="str">
        <f>IFERROR(__xludf.DUMMYFUNCTION("if(REGEXMATCH(join("", "",$F886:$G886),Q$1)=TRUE,""✓"",""✗"")"),"✗")</f>
        <v>✗</v>
      </c>
      <c r="R886" s="23" t="str">
        <f>IFERROR(__xludf.DUMMYFUNCTION("if(REGEXMATCH(join("", "",$F886:$G886),R$1)=TRUE,""✓"",""✗"")"),"✗")</f>
        <v>✗</v>
      </c>
      <c r="S886" s="23" t="str">
        <f>IFERROR(__xludf.DUMMYFUNCTION("if(REGEXMATCH(join("", "",$F886:$G886),S$1)=TRUE,""✓"",""✗"")"),"✗")</f>
        <v>✗</v>
      </c>
      <c r="T886" s="23" t="str">
        <f>IFERROR(__xludf.DUMMYFUNCTION("if(REGEXMATCH(join("", "",$F886:$G886),T$1)=TRUE,""✓"",""✗"")"),"✗")</f>
        <v>✗</v>
      </c>
      <c r="U886" s="33"/>
      <c r="V886" s="33"/>
      <c r="W886" s="33"/>
      <c r="X886" s="33"/>
      <c r="Y886" s="33"/>
      <c r="Z886" s="33"/>
      <c r="AA886" s="33"/>
      <c r="AB886" s="33"/>
      <c r="AC886" s="33"/>
    </row>
    <row r="887" hidden="1">
      <c r="A887" s="17" t="s">
        <v>302</v>
      </c>
      <c r="B887" s="33"/>
      <c r="C887" s="33"/>
      <c r="D887" s="33"/>
      <c r="E887" s="33"/>
      <c r="F887" s="33"/>
      <c r="G887" s="33"/>
      <c r="H887" s="23" t="str">
        <f>IFERROR(__xludf.DUMMYFUNCTION("if(REGEXMATCH(join("", "",$F887:$G887),H$1)=TRUE,""✓"",""✗"")"),"✗")</f>
        <v>✗</v>
      </c>
      <c r="I887" s="23" t="str">
        <f>IFERROR(__xludf.DUMMYFUNCTION("if(REGEXMATCH(join("", "",$F887:$G887),I$1)=TRUE,""✓"",""✗"")"),"✗")</f>
        <v>✗</v>
      </c>
      <c r="J887" s="23" t="str">
        <f>IFERROR(__xludf.DUMMYFUNCTION("if(REGEXMATCH(join("", "",$F887:$G887),J$1)=TRUE,""✓"",""✗"")"),"✗")</f>
        <v>✗</v>
      </c>
      <c r="K887" s="23" t="str">
        <f>IFERROR(__xludf.DUMMYFUNCTION("if(REGEXMATCH(join("", "",$F887:$G887),K$1)=TRUE,""✓"",""✗"")"),"✗")</f>
        <v>✗</v>
      </c>
      <c r="L887" s="23" t="str">
        <f>IFERROR(__xludf.DUMMYFUNCTION("if(REGEXMATCH(join("", "",$F887:$G887),L$1)=TRUE,""✓"",""✗"")"),"✗")</f>
        <v>✗</v>
      </c>
      <c r="M887" s="23" t="str">
        <f>IFERROR(__xludf.DUMMYFUNCTION("if(REGEXMATCH(join("", "",$F887:$G887),M$1)=TRUE,""✓"",""✗"")"),"✗")</f>
        <v>✗</v>
      </c>
      <c r="N887" s="23" t="str">
        <f>IFERROR(__xludf.DUMMYFUNCTION("if(REGEXMATCH(join("", "",$F887:$G887),N$1)=TRUE,""✓"",""✗"")"),"✗")</f>
        <v>✗</v>
      </c>
      <c r="O887" s="23" t="str">
        <f>IFERROR(__xludf.DUMMYFUNCTION("if(REGEXMATCH(join("", "",$F887:$G887),O$1)=TRUE,""✓"",""✗"")"),"✗")</f>
        <v>✗</v>
      </c>
      <c r="P887" s="23" t="str">
        <f>IFERROR(__xludf.DUMMYFUNCTION("if(REGEXMATCH(join("", "",$F887:$G887),P$1)=TRUE,""✓"",""✗"")"),"✗")</f>
        <v>✗</v>
      </c>
      <c r="Q887" s="23" t="str">
        <f>IFERROR(__xludf.DUMMYFUNCTION("if(REGEXMATCH(join("", "",$F887:$G887),Q$1)=TRUE,""✓"",""✗"")"),"✗")</f>
        <v>✗</v>
      </c>
      <c r="R887" s="23" t="str">
        <f>IFERROR(__xludf.DUMMYFUNCTION("if(REGEXMATCH(join("", "",$F887:$G887),R$1)=TRUE,""✓"",""✗"")"),"✗")</f>
        <v>✗</v>
      </c>
      <c r="S887" s="23" t="str">
        <f>IFERROR(__xludf.DUMMYFUNCTION("if(REGEXMATCH(join("", "",$F887:$G887),S$1)=TRUE,""✓"",""✗"")"),"✗")</f>
        <v>✗</v>
      </c>
      <c r="T887" s="23" t="str">
        <f>IFERROR(__xludf.DUMMYFUNCTION("if(REGEXMATCH(join("", "",$F887:$G887),T$1)=TRUE,""✓"",""✗"")"),"✗")</f>
        <v>✗</v>
      </c>
      <c r="U887" s="33"/>
      <c r="V887" s="33"/>
      <c r="W887" s="33"/>
      <c r="X887" s="33"/>
      <c r="Y887" s="33"/>
      <c r="Z887" s="33"/>
      <c r="AA887" s="33"/>
      <c r="AB887" s="33"/>
      <c r="AC887" s="33"/>
    </row>
    <row r="888" hidden="1">
      <c r="A888" s="17" t="s">
        <v>302</v>
      </c>
      <c r="B888" s="33"/>
      <c r="C888" s="33"/>
      <c r="D888" s="33"/>
      <c r="E888" s="33"/>
      <c r="F888" s="33"/>
      <c r="G888" s="33"/>
      <c r="H888" s="23" t="str">
        <f>IFERROR(__xludf.DUMMYFUNCTION("if(REGEXMATCH(join("", "",$F888:$G888),H$1)=TRUE,""✓"",""✗"")"),"✗")</f>
        <v>✗</v>
      </c>
      <c r="I888" s="23" t="str">
        <f>IFERROR(__xludf.DUMMYFUNCTION("if(REGEXMATCH(join("", "",$F888:$G888),I$1)=TRUE,""✓"",""✗"")"),"✗")</f>
        <v>✗</v>
      </c>
      <c r="J888" s="23" t="str">
        <f>IFERROR(__xludf.DUMMYFUNCTION("if(REGEXMATCH(join("", "",$F888:$G888),J$1)=TRUE,""✓"",""✗"")"),"✗")</f>
        <v>✗</v>
      </c>
      <c r="K888" s="23" t="str">
        <f>IFERROR(__xludf.DUMMYFUNCTION("if(REGEXMATCH(join("", "",$F888:$G888),K$1)=TRUE,""✓"",""✗"")"),"✗")</f>
        <v>✗</v>
      </c>
      <c r="L888" s="23" t="str">
        <f>IFERROR(__xludf.DUMMYFUNCTION("if(REGEXMATCH(join("", "",$F888:$G888),L$1)=TRUE,""✓"",""✗"")"),"✗")</f>
        <v>✗</v>
      </c>
      <c r="M888" s="23" t="str">
        <f>IFERROR(__xludf.DUMMYFUNCTION("if(REGEXMATCH(join("", "",$F888:$G888),M$1)=TRUE,""✓"",""✗"")"),"✗")</f>
        <v>✗</v>
      </c>
      <c r="N888" s="23" t="str">
        <f>IFERROR(__xludf.DUMMYFUNCTION("if(REGEXMATCH(join("", "",$F888:$G888),N$1)=TRUE,""✓"",""✗"")"),"✗")</f>
        <v>✗</v>
      </c>
      <c r="O888" s="23" t="str">
        <f>IFERROR(__xludf.DUMMYFUNCTION("if(REGEXMATCH(join("", "",$F888:$G888),O$1)=TRUE,""✓"",""✗"")"),"✗")</f>
        <v>✗</v>
      </c>
      <c r="P888" s="23" t="str">
        <f>IFERROR(__xludf.DUMMYFUNCTION("if(REGEXMATCH(join("", "",$F888:$G888),P$1)=TRUE,""✓"",""✗"")"),"✗")</f>
        <v>✗</v>
      </c>
      <c r="Q888" s="23" t="str">
        <f>IFERROR(__xludf.DUMMYFUNCTION("if(REGEXMATCH(join("", "",$F888:$G888),Q$1)=TRUE,""✓"",""✗"")"),"✗")</f>
        <v>✗</v>
      </c>
      <c r="R888" s="23" t="str">
        <f>IFERROR(__xludf.DUMMYFUNCTION("if(REGEXMATCH(join("", "",$F888:$G888),R$1)=TRUE,""✓"",""✗"")"),"✗")</f>
        <v>✗</v>
      </c>
      <c r="S888" s="23" t="str">
        <f>IFERROR(__xludf.DUMMYFUNCTION("if(REGEXMATCH(join("", "",$F888:$G888),S$1)=TRUE,""✓"",""✗"")"),"✗")</f>
        <v>✗</v>
      </c>
      <c r="T888" s="23" t="str">
        <f>IFERROR(__xludf.DUMMYFUNCTION("if(REGEXMATCH(join("", "",$F888:$G888),T$1)=TRUE,""✓"",""✗"")"),"✗")</f>
        <v>✗</v>
      </c>
      <c r="U888" s="33"/>
      <c r="V888" s="33"/>
      <c r="W888" s="33"/>
      <c r="X888" s="33"/>
      <c r="Y888" s="33"/>
      <c r="Z888" s="33"/>
      <c r="AA888" s="33"/>
      <c r="AB888" s="33"/>
      <c r="AC888" s="33"/>
    </row>
    <row r="889" hidden="1">
      <c r="A889" s="17" t="s">
        <v>302</v>
      </c>
      <c r="B889" s="33"/>
      <c r="C889" s="33"/>
      <c r="D889" s="33"/>
      <c r="E889" s="33"/>
      <c r="F889" s="33"/>
      <c r="G889" s="33"/>
      <c r="H889" s="23" t="str">
        <f>IFERROR(__xludf.DUMMYFUNCTION("if(REGEXMATCH(join("", "",$F889:$G889),H$1)=TRUE,""✓"",""✗"")"),"✗")</f>
        <v>✗</v>
      </c>
      <c r="I889" s="23" t="str">
        <f>IFERROR(__xludf.DUMMYFUNCTION("if(REGEXMATCH(join("", "",$F889:$G889),I$1)=TRUE,""✓"",""✗"")"),"✗")</f>
        <v>✗</v>
      </c>
      <c r="J889" s="23" t="str">
        <f>IFERROR(__xludf.DUMMYFUNCTION("if(REGEXMATCH(join("", "",$F889:$G889),J$1)=TRUE,""✓"",""✗"")"),"✗")</f>
        <v>✗</v>
      </c>
      <c r="K889" s="23" t="str">
        <f>IFERROR(__xludf.DUMMYFUNCTION("if(REGEXMATCH(join("", "",$F889:$G889),K$1)=TRUE,""✓"",""✗"")"),"✗")</f>
        <v>✗</v>
      </c>
      <c r="L889" s="23" t="str">
        <f>IFERROR(__xludf.DUMMYFUNCTION("if(REGEXMATCH(join("", "",$F889:$G889),L$1)=TRUE,""✓"",""✗"")"),"✗")</f>
        <v>✗</v>
      </c>
      <c r="M889" s="23" t="str">
        <f>IFERROR(__xludf.DUMMYFUNCTION("if(REGEXMATCH(join("", "",$F889:$G889),M$1)=TRUE,""✓"",""✗"")"),"✗")</f>
        <v>✗</v>
      </c>
      <c r="N889" s="23" t="str">
        <f>IFERROR(__xludf.DUMMYFUNCTION("if(REGEXMATCH(join("", "",$F889:$G889),N$1)=TRUE,""✓"",""✗"")"),"✗")</f>
        <v>✗</v>
      </c>
      <c r="O889" s="23" t="str">
        <f>IFERROR(__xludf.DUMMYFUNCTION("if(REGEXMATCH(join("", "",$F889:$G889),O$1)=TRUE,""✓"",""✗"")"),"✗")</f>
        <v>✗</v>
      </c>
      <c r="P889" s="23" t="str">
        <f>IFERROR(__xludf.DUMMYFUNCTION("if(REGEXMATCH(join("", "",$F889:$G889),P$1)=TRUE,""✓"",""✗"")"),"✗")</f>
        <v>✗</v>
      </c>
      <c r="Q889" s="23" t="str">
        <f>IFERROR(__xludf.DUMMYFUNCTION("if(REGEXMATCH(join("", "",$F889:$G889),Q$1)=TRUE,""✓"",""✗"")"),"✗")</f>
        <v>✗</v>
      </c>
      <c r="R889" s="23" t="str">
        <f>IFERROR(__xludf.DUMMYFUNCTION("if(REGEXMATCH(join("", "",$F889:$G889),R$1)=TRUE,""✓"",""✗"")"),"✗")</f>
        <v>✗</v>
      </c>
      <c r="S889" s="23" t="str">
        <f>IFERROR(__xludf.DUMMYFUNCTION("if(REGEXMATCH(join("", "",$F889:$G889),S$1)=TRUE,""✓"",""✗"")"),"✗")</f>
        <v>✗</v>
      </c>
      <c r="T889" s="23" t="str">
        <f>IFERROR(__xludf.DUMMYFUNCTION("if(REGEXMATCH(join("", "",$F889:$G889),T$1)=TRUE,""✓"",""✗"")"),"✗")</f>
        <v>✗</v>
      </c>
      <c r="U889" s="33"/>
      <c r="V889" s="33"/>
      <c r="W889" s="33"/>
      <c r="X889" s="33"/>
      <c r="Y889" s="33"/>
      <c r="Z889" s="33"/>
      <c r="AA889" s="33"/>
      <c r="AB889" s="33"/>
      <c r="AC889" s="33"/>
    </row>
    <row r="890" hidden="1">
      <c r="A890" s="17" t="s">
        <v>302</v>
      </c>
      <c r="B890" s="33"/>
      <c r="C890" s="33"/>
      <c r="D890" s="33"/>
      <c r="E890" s="33"/>
      <c r="F890" s="33"/>
      <c r="G890" s="33"/>
      <c r="H890" s="23" t="str">
        <f>IFERROR(__xludf.DUMMYFUNCTION("if(REGEXMATCH(join("", "",$F890:$G890),H$1)=TRUE,""✓"",""✗"")"),"✗")</f>
        <v>✗</v>
      </c>
      <c r="I890" s="23" t="str">
        <f>IFERROR(__xludf.DUMMYFUNCTION("if(REGEXMATCH(join("", "",$F890:$G890),I$1)=TRUE,""✓"",""✗"")"),"✗")</f>
        <v>✗</v>
      </c>
      <c r="J890" s="23" t="str">
        <f>IFERROR(__xludf.DUMMYFUNCTION("if(REGEXMATCH(join("", "",$F890:$G890),J$1)=TRUE,""✓"",""✗"")"),"✗")</f>
        <v>✗</v>
      </c>
      <c r="K890" s="23" t="str">
        <f>IFERROR(__xludf.DUMMYFUNCTION("if(REGEXMATCH(join("", "",$F890:$G890),K$1)=TRUE,""✓"",""✗"")"),"✗")</f>
        <v>✗</v>
      </c>
      <c r="L890" s="23" t="str">
        <f>IFERROR(__xludf.DUMMYFUNCTION("if(REGEXMATCH(join("", "",$F890:$G890),L$1)=TRUE,""✓"",""✗"")"),"✗")</f>
        <v>✗</v>
      </c>
      <c r="M890" s="23" t="str">
        <f>IFERROR(__xludf.DUMMYFUNCTION("if(REGEXMATCH(join("", "",$F890:$G890),M$1)=TRUE,""✓"",""✗"")"),"✗")</f>
        <v>✗</v>
      </c>
      <c r="N890" s="23" t="str">
        <f>IFERROR(__xludf.DUMMYFUNCTION("if(REGEXMATCH(join("", "",$F890:$G890),N$1)=TRUE,""✓"",""✗"")"),"✗")</f>
        <v>✗</v>
      </c>
      <c r="O890" s="23" t="str">
        <f>IFERROR(__xludf.DUMMYFUNCTION("if(REGEXMATCH(join("", "",$F890:$G890),O$1)=TRUE,""✓"",""✗"")"),"✗")</f>
        <v>✗</v>
      </c>
      <c r="P890" s="23" t="str">
        <f>IFERROR(__xludf.DUMMYFUNCTION("if(REGEXMATCH(join("", "",$F890:$G890),P$1)=TRUE,""✓"",""✗"")"),"✗")</f>
        <v>✗</v>
      </c>
      <c r="Q890" s="23" t="str">
        <f>IFERROR(__xludf.DUMMYFUNCTION("if(REGEXMATCH(join("", "",$F890:$G890),Q$1)=TRUE,""✓"",""✗"")"),"✗")</f>
        <v>✗</v>
      </c>
      <c r="R890" s="23" t="str">
        <f>IFERROR(__xludf.DUMMYFUNCTION("if(REGEXMATCH(join("", "",$F890:$G890),R$1)=TRUE,""✓"",""✗"")"),"✗")</f>
        <v>✗</v>
      </c>
      <c r="S890" s="23" t="str">
        <f>IFERROR(__xludf.DUMMYFUNCTION("if(REGEXMATCH(join("", "",$F890:$G890),S$1)=TRUE,""✓"",""✗"")"),"✗")</f>
        <v>✗</v>
      </c>
      <c r="T890" s="23" t="str">
        <f>IFERROR(__xludf.DUMMYFUNCTION("if(REGEXMATCH(join("", "",$F890:$G890),T$1)=TRUE,""✓"",""✗"")"),"✗")</f>
        <v>✗</v>
      </c>
      <c r="U890" s="33"/>
      <c r="V890" s="33"/>
      <c r="W890" s="33"/>
      <c r="X890" s="33"/>
      <c r="Y890" s="33"/>
      <c r="Z890" s="33"/>
      <c r="AA890" s="33"/>
      <c r="AB890" s="33"/>
      <c r="AC890" s="33"/>
    </row>
    <row r="891" hidden="1">
      <c r="A891" s="17" t="s">
        <v>302</v>
      </c>
      <c r="B891" s="33"/>
      <c r="C891" s="33"/>
      <c r="D891" s="33"/>
      <c r="E891" s="33"/>
      <c r="F891" s="33"/>
      <c r="G891" s="33"/>
      <c r="H891" s="23" t="str">
        <f>IFERROR(__xludf.DUMMYFUNCTION("if(REGEXMATCH(join("", "",$F891:$G891),H$1)=TRUE,""✓"",""✗"")"),"✗")</f>
        <v>✗</v>
      </c>
      <c r="I891" s="23" t="str">
        <f>IFERROR(__xludf.DUMMYFUNCTION("if(REGEXMATCH(join("", "",$F891:$G891),I$1)=TRUE,""✓"",""✗"")"),"✗")</f>
        <v>✗</v>
      </c>
      <c r="J891" s="23" t="str">
        <f>IFERROR(__xludf.DUMMYFUNCTION("if(REGEXMATCH(join("", "",$F891:$G891),J$1)=TRUE,""✓"",""✗"")"),"✗")</f>
        <v>✗</v>
      </c>
      <c r="K891" s="23" t="str">
        <f>IFERROR(__xludf.DUMMYFUNCTION("if(REGEXMATCH(join("", "",$F891:$G891),K$1)=TRUE,""✓"",""✗"")"),"✗")</f>
        <v>✗</v>
      </c>
      <c r="L891" s="23" t="str">
        <f>IFERROR(__xludf.DUMMYFUNCTION("if(REGEXMATCH(join("", "",$F891:$G891),L$1)=TRUE,""✓"",""✗"")"),"✗")</f>
        <v>✗</v>
      </c>
      <c r="M891" s="23" t="str">
        <f>IFERROR(__xludf.DUMMYFUNCTION("if(REGEXMATCH(join("", "",$F891:$G891),M$1)=TRUE,""✓"",""✗"")"),"✗")</f>
        <v>✗</v>
      </c>
      <c r="N891" s="23" t="str">
        <f>IFERROR(__xludf.DUMMYFUNCTION("if(REGEXMATCH(join("", "",$F891:$G891),N$1)=TRUE,""✓"",""✗"")"),"✗")</f>
        <v>✗</v>
      </c>
      <c r="O891" s="23" t="str">
        <f>IFERROR(__xludf.DUMMYFUNCTION("if(REGEXMATCH(join("", "",$F891:$G891),O$1)=TRUE,""✓"",""✗"")"),"✗")</f>
        <v>✗</v>
      </c>
      <c r="P891" s="23" t="str">
        <f>IFERROR(__xludf.DUMMYFUNCTION("if(REGEXMATCH(join("", "",$F891:$G891),P$1)=TRUE,""✓"",""✗"")"),"✗")</f>
        <v>✗</v>
      </c>
      <c r="Q891" s="23" t="str">
        <f>IFERROR(__xludf.DUMMYFUNCTION("if(REGEXMATCH(join("", "",$F891:$G891),Q$1)=TRUE,""✓"",""✗"")"),"✗")</f>
        <v>✗</v>
      </c>
      <c r="R891" s="23" t="str">
        <f>IFERROR(__xludf.DUMMYFUNCTION("if(REGEXMATCH(join("", "",$F891:$G891),R$1)=TRUE,""✓"",""✗"")"),"✗")</f>
        <v>✗</v>
      </c>
      <c r="S891" s="23" t="str">
        <f>IFERROR(__xludf.DUMMYFUNCTION("if(REGEXMATCH(join("", "",$F891:$G891),S$1)=TRUE,""✓"",""✗"")"),"✗")</f>
        <v>✗</v>
      </c>
      <c r="T891" s="23" t="str">
        <f>IFERROR(__xludf.DUMMYFUNCTION("if(REGEXMATCH(join("", "",$F891:$G891),T$1)=TRUE,""✓"",""✗"")"),"✗")</f>
        <v>✗</v>
      </c>
      <c r="U891" s="33"/>
      <c r="V891" s="33"/>
      <c r="W891" s="33"/>
      <c r="X891" s="33"/>
      <c r="Y891" s="33"/>
      <c r="Z891" s="33"/>
      <c r="AA891" s="33"/>
      <c r="AB891" s="33"/>
      <c r="AC891" s="33"/>
    </row>
    <row r="892" hidden="1">
      <c r="A892" s="17" t="s">
        <v>302</v>
      </c>
      <c r="B892" s="33"/>
      <c r="C892" s="33"/>
      <c r="D892" s="33"/>
      <c r="E892" s="33"/>
      <c r="F892" s="33"/>
      <c r="G892" s="33"/>
      <c r="H892" s="23" t="str">
        <f>IFERROR(__xludf.DUMMYFUNCTION("if(REGEXMATCH(join("", "",$F892:$G892),H$1)=TRUE,""✓"",""✗"")"),"✗")</f>
        <v>✗</v>
      </c>
      <c r="I892" s="23" t="str">
        <f>IFERROR(__xludf.DUMMYFUNCTION("if(REGEXMATCH(join("", "",$F892:$G892),I$1)=TRUE,""✓"",""✗"")"),"✗")</f>
        <v>✗</v>
      </c>
      <c r="J892" s="23" t="str">
        <f>IFERROR(__xludf.DUMMYFUNCTION("if(REGEXMATCH(join("", "",$F892:$G892),J$1)=TRUE,""✓"",""✗"")"),"✗")</f>
        <v>✗</v>
      </c>
      <c r="K892" s="23" t="str">
        <f>IFERROR(__xludf.DUMMYFUNCTION("if(REGEXMATCH(join("", "",$F892:$G892),K$1)=TRUE,""✓"",""✗"")"),"✗")</f>
        <v>✗</v>
      </c>
      <c r="L892" s="23" t="str">
        <f>IFERROR(__xludf.DUMMYFUNCTION("if(REGEXMATCH(join("", "",$F892:$G892),L$1)=TRUE,""✓"",""✗"")"),"✗")</f>
        <v>✗</v>
      </c>
      <c r="M892" s="23" t="str">
        <f>IFERROR(__xludf.DUMMYFUNCTION("if(REGEXMATCH(join("", "",$F892:$G892),M$1)=TRUE,""✓"",""✗"")"),"✗")</f>
        <v>✗</v>
      </c>
      <c r="N892" s="23" t="str">
        <f>IFERROR(__xludf.DUMMYFUNCTION("if(REGEXMATCH(join("", "",$F892:$G892),N$1)=TRUE,""✓"",""✗"")"),"✗")</f>
        <v>✗</v>
      </c>
      <c r="O892" s="23" t="str">
        <f>IFERROR(__xludf.DUMMYFUNCTION("if(REGEXMATCH(join("", "",$F892:$G892),O$1)=TRUE,""✓"",""✗"")"),"✗")</f>
        <v>✗</v>
      </c>
      <c r="P892" s="23" t="str">
        <f>IFERROR(__xludf.DUMMYFUNCTION("if(REGEXMATCH(join("", "",$F892:$G892),P$1)=TRUE,""✓"",""✗"")"),"✗")</f>
        <v>✗</v>
      </c>
      <c r="Q892" s="23" t="str">
        <f>IFERROR(__xludf.DUMMYFUNCTION("if(REGEXMATCH(join("", "",$F892:$G892),Q$1)=TRUE,""✓"",""✗"")"),"✗")</f>
        <v>✗</v>
      </c>
      <c r="R892" s="23" t="str">
        <f>IFERROR(__xludf.DUMMYFUNCTION("if(REGEXMATCH(join("", "",$F892:$G892),R$1)=TRUE,""✓"",""✗"")"),"✗")</f>
        <v>✗</v>
      </c>
      <c r="S892" s="23" t="str">
        <f>IFERROR(__xludf.DUMMYFUNCTION("if(REGEXMATCH(join("", "",$F892:$G892),S$1)=TRUE,""✓"",""✗"")"),"✗")</f>
        <v>✗</v>
      </c>
      <c r="T892" s="23" t="str">
        <f>IFERROR(__xludf.DUMMYFUNCTION("if(REGEXMATCH(join("", "",$F892:$G892),T$1)=TRUE,""✓"",""✗"")"),"✗")</f>
        <v>✗</v>
      </c>
      <c r="U892" s="33"/>
      <c r="V892" s="33"/>
      <c r="W892" s="33"/>
      <c r="X892" s="33"/>
      <c r="Y892" s="33"/>
      <c r="Z892" s="33"/>
      <c r="AA892" s="33"/>
      <c r="AB892" s="33"/>
      <c r="AC892" s="33"/>
    </row>
    <row r="893" hidden="1">
      <c r="A893" s="17" t="s">
        <v>302</v>
      </c>
      <c r="B893" s="33"/>
      <c r="C893" s="33"/>
      <c r="D893" s="33"/>
      <c r="E893" s="33"/>
      <c r="F893" s="33"/>
      <c r="G893" s="33"/>
      <c r="H893" s="23" t="str">
        <f>IFERROR(__xludf.DUMMYFUNCTION("if(REGEXMATCH(join("", "",$F893:$G893),H$1)=TRUE,""✓"",""✗"")"),"✗")</f>
        <v>✗</v>
      </c>
      <c r="I893" s="23" t="str">
        <f>IFERROR(__xludf.DUMMYFUNCTION("if(REGEXMATCH(join("", "",$F893:$G893),I$1)=TRUE,""✓"",""✗"")"),"✗")</f>
        <v>✗</v>
      </c>
      <c r="J893" s="23" t="str">
        <f>IFERROR(__xludf.DUMMYFUNCTION("if(REGEXMATCH(join("", "",$F893:$G893),J$1)=TRUE,""✓"",""✗"")"),"✗")</f>
        <v>✗</v>
      </c>
      <c r="K893" s="23" t="str">
        <f>IFERROR(__xludf.DUMMYFUNCTION("if(REGEXMATCH(join("", "",$F893:$G893),K$1)=TRUE,""✓"",""✗"")"),"✗")</f>
        <v>✗</v>
      </c>
      <c r="L893" s="23" t="str">
        <f>IFERROR(__xludf.DUMMYFUNCTION("if(REGEXMATCH(join("", "",$F893:$G893),L$1)=TRUE,""✓"",""✗"")"),"✗")</f>
        <v>✗</v>
      </c>
      <c r="M893" s="23" t="str">
        <f>IFERROR(__xludf.DUMMYFUNCTION("if(REGEXMATCH(join("", "",$F893:$G893),M$1)=TRUE,""✓"",""✗"")"),"✗")</f>
        <v>✗</v>
      </c>
      <c r="N893" s="23" t="str">
        <f>IFERROR(__xludf.DUMMYFUNCTION("if(REGEXMATCH(join("", "",$F893:$G893),N$1)=TRUE,""✓"",""✗"")"),"✗")</f>
        <v>✗</v>
      </c>
      <c r="O893" s="23" t="str">
        <f>IFERROR(__xludf.DUMMYFUNCTION("if(REGEXMATCH(join("", "",$F893:$G893),O$1)=TRUE,""✓"",""✗"")"),"✗")</f>
        <v>✗</v>
      </c>
      <c r="P893" s="23" t="str">
        <f>IFERROR(__xludf.DUMMYFUNCTION("if(REGEXMATCH(join("", "",$F893:$G893),P$1)=TRUE,""✓"",""✗"")"),"✗")</f>
        <v>✗</v>
      </c>
      <c r="Q893" s="23" t="str">
        <f>IFERROR(__xludf.DUMMYFUNCTION("if(REGEXMATCH(join("", "",$F893:$G893),Q$1)=TRUE,""✓"",""✗"")"),"✗")</f>
        <v>✗</v>
      </c>
      <c r="R893" s="23" t="str">
        <f>IFERROR(__xludf.DUMMYFUNCTION("if(REGEXMATCH(join("", "",$F893:$G893),R$1)=TRUE,""✓"",""✗"")"),"✗")</f>
        <v>✗</v>
      </c>
      <c r="S893" s="23" t="str">
        <f>IFERROR(__xludf.DUMMYFUNCTION("if(REGEXMATCH(join("", "",$F893:$G893),S$1)=TRUE,""✓"",""✗"")"),"✗")</f>
        <v>✗</v>
      </c>
      <c r="T893" s="23" t="str">
        <f>IFERROR(__xludf.DUMMYFUNCTION("if(REGEXMATCH(join("", "",$F893:$G893),T$1)=TRUE,""✓"",""✗"")"),"✗")</f>
        <v>✗</v>
      </c>
      <c r="U893" s="33"/>
      <c r="V893" s="33"/>
      <c r="W893" s="33"/>
      <c r="X893" s="33"/>
      <c r="Y893" s="33"/>
      <c r="Z893" s="33"/>
      <c r="AA893" s="33"/>
      <c r="AB893" s="33"/>
      <c r="AC893" s="33"/>
    </row>
    <row r="894" hidden="1">
      <c r="A894" s="17" t="s">
        <v>302</v>
      </c>
      <c r="B894" s="33"/>
      <c r="C894" s="33"/>
      <c r="D894" s="33"/>
      <c r="E894" s="33"/>
      <c r="F894" s="33"/>
      <c r="G894" s="33"/>
      <c r="H894" s="23" t="str">
        <f>IFERROR(__xludf.DUMMYFUNCTION("if(REGEXMATCH(join("", "",$F894:$G894),H$1)=TRUE,""✓"",""✗"")"),"✗")</f>
        <v>✗</v>
      </c>
      <c r="I894" s="23" t="str">
        <f>IFERROR(__xludf.DUMMYFUNCTION("if(REGEXMATCH(join("", "",$F894:$G894),I$1)=TRUE,""✓"",""✗"")"),"✗")</f>
        <v>✗</v>
      </c>
      <c r="J894" s="23" t="str">
        <f>IFERROR(__xludf.DUMMYFUNCTION("if(REGEXMATCH(join("", "",$F894:$G894),J$1)=TRUE,""✓"",""✗"")"),"✗")</f>
        <v>✗</v>
      </c>
      <c r="K894" s="23" t="str">
        <f>IFERROR(__xludf.DUMMYFUNCTION("if(REGEXMATCH(join("", "",$F894:$G894),K$1)=TRUE,""✓"",""✗"")"),"✗")</f>
        <v>✗</v>
      </c>
      <c r="L894" s="23" t="str">
        <f>IFERROR(__xludf.DUMMYFUNCTION("if(REGEXMATCH(join("", "",$F894:$G894),L$1)=TRUE,""✓"",""✗"")"),"✗")</f>
        <v>✗</v>
      </c>
      <c r="M894" s="23" t="str">
        <f>IFERROR(__xludf.DUMMYFUNCTION("if(REGEXMATCH(join("", "",$F894:$G894),M$1)=TRUE,""✓"",""✗"")"),"✗")</f>
        <v>✗</v>
      </c>
      <c r="N894" s="23" t="str">
        <f>IFERROR(__xludf.DUMMYFUNCTION("if(REGEXMATCH(join("", "",$F894:$G894),N$1)=TRUE,""✓"",""✗"")"),"✗")</f>
        <v>✗</v>
      </c>
      <c r="O894" s="23" t="str">
        <f>IFERROR(__xludf.DUMMYFUNCTION("if(REGEXMATCH(join("", "",$F894:$G894),O$1)=TRUE,""✓"",""✗"")"),"✗")</f>
        <v>✗</v>
      </c>
      <c r="P894" s="23" t="str">
        <f>IFERROR(__xludf.DUMMYFUNCTION("if(REGEXMATCH(join("", "",$F894:$G894),P$1)=TRUE,""✓"",""✗"")"),"✗")</f>
        <v>✗</v>
      </c>
      <c r="Q894" s="23" t="str">
        <f>IFERROR(__xludf.DUMMYFUNCTION("if(REGEXMATCH(join("", "",$F894:$G894),Q$1)=TRUE,""✓"",""✗"")"),"✗")</f>
        <v>✗</v>
      </c>
      <c r="R894" s="23" t="str">
        <f>IFERROR(__xludf.DUMMYFUNCTION("if(REGEXMATCH(join("", "",$F894:$G894),R$1)=TRUE,""✓"",""✗"")"),"✗")</f>
        <v>✗</v>
      </c>
      <c r="S894" s="23" t="str">
        <f>IFERROR(__xludf.DUMMYFUNCTION("if(REGEXMATCH(join("", "",$F894:$G894),S$1)=TRUE,""✓"",""✗"")"),"✗")</f>
        <v>✗</v>
      </c>
      <c r="T894" s="23" t="str">
        <f>IFERROR(__xludf.DUMMYFUNCTION("if(REGEXMATCH(join("", "",$F894:$G894),T$1)=TRUE,""✓"",""✗"")"),"✗")</f>
        <v>✗</v>
      </c>
      <c r="U894" s="33"/>
      <c r="V894" s="33"/>
      <c r="W894" s="33"/>
      <c r="X894" s="33"/>
      <c r="Y894" s="33"/>
      <c r="Z894" s="33"/>
      <c r="AA894" s="33"/>
      <c r="AB894" s="33"/>
      <c r="AC894" s="33"/>
    </row>
    <row r="895" hidden="1">
      <c r="A895" s="17" t="s">
        <v>302</v>
      </c>
      <c r="B895" s="33"/>
      <c r="C895" s="33"/>
      <c r="D895" s="33"/>
      <c r="E895" s="33"/>
      <c r="F895" s="33"/>
      <c r="G895" s="33"/>
      <c r="H895" s="23" t="str">
        <f>IFERROR(__xludf.DUMMYFUNCTION("if(REGEXMATCH(join("", "",$F895:$G895),H$1)=TRUE,""✓"",""✗"")"),"✗")</f>
        <v>✗</v>
      </c>
      <c r="I895" s="23" t="str">
        <f>IFERROR(__xludf.DUMMYFUNCTION("if(REGEXMATCH(join("", "",$F895:$G895),I$1)=TRUE,""✓"",""✗"")"),"✗")</f>
        <v>✗</v>
      </c>
      <c r="J895" s="23" t="str">
        <f>IFERROR(__xludf.DUMMYFUNCTION("if(REGEXMATCH(join("", "",$F895:$G895),J$1)=TRUE,""✓"",""✗"")"),"✗")</f>
        <v>✗</v>
      </c>
      <c r="K895" s="23" t="str">
        <f>IFERROR(__xludf.DUMMYFUNCTION("if(REGEXMATCH(join("", "",$F895:$G895),K$1)=TRUE,""✓"",""✗"")"),"✗")</f>
        <v>✗</v>
      </c>
      <c r="L895" s="23" t="str">
        <f>IFERROR(__xludf.DUMMYFUNCTION("if(REGEXMATCH(join("", "",$F895:$G895),L$1)=TRUE,""✓"",""✗"")"),"✗")</f>
        <v>✗</v>
      </c>
      <c r="M895" s="23" t="str">
        <f>IFERROR(__xludf.DUMMYFUNCTION("if(REGEXMATCH(join("", "",$F895:$G895),M$1)=TRUE,""✓"",""✗"")"),"✗")</f>
        <v>✗</v>
      </c>
      <c r="N895" s="23" t="str">
        <f>IFERROR(__xludf.DUMMYFUNCTION("if(REGEXMATCH(join("", "",$F895:$G895),N$1)=TRUE,""✓"",""✗"")"),"✗")</f>
        <v>✗</v>
      </c>
      <c r="O895" s="23" t="str">
        <f>IFERROR(__xludf.DUMMYFUNCTION("if(REGEXMATCH(join("", "",$F895:$G895),O$1)=TRUE,""✓"",""✗"")"),"✗")</f>
        <v>✗</v>
      </c>
      <c r="P895" s="23" t="str">
        <f>IFERROR(__xludf.DUMMYFUNCTION("if(REGEXMATCH(join("", "",$F895:$G895),P$1)=TRUE,""✓"",""✗"")"),"✗")</f>
        <v>✗</v>
      </c>
      <c r="Q895" s="23" t="str">
        <f>IFERROR(__xludf.DUMMYFUNCTION("if(REGEXMATCH(join("", "",$F895:$G895),Q$1)=TRUE,""✓"",""✗"")"),"✗")</f>
        <v>✗</v>
      </c>
      <c r="R895" s="23" t="str">
        <f>IFERROR(__xludf.DUMMYFUNCTION("if(REGEXMATCH(join("", "",$F895:$G895),R$1)=TRUE,""✓"",""✗"")"),"✗")</f>
        <v>✗</v>
      </c>
      <c r="S895" s="23" t="str">
        <f>IFERROR(__xludf.DUMMYFUNCTION("if(REGEXMATCH(join("", "",$F895:$G895),S$1)=TRUE,""✓"",""✗"")"),"✗")</f>
        <v>✗</v>
      </c>
      <c r="T895" s="23" t="str">
        <f>IFERROR(__xludf.DUMMYFUNCTION("if(REGEXMATCH(join("", "",$F895:$G895),T$1)=TRUE,""✓"",""✗"")"),"✗")</f>
        <v>✗</v>
      </c>
      <c r="U895" s="33"/>
      <c r="V895" s="33"/>
      <c r="W895" s="33"/>
      <c r="X895" s="33"/>
      <c r="Y895" s="33"/>
      <c r="Z895" s="33"/>
      <c r="AA895" s="33"/>
      <c r="AB895" s="33"/>
      <c r="AC895" s="33"/>
    </row>
    <row r="896" hidden="1">
      <c r="A896" s="17" t="s">
        <v>302</v>
      </c>
      <c r="B896" s="33"/>
      <c r="C896" s="33"/>
      <c r="D896" s="33"/>
      <c r="E896" s="33"/>
      <c r="F896" s="33"/>
      <c r="G896" s="33"/>
      <c r="H896" s="23" t="str">
        <f>IFERROR(__xludf.DUMMYFUNCTION("if(REGEXMATCH(join("", "",$F896:$G896),H$1)=TRUE,""✓"",""✗"")"),"✗")</f>
        <v>✗</v>
      </c>
      <c r="I896" s="23" t="str">
        <f>IFERROR(__xludf.DUMMYFUNCTION("if(REGEXMATCH(join("", "",$F896:$G896),I$1)=TRUE,""✓"",""✗"")"),"✗")</f>
        <v>✗</v>
      </c>
      <c r="J896" s="23" t="str">
        <f>IFERROR(__xludf.DUMMYFUNCTION("if(REGEXMATCH(join("", "",$F896:$G896),J$1)=TRUE,""✓"",""✗"")"),"✗")</f>
        <v>✗</v>
      </c>
      <c r="K896" s="23" t="str">
        <f>IFERROR(__xludf.DUMMYFUNCTION("if(REGEXMATCH(join("", "",$F896:$G896),K$1)=TRUE,""✓"",""✗"")"),"✗")</f>
        <v>✗</v>
      </c>
      <c r="L896" s="23" t="str">
        <f>IFERROR(__xludf.DUMMYFUNCTION("if(REGEXMATCH(join("", "",$F896:$G896),L$1)=TRUE,""✓"",""✗"")"),"✗")</f>
        <v>✗</v>
      </c>
      <c r="M896" s="23" t="str">
        <f>IFERROR(__xludf.DUMMYFUNCTION("if(REGEXMATCH(join("", "",$F896:$G896),M$1)=TRUE,""✓"",""✗"")"),"✗")</f>
        <v>✗</v>
      </c>
      <c r="N896" s="23" t="str">
        <f>IFERROR(__xludf.DUMMYFUNCTION("if(REGEXMATCH(join("", "",$F896:$G896),N$1)=TRUE,""✓"",""✗"")"),"✗")</f>
        <v>✗</v>
      </c>
      <c r="O896" s="23" t="str">
        <f>IFERROR(__xludf.DUMMYFUNCTION("if(REGEXMATCH(join("", "",$F896:$G896),O$1)=TRUE,""✓"",""✗"")"),"✗")</f>
        <v>✗</v>
      </c>
      <c r="P896" s="23" t="str">
        <f>IFERROR(__xludf.DUMMYFUNCTION("if(REGEXMATCH(join("", "",$F896:$G896),P$1)=TRUE,""✓"",""✗"")"),"✗")</f>
        <v>✗</v>
      </c>
      <c r="Q896" s="23" t="str">
        <f>IFERROR(__xludf.DUMMYFUNCTION("if(REGEXMATCH(join("", "",$F896:$G896),Q$1)=TRUE,""✓"",""✗"")"),"✗")</f>
        <v>✗</v>
      </c>
      <c r="R896" s="23" t="str">
        <f>IFERROR(__xludf.DUMMYFUNCTION("if(REGEXMATCH(join("", "",$F896:$G896),R$1)=TRUE,""✓"",""✗"")"),"✗")</f>
        <v>✗</v>
      </c>
      <c r="S896" s="23" t="str">
        <f>IFERROR(__xludf.DUMMYFUNCTION("if(REGEXMATCH(join("", "",$F896:$G896),S$1)=TRUE,""✓"",""✗"")"),"✗")</f>
        <v>✗</v>
      </c>
      <c r="T896" s="23" t="str">
        <f>IFERROR(__xludf.DUMMYFUNCTION("if(REGEXMATCH(join("", "",$F896:$G896),T$1)=TRUE,""✓"",""✗"")"),"✗")</f>
        <v>✗</v>
      </c>
      <c r="U896" s="33"/>
      <c r="V896" s="33"/>
      <c r="W896" s="33"/>
      <c r="X896" s="33"/>
      <c r="Y896" s="33"/>
      <c r="Z896" s="33"/>
      <c r="AA896" s="33"/>
      <c r="AB896" s="33"/>
      <c r="AC896" s="33"/>
    </row>
    <row r="897" hidden="1">
      <c r="A897" s="17" t="s">
        <v>302</v>
      </c>
      <c r="B897" s="33"/>
      <c r="C897" s="33"/>
      <c r="D897" s="33"/>
      <c r="E897" s="33"/>
      <c r="F897" s="33"/>
      <c r="G897" s="33"/>
      <c r="H897" s="23" t="str">
        <f>IFERROR(__xludf.DUMMYFUNCTION("if(REGEXMATCH(join("", "",$F897:$G897),H$1)=TRUE,""✓"",""✗"")"),"✗")</f>
        <v>✗</v>
      </c>
      <c r="I897" s="23" t="str">
        <f>IFERROR(__xludf.DUMMYFUNCTION("if(REGEXMATCH(join("", "",$F897:$G897),I$1)=TRUE,""✓"",""✗"")"),"✗")</f>
        <v>✗</v>
      </c>
      <c r="J897" s="23" t="str">
        <f>IFERROR(__xludf.DUMMYFUNCTION("if(REGEXMATCH(join("", "",$F897:$G897),J$1)=TRUE,""✓"",""✗"")"),"✗")</f>
        <v>✗</v>
      </c>
      <c r="K897" s="23" t="str">
        <f>IFERROR(__xludf.DUMMYFUNCTION("if(REGEXMATCH(join("", "",$F897:$G897),K$1)=TRUE,""✓"",""✗"")"),"✗")</f>
        <v>✗</v>
      </c>
      <c r="L897" s="23" t="str">
        <f>IFERROR(__xludf.DUMMYFUNCTION("if(REGEXMATCH(join("", "",$F897:$G897),L$1)=TRUE,""✓"",""✗"")"),"✗")</f>
        <v>✗</v>
      </c>
      <c r="M897" s="23" t="str">
        <f>IFERROR(__xludf.DUMMYFUNCTION("if(REGEXMATCH(join("", "",$F897:$G897),M$1)=TRUE,""✓"",""✗"")"),"✗")</f>
        <v>✗</v>
      </c>
      <c r="N897" s="23" t="str">
        <f>IFERROR(__xludf.DUMMYFUNCTION("if(REGEXMATCH(join("", "",$F897:$G897),N$1)=TRUE,""✓"",""✗"")"),"✗")</f>
        <v>✗</v>
      </c>
      <c r="O897" s="23" t="str">
        <f>IFERROR(__xludf.DUMMYFUNCTION("if(REGEXMATCH(join("", "",$F897:$G897),O$1)=TRUE,""✓"",""✗"")"),"✗")</f>
        <v>✗</v>
      </c>
      <c r="P897" s="23" t="str">
        <f>IFERROR(__xludf.DUMMYFUNCTION("if(REGEXMATCH(join("", "",$F897:$G897),P$1)=TRUE,""✓"",""✗"")"),"✗")</f>
        <v>✗</v>
      </c>
      <c r="Q897" s="23" t="str">
        <f>IFERROR(__xludf.DUMMYFUNCTION("if(REGEXMATCH(join("", "",$F897:$G897),Q$1)=TRUE,""✓"",""✗"")"),"✗")</f>
        <v>✗</v>
      </c>
      <c r="R897" s="23" t="str">
        <f>IFERROR(__xludf.DUMMYFUNCTION("if(REGEXMATCH(join("", "",$F897:$G897),R$1)=TRUE,""✓"",""✗"")"),"✗")</f>
        <v>✗</v>
      </c>
      <c r="S897" s="23" t="str">
        <f>IFERROR(__xludf.DUMMYFUNCTION("if(REGEXMATCH(join("", "",$F897:$G897),S$1)=TRUE,""✓"",""✗"")"),"✗")</f>
        <v>✗</v>
      </c>
      <c r="T897" s="23" t="str">
        <f>IFERROR(__xludf.DUMMYFUNCTION("if(REGEXMATCH(join("", "",$F897:$G897),T$1)=TRUE,""✓"",""✗"")"),"✗")</f>
        <v>✗</v>
      </c>
      <c r="U897" s="33"/>
      <c r="V897" s="33"/>
      <c r="W897" s="33"/>
      <c r="X897" s="33"/>
      <c r="Y897" s="33"/>
      <c r="Z897" s="33"/>
      <c r="AA897" s="33"/>
      <c r="AB897" s="33"/>
      <c r="AC897" s="33"/>
    </row>
    <row r="898" hidden="1">
      <c r="A898" s="17" t="s">
        <v>302</v>
      </c>
      <c r="B898" s="33"/>
      <c r="C898" s="33"/>
      <c r="D898" s="33"/>
      <c r="E898" s="33"/>
      <c r="F898" s="33"/>
      <c r="G898" s="33"/>
      <c r="H898" s="23" t="str">
        <f>IFERROR(__xludf.DUMMYFUNCTION("if(REGEXMATCH(join("", "",$F898:$G898),H$1)=TRUE,""✓"",""✗"")"),"✗")</f>
        <v>✗</v>
      </c>
      <c r="I898" s="23" t="str">
        <f>IFERROR(__xludf.DUMMYFUNCTION("if(REGEXMATCH(join("", "",$F898:$G898),I$1)=TRUE,""✓"",""✗"")"),"✗")</f>
        <v>✗</v>
      </c>
      <c r="J898" s="23" t="str">
        <f>IFERROR(__xludf.DUMMYFUNCTION("if(REGEXMATCH(join("", "",$F898:$G898),J$1)=TRUE,""✓"",""✗"")"),"✗")</f>
        <v>✗</v>
      </c>
      <c r="K898" s="23" t="str">
        <f>IFERROR(__xludf.DUMMYFUNCTION("if(REGEXMATCH(join("", "",$F898:$G898),K$1)=TRUE,""✓"",""✗"")"),"✗")</f>
        <v>✗</v>
      </c>
      <c r="L898" s="23" t="str">
        <f>IFERROR(__xludf.DUMMYFUNCTION("if(REGEXMATCH(join("", "",$F898:$G898),L$1)=TRUE,""✓"",""✗"")"),"✗")</f>
        <v>✗</v>
      </c>
      <c r="M898" s="23" t="str">
        <f>IFERROR(__xludf.DUMMYFUNCTION("if(REGEXMATCH(join("", "",$F898:$G898),M$1)=TRUE,""✓"",""✗"")"),"✗")</f>
        <v>✗</v>
      </c>
      <c r="N898" s="23" t="str">
        <f>IFERROR(__xludf.DUMMYFUNCTION("if(REGEXMATCH(join("", "",$F898:$G898),N$1)=TRUE,""✓"",""✗"")"),"✗")</f>
        <v>✗</v>
      </c>
      <c r="O898" s="23" t="str">
        <f>IFERROR(__xludf.DUMMYFUNCTION("if(REGEXMATCH(join("", "",$F898:$G898),O$1)=TRUE,""✓"",""✗"")"),"✗")</f>
        <v>✗</v>
      </c>
      <c r="P898" s="23" t="str">
        <f>IFERROR(__xludf.DUMMYFUNCTION("if(REGEXMATCH(join("", "",$F898:$G898),P$1)=TRUE,""✓"",""✗"")"),"✗")</f>
        <v>✗</v>
      </c>
      <c r="Q898" s="23" t="str">
        <f>IFERROR(__xludf.DUMMYFUNCTION("if(REGEXMATCH(join("", "",$F898:$G898),Q$1)=TRUE,""✓"",""✗"")"),"✗")</f>
        <v>✗</v>
      </c>
      <c r="R898" s="23" t="str">
        <f>IFERROR(__xludf.DUMMYFUNCTION("if(REGEXMATCH(join("", "",$F898:$G898),R$1)=TRUE,""✓"",""✗"")"),"✗")</f>
        <v>✗</v>
      </c>
      <c r="S898" s="23" t="str">
        <f>IFERROR(__xludf.DUMMYFUNCTION("if(REGEXMATCH(join("", "",$F898:$G898),S$1)=TRUE,""✓"",""✗"")"),"✗")</f>
        <v>✗</v>
      </c>
      <c r="T898" s="23" t="str">
        <f>IFERROR(__xludf.DUMMYFUNCTION("if(REGEXMATCH(join("", "",$F898:$G898),T$1)=TRUE,""✓"",""✗"")"),"✗")</f>
        <v>✗</v>
      </c>
      <c r="U898" s="33"/>
      <c r="V898" s="33"/>
      <c r="W898" s="33"/>
      <c r="X898" s="33"/>
      <c r="Y898" s="33"/>
      <c r="Z898" s="33"/>
      <c r="AA898" s="33"/>
      <c r="AB898" s="33"/>
      <c r="AC898" s="33"/>
    </row>
    <row r="899" hidden="1">
      <c r="A899" s="17" t="s">
        <v>302</v>
      </c>
      <c r="B899" s="33"/>
      <c r="C899" s="33"/>
      <c r="D899" s="33"/>
      <c r="E899" s="33"/>
      <c r="F899" s="33"/>
      <c r="G899" s="33"/>
      <c r="H899" s="23" t="str">
        <f>IFERROR(__xludf.DUMMYFUNCTION("if(REGEXMATCH(join("", "",$F899:$G899),H$1)=TRUE,""✓"",""✗"")"),"✗")</f>
        <v>✗</v>
      </c>
      <c r="I899" s="23" t="str">
        <f>IFERROR(__xludf.DUMMYFUNCTION("if(REGEXMATCH(join("", "",$F899:$G899),I$1)=TRUE,""✓"",""✗"")"),"✗")</f>
        <v>✗</v>
      </c>
      <c r="J899" s="23" t="str">
        <f>IFERROR(__xludf.DUMMYFUNCTION("if(REGEXMATCH(join("", "",$F899:$G899),J$1)=TRUE,""✓"",""✗"")"),"✗")</f>
        <v>✗</v>
      </c>
      <c r="K899" s="23" t="str">
        <f>IFERROR(__xludf.DUMMYFUNCTION("if(REGEXMATCH(join("", "",$F899:$G899),K$1)=TRUE,""✓"",""✗"")"),"✗")</f>
        <v>✗</v>
      </c>
      <c r="L899" s="23" t="str">
        <f>IFERROR(__xludf.DUMMYFUNCTION("if(REGEXMATCH(join("", "",$F899:$G899),L$1)=TRUE,""✓"",""✗"")"),"✗")</f>
        <v>✗</v>
      </c>
      <c r="M899" s="23" t="str">
        <f>IFERROR(__xludf.DUMMYFUNCTION("if(REGEXMATCH(join("", "",$F899:$G899),M$1)=TRUE,""✓"",""✗"")"),"✗")</f>
        <v>✗</v>
      </c>
      <c r="N899" s="23" t="str">
        <f>IFERROR(__xludf.DUMMYFUNCTION("if(REGEXMATCH(join("", "",$F899:$G899),N$1)=TRUE,""✓"",""✗"")"),"✗")</f>
        <v>✗</v>
      </c>
      <c r="O899" s="23" t="str">
        <f>IFERROR(__xludf.DUMMYFUNCTION("if(REGEXMATCH(join("", "",$F899:$G899),O$1)=TRUE,""✓"",""✗"")"),"✗")</f>
        <v>✗</v>
      </c>
      <c r="P899" s="23" t="str">
        <f>IFERROR(__xludf.DUMMYFUNCTION("if(REGEXMATCH(join("", "",$F899:$G899),P$1)=TRUE,""✓"",""✗"")"),"✗")</f>
        <v>✗</v>
      </c>
      <c r="Q899" s="23" t="str">
        <f>IFERROR(__xludf.DUMMYFUNCTION("if(REGEXMATCH(join("", "",$F899:$G899),Q$1)=TRUE,""✓"",""✗"")"),"✗")</f>
        <v>✗</v>
      </c>
      <c r="R899" s="23" t="str">
        <f>IFERROR(__xludf.DUMMYFUNCTION("if(REGEXMATCH(join("", "",$F899:$G899),R$1)=TRUE,""✓"",""✗"")"),"✗")</f>
        <v>✗</v>
      </c>
      <c r="S899" s="23" t="str">
        <f>IFERROR(__xludf.DUMMYFUNCTION("if(REGEXMATCH(join("", "",$F899:$G899),S$1)=TRUE,""✓"",""✗"")"),"✗")</f>
        <v>✗</v>
      </c>
      <c r="T899" s="23" t="str">
        <f>IFERROR(__xludf.DUMMYFUNCTION("if(REGEXMATCH(join("", "",$F899:$G899),T$1)=TRUE,""✓"",""✗"")"),"✗")</f>
        <v>✗</v>
      </c>
      <c r="U899" s="33"/>
      <c r="V899" s="33"/>
      <c r="W899" s="33"/>
      <c r="X899" s="33"/>
      <c r="Y899" s="33"/>
      <c r="Z899" s="33"/>
      <c r="AA899" s="33"/>
      <c r="AB899" s="33"/>
      <c r="AC899" s="33"/>
    </row>
    <row r="900" hidden="1">
      <c r="A900" s="17" t="s">
        <v>302</v>
      </c>
      <c r="B900" s="33"/>
      <c r="C900" s="33"/>
      <c r="D900" s="33"/>
      <c r="E900" s="33"/>
      <c r="F900" s="33"/>
      <c r="G900" s="33"/>
      <c r="H900" s="23" t="str">
        <f>IFERROR(__xludf.DUMMYFUNCTION("if(REGEXMATCH(join("", "",$F900:$G900),H$1)=TRUE,""✓"",""✗"")"),"✗")</f>
        <v>✗</v>
      </c>
      <c r="I900" s="23" t="str">
        <f>IFERROR(__xludf.DUMMYFUNCTION("if(REGEXMATCH(join("", "",$F900:$G900),I$1)=TRUE,""✓"",""✗"")"),"✗")</f>
        <v>✗</v>
      </c>
      <c r="J900" s="23" t="str">
        <f>IFERROR(__xludf.DUMMYFUNCTION("if(REGEXMATCH(join("", "",$F900:$G900),J$1)=TRUE,""✓"",""✗"")"),"✗")</f>
        <v>✗</v>
      </c>
      <c r="K900" s="23" t="str">
        <f>IFERROR(__xludf.DUMMYFUNCTION("if(REGEXMATCH(join("", "",$F900:$G900),K$1)=TRUE,""✓"",""✗"")"),"✗")</f>
        <v>✗</v>
      </c>
      <c r="L900" s="23" t="str">
        <f>IFERROR(__xludf.DUMMYFUNCTION("if(REGEXMATCH(join("", "",$F900:$G900),L$1)=TRUE,""✓"",""✗"")"),"✗")</f>
        <v>✗</v>
      </c>
      <c r="M900" s="23" t="str">
        <f>IFERROR(__xludf.DUMMYFUNCTION("if(REGEXMATCH(join("", "",$F900:$G900),M$1)=TRUE,""✓"",""✗"")"),"✗")</f>
        <v>✗</v>
      </c>
      <c r="N900" s="23" t="str">
        <f>IFERROR(__xludf.DUMMYFUNCTION("if(REGEXMATCH(join("", "",$F900:$G900),N$1)=TRUE,""✓"",""✗"")"),"✗")</f>
        <v>✗</v>
      </c>
      <c r="O900" s="23" t="str">
        <f>IFERROR(__xludf.DUMMYFUNCTION("if(REGEXMATCH(join("", "",$F900:$G900),O$1)=TRUE,""✓"",""✗"")"),"✗")</f>
        <v>✗</v>
      </c>
      <c r="P900" s="23" t="str">
        <f>IFERROR(__xludf.DUMMYFUNCTION("if(REGEXMATCH(join("", "",$F900:$G900),P$1)=TRUE,""✓"",""✗"")"),"✗")</f>
        <v>✗</v>
      </c>
      <c r="Q900" s="23" t="str">
        <f>IFERROR(__xludf.DUMMYFUNCTION("if(REGEXMATCH(join("", "",$F900:$G900),Q$1)=TRUE,""✓"",""✗"")"),"✗")</f>
        <v>✗</v>
      </c>
      <c r="R900" s="23" t="str">
        <f>IFERROR(__xludf.DUMMYFUNCTION("if(REGEXMATCH(join("", "",$F900:$G900),R$1)=TRUE,""✓"",""✗"")"),"✗")</f>
        <v>✗</v>
      </c>
      <c r="S900" s="23" t="str">
        <f>IFERROR(__xludf.DUMMYFUNCTION("if(REGEXMATCH(join("", "",$F900:$G900),S$1)=TRUE,""✓"",""✗"")"),"✗")</f>
        <v>✗</v>
      </c>
      <c r="T900" s="23" t="str">
        <f>IFERROR(__xludf.DUMMYFUNCTION("if(REGEXMATCH(join("", "",$F900:$G900),T$1)=TRUE,""✓"",""✗"")"),"✗")</f>
        <v>✗</v>
      </c>
      <c r="U900" s="33"/>
      <c r="V900" s="33"/>
      <c r="W900" s="33"/>
      <c r="X900" s="33"/>
      <c r="Y900" s="33"/>
      <c r="Z900" s="33"/>
      <c r="AA900" s="33"/>
      <c r="AB900" s="33"/>
      <c r="AC900" s="33"/>
    </row>
    <row r="901" hidden="1">
      <c r="A901" s="17" t="s">
        <v>302</v>
      </c>
      <c r="B901" s="33"/>
      <c r="C901" s="33"/>
      <c r="D901" s="33"/>
      <c r="E901" s="33"/>
      <c r="F901" s="33"/>
      <c r="G901" s="33"/>
      <c r="H901" s="23" t="str">
        <f>IFERROR(__xludf.DUMMYFUNCTION("if(REGEXMATCH(join("", "",$F901:$G901),H$1)=TRUE,""✓"",""✗"")"),"✗")</f>
        <v>✗</v>
      </c>
      <c r="I901" s="23" t="str">
        <f>IFERROR(__xludf.DUMMYFUNCTION("if(REGEXMATCH(join("", "",$F901:$G901),I$1)=TRUE,""✓"",""✗"")"),"✗")</f>
        <v>✗</v>
      </c>
      <c r="J901" s="23" t="str">
        <f>IFERROR(__xludf.DUMMYFUNCTION("if(REGEXMATCH(join("", "",$F901:$G901),J$1)=TRUE,""✓"",""✗"")"),"✗")</f>
        <v>✗</v>
      </c>
      <c r="K901" s="23" t="str">
        <f>IFERROR(__xludf.DUMMYFUNCTION("if(REGEXMATCH(join("", "",$F901:$G901),K$1)=TRUE,""✓"",""✗"")"),"✗")</f>
        <v>✗</v>
      </c>
      <c r="L901" s="23" t="str">
        <f>IFERROR(__xludf.DUMMYFUNCTION("if(REGEXMATCH(join("", "",$F901:$G901),L$1)=TRUE,""✓"",""✗"")"),"✗")</f>
        <v>✗</v>
      </c>
      <c r="M901" s="23" t="str">
        <f>IFERROR(__xludf.DUMMYFUNCTION("if(REGEXMATCH(join("", "",$F901:$G901),M$1)=TRUE,""✓"",""✗"")"),"✗")</f>
        <v>✗</v>
      </c>
      <c r="N901" s="23" t="str">
        <f>IFERROR(__xludf.DUMMYFUNCTION("if(REGEXMATCH(join("", "",$F901:$G901),N$1)=TRUE,""✓"",""✗"")"),"✗")</f>
        <v>✗</v>
      </c>
      <c r="O901" s="23" t="str">
        <f>IFERROR(__xludf.DUMMYFUNCTION("if(REGEXMATCH(join("", "",$F901:$G901),O$1)=TRUE,""✓"",""✗"")"),"✗")</f>
        <v>✗</v>
      </c>
      <c r="P901" s="23" t="str">
        <f>IFERROR(__xludf.DUMMYFUNCTION("if(REGEXMATCH(join("", "",$F901:$G901),P$1)=TRUE,""✓"",""✗"")"),"✗")</f>
        <v>✗</v>
      </c>
      <c r="Q901" s="23" t="str">
        <f>IFERROR(__xludf.DUMMYFUNCTION("if(REGEXMATCH(join("", "",$F901:$G901),Q$1)=TRUE,""✓"",""✗"")"),"✗")</f>
        <v>✗</v>
      </c>
      <c r="R901" s="23" t="str">
        <f>IFERROR(__xludf.DUMMYFUNCTION("if(REGEXMATCH(join("", "",$F901:$G901),R$1)=TRUE,""✓"",""✗"")"),"✗")</f>
        <v>✗</v>
      </c>
      <c r="S901" s="23" t="str">
        <f>IFERROR(__xludf.DUMMYFUNCTION("if(REGEXMATCH(join("", "",$F901:$G901),S$1)=TRUE,""✓"",""✗"")"),"✗")</f>
        <v>✗</v>
      </c>
      <c r="T901" s="23" t="str">
        <f>IFERROR(__xludf.DUMMYFUNCTION("if(REGEXMATCH(join("", "",$F901:$G901),T$1)=TRUE,""✓"",""✗"")"),"✗")</f>
        <v>✗</v>
      </c>
      <c r="U901" s="33"/>
      <c r="V901" s="33"/>
      <c r="W901" s="33"/>
      <c r="X901" s="33"/>
      <c r="Y901" s="33"/>
      <c r="Z901" s="33"/>
      <c r="AA901" s="33"/>
      <c r="AB901" s="33"/>
      <c r="AC901" s="33"/>
    </row>
    <row r="902" hidden="1">
      <c r="A902" s="17" t="s">
        <v>302</v>
      </c>
      <c r="B902" s="33"/>
      <c r="C902" s="33"/>
      <c r="D902" s="33"/>
      <c r="E902" s="33"/>
      <c r="F902" s="33"/>
      <c r="G902" s="33"/>
      <c r="H902" s="23" t="str">
        <f>IFERROR(__xludf.DUMMYFUNCTION("if(REGEXMATCH(join("", "",$F902:$G902),H$1)=TRUE,""✓"",""✗"")"),"✗")</f>
        <v>✗</v>
      </c>
      <c r="I902" s="23" t="str">
        <f>IFERROR(__xludf.DUMMYFUNCTION("if(REGEXMATCH(join("", "",$F902:$G902),I$1)=TRUE,""✓"",""✗"")"),"✗")</f>
        <v>✗</v>
      </c>
      <c r="J902" s="23" t="str">
        <f>IFERROR(__xludf.DUMMYFUNCTION("if(REGEXMATCH(join("", "",$F902:$G902),J$1)=TRUE,""✓"",""✗"")"),"✗")</f>
        <v>✗</v>
      </c>
      <c r="K902" s="23" t="str">
        <f>IFERROR(__xludf.DUMMYFUNCTION("if(REGEXMATCH(join("", "",$F902:$G902),K$1)=TRUE,""✓"",""✗"")"),"✗")</f>
        <v>✗</v>
      </c>
      <c r="L902" s="23" t="str">
        <f>IFERROR(__xludf.DUMMYFUNCTION("if(REGEXMATCH(join("", "",$F902:$G902),L$1)=TRUE,""✓"",""✗"")"),"✗")</f>
        <v>✗</v>
      </c>
      <c r="M902" s="23" t="str">
        <f>IFERROR(__xludf.DUMMYFUNCTION("if(REGEXMATCH(join("", "",$F902:$G902),M$1)=TRUE,""✓"",""✗"")"),"✗")</f>
        <v>✗</v>
      </c>
      <c r="N902" s="23" t="str">
        <f>IFERROR(__xludf.DUMMYFUNCTION("if(REGEXMATCH(join("", "",$F902:$G902),N$1)=TRUE,""✓"",""✗"")"),"✗")</f>
        <v>✗</v>
      </c>
      <c r="O902" s="23" t="str">
        <f>IFERROR(__xludf.DUMMYFUNCTION("if(REGEXMATCH(join("", "",$F902:$G902),O$1)=TRUE,""✓"",""✗"")"),"✗")</f>
        <v>✗</v>
      </c>
      <c r="P902" s="23" t="str">
        <f>IFERROR(__xludf.DUMMYFUNCTION("if(REGEXMATCH(join("", "",$F902:$G902),P$1)=TRUE,""✓"",""✗"")"),"✗")</f>
        <v>✗</v>
      </c>
      <c r="Q902" s="23" t="str">
        <f>IFERROR(__xludf.DUMMYFUNCTION("if(REGEXMATCH(join("", "",$F902:$G902),Q$1)=TRUE,""✓"",""✗"")"),"✗")</f>
        <v>✗</v>
      </c>
      <c r="R902" s="23" t="str">
        <f>IFERROR(__xludf.DUMMYFUNCTION("if(REGEXMATCH(join("", "",$F902:$G902),R$1)=TRUE,""✓"",""✗"")"),"✗")</f>
        <v>✗</v>
      </c>
      <c r="S902" s="23" t="str">
        <f>IFERROR(__xludf.DUMMYFUNCTION("if(REGEXMATCH(join("", "",$F902:$G902),S$1)=TRUE,""✓"",""✗"")"),"✗")</f>
        <v>✗</v>
      </c>
      <c r="T902" s="23" t="str">
        <f>IFERROR(__xludf.DUMMYFUNCTION("if(REGEXMATCH(join("", "",$F902:$G902),T$1)=TRUE,""✓"",""✗"")"),"✗")</f>
        <v>✗</v>
      </c>
      <c r="U902" s="33"/>
      <c r="V902" s="33"/>
      <c r="W902" s="33"/>
      <c r="X902" s="33"/>
      <c r="Y902" s="33"/>
      <c r="Z902" s="33"/>
      <c r="AA902" s="33"/>
      <c r="AB902" s="33"/>
      <c r="AC902" s="33"/>
    </row>
    <row r="903" hidden="1">
      <c r="A903" s="17" t="s">
        <v>302</v>
      </c>
      <c r="B903" s="33"/>
      <c r="C903" s="33"/>
      <c r="D903" s="33"/>
      <c r="E903" s="33"/>
      <c r="F903" s="33"/>
      <c r="G903" s="33"/>
      <c r="H903" s="23" t="str">
        <f>IFERROR(__xludf.DUMMYFUNCTION("if(REGEXMATCH(join("", "",$F903:$G903),H$1)=TRUE,""✓"",""✗"")"),"✗")</f>
        <v>✗</v>
      </c>
      <c r="I903" s="23" t="str">
        <f>IFERROR(__xludf.DUMMYFUNCTION("if(REGEXMATCH(join("", "",$F903:$G903),I$1)=TRUE,""✓"",""✗"")"),"✗")</f>
        <v>✗</v>
      </c>
      <c r="J903" s="23" t="str">
        <f>IFERROR(__xludf.DUMMYFUNCTION("if(REGEXMATCH(join("", "",$F903:$G903),J$1)=TRUE,""✓"",""✗"")"),"✗")</f>
        <v>✗</v>
      </c>
      <c r="K903" s="23" t="str">
        <f>IFERROR(__xludf.DUMMYFUNCTION("if(REGEXMATCH(join("", "",$F903:$G903),K$1)=TRUE,""✓"",""✗"")"),"✗")</f>
        <v>✗</v>
      </c>
      <c r="L903" s="23" t="str">
        <f>IFERROR(__xludf.DUMMYFUNCTION("if(REGEXMATCH(join("", "",$F903:$G903),L$1)=TRUE,""✓"",""✗"")"),"✗")</f>
        <v>✗</v>
      </c>
      <c r="M903" s="23" t="str">
        <f>IFERROR(__xludf.DUMMYFUNCTION("if(REGEXMATCH(join("", "",$F903:$G903),M$1)=TRUE,""✓"",""✗"")"),"✗")</f>
        <v>✗</v>
      </c>
      <c r="N903" s="23" t="str">
        <f>IFERROR(__xludf.DUMMYFUNCTION("if(REGEXMATCH(join("", "",$F903:$G903),N$1)=TRUE,""✓"",""✗"")"),"✗")</f>
        <v>✗</v>
      </c>
      <c r="O903" s="23" t="str">
        <f>IFERROR(__xludf.DUMMYFUNCTION("if(REGEXMATCH(join("", "",$F903:$G903),O$1)=TRUE,""✓"",""✗"")"),"✗")</f>
        <v>✗</v>
      </c>
      <c r="P903" s="23" t="str">
        <f>IFERROR(__xludf.DUMMYFUNCTION("if(REGEXMATCH(join("", "",$F903:$G903),P$1)=TRUE,""✓"",""✗"")"),"✗")</f>
        <v>✗</v>
      </c>
      <c r="Q903" s="23" t="str">
        <f>IFERROR(__xludf.DUMMYFUNCTION("if(REGEXMATCH(join("", "",$F903:$G903),Q$1)=TRUE,""✓"",""✗"")"),"✗")</f>
        <v>✗</v>
      </c>
      <c r="R903" s="23" t="str">
        <f>IFERROR(__xludf.DUMMYFUNCTION("if(REGEXMATCH(join("", "",$F903:$G903),R$1)=TRUE,""✓"",""✗"")"),"✗")</f>
        <v>✗</v>
      </c>
      <c r="S903" s="23" t="str">
        <f>IFERROR(__xludf.DUMMYFUNCTION("if(REGEXMATCH(join("", "",$F903:$G903),S$1)=TRUE,""✓"",""✗"")"),"✗")</f>
        <v>✗</v>
      </c>
      <c r="T903" s="23" t="str">
        <f>IFERROR(__xludf.DUMMYFUNCTION("if(REGEXMATCH(join("", "",$F903:$G903),T$1)=TRUE,""✓"",""✗"")"),"✗")</f>
        <v>✗</v>
      </c>
      <c r="U903" s="33"/>
      <c r="V903" s="33"/>
      <c r="W903" s="33"/>
      <c r="X903" s="33"/>
      <c r="Y903" s="33"/>
      <c r="Z903" s="33"/>
      <c r="AA903" s="33"/>
      <c r="AB903" s="33"/>
      <c r="AC903" s="33"/>
    </row>
    <row r="904" hidden="1">
      <c r="A904" s="17" t="s">
        <v>302</v>
      </c>
      <c r="B904" s="33"/>
      <c r="C904" s="33"/>
      <c r="D904" s="33"/>
      <c r="E904" s="33"/>
      <c r="F904" s="33"/>
      <c r="G904" s="33"/>
      <c r="H904" s="23" t="str">
        <f>IFERROR(__xludf.DUMMYFUNCTION("if(REGEXMATCH(join("", "",$F904:$G904),H$1)=TRUE,""✓"",""✗"")"),"✗")</f>
        <v>✗</v>
      </c>
      <c r="I904" s="23" t="str">
        <f>IFERROR(__xludf.DUMMYFUNCTION("if(REGEXMATCH(join("", "",$F904:$G904),I$1)=TRUE,""✓"",""✗"")"),"✗")</f>
        <v>✗</v>
      </c>
      <c r="J904" s="23" t="str">
        <f>IFERROR(__xludf.DUMMYFUNCTION("if(REGEXMATCH(join("", "",$F904:$G904),J$1)=TRUE,""✓"",""✗"")"),"✗")</f>
        <v>✗</v>
      </c>
      <c r="K904" s="23" t="str">
        <f>IFERROR(__xludf.DUMMYFUNCTION("if(REGEXMATCH(join("", "",$F904:$G904),K$1)=TRUE,""✓"",""✗"")"),"✗")</f>
        <v>✗</v>
      </c>
      <c r="L904" s="23" t="str">
        <f>IFERROR(__xludf.DUMMYFUNCTION("if(REGEXMATCH(join("", "",$F904:$G904),L$1)=TRUE,""✓"",""✗"")"),"✗")</f>
        <v>✗</v>
      </c>
      <c r="M904" s="23" t="str">
        <f>IFERROR(__xludf.DUMMYFUNCTION("if(REGEXMATCH(join("", "",$F904:$G904),M$1)=TRUE,""✓"",""✗"")"),"✗")</f>
        <v>✗</v>
      </c>
      <c r="N904" s="23" t="str">
        <f>IFERROR(__xludf.DUMMYFUNCTION("if(REGEXMATCH(join("", "",$F904:$G904),N$1)=TRUE,""✓"",""✗"")"),"✗")</f>
        <v>✗</v>
      </c>
      <c r="O904" s="23" t="str">
        <f>IFERROR(__xludf.DUMMYFUNCTION("if(REGEXMATCH(join("", "",$F904:$G904),O$1)=TRUE,""✓"",""✗"")"),"✗")</f>
        <v>✗</v>
      </c>
      <c r="P904" s="23" t="str">
        <f>IFERROR(__xludf.DUMMYFUNCTION("if(REGEXMATCH(join("", "",$F904:$G904),P$1)=TRUE,""✓"",""✗"")"),"✗")</f>
        <v>✗</v>
      </c>
      <c r="Q904" s="23" t="str">
        <f>IFERROR(__xludf.DUMMYFUNCTION("if(REGEXMATCH(join("", "",$F904:$G904),Q$1)=TRUE,""✓"",""✗"")"),"✗")</f>
        <v>✗</v>
      </c>
      <c r="R904" s="23" t="str">
        <f>IFERROR(__xludf.DUMMYFUNCTION("if(REGEXMATCH(join("", "",$F904:$G904),R$1)=TRUE,""✓"",""✗"")"),"✗")</f>
        <v>✗</v>
      </c>
      <c r="S904" s="23" t="str">
        <f>IFERROR(__xludf.DUMMYFUNCTION("if(REGEXMATCH(join("", "",$F904:$G904),S$1)=TRUE,""✓"",""✗"")"),"✗")</f>
        <v>✗</v>
      </c>
      <c r="T904" s="23" t="str">
        <f>IFERROR(__xludf.DUMMYFUNCTION("if(REGEXMATCH(join("", "",$F904:$G904),T$1)=TRUE,""✓"",""✗"")"),"✗")</f>
        <v>✗</v>
      </c>
      <c r="U904" s="33"/>
      <c r="V904" s="33"/>
      <c r="W904" s="33"/>
      <c r="X904" s="33"/>
      <c r="Y904" s="33"/>
      <c r="Z904" s="33"/>
      <c r="AA904" s="33"/>
      <c r="AB904" s="33"/>
      <c r="AC904" s="33"/>
    </row>
    <row r="905" hidden="1">
      <c r="A905" s="17" t="s">
        <v>302</v>
      </c>
      <c r="B905" s="33"/>
      <c r="C905" s="33"/>
      <c r="D905" s="33"/>
      <c r="E905" s="33"/>
      <c r="F905" s="33"/>
      <c r="G905" s="33"/>
      <c r="H905" s="23" t="str">
        <f>IFERROR(__xludf.DUMMYFUNCTION("if(REGEXMATCH(join("", "",$F905:$G905),H$1)=TRUE,""✓"",""✗"")"),"✗")</f>
        <v>✗</v>
      </c>
      <c r="I905" s="23" t="str">
        <f>IFERROR(__xludf.DUMMYFUNCTION("if(REGEXMATCH(join("", "",$F905:$G905),I$1)=TRUE,""✓"",""✗"")"),"✗")</f>
        <v>✗</v>
      </c>
      <c r="J905" s="23" t="str">
        <f>IFERROR(__xludf.DUMMYFUNCTION("if(REGEXMATCH(join("", "",$F905:$G905),J$1)=TRUE,""✓"",""✗"")"),"✗")</f>
        <v>✗</v>
      </c>
      <c r="K905" s="23" t="str">
        <f>IFERROR(__xludf.DUMMYFUNCTION("if(REGEXMATCH(join("", "",$F905:$G905),K$1)=TRUE,""✓"",""✗"")"),"✗")</f>
        <v>✗</v>
      </c>
      <c r="L905" s="23" t="str">
        <f>IFERROR(__xludf.DUMMYFUNCTION("if(REGEXMATCH(join("", "",$F905:$G905),L$1)=TRUE,""✓"",""✗"")"),"✗")</f>
        <v>✗</v>
      </c>
      <c r="M905" s="23" t="str">
        <f>IFERROR(__xludf.DUMMYFUNCTION("if(REGEXMATCH(join("", "",$F905:$G905),M$1)=TRUE,""✓"",""✗"")"),"✗")</f>
        <v>✗</v>
      </c>
      <c r="N905" s="23" t="str">
        <f>IFERROR(__xludf.DUMMYFUNCTION("if(REGEXMATCH(join("", "",$F905:$G905),N$1)=TRUE,""✓"",""✗"")"),"✗")</f>
        <v>✗</v>
      </c>
      <c r="O905" s="23" t="str">
        <f>IFERROR(__xludf.DUMMYFUNCTION("if(REGEXMATCH(join("", "",$F905:$G905),O$1)=TRUE,""✓"",""✗"")"),"✗")</f>
        <v>✗</v>
      </c>
      <c r="P905" s="23" t="str">
        <f>IFERROR(__xludf.DUMMYFUNCTION("if(REGEXMATCH(join("", "",$F905:$G905),P$1)=TRUE,""✓"",""✗"")"),"✗")</f>
        <v>✗</v>
      </c>
      <c r="Q905" s="23" t="str">
        <f>IFERROR(__xludf.DUMMYFUNCTION("if(REGEXMATCH(join("", "",$F905:$G905),Q$1)=TRUE,""✓"",""✗"")"),"✗")</f>
        <v>✗</v>
      </c>
      <c r="R905" s="23" t="str">
        <f>IFERROR(__xludf.DUMMYFUNCTION("if(REGEXMATCH(join("", "",$F905:$G905),R$1)=TRUE,""✓"",""✗"")"),"✗")</f>
        <v>✗</v>
      </c>
      <c r="S905" s="23" t="str">
        <f>IFERROR(__xludf.DUMMYFUNCTION("if(REGEXMATCH(join("", "",$F905:$G905),S$1)=TRUE,""✓"",""✗"")"),"✗")</f>
        <v>✗</v>
      </c>
      <c r="T905" s="23" t="str">
        <f>IFERROR(__xludf.DUMMYFUNCTION("if(REGEXMATCH(join("", "",$F905:$G905),T$1)=TRUE,""✓"",""✗"")"),"✗")</f>
        <v>✗</v>
      </c>
      <c r="U905" s="33"/>
      <c r="V905" s="33"/>
      <c r="W905" s="33"/>
      <c r="X905" s="33"/>
      <c r="Y905" s="33"/>
      <c r="Z905" s="33"/>
      <c r="AA905" s="33"/>
      <c r="AB905" s="33"/>
      <c r="AC905" s="33"/>
    </row>
    <row r="906" hidden="1">
      <c r="A906" s="17" t="s">
        <v>302</v>
      </c>
      <c r="B906" s="33"/>
      <c r="C906" s="33"/>
      <c r="D906" s="33"/>
      <c r="E906" s="33"/>
      <c r="F906" s="33"/>
      <c r="G906" s="33"/>
      <c r="H906" s="23" t="str">
        <f>IFERROR(__xludf.DUMMYFUNCTION("if(REGEXMATCH(join("", "",$F906:$G906),H$1)=TRUE,""✓"",""✗"")"),"✗")</f>
        <v>✗</v>
      </c>
      <c r="I906" s="23" t="str">
        <f>IFERROR(__xludf.DUMMYFUNCTION("if(REGEXMATCH(join("", "",$F906:$G906),I$1)=TRUE,""✓"",""✗"")"),"✗")</f>
        <v>✗</v>
      </c>
      <c r="J906" s="23" t="str">
        <f>IFERROR(__xludf.DUMMYFUNCTION("if(REGEXMATCH(join("", "",$F906:$G906),J$1)=TRUE,""✓"",""✗"")"),"✗")</f>
        <v>✗</v>
      </c>
      <c r="K906" s="23" t="str">
        <f>IFERROR(__xludf.DUMMYFUNCTION("if(REGEXMATCH(join("", "",$F906:$G906),K$1)=TRUE,""✓"",""✗"")"),"✗")</f>
        <v>✗</v>
      </c>
      <c r="L906" s="23" t="str">
        <f>IFERROR(__xludf.DUMMYFUNCTION("if(REGEXMATCH(join("", "",$F906:$G906),L$1)=TRUE,""✓"",""✗"")"),"✗")</f>
        <v>✗</v>
      </c>
      <c r="M906" s="23" t="str">
        <f>IFERROR(__xludf.DUMMYFUNCTION("if(REGEXMATCH(join("", "",$F906:$G906),M$1)=TRUE,""✓"",""✗"")"),"✗")</f>
        <v>✗</v>
      </c>
      <c r="N906" s="23" t="str">
        <f>IFERROR(__xludf.DUMMYFUNCTION("if(REGEXMATCH(join("", "",$F906:$G906),N$1)=TRUE,""✓"",""✗"")"),"✗")</f>
        <v>✗</v>
      </c>
      <c r="O906" s="23" t="str">
        <f>IFERROR(__xludf.DUMMYFUNCTION("if(REGEXMATCH(join("", "",$F906:$G906),O$1)=TRUE,""✓"",""✗"")"),"✗")</f>
        <v>✗</v>
      </c>
      <c r="P906" s="23" t="str">
        <f>IFERROR(__xludf.DUMMYFUNCTION("if(REGEXMATCH(join("", "",$F906:$G906),P$1)=TRUE,""✓"",""✗"")"),"✗")</f>
        <v>✗</v>
      </c>
      <c r="Q906" s="23" t="str">
        <f>IFERROR(__xludf.DUMMYFUNCTION("if(REGEXMATCH(join("", "",$F906:$G906),Q$1)=TRUE,""✓"",""✗"")"),"✗")</f>
        <v>✗</v>
      </c>
      <c r="R906" s="23" t="str">
        <f>IFERROR(__xludf.DUMMYFUNCTION("if(REGEXMATCH(join("", "",$F906:$G906),R$1)=TRUE,""✓"",""✗"")"),"✗")</f>
        <v>✗</v>
      </c>
      <c r="S906" s="23" t="str">
        <f>IFERROR(__xludf.DUMMYFUNCTION("if(REGEXMATCH(join("", "",$F906:$G906),S$1)=TRUE,""✓"",""✗"")"),"✗")</f>
        <v>✗</v>
      </c>
      <c r="T906" s="23" t="str">
        <f>IFERROR(__xludf.DUMMYFUNCTION("if(REGEXMATCH(join("", "",$F906:$G906),T$1)=TRUE,""✓"",""✗"")"),"✗")</f>
        <v>✗</v>
      </c>
      <c r="U906" s="33"/>
      <c r="V906" s="33"/>
      <c r="W906" s="33"/>
      <c r="X906" s="33"/>
      <c r="Y906" s="33"/>
      <c r="Z906" s="33"/>
      <c r="AA906" s="33"/>
      <c r="AB906" s="33"/>
      <c r="AC906" s="33"/>
    </row>
    <row r="907" hidden="1">
      <c r="A907" s="17" t="s">
        <v>302</v>
      </c>
      <c r="B907" s="33"/>
      <c r="C907" s="33"/>
      <c r="D907" s="33"/>
      <c r="E907" s="33"/>
      <c r="F907" s="33"/>
      <c r="G907" s="33"/>
      <c r="H907" s="23" t="str">
        <f>IFERROR(__xludf.DUMMYFUNCTION("if(REGEXMATCH(join("", "",$F907:$G907),H$1)=TRUE,""✓"",""✗"")"),"✗")</f>
        <v>✗</v>
      </c>
      <c r="I907" s="23" t="str">
        <f>IFERROR(__xludf.DUMMYFUNCTION("if(REGEXMATCH(join("", "",$F907:$G907),I$1)=TRUE,""✓"",""✗"")"),"✗")</f>
        <v>✗</v>
      </c>
      <c r="J907" s="23" t="str">
        <f>IFERROR(__xludf.DUMMYFUNCTION("if(REGEXMATCH(join("", "",$F907:$G907),J$1)=TRUE,""✓"",""✗"")"),"✗")</f>
        <v>✗</v>
      </c>
      <c r="K907" s="23" t="str">
        <f>IFERROR(__xludf.DUMMYFUNCTION("if(REGEXMATCH(join("", "",$F907:$G907),K$1)=TRUE,""✓"",""✗"")"),"✗")</f>
        <v>✗</v>
      </c>
      <c r="L907" s="23" t="str">
        <f>IFERROR(__xludf.DUMMYFUNCTION("if(REGEXMATCH(join("", "",$F907:$G907),L$1)=TRUE,""✓"",""✗"")"),"✗")</f>
        <v>✗</v>
      </c>
      <c r="M907" s="23" t="str">
        <f>IFERROR(__xludf.DUMMYFUNCTION("if(REGEXMATCH(join("", "",$F907:$G907),M$1)=TRUE,""✓"",""✗"")"),"✗")</f>
        <v>✗</v>
      </c>
      <c r="N907" s="23" t="str">
        <f>IFERROR(__xludf.DUMMYFUNCTION("if(REGEXMATCH(join("", "",$F907:$G907),N$1)=TRUE,""✓"",""✗"")"),"✗")</f>
        <v>✗</v>
      </c>
      <c r="O907" s="23" t="str">
        <f>IFERROR(__xludf.DUMMYFUNCTION("if(REGEXMATCH(join("", "",$F907:$G907),O$1)=TRUE,""✓"",""✗"")"),"✗")</f>
        <v>✗</v>
      </c>
      <c r="P907" s="23" t="str">
        <f>IFERROR(__xludf.DUMMYFUNCTION("if(REGEXMATCH(join("", "",$F907:$G907),P$1)=TRUE,""✓"",""✗"")"),"✗")</f>
        <v>✗</v>
      </c>
      <c r="Q907" s="23" t="str">
        <f>IFERROR(__xludf.DUMMYFUNCTION("if(REGEXMATCH(join("", "",$F907:$G907),Q$1)=TRUE,""✓"",""✗"")"),"✗")</f>
        <v>✗</v>
      </c>
      <c r="R907" s="23" t="str">
        <f>IFERROR(__xludf.DUMMYFUNCTION("if(REGEXMATCH(join("", "",$F907:$G907),R$1)=TRUE,""✓"",""✗"")"),"✗")</f>
        <v>✗</v>
      </c>
      <c r="S907" s="23" t="str">
        <f>IFERROR(__xludf.DUMMYFUNCTION("if(REGEXMATCH(join("", "",$F907:$G907),S$1)=TRUE,""✓"",""✗"")"),"✗")</f>
        <v>✗</v>
      </c>
      <c r="T907" s="23" t="str">
        <f>IFERROR(__xludf.DUMMYFUNCTION("if(REGEXMATCH(join("", "",$F907:$G907),T$1)=TRUE,""✓"",""✗"")"),"✗")</f>
        <v>✗</v>
      </c>
      <c r="U907" s="33"/>
      <c r="V907" s="33"/>
      <c r="W907" s="33"/>
      <c r="X907" s="33"/>
      <c r="Y907" s="33"/>
      <c r="Z907" s="33"/>
      <c r="AA907" s="33"/>
      <c r="AB907" s="33"/>
      <c r="AC907" s="33"/>
    </row>
    <row r="908" hidden="1">
      <c r="A908" s="17" t="s">
        <v>302</v>
      </c>
      <c r="B908" s="33"/>
      <c r="C908" s="33"/>
      <c r="D908" s="33"/>
      <c r="E908" s="33"/>
      <c r="F908" s="33"/>
      <c r="G908" s="33"/>
      <c r="H908" s="23" t="str">
        <f>IFERROR(__xludf.DUMMYFUNCTION("if(REGEXMATCH(join("", "",$F908:$G908),H$1)=TRUE,""✓"",""✗"")"),"✗")</f>
        <v>✗</v>
      </c>
      <c r="I908" s="23" t="str">
        <f>IFERROR(__xludf.DUMMYFUNCTION("if(REGEXMATCH(join("", "",$F908:$G908),I$1)=TRUE,""✓"",""✗"")"),"✗")</f>
        <v>✗</v>
      </c>
      <c r="J908" s="23" t="str">
        <f>IFERROR(__xludf.DUMMYFUNCTION("if(REGEXMATCH(join("", "",$F908:$G908),J$1)=TRUE,""✓"",""✗"")"),"✗")</f>
        <v>✗</v>
      </c>
      <c r="K908" s="23" t="str">
        <f>IFERROR(__xludf.DUMMYFUNCTION("if(REGEXMATCH(join("", "",$F908:$G908),K$1)=TRUE,""✓"",""✗"")"),"✗")</f>
        <v>✗</v>
      </c>
      <c r="L908" s="23" t="str">
        <f>IFERROR(__xludf.DUMMYFUNCTION("if(REGEXMATCH(join("", "",$F908:$G908),L$1)=TRUE,""✓"",""✗"")"),"✗")</f>
        <v>✗</v>
      </c>
      <c r="M908" s="23" t="str">
        <f>IFERROR(__xludf.DUMMYFUNCTION("if(REGEXMATCH(join("", "",$F908:$G908),M$1)=TRUE,""✓"",""✗"")"),"✗")</f>
        <v>✗</v>
      </c>
      <c r="N908" s="23" t="str">
        <f>IFERROR(__xludf.DUMMYFUNCTION("if(REGEXMATCH(join("", "",$F908:$G908),N$1)=TRUE,""✓"",""✗"")"),"✗")</f>
        <v>✗</v>
      </c>
      <c r="O908" s="23" t="str">
        <f>IFERROR(__xludf.DUMMYFUNCTION("if(REGEXMATCH(join("", "",$F908:$G908),O$1)=TRUE,""✓"",""✗"")"),"✗")</f>
        <v>✗</v>
      </c>
      <c r="P908" s="23" t="str">
        <f>IFERROR(__xludf.DUMMYFUNCTION("if(REGEXMATCH(join("", "",$F908:$G908),P$1)=TRUE,""✓"",""✗"")"),"✗")</f>
        <v>✗</v>
      </c>
      <c r="Q908" s="23" t="str">
        <f>IFERROR(__xludf.DUMMYFUNCTION("if(REGEXMATCH(join("", "",$F908:$G908),Q$1)=TRUE,""✓"",""✗"")"),"✗")</f>
        <v>✗</v>
      </c>
      <c r="R908" s="23" t="str">
        <f>IFERROR(__xludf.DUMMYFUNCTION("if(REGEXMATCH(join("", "",$F908:$G908),R$1)=TRUE,""✓"",""✗"")"),"✗")</f>
        <v>✗</v>
      </c>
      <c r="S908" s="23" t="str">
        <f>IFERROR(__xludf.DUMMYFUNCTION("if(REGEXMATCH(join("", "",$F908:$G908),S$1)=TRUE,""✓"",""✗"")"),"✗")</f>
        <v>✗</v>
      </c>
      <c r="T908" s="23" t="str">
        <f>IFERROR(__xludf.DUMMYFUNCTION("if(REGEXMATCH(join("", "",$F908:$G908),T$1)=TRUE,""✓"",""✗"")"),"✗")</f>
        <v>✗</v>
      </c>
      <c r="U908" s="33"/>
      <c r="V908" s="33"/>
      <c r="W908" s="33"/>
      <c r="X908" s="33"/>
      <c r="Y908" s="33"/>
      <c r="Z908" s="33"/>
      <c r="AA908" s="33"/>
      <c r="AB908" s="33"/>
      <c r="AC908" s="33"/>
    </row>
    <row r="909" hidden="1">
      <c r="A909" s="17" t="s">
        <v>302</v>
      </c>
      <c r="B909" s="33"/>
      <c r="C909" s="33"/>
      <c r="D909" s="33"/>
      <c r="E909" s="33"/>
      <c r="F909" s="33"/>
      <c r="G909" s="33"/>
      <c r="H909" s="23" t="str">
        <f>IFERROR(__xludf.DUMMYFUNCTION("if(REGEXMATCH(join("", "",$F909:$G909),H$1)=TRUE,""✓"",""✗"")"),"✗")</f>
        <v>✗</v>
      </c>
      <c r="I909" s="23" t="str">
        <f>IFERROR(__xludf.DUMMYFUNCTION("if(REGEXMATCH(join("", "",$F909:$G909),I$1)=TRUE,""✓"",""✗"")"),"✗")</f>
        <v>✗</v>
      </c>
      <c r="J909" s="23" t="str">
        <f>IFERROR(__xludf.DUMMYFUNCTION("if(REGEXMATCH(join("", "",$F909:$G909),J$1)=TRUE,""✓"",""✗"")"),"✗")</f>
        <v>✗</v>
      </c>
      <c r="K909" s="23" t="str">
        <f>IFERROR(__xludf.DUMMYFUNCTION("if(REGEXMATCH(join("", "",$F909:$G909),K$1)=TRUE,""✓"",""✗"")"),"✗")</f>
        <v>✗</v>
      </c>
      <c r="L909" s="23" t="str">
        <f>IFERROR(__xludf.DUMMYFUNCTION("if(REGEXMATCH(join("", "",$F909:$G909),L$1)=TRUE,""✓"",""✗"")"),"✗")</f>
        <v>✗</v>
      </c>
      <c r="M909" s="23" t="str">
        <f>IFERROR(__xludf.DUMMYFUNCTION("if(REGEXMATCH(join("", "",$F909:$G909),M$1)=TRUE,""✓"",""✗"")"),"✗")</f>
        <v>✗</v>
      </c>
      <c r="N909" s="23" t="str">
        <f>IFERROR(__xludf.DUMMYFUNCTION("if(REGEXMATCH(join("", "",$F909:$G909),N$1)=TRUE,""✓"",""✗"")"),"✗")</f>
        <v>✗</v>
      </c>
      <c r="O909" s="23" t="str">
        <f>IFERROR(__xludf.DUMMYFUNCTION("if(REGEXMATCH(join("", "",$F909:$G909),O$1)=TRUE,""✓"",""✗"")"),"✗")</f>
        <v>✗</v>
      </c>
      <c r="P909" s="23" t="str">
        <f>IFERROR(__xludf.DUMMYFUNCTION("if(REGEXMATCH(join("", "",$F909:$G909),P$1)=TRUE,""✓"",""✗"")"),"✗")</f>
        <v>✗</v>
      </c>
      <c r="Q909" s="23" t="str">
        <f>IFERROR(__xludf.DUMMYFUNCTION("if(REGEXMATCH(join("", "",$F909:$G909),Q$1)=TRUE,""✓"",""✗"")"),"✗")</f>
        <v>✗</v>
      </c>
      <c r="R909" s="23" t="str">
        <f>IFERROR(__xludf.DUMMYFUNCTION("if(REGEXMATCH(join("", "",$F909:$G909),R$1)=TRUE,""✓"",""✗"")"),"✗")</f>
        <v>✗</v>
      </c>
      <c r="S909" s="23" t="str">
        <f>IFERROR(__xludf.DUMMYFUNCTION("if(REGEXMATCH(join("", "",$F909:$G909),S$1)=TRUE,""✓"",""✗"")"),"✗")</f>
        <v>✗</v>
      </c>
      <c r="T909" s="23" t="str">
        <f>IFERROR(__xludf.DUMMYFUNCTION("if(REGEXMATCH(join("", "",$F909:$G909),T$1)=TRUE,""✓"",""✗"")"),"✗")</f>
        <v>✗</v>
      </c>
      <c r="U909" s="33"/>
      <c r="V909" s="33"/>
      <c r="W909" s="33"/>
      <c r="X909" s="33"/>
      <c r="Y909" s="33"/>
      <c r="Z909" s="33"/>
      <c r="AA909" s="33"/>
      <c r="AB909" s="33"/>
      <c r="AC909" s="33"/>
    </row>
    <row r="910" hidden="1">
      <c r="A910" s="17" t="s">
        <v>302</v>
      </c>
      <c r="B910" s="33"/>
      <c r="C910" s="33"/>
      <c r="D910" s="33"/>
      <c r="E910" s="33"/>
      <c r="F910" s="33"/>
      <c r="G910" s="33"/>
      <c r="H910" s="23" t="str">
        <f>IFERROR(__xludf.DUMMYFUNCTION("if(REGEXMATCH(join("", "",$F910:$G910),H$1)=TRUE,""✓"",""✗"")"),"✗")</f>
        <v>✗</v>
      </c>
      <c r="I910" s="23" t="str">
        <f>IFERROR(__xludf.DUMMYFUNCTION("if(REGEXMATCH(join("", "",$F910:$G910),I$1)=TRUE,""✓"",""✗"")"),"✗")</f>
        <v>✗</v>
      </c>
      <c r="J910" s="23" t="str">
        <f>IFERROR(__xludf.DUMMYFUNCTION("if(REGEXMATCH(join("", "",$F910:$G910),J$1)=TRUE,""✓"",""✗"")"),"✗")</f>
        <v>✗</v>
      </c>
      <c r="K910" s="23" t="str">
        <f>IFERROR(__xludf.DUMMYFUNCTION("if(REGEXMATCH(join("", "",$F910:$G910),K$1)=TRUE,""✓"",""✗"")"),"✗")</f>
        <v>✗</v>
      </c>
      <c r="L910" s="23" t="str">
        <f>IFERROR(__xludf.DUMMYFUNCTION("if(REGEXMATCH(join("", "",$F910:$G910),L$1)=TRUE,""✓"",""✗"")"),"✗")</f>
        <v>✗</v>
      </c>
      <c r="M910" s="23" t="str">
        <f>IFERROR(__xludf.DUMMYFUNCTION("if(REGEXMATCH(join("", "",$F910:$G910),M$1)=TRUE,""✓"",""✗"")"),"✗")</f>
        <v>✗</v>
      </c>
      <c r="N910" s="23" t="str">
        <f>IFERROR(__xludf.DUMMYFUNCTION("if(REGEXMATCH(join("", "",$F910:$G910),N$1)=TRUE,""✓"",""✗"")"),"✗")</f>
        <v>✗</v>
      </c>
      <c r="O910" s="23" t="str">
        <f>IFERROR(__xludf.DUMMYFUNCTION("if(REGEXMATCH(join("", "",$F910:$G910),O$1)=TRUE,""✓"",""✗"")"),"✗")</f>
        <v>✗</v>
      </c>
      <c r="P910" s="23" t="str">
        <f>IFERROR(__xludf.DUMMYFUNCTION("if(REGEXMATCH(join("", "",$F910:$G910),P$1)=TRUE,""✓"",""✗"")"),"✗")</f>
        <v>✗</v>
      </c>
      <c r="Q910" s="23" t="str">
        <f>IFERROR(__xludf.DUMMYFUNCTION("if(REGEXMATCH(join("", "",$F910:$G910),Q$1)=TRUE,""✓"",""✗"")"),"✗")</f>
        <v>✗</v>
      </c>
      <c r="R910" s="23" t="str">
        <f>IFERROR(__xludf.DUMMYFUNCTION("if(REGEXMATCH(join("", "",$F910:$G910),R$1)=TRUE,""✓"",""✗"")"),"✗")</f>
        <v>✗</v>
      </c>
      <c r="S910" s="23" t="str">
        <f>IFERROR(__xludf.DUMMYFUNCTION("if(REGEXMATCH(join("", "",$F910:$G910),S$1)=TRUE,""✓"",""✗"")"),"✗")</f>
        <v>✗</v>
      </c>
      <c r="T910" s="23" t="str">
        <f>IFERROR(__xludf.DUMMYFUNCTION("if(REGEXMATCH(join("", "",$F910:$G910),T$1)=TRUE,""✓"",""✗"")"),"✗")</f>
        <v>✗</v>
      </c>
      <c r="U910" s="33"/>
      <c r="V910" s="33"/>
      <c r="W910" s="33"/>
      <c r="X910" s="33"/>
      <c r="Y910" s="33"/>
      <c r="Z910" s="33"/>
      <c r="AA910" s="33"/>
      <c r="AB910" s="33"/>
      <c r="AC910" s="33"/>
    </row>
    <row r="911" hidden="1">
      <c r="A911" s="17" t="s">
        <v>302</v>
      </c>
      <c r="B911" s="33"/>
      <c r="C911" s="33"/>
      <c r="D911" s="33"/>
      <c r="E911" s="33"/>
      <c r="F911" s="33"/>
      <c r="G911" s="33"/>
      <c r="H911" s="23" t="str">
        <f>IFERROR(__xludf.DUMMYFUNCTION("if(REGEXMATCH(join("", "",$F911:$G911),H$1)=TRUE,""✓"",""✗"")"),"✗")</f>
        <v>✗</v>
      </c>
      <c r="I911" s="23" t="str">
        <f>IFERROR(__xludf.DUMMYFUNCTION("if(REGEXMATCH(join("", "",$F911:$G911),I$1)=TRUE,""✓"",""✗"")"),"✗")</f>
        <v>✗</v>
      </c>
      <c r="J911" s="23" t="str">
        <f>IFERROR(__xludf.DUMMYFUNCTION("if(REGEXMATCH(join("", "",$F911:$G911),J$1)=TRUE,""✓"",""✗"")"),"✗")</f>
        <v>✗</v>
      </c>
      <c r="K911" s="23" t="str">
        <f>IFERROR(__xludf.DUMMYFUNCTION("if(REGEXMATCH(join("", "",$F911:$G911),K$1)=TRUE,""✓"",""✗"")"),"✗")</f>
        <v>✗</v>
      </c>
      <c r="L911" s="23" t="str">
        <f>IFERROR(__xludf.DUMMYFUNCTION("if(REGEXMATCH(join("", "",$F911:$G911),L$1)=TRUE,""✓"",""✗"")"),"✗")</f>
        <v>✗</v>
      </c>
      <c r="M911" s="23" t="str">
        <f>IFERROR(__xludf.DUMMYFUNCTION("if(REGEXMATCH(join("", "",$F911:$G911),M$1)=TRUE,""✓"",""✗"")"),"✗")</f>
        <v>✗</v>
      </c>
      <c r="N911" s="23" t="str">
        <f>IFERROR(__xludf.DUMMYFUNCTION("if(REGEXMATCH(join("", "",$F911:$G911),N$1)=TRUE,""✓"",""✗"")"),"✗")</f>
        <v>✗</v>
      </c>
      <c r="O911" s="23" t="str">
        <f>IFERROR(__xludf.DUMMYFUNCTION("if(REGEXMATCH(join("", "",$F911:$G911),O$1)=TRUE,""✓"",""✗"")"),"✗")</f>
        <v>✗</v>
      </c>
      <c r="P911" s="23" t="str">
        <f>IFERROR(__xludf.DUMMYFUNCTION("if(REGEXMATCH(join("", "",$F911:$G911),P$1)=TRUE,""✓"",""✗"")"),"✗")</f>
        <v>✗</v>
      </c>
      <c r="Q911" s="23" t="str">
        <f>IFERROR(__xludf.DUMMYFUNCTION("if(REGEXMATCH(join("", "",$F911:$G911),Q$1)=TRUE,""✓"",""✗"")"),"✗")</f>
        <v>✗</v>
      </c>
      <c r="R911" s="23" t="str">
        <f>IFERROR(__xludf.DUMMYFUNCTION("if(REGEXMATCH(join("", "",$F911:$G911),R$1)=TRUE,""✓"",""✗"")"),"✗")</f>
        <v>✗</v>
      </c>
      <c r="S911" s="23" t="str">
        <f>IFERROR(__xludf.DUMMYFUNCTION("if(REGEXMATCH(join("", "",$F911:$G911),S$1)=TRUE,""✓"",""✗"")"),"✗")</f>
        <v>✗</v>
      </c>
      <c r="T911" s="23" t="str">
        <f>IFERROR(__xludf.DUMMYFUNCTION("if(REGEXMATCH(join("", "",$F911:$G911),T$1)=TRUE,""✓"",""✗"")"),"✗")</f>
        <v>✗</v>
      </c>
      <c r="U911" s="33"/>
      <c r="V911" s="33"/>
      <c r="W911" s="33"/>
      <c r="X911" s="33"/>
      <c r="Y911" s="33"/>
      <c r="Z911" s="33"/>
      <c r="AA911" s="33"/>
      <c r="AB911" s="33"/>
      <c r="AC911" s="33"/>
    </row>
    <row r="912" hidden="1">
      <c r="A912" s="17" t="s">
        <v>302</v>
      </c>
      <c r="B912" s="33"/>
      <c r="C912" s="33"/>
      <c r="D912" s="33"/>
      <c r="E912" s="33"/>
      <c r="F912" s="33"/>
      <c r="G912" s="33"/>
      <c r="H912" s="23" t="str">
        <f>IFERROR(__xludf.DUMMYFUNCTION("if(REGEXMATCH(join("", "",$F912:$G912),H$1)=TRUE,""✓"",""✗"")"),"✗")</f>
        <v>✗</v>
      </c>
      <c r="I912" s="23" t="str">
        <f>IFERROR(__xludf.DUMMYFUNCTION("if(REGEXMATCH(join("", "",$F912:$G912),I$1)=TRUE,""✓"",""✗"")"),"✗")</f>
        <v>✗</v>
      </c>
      <c r="J912" s="23" t="str">
        <f>IFERROR(__xludf.DUMMYFUNCTION("if(REGEXMATCH(join("", "",$F912:$G912),J$1)=TRUE,""✓"",""✗"")"),"✗")</f>
        <v>✗</v>
      </c>
      <c r="K912" s="23" t="str">
        <f>IFERROR(__xludf.DUMMYFUNCTION("if(REGEXMATCH(join("", "",$F912:$G912),K$1)=TRUE,""✓"",""✗"")"),"✗")</f>
        <v>✗</v>
      </c>
      <c r="L912" s="23" t="str">
        <f>IFERROR(__xludf.DUMMYFUNCTION("if(REGEXMATCH(join("", "",$F912:$G912),L$1)=TRUE,""✓"",""✗"")"),"✗")</f>
        <v>✗</v>
      </c>
      <c r="M912" s="23" t="str">
        <f>IFERROR(__xludf.DUMMYFUNCTION("if(REGEXMATCH(join("", "",$F912:$G912),M$1)=TRUE,""✓"",""✗"")"),"✗")</f>
        <v>✗</v>
      </c>
      <c r="N912" s="23" t="str">
        <f>IFERROR(__xludf.DUMMYFUNCTION("if(REGEXMATCH(join("", "",$F912:$G912),N$1)=TRUE,""✓"",""✗"")"),"✗")</f>
        <v>✗</v>
      </c>
      <c r="O912" s="23" t="str">
        <f>IFERROR(__xludf.DUMMYFUNCTION("if(REGEXMATCH(join("", "",$F912:$G912),O$1)=TRUE,""✓"",""✗"")"),"✗")</f>
        <v>✗</v>
      </c>
      <c r="P912" s="23" t="str">
        <f>IFERROR(__xludf.DUMMYFUNCTION("if(REGEXMATCH(join("", "",$F912:$G912),P$1)=TRUE,""✓"",""✗"")"),"✗")</f>
        <v>✗</v>
      </c>
      <c r="Q912" s="23" t="str">
        <f>IFERROR(__xludf.DUMMYFUNCTION("if(REGEXMATCH(join("", "",$F912:$G912),Q$1)=TRUE,""✓"",""✗"")"),"✗")</f>
        <v>✗</v>
      </c>
      <c r="R912" s="23" t="str">
        <f>IFERROR(__xludf.DUMMYFUNCTION("if(REGEXMATCH(join("", "",$F912:$G912),R$1)=TRUE,""✓"",""✗"")"),"✗")</f>
        <v>✗</v>
      </c>
      <c r="S912" s="23" t="str">
        <f>IFERROR(__xludf.DUMMYFUNCTION("if(REGEXMATCH(join("", "",$F912:$G912),S$1)=TRUE,""✓"",""✗"")"),"✗")</f>
        <v>✗</v>
      </c>
      <c r="T912" s="23" t="str">
        <f>IFERROR(__xludf.DUMMYFUNCTION("if(REGEXMATCH(join("", "",$F912:$G912),T$1)=TRUE,""✓"",""✗"")"),"✗")</f>
        <v>✗</v>
      </c>
      <c r="U912" s="33"/>
      <c r="V912" s="33"/>
      <c r="W912" s="33"/>
      <c r="X912" s="33"/>
      <c r="Y912" s="33"/>
      <c r="Z912" s="33"/>
      <c r="AA912" s="33"/>
      <c r="AB912" s="33"/>
      <c r="AC912" s="33"/>
    </row>
    <row r="913" hidden="1">
      <c r="A913" s="17" t="s">
        <v>302</v>
      </c>
      <c r="B913" s="33"/>
      <c r="C913" s="33"/>
      <c r="D913" s="33"/>
      <c r="E913" s="33"/>
      <c r="F913" s="33"/>
      <c r="G913" s="33"/>
      <c r="H913" s="23" t="str">
        <f>IFERROR(__xludf.DUMMYFUNCTION("if(REGEXMATCH(join("", "",$F913:$G913),H$1)=TRUE,""✓"",""✗"")"),"✗")</f>
        <v>✗</v>
      </c>
      <c r="I913" s="23" t="str">
        <f>IFERROR(__xludf.DUMMYFUNCTION("if(REGEXMATCH(join("", "",$F913:$G913),I$1)=TRUE,""✓"",""✗"")"),"✗")</f>
        <v>✗</v>
      </c>
      <c r="J913" s="23" t="str">
        <f>IFERROR(__xludf.DUMMYFUNCTION("if(REGEXMATCH(join("", "",$F913:$G913),J$1)=TRUE,""✓"",""✗"")"),"✗")</f>
        <v>✗</v>
      </c>
      <c r="K913" s="23" t="str">
        <f>IFERROR(__xludf.DUMMYFUNCTION("if(REGEXMATCH(join("", "",$F913:$G913),K$1)=TRUE,""✓"",""✗"")"),"✗")</f>
        <v>✗</v>
      </c>
      <c r="L913" s="23" t="str">
        <f>IFERROR(__xludf.DUMMYFUNCTION("if(REGEXMATCH(join("", "",$F913:$G913),L$1)=TRUE,""✓"",""✗"")"),"✗")</f>
        <v>✗</v>
      </c>
      <c r="M913" s="23" t="str">
        <f>IFERROR(__xludf.DUMMYFUNCTION("if(REGEXMATCH(join("", "",$F913:$G913),M$1)=TRUE,""✓"",""✗"")"),"✗")</f>
        <v>✗</v>
      </c>
      <c r="N913" s="23" t="str">
        <f>IFERROR(__xludf.DUMMYFUNCTION("if(REGEXMATCH(join("", "",$F913:$G913),N$1)=TRUE,""✓"",""✗"")"),"✗")</f>
        <v>✗</v>
      </c>
      <c r="O913" s="23" t="str">
        <f>IFERROR(__xludf.DUMMYFUNCTION("if(REGEXMATCH(join("", "",$F913:$G913),O$1)=TRUE,""✓"",""✗"")"),"✗")</f>
        <v>✗</v>
      </c>
      <c r="P913" s="23" t="str">
        <f>IFERROR(__xludf.DUMMYFUNCTION("if(REGEXMATCH(join("", "",$F913:$G913),P$1)=TRUE,""✓"",""✗"")"),"✗")</f>
        <v>✗</v>
      </c>
      <c r="Q913" s="23" t="str">
        <f>IFERROR(__xludf.DUMMYFUNCTION("if(REGEXMATCH(join("", "",$F913:$G913),Q$1)=TRUE,""✓"",""✗"")"),"✗")</f>
        <v>✗</v>
      </c>
      <c r="R913" s="23" t="str">
        <f>IFERROR(__xludf.DUMMYFUNCTION("if(REGEXMATCH(join("", "",$F913:$G913),R$1)=TRUE,""✓"",""✗"")"),"✗")</f>
        <v>✗</v>
      </c>
      <c r="S913" s="23" t="str">
        <f>IFERROR(__xludf.DUMMYFUNCTION("if(REGEXMATCH(join("", "",$F913:$G913),S$1)=TRUE,""✓"",""✗"")"),"✗")</f>
        <v>✗</v>
      </c>
      <c r="T913" s="23" t="str">
        <f>IFERROR(__xludf.DUMMYFUNCTION("if(REGEXMATCH(join("", "",$F913:$G913),T$1)=TRUE,""✓"",""✗"")"),"✗")</f>
        <v>✗</v>
      </c>
      <c r="U913" s="33"/>
      <c r="V913" s="33"/>
      <c r="W913" s="33"/>
      <c r="X913" s="33"/>
      <c r="Y913" s="33"/>
      <c r="Z913" s="33"/>
      <c r="AA913" s="33"/>
      <c r="AB913" s="33"/>
      <c r="AC913" s="33"/>
    </row>
    <row r="914" hidden="1">
      <c r="A914" s="17" t="s">
        <v>302</v>
      </c>
      <c r="B914" s="33"/>
      <c r="C914" s="33"/>
      <c r="D914" s="33"/>
      <c r="E914" s="33"/>
      <c r="F914" s="33"/>
      <c r="G914" s="33"/>
      <c r="H914" s="23" t="str">
        <f>IFERROR(__xludf.DUMMYFUNCTION("if(REGEXMATCH(join("", "",$F914:$G914),H$1)=TRUE,""✓"",""✗"")"),"✗")</f>
        <v>✗</v>
      </c>
      <c r="I914" s="23" t="str">
        <f>IFERROR(__xludf.DUMMYFUNCTION("if(REGEXMATCH(join("", "",$F914:$G914),I$1)=TRUE,""✓"",""✗"")"),"✗")</f>
        <v>✗</v>
      </c>
      <c r="J914" s="23" t="str">
        <f>IFERROR(__xludf.DUMMYFUNCTION("if(REGEXMATCH(join("", "",$F914:$G914),J$1)=TRUE,""✓"",""✗"")"),"✗")</f>
        <v>✗</v>
      </c>
      <c r="K914" s="23" t="str">
        <f>IFERROR(__xludf.DUMMYFUNCTION("if(REGEXMATCH(join("", "",$F914:$G914),K$1)=TRUE,""✓"",""✗"")"),"✗")</f>
        <v>✗</v>
      </c>
      <c r="L914" s="23" t="str">
        <f>IFERROR(__xludf.DUMMYFUNCTION("if(REGEXMATCH(join("", "",$F914:$G914),L$1)=TRUE,""✓"",""✗"")"),"✗")</f>
        <v>✗</v>
      </c>
      <c r="M914" s="23" t="str">
        <f>IFERROR(__xludf.DUMMYFUNCTION("if(REGEXMATCH(join("", "",$F914:$G914),M$1)=TRUE,""✓"",""✗"")"),"✗")</f>
        <v>✗</v>
      </c>
      <c r="N914" s="23" t="str">
        <f>IFERROR(__xludf.DUMMYFUNCTION("if(REGEXMATCH(join("", "",$F914:$G914),N$1)=TRUE,""✓"",""✗"")"),"✗")</f>
        <v>✗</v>
      </c>
      <c r="O914" s="23" t="str">
        <f>IFERROR(__xludf.DUMMYFUNCTION("if(REGEXMATCH(join("", "",$F914:$G914),O$1)=TRUE,""✓"",""✗"")"),"✗")</f>
        <v>✗</v>
      </c>
      <c r="P914" s="23" t="str">
        <f>IFERROR(__xludf.DUMMYFUNCTION("if(REGEXMATCH(join("", "",$F914:$G914),P$1)=TRUE,""✓"",""✗"")"),"✗")</f>
        <v>✗</v>
      </c>
      <c r="Q914" s="23" t="str">
        <f>IFERROR(__xludf.DUMMYFUNCTION("if(REGEXMATCH(join("", "",$F914:$G914),Q$1)=TRUE,""✓"",""✗"")"),"✗")</f>
        <v>✗</v>
      </c>
      <c r="R914" s="23" t="str">
        <f>IFERROR(__xludf.DUMMYFUNCTION("if(REGEXMATCH(join("", "",$F914:$G914),R$1)=TRUE,""✓"",""✗"")"),"✗")</f>
        <v>✗</v>
      </c>
      <c r="S914" s="23" t="str">
        <f>IFERROR(__xludf.DUMMYFUNCTION("if(REGEXMATCH(join("", "",$F914:$G914),S$1)=TRUE,""✓"",""✗"")"),"✗")</f>
        <v>✗</v>
      </c>
      <c r="T914" s="23" t="str">
        <f>IFERROR(__xludf.DUMMYFUNCTION("if(REGEXMATCH(join("", "",$F914:$G914),T$1)=TRUE,""✓"",""✗"")"),"✗")</f>
        <v>✗</v>
      </c>
      <c r="U914" s="33"/>
      <c r="V914" s="33"/>
      <c r="W914" s="33"/>
      <c r="X914" s="33"/>
      <c r="Y914" s="33"/>
      <c r="Z914" s="33"/>
      <c r="AA914" s="33"/>
      <c r="AB914" s="33"/>
      <c r="AC914" s="33"/>
    </row>
    <row r="915" hidden="1">
      <c r="A915" s="17" t="s">
        <v>302</v>
      </c>
      <c r="B915" s="33"/>
      <c r="C915" s="33"/>
      <c r="D915" s="33"/>
      <c r="E915" s="33"/>
      <c r="F915" s="33"/>
      <c r="G915" s="33"/>
      <c r="H915" s="23" t="str">
        <f>IFERROR(__xludf.DUMMYFUNCTION("if(REGEXMATCH(join("", "",$F915:$G915),H$1)=TRUE,""✓"",""✗"")"),"✗")</f>
        <v>✗</v>
      </c>
      <c r="I915" s="23" t="str">
        <f>IFERROR(__xludf.DUMMYFUNCTION("if(REGEXMATCH(join("", "",$F915:$G915),I$1)=TRUE,""✓"",""✗"")"),"✗")</f>
        <v>✗</v>
      </c>
      <c r="J915" s="23" t="str">
        <f>IFERROR(__xludf.DUMMYFUNCTION("if(REGEXMATCH(join("", "",$F915:$G915),J$1)=TRUE,""✓"",""✗"")"),"✗")</f>
        <v>✗</v>
      </c>
      <c r="K915" s="23" t="str">
        <f>IFERROR(__xludf.DUMMYFUNCTION("if(REGEXMATCH(join("", "",$F915:$G915),K$1)=TRUE,""✓"",""✗"")"),"✗")</f>
        <v>✗</v>
      </c>
      <c r="L915" s="23" t="str">
        <f>IFERROR(__xludf.DUMMYFUNCTION("if(REGEXMATCH(join("", "",$F915:$G915),L$1)=TRUE,""✓"",""✗"")"),"✗")</f>
        <v>✗</v>
      </c>
      <c r="M915" s="23" t="str">
        <f>IFERROR(__xludf.DUMMYFUNCTION("if(REGEXMATCH(join("", "",$F915:$G915),M$1)=TRUE,""✓"",""✗"")"),"✗")</f>
        <v>✗</v>
      </c>
      <c r="N915" s="23" t="str">
        <f>IFERROR(__xludf.DUMMYFUNCTION("if(REGEXMATCH(join("", "",$F915:$G915),N$1)=TRUE,""✓"",""✗"")"),"✗")</f>
        <v>✗</v>
      </c>
      <c r="O915" s="23" t="str">
        <f>IFERROR(__xludf.DUMMYFUNCTION("if(REGEXMATCH(join("", "",$F915:$G915),O$1)=TRUE,""✓"",""✗"")"),"✗")</f>
        <v>✗</v>
      </c>
      <c r="P915" s="23" t="str">
        <f>IFERROR(__xludf.DUMMYFUNCTION("if(REGEXMATCH(join("", "",$F915:$G915),P$1)=TRUE,""✓"",""✗"")"),"✗")</f>
        <v>✗</v>
      </c>
      <c r="Q915" s="23" t="str">
        <f>IFERROR(__xludf.DUMMYFUNCTION("if(REGEXMATCH(join("", "",$F915:$G915),Q$1)=TRUE,""✓"",""✗"")"),"✗")</f>
        <v>✗</v>
      </c>
      <c r="R915" s="23" t="str">
        <f>IFERROR(__xludf.DUMMYFUNCTION("if(REGEXMATCH(join("", "",$F915:$G915),R$1)=TRUE,""✓"",""✗"")"),"✗")</f>
        <v>✗</v>
      </c>
      <c r="S915" s="23" t="str">
        <f>IFERROR(__xludf.DUMMYFUNCTION("if(REGEXMATCH(join("", "",$F915:$G915),S$1)=TRUE,""✓"",""✗"")"),"✗")</f>
        <v>✗</v>
      </c>
      <c r="T915" s="23" t="str">
        <f>IFERROR(__xludf.DUMMYFUNCTION("if(REGEXMATCH(join("", "",$F915:$G915),T$1)=TRUE,""✓"",""✗"")"),"✗")</f>
        <v>✗</v>
      </c>
      <c r="U915" s="33"/>
      <c r="V915" s="33"/>
      <c r="W915" s="33"/>
      <c r="X915" s="33"/>
      <c r="Y915" s="33"/>
      <c r="Z915" s="33"/>
      <c r="AA915" s="33"/>
      <c r="AB915" s="33"/>
      <c r="AC915" s="33"/>
    </row>
    <row r="916" hidden="1">
      <c r="A916" s="17" t="s">
        <v>302</v>
      </c>
      <c r="B916" s="33"/>
      <c r="C916" s="33"/>
      <c r="D916" s="33"/>
      <c r="E916" s="33"/>
      <c r="F916" s="33"/>
      <c r="G916" s="33"/>
      <c r="H916" s="23" t="str">
        <f>IFERROR(__xludf.DUMMYFUNCTION("if(REGEXMATCH(join("", "",$F916:$G916),H$1)=TRUE,""✓"",""✗"")"),"✗")</f>
        <v>✗</v>
      </c>
      <c r="I916" s="23" t="str">
        <f>IFERROR(__xludf.DUMMYFUNCTION("if(REGEXMATCH(join("", "",$F916:$G916),I$1)=TRUE,""✓"",""✗"")"),"✗")</f>
        <v>✗</v>
      </c>
      <c r="J916" s="23" t="str">
        <f>IFERROR(__xludf.DUMMYFUNCTION("if(REGEXMATCH(join("", "",$F916:$G916),J$1)=TRUE,""✓"",""✗"")"),"✗")</f>
        <v>✗</v>
      </c>
      <c r="K916" s="23" t="str">
        <f>IFERROR(__xludf.DUMMYFUNCTION("if(REGEXMATCH(join("", "",$F916:$G916),K$1)=TRUE,""✓"",""✗"")"),"✗")</f>
        <v>✗</v>
      </c>
      <c r="L916" s="23" t="str">
        <f>IFERROR(__xludf.DUMMYFUNCTION("if(REGEXMATCH(join("", "",$F916:$G916),L$1)=TRUE,""✓"",""✗"")"),"✗")</f>
        <v>✗</v>
      </c>
      <c r="M916" s="23" t="str">
        <f>IFERROR(__xludf.DUMMYFUNCTION("if(REGEXMATCH(join("", "",$F916:$G916),M$1)=TRUE,""✓"",""✗"")"),"✗")</f>
        <v>✗</v>
      </c>
      <c r="N916" s="23" t="str">
        <f>IFERROR(__xludf.DUMMYFUNCTION("if(REGEXMATCH(join("", "",$F916:$G916),N$1)=TRUE,""✓"",""✗"")"),"✗")</f>
        <v>✗</v>
      </c>
      <c r="O916" s="23" t="str">
        <f>IFERROR(__xludf.DUMMYFUNCTION("if(REGEXMATCH(join("", "",$F916:$G916),O$1)=TRUE,""✓"",""✗"")"),"✗")</f>
        <v>✗</v>
      </c>
      <c r="P916" s="23" t="str">
        <f>IFERROR(__xludf.DUMMYFUNCTION("if(REGEXMATCH(join("", "",$F916:$G916),P$1)=TRUE,""✓"",""✗"")"),"✗")</f>
        <v>✗</v>
      </c>
      <c r="Q916" s="23" t="str">
        <f>IFERROR(__xludf.DUMMYFUNCTION("if(REGEXMATCH(join("", "",$F916:$G916),Q$1)=TRUE,""✓"",""✗"")"),"✗")</f>
        <v>✗</v>
      </c>
      <c r="R916" s="23" t="str">
        <f>IFERROR(__xludf.DUMMYFUNCTION("if(REGEXMATCH(join("", "",$F916:$G916),R$1)=TRUE,""✓"",""✗"")"),"✗")</f>
        <v>✗</v>
      </c>
      <c r="S916" s="23" t="str">
        <f>IFERROR(__xludf.DUMMYFUNCTION("if(REGEXMATCH(join("", "",$F916:$G916),S$1)=TRUE,""✓"",""✗"")"),"✗")</f>
        <v>✗</v>
      </c>
      <c r="T916" s="23" t="str">
        <f>IFERROR(__xludf.DUMMYFUNCTION("if(REGEXMATCH(join("", "",$F916:$G916),T$1)=TRUE,""✓"",""✗"")"),"✗")</f>
        <v>✗</v>
      </c>
      <c r="U916" s="33"/>
      <c r="V916" s="33"/>
      <c r="W916" s="33"/>
      <c r="X916" s="33"/>
      <c r="Y916" s="33"/>
      <c r="Z916" s="33"/>
      <c r="AA916" s="33"/>
      <c r="AB916" s="33"/>
      <c r="AC916" s="33"/>
    </row>
    <row r="917" hidden="1">
      <c r="A917" s="17" t="s">
        <v>302</v>
      </c>
      <c r="B917" s="33"/>
      <c r="C917" s="33"/>
      <c r="D917" s="33"/>
      <c r="E917" s="33"/>
      <c r="F917" s="33"/>
      <c r="G917" s="33"/>
      <c r="H917" s="23" t="str">
        <f>IFERROR(__xludf.DUMMYFUNCTION("if(REGEXMATCH(join("", "",$F917:$G917),H$1)=TRUE,""✓"",""✗"")"),"✗")</f>
        <v>✗</v>
      </c>
      <c r="I917" s="23" t="str">
        <f>IFERROR(__xludf.DUMMYFUNCTION("if(REGEXMATCH(join("", "",$F917:$G917),I$1)=TRUE,""✓"",""✗"")"),"✗")</f>
        <v>✗</v>
      </c>
      <c r="J917" s="23" t="str">
        <f>IFERROR(__xludf.DUMMYFUNCTION("if(REGEXMATCH(join("", "",$F917:$G917),J$1)=TRUE,""✓"",""✗"")"),"✗")</f>
        <v>✗</v>
      </c>
      <c r="K917" s="23" t="str">
        <f>IFERROR(__xludf.DUMMYFUNCTION("if(REGEXMATCH(join("", "",$F917:$G917),K$1)=TRUE,""✓"",""✗"")"),"✗")</f>
        <v>✗</v>
      </c>
      <c r="L917" s="23" t="str">
        <f>IFERROR(__xludf.DUMMYFUNCTION("if(REGEXMATCH(join("", "",$F917:$G917),L$1)=TRUE,""✓"",""✗"")"),"✗")</f>
        <v>✗</v>
      </c>
      <c r="M917" s="23" t="str">
        <f>IFERROR(__xludf.DUMMYFUNCTION("if(REGEXMATCH(join("", "",$F917:$G917),M$1)=TRUE,""✓"",""✗"")"),"✗")</f>
        <v>✗</v>
      </c>
      <c r="N917" s="23" t="str">
        <f>IFERROR(__xludf.DUMMYFUNCTION("if(REGEXMATCH(join("", "",$F917:$G917),N$1)=TRUE,""✓"",""✗"")"),"✗")</f>
        <v>✗</v>
      </c>
      <c r="O917" s="23" t="str">
        <f>IFERROR(__xludf.DUMMYFUNCTION("if(REGEXMATCH(join("", "",$F917:$G917),O$1)=TRUE,""✓"",""✗"")"),"✗")</f>
        <v>✗</v>
      </c>
      <c r="P917" s="23" t="str">
        <f>IFERROR(__xludf.DUMMYFUNCTION("if(REGEXMATCH(join("", "",$F917:$G917),P$1)=TRUE,""✓"",""✗"")"),"✗")</f>
        <v>✗</v>
      </c>
      <c r="Q917" s="23" t="str">
        <f>IFERROR(__xludf.DUMMYFUNCTION("if(REGEXMATCH(join("", "",$F917:$G917),Q$1)=TRUE,""✓"",""✗"")"),"✗")</f>
        <v>✗</v>
      </c>
      <c r="R917" s="23" t="str">
        <f>IFERROR(__xludf.DUMMYFUNCTION("if(REGEXMATCH(join("", "",$F917:$G917),R$1)=TRUE,""✓"",""✗"")"),"✗")</f>
        <v>✗</v>
      </c>
      <c r="S917" s="23" t="str">
        <f>IFERROR(__xludf.DUMMYFUNCTION("if(REGEXMATCH(join("", "",$F917:$G917),S$1)=TRUE,""✓"",""✗"")"),"✗")</f>
        <v>✗</v>
      </c>
      <c r="T917" s="23" t="str">
        <f>IFERROR(__xludf.DUMMYFUNCTION("if(REGEXMATCH(join("", "",$F917:$G917),T$1)=TRUE,""✓"",""✗"")"),"✗")</f>
        <v>✗</v>
      </c>
      <c r="U917" s="33"/>
      <c r="V917" s="33"/>
      <c r="W917" s="33"/>
      <c r="X917" s="33"/>
      <c r="Y917" s="33"/>
      <c r="Z917" s="33"/>
      <c r="AA917" s="33"/>
      <c r="AB917" s="33"/>
      <c r="AC917" s="33"/>
    </row>
    <row r="918" hidden="1">
      <c r="A918" s="17" t="s">
        <v>302</v>
      </c>
      <c r="B918" s="33"/>
      <c r="C918" s="33"/>
      <c r="D918" s="33"/>
      <c r="E918" s="33"/>
      <c r="F918" s="33"/>
      <c r="G918" s="33"/>
      <c r="H918" s="23" t="str">
        <f>IFERROR(__xludf.DUMMYFUNCTION("if(REGEXMATCH(join("", "",$F918:$G918),H$1)=TRUE,""✓"",""✗"")"),"✗")</f>
        <v>✗</v>
      </c>
      <c r="I918" s="23" t="str">
        <f>IFERROR(__xludf.DUMMYFUNCTION("if(REGEXMATCH(join("", "",$F918:$G918),I$1)=TRUE,""✓"",""✗"")"),"✗")</f>
        <v>✗</v>
      </c>
      <c r="J918" s="23" t="str">
        <f>IFERROR(__xludf.DUMMYFUNCTION("if(REGEXMATCH(join("", "",$F918:$G918),J$1)=TRUE,""✓"",""✗"")"),"✗")</f>
        <v>✗</v>
      </c>
      <c r="K918" s="23" t="str">
        <f>IFERROR(__xludf.DUMMYFUNCTION("if(REGEXMATCH(join("", "",$F918:$G918),K$1)=TRUE,""✓"",""✗"")"),"✗")</f>
        <v>✗</v>
      </c>
      <c r="L918" s="23" t="str">
        <f>IFERROR(__xludf.DUMMYFUNCTION("if(REGEXMATCH(join("", "",$F918:$G918),L$1)=TRUE,""✓"",""✗"")"),"✗")</f>
        <v>✗</v>
      </c>
      <c r="M918" s="23" t="str">
        <f>IFERROR(__xludf.DUMMYFUNCTION("if(REGEXMATCH(join("", "",$F918:$G918),M$1)=TRUE,""✓"",""✗"")"),"✗")</f>
        <v>✗</v>
      </c>
      <c r="N918" s="23" t="str">
        <f>IFERROR(__xludf.DUMMYFUNCTION("if(REGEXMATCH(join("", "",$F918:$G918),N$1)=TRUE,""✓"",""✗"")"),"✗")</f>
        <v>✗</v>
      </c>
      <c r="O918" s="23" t="str">
        <f>IFERROR(__xludf.DUMMYFUNCTION("if(REGEXMATCH(join("", "",$F918:$G918),O$1)=TRUE,""✓"",""✗"")"),"✗")</f>
        <v>✗</v>
      </c>
      <c r="P918" s="23" t="str">
        <f>IFERROR(__xludf.DUMMYFUNCTION("if(REGEXMATCH(join("", "",$F918:$G918),P$1)=TRUE,""✓"",""✗"")"),"✗")</f>
        <v>✗</v>
      </c>
      <c r="Q918" s="23" t="str">
        <f>IFERROR(__xludf.DUMMYFUNCTION("if(REGEXMATCH(join("", "",$F918:$G918),Q$1)=TRUE,""✓"",""✗"")"),"✗")</f>
        <v>✗</v>
      </c>
      <c r="R918" s="23" t="str">
        <f>IFERROR(__xludf.DUMMYFUNCTION("if(REGEXMATCH(join("", "",$F918:$G918),R$1)=TRUE,""✓"",""✗"")"),"✗")</f>
        <v>✗</v>
      </c>
      <c r="S918" s="23" t="str">
        <f>IFERROR(__xludf.DUMMYFUNCTION("if(REGEXMATCH(join("", "",$F918:$G918),S$1)=TRUE,""✓"",""✗"")"),"✗")</f>
        <v>✗</v>
      </c>
      <c r="T918" s="23" t="str">
        <f>IFERROR(__xludf.DUMMYFUNCTION("if(REGEXMATCH(join("", "",$F918:$G918),T$1)=TRUE,""✓"",""✗"")"),"✗")</f>
        <v>✗</v>
      </c>
      <c r="U918" s="33"/>
      <c r="V918" s="33"/>
      <c r="W918" s="33"/>
      <c r="X918" s="33"/>
      <c r="Y918" s="33"/>
      <c r="Z918" s="33"/>
      <c r="AA918" s="33"/>
      <c r="AB918" s="33"/>
      <c r="AC918" s="33"/>
    </row>
    <row r="919" hidden="1">
      <c r="A919" s="17" t="s">
        <v>302</v>
      </c>
      <c r="B919" s="33"/>
      <c r="C919" s="33"/>
      <c r="D919" s="33"/>
      <c r="E919" s="33"/>
      <c r="F919" s="33"/>
      <c r="G919" s="33"/>
      <c r="H919" s="23" t="str">
        <f>IFERROR(__xludf.DUMMYFUNCTION("if(REGEXMATCH(join("", "",$F919:$G919),H$1)=TRUE,""✓"",""✗"")"),"✗")</f>
        <v>✗</v>
      </c>
      <c r="I919" s="23" t="str">
        <f>IFERROR(__xludf.DUMMYFUNCTION("if(REGEXMATCH(join("", "",$F919:$G919),I$1)=TRUE,""✓"",""✗"")"),"✗")</f>
        <v>✗</v>
      </c>
      <c r="J919" s="23" t="str">
        <f>IFERROR(__xludf.DUMMYFUNCTION("if(REGEXMATCH(join("", "",$F919:$G919),J$1)=TRUE,""✓"",""✗"")"),"✗")</f>
        <v>✗</v>
      </c>
      <c r="K919" s="23" t="str">
        <f>IFERROR(__xludf.DUMMYFUNCTION("if(REGEXMATCH(join("", "",$F919:$G919),K$1)=TRUE,""✓"",""✗"")"),"✗")</f>
        <v>✗</v>
      </c>
      <c r="L919" s="23" t="str">
        <f>IFERROR(__xludf.DUMMYFUNCTION("if(REGEXMATCH(join("", "",$F919:$G919),L$1)=TRUE,""✓"",""✗"")"),"✗")</f>
        <v>✗</v>
      </c>
      <c r="M919" s="23" t="str">
        <f>IFERROR(__xludf.DUMMYFUNCTION("if(REGEXMATCH(join("", "",$F919:$G919),M$1)=TRUE,""✓"",""✗"")"),"✗")</f>
        <v>✗</v>
      </c>
      <c r="N919" s="23" t="str">
        <f>IFERROR(__xludf.DUMMYFUNCTION("if(REGEXMATCH(join("", "",$F919:$G919),N$1)=TRUE,""✓"",""✗"")"),"✗")</f>
        <v>✗</v>
      </c>
      <c r="O919" s="23" t="str">
        <f>IFERROR(__xludf.DUMMYFUNCTION("if(REGEXMATCH(join("", "",$F919:$G919),O$1)=TRUE,""✓"",""✗"")"),"✗")</f>
        <v>✗</v>
      </c>
      <c r="P919" s="23" t="str">
        <f>IFERROR(__xludf.DUMMYFUNCTION("if(REGEXMATCH(join("", "",$F919:$G919),P$1)=TRUE,""✓"",""✗"")"),"✗")</f>
        <v>✗</v>
      </c>
      <c r="Q919" s="23" t="str">
        <f>IFERROR(__xludf.DUMMYFUNCTION("if(REGEXMATCH(join("", "",$F919:$G919),Q$1)=TRUE,""✓"",""✗"")"),"✗")</f>
        <v>✗</v>
      </c>
      <c r="R919" s="23" t="str">
        <f>IFERROR(__xludf.DUMMYFUNCTION("if(REGEXMATCH(join("", "",$F919:$G919),R$1)=TRUE,""✓"",""✗"")"),"✗")</f>
        <v>✗</v>
      </c>
      <c r="S919" s="23" t="str">
        <f>IFERROR(__xludf.DUMMYFUNCTION("if(REGEXMATCH(join("", "",$F919:$G919),S$1)=TRUE,""✓"",""✗"")"),"✗")</f>
        <v>✗</v>
      </c>
      <c r="T919" s="23" t="str">
        <f>IFERROR(__xludf.DUMMYFUNCTION("if(REGEXMATCH(join("", "",$F919:$G919),T$1)=TRUE,""✓"",""✗"")"),"✗")</f>
        <v>✗</v>
      </c>
      <c r="U919" s="33"/>
      <c r="V919" s="33"/>
      <c r="W919" s="33"/>
      <c r="X919" s="33"/>
      <c r="Y919" s="33"/>
      <c r="Z919" s="33"/>
      <c r="AA919" s="33"/>
      <c r="AB919" s="33"/>
      <c r="AC919" s="33"/>
    </row>
    <row r="920" hidden="1">
      <c r="A920" s="17" t="s">
        <v>302</v>
      </c>
      <c r="B920" s="33"/>
      <c r="C920" s="33"/>
      <c r="D920" s="33"/>
      <c r="E920" s="33"/>
      <c r="F920" s="33"/>
      <c r="G920" s="33"/>
      <c r="H920" s="23" t="str">
        <f>IFERROR(__xludf.DUMMYFUNCTION("if(REGEXMATCH(join("", "",$F920:$G920),H$1)=TRUE,""✓"",""✗"")"),"✗")</f>
        <v>✗</v>
      </c>
      <c r="I920" s="23" t="str">
        <f>IFERROR(__xludf.DUMMYFUNCTION("if(REGEXMATCH(join("", "",$F920:$G920),I$1)=TRUE,""✓"",""✗"")"),"✗")</f>
        <v>✗</v>
      </c>
      <c r="J920" s="23" t="str">
        <f>IFERROR(__xludf.DUMMYFUNCTION("if(REGEXMATCH(join("", "",$F920:$G920),J$1)=TRUE,""✓"",""✗"")"),"✗")</f>
        <v>✗</v>
      </c>
      <c r="K920" s="23" t="str">
        <f>IFERROR(__xludf.DUMMYFUNCTION("if(REGEXMATCH(join("", "",$F920:$G920),K$1)=TRUE,""✓"",""✗"")"),"✗")</f>
        <v>✗</v>
      </c>
      <c r="L920" s="23" t="str">
        <f>IFERROR(__xludf.DUMMYFUNCTION("if(REGEXMATCH(join("", "",$F920:$G920),L$1)=TRUE,""✓"",""✗"")"),"✗")</f>
        <v>✗</v>
      </c>
      <c r="M920" s="23" t="str">
        <f>IFERROR(__xludf.DUMMYFUNCTION("if(REGEXMATCH(join("", "",$F920:$G920),M$1)=TRUE,""✓"",""✗"")"),"✗")</f>
        <v>✗</v>
      </c>
      <c r="N920" s="23" t="str">
        <f>IFERROR(__xludf.DUMMYFUNCTION("if(REGEXMATCH(join("", "",$F920:$G920),N$1)=TRUE,""✓"",""✗"")"),"✗")</f>
        <v>✗</v>
      </c>
      <c r="O920" s="23" t="str">
        <f>IFERROR(__xludf.DUMMYFUNCTION("if(REGEXMATCH(join("", "",$F920:$G920),O$1)=TRUE,""✓"",""✗"")"),"✗")</f>
        <v>✗</v>
      </c>
      <c r="P920" s="23" t="str">
        <f>IFERROR(__xludf.DUMMYFUNCTION("if(REGEXMATCH(join("", "",$F920:$G920),P$1)=TRUE,""✓"",""✗"")"),"✗")</f>
        <v>✗</v>
      </c>
      <c r="Q920" s="23" t="str">
        <f>IFERROR(__xludf.DUMMYFUNCTION("if(REGEXMATCH(join("", "",$F920:$G920),Q$1)=TRUE,""✓"",""✗"")"),"✗")</f>
        <v>✗</v>
      </c>
      <c r="R920" s="23" t="str">
        <f>IFERROR(__xludf.DUMMYFUNCTION("if(REGEXMATCH(join("", "",$F920:$G920),R$1)=TRUE,""✓"",""✗"")"),"✗")</f>
        <v>✗</v>
      </c>
      <c r="S920" s="23" t="str">
        <f>IFERROR(__xludf.DUMMYFUNCTION("if(REGEXMATCH(join("", "",$F920:$G920),S$1)=TRUE,""✓"",""✗"")"),"✗")</f>
        <v>✗</v>
      </c>
      <c r="T920" s="23" t="str">
        <f>IFERROR(__xludf.DUMMYFUNCTION("if(REGEXMATCH(join("", "",$F920:$G920),T$1)=TRUE,""✓"",""✗"")"),"✗")</f>
        <v>✗</v>
      </c>
      <c r="U920" s="33"/>
      <c r="V920" s="33"/>
      <c r="W920" s="33"/>
      <c r="X920" s="33"/>
      <c r="Y920" s="33"/>
      <c r="Z920" s="33"/>
      <c r="AA920" s="33"/>
      <c r="AB920" s="33"/>
      <c r="AC920" s="33"/>
    </row>
    <row r="921" hidden="1">
      <c r="A921" s="17" t="s">
        <v>302</v>
      </c>
      <c r="B921" s="33"/>
      <c r="C921" s="33"/>
      <c r="D921" s="33"/>
      <c r="E921" s="33"/>
      <c r="F921" s="33"/>
      <c r="G921" s="33"/>
      <c r="H921" s="23" t="str">
        <f>IFERROR(__xludf.DUMMYFUNCTION("if(REGEXMATCH(join("", "",$F921:$G921),H$1)=TRUE,""✓"",""✗"")"),"✗")</f>
        <v>✗</v>
      </c>
      <c r="I921" s="23" t="str">
        <f>IFERROR(__xludf.DUMMYFUNCTION("if(REGEXMATCH(join("", "",$F921:$G921),I$1)=TRUE,""✓"",""✗"")"),"✗")</f>
        <v>✗</v>
      </c>
      <c r="J921" s="23" t="str">
        <f>IFERROR(__xludf.DUMMYFUNCTION("if(REGEXMATCH(join("", "",$F921:$G921),J$1)=TRUE,""✓"",""✗"")"),"✗")</f>
        <v>✗</v>
      </c>
      <c r="K921" s="23" t="str">
        <f>IFERROR(__xludf.DUMMYFUNCTION("if(REGEXMATCH(join("", "",$F921:$G921),K$1)=TRUE,""✓"",""✗"")"),"✗")</f>
        <v>✗</v>
      </c>
      <c r="L921" s="23" t="str">
        <f>IFERROR(__xludf.DUMMYFUNCTION("if(REGEXMATCH(join("", "",$F921:$G921),L$1)=TRUE,""✓"",""✗"")"),"✗")</f>
        <v>✗</v>
      </c>
      <c r="M921" s="23" t="str">
        <f>IFERROR(__xludf.DUMMYFUNCTION("if(REGEXMATCH(join("", "",$F921:$G921),M$1)=TRUE,""✓"",""✗"")"),"✗")</f>
        <v>✗</v>
      </c>
      <c r="N921" s="23" t="str">
        <f>IFERROR(__xludf.DUMMYFUNCTION("if(REGEXMATCH(join("", "",$F921:$G921),N$1)=TRUE,""✓"",""✗"")"),"✗")</f>
        <v>✗</v>
      </c>
      <c r="O921" s="23" t="str">
        <f>IFERROR(__xludf.DUMMYFUNCTION("if(REGEXMATCH(join("", "",$F921:$G921),O$1)=TRUE,""✓"",""✗"")"),"✗")</f>
        <v>✗</v>
      </c>
      <c r="P921" s="23" t="str">
        <f>IFERROR(__xludf.DUMMYFUNCTION("if(REGEXMATCH(join("", "",$F921:$G921),P$1)=TRUE,""✓"",""✗"")"),"✗")</f>
        <v>✗</v>
      </c>
      <c r="Q921" s="23" t="str">
        <f>IFERROR(__xludf.DUMMYFUNCTION("if(REGEXMATCH(join("", "",$F921:$G921),Q$1)=TRUE,""✓"",""✗"")"),"✗")</f>
        <v>✗</v>
      </c>
      <c r="R921" s="23" t="str">
        <f>IFERROR(__xludf.DUMMYFUNCTION("if(REGEXMATCH(join("", "",$F921:$G921),R$1)=TRUE,""✓"",""✗"")"),"✗")</f>
        <v>✗</v>
      </c>
      <c r="S921" s="23" t="str">
        <f>IFERROR(__xludf.DUMMYFUNCTION("if(REGEXMATCH(join("", "",$F921:$G921),S$1)=TRUE,""✓"",""✗"")"),"✗")</f>
        <v>✗</v>
      </c>
      <c r="T921" s="23" t="str">
        <f>IFERROR(__xludf.DUMMYFUNCTION("if(REGEXMATCH(join("", "",$F921:$G921),T$1)=TRUE,""✓"",""✗"")"),"✗")</f>
        <v>✗</v>
      </c>
      <c r="U921" s="33"/>
      <c r="V921" s="33"/>
      <c r="W921" s="33"/>
      <c r="X921" s="33"/>
      <c r="Y921" s="33"/>
      <c r="Z921" s="33"/>
      <c r="AA921" s="33"/>
      <c r="AB921" s="33"/>
      <c r="AC921" s="33"/>
    </row>
    <row r="922" hidden="1">
      <c r="A922" s="17" t="s">
        <v>302</v>
      </c>
      <c r="B922" s="33"/>
      <c r="C922" s="33"/>
      <c r="D922" s="33"/>
      <c r="E922" s="33"/>
      <c r="F922" s="33"/>
      <c r="G922" s="33"/>
      <c r="H922" s="23" t="str">
        <f>IFERROR(__xludf.DUMMYFUNCTION("if(REGEXMATCH(join("", "",$F922:$G922),H$1)=TRUE,""✓"",""✗"")"),"✗")</f>
        <v>✗</v>
      </c>
      <c r="I922" s="23" t="str">
        <f>IFERROR(__xludf.DUMMYFUNCTION("if(REGEXMATCH(join("", "",$F922:$G922),I$1)=TRUE,""✓"",""✗"")"),"✗")</f>
        <v>✗</v>
      </c>
      <c r="J922" s="23" t="str">
        <f>IFERROR(__xludf.DUMMYFUNCTION("if(REGEXMATCH(join("", "",$F922:$G922),J$1)=TRUE,""✓"",""✗"")"),"✗")</f>
        <v>✗</v>
      </c>
      <c r="K922" s="23" t="str">
        <f>IFERROR(__xludf.DUMMYFUNCTION("if(REGEXMATCH(join("", "",$F922:$G922),K$1)=TRUE,""✓"",""✗"")"),"✗")</f>
        <v>✗</v>
      </c>
      <c r="L922" s="23" t="str">
        <f>IFERROR(__xludf.DUMMYFUNCTION("if(REGEXMATCH(join("", "",$F922:$G922),L$1)=TRUE,""✓"",""✗"")"),"✗")</f>
        <v>✗</v>
      </c>
      <c r="M922" s="23" t="str">
        <f>IFERROR(__xludf.DUMMYFUNCTION("if(REGEXMATCH(join("", "",$F922:$G922),M$1)=TRUE,""✓"",""✗"")"),"✗")</f>
        <v>✗</v>
      </c>
      <c r="N922" s="23" t="str">
        <f>IFERROR(__xludf.DUMMYFUNCTION("if(REGEXMATCH(join("", "",$F922:$G922),N$1)=TRUE,""✓"",""✗"")"),"✗")</f>
        <v>✗</v>
      </c>
      <c r="O922" s="23" t="str">
        <f>IFERROR(__xludf.DUMMYFUNCTION("if(REGEXMATCH(join("", "",$F922:$G922),O$1)=TRUE,""✓"",""✗"")"),"✗")</f>
        <v>✗</v>
      </c>
      <c r="P922" s="23" t="str">
        <f>IFERROR(__xludf.DUMMYFUNCTION("if(REGEXMATCH(join("", "",$F922:$G922),P$1)=TRUE,""✓"",""✗"")"),"✗")</f>
        <v>✗</v>
      </c>
      <c r="Q922" s="23" t="str">
        <f>IFERROR(__xludf.DUMMYFUNCTION("if(REGEXMATCH(join("", "",$F922:$G922),Q$1)=TRUE,""✓"",""✗"")"),"✗")</f>
        <v>✗</v>
      </c>
      <c r="R922" s="23" t="str">
        <f>IFERROR(__xludf.DUMMYFUNCTION("if(REGEXMATCH(join("", "",$F922:$G922),R$1)=TRUE,""✓"",""✗"")"),"✗")</f>
        <v>✗</v>
      </c>
      <c r="S922" s="23" t="str">
        <f>IFERROR(__xludf.DUMMYFUNCTION("if(REGEXMATCH(join("", "",$F922:$G922),S$1)=TRUE,""✓"",""✗"")"),"✗")</f>
        <v>✗</v>
      </c>
      <c r="T922" s="23" t="str">
        <f>IFERROR(__xludf.DUMMYFUNCTION("if(REGEXMATCH(join("", "",$F922:$G922),T$1)=TRUE,""✓"",""✗"")"),"✗")</f>
        <v>✗</v>
      </c>
      <c r="U922" s="33"/>
      <c r="V922" s="33"/>
      <c r="W922" s="33"/>
      <c r="X922" s="33"/>
      <c r="Y922" s="33"/>
      <c r="Z922" s="33"/>
      <c r="AA922" s="33"/>
      <c r="AB922" s="33"/>
      <c r="AC922" s="33"/>
    </row>
    <row r="923" hidden="1">
      <c r="A923" s="17" t="s">
        <v>302</v>
      </c>
      <c r="B923" s="33"/>
      <c r="C923" s="33"/>
      <c r="D923" s="33"/>
      <c r="E923" s="33"/>
      <c r="F923" s="33"/>
      <c r="G923" s="33"/>
      <c r="H923" s="23" t="str">
        <f>IFERROR(__xludf.DUMMYFUNCTION("if(REGEXMATCH(join("", "",$F923:$G923),H$1)=TRUE,""✓"",""✗"")"),"✗")</f>
        <v>✗</v>
      </c>
      <c r="I923" s="23" t="str">
        <f>IFERROR(__xludf.DUMMYFUNCTION("if(REGEXMATCH(join("", "",$F923:$G923),I$1)=TRUE,""✓"",""✗"")"),"✗")</f>
        <v>✗</v>
      </c>
      <c r="J923" s="23" t="str">
        <f>IFERROR(__xludf.DUMMYFUNCTION("if(REGEXMATCH(join("", "",$F923:$G923),J$1)=TRUE,""✓"",""✗"")"),"✗")</f>
        <v>✗</v>
      </c>
      <c r="K923" s="23" t="str">
        <f>IFERROR(__xludf.DUMMYFUNCTION("if(REGEXMATCH(join("", "",$F923:$G923),K$1)=TRUE,""✓"",""✗"")"),"✗")</f>
        <v>✗</v>
      </c>
      <c r="L923" s="23" t="str">
        <f>IFERROR(__xludf.DUMMYFUNCTION("if(REGEXMATCH(join("", "",$F923:$G923),L$1)=TRUE,""✓"",""✗"")"),"✗")</f>
        <v>✗</v>
      </c>
      <c r="M923" s="23" t="str">
        <f>IFERROR(__xludf.DUMMYFUNCTION("if(REGEXMATCH(join("", "",$F923:$G923),M$1)=TRUE,""✓"",""✗"")"),"✗")</f>
        <v>✗</v>
      </c>
      <c r="N923" s="23" t="str">
        <f>IFERROR(__xludf.DUMMYFUNCTION("if(REGEXMATCH(join("", "",$F923:$G923),N$1)=TRUE,""✓"",""✗"")"),"✗")</f>
        <v>✗</v>
      </c>
      <c r="O923" s="23" t="str">
        <f>IFERROR(__xludf.DUMMYFUNCTION("if(REGEXMATCH(join("", "",$F923:$G923),O$1)=TRUE,""✓"",""✗"")"),"✗")</f>
        <v>✗</v>
      </c>
      <c r="P923" s="23" t="str">
        <f>IFERROR(__xludf.DUMMYFUNCTION("if(REGEXMATCH(join("", "",$F923:$G923),P$1)=TRUE,""✓"",""✗"")"),"✗")</f>
        <v>✗</v>
      </c>
      <c r="Q923" s="23" t="str">
        <f>IFERROR(__xludf.DUMMYFUNCTION("if(REGEXMATCH(join("", "",$F923:$G923),Q$1)=TRUE,""✓"",""✗"")"),"✗")</f>
        <v>✗</v>
      </c>
      <c r="R923" s="23" t="str">
        <f>IFERROR(__xludf.DUMMYFUNCTION("if(REGEXMATCH(join("", "",$F923:$G923),R$1)=TRUE,""✓"",""✗"")"),"✗")</f>
        <v>✗</v>
      </c>
      <c r="S923" s="23" t="str">
        <f>IFERROR(__xludf.DUMMYFUNCTION("if(REGEXMATCH(join("", "",$F923:$G923),S$1)=TRUE,""✓"",""✗"")"),"✗")</f>
        <v>✗</v>
      </c>
      <c r="T923" s="23" t="str">
        <f>IFERROR(__xludf.DUMMYFUNCTION("if(REGEXMATCH(join("", "",$F923:$G923),T$1)=TRUE,""✓"",""✗"")"),"✗")</f>
        <v>✗</v>
      </c>
      <c r="U923" s="33"/>
      <c r="V923" s="33"/>
      <c r="W923" s="33"/>
      <c r="X923" s="33"/>
      <c r="Y923" s="33"/>
      <c r="Z923" s="33"/>
      <c r="AA923" s="33"/>
      <c r="AB923" s="33"/>
      <c r="AC923" s="33"/>
    </row>
    <row r="924" hidden="1">
      <c r="A924" s="17" t="s">
        <v>302</v>
      </c>
      <c r="B924" s="33"/>
      <c r="C924" s="33"/>
      <c r="D924" s="33"/>
      <c r="E924" s="33"/>
      <c r="F924" s="33"/>
      <c r="G924" s="33"/>
      <c r="H924" s="23" t="str">
        <f>IFERROR(__xludf.DUMMYFUNCTION("if(REGEXMATCH(join("", "",$F924:$G924),H$1)=TRUE,""✓"",""✗"")"),"✗")</f>
        <v>✗</v>
      </c>
      <c r="I924" s="23" t="str">
        <f>IFERROR(__xludf.DUMMYFUNCTION("if(REGEXMATCH(join("", "",$F924:$G924),I$1)=TRUE,""✓"",""✗"")"),"✗")</f>
        <v>✗</v>
      </c>
      <c r="J924" s="23" t="str">
        <f>IFERROR(__xludf.DUMMYFUNCTION("if(REGEXMATCH(join("", "",$F924:$G924),J$1)=TRUE,""✓"",""✗"")"),"✗")</f>
        <v>✗</v>
      </c>
      <c r="K924" s="23" t="str">
        <f>IFERROR(__xludf.DUMMYFUNCTION("if(REGEXMATCH(join("", "",$F924:$G924),K$1)=TRUE,""✓"",""✗"")"),"✗")</f>
        <v>✗</v>
      </c>
      <c r="L924" s="23" t="str">
        <f>IFERROR(__xludf.DUMMYFUNCTION("if(REGEXMATCH(join("", "",$F924:$G924),L$1)=TRUE,""✓"",""✗"")"),"✗")</f>
        <v>✗</v>
      </c>
      <c r="M924" s="23" t="str">
        <f>IFERROR(__xludf.DUMMYFUNCTION("if(REGEXMATCH(join("", "",$F924:$G924),M$1)=TRUE,""✓"",""✗"")"),"✗")</f>
        <v>✗</v>
      </c>
      <c r="N924" s="23" t="str">
        <f>IFERROR(__xludf.DUMMYFUNCTION("if(REGEXMATCH(join("", "",$F924:$G924),N$1)=TRUE,""✓"",""✗"")"),"✗")</f>
        <v>✗</v>
      </c>
      <c r="O924" s="23" t="str">
        <f>IFERROR(__xludf.DUMMYFUNCTION("if(REGEXMATCH(join("", "",$F924:$G924),O$1)=TRUE,""✓"",""✗"")"),"✗")</f>
        <v>✗</v>
      </c>
      <c r="P924" s="23" t="str">
        <f>IFERROR(__xludf.DUMMYFUNCTION("if(REGEXMATCH(join("", "",$F924:$G924),P$1)=TRUE,""✓"",""✗"")"),"✗")</f>
        <v>✗</v>
      </c>
      <c r="Q924" s="23" t="str">
        <f>IFERROR(__xludf.DUMMYFUNCTION("if(REGEXMATCH(join("", "",$F924:$G924),Q$1)=TRUE,""✓"",""✗"")"),"✗")</f>
        <v>✗</v>
      </c>
      <c r="R924" s="23" t="str">
        <f>IFERROR(__xludf.DUMMYFUNCTION("if(REGEXMATCH(join("", "",$F924:$G924),R$1)=TRUE,""✓"",""✗"")"),"✗")</f>
        <v>✗</v>
      </c>
      <c r="S924" s="23" t="str">
        <f>IFERROR(__xludf.DUMMYFUNCTION("if(REGEXMATCH(join("", "",$F924:$G924),S$1)=TRUE,""✓"",""✗"")"),"✗")</f>
        <v>✗</v>
      </c>
      <c r="T924" s="23" t="str">
        <f>IFERROR(__xludf.DUMMYFUNCTION("if(REGEXMATCH(join("", "",$F924:$G924),T$1)=TRUE,""✓"",""✗"")"),"✗")</f>
        <v>✗</v>
      </c>
      <c r="U924" s="33"/>
      <c r="V924" s="33"/>
      <c r="W924" s="33"/>
      <c r="X924" s="33"/>
      <c r="Y924" s="33"/>
      <c r="Z924" s="33"/>
      <c r="AA924" s="33"/>
      <c r="AB924" s="33"/>
      <c r="AC924" s="33"/>
    </row>
    <row r="925" hidden="1">
      <c r="A925" s="17" t="s">
        <v>302</v>
      </c>
      <c r="B925" s="33"/>
      <c r="C925" s="33"/>
      <c r="D925" s="33"/>
      <c r="E925" s="33"/>
      <c r="F925" s="33"/>
      <c r="G925" s="33"/>
      <c r="H925" s="23" t="str">
        <f>IFERROR(__xludf.DUMMYFUNCTION("if(REGEXMATCH(join("", "",$F925:$G925),H$1)=TRUE,""✓"",""✗"")"),"✗")</f>
        <v>✗</v>
      </c>
      <c r="I925" s="23" t="str">
        <f>IFERROR(__xludf.DUMMYFUNCTION("if(REGEXMATCH(join("", "",$F925:$G925),I$1)=TRUE,""✓"",""✗"")"),"✗")</f>
        <v>✗</v>
      </c>
      <c r="J925" s="23" t="str">
        <f>IFERROR(__xludf.DUMMYFUNCTION("if(REGEXMATCH(join("", "",$F925:$G925),J$1)=TRUE,""✓"",""✗"")"),"✗")</f>
        <v>✗</v>
      </c>
      <c r="K925" s="23" t="str">
        <f>IFERROR(__xludf.DUMMYFUNCTION("if(REGEXMATCH(join("", "",$F925:$G925),K$1)=TRUE,""✓"",""✗"")"),"✗")</f>
        <v>✗</v>
      </c>
      <c r="L925" s="23" t="str">
        <f>IFERROR(__xludf.DUMMYFUNCTION("if(REGEXMATCH(join("", "",$F925:$G925),L$1)=TRUE,""✓"",""✗"")"),"✗")</f>
        <v>✗</v>
      </c>
      <c r="M925" s="23" t="str">
        <f>IFERROR(__xludf.DUMMYFUNCTION("if(REGEXMATCH(join("", "",$F925:$G925),M$1)=TRUE,""✓"",""✗"")"),"✗")</f>
        <v>✗</v>
      </c>
      <c r="N925" s="23" t="str">
        <f>IFERROR(__xludf.DUMMYFUNCTION("if(REGEXMATCH(join("", "",$F925:$G925),N$1)=TRUE,""✓"",""✗"")"),"✗")</f>
        <v>✗</v>
      </c>
      <c r="O925" s="23" t="str">
        <f>IFERROR(__xludf.DUMMYFUNCTION("if(REGEXMATCH(join("", "",$F925:$G925),O$1)=TRUE,""✓"",""✗"")"),"✗")</f>
        <v>✗</v>
      </c>
      <c r="P925" s="23" t="str">
        <f>IFERROR(__xludf.DUMMYFUNCTION("if(REGEXMATCH(join("", "",$F925:$G925),P$1)=TRUE,""✓"",""✗"")"),"✗")</f>
        <v>✗</v>
      </c>
      <c r="Q925" s="23" t="str">
        <f>IFERROR(__xludf.DUMMYFUNCTION("if(REGEXMATCH(join("", "",$F925:$G925),Q$1)=TRUE,""✓"",""✗"")"),"✗")</f>
        <v>✗</v>
      </c>
      <c r="R925" s="23" t="str">
        <f>IFERROR(__xludf.DUMMYFUNCTION("if(REGEXMATCH(join("", "",$F925:$G925),R$1)=TRUE,""✓"",""✗"")"),"✗")</f>
        <v>✗</v>
      </c>
      <c r="S925" s="23" t="str">
        <f>IFERROR(__xludf.DUMMYFUNCTION("if(REGEXMATCH(join("", "",$F925:$G925),S$1)=TRUE,""✓"",""✗"")"),"✗")</f>
        <v>✗</v>
      </c>
      <c r="T925" s="23" t="str">
        <f>IFERROR(__xludf.DUMMYFUNCTION("if(REGEXMATCH(join("", "",$F925:$G925),T$1)=TRUE,""✓"",""✗"")"),"✗")</f>
        <v>✗</v>
      </c>
      <c r="U925" s="33"/>
      <c r="V925" s="33"/>
      <c r="W925" s="33"/>
      <c r="X925" s="33"/>
      <c r="Y925" s="33"/>
      <c r="Z925" s="33"/>
      <c r="AA925" s="33"/>
      <c r="AB925" s="33"/>
      <c r="AC925" s="33"/>
    </row>
    <row r="926" hidden="1">
      <c r="A926" s="17" t="s">
        <v>302</v>
      </c>
      <c r="B926" s="33"/>
      <c r="C926" s="33"/>
      <c r="D926" s="33"/>
      <c r="E926" s="33"/>
      <c r="F926" s="33"/>
      <c r="G926" s="33"/>
      <c r="H926" s="23" t="str">
        <f>IFERROR(__xludf.DUMMYFUNCTION("if(REGEXMATCH(join("", "",$F926:$G926),H$1)=TRUE,""✓"",""✗"")"),"✗")</f>
        <v>✗</v>
      </c>
      <c r="I926" s="23" t="str">
        <f>IFERROR(__xludf.DUMMYFUNCTION("if(REGEXMATCH(join("", "",$F926:$G926),I$1)=TRUE,""✓"",""✗"")"),"✗")</f>
        <v>✗</v>
      </c>
      <c r="J926" s="23" t="str">
        <f>IFERROR(__xludf.DUMMYFUNCTION("if(REGEXMATCH(join("", "",$F926:$G926),J$1)=TRUE,""✓"",""✗"")"),"✗")</f>
        <v>✗</v>
      </c>
      <c r="K926" s="23" t="str">
        <f>IFERROR(__xludf.DUMMYFUNCTION("if(REGEXMATCH(join("", "",$F926:$G926),K$1)=TRUE,""✓"",""✗"")"),"✗")</f>
        <v>✗</v>
      </c>
      <c r="L926" s="23" t="str">
        <f>IFERROR(__xludf.DUMMYFUNCTION("if(REGEXMATCH(join("", "",$F926:$G926),L$1)=TRUE,""✓"",""✗"")"),"✗")</f>
        <v>✗</v>
      </c>
      <c r="M926" s="23" t="str">
        <f>IFERROR(__xludf.DUMMYFUNCTION("if(REGEXMATCH(join("", "",$F926:$G926),M$1)=TRUE,""✓"",""✗"")"),"✗")</f>
        <v>✗</v>
      </c>
      <c r="N926" s="23" t="str">
        <f>IFERROR(__xludf.DUMMYFUNCTION("if(REGEXMATCH(join("", "",$F926:$G926),N$1)=TRUE,""✓"",""✗"")"),"✗")</f>
        <v>✗</v>
      </c>
      <c r="O926" s="23" t="str">
        <f>IFERROR(__xludf.DUMMYFUNCTION("if(REGEXMATCH(join("", "",$F926:$G926),O$1)=TRUE,""✓"",""✗"")"),"✗")</f>
        <v>✗</v>
      </c>
      <c r="P926" s="23" t="str">
        <f>IFERROR(__xludf.DUMMYFUNCTION("if(REGEXMATCH(join("", "",$F926:$G926),P$1)=TRUE,""✓"",""✗"")"),"✗")</f>
        <v>✗</v>
      </c>
      <c r="Q926" s="23" t="str">
        <f>IFERROR(__xludf.DUMMYFUNCTION("if(REGEXMATCH(join("", "",$F926:$G926),Q$1)=TRUE,""✓"",""✗"")"),"✗")</f>
        <v>✗</v>
      </c>
      <c r="R926" s="23" t="str">
        <f>IFERROR(__xludf.DUMMYFUNCTION("if(REGEXMATCH(join("", "",$F926:$G926),R$1)=TRUE,""✓"",""✗"")"),"✗")</f>
        <v>✗</v>
      </c>
      <c r="S926" s="23" t="str">
        <f>IFERROR(__xludf.DUMMYFUNCTION("if(REGEXMATCH(join("", "",$F926:$G926),S$1)=TRUE,""✓"",""✗"")"),"✗")</f>
        <v>✗</v>
      </c>
      <c r="T926" s="23" t="str">
        <f>IFERROR(__xludf.DUMMYFUNCTION("if(REGEXMATCH(join("", "",$F926:$G926),T$1)=TRUE,""✓"",""✗"")"),"✗")</f>
        <v>✗</v>
      </c>
      <c r="U926" s="33"/>
      <c r="V926" s="33"/>
      <c r="W926" s="33"/>
      <c r="X926" s="33"/>
      <c r="Y926" s="33"/>
      <c r="Z926" s="33"/>
      <c r="AA926" s="33"/>
      <c r="AB926" s="33"/>
      <c r="AC926" s="33"/>
    </row>
    <row r="927" hidden="1">
      <c r="A927" s="17" t="s">
        <v>302</v>
      </c>
      <c r="B927" s="33"/>
      <c r="C927" s="33"/>
      <c r="D927" s="33"/>
      <c r="E927" s="33"/>
      <c r="F927" s="33"/>
      <c r="G927" s="33"/>
      <c r="H927" s="23" t="str">
        <f>IFERROR(__xludf.DUMMYFUNCTION("if(REGEXMATCH(join("", "",$F927:$G927),H$1)=TRUE,""✓"",""✗"")"),"✗")</f>
        <v>✗</v>
      </c>
      <c r="I927" s="23" t="str">
        <f>IFERROR(__xludf.DUMMYFUNCTION("if(REGEXMATCH(join("", "",$F927:$G927),I$1)=TRUE,""✓"",""✗"")"),"✗")</f>
        <v>✗</v>
      </c>
      <c r="J927" s="23" t="str">
        <f>IFERROR(__xludf.DUMMYFUNCTION("if(REGEXMATCH(join("", "",$F927:$G927),J$1)=TRUE,""✓"",""✗"")"),"✗")</f>
        <v>✗</v>
      </c>
      <c r="K927" s="23" t="str">
        <f>IFERROR(__xludf.DUMMYFUNCTION("if(REGEXMATCH(join("", "",$F927:$G927),K$1)=TRUE,""✓"",""✗"")"),"✗")</f>
        <v>✗</v>
      </c>
      <c r="L927" s="23" t="str">
        <f>IFERROR(__xludf.DUMMYFUNCTION("if(REGEXMATCH(join("", "",$F927:$G927),L$1)=TRUE,""✓"",""✗"")"),"✗")</f>
        <v>✗</v>
      </c>
      <c r="M927" s="23" t="str">
        <f>IFERROR(__xludf.DUMMYFUNCTION("if(REGEXMATCH(join("", "",$F927:$G927),M$1)=TRUE,""✓"",""✗"")"),"✗")</f>
        <v>✗</v>
      </c>
      <c r="N927" s="23" t="str">
        <f>IFERROR(__xludf.DUMMYFUNCTION("if(REGEXMATCH(join("", "",$F927:$G927),N$1)=TRUE,""✓"",""✗"")"),"✗")</f>
        <v>✗</v>
      </c>
      <c r="O927" s="23" t="str">
        <f>IFERROR(__xludf.DUMMYFUNCTION("if(REGEXMATCH(join("", "",$F927:$G927),O$1)=TRUE,""✓"",""✗"")"),"✗")</f>
        <v>✗</v>
      </c>
      <c r="P927" s="23" t="str">
        <f>IFERROR(__xludf.DUMMYFUNCTION("if(REGEXMATCH(join("", "",$F927:$G927),P$1)=TRUE,""✓"",""✗"")"),"✗")</f>
        <v>✗</v>
      </c>
      <c r="Q927" s="23" t="str">
        <f>IFERROR(__xludf.DUMMYFUNCTION("if(REGEXMATCH(join("", "",$F927:$G927),Q$1)=TRUE,""✓"",""✗"")"),"✗")</f>
        <v>✗</v>
      </c>
      <c r="R927" s="23" t="str">
        <f>IFERROR(__xludf.DUMMYFUNCTION("if(REGEXMATCH(join("", "",$F927:$G927),R$1)=TRUE,""✓"",""✗"")"),"✗")</f>
        <v>✗</v>
      </c>
      <c r="S927" s="23" t="str">
        <f>IFERROR(__xludf.DUMMYFUNCTION("if(REGEXMATCH(join("", "",$F927:$G927),S$1)=TRUE,""✓"",""✗"")"),"✗")</f>
        <v>✗</v>
      </c>
      <c r="T927" s="23" t="str">
        <f>IFERROR(__xludf.DUMMYFUNCTION("if(REGEXMATCH(join("", "",$F927:$G927),T$1)=TRUE,""✓"",""✗"")"),"✗")</f>
        <v>✗</v>
      </c>
      <c r="U927" s="33"/>
      <c r="V927" s="33"/>
      <c r="W927" s="33"/>
      <c r="X927" s="33"/>
      <c r="Y927" s="33"/>
      <c r="Z927" s="33"/>
      <c r="AA927" s="33"/>
      <c r="AB927" s="33"/>
      <c r="AC927" s="33"/>
    </row>
    <row r="928" hidden="1">
      <c r="A928" s="17" t="s">
        <v>302</v>
      </c>
      <c r="B928" s="33"/>
      <c r="C928" s="33"/>
      <c r="D928" s="33"/>
      <c r="E928" s="33"/>
      <c r="F928" s="33"/>
      <c r="G928" s="33"/>
      <c r="H928" s="23" t="str">
        <f>IFERROR(__xludf.DUMMYFUNCTION("if(REGEXMATCH(join("", "",$F928:$G928),H$1)=TRUE,""✓"",""✗"")"),"✗")</f>
        <v>✗</v>
      </c>
      <c r="I928" s="23" t="str">
        <f>IFERROR(__xludf.DUMMYFUNCTION("if(REGEXMATCH(join("", "",$F928:$G928),I$1)=TRUE,""✓"",""✗"")"),"✗")</f>
        <v>✗</v>
      </c>
      <c r="J928" s="23" t="str">
        <f>IFERROR(__xludf.DUMMYFUNCTION("if(REGEXMATCH(join("", "",$F928:$G928),J$1)=TRUE,""✓"",""✗"")"),"✗")</f>
        <v>✗</v>
      </c>
      <c r="K928" s="23" t="str">
        <f>IFERROR(__xludf.DUMMYFUNCTION("if(REGEXMATCH(join("", "",$F928:$G928),K$1)=TRUE,""✓"",""✗"")"),"✗")</f>
        <v>✗</v>
      </c>
      <c r="L928" s="23" t="str">
        <f>IFERROR(__xludf.DUMMYFUNCTION("if(REGEXMATCH(join("", "",$F928:$G928),L$1)=TRUE,""✓"",""✗"")"),"✗")</f>
        <v>✗</v>
      </c>
      <c r="M928" s="23" t="str">
        <f>IFERROR(__xludf.DUMMYFUNCTION("if(REGEXMATCH(join("", "",$F928:$G928),M$1)=TRUE,""✓"",""✗"")"),"✗")</f>
        <v>✗</v>
      </c>
      <c r="N928" s="23" t="str">
        <f>IFERROR(__xludf.DUMMYFUNCTION("if(REGEXMATCH(join("", "",$F928:$G928),N$1)=TRUE,""✓"",""✗"")"),"✗")</f>
        <v>✗</v>
      </c>
      <c r="O928" s="23" t="str">
        <f>IFERROR(__xludf.DUMMYFUNCTION("if(REGEXMATCH(join("", "",$F928:$G928),O$1)=TRUE,""✓"",""✗"")"),"✗")</f>
        <v>✗</v>
      </c>
      <c r="P928" s="23" t="str">
        <f>IFERROR(__xludf.DUMMYFUNCTION("if(REGEXMATCH(join("", "",$F928:$G928),P$1)=TRUE,""✓"",""✗"")"),"✗")</f>
        <v>✗</v>
      </c>
      <c r="Q928" s="23" t="str">
        <f>IFERROR(__xludf.DUMMYFUNCTION("if(REGEXMATCH(join("", "",$F928:$G928),Q$1)=TRUE,""✓"",""✗"")"),"✗")</f>
        <v>✗</v>
      </c>
      <c r="R928" s="23" t="str">
        <f>IFERROR(__xludf.DUMMYFUNCTION("if(REGEXMATCH(join("", "",$F928:$G928),R$1)=TRUE,""✓"",""✗"")"),"✗")</f>
        <v>✗</v>
      </c>
      <c r="S928" s="23" t="str">
        <f>IFERROR(__xludf.DUMMYFUNCTION("if(REGEXMATCH(join("", "",$F928:$G928),S$1)=TRUE,""✓"",""✗"")"),"✗")</f>
        <v>✗</v>
      </c>
      <c r="T928" s="23" t="str">
        <f>IFERROR(__xludf.DUMMYFUNCTION("if(REGEXMATCH(join("", "",$F928:$G928),T$1)=TRUE,""✓"",""✗"")"),"✗")</f>
        <v>✗</v>
      </c>
      <c r="U928" s="33"/>
      <c r="V928" s="33"/>
      <c r="W928" s="33"/>
      <c r="X928" s="33"/>
      <c r="Y928" s="33"/>
      <c r="Z928" s="33"/>
      <c r="AA928" s="33"/>
      <c r="AB928" s="33"/>
      <c r="AC928" s="33"/>
    </row>
    <row r="929" hidden="1">
      <c r="A929" s="17" t="s">
        <v>302</v>
      </c>
      <c r="B929" s="33"/>
      <c r="C929" s="33"/>
      <c r="D929" s="33"/>
      <c r="E929" s="33"/>
      <c r="F929" s="33"/>
      <c r="G929" s="33"/>
      <c r="H929" s="23" t="str">
        <f>IFERROR(__xludf.DUMMYFUNCTION("if(REGEXMATCH(join("", "",$F929:$G929),H$1)=TRUE,""✓"",""✗"")"),"✗")</f>
        <v>✗</v>
      </c>
      <c r="I929" s="23" t="str">
        <f>IFERROR(__xludf.DUMMYFUNCTION("if(REGEXMATCH(join("", "",$F929:$G929),I$1)=TRUE,""✓"",""✗"")"),"✗")</f>
        <v>✗</v>
      </c>
      <c r="J929" s="23" t="str">
        <f>IFERROR(__xludf.DUMMYFUNCTION("if(REGEXMATCH(join("", "",$F929:$G929),J$1)=TRUE,""✓"",""✗"")"),"✗")</f>
        <v>✗</v>
      </c>
      <c r="K929" s="23" t="str">
        <f>IFERROR(__xludf.DUMMYFUNCTION("if(REGEXMATCH(join("", "",$F929:$G929),K$1)=TRUE,""✓"",""✗"")"),"✗")</f>
        <v>✗</v>
      </c>
      <c r="L929" s="23" t="str">
        <f>IFERROR(__xludf.DUMMYFUNCTION("if(REGEXMATCH(join("", "",$F929:$G929),L$1)=TRUE,""✓"",""✗"")"),"✗")</f>
        <v>✗</v>
      </c>
      <c r="M929" s="23" t="str">
        <f>IFERROR(__xludf.DUMMYFUNCTION("if(REGEXMATCH(join("", "",$F929:$G929),M$1)=TRUE,""✓"",""✗"")"),"✗")</f>
        <v>✗</v>
      </c>
      <c r="N929" s="23" t="str">
        <f>IFERROR(__xludf.DUMMYFUNCTION("if(REGEXMATCH(join("", "",$F929:$G929),N$1)=TRUE,""✓"",""✗"")"),"✗")</f>
        <v>✗</v>
      </c>
      <c r="O929" s="23" t="str">
        <f>IFERROR(__xludf.DUMMYFUNCTION("if(REGEXMATCH(join("", "",$F929:$G929),O$1)=TRUE,""✓"",""✗"")"),"✗")</f>
        <v>✗</v>
      </c>
      <c r="P929" s="23" t="str">
        <f>IFERROR(__xludf.DUMMYFUNCTION("if(REGEXMATCH(join("", "",$F929:$G929),P$1)=TRUE,""✓"",""✗"")"),"✗")</f>
        <v>✗</v>
      </c>
      <c r="Q929" s="23" t="str">
        <f>IFERROR(__xludf.DUMMYFUNCTION("if(REGEXMATCH(join("", "",$F929:$G929),Q$1)=TRUE,""✓"",""✗"")"),"✗")</f>
        <v>✗</v>
      </c>
      <c r="R929" s="23" t="str">
        <f>IFERROR(__xludf.DUMMYFUNCTION("if(REGEXMATCH(join("", "",$F929:$G929),R$1)=TRUE,""✓"",""✗"")"),"✗")</f>
        <v>✗</v>
      </c>
      <c r="S929" s="23" t="str">
        <f>IFERROR(__xludf.DUMMYFUNCTION("if(REGEXMATCH(join("", "",$F929:$G929),S$1)=TRUE,""✓"",""✗"")"),"✗")</f>
        <v>✗</v>
      </c>
      <c r="T929" s="23" t="str">
        <f>IFERROR(__xludf.DUMMYFUNCTION("if(REGEXMATCH(join("", "",$F929:$G929),T$1)=TRUE,""✓"",""✗"")"),"✗")</f>
        <v>✗</v>
      </c>
      <c r="U929" s="33"/>
      <c r="V929" s="33"/>
      <c r="W929" s="33"/>
      <c r="X929" s="33"/>
      <c r="Y929" s="33"/>
      <c r="Z929" s="33"/>
      <c r="AA929" s="33"/>
      <c r="AB929" s="33"/>
      <c r="AC929" s="33"/>
    </row>
    <row r="930" hidden="1">
      <c r="A930" s="17" t="s">
        <v>302</v>
      </c>
      <c r="B930" s="33"/>
      <c r="C930" s="33"/>
      <c r="D930" s="33"/>
      <c r="E930" s="33"/>
      <c r="F930" s="33"/>
      <c r="G930" s="33"/>
      <c r="H930" s="23" t="str">
        <f>IFERROR(__xludf.DUMMYFUNCTION("if(REGEXMATCH(join("", "",$F930:$G930),H$1)=TRUE,""✓"",""✗"")"),"✗")</f>
        <v>✗</v>
      </c>
      <c r="I930" s="23" t="str">
        <f>IFERROR(__xludf.DUMMYFUNCTION("if(REGEXMATCH(join("", "",$F930:$G930),I$1)=TRUE,""✓"",""✗"")"),"✗")</f>
        <v>✗</v>
      </c>
      <c r="J930" s="23" t="str">
        <f>IFERROR(__xludf.DUMMYFUNCTION("if(REGEXMATCH(join("", "",$F930:$G930),J$1)=TRUE,""✓"",""✗"")"),"✗")</f>
        <v>✗</v>
      </c>
      <c r="K930" s="23" t="str">
        <f>IFERROR(__xludf.DUMMYFUNCTION("if(REGEXMATCH(join("", "",$F930:$G930),K$1)=TRUE,""✓"",""✗"")"),"✗")</f>
        <v>✗</v>
      </c>
      <c r="L930" s="23" t="str">
        <f>IFERROR(__xludf.DUMMYFUNCTION("if(REGEXMATCH(join("", "",$F930:$G930),L$1)=TRUE,""✓"",""✗"")"),"✗")</f>
        <v>✗</v>
      </c>
      <c r="M930" s="23" t="str">
        <f>IFERROR(__xludf.DUMMYFUNCTION("if(REGEXMATCH(join("", "",$F930:$G930),M$1)=TRUE,""✓"",""✗"")"),"✗")</f>
        <v>✗</v>
      </c>
      <c r="N930" s="23" t="str">
        <f>IFERROR(__xludf.DUMMYFUNCTION("if(REGEXMATCH(join("", "",$F930:$G930),N$1)=TRUE,""✓"",""✗"")"),"✗")</f>
        <v>✗</v>
      </c>
      <c r="O930" s="23" t="str">
        <f>IFERROR(__xludf.DUMMYFUNCTION("if(REGEXMATCH(join("", "",$F930:$G930),O$1)=TRUE,""✓"",""✗"")"),"✗")</f>
        <v>✗</v>
      </c>
      <c r="P930" s="23" t="str">
        <f>IFERROR(__xludf.DUMMYFUNCTION("if(REGEXMATCH(join("", "",$F930:$G930),P$1)=TRUE,""✓"",""✗"")"),"✗")</f>
        <v>✗</v>
      </c>
      <c r="Q930" s="23" t="str">
        <f>IFERROR(__xludf.DUMMYFUNCTION("if(REGEXMATCH(join("", "",$F930:$G930),Q$1)=TRUE,""✓"",""✗"")"),"✗")</f>
        <v>✗</v>
      </c>
      <c r="R930" s="23" t="str">
        <f>IFERROR(__xludf.DUMMYFUNCTION("if(REGEXMATCH(join("", "",$F930:$G930),R$1)=TRUE,""✓"",""✗"")"),"✗")</f>
        <v>✗</v>
      </c>
      <c r="S930" s="23" t="str">
        <f>IFERROR(__xludf.DUMMYFUNCTION("if(REGEXMATCH(join("", "",$F930:$G930),S$1)=TRUE,""✓"",""✗"")"),"✗")</f>
        <v>✗</v>
      </c>
      <c r="T930" s="23" t="str">
        <f>IFERROR(__xludf.DUMMYFUNCTION("if(REGEXMATCH(join("", "",$F930:$G930),T$1)=TRUE,""✓"",""✗"")"),"✗")</f>
        <v>✗</v>
      </c>
      <c r="U930" s="33"/>
      <c r="V930" s="33"/>
      <c r="W930" s="33"/>
      <c r="X930" s="33"/>
      <c r="Y930" s="33"/>
      <c r="Z930" s="33"/>
      <c r="AA930" s="33"/>
      <c r="AB930" s="33"/>
      <c r="AC930" s="33"/>
    </row>
    <row r="931" hidden="1">
      <c r="A931" s="17" t="s">
        <v>302</v>
      </c>
      <c r="B931" s="33"/>
      <c r="C931" s="33"/>
      <c r="D931" s="33"/>
      <c r="E931" s="33"/>
      <c r="F931" s="33"/>
      <c r="G931" s="33"/>
      <c r="H931" s="23" t="str">
        <f>IFERROR(__xludf.DUMMYFUNCTION("if(REGEXMATCH(join("", "",$F931:$G931),H$1)=TRUE,""✓"",""✗"")"),"✗")</f>
        <v>✗</v>
      </c>
      <c r="I931" s="23" t="str">
        <f>IFERROR(__xludf.DUMMYFUNCTION("if(REGEXMATCH(join("", "",$F931:$G931),I$1)=TRUE,""✓"",""✗"")"),"✗")</f>
        <v>✗</v>
      </c>
      <c r="J931" s="23" t="str">
        <f>IFERROR(__xludf.DUMMYFUNCTION("if(REGEXMATCH(join("", "",$F931:$G931),J$1)=TRUE,""✓"",""✗"")"),"✗")</f>
        <v>✗</v>
      </c>
      <c r="K931" s="23" t="str">
        <f>IFERROR(__xludf.DUMMYFUNCTION("if(REGEXMATCH(join("", "",$F931:$G931),K$1)=TRUE,""✓"",""✗"")"),"✗")</f>
        <v>✗</v>
      </c>
      <c r="L931" s="23" t="str">
        <f>IFERROR(__xludf.DUMMYFUNCTION("if(REGEXMATCH(join("", "",$F931:$G931),L$1)=TRUE,""✓"",""✗"")"),"✗")</f>
        <v>✗</v>
      </c>
      <c r="M931" s="23" t="str">
        <f>IFERROR(__xludf.DUMMYFUNCTION("if(REGEXMATCH(join("", "",$F931:$G931),M$1)=TRUE,""✓"",""✗"")"),"✗")</f>
        <v>✗</v>
      </c>
      <c r="N931" s="23" t="str">
        <f>IFERROR(__xludf.DUMMYFUNCTION("if(REGEXMATCH(join("", "",$F931:$G931),N$1)=TRUE,""✓"",""✗"")"),"✗")</f>
        <v>✗</v>
      </c>
      <c r="O931" s="23" t="str">
        <f>IFERROR(__xludf.DUMMYFUNCTION("if(REGEXMATCH(join("", "",$F931:$G931),O$1)=TRUE,""✓"",""✗"")"),"✗")</f>
        <v>✗</v>
      </c>
      <c r="P931" s="23" t="str">
        <f>IFERROR(__xludf.DUMMYFUNCTION("if(REGEXMATCH(join("", "",$F931:$G931),P$1)=TRUE,""✓"",""✗"")"),"✗")</f>
        <v>✗</v>
      </c>
      <c r="Q931" s="23" t="str">
        <f>IFERROR(__xludf.DUMMYFUNCTION("if(REGEXMATCH(join("", "",$F931:$G931),Q$1)=TRUE,""✓"",""✗"")"),"✗")</f>
        <v>✗</v>
      </c>
      <c r="R931" s="23" t="str">
        <f>IFERROR(__xludf.DUMMYFUNCTION("if(REGEXMATCH(join("", "",$F931:$G931),R$1)=TRUE,""✓"",""✗"")"),"✗")</f>
        <v>✗</v>
      </c>
      <c r="S931" s="23" t="str">
        <f>IFERROR(__xludf.DUMMYFUNCTION("if(REGEXMATCH(join("", "",$F931:$G931),S$1)=TRUE,""✓"",""✗"")"),"✗")</f>
        <v>✗</v>
      </c>
      <c r="T931" s="23" t="str">
        <f>IFERROR(__xludf.DUMMYFUNCTION("if(REGEXMATCH(join("", "",$F931:$G931),T$1)=TRUE,""✓"",""✗"")"),"✗")</f>
        <v>✗</v>
      </c>
      <c r="U931" s="33"/>
      <c r="V931" s="33"/>
      <c r="W931" s="33"/>
      <c r="X931" s="33"/>
      <c r="Y931" s="33"/>
      <c r="Z931" s="33"/>
      <c r="AA931" s="33"/>
      <c r="AB931" s="33"/>
      <c r="AC931" s="33"/>
    </row>
    <row r="932" hidden="1">
      <c r="A932" s="17" t="s">
        <v>302</v>
      </c>
      <c r="B932" s="33"/>
      <c r="C932" s="33"/>
      <c r="D932" s="33"/>
      <c r="E932" s="33"/>
      <c r="F932" s="33"/>
      <c r="G932" s="33"/>
      <c r="H932" s="23" t="str">
        <f>IFERROR(__xludf.DUMMYFUNCTION("if(REGEXMATCH(join("", "",$F932:$G932),H$1)=TRUE,""✓"",""✗"")"),"✗")</f>
        <v>✗</v>
      </c>
      <c r="I932" s="23" t="str">
        <f>IFERROR(__xludf.DUMMYFUNCTION("if(REGEXMATCH(join("", "",$F932:$G932),I$1)=TRUE,""✓"",""✗"")"),"✗")</f>
        <v>✗</v>
      </c>
      <c r="J932" s="23" t="str">
        <f>IFERROR(__xludf.DUMMYFUNCTION("if(REGEXMATCH(join("", "",$F932:$G932),J$1)=TRUE,""✓"",""✗"")"),"✗")</f>
        <v>✗</v>
      </c>
      <c r="K932" s="23" t="str">
        <f>IFERROR(__xludf.DUMMYFUNCTION("if(REGEXMATCH(join("", "",$F932:$G932),K$1)=TRUE,""✓"",""✗"")"),"✗")</f>
        <v>✗</v>
      </c>
      <c r="L932" s="23" t="str">
        <f>IFERROR(__xludf.DUMMYFUNCTION("if(REGEXMATCH(join("", "",$F932:$G932),L$1)=TRUE,""✓"",""✗"")"),"✗")</f>
        <v>✗</v>
      </c>
      <c r="M932" s="23" t="str">
        <f>IFERROR(__xludf.DUMMYFUNCTION("if(REGEXMATCH(join("", "",$F932:$G932),M$1)=TRUE,""✓"",""✗"")"),"✗")</f>
        <v>✗</v>
      </c>
      <c r="N932" s="23" t="str">
        <f>IFERROR(__xludf.DUMMYFUNCTION("if(REGEXMATCH(join("", "",$F932:$G932),N$1)=TRUE,""✓"",""✗"")"),"✗")</f>
        <v>✗</v>
      </c>
      <c r="O932" s="23" t="str">
        <f>IFERROR(__xludf.DUMMYFUNCTION("if(REGEXMATCH(join("", "",$F932:$G932),O$1)=TRUE,""✓"",""✗"")"),"✗")</f>
        <v>✗</v>
      </c>
      <c r="P932" s="23" t="str">
        <f>IFERROR(__xludf.DUMMYFUNCTION("if(REGEXMATCH(join("", "",$F932:$G932),P$1)=TRUE,""✓"",""✗"")"),"✗")</f>
        <v>✗</v>
      </c>
      <c r="Q932" s="23" t="str">
        <f>IFERROR(__xludf.DUMMYFUNCTION("if(REGEXMATCH(join("", "",$F932:$G932),Q$1)=TRUE,""✓"",""✗"")"),"✗")</f>
        <v>✗</v>
      </c>
      <c r="R932" s="23" t="str">
        <f>IFERROR(__xludf.DUMMYFUNCTION("if(REGEXMATCH(join("", "",$F932:$G932),R$1)=TRUE,""✓"",""✗"")"),"✗")</f>
        <v>✗</v>
      </c>
      <c r="S932" s="23" t="str">
        <f>IFERROR(__xludf.DUMMYFUNCTION("if(REGEXMATCH(join("", "",$F932:$G932),S$1)=TRUE,""✓"",""✗"")"),"✗")</f>
        <v>✗</v>
      </c>
      <c r="T932" s="23" t="str">
        <f>IFERROR(__xludf.DUMMYFUNCTION("if(REGEXMATCH(join("", "",$F932:$G932),T$1)=TRUE,""✓"",""✗"")"),"✗")</f>
        <v>✗</v>
      </c>
      <c r="U932" s="33"/>
      <c r="V932" s="33"/>
      <c r="W932" s="33"/>
      <c r="X932" s="33"/>
      <c r="Y932" s="33"/>
      <c r="Z932" s="33"/>
      <c r="AA932" s="33"/>
      <c r="AB932" s="33"/>
      <c r="AC932" s="33"/>
    </row>
    <row r="933" hidden="1">
      <c r="A933" s="17" t="s">
        <v>302</v>
      </c>
      <c r="B933" s="33"/>
      <c r="C933" s="33"/>
      <c r="D933" s="33"/>
      <c r="E933" s="33"/>
      <c r="F933" s="33"/>
      <c r="G933" s="33"/>
      <c r="H933" s="23" t="str">
        <f>IFERROR(__xludf.DUMMYFUNCTION("if(REGEXMATCH(join("", "",$F933:$G933),H$1)=TRUE,""✓"",""✗"")"),"✗")</f>
        <v>✗</v>
      </c>
      <c r="I933" s="23" t="str">
        <f>IFERROR(__xludf.DUMMYFUNCTION("if(REGEXMATCH(join("", "",$F933:$G933),I$1)=TRUE,""✓"",""✗"")"),"✗")</f>
        <v>✗</v>
      </c>
      <c r="J933" s="23" t="str">
        <f>IFERROR(__xludf.DUMMYFUNCTION("if(REGEXMATCH(join("", "",$F933:$G933),J$1)=TRUE,""✓"",""✗"")"),"✗")</f>
        <v>✗</v>
      </c>
      <c r="K933" s="23" t="str">
        <f>IFERROR(__xludf.DUMMYFUNCTION("if(REGEXMATCH(join("", "",$F933:$G933),K$1)=TRUE,""✓"",""✗"")"),"✗")</f>
        <v>✗</v>
      </c>
      <c r="L933" s="23" t="str">
        <f>IFERROR(__xludf.DUMMYFUNCTION("if(REGEXMATCH(join("", "",$F933:$G933),L$1)=TRUE,""✓"",""✗"")"),"✗")</f>
        <v>✗</v>
      </c>
      <c r="M933" s="23" t="str">
        <f>IFERROR(__xludf.DUMMYFUNCTION("if(REGEXMATCH(join("", "",$F933:$G933),M$1)=TRUE,""✓"",""✗"")"),"✗")</f>
        <v>✗</v>
      </c>
      <c r="N933" s="23" t="str">
        <f>IFERROR(__xludf.DUMMYFUNCTION("if(REGEXMATCH(join("", "",$F933:$G933),N$1)=TRUE,""✓"",""✗"")"),"✗")</f>
        <v>✗</v>
      </c>
      <c r="O933" s="23" t="str">
        <f>IFERROR(__xludf.DUMMYFUNCTION("if(REGEXMATCH(join("", "",$F933:$G933),O$1)=TRUE,""✓"",""✗"")"),"✗")</f>
        <v>✗</v>
      </c>
      <c r="P933" s="23" t="str">
        <f>IFERROR(__xludf.DUMMYFUNCTION("if(REGEXMATCH(join("", "",$F933:$G933),P$1)=TRUE,""✓"",""✗"")"),"✗")</f>
        <v>✗</v>
      </c>
      <c r="Q933" s="23" t="str">
        <f>IFERROR(__xludf.DUMMYFUNCTION("if(REGEXMATCH(join("", "",$F933:$G933),Q$1)=TRUE,""✓"",""✗"")"),"✗")</f>
        <v>✗</v>
      </c>
      <c r="R933" s="23" t="str">
        <f>IFERROR(__xludf.DUMMYFUNCTION("if(REGEXMATCH(join("", "",$F933:$G933),R$1)=TRUE,""✓"",""✗"")"),"✗")</f>
        <v>✗</v>
      </c>
      <c r="S933" s="23" t="str">
        <f>IFERROR(__xludf.DUMMYFUNCTION("if(REGEXMATCH(join("", "",$F933:$G933),S$1)=TRUE,""✓"",""✗"")"),"✗")</f>
        <v>✗</v>
      </c>
      <c r="T933" s="23" t="str">
        <f>IFERROR(__xludf.DUMMYFUNCTION("if(REGEXMATCH(join("", "",$F933:$G933),T$1)=TRUE,""✓"",""✗"")"),"✗")</f>
        <v>✗</v>
      </c>
      <c r="U933" s="33"/>
      <c r="V933" s="33"/>
      <c r="W933" s="33"/>
      <c r="X933" s="33"/>
      <c r="Y933" s="33"/>
      <c r="Z933" s="33"/>
      <c r="AA933" s="33"/>
      <c r="AB933" s="33"/>
      <c r="AC933" s="33"/>
    </row>
    <row r="934" hidden="1">
      <c r="A934" s="17" t="s">
        <v>302</v>
      </c>
      <c r="B934" s="33"/>
      <c r="C934" s="33"/>
      <c r="D934" s="33"/>
      <c r="E934" s="33"/>
      <c r="F934" s="33"/>
      <c r="G934" s="33"/>
      <c r="H934" s="23" t="str">
        <f>IFERROR(__xludf.DUMMYFUNCTION("if(REGEXMATCH(join("", "",$F934:$G934),H$1)=TRUE,""✓"",""✗"")"),"✗")</f>
        <v>✗</v>
      </c>
      <c r="I934" s="23" t="str">
        <f>IFERROR(__xludf.DUMMYFUNCTION("if(REGEXMATCH(join("", "",$F934:$G934),I$1)=TRUE,""✓"",""✗"")"),"✗")</f>
        <v>✗</v>
      </c>
      <c r="J934" s="23" t="str">
        <f>IFERROR(__xludf.DUMMYFUNCTION("if(REGEXMATCH(join("", "",$F934:$G934),J$1)=TRUE,""✓"",""✗"")"),"✗")</f>
        <v>✗</v>
      </c>
      <c r="K934" s="23" t="str">
        <f>IFERROR(__xludf.DUMMYFUNCTION("if(REGEXMATCH(join("", "",$F934:$G934),K$1)=TRUE,""✓"",""✗"")"),"✗")</f>
        <v>✗</v>
      </c>
      <c r="L934" s="23" t="str">
        <f>IFERROR(__xludf.DUMMYFUNCTION("if(REGEXMATCH(join("", "",$F934:$G934),L$1)=TRUE,""✓"",""✗"")"),"✗")</f>
        <v>✗</v>
      </c>
      <c r="M934" s="23" t="str">
        <f>IFERROR(__xludf.DUMMYFUNCTION("if(REGEXMATCH(join("", "",$F934:$G934),M$1)=TRUE,""✓"",""✗"")"),"✗")</f>
        <v>✗</v>
      </c>
      <c r="N934" s="23" t="str">
        <f>IFERROR(__xludf.DUMMYFUNCTION("if(REGEXMATCH(join("", "",$F934:$G934),N$1)=TRUE,""✓"",""✗"")"),"✗")</f>
        <v>✗</v>
      </c>
      <c r="O934" s="23" t="str">
        <f>IFERROR(__xludf.DUMMYFUNCTION("if(REGEXMATCH(join("", "",$F934:$G934),O$1)=TRUE,""✓"",""✗"")"),"✗")</f>
        <v>✗</v>
      </c>
      <c r="P934" s="23" t="str">
        <f>IFERROR(__xludf.DUMMYFUNCTION("if(REGEXMATCH(join("", "",$F934:$G934),P$1)=TRUE,""✓"",""✗"")"),"✗")</f>
        <v>✗</v>
      </c>
      <c r="Q934" s="23" t="str">
        <f>IFERROR(__xludf.DUMMYFUNCTION("if(REGEXMATCH(join("", "",$F934:$G934),Q$1)=TRUE,""✓"",""✗"")"),"✗")</f>
        <v>✗</v>
      </c>
      <c r="R934" s="23" t="str">
        <f>IFERROR(__xludf.DUMMYFUNCTION("if(REGEXMATCH(join("", "",$F934:$G934),R$1)=TRUE,""✓"",""✗"")"),"✗")</f>
        <v>✗</v>
      </c>
      <c r="S934" s="23" t="str">
        <f>IFERROR(__xludf.DUMMYFUNCTION("if(REGEXMATCH(join("", "",$F934:$G934),S$1)=TRUE,""✓"",""✗"")"),"✗")</f>
        <v>✗</v>
      </c>
      <c r="T934" s="23" t="str">
        <f>IFERROR(__xludf.DUMMYFUNCTION("if(REGEXMATCH(join("", "",$F934:$G934),T$1)=TRUE,""✓"",""✗"")"),"✗")</f>
        <v>✗</v>
      </c>
      <c r="U934" s="33"/>
      <c r="V934" s="33"/>
      <c r="W934" s="33"/>
      <c r="X934" s="33"/>
      <c r="Y934" s="33"/>
      <c r="Z934" s="33"/>
      <c r="AA934" s="33"/>
      <c r="AB934" s="33"/>
      <c r="AC934" s="33"/>
    </row>
    <row r="935" hidden="1">
      <c r="A935" s="17" t="s">
        <v>302</v>
      </c>
      <c r="B935" s="33"/>
      <c r="C935" s="33"/>
      <c r="D935" s="33"/>
      <c r="E935" s="33"/>
      <c r="F935" s="33"/>
      <c r="G935" s="33"/>
      <c r="H935" s="23" t="str">
        <f>IFERROR(__xludf.DUMMYFUNCTION("if(REGEXMATCH(join("", "",$F935:$G935),H$1)=TRUE,""✓"",""✗"")"),"✗")</f>
        <v>✗</v>
      </c>
      <c r="I935" s="23" t="str">
        <f>IFERROR(__xludf.DUMMYFUNCTION("if(REGEXMATCH(join("", "",$F935:$G935),I$1)=TRUE,""✓"",""✗"")"),"✗")</f>
        <v>✗</v>
      </c>
      <c r="J935" s="23" t="str">
        <f>IFERROR(__xludf.DUMMYFUNCTION("if(REGEXMATCH(join("", "",$F935:$G935),J$1)=TRUE,""✓"",""✗"")"),"✗")</f>
        <v>✗</v>
      </c>
      <c r="K935" s="23" t="str">
        <f>IFERROR(__xludf.DUMMYFUNCTION("if(REGEXMATCH(join("", "",$F935:$G935),K$1)=TRUE,""✓"",""✗"")"),"✗")</f>
        <v>✗</v>
      </c>
      <c r="L935" s="23" t="str">
        <f>IFERROR(__xludf.DUMMYFUNCTION("if(REGEXMATCH(join("", "",$F935:$G935),L$1)=TRUE,""✓"",""✗"")"),"✗")</f>
        <v>✗</v>
      </c>
      <c r="M935" s="23" t="str">
        <f>IFERROR(__xludf.DUMMYFUNCTION("if(REGEXMATCH(join("", "",$F935:$G935),M$1)=TRUE,""✓"",""✗"")"),"✗")</f>
        <v>✗</v>
      </c>
      <c r="N935" s="23" t="str">
        <f>IFERROR(__xludf.DUMMYFUNCTION("if(REGEXMATCH(join("", "",$F935:$G935),N$1)=TRUE,""✓"",""✗"")"),"✗")</f>
        <v>✗</v>
      </c>
      <c r="O935" s="23" t="str">
        <f>IFERROR(__xludf.DUMMYFUNCTION("if(REGEXMATCH(join("", "",$F935:$G935),O$1)=TRUE,""✓"",""✗"")"),"✗")</f>
        <v>✗</v>
      </c>
      <c r="P935" s="23" t="str">
        <f>IFERROR(__xludf.DUMMYFUNCTION("if(REGEXMATCH(join("", "",$F935:$G935),P$1)=TRUE,""✓"",""✗"")"),"✗")</f>
        <v>✗</v>
      </c>
      <c r="Q935" s="23" t="str">
        <f>IFERROR(__xludf.DUMMYFUNCTION("if(REGEXMATCH(join("", "",$F935:$G935),Q$1)=TRUE,""✓"",""✗"")"),"✗")</f>
        <v>✗</v>
      </c>
      <c r="R935" s="23" t="str">
        <f>IFERROR(__xludf.DUMMYFUNCTION("if(REGEXMATCH(join("", "",$F935:$G935),R$1)=TRUE,""✓"",""✗"")"),"✗")</f>
        <v>✗</v>
      </c>
      <c r="S935" s="23" t="str">
        <f>IFERROR(__xludf.DUMMYFUNCTION("if(REGEXMATCH(join("", "",$F935:$G935),S$1)=TRUE,""✓"",""✗"")"),"✗")</f>
        <v>✗</v>
      </c>
      <c r="T935" s="23" t="str">
        <f>IFERROR(__xludf.DUMMYFUNCTION("if(REGEXMATCH(join("", "",$F935:$G935),T$1)=TRUE,""✓"",""✗"")"),"✗")</f>
        <v>✗</v>
      </c>
      <c r="U935" s="33"/>
      <c r="V935" s="33"/>
      <c r="W935" s="33"/>
      <c r="X935" s="33"/>
      <c r="Y935" s="33"/>
      <c r="Z935" s="33"/>
      <c r="AA935" s="33"/>
      <c r="AB935" s="33"/>
      <c r="AC935" s="33"/>
    </row>
    <row r="936" hidden="1">
      <c r="A936" s="17" t="s">
        <v>302</v>
      </c>
      <c r="B936" s="33"/>
      <c r="C936" s="33"/>
      <c r="D936" s="33"/>
      <c r="E936" s="33"/>
      <c r="F936" s="33"/>
      <c r="G936" s="33"/>
      <c r="H936" s="23" t="str">
        <f>IFERROR(__xludf.DUMMYFUNCTION("if(REGEXMATCH(join("", "",$F936:$G936),H$1)=TRUE,""✓"",""✗"")"),"✗")</f>
        <v>✗</v>
      </c>
      <c r="I936" s="23" t="str">
        <f>IFERROR(__xludf.DUMMYFUNCTION("if(REGEXMATCH(join("", "",$F936:$G936),I$1)=TRUE,""✓"",""✗"")"),"✗")</f>
        <v>✗</v>
      </c>
      <c r="J936" s="23" t="str">
        <f>IFERROR(__xludf.DUMMYFUNCTION("if(REGEXMATCH(join("", "",$F936:$G936),J$1)=TRUE,""✓"",""✗"")"),"✗")</f>
        <v>✗</v>
      </c>
      <c r="K936" s="23" t="str">
        <f>IFERROR(__xludf.DUMMYFUNCTION("if(REGEXMATCH(join("", "",$F936:$G936),K$1)=TRUE,""✓"",""✗"")"),"✗")</f>
        <v>✗</v>
      </c>
      <c r="L936" s="23" t="str">
        <f>IFERROR(__xludf.DUMMYFUNCTION("if(REGEXMATCH(join("", "",$F936:$G936),L$1)=TRUE,""✓"",""✗"")"),"✗")</f>
        <v>✗</v>
      </c>
      <c r="M936" s="23" t="str">
        <f>IFERROR(__xludf.DUMMYFUNCTION("if(REGEXMATCH(join("", "",$F936:$G936),M$1)=TRUE,""✓"",""✗"")"),"✗")</f>
        <v>✗</v>
      </c>
      <c r="N936" s="23" t="str">
        <f>IFERROR(__xludf.DUMMYFUNCTION("if(REGEXMATCH(join("", "",$F936:$G936),N$1)=TRUE,""✓"",""✗"")"),"✗")</f>
        <v>✗</v>
      </c>
      <c r="O936" s="23" t="str">
        <f>IFERROR(__xludf.DUMMYFUNCTION("if(REGEXMATCH(join("", "",$F936:$G936),O$1)=TRUE,""✓"",""✗"")"),"✗")</f>
        <v>✗</v>
      </c>
      <c r="P936" s="23" t="str">
        <f>IFERROR(__xludf.DUMMYFUNCTION("if(REGEXMATCH(join("", "",$F936:$G936),P$1)=TRUE,""✓"",""✗"")"),"✗")</f>
        <v>✗</v>
      </c>
      <c r="Q936" s="23" t="str">
        <f>IFERROR(__xludf.DUMMYFUNCTION("if(REGEXMATCH(join("", "",$F936:$G936),Q$1)=TRUE,""✓"",""✗"")"),"✗")</f>
        <v>✗</v>
      </c>
      <c r="R936" s="23" t="str">
        <f>IFERROR(__xludf.DUMMYFUNCTION("if(REGEXMATCH(join("", "",$F936:$G936),R$1)=TRUE,""✓"",""✗"")"),"✗")</f>
        <v>✗</v>
      </c>
      <c r="S936" s="23" t="str">
        <f>IFERROR(__xludf.DUMMYFUNCTION("if(REGEXMATCH(join("", "",$F936:$G936),S$1)=TRUE,""✓"",""✗"")"),"✗")</f>
        <v>✗</v>
      </c>
      <c r="T936" s="23" t="str">
        <f>IFERROR(__xludf.DUMMYFUNCTION("if(REGEXMATCH(join("", "",$F936:$G936),T$1)=TRUE,""✓"",""✗"")"),"✗")</f>
        <v>✗</v>
      </c>
      <c r="U936" s="33"/>
      <c r="V936" s="33"/>
      <c r="W936" s="33"/>
      <c r="X936" s="33"/>
      <c r="Y936" s="33"/>
      <c r="Z936" s="33"/>
      <c r="AA936" s="33"/>
      <c r="AB936" s="33"/>
      <c r="AC936" s="33"/>
    </row>
    <row r="937" hidden="1">
      <c r="A937" s="17" t="s">
        <v>302</v>
      </c>
      <c r="B937" s="33"/>
      <c r="C937" s="33"/>
      <c r="D937" s="33"/>
      <c r="E937" s="33"/>
      <c r="F937" s="33"/>
      <c r="G937" s="33"/>
      <c r="H937" s="23" t="str">
        <f>IFERROR(__xludf.DUMMYFUNCTION("if(REGEXMATCH(join("", "",$F937:$G937),H$1)=TRUE,""✓"",""✗"")"),"✗")</f>
        <v>✗</v>
      </c>
      <c r="I937" s="23" t="str">
        <f>IFERROR(__xludf.DUMMYFUNCTION("if(REGEXMATCH(join("", "",$F937:$G937),I$1)=TRUE,""✓"",""✗"")"),"✗")</f>
        <v>✗</v>
      </c>
      <c r="J937" s="23" t="str">
        <f>IFERROR(__xludf.DUMMYFUNCTION("if(REGEXMATCH(join("", "",$F937:$G937),J$1)=TRUE,""✓"",""✗"")"),"✗")</f>
        <v>✗</v>
      </c>
      <c r="K937" s="23" t="str">
        <f>IFERROR(__xludf.DUMMYFUNCTION("if(REGEXMATCH(join("", "",$F937:$G937),K$1)=TRUE,""✓"",""✗"")"),"✗")</f>
        <v>✗</v>
      </c>
      <c r="L937" s="23" t="str">
        <f>IFERROR(__xludf.DUMMYFUNCTION("if(REGEXMATCH(join("", "",$F937:$G937),L$1)=TRUE,""✓"",""✗"")"),"✗")</f>
        <v>✗</v>
      </c>
      <c r="M937" s="23" t="str">
        <f>IFERROR(__xludf.DUMMYFUNCTION("if(REGEXMATCH(join("", "",$F937:$G937),M$1)=TRUE,""✓"",""✗"")"),"✗")</f>
        <v>✗</v>
      </c>
      <c r="N937" s="23" t="str">
        <f>IFERROR(__xludf.DUMMYFUNCTION("if(REGEXMATCH(join("", "",$F937:$G937),N$1)=TRUE,""✓"",""✗"")"),"✗")</f>
        <v>✗</v>
      </c>
      <c r="O937" s="23" t="str">
        <f>IFERROR(__xludf.DUMMYFUNCTION("if(REGEXMATCH(join("", "",$F937:$G937),O$1)=TRUE,""✓"",""✗"")"),"✗")</f>
        <v>✗</v>
      </c>
      <c r="P937" s="23" t="str">
        <f>IFERROR(__xludf.DUMMYFUNCTION("if(REGEXMATCH(join("", "",$F937:$G937),P$1)=TRUE,""✓"",""✗"")"),"✗")</f>
        <v>✗</v>
      </c>
      <c r="Q937" s="23" t="str">
        <f>IFERROR(__xludf.DUMMYFUNCTION("if(REGEXMATCH(join("", "",$F937:$G937),Q$1)=TRUE,""✓"",""✗"")"),"✗")</f>
        <v>✗</v>
      </c>
      <c r="R937" s="23" t="str">
        <f>IFERROR(__xludf.DUMMYFUNCTION("if(REGEXMATCH(join("", "",$F937:$G937),R$1)=TRUE,""✓"",""✗"")"),"✗")</f>
        <v>✗</v>
      </c>
      <c r="S937" s="23" t="str">
        <f>IFERROR(__xludf.DUMMYFUNCTION("if(REGEXMATCH(join("", "",$F937:$G937),S$1)=TRUE,""✓"",""✗"")"),"✗")</f>
        <v>✗</v>
      </c>
      <c r="T937" s="23" t="str">
        <f>IFERROR(__xludf.DUMMYFUNCTION("if(REGEXMATCH(join("", "",$F937:$G937),T$1)=TRUE,""✓"",""✗"")"),"✗")</f>
        <v>✗</v>
      </c>
      <c r="U937" s="33"/>
      <c r="V937" s="33"/>
      <c r="W937" s="33"/>
      <c r="X937" s="33"/>
      <c r="Y937" s="33"/>
      <c r="Z937" s="33"/>
      <c r="AA937" s="33"/>
      <c r="AB937" s="33"/>
      <c r="AC937" s="33"/>
    </row>
    <row r="938" hidden="1">
      <c r="A938" s="17" t="s">
        <v>302</v>
      </c>
      <c r="B938" s="33"/>
      <c r="C938" s="33"/>
      <c r="D938" s="33"/>
      <c r="E938" s="33"/>
      <c r="F938" s="33"/>
      <c r="G938" s="33"/>
      <c r="H938" s="23" t="str">
        <f>IFERROR(__xludf.DUMMYFUNCTION("if(REGEXMATCH(join("", "",$F938:$G938),H$1)=TRUE,""✓"",""✗"")"),"✗")</f>
        <v>✗</v>
      </c>
      <c r="I938" s="23" t="str">
        <f>IFERROR(__xludf.DUMMYFUNCTION("if(REGEXMATCH(join("", "",$F938:$G938),I$1)=TRUE,""✓"",""✗"")"),"✗")</f>
        <v>✗</v>
      </c>
      <c r="J938" s="23" t="str">
        <f>IFERROR(__xludf.DUMMYFUNCTION("if(REGEXMATCH(join("", "",$F938:$G938),J$1)=TRUE,""✓"",""✗"")"),"✗")</f>
        <v>✗</v>
      </c>
      <c r="K938" s="23" t="str">
        <f>IFERROR(__xludf.DUMMYFUNCTION("if(REGEXMATCH(join("", "",$F938:$G938),K$1)=TRUE,""✓"",""✗"")"),"✗")</f>
        <v>✗</v>
      </c>
      <c r="L938" s="23" t="str">
        <f>IFERROR(__xludf.DUMMYFUNCTION("if(REGEXMATCH(join("", "",$F938:$G938),L$1)=TRUE,""✓"",""✗"")"),"✗")</f>
        <v>✗</v>
      </c>
      <c r="M938" s="23" t="str">
        <f>IFERROR(__xludf.DUMMYFUNCTION("if(REGEXMATCH(join("", "",$F938:$G938),M$1)=TRUE,""✓"",""✗"")"),"✗")</f>
        <v>✗</v>
      </c>
      <c r="N938" s="23" t="str">
        <f>IFERROR(__xludf.DUMMYFUNCTION("if(REGEXMATCH(join("", "",$F938:$G938),N$1)=TRUE,""✓"",""✗"")"),"✗")</f>
        <v>✗</v>
      </c>
      <c r="O938" s="23" t="str">
        <f>IFERROR(__xludf.DUMMYFUNCTION("if(REGEXMATCH(join("", "",$F938:$G938),O$1)=TRUE,""✓"",""✗"")"),"✗")</f>
        <v>✗</v>
      </c>
      <c r="P938" s="23" t="str">
        <f>IFERROR(__xludf.DUMMYFUNCTION("if(REGEXMATCH(join("", "",$F938:$G938),P$1)=TRUE,""✓"",""✗"")"),"✗")</f>
        <v>✗</v>
      </c>
      <c r="Q938" s="23" t="str">
        <f>IFERROR(__xludf.DUMMYFUNCTION("if(REGEXMATCH(join("", "",$F938:$G938),Q$1)=TRUE,""✓"",""✗"")"),"✗")</f>
        <v>✗</v>
      </c>
      <c r="R938" s="23" t="str">
        <f>IFERROR(__xludf.DUMMYFUNCTION("if(REGEXMATCH(join("", "",$F938:$G938),R$1)=TRUE,""✓"",""✗"")"),"✗")</f>
        <v>✗</v>
      </c>
      <c r="S938" s="23" t="str">
        <f>IFERROR(__xludf.DUMMYFUNCTION("if(REGEXMATCH(join("", "",$F938:$G938),S$1)=TRUE,""✓"",""✗"")"),"✗")</f>
        <v>✗</v>
      </c>
      <c r="T938" s="23" t="str">
        <f>IFERROR(__xludf.DUMMYFUNCTION("if(REGEXMATCH(join("", "",$F938:$G938),T$1)=TRUE,""✓"",""✗"")"),"✗")</f>
        <v>✗</v>
      </c>
      <c r="U938" s="33"/>
      <c r="V938" s="33"/>
      <c r="W938" s="33"/>
      <c r="X938" s="33"/>
      <c r="Y938" s="33"/>
      <c r="Z938" s="33"/>
      <c r="AA938" s="33"/>
      <c r="AB938" s="33"/>
      <c r="AC938" s="33"/>
    </row>
    <row r="939" hidden="1">
      <c r="A939" s="17" t="s">
        <v>302</v>
      </c>
      <c r="B939" s="33"/>
      <c r="C939" s="33"/>
      <c r="D939" s="33"/>
      <c r="E939" s="33"/>
      <c r="F939" s="33"/>
      <c r="G939" s="33"/>
      <c r="H939" s="23" t="str">
        <f>IFERROR(__xludf.DUMMYFUNCTION("if(REGEXMATCH(join("", "",$F939:$G939),H$1)=TRUE,""✓"",""✗"")"),"✗")</f>
        <v>✗</v>
      </c>
      <c r="I939" s="23" t="str">
        <f>IFERROR(__xludf.DUMMYFUNCTION("if(REGEXMATCH(join("", "",$F939:$G939),I$1)=TRUE,""✓"",""✗"")"),"✗")</f>
        <v>✗</v>
      </c>
      <c r="J939" s="23" t="str">
        <f>IFERROR(__xludf.DUMMYFUNCTION("if(REGEXMATCH(join("", "",$F939:$G939),J$1)=TRUE,""✓"",""✗"")"),"✗")</f>
        <v>✗</v>
      </c>
      <c r="K939" s="23" t="str">
        <f>IFERROR(__xludf.DUMMYFUNCTION("if(REGEXMATCH(join("", "",$F939:$G939),K$1)=TRUE,""✓"",""✗"")"),"✗")</f>
        <v>✗</v>
      </c>
      <c r="L939" s="23" t="str">
        <f>IFERROR(__xludf.DUMMYFUNCTION("if(REGEXMATCH(join("", "",$F939:$G939),L$1)=TRUE,""✓"",""✗"")"),"✗")</f>
        <v>✗</v>
      </c>
      <c r="M939" s="23" t="str">
        <f>IFERROR(__xludf.DUMMYFUNCTION("if(REGEXMATCH(join("", "",$F939:$G939),M$1)=TRUE,""✓"",""✗"")"),"✗")</f>
        <v>✗</v>
      </c>
      <c r="N939" s="23" t="str">
        <f>IFERROR(__xludf.DUMMYFUNCTION("if(REGEXMATCH(join("", "",$F939:$G939),N$1)=TRUE,""✓"",""✗"")"),"✗")</f>
        <v>✗</v>
      </c>
      <c r="O939" s="23" t="str">
        <f>IFERROR(__xludf.DUMMYFUNCTION("if(REGEXMATCH(join("", "",$F939:$G939),O$1)=TRUE,""✓"",""✗"")"),"✗")</f>
        <v>✗</v>
      </c>
      <c r="P939" s="23" t="str">
        <f>IFERROR(__xludf.DUMMYFUNCTION("if(REGEXMATCH(join("", "",$F939:$G939),P$1)=TRUE,""✓"",""✗"")"),"✗")</f>
        <v>✗</v>
      </c>
      <c r="Q939" s="23" t="str">
        <f>IFERROR(__xludf.DUMMYFUNCTION("if(REGEXMATCH(join("", "",$F939:$G939),Q$1)=TRUE,""✓"",""✗"")"),"✗")</f>
        <v>✗</v>
      </c>
      <c r="R939" s="23" t="str">
        <f>IFERROR(__xludf.DUMMYFUNCTION("if(REGEXMATCH(join("", "",$F939:$G939),R$1)=TRUE,""✓"",""✗"")"),"✗")</f>
        <v>✗</v>
      </c>
      <c r="S939" s="23" t="str">
        <f>IFERROR(__xludf.DUMMYFUNCTION("if(REGEXMATCH(join("", "",$F939:$G939),S$1)=TRUE,""✓"",""✗"")"),"✗")</f>
        <v>✗</v>
      </c>
      <c r="T939" s="23" t="str">
        <f>IFERROR(__xludf.DUMMYFUNCTION("if(REGEXMATCH(join("", "",$F939:$G939),T$1)=TRUE,""✓"",""✗"")"),"✗")</f>
        <v>✗</v>
      </c>
      <c r="U939" s="33"/>
      <c r="V939" s="33"/>
      <c r="W939" s="33"/>
      <c r="X939" s="33"/>
      <c r="Y939" s="33"/>
      <c r="Z939" s="33"/>
      <c r="AA939" s="33"/>
      <c r="AB939" s="33"/>
      <c r="AC939" s="33"/>
    </row>
    <row r="940" hidden="1">
      <c r="A940" s="17" t="s">
        <v>302</v>
      </c>
      <c r="B940" s="33"/>
      <c r="C940" s="33"/>
      <c r="D940" s="33"/>
      <c r="E940" s="33"/>
      <c r="F940" s="33"/>
      <c r="G940" s="33"/>
      <c r="H940" s="23" t="str">
        <f>IFERROR(__xludf.DUMMYFUNCTION("if(REGEXMATCH(join("", "",$F940:$G940),H$1)=TRUE,""✓"",""✗"")"),"✗")</f>
        <v>✗</v>
      </c>
      <c r="I940" s="23" t="str">
        <f>IFERROR(__xludf.DUMMYFUNCTION("if(REGEXMATCH(join("", "",$F940:$G940),I$1)=TRUE,""✓"",""✗"")"),"✗")</f>
        <v>✗</v>
      </c>
      <c r="J940" s="23" t="str">
        <f>IFERROR(__xludf.DUMMYFUNCTION("if(REGEXMATCH(join("", "",$F940:$G940),J$1)=TRUE,""✓"",""✗"")"),"✗")</f>
        <v>✗</v>
      </c>
      <c r="K940" s="23" t="str">
        <f>IFERROR(__xludf.DUMMYFUNCTION("if(REGEXMATCH(join("", "",$F940:$G940),K$1)=TRUE,""✓"",""✗"")"),"✗")</f>
        <v>✗</v>
      </c>
      <c r="L940" s="23" t="str">
        <f>IFERROR(__xludf.DUMMYFUNCTION("if(REGEXMATCH(join("", "",$F940:$G940),L$1)=TRUE,""✓"",""✗"")"),"✗")</f>
        <v>✗</v>
      </c>
      <c r="M940" s="23" t="str">
        <f>IFERROR(__xludf.DUMMYFUNCTION("if(REGEXMATCH(join("", "",$F940:$G940),M$1)=TRUE,""✓"",""✗"")"),"✗")</f>
        <v>✗</v>
      </c>
      <c r="N940" s="23" t="str">
        <f>IFERROR(__xludf.DUMMYFUNCTION("if(REGEXMATCH(join("", "",$F940:$G940),N$1)=TRUE,""✓"",""✗"")"),"✗")</f>
        <v>✗</v>
      </c>
      <c r="O940" s="23" t="str">
        <f>IFERROR(__xludf.DUMMYFUNCTION("if(REGEXMATCH(join("", "",$F940:$G940),O$1)=TRUE,""✓"",""✗"")"),"✗")</f>
        <v>✗</v>
      </c>
      <c r="P940" s="23" t="str">
        <f>IFERROR(__xludf.DUMMYFUNCTION("if(REGEXMATCH(join("", "",$F940:$G940),P$1)=TRUE,""✓"",""✗"")"),"✗")</f>
        <v>✗</v>
      </c>
      <c r="Q940" s="23" t="str">
        <f>IFERROR(__xludf.DUMMYFUNCTION("if(REGEXMATCH(join("", "",$F940:$G940),Q$1)=TRUE,""✓"",""✗"")"),"✗")</f>
        <v>✗</v>
      </c>
      <c r="R940" s="23" t="str">
        <f>IFERROR(__xludf.DUMMYFUNCTION("if(REGEXMATCH(join("", "",$F940:$G940),R$1)=TRUE,""✓"",""✗"")"),"✗")</f>
        <v>✗</v>
      </c>
      <c r="S940" s="23" t="str">
        <f>IFERROR(__xludf.DUMMYFUNCTION("if(REGEXMATCH(join("", "",$F940:$G940),S$1)=TRUE,""✓"",""✗"")"),"✗")</f>
        <v>✗</v>
      </c>
      <c r="T940" s="23" t="str">
        <f>IFERROR(__xludf.DUMMYFUNCTION("if(REGEXMATCH(join("", "",$F940:$G940),T$1)=TRUE,""✓"",""✗"")"),"✗")</f>
        <v>✗</v>
      </c>
      <c r="U940" s="33"/>
      <c r="V940" s="33"/>
      <c r="W940" s="33"/>
      <c r="X940" s="33"/>
      <c r="Y940" s="33"/>
      <c r="Z940" s="33"/>
      <c r="AA940" s="33"/>
      <c r="AB940" s="33"/>
      <c r="AC940" s="33"/>
    </row>
    <row r="941" hidden="1">
      <c r="A941" s="17" t="s">
        <v>302</v>
      </c>
      <c r="B941" s="33"/>
      <c r="C941" s="33"/>
      <c r="D941" s="33"/>
      <c r="E941" s="33"/>
      <c r="F941" s="33"/>
      <c r="G941" s="33"/>
      <c r="H941" s="23" t="str">
        <f>IFERROR(__xludf.DUMMYFUNCTION("if(REGEXMATCH(join("", "",$F941:$G941),H$1)=TRUE,""✓"",""✗"")"),"✗")</f>
        <v>✗</v>
      </c>
      <c r="I941" s="23" t="str">
        <f>IFERROR(__xludf.DUMMYFUNCTION("if(REGEXMATCH(join("", "",$F941:$G941),I$1)=TRUE,""✓"",""✗"")"),"✗")</f>
        <v>✗</v>
      </c>
      <c r="J941" s="23" t="str">
        <f>IFERROR(__xludf.DUMMYFUNCTION("if(REGEXMATCH(join("", "",$F941:$G941),J$1)=TRUE,""✓"",""✗"")"),"✗")</f>
        <v>✗</v>
      </c>
      <c r="K941" s="23" t="str">
        <f>IFERROR(__xludf.DUMMYFUNCTION("if(REGEXMATCH(join("", "",$F941:$G941),K$1)=TRUE,""✓"",""✗"")"),"✗")</f>
        <v>✗</v>
      </c>
      <c r="L941" s="23" t="str">
        <f>IFERROR(__xludf.DUMMYFUNCTION("if(REGEXMATCH(join("", "",$F941:$G941),L$1)=TRUE,""✓"",""✗"")"),"✗")</f>
        <v>✗</v>
      </c>
      <c r="M941" s="23" t="str">
        <f>IFERROR(__xludf.DUMMYFUNCTION("if(REGEXMATCH(join("", "",$F941:$G941),M$1)=TRUE,""✓"",""✗"")"),"✗")</f>
        <v>✗</v>
      </c>
      <c r="N941" s="23" t="str">
        <f>IFERROR(__xludf.DUMMYFUNCTION("if(REGEXMATCH(join("", "",$F941:$G941),N$1)=TRUE,""✓"",""✗"")"),"✗")</f>
        <v>✗</v>
      </c>
      <c r="O941" s="23" t="str">
        <f>IFERROR(__xludf.DUMMYFUNCTION("if(REGEXMATCH(join("", "",$F941:$G941),O$1)=TRUE,""✓"",""✗"")"),"✗")</f>
        <v>✗</v>
      </c>
      <c r="P941" s="23" t="str">
        <f>IFERROR(__xludf.DUMMYFUNCTION("if(REGEXMATCH(join("", "",$F941:$G941),P$1)=TRUE,""✓"",""✗"")"),"✗")</f>
        <v>✗</v>
      </c>
      <c r="Q941" s="23" t="str">
        <f>IFERROR(__xludf.DUMMYFUNCTION("if(REGEXMATCH(join("", "",$F941:$G941),Q$1)=TRUE,""✓"",""✗"")"),"✗")</f>
        <v>✗</v>
      </c>
      <c r="R941" s="23" t="str">
        <f>IFERROR(__xludf.DUMMYFUNCTION("if(REGEXMATCH(join("", "",$F941:$G941),R$1)=TRUE,""✓"",""✗"")"),"✗")</f>
        <v>✗</v>
      </c>
      <c r="S941" s="23" t="str">
        <f>IFERROR(__xludf.DUMMYFUNCTION("if(REGEXMATCH(join("", "",$F941:$G941),S$1)=TRUE,""✓"",""✗"")"),"✗")</f>
        <v>✗</v>
      </c>
      <c r="T941" s="23" t="str">
        <f>IFERROR(__xludf.DUMMYFUNCTION("if(REGEXMATCH(join("", "",$F941:$G941),T$1)=TRUE,""✓"",""✗"")"),"✗")</f>
        <v>✗</v>
      </c>
      <c r="U941" s="33"/>
      <c r="V941" s="33"/>
      <c r="W941" s="33"/>
      <c r="X941" s="33"/>
      <c r="Y941" s="33"/>
      <c r="Z941" s="33"/>
      <c r="AA941" s="33"/>
      <c r="AB941" s="33"/>
      <c r="AC941" s="33"/>
    </row>
    <row r="942" hidden="1">
      <c r="A942" s="17" t="s">
        <v>302</v>
      </c>
      <c r="B942" s="33"/>
      <c r="C942" s="33"/>
      <c r="D942" s="33"/>
      <c r="E942" s="33"/>
      <c r="F942" s="33"/>
      <c r="G942" s="33"/>
      <c r="H942" s="23" t="str">
        <f>IFERROR(__xludf.DUMMYFUNCTION("if(REGEXMATCH(join("", "",$F942:$G942),H$1)=TRUE,""✓"",""✗"")"),"✗")</f>
        <v>✗</v>
      </c>
      <c r="I942" s="23" t="str">
        <f>IFERROR(__xludf.DUMMYFUNCTION("if(REGEXMATCH(join("", "",$F942:$G942),I$1)=TRUE,""✓"",""✗"")"),"✗")</f>
        <v>✗</v>
      </c>
      <c r="J942" s="23" t="str">
        <f>IFERROR(__xludf.DUMMYFUNCTION("if(REGEXMATCH(join("", "",$F942:$G942),J$1)=TRUE,""✓"",""✗"")"),"✗")</f>
        <v>✗</v>
      </c>
      <c r="K942" s="23" t="str">
        <f>IFERROR(__xludf.DUMMYFUNCTION("if(REGEXMATCH(join("", "",$F942:$G942),K$1)=TRUE,""✓"",""✗"")"),"✗")</f>
        <v>✗</v>
      </c>
      <c r="L942" s="23" t="str">
        <f>IFERROR(__xludf.DUMMYFUNCTION("if(REGEXMATCH(join("", "",$F942:$G942),L$1)=TRUE,""✓"",""✗"")"),"✗")</f>
        <v>✗</v>
      </c>
      <c r="M942" s="23" t="str">
        <f>IFERROR(__xludf.DUMMYFUNCTION("if(REGEXMATCH(join("", "",$F942:$G942),M$1)=TRUE,""✓"",""✗"")"),"✗")</f>
        <v>✗</v>
      </c>
      <c r="N942" s="23" t="str">
        <f>IFERROR(__xludf.DUMMYFUNCTION("if(REGEXMATCH(join("", "",$F942:$G942),N$1)=TRUE,""✓"",""✗"")"),"✗")</f>
        <v>✗</v>
      </c>
      <c r="O942" s="23" t="str">
        <f>IFERROR(__xludf.DUMMYFUNCTION("if(REGEXMATCH(join("", "",$F942:$G942),O$1)=TRUE,""✓"",""✗"")"),"✗")</f>
        <v>✗</v>
      </c>
      <c r="P942" s="23" t="str">
        <f>IFERROR(__xludf.DUMMYFUNCTION("if(REGEXMATCH(join("", "",$F942:$G942),P$1)=TRUE,""✓"",""✗"")"),"✗")</f>
        <v>✗</v>
      </c>
      <c r="Q942" s="23" t="str">
        <f>IFERROR(__xludf.DUMMYFUNCTION("if(REGEXMATCH(join("", "",$F942:$G942),Q$1)=TRUE,""✓"",""✗"")"),"✗")</f>
        <v>✗</v>
      </c>
      <c r="R942" s="23" t="str">
        <f>IFERROR(__xludf.DUMMYFUNCTION("if(REGEXMATCH(join("", "",$F942:$G942),R$1)=TRUE,""✓"",""✗"")"),"✗")</f>
        <v>✗</v>
      </c>
      <c r="S942" s="23" t="str">
        <f>IFERROR(__xludf.DUMMYFUNCTION("if(REGEXMATCH(join("", "",$F942:$G942),S$1)=TRUE,""✓"",""✗"")"),"✗")</f>
        <v>✗</v>
      </c>
      <c r="T942" s="23" t="str">
        <f>IFERROR(__xludf.DUMMYFUNCTION("if(REGEXMATCH(join("", "",$F942:$G942),T$1)=TRUE,""✓"",""✗"")"),"✗")</f>
        <v>✗</v>
      </c>
      <c r="U942" s="33"/>
      <c r="V942" s="33"/>
      <c r="W942" s="33"/>
      <c r="X942" s="33"/>
      <c r="Y942" s="33"/>
      <c r="Z942" s="33"/>
      <c r="AA942" s="33"/>
      <c r="AB942" s="33"/>
      <c r="AC942" s="33"/>
    </row>
    <row r="943" hidden="1">
      <c r="A943" s="17" t="s">
        <v>302</v>
      </c>
      <c r="B943" s="33"/>
      <c r="C943" s="33"/>
      <c r="D943" s="33"/>
      <c r="E943" s="33"/>
      <c r="F943" s="33"/>
      <c r="G943" s="33"/>
      <c r="H943" s="23" t="str">
        <f>IFERROR(__xludf.DUMMYFUNCTION("if(REGEXMATCH(join("", "",$F943:$G943),H$1)=TRUE,""✓"",""✗"")"),"✗")</f>
        <v>✗</v>
      </c>
      <c r="I943" s="23" t="str">
        <f>IFERROR(__xludf.DUMMYFUNCTION("if(REGEXMATCH(join("", "",$F943:$G943),I$1)=TRUE,""✓"",""✗"")"),"✗")</f>
        <v>✗</v>
      </c>
      <c r="J943" s="23" t="str">
        <f>IFERROR(__xludf.DUMMYFUNCTION("if(REGEXMATCH(join("", "",$F943:$G943),J$1)=TRUE,""✓"",""✗"")"),"✗")</f>
        <v>✗</v>
      </c>
      <c r="K943" s="23" t="str">
        <f>IFERROR(__xludf.DUMMYFUNCTION("if(REGEXMATCH(join("", "",$F943:$G943),K$1)=TRUE,""✓"",""✗"")"),"✗")</f>
        <v>✗</v>
      </c>
      <c r="L943" s="23" t="str">
        <f>IFERROR(__xludf.DUMMYFUNCTION("if(REGEXMATCH(join("", "",$F943:$G943),L$1)=TRUE,""✓"",""✗"")"),"✗")</f>
        <v>✗</v>
      </c>
      <c r="M943" s="23" t="str">
        <f>IFERROR(__xludf.DUMMYFUNCTION("if(REGEXMATCH(join("", "",$F943:$G943),M$1)=TRUE,""✓"",""✗"")"),"✗")</f>
        <v>✗</v>
      </c>
      <c r="N943" s="23" t="str">
        <f>IFERROR(__xludf.DUMMYFUNCTION("if(REGEXMATCH(join("", "",$F943:$G943),N$1)=TRUE,""✓"",""✗"")"),"✗")</f>
        <v>✗</v>
      </c>
      <c r="O943" s="23" t="str">
        <f>IFERROR(__xludf.DUMMYFUNCTION("if(REGEXMATCH(join("", "",$F943:$G943),O$1)=TRUE,""✓"",""✗"")"),"✗")</f>
        <v>✗</v>
      </c>
      <c r="P943" s="23" t="str">
        <f>IFERROR(__xludf.DUMMYFUNCTION("if(REGEXMATCH(join("", "",$F943:$G943),P$1)=TRUE,""✓"",""✗"")"),"✗")</f>
        <v>✗</v>
      </c>
      <c r="Q943" s="23" t="str">
        <f>IFERROR(__xludf.DUMMYFUNCTION("if(REGEXMATCH(join("", "",$F943:$G943),Q$1)=TRUE,""✓"",""✗"")"),"✗")</f>
        <v>✗</v>
      </c>
      <c r="R943" s="23" t="str">
        <f>IFERROR(__xludf.DUMMYFUNCTION("if(REGEXMATCH(join("", "",$F943:$G943),R$1)=TRUE,""✓"",""✗"")"),"✗")</f>
        <v>✗</v>
      </c>
      <c r="S943" s="23" t="str">
        <f>IFERROR(__xludf.DUMMYFUNCTION("if(REGEXMATCH(join("", "",$F943:$G943),S$1)=TRUE,""✓"",""✗"")"),"✗")</f>
        <v>✗</v>
      </c>
      <c r="T943" s="23" t="str">
        <f>IFERROR(__xludf.DUMMYFUNCTION("if(REGEXMATCH(join("", "",$F943:$G943),T$1)=TRUE,""✓"",""✗"")"),"✗")</f>
        <v>✗</v>
      </c>
      <c r="U943" s="33"/>
      <c r="V943" s="33"/>
      <c r="W943" s="33"/>
      <c r="X943" s="33"/>
      <c r="Y943" s="33"/>
      <c r="Z943" s="33"/>
      <c r="AA943" s="33"/>
      <c r="AB943" s="33"/>
      <c r="AC943" s="33"/>
    </row>
    <row r="944" hidden="1">
      <c r="A944" s="17" t="s">
        <v>302</v>
      </c>
      <c r="B944" s="33"/>
      <c r="C944" s="33"/>
      <c r="D944" s="33"/>
      <c r="E944" s="33"/>
      <c r="F944" s="33"/>
      <c r="G944" s="33"/>
      <c r="H944" s="23" t="str">
        <f>IFERROR(__xludf.DUMMYFUNCTION("if(REGEXMATCH(join("", "",$F944:$G944),H$1)=TRUE,""✓"",""✗"")"),"✗")</f>
        <v>✗</v>
      </c>
      <c r="I944" s="23" t="str">
        <f>IFERROR(__xludf.DUMMYFUNCTION("if(REGEXMATCH(join("", "",$F944:$G944),I$1)=TRUE,""✓"",""✗"")"),"✗")</f>
        <v>✗</v>
      </c>
      <c r="J944" s="23" t="str">
        <f>IFERROR(__xludf.DUMMYFUNCTION("if(REGEXMATCH(join("", "",$F944:$G944),J$1)=TRUE,""✓"",""✗"")"),"✗")</f>
        <v>✗</v>
      </c>
      <c r="K944" s="23" t="str">
        <f>IFERROR(__xludf.DUMMYFUNCTION("if(REGEXMATCH(join("", "",$F944:$G944),K$1)=TRUE,""✓"",""✗"")"),"✗")</f>
        <v>✗</v>
      </c>
      <c r="L944" s="23" t="str">
        <f>IFERROR(__xludf.DUMMYFUNCTION("if(REGEXMATCH(join("", "",$F944:$G944),L$1)=TRUE,""✓"",""✗"")"),"✗")</f>
        <v>✗</v>
      </c>
      <c r="M944" s="23" t="str">
        <f>IFERROR(__xludf.DUMMYFUNCTION("if(REGEXMATCH(join("", "",$F944:$G944),M$1)=TRUE,""✓"",""✗"")"),"✗")</f>
        <v>✗</v>
      </c>
      <c r="N944" s="23" t="str">
        <f>IFERROR(__xludf.DUMMYFUNCTION("if(REGEXMATCH(join("", "",$F944:$G944),N$1)=TRUE,""✓"",""✗"")"),"✗")</f>
        <v>✗</v>
      </c>
      <c r="O944" s="23" t="str">
        <f>IFERROR(__xludf.DUMMYFUNCTION("if(REGEXMATCH(join("", "",$F944:$G944),O$1)=TRUE,""✓"",""✗"")"),"✗")</f>
        <v>✗</v>
      </c>
      <c r="P944" s="23" t="str">
        <f>IFERROR(__xludf.DUMMYFUNCTION("if(REGEXMATCH(join("", "",$F944:$G944),P$1)=TRUE,""✓"",""✗"")"),"✗")</f>
        <v>✗</v>
      </c>
      <c r="Q944" s="23" t="str">
        <f>IFERROR(__xludf.DUMMYFUNCTION("if(REGEXMATCH(join("", "",$F944:$G944),Q$1)=TRUE,""✓"",""✗"")"),"✗")</f>
        <v>✗</v>
      </c>
      <c r="R944" s="23" t="str">
        <f>IFERROR(__xludf.DUMMYFUNCTION("if(REGEXMATCH(join("", "",$F944:$G944),R$1)=TRUE,""✓"",""✗"")"),"✗")</f>
        <v>✗</v>
      </c>
      <c r="S944" s="23" t="str">
        <f>IFERROR(__xludf.DUMMYFUNCTION("if(REGEXMATCH(join("", "",$F944:$G944),S$1)=TRUE,""✓"",""✗"")"),"✗")</f>
        <v>✗</v>
      </c>
      <c r="T944" s="23" t="str">
        <f>IFERROR(__xludf.DUMMYFUNCTION("if(REGEXMATCH(join("", "",$F944:$G944),T$1)=TRUE,""✓"",""✗"")"),"✗")</f>
        <v>✗</v>
      </c>
      <c r="U944" s="33"/>
      <c r="V944" s="33"/>
      <c r="W944" s="33"/>
      <c r="X944" s="33"/>
      <c r="Y944" s="33"/>
      <c r="Z944" s="33"/>
      <c r="AA944" s="33"/>
      <c r="AB944" s="33"/>
      <c r="AC944" s="33"/>
    </row>
    <row r="945" hidden="1">
      <c r="A945" s="17" t="s">
        <v>302</v>
      </c>
      <c r="B945" s="33"/>
      <c r="C945" s="33"/>
      <c r="D945" s="33"/>
      <c r="E945" s="33"/>
      <c r="F945" s="33"/>
      <c r="G945" s="33"/>
      <c r="H945" s="23" t="str">
        <f>IFERROR(__xludf.DUMMYFUNCTION("if(REGEXMATCH(join("", "",$F945:$G945),H$1)=TRUE,""✓"",""✗"")"),"✗")</f>
        <v>✗</v>
      </c>
      <c r="I945" s="23" t="str">
        <f>IFERROR(__xludf.DUMMYFUNCTION("if(REGEXMATCH(join("", "",$F945:$G945),I$1)=TRUE,""✓"",""✗"")"),"✗")</f>
        <v>✗</v>
      </c>
      <c r="J945" s="23" t="str">
        <f>IFERROR(__xludf.DUMMYFUNCTION("if(REGEXMATCH(join("", "",$F945:$G945),J$1)=TRUE,""✓"",""✗"")"),"✗")</f>
        <v>✗</v>
      </c>
      <c r="K945" s="23" t="str">
        <f>IFERROR(__xludf.DUMMYFUNCTION("if(REGEXMATCH(join("", "",$F945:$G945),K$1)=TRUE,""✓"",""✗"")"),"✗")</f>
        <v>✗</v>
      </c>
      <c r="L945" s="23" t="str">
        <f>IFERROR(__xludf.DUMMYFUNCTION("if(REGEXMATCH(join("", "",$F945:$G945),L$1)=TRUE,""✓"",""✗"")"),"✗")</f>
        <v>✗</v>
      </c>
      <c r="M945" s="23" t="str">
        <f>IFERROR(__xludf.DUMMYFUNCTION("if(REGEXMATCH(join("", "",$F945:$G945),M$1)=TRUE,""✓"",""✗"")"),"✗")</f>
        <v>✗</v>
      </c>
      <c r="N945" s="23" t="str">
        <f>IFERROR(__xludf.DUMMYFUNCTION("if(REGEXMATCH(join("", "",$F945:$G945),N$1)=TRUE,""✓"",""✗"")"),"✗")</f>
        <v>✗</v>
      </c>
      <c r="O945" s="23" t="str">
        <f>IFERROR(__xludf.DUMMYFUNCTION("if(REGEXMATCH(join("", "",$F945:$G945),O$1)=TRUE,""✓"",""✗"")"),"✗")</f>
        <v>✗</v>
      </c>
      <c r="P945" s="23" t="str">
        <f>IFERROR(__xludf.DUMMYFUNCTION("if(REGEXMATCH(join("", "",$F945:$G945),P$1)=TRUE,""✓"",""✗"")"),"✗")</f>
        <v>✗</v>
      </c>
      <c r="Q945" s="23" t="str">
        <f>IFERROR(__xludf.DUMMYFUNCTION("if(REGEXMATCH(join("", "",$F945:$G945),Q$1)=TRUE,""✓"",""✗"")"),"✗")</f>
        <v>✗</v>
      </c>
      <c r="R945" s="23" t="str">
        <f>IFERROR(__xludf.DUMMYFUNCTION("if(REGEXMATCH(join("", "",$F945:$G945),R$1)=TRUE,""✓"",""✗"")"),"✗")</f>
        <v>✗</v>
      </c>
      <c r="S945" s="23" t="str">
        <f>IFERROR(__xludf.DUMMYFUNCTION("if(REGEXMATCH(join("", "",$F945:$G945),S$1)=TRUE,""✓"",""✗"")"),"✗")</f>
        <v>✗</v>
      </c>
      <c r="T945" s="23" t="str">
        <f>IFERROR(__xludf.DUMMYFUNCTION("if(REGEXMATCH(join("", "",$F945:$G945),T$1)=TRUE,""✓"",""✗"")"),"✗")</f>
        <v>✗</v>
      </c>
      <c r="U945" s="33"/>
      <c r="V945" s="33"/>
      <c r="W945" s="33"/>
      <c r="X945" s="33"/>
      <c r="Y945" s="33"/>
      <c r="Z945" s="33"/>
      <c r="AA945" s="33"/>
      <c r="AB945" s="33"/>
      <c r="AC945" s="33"/>
    </row>
    <row r="946" hidden="1">
      <c r="A946" s="17" t="s">
        <v>302</v>
      </c>
      <c r="B946" s="33"/>
      <c r="C946" s="33"/>
      <c r="D946" s="33"/>
      <c r="E946" s="33"/>
      <c r="F946" s="33"/>
      <c r="G946" s="33"/>
      <c r="H946" s="23" t="str">
        <f>IFERROR(__xludf.DUMMYFUNCTION("if(REGEXMATCH(join("", "",$F946:$G946),H$1)=TRUE,""✓"",""✗"")"),"✗")</f>
        <v>✗</v>
      </c>
      <c r="I946" s="23" t="str">
        <f>IFERROR(__xludf.DUMMYFUNCTION("if(REGEXMATCH(join("", "",$F946:$G946),I$1)=TRUE,""✓"",""✗"")"),"✗")</f>
        <v>✗</v>
      </c>
      <c r="J946" s="23" t="str">
        <f>IFERROR(__xludf.DUMMYFUNCTION("if(REGEXMATCH(join("", "",$F946:$G946),J$1)=TRUE,""✓"",""✗"")"),"✗")</f>
        <v>✗</v>
      </c>
      <c r="K946" s="23" t="str">
        <f>IFERROR(__xludf.DUMMYFUNCTION("if(REGEXMATCH(join("", "",$F946:$G946),K$1)=TRUE,""✓"",""✗"")"),"✗")</f>
        <v>✗</v>
      </c>
      <c r="L946" s="23" t="str">
        <f>IFERROR(__xludf.DUMMYFUNCTION("if(REGEXMATCH(join("", "",$F946:$G946),L$1)=TRUE,""✓"",""✗"")"),"✗")</f>
        <v>✗</v>
      </c>
      <c r="M946" s="23" t="str">
        <f>IFERROR(__xludf.DUMMYFUNCTION("if(REGEXMATCH(join("", "",$F946:$G946),M$1)=TRUE,""✓"",""✗"")"),"✗")</f>
        <v>✗</v>
      </c>
      <c r="N946" s="23" t="str">
        <f>IFERROR(__xludf.DUMMYFUNCTION("if(REGEXMATCH(join("", "",$F946:$G946),N$1)=TRUE,""✓"",""✗"")"),"✗")</f>
        <v>✗</v>
      </c>
      <c r="O946" s="23" t="str">
        <f>IFERROR(__xludf.DUMMYFUNCTION("if(REGEXMATCH(join("", "",$F946:$G946),O$1)=TRUE,""✓"",""✗"")"),"✗")</f>
        <v>✗</v>
      </c>
      <c r="P946" s="23" t="str">
        <f>IFERROR(__xludf.DUMMYFUNCTION("if(REGEXMATCH(join("", "",$F946:$G946),P$1)=TRUE,""✓"",""✗"")"),"✗")</f>
        <v>✗</v>
      </c>
      <c r="Q946" s="23" t="str">
        <f>IFERROR(__xludf.DUMMYFUNCTION("if(REGEXMATCH(join("", "",$F946:$G946),Q$1)=TRUE,""✓"",""✗"")"),"✗")</f>
        <v>✗</v>
      </c>
      <c r="R946" s="23" t="str">
        <f>IFERROR(__xludf.DUMMYFUNCTION("if(REGEXMATCH(join("", "",$F946:$G946),R$1)=TRUE,""✓"",""✗"")"),"✗")</f>
        <v>✗</v>
      </c>
      <c r="S946" s="23" t="str">
        <f>IFERROR(__xludf.DUMMYFUNCTION("if(REGEXMATCH(join("", "",$F946:$G946),S$1)=TRUE,""✓"",""✗"")"),"✗")</f>
        <v>✗</v>
      </c>
      <c r="T946" s="23" t="str">
        <f>IFERROR(__xludf.DUMMYFUNCTION("if(REGEXMATCH(join("", "",$F946:$G946),T$1)=TRUE,""✓"",""✗"")"),"✗")</f>
        <v>✗</v>
      </c>
      <c r="U946" s="33"/>
      <c r="V946" s="33"/>
      <c r="W946" s="33"/>
      <c r="X946" s="33"/>
      <c r="Y946" s="33"/>
      <c r="Z946" s="33"/>
      <c r="AA946" s="33"/>
      <c r="AB946" s="33"/>
      <c r="AC946" s="33"/>
    </row>
    <row r="947" hidden="1">
      <c r="A947" s="17" t="s">
        <v>302</v>
      </c>
      <c r="B947" s="33"/>
      <c r="C947" s="33"/>
      <c r="D947" s="33"/>
      <c r="E947" s="33"/>
      <c r="F947" s="33"/>
      <c r="G947" s="33"/>
      <c r="H947" s="23" t="str">
        <f>IFERROR(__xludf.DUMMYFUNCTION("if(REGEXMATCH(join("", "",$F947:$G947),H$1)=TRUE,""✓"",""✗"")"),"✗")</f>
        <v>✗</v>
      </c>
      <c r="I947" s="23" t="str">
        <f>IFERROR(__xludf.DUMMYFUNCTION("if(REGEXMATCH(join("", "",$F947:$G947),I$1)=TRUE,""✓"",""✗"")"),"✗")</f>
        <v>✗</v>
      </c>
      <c r="J947" s="23" t="str">
        <f>IFERROR(__xludf.DUMMYFUNCTION("if(REGEXMATCH(join("", "",$F947:$G947),J$1)=TRUE,""✓"",""✗"")"),"✗")</f>
        <v>✗</v>
      </c>
      <c r="K947" s="23" t="str">
        <f>IFERROR(__xludf.DUMMYFUNCTION("if(REGEXMATCH(join("", "",$F947:$G947),K$1)=TRUE,""✓"",""✗"")"),"✗")</f>
        <v>✗</v>
      </c>
      <c r="L947" s="23" t="str">
        <f>IFERROR(__xludf.DUMMYFUNCTION("if(REGEXMATCH(join("", "",$F947:$G947),L$1)=TRUE,""✓"",""✗"")"),"✗")</f>
        <v>✗</v>
      </c>
      <c r="M947" s="23" t="str">
        <f>IFERROR(__xludf.DUMMYFUNCTION("if(REGEXMATCH(join("", "",$F947:$G947),M$1)=TRUE,""✓"",""✗"")"),"✗")</f>
        <v>✗</v>
      </c>
      <c r="N947" s="23" t="str">
        <f>IFERROR(__xludf.DUMMYFUNCTION("if(REGEXMATCH(join("", "",$F947:$G947),N$1)=TRUE,""✓"",""✗"")"),"✗")</f>
        <v>✗</v>
      </c>
      <c r="O947" s="23" t="str">
        <f>IFERROR(__xludf.DUMMYFUNCTION("if(REGEXMATCH(join("", "",$F947:$G947),O$1)=TRUE,""✓"",""✗"")"),"✗")</f>
        <v>✗</v>
      </c>
      <c r="P947" s="23" t="str">
        <f>IFERROR(__xludf.DUMMYFUNCTION("if(REGEXMATCH(join("", "",$F947:$G947),P$1)=TRUE,""✓"",""✗"")"),"✗")</f>
        <v>✗</v>
      </c>
      <c r="Q947" s="23" t="str">
        <f>IFERROR(__xludf.DUMMYFUNCTION("if(REGEXMATCH(join("", "",$F947:$G947),Q$1)=TRUE,""✓"",""✗"")"),"✗")</f>
        <v>✗</v>
      </c>
      <c r="R947" s="23" t="str">
        <f>IFERROR(__xludf.DUMMYFUNCTION("if(REGEXMATCH(join("", "",$F947:$G947),R$1)=TRUE,""✓"",""✗"")"),"✗")</f>
        <v>✗</v>
      </c>
      <c r="S947" s="23" t="str">
        <f>IFERROR(__xludf.DUMMYFUNCTION("if(REGEXMATCH(join("", "",$F947:$G947),S$1)=TRUE,""✓"",""✗"")"),"✗")</f>
        <v>✗</v>
      </c>
      <c r="T947" s="23" t="str">
        <f>IFERROR(__xludf.DUMMYFUNCTION("if(REGEXMATCH(join("", "",$F947:$G947),T$1)=TRUE,""✓"",""✗"")"),"✗")</f>
        <v>✗</v>
      </c>
      <c r="U947" s="33"/>
      <c r="V947" s="33"/>
      <c r="W947" s="33"/>
      <c r="X947" s="33"/>
      <c r="Y947" s="33"/>
      <c r="Z947" s="33"/>
      <c r="AA947" s="33"/>
      <c r="AB947" s="33"/>
      <c r="AC947" s="33"/>
    </row>
    <row r="948" hidden="1">
      <c r="A948" s="17" t="s">
        <v>302</v>
      </c>
      <c r="B948" s="33"/>
      <c r="C948" s="33"/>
      <c r="D948" s="33"/>
      <c r="E948" s="33"/>
      <c r="F948" s="33"/>
      <c r="G948" s="33"/>
      <c r="H948" s="23" t="str">
        <f>IFERROR(__xludf.DUMMYFUNCTION("if(REGEXMATCH(join("", "",$F948:$G948),H$1)=TRUE,""✓"",""✗"")"),"✗")</f>
        <v>✗</v>
      </c>
      <c r="I948" s="23" t="str">
        <f>IFERROR(__xludf.DUMMYFUNCTION("if(REGEXMATCH(join("", "",$F948:$G948),I$1)=TRUE,""✓"",""✗"")"),"✗")</f>
        <v>✗</v>
      </c>
      <c r="J948" s="23" t="str">
        <f>IFERROR(__xludf.DUMMYFUNCTION("if(REGEXMATCH(join("", "",$F948:$G948),J$1)=TRUE,""✓"",""✗"")"),"✗")</f>
        <v>✗</v>
      </c>
      <c r="K948" s="23" t="str">
        <f>IFERROR(__xludf.DUMMYFUNCTION("if(REGEXMATCH(join("", "",$F948:$G948),K$1)=TRUE,""✓"",""✗"")"),"✗")</f>
        <v>✗</v>
      </c>
      <c r="L948" s="23" t="str">
        <f>IFERROR(__xludf.DUMMYFUNCTION("if(REGEXMATCH(join("", "",$F948:$G948),L$1)=TRUE,""✓"",""✗"")"),"✗")</f>
        <v>✗</v>
      </c>
      <c r="M948" s="23" t="str">
        <f>IFERROR(__xludf.DUMMYFUNCTION("if(REGEXMATCH(join("", "",$F948:$G948),M$1)=TRUE,""✓"",""✗"")"),"✗")</f>
        <v>✗</v>
      </c>
      <c r="N948" s="23" t="str">
        <f>IFERROR(__xludf.DUMMYFUNCTION("if(REGEXMATCH(join("", "",$F948:$G948),N$1)=TRUE,""✓"",""✗"")"),"✗")</f>
        <v>✗</v>
      </c>
      <c r="O948" s="23" t="str">
        <f>IFERROR(__xludf.DUMMYFUNCTION("if(REGEXMATCH(join("", "",$F948:$G948),O$1)=TRUE,""✓"",""✗"")"),"✗")</f>
        <v>✗</v>
      </c>
      <c r="P948" s="23" t="str">
        <f>IFERROR(__xludf.DUMMYFUNCTION("if(REGEXMATCH(join("", "",$F948:$G948),P$1)=TRUE,""✓"",""✗"")"),"✗")</f>
        <v>✗</v>
      </c>
      <c r="Q948" s="23" t="str">
        <f>IFERROR(__xludf.DUMMYFUNCTION("if(REGEXMATCH(join("", "",$F948:$G948),Q$1)=TRUE,""✓"",""✗"")"),"✗")</f>
        <v>✗</v>
      </c>
      <c r="R948" s="23" t="str">
        <f>IFERROR(__xludf.DUMMYFUNCTION("if(REGEXMATCH(join("", "",$F948:$G948),R$1)=TRUE,""✓"",""✗"")"),"✗")</f>
        <v>✗</v>
      </c>
      <c r="S948" s="23" t="str">
        <f>IFERROR(__xludf.DUMMYFUNCTION("if(REGEXMATCH(join("", "",$F948:$G948),S$1)=TRUE,""✓"",""✗"")"),"✗")</f>
        <v>✗</v>
      </c>
      <c r="T948" s="23" t="str">
        <f>IFERROR(__xludf.DUMMYFUNCTION("if(REGEXMATCH(join("", "",$F948:$G948),T$1)=TRUE,""✓"",""✗"")"),"✗")</f>
        <v>✗</v>
      </c>
      <c r="U948" s="33"/>
      <c r="V948" s="33"/>
      <c r="W948" s="33"/>
      <c r="X948" s="33"/>
      <c r="Y948" s="33"/>
      <c r="Z948" s="33"/>
      <c r="AA948" s="33"/>
      <c r="AB948" s="33"/>
      <c r="AC948" s="33"/>
    </row>
    <row r="949" hidden="1">
      <c r="A949" s="17" t="s">
        <v>302</v>
      </c>
      <c r="B949" s="33"/>
      <c r="C949" s="33"/>
      <c r="D949" s="33"/>
      <c r="E949" s="33"/>
      <c r="F949" s="33"/>
      <c r="G949" s="33"/>
      <c r="H949" s="23" t="str">
        <f>IFERROR(__xludf.DUMMYFUNCTION("if(REGEXMATCH(join("", "",$F949:$G949),H$1)=TRUE,""✓"",""✗"")"),"✗")</f>
        <v>✗</v>
      </c>
      <c r="I949" s="23" t="str">
        <f>IFERROR(__xludf.DUMMYFUNCTION("if(REGEXMATCH(join("", "",$F949:$G949),I$1)=TRUE,""✓"",""✗"")"),"✗")</f>
        <v>✗</v>
      </c>
      <c r="J949" s="23" t="str">
        <f>IFERROR(__xludf.DUMMYFUNCTION("if(REGEXMATCH(join("", "",$F949:$G949),J$1)=TRUE,""✓"",""✗"")"),"✗")</f>
        <v>✗</v>
      </c>
      <c r="K949" s="23" t="str">
        <f>IFERROR(__xludf.DUMMYFUNCTION("if(REGEXMATCH(join("", "",$F949:$G949),K$1)=TRUE,""✓"",""✗"")"),"✗")</f>
        <v>✗</v>
      </c>
      <c r="L949" s="23" t="str">
        <f>IFERROR(__xludf.DUMMYFUNCTION("if(REGEXMATCH(join("", "",$F949:$G949),L$1)=TRUE,""✓"",""✗"")"),"✗")</f>
        <v>✗</v>
      </c>
      <c r="M949" s="23" t="str">
        <f>IFERROR(__xludf.DUMMYFUNCTION("if(REGEXMATCH(join("", "",$F949:$G949),M$1)=TRUE,""✓"",""✗"")"),"✗")</f>
        <v>✗</v>
      </c>
      <c r="N949" s="23" t="str">
        <f>IFERROR(__xludf.DUMMYFUNCTION("if(REGEXMATCH(join("", "",$F949:$G949),N$1)=TRUE,""✓"",""✗"")"),"✗")</f>
        <v>✗</v>
      </c>
      <c r="O949" s="23" t="str">
        <f>IFERROR(__xludf.DUMMYFUNCTION("if(REGEXMATCH(join("", "",$F949:$G949),O$1)=TRUE,""✓"",""✗"")"),"✗")</f>
        <v>✗</v>
      </c>
      <c r="P949" s="23" t="str">
        <f>IFERROR(__xludf.DUMMYFUNCTION("if(REGEXMATCH(join("", "",$F949:$G949),P$1)=TRUE,""✓"",""✗"")"),"✗")</f>
        <v>✗</v>
      </c>
      <c r="Q949" s="23" t="str">
        <f>IFERROR(__xludf.DUMMYFUNCTION("if(REGEXMATCH(join("", "",$F949:$G949),Q$1)=TRUE,""✓"",""✗"")"),"✗")</f>
        <v>✗</v>
      </c>
      <c r="R949" s="23" t="str">
        <f>IFERROR(__xludf.DUMMYFUNCTION("if(REGEXMATCH(join("", "",$F949:$G949),R$1)=TRUE,""✓"",""✗"")"),"✗")</f>
        <v>✗</v>
      </c>
      <c r="S949" s="23" t="str">
        <f>IFERROR(__xludf.DUMMYFUNCTION("if(REGEXMATCH(join("", "",$F949:$G949),S$1)=TRUE,""✓"",""✗"")"),"✗")</f>
        <v>✗</v>
      </c>
      <c r="T949" s="23" t="str">
        <f>IFERROR(__xludf.DUMMYFUNCTION("if(REGEXMATCH(join("", "",$F949:$G949),T$1)=TRUE,""✓"",""✗"")"),"✗")</f>
        <v>✗</v>
      </c>
      <c r="U949" s="33"/>
      <c r="V949" s="33"/>
      <c r="W949" s="33"/>
      <c r="X949" s="33"/>
      <c r="Y949" s="33"/>
      <c r="Z949" s="33"/>
      <c r="AA949" s="33"/>
      <c r="AB949" s="33"/>
      <c r="AC949" s="33"/>
    </row>
    <row r="950" hidden="1">
      <c r="A950" s="17" t="s">
        <v>302</v>
      </c>
      <c r="B950" s="33"/>
      <c r="C950" s="33"/>
      <c r="D950" s="33"/>
      <c r="E950" s="33"/>
      <c r="F950" s="33"/>
      <c r="G950" s="33"/>
      <c r="H950" s="23" t="str">
        <f>IFERROR(__xludf.DUMMYFUNCTION("if(REGEXMATCH(join("", "",$F950:$G950),H$1)=TRUE,""✓"",""✗"")"),"✗")</f>
        <v>✗</v>
      </c>
      <c r="I950" s="23" t="str">
        <f>IFERROR(__xludf.DUMMYFUNCTION("if(REGEXMATCH(join("", "",$F950:$G950),I$1)=TRUE,""✓"",""✗"")"),"✗")</f>
        <v>✗</v>
      </c>
      <c r="J950" s="23" t="str">
        <f>IFERROR(__xludf.DUMMYFUNCTION("if(REGEXMATCH(join("", "",$F950:$G950),J$1)=TRUE,""✓"",""✗"")"),"✗")</f>
        <v>✗</v>
      </c>
      <c r="K950" s="23" t="str">
        <f>IFERROR(__xludf.DUMMYFUNCTION("if(REGEXMATCH(join("", "",$F950:$G950),K$1)=TRUE,""✓"",""✗"")"),"✗")</f>
        <v>✗</v>
      </c>
      <c r="L950" s="23" t="str">
        <f>IFERROR(__xludf.DUMMYFUNCTION("if(REGEXMATCH(join("", "",$F950:$G950),L$1)=TRUE,""✓"",""✗"")"),"✗")</f>
        <v>✗</v>
      </c>
      <c r="M950" s="23" t="str">
        <f>IFERROR(__xludf.DUMMYFUNCTION("if(REGEXMATCH(join("", "",$F950:$G950),M$1)=TRUE,""✓"",""✗"")"),"✗")</f>
        <v>✗</v>
      </c>
      <c r="N950" s="23" t="str">
        <f>IFERROR(__xludf.DUMMYFUNCTION("if(REGEXMATCH(join("", "",$F950:$G950),N$1)=TRUE,""✓"",""✗"")"),"✗")</f>
        <v>✗</v>
      </c>
      <c r="O950" s="23" t="str">
        <f>IFERROR(__xludf.DUMMYFUNCTION("if(REGEXMATCH(join("", "",$F950:$G950),O$1)=TRUE,""✓"",""✗"")"),"✗")</f>
        <v>✗</v>
      </c>
      <c r="P950" s="23" t="str">
        <f>IFERROR(__xludf.DUMMYFUNCTION("if(REGEXMATCH(join("", "",$F950:$G950),P$1)=TRUE,""✓"",""✗"")"),"✗")</f>
        <v>✗</v>
      </c>
      <c r="Q950" s="23" t="str">
        <f>IFERROR(__xludf.DUMMYFUNCTION("if(REGEXMATCH(join("", "",$F950:$G950),Q$1)=TRUE,""✓"",""✗"")"),"✗")</f>
        <v>✗</v>
      </c>
      <c r="R950" s="23" t="str">
        <f>IFERROR(__xludf.DUMMYFUNCTION("if(REGEXMATCH(join("", "",$F950:$G950),R$1)=TRUE,""✓"",""✗"")"),"✗")</f>
        <v>✗</v>
      </c>
      <c r="S950" s="23" t="str">
        <f>IFERROR(__xludf.DUMMYFUNCTION("if(REGEXMATCH(join("", "",$F950:$G950),S$1)=TRUE,""✓"",""✗"")"),"✗")</f>
        <v>✗</v>
      </c>
      <c r="T950" s="23" t="str">
        <f>IFERROR(__xludf.DUMMYFUNCTION("if(REGEXMATCH(join("", "",$F950:$G950),T$1)=TRUE,""✓"",""✗"")"),"✗")</f>
        <v>✗</v>
      </c>
      <c r="U950" s="33"/>
      <c r="V950" s="33"/>
      <c r="W950" s="33"/>
      <c r="X950" s="33"/>
      <c r="Y950" s="33"/>
      <c r="Z950" s="33"/>
      <c r="AA950" s="33"/>
      <c r="AB950" s="33"/>
      <c r="AC950" s="33"/>
    </row>
    <row r="951" hidden="1">
      <c r="A951" s="17" t="s">
        <v>302</v>
      </c>
      <c r="B951" s="33"/>
      <c r="C951" s="33"/>
      <c r="D951" s="33"/>
      <c r="E951" s="33"/>
      <c r="F951" s="33"/>
      <c r="G951" s="33"/>
      <c r="H951" s="23" t="str">
        <f>IFERROR(__xludf.DUMMYFUNCTION("if(REGEXMATCH(join("", "",$F951:$G951),H$1)=TRUE,""✓"",""✗"")"),"✗")</f>
        <v>✗</v>
      </c>
      <c r="I951" s="23" t="str">
        <f>IFERROR(__xludf.DUMMYFUNCTION("if(REGEXMATCH(join("", "",$F951:$G951),I$1)=TRUE,""✓"",""✗"")"),"✗")</f>
        <v>✗</v>
      </c>
      <c r="J951" s="23" t="str">
        <f>IFERROR(__xludf.DUMMYFUNCTION("if(REGEXMATCH(join("", "",$F951:$G951),J$1)=TRUE,""✓"",""✗"")"),"✗")</f>
        <v>✗</v>
      </c>
      <c r="K951" s="23" t="str">
        <f>IFERROR(__xludf.DUMMYFUNCTION("if(REGEXMATCH(join("", "",$F951:$G951),K$1)=TRUE,""✓"",""✗"")"),"✗")</f>
        <v>✗</v>
      </c>
      <c r="L951" s="23" t="str">
        <f>IFERROR(__xludf.DUMMYFUNCTION("if(REGEXMATCH(join("", "",$F951:$G951),L$1)=TRUE,""✓"",""✗"")"),"✗")</f>
        <v>✗</v>
      </c>
      <c r="M951" s="23" t="str">
        <f>IFERROR(__xludf.DUMMYFUNCTION("if(REGEXMATCH(join("", "",$F951:$G951),M$1)=TRUE,""✓"",""✗"")"),"✗")</f>
        <v>✗</v>
      </c>
      <c r="N951" s="23" t="str">
        <f>IFERROR(__xludf.DUMMYFUNCTION("if(REGEXMATCH(join("", "",$F951:$G951),N$1)=TRUE,""✓"",""✗"")"),"✗")</f>
        <v>✗</v>
      </c>
      <c r="O951" s="23" t="str">
        <f>IFERROR(__xludf.DUMMYFUNCTION("if(REGEXMATCH(join("", "",$F951:$G951),O$1)=TRUE,""✓"",""✗"")"),"✗")</f>
        <v>✗</v>
      </c>
      <c r="P951" s="23" t="str">
        <f>IFERROR(__xludf.DUMMYFUNCTION("if(REGEXMATCH(join("", "",$F951:$G951),P$1)=TRUE,""✓"",""✗"")"),"✗")</f>
        <v>✗</v>
      </c>
      <c r="Q951" s="23" t="str">
        <f>IFERROR(__xludf.DUMMYFUNCTION("if(REGEXMATCH(join("", "",$F951:$G951),Q$1)=TRUE,""✓"",""✗"")"),"✗")</f>
        <v>✗</v>
      </c>
      <c r="R951" s="23" t="str">
        <f>IFERROR(__xludf.DUMMYFUNCTION("if(REGEXMATCH(join("", "",$F951:$G951),R$1)=TRUE,""✓"",""✗"")"),"✗")</f>
        <v>✗</v>
      </c>
      <c r="S951" s="23" t="str">
        <f>IFERROR(__xludf.DUMMYFUNCTION("if(REGEXMATCH(join("", "",$F951:$G951),S$1)=TRUE,""✓"",""✗"")"),"✗")</f>
        <v>✗</v>
      </c>
      <c r="T951" s="23" t="str">
        <f>IFERROR(__xludf.DUMMYFUNCTION("if(REGEXMATCH(join("", "",$F951:$G951),T$1)=TRUE,""✓"",""✗"")"),"✗")</f>
        <v>✗</v>
      </c>
      <c r="U951" s="33"/>
      <c r="V951" s="33"/>
      <c r="W951" s="33"/>
      <c r="X951" s="33"/>
      <c r="Y951" s="33"/>
      <c r="Z951" s="33"/>
      <c r="AA951" s="33"/>
      <c r="AB951" s="33"/>
      <c r="AC951" s="33"/>
    </row>
    <row r="952" hidden="1">
      <c r="A952" s="17" t="s">
        <v>302</v>
      </c>
      <c r="B952" s="33"/>
      <c r="C952" s="33"/>
      <c r="D952" s="33"/>
      <c r="E952" s="33"/>
      <c r="F952" s="33"/>
      <c r="G952" s="33"/>
      <c r="H952" s="23" t="str">
        <f>IFERROR(__xludf.DUMMYFUNCTION("if(REGEXMATCH(join("", "",$F952:$G952),H$1)=TRUE,""✓"",""✗"")"),"✗")</f>
        <v>✗</v>
      </c>
      <c r="I952" s="23" t="str">
        <f>IFERROR(__xludf.DUMMYFUNCTION("if(REGEXMATCH(join("", "",$F952:$G952),I$1)=TRUE,""✓"",""✗"")"),"✗")</f>
        <v>✗</v>
      </c>
      <c r="J952" s="23" t="str">
        <f>IFERROR(__xludf.DUMMYFUNCTION("if(REGEXMATCH(join("", "",$F952:$G952),J$1)=TRUE,""✓"",""✗"")"),"✗")</f>
        <v>✗</v>
      </c>
      <c r="K952" s="23" t="str">
        <f>IFERROR(__xludf.DUMMYFUNCTION("if(REGEXMATCH(join("", "",$F952:$G952),K$1)=TRUE,""✓"",""✗"")"),"✗")</f>
        <v>✗</v>
      </c>
      <c r="L952" s="23" t="str">
        <f>IFERROR(__xludf.DUMMYFUNCTION("if(REGEXMATCH(join("", "",$F952:$G952),L$1)=TRUE,""✓"",""✗"")"),"✗")</f>
        <v>✗</v>
      </c>
      <c r="M952" s="23" t="str">
        <f>IFERROR(__xludf.DUMMYFUNCTION("if(REGEXMATCH(join("", "",$F952:$G952),M$1)=TRUE,""✓"",""✗"")"),"✗")</f>
        <v>✗</v>
      </c>
      <c r="N952" s="23" t="str">
        <f>IFERROR(__xludf.DUMMYFUNCTION("if(REGEXMATCH(join("", "",$F952:$G952),N$1)=TRUE,""✓"",""✗"")"),"✗")</f>
        <v>✗</v>
      </c>
      <c r="O952" s="23" t="str">
        <f>IFERROR(__xludf.DUMMYFUNCTION("if(REGEXMATCH(join("", "",$F952:$G952),O$1)=TRUE,""✓"",""✗"")"),"✗")</f>
        <v>✗</v>
      </c>
      <c r="P952" s="23" t="str">
        <f>IFERROR(__xludf.DUMMYFUNCTION("if(REGEXMATCH(join("", "",$F952:$G952),P$1)=TRUE,""✓"",""✗"")"),"✗")</f>
        <v>✗</v>
      </c>
      <c r="Q952" s="23" t="str">
        <f>IFERROR(__xludf.DUMMYFUNCTION("if(REGEXMATCH(join("", "",$F952:$G952),Q$1)=TRUE,""✓"",""✗"")"),"✗")</f>
        <v>✗</v>
      </c>
      <c r="R952" s="23" t="str">
        <f>IFERROR(__xludf.DUMMYFUNCTION("if(REGEXMATCH(join("", "",$F952:$G952),R$1)=TRUE,""✓"",""✗"")"),"✗")</f>
        <v>✗</v>
      </c>
      <c r="S952" s="23" t="str">
        <f>IFERROR(__xludf.DUMMYFUNCTION("if(REGEXMATCH(join("", "",$F952:$G952),S$1)=TRUE,""✓"",""✗"")"),"✗")</f>
        <v>✗</v>
      </c>
      <c r="T952" s="23" t="str">
        <f>IFERROR(__xludf.DUMMYFUNCTION("if(REGEXMATCH(join("", "",$F952:$G952),T$1)=TRUE,""✓"",""✗"")"),"✗")</f>
        <v>✗</v>
      </c>
      <c r="U952" s="33"/>
      <c r="V952" s="33"/>
      <c r="W952" s="33"/>
      <c r="X952" s="33"/>
      <c r="Y952" s="33"/>
      <c r="Z952" s="33"/>
      <c r="AA952" s="33"/>
      <c r="AB952" s="33"/>
      <c r="AC952" s="33"/>
    </row>
    <row r="953" hidden="1">
      <c r="A953" s="17" t="s">
        <v>302</v>
      </c>
      <c r="B953" s="33"/>
      <c r="C953" s="33"/>
      <c r="D953" s="33"/>
      <c r="E953" s="33"/>
      <c r="F953" s="33"/>
      <c r="G953" s="33"/>
      <c r="H953" s="23" t="str">
        <f>IFERROR(__xludf.DUMMYFUNCTION("if(REGEXMATCH(join("", "",$F953:$G953),H$1)=TRUE,""✓"",""✗"")"),"✗")</f>
        <v>✗</v>
      </c>
      <c r="I953" s="23" t="str">
        <f>IFERROR(__xludf.DUMMYFUNCTION("if(REGEXMATCH(join("", "",$F953:$G953),I$1)=TRUE,""✓"",""✗"")"),"✗")</f>
        <v>✗</v>
      </c>
      <c r="J953" s="23" t="str">
        <f>IFERROR(__xludf.DUMMYFUNCTION("if(REGEXMATCH(join("", "",$F953:$G953),J$1)=TRUE,""✓"",""✗"")"),"✗")</f>
        <v>✗</v>
      </c>
      <c r="K953" s="23" t="str">
        <f>IFERROR(__xludf.DUMMYFUNCTION("if(REGEXMATCH(join("", "",$F953:$G953),K$1)=TRUE,""✓"",""✗"")"),"✗")</f>
        <v>✗</v>
      </c>
      <c r="L953" s="23" t="str">
        <f>IFERROR(__xludf.DUMMYFUNCTION("if(REGEXMATCH(join("", "",$F953:$G953),L$1)=TRUE,""✓"",""✗"")"),"✗")</f>
        <v>✗</v>
      </c>
      <c r="M953" s="23" t="str">
        <f>IFERROR(__xludf.DUMMYFUNCTION("if(REGEXMATCH(join("", "",$F953:$G953),M$1)=TRUE,""✓"",""✗"")"),"✗")</f>
        <v>✗</v>
      </c>
      <c r="N953" s="23" t="str">
        <f>IFERROR(__xludf.DUMMYFUNCTION("if(REGEXMATCH(join("", "",$F953:$G953),N$1)=TRUE,""✓"",""✗"")"),"✗")</f>
        <v>✗</v>
      </c>
      <c r="O953" s="23" t="str">
        <f>IFERROR(__xludf.DUMMYFUNCTION("if(REGEXMATCH(join("", "",$F953:$G953),O$1)=TRUE,""✓"",""✗"")"),"✗")</f>
        <v>✗</v>
      </c>
      <c r="P953" s="23" t="str">
        <f>IFERROR(__xludf.DUMMYFUNCTION("if(REGEXMATCH(join("", "",$F953:$G953),P$1)=TRUE,""✓"",""✗"")"),"✗")</f>
        <v>✗</v>
      </c>
      <c r="Q953" s="23" t="str">
        <f>IFERROR(__xludf.DUMMYFUNCTION("if(REGEXMATCH(join("", "",$F953:$G953),Q$1)=TRUE,""✓"",""✗"")"),"✗")</f>
        <v>✗</v>
      </c>
      <c r="R953" s="23" t="str">
        <f>IFERROR(__xludf.DUMMYFUNCTION("if(REGEXMATCH(join("", "",$F953:$G953),R$1)=TRUE,""✓"",""✗"")"),"✗")</f>
        <v>✗</v>
      </c>
      <c r="S953" s="23" t="str">
        <f>IFERROR(__xludf.DUMMYFUNCTION("if(REGEXMATCH(join("", "",$F953:$G953),S$1)=TRUE,""✓"",""✗"")"),"✗")</f>
        <v>✗</v>
      </c>
      <c r="T953" s="23" t="str">
        <f>IFERROR(__xludf.DUMMYFUNCTION("if(REGEXMATCH(join("", "",$F953:$G953),T$1)=TRUE,""✓"",""✗"")"),"✗")</f>
        <v>✗</v>
      </c>
      <c r="U953" s="33"/>
      <c r="V953" s="33"/>
      <c r="W953" s="33"/>
      <c r="X953" s="33"/>
      <c r="Y953" s="33"/>
      <c r="Z953" s="33"/>
      <c r="AA953" s="33"/>
      <c r="AB953" s="33"/>
      <c r="AC953" s="33"/>
    </row>
    <row r="954" hidden="1">
      <c r="A954" s="17" t="s">
        <v>302</v>
      </c>
      <c r="B954" s="33"/>
      <c r="C954" s="33"/>
      <c r="D954" s="33"/>
      <c r="E954" s="33"/>
      <c r="F954" s="33"/>
      <c r="G954" s="33"/>
      <c r="H954" s="23" t="str">
        <f>IFERROR(__xludf.DUMMYFUNCTION("if(REGEXMATCH(join("", "",$F954:$G954),H$1)=TRUE,""✓"",""✗"")"),"✗")</f>
        <v>✗</v>
      </c>
      <c r="I954" s="23" t="str">
        <f>IFERROR(__xludf.DUMMYFUNCTION("if(REGEXMATCH(join("", "",$F954:$G954),I$1)=TRUE,""✓"",""✗"")"),"✗")</f>
        <v>✗</v>
      </c>
      <c r="J954" s="23" t="str">
        <f>IFERROR(__xludf.DUMMYFUNCTION("if(REGEXMATCH(join("", "",$F954:$G954),J$1)=TRUE,""✓"",""✗"")"),"✗")</f>
        <v>✗</v>
      </c>
      <c r="K954" s="23" t="str">
        <f>IFERROR(__xludf.DUMMYFUNCTION("if(REGEXMATCH(join("", "",$F954:$G954),K$1)=TRUE,""✓"",""✗"")"),"✗")</f>
        <v>✗</v>
      </c>
      <c r="L954" s="23" t="str">
        <f>IFERROR(__xludf.DUMMYFUNCTION("if(REGEXMATCH(join("", "",$F954:$G954),L$1)=TRUE,""✓"",""✗"")"),"✗")</f>
        <v>✗</v>
      </c>
      <c r="M954" s="23" t="str">
        <f>IFERROR(__xludf.DUMMYFUNCTION("if(REGEXMATCH(join("", "",$F954:$G954),M$1)=TRUE,""✓"",""✗"")"),"✗")</f>
        <v>✗</v>
      </c>
      <c r="N954" s="23" t="str">
        <f>IFERROR(__xludf.DUMMYFUNCTION("if(REGEXMATCH(join("", "",$F954:$G954),N$1)=TRUE,""✓"",""✗"")"),"✗")</f>
        <v>✗</v>
      </c>
      <c r="O954" s="23" t="str">
        <f>IFERROR(__xludf.DUMMYFUNCTION("if(REGEXMATCH(join("", "",$F954:$G954),O$1)=TRUE,""✓"",""✗"")"),"✗")</f>
        <v>✗</v>
      </c>
      <c r="P954" s="23" t="str">
        <f>IFERROR(__xludf.DUMMYFUNCTION("if(REGEXMATCH(join("", "",$F954:$G954),P$1)=TRUE,""✓"",""✗"")"),"✗")</f>
        <v>✗</v>
      </c>
      <c r="Q954" s="23" t="str">
        <f>IFERROR(__xludf.DUMMYFUNCTION("if(REGEXMATCH(join("", "",$F954:$G954),Q$1)=TRUE,""✓"",""✗"")"),"✗")</f>
        <v>✗</v>
      </c>
      <c r="R954" s="23" t="str">
        <f>IFERROR(__xludf.DUMMYFUNCTION("if(REGEXMATCH(join("", "",$F954:$G954),R$1)=TRUE,""✓"",""✗"")"),"✗")</f>
        <v>✗</v>
      </c>
      <c r="S954" s="23" t="str">
        <f>IFERROR(__xludf.DUMMYFUNCTION("if(REGEXMATCH(join("", "",$F954:$G954),S$1)=TRUE,""✓"",""✗"")"),"✗")</f>
        <v>✗</v>
      </c>
      <c r="T954" s="23" t="str">
        <f>IFERROR(__xludf.DUMMYFUNCTION("if(REGEXMATCH(join("", "",$F954:$G954),T$1)=TRUE,""✓"",""✗"")"),"✗")</f>
        <v>✗</v>
      </c>
      <c r="U954" s="33"/>
      <c r="V954" s="33"/>
      <c r="W954" s="33"/>
      <c r="X954" s="33"/>
      <c r="Y954" s="33"/>
      <c r="Z954" s="33"/>
      <c r="AA954" s="33"/>
      <c r="AB954" s="33"/>
      <c r="AC954" s="33"/>
    </row>
    <row r="955" hidden="1">
      <c r="A955" s="17" t="s">
        <v>302</v>
      </c>
      <c r="B955" s="33"/>
      <c r="C955" s="33"/>
      <c r="D955" s="33"/>
      <c r="E955" s="33"/>
      <c r="F955" s="33"/>
      <c r="G955" s="33"/>
      <c r="H955" s="23" t="str">
        <f>IFERROR(__xludf.DUMMYFUNCTION("if(REGEXMATCH(join("", "",$F955:$G955),H$1)=TRUE,""✓"",""✗"")"),"✗")</f>
        <v>✗</v>
      </c>
      <c r="I955" s="23" t="str">
        <f>IFERROR(__xludf.DUMMYFUNCTION("if(REGEXMATCH(join("", "",$F955:$G955),I$1)=TRUE,""✓"",""✗"")"),"✗")</f>
        <v>✗</v>
      </c>
      <c r="J955" s="23" t="str">
        <f>IFERROR(__xludf.DUMMYFUNCTION("if(REGEXMATCH(join("", "",$F955:$G955),J$1)=TRUE,""✓"",""✗"")"),"✗")</f>
        <v>✗</v>
      </c>
      <c r="K955" s="23" t="str">
        <f>IFERROR(__xludf.DUMMYFUNCTION("if(REGEXMATCH(join("", "",$F955:$G955),K$1)=TRUE,""✓"",""✗"")"),"✗")</f>
        <v>✗</v>
      </c>
      <c r="L955" s="23" t="str">
        <f>IFERROR(__xludf.DUMMYFUNCTION("if(REGEXMATCH(join("", "",$F955:$G955),L$1)=TRUE,""✓"",""✗"")"),"✗")</f>
        <v>✗</v>
      </c>
      <c r="M955" s="23" t="str">
        <f>IFERROR(__xludf.DUMMYFUNCTION("if(REGEXMATCH(join("", "",$F955:$G955),M$1)=TRUE,""✓"",""✗"")"),"✗")</f>
        <v>✗</v>
      </c>
      <c r="N955" s="23" t="str">
        <f>IFERROR(__xludf.DUMMYFUNCTION("if(REGEXMATCH(join("", "",$F955:$G955),N$1)=TRUE,""✓"",""✗"")"),"✗")</f>
        <v>✗</v>
      </c>
      <c r="O955" s="23" t="str">
        <f>IFERROR(__xludf.DUMMYFUNCTION("if(REGEXMATCH(join("", "",$F955:$G955),O$1)=TRUE,""✓"",""✗"")"),"✗")</f>
        <v>✗</v>
      </c>
      <c r="P955" s="23" t="str">
        <f>IFERROR(__xludf.DUMMYFUNCTION("if(REGEXMATCH(join("", "",$F955:$G955),P$1)=TRUE,""✓"",""✗"")"),"✗")</f>
        <v>✗</v>
      </c>
      <c r="Q955" s="23" t="str">
        <f>IFERROR(__xludf.DUMMYFUNCTION("if(REGEXMATCH(join("", "",$F955:$G955),Q$1)=TRUE,""✓"",""✗"")"),"✗")</f>
        <v>✗</v>
      </c>
      <c r="R955" s="23" t="str">
        <f>IFERROR(__xludf.DUMMYFUNCTION("if(REGEXMATCH(join("", "",$F955:$G955),R$1)=TRUE,""✓"",""✗"")"),"✗")</f>
        <v>✗</v>
      </c>
      <c r="S955" s="23" t="str">
        <f>IFERROR(__xludf.DUMMYFUNCTION("if(REGEXMATCH(join("", "",$F955:$G955),S$1)=TRUE,""✓"",""✗"")"),"✗")</f>
        <v>✗</v>
      </c>
      <c r="T955" s="23" t="str">
        <f>IFERROR(__xludf.DUMMYFUNCTION("if(REGEXMATCH(join("", "",$F955:$G955),T$1)=TRUE,""✓"",""✗"")"),"✗")</f>
        <v>✗</v>
      </c>
      <c r="U955" s="33"/>
      <c r="V955" s="33"/>
      <c r="W955" s="33"/>
      <c r="X955" s="33"/>
      <c r="Y955" s="33"/>
      <c r="Z955" s="33"/>
      <c r="AA955" s="33"/>
      <c r="AB955" s="33"/>
      <c r="AC955" s="33"/>
    </row>
    <row r="956" hidden="1">
      <c r="A956" s="17" t="s">
        <v>302</v>
      </c>
      <c r="B956" s="33"/>
      <c r="C956" s="33"/>
      <c r="D956" s="33"/>
      <c r="E956" s="33"/>
      <c r="F956" s="33"/>
      <c r="G956" s="33"/>
      <c r="H956" s="23" t="str">
        <f>IFERROR(__xludf.DUMMYFUNCTION("if(REGEXMATCH(join("", "",$F956:$G956),H$1)=TRUE,""✓"",""✗"")"),"✗")</f>
        <v>✗</v>
      </c>
      <c r="I956" s="23" t="str">
        <f>IFERROR(__xludf.DUMMYFUNCTION("if(REGEXMATCH(join("", "",$F956:$G956),I$1)=TRUE,""✓"",""✗"")"),"✗")</f>
        <v>✗</v>
      </c>
      <c r="J956" s="23" t="str">
        <f>IFERROR(__xludf.DUMMYFUNCTION("if(REGEXMATCH(join("", "",$F956:$G956),J$1)=TRUE,""✓"",""✗"")"),"✗")</f>
        <v>✗</v>
      </c>
      <c r="K956" s="23" t="str">
        <f>IFERROR(__xludf.DUMMYFUNCTION("if(REGEXMATCH(join("", "",$F956:$G956),K$1)=TRUE,""✓"",""✗"")"),"✗")</f>
        <v>✗</v>
      </c>
      <c r="L956" s="23" t="str">
        <f>IFERROR(__xludf.DUMMYFUNCTION("if(REGEXMATCH(join("", "",$F956:$G956),L$1)=TRUE,""✓"",""✗"")"),"✗")</f>
        <v>✗</v>
      </c>
      <c r="M956" s="23" t="str">
        <f>IFERROR(__xludf.DUMMYFUNCTION("if(REGEXMATCH(join("", "",$F956:$G956),M$1)=TRUE,""✓"",""✗"")"),"✗")</f>
        <v>✗</v>
      </c>
      <c r="N956" s="23" t="str">
        <f>IFERROR(__xludf.DUMMYFUNCTION("if(REGEXMATCH(join("", "",$F956:$G956),N$1)=TRUE,""✓"",""✗"")"),"✗")</f>
        <v>✗</v>
      </c>
      <c r="O956" s="23" t="str">
        <f>IFERROR(__xludf.DUMMYFUNCTION("if(REGEXMATCH(join("", "",$F956:$G956),O$1)=TRUE,""✓"",""✗"")"),"✗")</f>
        <v>✗</v>
      </c>
      <c r="P956" s="23" t="str">
        <f>IFERROR(__xludf.DUMMYFUNCTION("if(REGEXMATCH(join("", "",$F956:$G956),P$1)=TRUE,""✓"",""✗"")"),"✗")</f>
        <v>✗</v>
      </c>
      <c r="Q956" s="23" t="str">
        <f>IFERROR(__xludf.DUMMYFUNCTION("if(REGEXMATCH(join("", "",$F956:$G956),Q$1)=TRUE,""✓"",""✗"")"),"✗")</f>
        <v>✗</v>
      </c>
      <c r="R956" s="23" t="str">
        <f>IFERROR(__xludf.DUMMYFUNCTION("if(REGEXMATCH(join("", "",$F956:$G956),R$1)=TRUE,""✓"",""✗"")"),"✗")</f>
        <v>✗</v>
      </c>
      <c r="S956" s="23" t="str">
        <f>IFERROR(__xludf.DUMMYFUNCTION("if(REGEXMATCH(join("", "",$F956:$G956),S$1)=TRUE,""✓"",""✗"")"),"✗")</f>
        <v>✗</v>
      </c>
      <c r="T956" s="23" t="str">
        <f>IFERROR(__xludf.DUMMYFUNCTION("if(REGEXMATCH(join("", "",$F956:$G956),T$1)=TRUE,""✓"",""✗"")"),"✗")</f>
        <v>✗</v>
      </c>
      <c r="U956" s="33"/>
      <c r="V956" s="33"/>
      <c r="W956" s="33"/>
      <c r="X956" s="33"/>
      <c r="Y956" s="33"/>
      <c r="Z956" s="33"/>
      <c r="AA956" s="33"/>
      <c r="AB956" s="33"/>
      <c r="AC956" s="33"/>
    </row>
    <row r="957" hidden="1">
      <c r="A957" s="17" t="s">
        <v>302</v>
      </c>
      <c r="B957" s="33"/>
      <c r="C957" s="33"/>
      <c r="D957" s="33"/>
      <c r="E957" s="33"/>
      <c r="F957" s="33"/>
      <c r="G957" s="33"/>
      <c r="H957" s="23" t="str">
        <f>IFERROR(__xludf.DUMMYFUNCTION("if(REGEXMATCH(join("", "",$F957:$G957),H$1)=TRUE,""✓"",""✗"")"),"✗")</f>
        <v>✗</v>
      </c>
      <c r="I957" s="23" t="str">
        <f>IFERROR(__xludf.DUMMYFUNCTION("if(REGEXMATCH(join("", "",$F957:$G957),I$1)=TRUE,""✓"",""✗"")"),"✗")</f>
        <v>✗</v>
      </c>
      <c r="J957" s="23" t="str">
        <f>IFERROR(__xludf.DUMMYFUNCTION("if(REGEXMATCH(join("", "",$F957:$G957),J$1)=TRUE,""✓"",""✗"")"),"✗")</f>
        <v>✗</v>
      </c>
      <c r="K957" s="23" t="str">
        <f>IFERROR(__xludf.DUMMYFUNCTION("if(REGEXMATCH(join("", "",$F957:$G957),K$1)=TRUE,""✓"",""✗"")"),"✗")</f>
        <v>✗</v>
      </c>
      <c r="L957" s="23" t="str">
        <f>IFERROR(__xludf.DUMMYFUNCTION("if(REGEXMATCH(join("", "",$F957:$G957),L$1)=TRUE,""✓"",""✗"")"),"✗")</f>
        <v>✗</v>
      </c>
      <c r="M957" s="23" t="str">
        <f>IFERROR(__xludf.DUMMYFUNCTION("if(REGEXMATCH(join("", "",$F957:$G957),M$1)=TRUE,""✓"",""✗"")"),"✗")</f>
        <v>✗</v>
      </c>
      <c r="N957" s="23" t="str">
        <f>IFERROR(__xludf.DUMMYFUNCTION("if(REGEXMATCH(join("", "",$F957:$G957),N$1)=TRUE,""✓"",""✗"")"),"✗")</f>
        <v>✗</v>
      </c>
      <c r="O957" s="23" t="str">
        <f>IFERROR(__xludf.DUMMYFUNCTION("if(REGEXMATCH(join("", "",$F957:$G957),O$1)=TRUE,""✓"",""✗"")"),"✗")</f>
        <v>✗</v>
      </c>
      <c r="P957" s="23" t="str">
        <f>IFERROR(__xludf.DUMMYFUNCTION("if(REGEXMATCH(join("", "",$F957:$G957),P$1)=TRUE,""✓"",""✗"")"),"✗")</f>
        <v>✗</v>
      </c>
      <c r="Q957" s="23" t="str">
        <f>IFERROR(__xludf.DUMMYFUNCTION("if(REGEXMATCH(join("", "",$F957:$G957),Q$1)=TRUE,""✓"",""✗"")"),"✗")</f>
        <v>✗</v>
      </c>
      <c r="R957" s="23" t="str">
        <f>IFERROR(__xludf.DUMMYFUNCTION("if(REGEXMATCH(join("", "",$F957:$G957),R$1)=TRUE,""✓"",""✗"")"),"✗")</f>
        <v>✗</v>
      </c>
      <c r="S957" s="23" t="str">
        <f>IFERROR(__xludf.DUMMYFUNCTION("if(REGEXMATCH(join("", "",$F957:$G957),S$1)=TRUE,""✓"",""✗"")"),"✗")</f>
        <v>✗</v>
      </c>
      <c r="T957" s="23" t="str">
        <f>IFERROR(__xludf.DUMMYFUNCTION("if(REGEXMATCH(join("", "",$F957:$G957),T$1)=TRUE,""✓"",""✗"")"),"✗")</f>
        <v>✗</v>
      </c>
      <c r="U957" s="33"/>
      <c r="V957" s="33"/>
      <c r="W957" s="33"/>
      <c r="X957" s="33"/>
      <c r="Y957" s="33"/>
      <c r="Z957" s="33"/>
      <c r="AA957" s="33"/>
      <c r="AB957" s="33"/>
      <c r="AC957" s="33"/>
    </row>
    <row r="958" hidden="1">
      <c r="A958" s="17" t="s">
        <v>302</v>
      </c>
      <c r="B958" s="33"/>
      <c r="C958" s="33"/>
      <c r="D958" s="33"/>
      <c r="E958" s="33"/>
      <c r="F958" s="33"/>
      <c r="G958" s="33"/>
      <c r="H958" s="23" t="str">
        <f>IFERROR(__xludf.DUMMYFUNCTION("if(REGEXMATCH(join("", "",$F958:$G958),H$1)=TRUE,""✓"",""✗"")"),"✗")</f>
        <v>✗</v>
      </c>
      <c r="I958" s="23" t="str">
        <f>IFERROR(__xludf.DUMMYFUNCTION("if(REGEXMATCH(join("", "",$F958:$G958),I$1)=TRUE,""✓"",""✗"")"),"✗")</f>
        <v>✗</v>
      </c>
      <c r="J958" s="23" t="str">
        <f>IFERROR(__xludf.DUMMYFUNCTION("if(REGEXMATCH(join("", "",$F958:$G958),J$1)=TRUE,""✓"",""✗"")"),"✗")</f>
        <v>✗</v>
      </c>
      <c r="K958" s="23" t="str">
        <f>IFERROR(__xludf.DUMMYFUNCTION("if(REGEXMATCH(join("", "",$F958:$G958),K$1)=TRUE,""✓"",""✗"")"),"✗")</f>
        <v>✗</v>
      </c>
      <c r="L958" s="23" t="str">
        <f>IFERROR(__xludf.DUMMYFUNCTION("if(REGEXMATCH(join("", "",$F958:$G958),L$1)=TRUE,""✓"",""✗"")"),"✗")</f>
        <v>✗</v>
      </c>
      <c r="M958" s="23" t="str">
        <f>IFERROR(__xludf.DUMMYFUNCTION("if(REGEXMATCH(join("", "",$F958:$G958),M$1)=TRUE,""✓"",""✗"")"),"✗")</f>
        <v>✗</v>
      </c>
      <c r="N958" s="23" t="str">
        <f>IFERROR(__xludf.DUMMYFUNCTION("if(REGEXMATCH(join("", "",$F958:$G958),N$1)=TRUE,""✓"",""✗"")"),"✗")</f>
        <v>✗</v>
      </c>
      <c r="O958" s="23" t="str">
        <f>IFERROR(__xludf.DUMMYFUNCTION("if(REGEXMATCH(join("", "",$F958:$G958),O$1)=TRUE,""✓"",""✗"")"),"✗")</f>
        <v>✗</v>
      </c>
      <c r="P958" s="23" t="str">
        <f>IFERROR(__xludf.DUMMYFUNCTION("if(REGEXMATCH(join("", "",$F958:$G958),P$1)=TRUE,""✓"",""✗"")"),"✗")</f>
        <v>✗</v>
      </c>
      <c r="Q958" s="23" t="str">
        <f>IFERROR(__xludf.DUMMYFUNCTION("if(REGEXMATCH(join("", "",$F958:$G958),Q$1)=TRUE,""✓"",""✗"")"),"✗")</f>
        <v>✗</v>
      </c>
      <c r="R958" s="23" t="str">
        <f>IFERROR(__xludf.DUMMYFUNCTION("if(REGEXMATCH(join("", "",$F958:$G958),R$1)=TRUE,""✓"",""✗"")"),"✗")</f>
        <v>✗</v>
      </c>
      <c r="S958" s="23" t="str">
        <f>IFERROR(__xludf.DUMMYFUNCTION("if(REGEXMATCH(join("", "",$F958:$G958),S$1)=TRUE,""✓"",""✗"")"),"✗")</f>
        <v>✗</v>
      </c>
      <c r="T958" s="23" t="str">
        <f>IFERROR(__xludf.DUMMYFUNCTION("if(REGEXMATCH(join("", "",$F958:$G958),T$1)=TRUE,""✓"",""✗"")"),"✗")</f>
        <v>✗</v>
      </c>
      <c r="U958" s="33"/>
      <c r="V958" s="33"/>
      <c r="W958" s="33"/>
      <c r="X958" s="33"/>
      <c r="Y958" s="33"/>
      <c r="Z958" s="33"/>
      <c r="AA958" s="33"/>
      <c r="AB958" s="33"/>
      <c r="AC958" s="33"/>
    </row>
    <row r="959" hidden="1">
      <c r="A959" s="17" t="s">
        <v>302</v>
      </c>
      <c r="B959" s="33"/>
      <c r="C959" s="33"/>
      <c r="D959" s="33"/>
      <c r="E959" s="33"/>
      <c r="F959" s="33"/>
      <c r="G959" s="33"/>
      <c r="H959" s="23" t="str">
        <f>IFERROR(__xludf.DUMMYFUNCTION("if(REGEXMATCH(join("", "",$F959:$G959),H$1)=TRUE,""✓"",""✗"")"),"✗")</f>
        <v>✗</v>
      </c>
      <c r="I959" s="23" t="str">
        <f>IFERROR(__xludf.DUMMYFUNCTION("if(REGEXMATCH(join("", "",$F959:$G959),I$1)=TRUE,""✓"",""✗"")"),"✗")</f>
        <v>✗</v>
      </c>
      <c r="J959" s="23" t="str">
        <f>IFERROR(__xludf.DUMMYFUNCTION("if(REGEXMATCH(join("", "",$F959:$G959),J$1)=TRUE,""✓"",""✗"")"),"✗")</f>
        <v>✗</v>
      </c>
      <c r="K959" s="23" t="str">
        <f>IFERROR(__xludf.DUMMYFUNCTION("if(REGEXMATCH(join("", "",$F959:$G959),K$1)=TRUE,""✓"",""✗"")"),"✗")</f>
        <v>✗</v>
      </c>
      <c r="L959" s="23" t="str">
        <f>IFERROR(__xludf.DUMMYFUNCTION("if(REGEXMATCH(join("", "",$F959:$G959),L$1)=TRUE,""✓"",""✗"")"),"✗")</f>
        <v>✗</v>
      </c>
      <c r="M959" s="23" t="str">
        <f>IFERROR(__xludf.DUMMYFUNCTION("if(REGEXMATCH(join("", "",$F959:$G959),M$1)=TRUE,""✓"",""✗"")"),"✗")</f>
        <v>✗</v>
      </c>
      <c r="N959" s="23" t="str">
        <f>IFERROR(__xludf.DUMMYFUNCTION("if(REGEXMATCH(join("", "",$F959:$G959),N$1)=TRUE,""✓"",""✗"")"),"✗")</f>
        <v>✗</v>
      </c>
      <c r="O959" s="23" t="str">
        <f>IFERROR(__xludf.DUMMYFUNCTION("if(REGEXMATCH(join("", "",$F959:$G959),O$1)=TRUE,""✓"",""✗"")"),"✗")</f>
        <v>✗</v>
      </c>
      <c r="P959" s="23" t="str">
        <f>IFERROR(__xludf.DUMMYFUNCTION("if(REGEXMATCH(join("", "",$F959:$G959),P$1)=TRUE,""✓"",""✗"")"),"✗")</f>
        <v>✗</v>
      </c>
      <c r="Q959" s="23" t="str">
        <f>IFERROR(__xludf.DUMMYFUNCTION("if(REGEXMATCH(join("", "",$F959:$G959),Q$1)=TRUE,""✓"",""✗"")"),"✗")</f>
        <v>✗</v>
      </c>
      <c r="R959" s="23" t="str">
        <f>IFERROR(__xludf.DUMMYFUNCTION("if(REGEXMATCH(join("", "",$F959:$G959),R$1)=TRUE,""✓"",""✗"")"),"✗")</f>
        <v>✗</v>
      </c>
      <c r="S959" s="23" t="str">
        <f>IFERROR(__xludf.DUMMYFUNCTION("if(REGEXMATCH(join("", "",$F959:$G959),S$1)=TRUE,""✓"",""✗"")"),"✗")</f>
        <v>✗</v>
      </c>
      <c r="T959" s="23" t="str">
        <f>IFERROR(__xludf.DUMMYFUNCTION("if(REGEXMATCH(join("", "",$F959:$G959),T$1)=TRUE,""✓"",""✗"")"),"✗")</f>
        <v>✗</v>
      </c>
      <c r="U959" s="33"/>
      <c r="V959" s="33"/>
      <c r="W959" s="33"/>
      <c r="X959" s="33"/>
      <c r="Y959" s="33"/>
      <c r="Z959" s="33"/>
      <c r="AA959" s="33"/>
      <c r="AB959" s="33"/>
      <c r="AC959" s="33"/>
    </row>
    <row r="960" hidden="1">
      <c r="A960" s="17" t="s">
        <v>302</v>
      </c>
      <c r="B960" s="33"/>
      <c r="C960" s="33"/>
      <c r="D960" s="33"/>
      <c r="E960" s="33"/>
      <c r="F960" s="33"/>
      <c r="G960" s="33"/>
      <c r="H960" s="23" t="str">
        <f>IFERROR(__xludf.DUMMYFUNCTION("if(REGEXMATCH(join("", "",$F960:$G960),H$1)=TRUE,""✓"",""✗"")"),"✗")</f>
        <v>✗</v>
      </c>
      <c r="I960" s="23" t="str">
        <f>IFERROR(__xludf.DUMMYFUNCTION("if(REGEXMATCH(join("", "",$F960:$G960),I$1)=TRUE,""✓"",""✗"")"),"✗")</f>
        <v>✗</v>
      </c>
      <c r="J960" s="23" t="str">
        <f>IFERROR(__xludf.DUMMYFUNCTION("if(REGEXMATCH(join("", "",$F960:$G960),J$1)=TRUE,""✓"",""✗"")"),"✗")</f>
        <v>✗</v>
      </c>
      <c r="K960" s="23" t="str">
        <f>IFERROR(__xludf.DUMMYFUNCTION("if(REGEXMATCH(join("", "",$F960:$G960),K$1)=TRUE,""✓"",""✗"")"),"✗")</f>
        <v>✗</v>
      </c>
      <c r="L960" s="23" t="str">
        <f>IFERROR(__xludf.DUMMYFUNCTION("if(REGEXMATCH(join("", "",$F960:$G960),L$1)=TRUE,""✓"",""✗"")"),"✗")</f>
        <v>✗</v>
      </c>
      <c r="M960" s="23" t="str">
        <f>IFERROR(__xludf.DUMMYFUNCTION("if(REGEXMATCH(join("", "",$F960:$G960),M$1)=TRUE,""✓"",""✗"")"),"✗")</f>
        <v>✗</v>
      </c>
      <c r="N960" s="23" t="str">
        <f>IFERROR(__xludf.DUMMYFUNCTION("if(REGEXMATCH(join("", "",$F960:$G960),N$1)=TRUE,""✓"",""✗"")"),"✗")</f>
        <v>✗</v>
      </c>
      <c r="O960" s="23" t="str">
        <f>IFERROR(__xludf.DUMMYFUNCTION("if(REGEXMATCH(join("", "",$F960:$G960),O$1)=TRUE,""✓"",""✗"")"),"✗")</f>
        <v>✗</v>
      </c>
      <c r="P960" s="23" t="str">
        <f>IFERROR(__xludf.DUMMYFUNCTION("if(REGEXMATCH(join("", "",$F960:$G960),P$1)=TRUE,""✓"",""✗"")"),"✗")</f>
        <v>✗</v>
      </c>
      <c r="Q960" s="23" t="str">
        <f>IFERROR(__xludf.DUMMYFUNCTION("if(REGEXMATCH(join("", "",$F960:$G960),Q$1)=TRUE,""✓"",""✗"")"),"✗")</f>
        <v>✗</v>
      </c>
      <c r="R960" s="23" t="str">
        <f>IFERROR(__xludf.DUMMYFUNCTION("if(REGEXMATCH(join("", "",$F960:$G960),R$1)=TRUE,""✓"",""✗"")"),"✗")</f>
        <v>✗</v>
      </c>
      <c r="S960" s="23" t="str">
        <f>IFERROR(__xludf.DUMMYFUNCTION("if(REGEXMATCH(join("", "",$F960:$G960),S$1)=TRUE,""✓"",""✗"")"),"✗")</f>
        <v>✗</v>
      </c>
      <c r="T960" s="23" t="str">
        <f>IFERROR(__xludf.DUMMYFUNCTION("if(REGEXMATCH(join("", "",$F960:$G960),T$1)=TRUE,""✓"",""✗"")"),"✗")</f>
        <v>✗</v>
      </c>
      <c r="U960" s="33"/>
      <c r="V960" s="33"/>
      <c r="W960" s="33"/>
      <c r="X960" s="33"/>
      <c r="Y960" s="33"/>
      <c r="Z960" s="33"/>
      <c r="AA960" s="33"/>
      <c r="AB960" s="33"/>
      <c r="AC960" s="33"/>
    </row>
    <row r="961" hidden="1">
      <c r="A961" s="17" t="s">
        <v>302</v>
      </c>
      <c r="B961" s="33"/>
      <c r="C961" s="33"/>
      <c r="D961" s="33"/>
      <c r="E961" s="33"/>
      <c r="F961" s="33"/>
      <c r="G961" s="33"/>
      <c r="H961" s="23" t="str">
        <f>IFERROR(__xludf.DUMMYFUNCTION("if(REGEXMATCH(join("", "",$F961:$G961),H$1)=TRUE,""✓"",""✗"")"),"✗")</f>
        <v>✗</v>
      </c>
      <c r="I961" s="23" t="str">
        <f>IFERROR(__xludf.DUMMYFUNCTION("if(REGEXMATCH(join("", "",$F961:$G961),I$1)=TRUE,""✓"",""✗"")"),"✗")</f>
        <v>✗</v>
      </c>
      <c r="J961" s="23" t="str">
        <f>IFERROR(__xludf.DUMMYFUNCTION("if(REGEXMATCH(join("", "",$F961:$G961),J$1)=TRUE,""✓"",""✗"")"),"✗")</f>
        <v>✗</v>
      </c>
      <c r="K961" s="23" t="str">
        <f>IFERROR(__xludf.DUMMYFUNCTION("if(REGEXMATCH(join("", "",$F961:$G961),K$1)=TRUE,""✓"",""✗"")"),"✗")</f>
        <v>✗</v>
      </c>
      <c r="L961" s="23" t="str">
        <f>IFERROR(__xludf.DUMMYFUNCTION("if(REGEXMATCH(join("", "",$F961:$G961),L$1)=TRUE,""✓"",""✗"")"),"✗")</f>
        <v>✗</v>
      </c>
      <c r="M961" s="23" t="str">
        <f>IFERROR(__xludf.DUMMYFUNCTION("if(REGEXMATCH(join("", "",$F961:$G961),M$1)=TRUE,""✓"",""✗"")"),"✗")</f>
        <v>✗</v>
      </c>
      <c r="N961" s="23" t="str">
        <f>IFERROR(__xludf.DUMMYFUNCTION("if(REGEXMATCH(join("", "",$F961:$G961),N$1)=TRUE,""✓"",""✗"")"),"✗")</f>
        <v>✗</v>
      </c>
      <c r="O961" s="23" t="str">
        <f>IFERROR(__xludf.DUMMYFUNCTION("if(REGEXMATCH(join("", "",$F961:$G961),O$1)=TRUE,""✓"",""✗"")"),"✗")</f>
        <v>✗</v>
      </c>
      <c r="P961" s="23" t="str">
        <f>IFERROR(__xludf.DUMMYFUNCTION("if(REGEXMATCH(join("", "",$F961:$G961),P$1)=TRUE,""✓"",""✗"")"),"✗")</f>
        <v>✗</v>
      </c>
      <c r="Q961" s="23" t="str">
        <f>IFERROR(__xludf.DUMMYFUNCTION("if(REGEXMATCH(join("", "",$F961:$G961),Q$1)=TRUE,""✓"",""✗"")"),"✗")</f>
        <v>✗</v>
      </c>
      <c r="R961" s="23" t="str">
        <f>IFERROR(__xludf.DUMMYFUNCTION("if(REGEXMATCH(join("", "",$F961:$G961),R$1)=TRUE,""✓"",""✗"")"),"✗")</f>
        <v>✗</v>
      </c>
      <c r="S961" s="23" t="str">
        <f>IFERROR(__xludf.DUMMYFUNCTION("if(REGEXMATCH(join("", "",$F961:$G961),S$1)=TRUE,""✓"",""✗"")"),"✗")</f>
        <v>✗</v>
      </c>
      <c r="T961" s="23" t="str">
        <f>IFERROR(__xludf.DUMMYFUNCTION("if(REGEXMATCH(join("", "",$F961:$G961),T$1)=TRUE,""✓"",""✗"")"),"✗")</f>
        <v>✗</v>
      </c>
      <c r="U961" s="33"/>
      <c r="V961" s="33"/>
      <c r="W961" s="33"/>
      <c r="X961" s="33"/>
      <c r="Y961" s="33"/>
      <c r="Z961" s="33"/>
      <c r="AA961" s="33"/>
      <c r="AB961" s="33"/>
      <c r="AC961" s="33"/>
    </row>
    <row r="962" hidden="1">
      <c r="A962" s="17" t="s">
        <v>302</v>
      </c>
      <c r="B962" s="33"/>
      <c r="C962" s="33"/>
      <c r="D962" s="33"/>
      <c r="E962" s="33"/>
      <c r="F962" s="33"/>
      <c r="G962" s="33"/>
      <c r="H962" s="23" t="str">
        <f>IFERROR(__xludf.DUMMYFUNCTION("if(REGEXMATCH(join("", "",$F962:$G962),H$1)=TRUE,""✓"",""✗"")"),"✗")</f>
        <v>✗</v>
      </c>
      <c r="I962" s="23" t="str">
        <f>IFERROR(__xludf.DUMMYFUNCTION("if(REGEXMATCH(join("", "",$F962:$G962),I$1)=TRUE,""✓"",""✗"")"),"✗")</f>
        <v>✗</v>
      </c>
      <c r="J962" s="23" t="str">
        <f>IFERROR(__xludf.DUMMYFUNCTION("if(REGEXMATCH(join("", "",$F962:$G962),J$1)=TRUE,""✓"",""✗"")"),"✗")</f>
        <v>✗</v>
      </c>
      <c r="K962" s="23" t="str">
        <f>IFERROR(__xludf.DUMMYFUNCTION("if(REGEXMATCH(join("", "",$F962:$G962),K$1)=TRUE,""✓"",""✗"")"),"✗")</f>
        <v>✗</v>
      </c>
      <c r="L962" s="23" t="str">
        <f>IFERROR(__xludf.DUMMYFUNCTION("if(REGEXMATCH(join("", "",$F962:$G962),L$1)=TRUE,""✓"",""✗"")"),"✗")</f>
        <v>✗</v>
      </c>
      <c r="M962" s="23" t="str">
        <f>IFERROR(__xludf.DUMMYFUNCTION("if(REGEXMATCH(join("", "",$F962:$G962),M$1)=TRUE,""✓"",""✗"")"),"✗")</f>
        <v>✗</v>
      </c>
      <c r="N962" s="23" t="str">
        <f>IFERROR(__xludf.DUMMYFUNCTION("if(REGEXMATCH(join("", "",$F962:$G962),N$1)=TRUE,""✓"",""✗"")"),"✗")</f>
        <v>✗</v>
      </c>
      <c r="O962" s="23" t="str">
        <f>IFERROR(__xludf.DUMMYFUNCTION("if(REGEXMATCH(join("", "",$F962:$G962),O$1)=TRUE,""✓"",""✗"")"),"✗")</f>
        <v>✗</v>
      </c>
      <c r="P962" s="23" t="str">
        <f>IFERROR(__xludf.DUMMYFUNCTION("if(REGEXMATCH(join("", "",$F962:$G962),P$1)=TRUE,""✓"",""✗"")"),"✗")</f>
        <v>✗</v>
      </c>
      <c r="Q962" s="23" t="str">
        <f>IFERROR(__xludf.DUMMYFUNCTION("if(REGEXMATCH(join("", "",$F962:$G962),Q$1)=TRUE,""✓"",""✗"")"),"✗")</f>
        <v>✗</v>
      </c>
      <c r="R962" s="23" t="str">
        <f>IFERROR(__xludf.DUMMYFUNCTION("if(REGEXMATCH(join("", "",$F962:$G962),R$1)=TRUE,""✓"",""✗"")"),"✗")</f>
        <v>✗</v>
      </c>
      <c r="S962" s="23" t="str">
        <f>IFERROR(__xludf.DUMMYFUNCTION("if(REGEXMATCH(join("", "",$F962:$G962),S$1)=TRUE,""✓"",""✗"")"),"✗")</f>
        <v>✗</v>
      </c>
      <c r="T962" s="23" t="str">
        <f>IFERROR(__xludf.DUMMYFUNCTION("if(REGEXMATCH(join("", "",$F962:$G962),T$1)=TRUE,""✓"",""✗"")"),"✗")</f>
        <v>✗</v>
      </c>
      <c r="U962" s="33"/>
      <c r="V962" s="33"/>
      <c r="W962" s="33"/>
      <c r="X962" s="33"/>
      <c r="Y962" s="33"/>
      <c r="Z962" s="33"/>
      <c r="AA962" s="33"/>
      <c r="AB962" s="33"/>
      <c r="AC962" s="33"/>
    </row>
    <row r="963" hidden="1">
      <c r="A963" s="17" t="s">
        <v>302</v>
      </c>
      <c r="B963" s="33"/>
      <c r="C963" s="33"/>
      <c r="D963" s="33"/>
      <c r="E963" s="33"/>
      <c r="F963" s="33"/>
      <c r="G963" s="33"/>
      <c r="H963" s="23" t="str">
        <f>IFERROR(__xludf.DUMMYFUNCTION("if(REGEXMATCH(join("", "",$F963:$G963),H$1)=TRUE,""✓"",""✗"")"),"✗")</f>
        <v>✗</v>
      </c>
      <c r="I963" s="23" t="str">
        <f>IFERROR(__xludf.DUMMYFUNCTION("if(REGEXMATCH(join("", "",$F963:$G963),I$1)=TRUE,""✓"",""✗"")"),"✗")</f>
        <v>✗</v>
      </c>
      <c r="J963" s="23" t="str">
        <f>IFERROR(__xludf.DUMMYFUNCTION("if(REGEXMATCH(join("", "",$F963:$G963),J$1)=TRUE,""✓"",""✗"")"),"✗")</f>
        <v>✗</v>
      </c>
      <c r="K963" s="23" t="str">
        <f>IFERROR(__xludf.DUMMYFUNCTION("if(REGEXMATCH(join("", "",$F963:$G963),K$1)=TRUE,""✓"",""✗"")"),"✗")</f>
        <v>✗</v>
      </c>
      <c r="L963" s="23" t="str">
        <f>IFERROR(__xludf.DUMMYFUNCTION("if(REGEXMATCH(join("", "",$F963:$G963),L$1)=TRUE,""✓"",""✗"")"),"✗")</f>
        <v>✗</v>
      </c>
      <c r="M963" s="23" t="str">
        <f>IFERROR(__xludf.DUMMYFUNCTION("if(REGEXMATCH(join("", "",$F963:$G963),M$1)=TRUE,""✓"",""✗"")"),"✗")</f>
        <v>✗</v>
      </c>
      <c r="N963" s="23" t="str">
        <f>IFERROR(__xludf.DUMMYFUNCTION("if(REGEXMATCH(join("", "",$F963:$G963),N$1)=TRUE,""✓"",""✗"")"),"✗")</f>
        <v>✗</v>
      </c>
      <c r="O963" s="23" t="str">
        <f>IFERROR(__xludf.DUMMYFUNCTION("if(REGEXMATCH(join("", "",$F963:$G963),O$1)=TRUE,""✓"",""✗"")"),"✗")</f>
        <v>✗</v>
      </c>
      <c r="P963" s="23" t="str">
        <f>IFERROR(__xludf.DUMMYFUNCTION("if(REGEXMATCH(join("", "",$F963:$G963),P$1)=TRUE,""✓"",""✗"")"),"✗")</f>
        <v>✗</v>
      </c>
      <c r="Q963" s="23" t="str">
        <f>IFERROR(__xludf.DUMMYFUNCTION("if(REGEXMATCH(join("", "",$F963:$G963),Q$1)=TRUE,""✓"",""✗"")"),"✗")</f>
        <v>✗</v>
      </c>
      <c r="R963" s="23" t="str">
        <f>IFERROR(__xludf.DUMMYFUNCTION("if(REGEXMATCH(join("", "",$F963:$G963),R$1)=TRUE,""✓"",""✗"")"),"✗")</f>
        <v>✗</v>
      </c>
      <c r="S963" s="23" t="str">
        <f>IFERROR(__xludf.DUMMYFUNCTION("if(REGEXMATCH(join("", "",$F963:$G963),S$1)=TRUE,""✓"",""✗"")"),"✗")</f>
        <v>✗</v>
      </c>
      <c r="T963" s="23" t="str">
        <f>IFERROR(__xludf.DUMMYFUNCTION("if(REGEXMATCH(join("", "",$F963:$G963),T$1)=TRUE,""✓"",""✗"")"),"✗")</f>
        <v>✗</v>
      </c>
      <c r="U963" s="33"/>
      <c r="V963" s="33"/>
      <c r="W963" s="33"/>
      <c r="X963" s="33"/>
      <c r="Y963" s="33"/>
      <c r="Z963" s="33"/>
      <c r="AA963" s="33"/>
      <c r="AB963" s="33"/>
      <c r="AC963" s="33"/>
    </row>
    <row r="964" hidden="1">
      <c r="A964" s="17" t="s">
        <v>302</v>
      </c>
      <c r="B964" s="33"/>
      <c r="C964" s="33"/>
      <c r="D964" s="33"/>
      <c r="E964" s="33"/>
      <c r="F964" s="33"/>
      <c r="G964" s="33"/>
      <c r="H964" s="23" t="str">
        <f>IFERROR(__xludf.DUMMYFUNCTION("if(REGEXMATCH(join("", "",$F964:$G964),H$1)=TRUE,""✓"",""✗"")"),"✗")</f>
        <v>✗</v>
      </c>
      <c r="I964" s="23" t="str">
        <f>IFERROR(__xludf.DUMMYFUNCTION("if(REGEXMATCH(join("", "",$F964:$G964),I$1)=TRUE,""✓"",""✗"")"),"✗")</f>
        <v>✗</v>
      </c>
      <c r="J964" s="23" t="str">
        <f>IFERROR(__xludf.DUMMYFUNCTION("if(REGEXMATCH(join("", "",$F964:$G964),J$1)=TRUE,""✓"",""✗"")"),"✗")</f>
        <v>✗</v>
      </c>
      <c r="K964" s="23" t="str">
        <f>IFERROR(__xludf.DUMMYFUNCTION("if(REGEXMATCH(join("", "",$F964:$G964),K$1)=TRUE,""✓"",""✗"")"),"✗")</f>
        <v>✗</v>
      </c>
      <c r="L964" s="23" t="str">
        <f>IFERROR(__xludf.DUMMYFUNCTION("if(REGEXMATCH(join("", "",$F964:$G964),L$1)=TRUE,""✓"",""✗"")"),"✗")</f>
        <v>✗</v>
      </c>
      <c r="M964" s="23" t="str">
        <f>IFERROR(__xludf.DUMMYFUNCTION("if(REGEXMATCH(join("", "",$F964:$G964),M$1)=TRUE,""✓"",""✗"")"),"✗")</f>
        <v>✗</v>
      </c>
      <c r="N964" s="23" t="str">
        <f>IFERROR(__xludf.DUMMYFUNCTION("if(REGEXMATCH(join("", "",$F964:$G964),N$1)=TRUE,""✓"",""✗"")"),"✗")</f>
        <v>✗</v>
      </c>
      <c r="O964" s="23" t="str">
        <f>IFERROR(__xludf.DUMMYFUNCTION("if(REGEXMATCH(join("", "",$F964:$G964),O$1)=TRUE,""✓"",""✗"")"),"✗")</f>
        <v>✗</v>
      </c>
      <c r="P964" s="23" t="str">
        <f>IFERROR(__xludf.DUMMYFUNCTION("if(REGEXMATCH(join("", "",$F964:$G964),P$1)=TRUE,""✓"",""✗"")"),"✗")</f>
        <v>✗</v>
      </c>
      <c r="Q964" s="23" t="str">
        <f>IFERROR(__xludf.DUMMYFUNCTION("if(REGEXMATCH(join("", "",$F964:$G964),Q$1)=TRUE,""✓"",""✗"")"),"✗")</f>
        <v>✗</v>
      </c>
      <c r="R964" s="23" t="str">
        <f>IFERROR(__xludf.DUMMYFUNCTION("if(REGEXMATCH(join("", "",$F964:$G964),R$1)=TRUE,""✓"",""✗"")"),"✗")</f>
        <v>✗</v>
      </c>
      <c r="S964" s="23" t="str">
        <f>IFERROR(__xludf.DUMMYFUNCTION("if(REGEXMATCH(join("", "",$F964:$G964),S$1)=TRUE,""✓"",""✗"")"),"✗")</f>
        <v>✗</v>
      </c>
      <c r="T964" s="23" t="str">
        <f>IFERROR(__xludf.DUMMYFUNCTION("if(REGEXMATCH(join("", "",$F964:$G964),T$1)=TRUE,""✓"",""✗"")"),"✗")</f>
        <v>✗</v>
      </c>
      <c r="U964" s="33"/>
      <c r="V964" s="33"/>
      <c r="W964" s="33"/>
      <c r="X964" s="33"/>
      <c r="Y964" s="33"/>
      <c r="Z964" s="33"/>
      <c r="AA964" s="33"/>
      <c r="AB964" s="33"/>
      <c r="AC964" s="33"/>
    </row>
    <row r="965" hidden="1">
      <c r="A965" s="17" t="s">
        <v>302</v>
      </c>
      <c r="B965" s="33"/>
      <c r="C965" s="33"/>
      <c r="D965" s="33"/>
      <c r="E965" s="33"/>
      <c r="F965" s="33"/>
      <c r="G965" s="33"/>
      <c r="H965" s="23" t="str">
        <f>IFERROR(__xludf.DUMMYFUNCTION("if(REGEXMATCH(join("", "",$F965:$G965),H$1)=TRUE,""✓"",""✗"")"),"✗")</f>
        <v>✗</v>
      </c>
      <c r="I965" s="23" t="str">
        <f>IFERROR(__xludf.DUMMYFUNCTION("if(REGEXMATCH(join("", "",$F965:$G965),I$1)=TRUE,""✓"",""✗"")"),"✗")</f>
        <v>✗</v>
      </c>
      <c r="J965" s="23" t="str">
        <f>IFERROR(__xludf.DUMMYFUNCTION("if(REGEXMATCH(join("", "",$F965:$G965),J$1)=TRUE,""✓"",""✗"")"),"✗")</f>
        <v>✗</v>
      </c>
      <c r="K965" s="23" t="str">
        <f>IFERROR(__xludf.DUMMYFUNCTION("if(REGEXMATCH(join("", "",$F965:$G965),K$1)=TRUE,""✓"",""✗"")"),"✗")</f>
        <v>✗</v>
      </c>
      <c r="L965" s="23" t="str">
        <f>IFERROR(__xludf.DUMMYFUNCTION("if(REGEXMATCH(join("", "",$F965:$G965),L$1)=TRUE,""✓"",""✗"")"),"✗")</f>
        <v>✗</v>
      </c>
      <c r="M965" s="23" t="str">
        <f>IFERROR(__xludf.DUMMYFUNCTION("if(REGEXMATCH(join("", "",$F965:$G965),M$1)=TRUE,""✓"",""✗"")"),"✗")</f>
        <v>✗</v>
      </c>
      <c r="N965" s="23" t="str">
        <f>IFERROR(__xludf.DUMMYFUNCTION("if(REGEXMATCH(join("", "",$F965:$G965),N$1)=TRUE,""✓"",""✗"")"),"✗")</f>
        <v>✗</v>
      </c>
      <c r="O965" s="23" t="str">
        <f>IFERROR(__xludf.DUMMYFUNCTION("if(REGEXMATCH(join("", "",$F965:$G965),O$1)=TRUE,""✓"",""✗"")"),"✗")</f>
        <v>✗</v>
      </c>
      <c r="P965" s="23" t="str">
        <f>IFERROR(__xludf.DUMMYFUNCTION("if(REGEXMATCH(join("", "",$F965:$G965),P$1)=TRUE,""✓"",""✗"")"),"✗")</f>
        <v>✗</v>
      </c>
      <c r="Q965" s="23" t="str">
        <f>IFERROR(__xludf.DUMMYFUNCTION("if(REGEXMATCH(join("", "",$F965:$G965),Q$1)=TRUE,""✓"",""✗"")"),"✗")</f>
        <v>✗</v>
      </c>
      <c r="R965" s="23" t="str">
        <f>IFERROR(__xludf.DUMMYFUNCTION("if(REGEXMATCH(join("", "",$F965:$G965),R$1)=TRUE,""✓"",""✗"")"),"✗")</f>
        <v>✗</v>
      </c>
      <c r="S965" s="23" t="str">
        <f>IFERROR(__xludf.DUMMYFUNCTION("if(REGEXMATCH(join("", "",$F965:$G965),S$1)=TRUE,""✓"",""✗"")"),"✗")</f>
        <v>✗</v>
      </c>
      <c r="T965" s="23" t="str">
        <f>IFERROR(__xludf.DUMMYFUNCTION("if(REGEXMATCH(join("", "",$F965:$G965),T$1)=TRUE,""✓"",""✗"")"),"✗")</f>
        <v>✗</v>
      </c>
      <c r="U965" s="33"/>
      <c r="V965" s="33"/>
      <c r="W965" s="33"/>
      <c r="X965" s="33"/>
      <c r="Y965" s="33"/>
      <c r="Z965" s="33"/>
      <c r="AA965" s="33"/>
      <c r="AB965" s="33"/>
      <c r="AC965" s="33"/>
    </row>
    <row r="966" hidden="1">
      <c r="A966" s="17" t="s">
        <v>302</v>
      </c>
      <c r="B966" s="33"/>
      <c r="C966" s="33"/>
      <c r="D966" s="33"/>
      <c r="E966" s="33"/>
      <c r="F966" s="33"/>
      <c r="G966" s="33"/>
      <c r="H966" s="23" t="str">
        <f>IFERROR(__xludf.DUMMYFUNCTION("if(REGEXMATCH(join("", "",$F966:$G966),H$1)=TRUE,""✓"",""✗"")"),"✗")</f>
        <v>✗</v>
      </c>
      <c r="I966" s="23" t="str">
        <f>IFERROR(__xludf.DUMMYFUNCTION("if(REGEXMATCH(join("", "",$F966:$G966),I$1)=TRUE,""✓"",""✗"")"),"✗")</f>
        <v>✗</v>
      </c>
      <c r="J966" s="23" t="str">
        <f>IFERROR(__xludf.DUMMYFUNCTION("if(REGEXMATCH(join("", "",$F966:$G966),J$1)=TRUE,""✓"",""✗"")"),"✗")</f>
        <v>✗</v>
      </c>
      <c r="K966" s="23" t="str">
        <f>IFERROR(__xludf.DUMMYFUNCTION("if(REGEXMATCH(join("", "",$F966:$G966),K$1)=TRUE,""✓"",""✗"")"),"✗")</f>
        <v>✗</v>
      </c>
      <c r="L966" s="23" t="str">
        <f>IFERROR(__xludf.DUMMYFUNCTION("if(REGEXMATCH(join("", "",$F966:$G966),L$1)=TRUE,""✓"",""✗"")"),"✗")</f>
        <v>✗</v>
      </c>
      <c r="M966" s="23" t="str">
        <f>IFERROR(__xludf.DUMMYFUNCTION("if(REGEXMATCH(join("", "",$F966:$G966),M$1)=TRUE,""✓"",""✗"")"),"✗")</f>
        <v>✗</v>
      </c>
      <c r="N966" s="23" t="str">
        <f>IFERROR(__xludf.DUMMYFUNCTION("if(REGEXMATCH(join("", "",$F966:$G966),N$1)=TRUE,""✓"",""✗"")"),"✗")</f>
        <v>✗</v>
      </c>
      <c r="O966" s="23" t="str">
        <f>IFERROR(__xludf.DUMMYFUNCTION("if(REGEXMATCH(join("", "",$F966:$G966),O$1)=TRUE,""✓"",""✗"")"),"✗")</f>
        <v>✗</v>
      </c>
      <c r="P966" s="23" t="str">
        <f>IFERROR(__xludf.DUMMYFUNCTION("if(REGEXMATCH(join("", "",$F966:$G966),P$1)=TRUE,""✓"",""✗"")"),"✗")</f>
        <v>✗</v>
      </c>
      <c r="Q966" s="23" t="str">
        <f>IFERROR(__xludf.DUMMYFUNCTION("if(REGEXMATCH(join("", "",$F966:$G966),Q$1)=TRUE,""✓"",""✗"")"),"✗")</f>
        <v>✗</v>
      </c>
      <c r="R966" s="23" t="str">
        <f>IFERROR(__xludf.DUMMYFUNCTION("if(REGEXMATCH(join("", "",$F966:$G966),R$1)=TRUE,""✓"",""✗"")"),"✗")</f>
        <v>✗</v>
      </c>
      <c r="S966" s="23" t="str">
        <f>IFERROR(__xludf.DUMMYFUNCTION("if(REGEXMATCH(join("", "",$F966:$G966),S$1)=TRUE,""✓"",""✗"")"),"✗")</f>
        <v>✗</v>
      </c>
      <c r="T966" s="23" t="str">
        <f>IFERROR(__xludf.DUMMYFUNCTION("if(REGEXMATCH(join("", "",$F966:$G966),T$1)=TRUE,""✓"",""✗"")"),"✗")</f>
        <v>✗</v>
      </c>
      <c r="U966" s="33"/>
      <c r="V966" s="33"/>
      <c r="W966" s="33"/>
      <c r="X966" s="33"/>
      <c r="Y966" s="33"/>
      <c r="Z966" s="33"/>
      <c r="AA966" s="33"/>
      <c r="AB966" s="33"/>
      <c r="AC966" s="33"/>
    </row>
    <row r="967" hidden="1">
      <c r="A967" s="17" t="s">
        <v>302</v>
      </c>
      <c r="B967" s="33"/>
      <c r="C967" s="33"/>
      <c r="D967" s="33"/>
      <c r="E967" s="33"/>
      <c r="F967" s="33"/>
      <c r="G967" s="33"/>
      <c r="H967" s="23" t="str">
        <f>IFERROR(__xludf.DUMMYFUNCTION("if(REGEXMATCH(join("", "",$F967:$G967),H$1)=TRUE,""✓"",""✗"")"),"✗")</f>
        <v>✗</v>
      </c>
      <c r="I967" s="23" t="str">
        <f>IFERROR(__xludf.DUMMYFUNCTION("if(REGEXMATCH(join("", "",$F967:$G967),I$1)=TRUE,""✓"",""✗"")"),"✗")</f>
        <v>✗</v>
      </c>
      <c r="J967" s="23" t="str">
        <f>IFERROR(__xludf.DUMMYFUNCTION("if(REGEXMATCH(join("", "",$F967:$G967),J$1)=TRUE,""✓"",""✗"")"),"✗")</f>
        <v>✗</v>
      </c>
      <c r="K967" s="23" t="str">
        <f>IFERROR(__xludf.DUMMYFUNCTION("if(REGEXMATCH(join("", "",$F967:$G967),K$1)=TRUE,""✓"",""✗"")"),"✗")</f>
        <v>✗</v>
      </c>
      <c r="L967" s="23" t="str">
        <f>IFERROR(__xludf.DUMMYFUNCTION("if(REGEXMATCH(join("", "",$F967:$G967),L$1)=TRUE,""✓"",""✗"")"),"✗")</f>
        <v>✗</v>
      </c>
      <c r="M967" s="23" t="str">
        <f>IFERROR(__xludf.DUMMYFUNCTION("if(REGEXMATCH(join("", "",$F967:$G967),M$1)=TRUE,""✓"",""✗"")"),"✗")</f>
        <v>✗</v>
      </c>
      <c r="N967" s="23" t="str">
        <f>IFERROR(__xludf.DUMMYFUNCTION("if(REGEXMATCH(join("", "",$F967:$G967),N$1)=TRUE,""✓"",""✗"")"),"✗")</f>
        <v>✗</v>
      </c>
      <c r="O967" s="23" t="str">
        <f>IFERROR(__xludf.DUMMYFUNCTION("if(REGEXMATCH(join("", "",$F967:$G967),O$1)=TRUE,""✓"",""✗"")"),"✗")</f>
        <v>✗</v>
      </c>
      <c r="P967" s="23" t="str">
        <f>IFERROR(__xludf.DUMMYFUNCTION("if(REGEXMATCH(join("", "",$F967:$G967),P$1)=TRUE,""✓"",""✗"")"),"✗")</f>
        <v>✗</v>
      </c>
      <c r="Q967" s="23" t="str">
        <f>IFERROR(__xludf.DUMMYFUNCTION("if(REGEXMATCH(join("", "",$F967:$G967),Q$1)=TRUE,""✓"",""✗"")"),"✗")</f>
        <v>✗</v>
      </c>
      <c r="R967" s="23" t="str">
        <f>IFERROR(__xludf.DUMMYFUNCTION("if(REGEXMATCH(join("", "",$F967:$G967),R$1)=TRUE,""✓"",""✗"")"),"✗")</f>
        <v>✗</v>
      </c>
      <c r="S967" s="23" t="str">
        <f>IFERROR(__xludf.DUMMYFUNCTION("if(REGEXMATCH(join("", "",$F967:$G967),S$1)=TRUE,""✓"",""✗"")"),"✗")</f>
        <v>✗</v>
      </c>
      <c r="T967" s="23" t="str">
        <f>IFERROR(__xludf.DUMMYFUNCTION("if(REGEXMATCH(join("", "",$F967:$G967),T$1)=TRUE,""✓"",""✗"")"),"✗")</f>
        <v>✗</v>
      </c>
      <c r="U967" s="33"/>
      <c r="V967" s="33"/>
      <c r="W967" s="33"/>
      <c r="X967" s="33"/>
      <c r="Y967" s="33"/>
      <c r="Z967" s="33"/>
      <c r="AA967" s="33"/>
      <c r="AB967" s="33"/>
      <c r="AC967" s="33"/>
    </row>
    <row r="968" hidden="1">
      <c r="A968" s="17" t="s">
        <v>302</v>
      </c>
      <c r="B968" s="33"/>
      <c r="C968" s="33"/>
      <c r="D968" s="33"/>
      <c r="E968" s="33"/>
      <c r="F968" s="33"/>
      <c r="G968" s="33"/>
      <c r="H968" s="23" t="str">
        <f>IFERROR(__xludf.DUMMYFUNCTION("if(REGEXMATCH(join("", "",$F968:$G968),H$1)=TRUE,""✓"",""✗"")"),"✗")</f>
        <v>✗</v>
      </c>
      <c r="I968" s="23" t="str">
        <f>IFERROR(__xludf.DUMMYFUNCTION("if(REGEXMATCH(join("", "",$F968:$G968),I$1)=TRUE,""✓"",""✗"")"),"✗")</f>
        <v>✗</v>
      </c>
      <c r="J968" s="23" t="str">
        <f>IFERROR(__xludf.DUMMYFUNCTION("if(REGEXMATCH(join("", "",$F968:$G968),J$1)=TRUE,""✓"",""✗"")"),"✗")</f>
        <v>✗</v>
      </c>
      <c r="K968" s="23" t="str">
        <f>IFERROR(__xludf.DUMMYFUNCTION("if(REGEXMATCH(join("", "",$F968:$G968),K$1)=TRUE,""✓"",""✗"")"),"✗")</f>
        <v>✗</v>
      </c>
      <c r="L968" s="23" t="str">
        <f>IFERROR(__xludf.DUMMYFUNCTION("if(REGEXMATCH(join("", "",$F968:$G968),L$1)=TRUE,""✓"",""✗"")"),"✗")</f>
        <v>✗</v>
      </c>
      <c r="M968" s="23" t="str">
        <f>IFERROR(__xludf.DUMMYFUNCTION("if(REGEXMATCH(join("", "",$F968:$G968),M$1)=TRUE,""✓"",""✗"")"),"✗")</f>
        <v>✗</v>
      </c>
      <c r="N968" s="23" t="str">
        <f>IFERROR(__xludf.DUMMYFUNCTION("if(REGEXMATCH(join("", "",$F968:$G968),N$1)=TRUE,""✓"",""✗"")"),"✗")</f>
        <v>✗</v>
      </c>
      <c r="O968" s="23" t="str">
        <f>IFERROR(__xludf.DUMMYFUNCTION("if(REGEXMATCH(join("", "",$F968:$G968),O$1)=TRUE,""✓"",""✗"")"),"✗")</f>
        <v>✗</v>
      </c>
      <c r="P968" s="23" t="str">
        <f>IFERROR(__xludf.DUMMYFUNCTION("if(REGEXMATCH(join("", "",$F968:$G968),P$1)=TRUE,""✓"",""✗"")"),"✗")</f>
        <v>✗</v>
      </c>
      <c r="Q968" s="23" t="str">
        <f>IFERROR(__xludf.DUMMYFUNCTION("if(REGEXMATCH(join("", "",$F968:$G968),Q$1)=TRUE,""✓"",""✗"")"),"✗")</f>
        <v>✗</v>
      </c>
      <c r="R968" s="23" t="str">
        <f>IFERROR(__xludf.DUMMYFUNCTION("if(REGEXMATCH(join("", "",$F968:$G968),R$1)=TRUE,""✓"",""✗"")"),"✗")</f>
        <v>✗</v>
      </c>
      <c r="S968" s="23" t="str">
        <f>IFERROR(__xludf.DUMMYFUNCTION("if(REGEXMATCH(join("", "",$F968:$G968),S$1)=TRUE,""✓"",""✗"")"),"✗")</f>
        <v>✗</v>
      </c>
      <c r="T968" s="23" t="str">
        <f>IFERROR(__xludf.DUMMYFUNCTION("if(REGEXMATCH(join("", "",$F968:$G968),T$1)=TRUE,""✓"",""✗"")"),"✗")</f>
        <v>✗</v>
      </c>
      <c r="U968" s="33"/>
      <c r="V968" s="33"/>
      <c r="W968" s="33"/>
      <c r="X968" s="33"/>
      <c r="Y968" s="33"/>
      <c r="Z968" s="33"/>
      <c r="AA968" s="33"/>
      <c r="AB968" s="33"/>
      <c r="AC968" s="33"/>
    </row>
    <row r="969" hidden="1">
      <c r="A969" s="17" t="s">
        <v>302</v>
      </c>
      <c r="B969" s="33"/>
      <c r="C969" s="33"/>
      <c r="D969" s="33"/>
      <c r="E969" s="33"/>
      <c r="F969" s="33"/>
      <c r="G969" s="33"/>
      <c r="H969" s="23" t="str">
        <f>IFERROR(__xludf.DUMMYFUNCTION("if(REGEXMATCH(join("", "",$F969:$G969),H$1)=TRUE,""✓"",""✗"")"),"✗")</f>
        <v>✗</v>
      </c>
      <c r="I969" s="23" t="str">
        <f>IFERROR(__xludf.DUMMYFUNCTION("if(REGEXMATCH(join("", "",$F969:$G969),I$1)=TRUE,""✓"",""✗"")"),"✗")</f>
        <v>✗</v>
      </c>
      <c r="J969" s="23" t="str">
        <f>IFERROR(__xludf.DUMMYFUNCTION("if(REGEXMATCH(join("", "",$F969:$G969),J$1)=TRUE,""✓"",""✗"")"),"✗")</f>
        <v>✗</v>
      </c>
      <c r="K969" s="23" t="str">
        <f>IFERROR(__xludf.DUMMYFUNCTION("if(REGEXMATCH(join("", "",$F969:$G969),K$1)=TRUE,""✓"",""✗"")"),"✗")</f>
        <v>✗</v>
      </c>
      <c r="L969" s="23" t="str">
        <f>IFERROR(__xludf.DUMMYFUNCTION("if(REGEXMATCH(join("", "",$F969:$G969),L$1)=TRUE,""✓"",""✗"")"),"✗")</f>
        <v>✗</v>
      </c>
      <c r="M969" s="23" t="str">
        <f>IFERROR(__xludf.DUMMYFUNCTION("if(REGEXMATCH(join("", "",$F969:$G969),M$1)=TRUE,""✓"",""✗"")"),"✗")</f>
        <v>✗</v>
      </c>
      <c r="N969" s="23" t="str">
        <f>IFERROR(__xludf.DUMMYFUNCTION("if(REGEXMATCH(join("", "",$F969:$G969),N$1)=TRUE,""✓"",""✗"")"),"✗")</f>
        <v>✗</v>
      </c>
      <c r="O969" s="23" t="str">
        <f>IFERROR(__xludf.DUMMYFUNCTION("if(REGEXMATCH(join("", "",$F969:$G969),O$1)=TRUE,""✓"",""✗"")"),"✗")</f>
        <v>✗</v>
      </c>
      <c r="P969" s="23" t="str">
        <f>IFERROR(__xludf.DUMMYFUNCTION("if(REGEXMATCH(join("", "",$F969:$G969),P$1)=TRUE,""✓"",""✗"")"),"✗")</f>
        <v>✗</v>
      </c>
      <c r="Q969" s="23" t="str">
        <f>IFERROR(__xludf.DUMMYFUNCTION("if(REGEXMATCH(join("", "",$F969:$G969),Q$1)=TRUE,""✓"",""✗"")"),"✗")</f>
        <v>✗</v>
      </c>
      <c r="R969" s="23" t="str">
        <f>IFERROR(__xludf.DUMMYFUNCTION("if(REGEXMATCH(join("", "",$F969:$G969),R$1)=TRUE,""✓"",""✗"")"),"✗")</f>
        <v>✗</v>
      </c>
      <c r="S969" s="23" t="str">
        <f>IFERROR(__xludf.DUMMYFUNCTION("if(REGEXMATCH(join("", "",$F969:$G969),S$1)=TRUE,""✓"",""✗"")"),"✗")</f>
        <v>✗</v>
      </c>
      <c r="T969" s="23" t="str">
        <f>IFERROR(__xludf.DUMMYFUNCTION("if(REGEXMATCH(join("", "",$F969:$G969),T$1)=TRUE,""✓"",""✗"")"),"✗")</f>
        <v>✗</v>
      </c>
      <c r="U969" s="33"/>
      <c r="V969" s="33"/>
      <c r="W969" s="33"/>
      <c r="X969" s="33"/>
      <c r="Y969" s="33"/>
      <c r="Z969" s="33"/>
      <c r="AA969" s="33"/>
      <c r="AB969" s="33"/>
      <c r="AC969" s="33"/>
    </row>
    <row r="970" hidden="1">
      <c r="A970" s="17" t="s">
        <v>302</v>
      </c>
      <c r="B970" s="33"/>
      <c r="C970" s="33"/>
      <c r="D970" s="33"/>
      <c r="E970" s="33"/>
      <c r="F970" s="33"/>
      <c r="G970" s="33"/>
      <c r="H970" s="23" t="str">
        <f>IFERROR(__xludf.DUMMYFUNCTION("if(REGEXMATCH(join("", "",$F970:$G970),H$1)=TRUE,""✓"",""✗"")"),"✗")</f>
        <v>✗</v>
      </c>
      <c r="I970" s="23" t="str">
        <f>IFERROR(__xludf.DUMMYFUNCTION("if(REGEXMATCH(join("", "",$F970:$G970),I$1)=TRUE,""✓"",""✗"")"),"✗")</f>
        <v>✗</v>
      </c>
      <c r="J970" s="23" t="str">
        <f>IFERROR(__xludf.DUMMYFUNCTION("if(REGEXMATCH(join("", "",$F970:$G970),J$1)=TRUE,""✓"",""✗"")"),"✗")</f>
        <v>✗</v>
      </c>
      <c r="K970" s="23" t="str">
        <f>IFERROR(__xludf.DUMMYFUNCTION("if(REGEXMATCH(join("", "",$F970:$G970),K$1)=TRUE,""✓"",""✗"")"),"✗")</f>
        <v>✗</v>
      </c>
      <c r="L970" s="23" t="str">
        <f>IFERROR(__xludf.DUMMYFUNCTION("if(REGEXMATCH(join("", "",$F970:$G970),L$1)=TRUE,""✓"",""✗"")"),"✗")</f>
        <v>✗</v>
      </c>
      <c r="M970" s="23" t="str">
        <f>IFERROR(__xludf.DUMMYFUNCTION("if(REGEXMATCH(join("", "",$F970:$G970),M$1)=TRUE,""✓"",""✗"")"),"✗")</f>
        <v>✗</v>
      </c>
      <c r="N970" s="23" t="str">
        <f>IFERROR(__xludf.DUMMYFUNCTION("if(REGEXMATCH(join("", "",$F970:$G970),N$1)=TRUE,""✓"",""✗"")"),"✗")</f>
        <v>✗</v>
      </c>
      <c r="O970" s="23" t="str">
        <f>IFERROR(__xludf.DUMMYFUNCTION("if(REGEXMATCH(join("", "",$F970:$G970),O$1)=TRUE,""✓"",""✗"")"),"✗")</f>
        <v>✗</v>
      </c>
      <c r="P970" s="23" t="str">
        <f>IFERROR(__xludf.DUMMYFUNCTION("if(REGEXMATCH(join("", "",$F970:$G970),P$1)=TRUE,""✓"",""✗"")"),"✗")</f>
        <v>✗</v>
      </c>
      <c r="Q970" s="23" t="str">
        <f>IFERROR(__xludf.DUMMYFUNCTION("if(REGEXMATCH(join("", "",$F970:$G970),Q$1)=TRUE,""✓"",""✗"")"),"✗")</f>
        <v>✗</v>
      </c>
      <c r="R970" s="23" t="str">
        <f>IFERROR(__xludf.DUMMYFUNCTION("if(REGEXMATCH(join("", "",$F970:$G970),R$1)=TRUE,""✓"",""✗"")"),"✗")</f>
        <v>✗</v>
      </c>
      <c r="S970" s="23" t="str">
        <f>IFERROR(__xludf.DUMMYFUNCTION("if(REGEXMATCH(join("", "",$F970:$G970),S$1)=TRUE,""✓"",""✗"")"),"✗")</f>
        <v>✗</v>
      </c>
      <c r="T970" s="23" t="str">
        <f>IFERROR(__xludf.DUMMYFUNCTION("if(REGEXMATCH(join("", "",$F970:$G970),T$1)=TRUE,""✓"",""✗"")"),"✗")</f>
        <v>✗</v>
      </c>
      <c r="U970" s="33"/>
      <c r="V970" s="33"/>
      <c r="W970" s="33"/>
      <c r="X970" s="33"/>
      <c r="Y970" s="33"/>
      <c r="Z970" s="33"/>
      <c r="AA970" s="33"/>
      <c r="AB970" s="33"/>
      <c r="AC970" s="33"/>
    </row>
    <row r="971" hidden="1">
      <c r="A971" s="17" t="s">
        <v>302</v>
      </c>
      <c r="B971" s="33"/>
      <c r="C971" s="33"/>
      <c r="D971" s="33"/>
      <c r="E971" s="33"/>
      <c r="F971" s="33"/>
      <c r="G971" s="33"/>
      <c r="H971" s="23" t="str">
        <f>IFERROR(__xludf.DUMMYFUNCTION("if(REGEXMATCH(join("", "",$F971:$G971),H$1)=TRUE,""✓"",""✗"")"),"✗")</f>
        <v>✗</v>
      </c>
      <c r="I971" s="23" t="str">
        <f>IFERROR(__xludf.DUMMYFUNCTION("if(REGEXMATCH(join("", "",$F971:$G971),I$1)=TRUE,""✓"",""✗"")"),"✗")</f>
        <v>✗</v>
      </c>
      <c r="J971" s="23" t="str">
        <f>IFERROR(__xludf.DUMMYFUNCTION("if(REGEXMATCH(join("", "",$F971:$G971),J$1)=TRUE,""✓"",""✗"")"),"✗")</f>
        <v>✗</v>
      </c>
      <c r="K971" s="23" t="str">
        <f>IFERROR(__xludf.DUMMYFUNCTION("if(REGEXMATCH(join("", "",$F971:$G971),K$1)=TRUE,""✓"",""✗"")"),"✗")</f>
        <v>✗</v>
      </c>
      <c r="L971" s="23" t="str">
        <f>IFERROR(__xludf.DUMMYFUNCTION("if(REGEXMATCH(join("", "",$F971:$G971),L$1)=TRUE,""✓"",""✗"")"),"✗")</f>
        <v>✗</v>
      </c>
      <c r="M971" s="23" t="str">
        <f>IFERROR(__xludf.DUMMYFUNCTION("if(REGEXMATCH(join("", "",$F971:$G971),M$1)=TRUE,""✓"",""✗"")"),"✗")</f>
        <v>✗</v>
      </c>
      <c r="N971" s="23" t="str">
        <f>IFERROR(__xludf.DUMMYFUNCTION("if(REGEXMATCH(join("", "",$F971:$G971),N$1)=TRUE,""✓"",""✗"")"),"✗")</f>
        <v>✗</v>
      </c>
      <c r="O971" s="23" t="str">
        <f>IFERROR(__xludf.DUMMYFUNCTION("if(REGEXMATCH(join("", "",$F971:$G971),O$1)=TRUE,""✓"",""✗"")"),"✗")</f>
        <v>✗</v>
      </c>
      <c r="P971" s="23" t="str">
        <f>IFERROR(__xludf.DUMMYFUNCTION("if(REGEXMATCH(join("", "",$F971:$G971),P$1)=TRUE,""✓"",""✗"")"),"✗")</f>
        <v>✗</v>
      </c>
      <c r="Q971" s="23" t="str">
        <f>IFERROR(__xludf.DUMMYFUNCTION("if(REGEXMATCH(join("", "",$F971:$G971),Q$1)=TRUE,""✓"",""✗"")"),"✗")</f>
        <v>✗</v>
      </c>
      <c r="R971" s="23" t="str">
        <f>IFERROR(__xludf.DUMMYFUNCTION("if(REGEXMATCH(join("", "",$F971:$G971),R$1)=TRUE,""✓"",""✗"")"),"✗")</f>
        <v>✗</v>
      </c>
      <c r="S971" s="23" t="str">
        <f>IFERROR(__xludf.DUMMYFUNCTION("if(REGEXMATCH(join("", "",$F971:$G971),S$1)=TRUE,""✓"",""✗"")"),"✗")</f>
        <v>✗</v>
      </c>
      <c r="T971" s="23" t="str">
        <f>IFERROR(__xludf.DUMMYFUNCTION("if(REGEXMATCH(join("", "",$F971:$G971),T$1)=TRUE,""✓"",""✗"")"),"✗")</f>
        <v>✗</v>
      </c>
      <c r="U971" s="33"/>
      <c r="V971" s="33"/>
      <c r="W971" s="33"/>
      <c r="X971" s="33"/>
      <c r="Y971" s="33"/>
      <c r="Z971" s="33"/>
      <c r="AA971" s="33"/>
      <c r="AB971" s="33"/>
      <c r="AC971" s="33"/>
    </row>
    <row r="972" hidden="1">
      <c r="A972" s="17" t="s">
        <v>302</v>
      </c>
      <c r="B972" s="33"/>
      <c r="C972" s="33"/>
      <c r="D972" s="33"/>
      <c r="E972" s="33"/>
      <c r="F972" s="33"/>
      <c r="G972" s="33"/>
      <c r="H972" s="23" t="str">
        <f>IFERROR(__xludf.DUMMYFUNCTION("if(REGEXMATCH(join("", "",$F972:$G972),H$1)=TRUE,""✓"",""✗"")"),"✗")</f>
        <v>✗</v>
      </c>
      <c r="I972" s="23" t="str">
        <f>IFERROR(__xludf.DUMMYFUNCTION("if(REGEXMATCH(join("", "",$F972:$G972),I$1)=TRUE,""✓"",""✗"")"),"✗")</f>
        <v>✗</v>
      </c>
      <c r="J972" s="23" t="str">
        <f>IFERROR(__xludf.DUMMYFUNCTION("if(REGEXMATCH(join("", "",$F972:$G972),J$1)=TRUE,""✓"",""✗"")"),"✗")</f>
        <v>✗</v>
      </c>
      <c r="K972" s="23" t="str">
        <f>IFERROR(__xludf.DUMMYFUNCTION("if(REGEXMATCH(join("", "",$F972:$G972),K$1)=TRUE,""✓"",""✗"")"),"✗")</f>
        <v>✗</v>
      </c>
      <c r="L972" s="23" t="str">
        <f>IFERROR(__xludf.DUMMYFUNCTION("if(REGEXMATCH(join("", "",$F972:$G972),L$1)=TRUE,""✓"",""✗"")"),"✗")</f>
        <v>✗</v>
      </c>
      <c r="M972" s="23" t="str">
        <f>IFERROR(__xludf.DUMMYFUNCTION("if(REGEXMATCH(join("", "",$F972:$G972),M$1)=TRUE,""✓"",""✗"")"),"✗")</f>
        <v>✗</v>
      </c>
      <c r="N972" s="23" t="str">
        <f>IFERROR(__xludf.DUMMYFUNCTION("if(REGEXMATCH(join("", "",$F972:$G972),N$1)=TRUE,""✓"",""✗"")"),"✗")</f>
        <v>✗</v>
      </c>
      <c r="O972" s="23" t="str">
        <f>IFERROR(__xludf.DUMMYFUNCTION("if(REGEXMATCH(join("", "",$F972:$G972),O$1)=TRUE,""✓"",""✗"")"),"✗")</f>
        <v>✗</v>
      </c>
      <c r="P972" s="23" t="str">
        <f>IFERROR(__xludf.DUMMYFUNCTION("if(REGEXMATCH(join("", "",$F972:$G972),P$1)=TRUE,""✓"",""✗"")"),"✗")</f>
        <v>✗</v>
      </c>
      <c r="Q972" s="23" t="str">
        <f>IFERROR(__xludf.DUMMYFUNCTION("if(REGEXMATCH(join("", "",$F972:$G972),Q$1)=TRUE,""✓"",""✗"")"),"✗")</f>
        <v>✗</v>
      </c>
      <c r="R972" s="23" t="str">
        <f>IFERROR(__xludf.DUMMYFUNCTION("if(REGEXMATCH(join("", "",$F972:$G972),R$1)=TRUE,""✓"",""✗"")"),"✗")</f>
        <v>✗</v>
      </c>
      <c r="S972" s="23" t="str">
        <f>IFERROR(__xludf.DUMMYFUNCTION("if(REGEXMATCH(join("", "",$F972:$G972),S$1)=TRUE,""✓"",""✗"")"),"✗")</f>
        <v>✗</v>
      </c>
      <c r="T972" s="23" t="str">
        <f>IFERROR(__xludf.DUMMYFUNCTION("if(REGEXMATCH(join("", "",$F972:$G972),T$1)=TRUE,""✓"",""✗"")"),"✗")</f>
        <v>✗</v>
      </c>
      <c r="U972" s="33"/>
      <c r="V972" s="33"/>
      <c r="W972" s="33"/>
      <c r="X972" s="33"/>
      <c r="Y972" s="33"/>
      <c r="Z972" s="33"/>
      <c r="AA972" s="33"/>
      <c r="AB972" s="33"/>
      <c r="AC972" s="33"/>
    </row>
    <row r="973" hidden="1">
      <c r="A973" s="17" t="s">
        <v>302</v>
      </c>
      <c r="B973" s="33"/>
      <c r="C973" s="33"/>
      <c r="D973" s="33"/>
      <c r="E973" s="33"/>
      <c r="F973" s="33"/>
      <c r="G973" s="33"/>
      <c r="H973" s="23" t="str">
        <f>IFERROR(__xludf.DUMMYFUNCTION("if(REGEXMATCH(join("", "",$F973:$G973),H$1)=TRUE,""✓"",""✗"")"),"✗")</f>
        <v>✗</v>
      </c>
      <c r="I973" s="23" t="str">
        <f>IFERROR(__xludf.DUMMYFUNCTION("if(REGEXMATCH(join("", "",$F973:$G973),I$1)=TRUE,""✓"",""✗"")"),"✗")</f>
        <v>✗</v>
      </c>
      <c r="J973" s="23" t="str">
        <f>IFERROR(__xludf.DUMMYFUNCTION("if(REGEXMATCH(join("", "",$F973:$G973),J$1)=TRUE,""✓"",""✗"")"),"✗")</f>
        <v>✗</v>
      </c>
      <c r="K973" s="23" t="str">
        <f>IFERROR(__xludf.DUMMYFUNCTION("if(REGEXMATCH(join("", "",$F973:$G973),K$1)=TRUE,""✓"",""✗"")"),"✗")</f>
        <v>✗</v>
      </c>
      <c r="L973" s="23" t="str">
        <f>IFERROR(__xludf.DUMMYFUNCTION("if(REGEXMATCH(join("", "",$F973:$G973),L$1)=TRUE,""✓"",""✗"")"),"✗")</f>
        <v>✗</v>
      </c>
      <c r="M973" s="23" t="str">
        <f>IFERROR(__xludf.DUMMYFUNCTION("if(REGEXMATCH(join("", "",$F973:$G973),M$1)=TRUE,""✓"",""✗"")"),"✗")</f>
        <v>✗</v>
      </c>
      <c r="N973" s="23" t="str">
        <f>IFERROR(__xludf.DUMMYFUNCTION("if(REGEXMATCH(join("", "",$F973:$G973),N$1)=TRUE,""✓"",""✗"")"),"✗")</f>
        <v>✗</v>
      </c>
      <c r="O973" s="23" t="str">
        <f>IFERROR(__xludf.DUMMYFUNCTION("if(REGEXMATCH(join("", "",$F973:$G973),O$1)=TRUE,""✓"",""✗"")"),"✗")</f>
        <v>✗</v>
      </c>
      <c r="P973" s="23" t="str">
        <f>IFERROR(__xludf.DUMMYFUNCTION("if(REGEXMATCH(join("", "",$F973:$G973),P$1)=TRUE,""✓"",""✗"")"),"✗")</f>
        <v>✗</v>
      </c>
      <c r="Q973" s="23" t="str">
        <f>IFERROR(__xludf.DUMMYFUNCTION("if(REGEXMATCH(join("", "",$F973:$G973),Q$1)=TRUE,""✓"",""✗"")"),"✗")</f>
        <v>✗</v>
      </c>
      <c r="R973" s="23" t="str">
        <f>IFERROR(__xludf.DUMMYFUNCTION("if(REGEXMATCH(join("", "",$F973:$G973),R$1)=TRUE,""✓"",""✗"")"),"✗")</f>
        <v>✗</v>
      </c>
      <c r="S973" s="23" t="str">
        <f>IFERROR(__xludf.DUMMYFUNCTION("if(REGEXMATCH(join("", "",$F973:$G973),S$1)=TRUE,""✓"",""✗"")"),"✗")</f>
        <v>✗</v>
      </c>
      <c r="T973" s="23" t="str">
        <f>IFERROR(__xludf.DUMMYFUNCTION("if(REGEXMATCH(join("", "",$F973:$G973),T$1)=TRUE,""✓"",""✗"")"),"✗")</f>
        <v>✗</v>
      </c>
      <c r="U973" s="33"/>
      <c r="V973" s="33"/>
      <c r="W973" s="33"/>
      <c r="X973" s="33"/>
      <c r="Y973" s="33"/>
      <c r="Z973" s="33"/>
      <c r="AA973" s="33"/>
      <c r="AB973" s="33"/>
      <c r="AC973" s="33"/>
    </row>
    <row r="974" hidden="1">
      <c r="A974" s="17" t="s">
        <v>302</v>
      </c>
      <c r="B974" s="33"/>
      <c r="C974" s="33"/>
      <c r="D974" s="33"/>
      <c r="E974" s="33"/>
      <c r="F974" s="33"/>
      <c r="G974" s="33"/>
      <c r="H974" s="23" t="str">
        <f>IFERROR(__xludf.DUMMYFUNCTION("if(REGEXMATCH(join("", "",$F974:$G974),H$1)=TRUE,""✓"",""✗"")"),"✗")</f>
        <v>✗</v>
      </c>
      <c r="I974" s="23" t="str">
        <f>IFERROR(__xludf.DUMMYFUNCTION("if(REGEXMATCH(join("", "",$F974:$G974),I$1)=TRUE,""✓"",""✗"")"),"✗")</f>
        <v>✗</v>
      </c>
      <c r="J974" s="23" t="str">
        <f>IFERROR(__xludf.DUMMYFUNCTION("if(REGEXMATCH(join("", "",$F974:$G974),J$1)=TRUE,""✓"",""✗"")"),"✗")</f>
        <v>✗</v>
      </c>
      <c r="K974" s="23" t="str">
        <f>IFERROR(__xludf.DUMMYFUNCTION("if(REGEXMATCH(join("", "",$F974:$G974),K$1)=TRUE,""✓"",""✗"")"),"✗")</f>
        <v>✗</v>
      </c>
      <c r="L974" s="23" t="str">
        <f>IFERROR(__xludf.DUMMYFUNCTION("if(REGEXMATCH(join("", "",$F974:$G974),L$1)=TRUE,""✓"",""✗"")"),"✗")</f>
        <v>✗</v>
      </c>
      <c r="M974" s="23" t="str">
        <f>IFERROR(__xludf.DUMMYFUNCTION("if(REGEXMATCH(join("", "",$F974:$G974),M$1)=TRUE,""✓"",""✗"")"),"✗")</f>
        <v>✗</v>
      </c>
      <c r="N974" s="23" t="str">
        <f>IFERROR(__xludf.DUMMYFUNCTION("if(REGEXMATCH(join("", "",$F974:$G974),N$1)=TRUE,""✓"",""✗"")"),"✗")</f>
        <v>✗</v>
      </c>
      <c r="O974" s="23" t="str">
        <f>IFERROR(__xludf.DUMMYFUNCTION("if(REGEXMATCH(join("", "",$F974:$G974),O$1)=TRUE,""✓"",""✗"")"),"✗")</f>
        <v>✗</v>
      </c>
      <c r="P974" s="23" t="str">
        <f>IFERROR(__xludf.DUMMYFUNCTION("if(REGEXMATCH(join("", "",$F974:$G974),P$1)=TRUE,""✓"",""✗"")"),"✗")</f>
        <v>✗</v>
      </c>
      <c r="Q974" s="23" t="str">
        <f>IFERROR(__xludf.DUMMYFUNCTION("if(REGEXMATCH(join("", "",$F974:$G974),Q$1)=TRUE,""✓"",""✗"")"),"✗")</f>
        <v>✗</v>
      </c>
      <c r="R974" s="23" t="str">
        <f>IFERROR(__xludf.DUMMYFUNCTION("if(REGEXMATCH(join("", "",$F974:$G974),R$1)=TRUE,""✓"",""✗"")"),"✗")</f>
        <v>✗</v>
      </c>
      <c r="S974" s="23" t="str">
        <f>IFERROR(__xludf.DUMMYFUNCTION("if(REGEXMATCH(join("", "",$F974:$G974),S$1)=TRUE,""✓"",""✗"")"),"✗")</f>
        <v>✗</v>
      </c>
      <c r="T974" s="23" t="str">
        <f>IFERROR(__xludf.DUMMYFUNCTION("if(REGEXMATCH(join("", "",$F974:$G974),T$1)=TRUE,""✓"",""✗"")"),"✗")</f>
        <v>✗</v>
      </c>
      <c r="U974" s="33"/>
      <c r="V974" s="33"/>
      <c r="W974" s="33"/>
      <c r="X974" s="33"/>
      <c r="Y974" s="33"/>
      <c r="Z974" s="33"/>
      <c r="AA974" s="33"/>
      <c r="AB974" s="33"/>
      <c r="AC974" s="33"/>
    </row>
    <row r="975" hidden="1">
      <c r="A975" s="17" t="s">
        <v>302</v>
      </c>
      <c r="B975" s="33"/>
      <c r="C975" s="33"/>
      <c r="D975" s="33"/>
      <c r="E975" s="33"/>
      <c r="F975" s="33"/>
      <c r="G975" s="33"/>
      <c r="H975" s="23" t="str">
        <f>IFERROR(__xludf.DUMMYFUNCTION("if(REGEXMATCH(join("", "",$F975:$G975),H$1)=TRUE,""✓"",""✗"")"),"✗")</f>
        <v>✗</v>
      </c>
      <c r="I975" s="23" t="str">
        <f>IFERROR(__xludf.DUMMYFUNCTION("if(REGEXMATCH(join("", "",$F975:$G975),I$1)=TRUE,""✓"",""✗"")"),"✗")</f>
        <v>✗</v>
      </c>
      <c r="J975" s="23" t="str">
        <f>IFERROR(__xludf.DUMMYFUNCTION("if(REGEXMATCH(join("", "",$F975:$G975),J$1)=TRUE,""✓"",""✗"")"),"✗")</f>
        <v>✗</v>
      </c>
      <c r="K975" s="23" t="str">
        <f>IFERROR(__xludf.DUMMYFUNCTION("if(REGEXMATCH(join("", "",$F975:$G975),K$1)=TRUE,""✓"",""✗"")"),"✗")</f>
        <v>✗</v>
      </c>
      <c r="L975" s="23" t="str">
        <f>IFERROR(__xludf.DUMMYFUNCTION("if(REGEXMATCH(join("", "",$F975:$G975),L$1)=TRUE,""✓"",""✗"")"),"✗")</f>
        <v>✗</v>
      </c>
      <c r="M975" s="23" t="str">
        <f>IFERROR(__xludf.DUMMYFUNCTION("if(REGEXMATCH(join("", "",$F975:$G975),M$1)=TRUE,""✓"",""✗"")"),"✗")</f>
        <v>✗</v>
      </c>
      <c r="N975" s="23" t="str">
        <f>IFERROR(__xludf.DUMMYFUNCTION("if(REGEXMATCH(join("", "",$F975:$G975),N$1)=TRUE,""✓"",""✗"")"),"✗")</f>
        <v>✗</v>
      </c>
      <c r="O975" s="23" t="str">
        <f>IFERROR(__xludf.DUMMYFUNCTION("if(REGEXMATCH(join("", "",$F975:$G975),O$1)=TRUE,""✓"",""✗"")"),"✗")</f>
        <v>✗</v>
      </c>
      <c r="P975" s="23" t="str">
        <f>IFERROR(__xludf.DUMMYFUNCTION("if(REGEXMATCH(join("", "",$F975:$G975),P$1)=TRUE,""✓"",""✗"")"),"✗")</f>
        <v>✗</v>
      </c>
      <c r="Q975" s="23" t="str">
        <f>IFERROR(__xludf.DUMMYFUNCTION("if(REGEXMATCH(join("", "",$F975:$G975),Q$1)=TRUE,""✓"",""✗"")"),"✗")</f>
        <v>✗</v>
      </c>
      <c r="R975" s="23" t="str">
        <f>IFERROR(__xludf.DUMMYFUNCTION("if(REGEXMATCH(join("", "",$F975:$G975),R$1)=TRUE,""✓"",""✗"")"),"✗")</f>
        <v>✗</v>
      </c>
      <c r="S975" s="23" t="str">
        <f>IFERROR(__xludf.DUMMYFUNCTION("if(REGEXMATCH(join("", "",$F975:$G975),S$1)=TRUE,""✓"",""✗"")"),"✗")</f>
        <v>✗</v>
      </c>
      <c r="T975" s="23" t="str">
        <f>IFERROR(__xludf.DUMMYFUNCTION("if(REGEXMATCH(join("", "",$F975:$G975),T$1)=TRUE,""✓"",""✗"")"),"✗")</f>
        <v>✗</v>
      </c>
      <c r="U975" s="33"/>
      <c r="V975" s="33"/>
      <c r="W975" s="33"/>
      <c r="X975" s="33"/>
      <c r="Y975" s="33"/>
      <c r="Z975" s="33"/>
      <c r="AA975" s="33"/>
      <c r="AB975" s="33"/>
      <c r="AC975" s="33"/>
    </row>
    <row r="976" hidden="1">
      <c r="A976" s="17" t="s">
        <v>302</v>
      </c>
      <c r="B976" s="33"/>
      <c r="C976" s="33"/>
      <c r="D976" s="33"/>
      <c r="E976" s="33"/>
      <c r="F976" s="33"/>
      <c r="G976" s="33"/>
      <c r="H976" s="23" t="str">
        <f>IFERROR(__xludf.DUMMYFUNCTION("if(REGEXMATCH(join("", "",$F976:$G976),H$1)=TRUE,""✓"",""✗"")"),"✗")</f>
        <v>✗</v>
      </c>
      <c r="I976" s="23" t="str">
        <f>IFERROR(__xludf.DUMMYFUNCTION("if(REGEXMATCH(join("", "",$F976:$G976),I$1)=TRUE,""✓"",""✗"")"),"✗")</f>
        <v>✗</v>
      </c>
      <c r="J976" s="23" t="str">
        <f>IFERROR(__xludf.DUMMYFUNCTION("if(REGEXMATCH(join("", "",$F976:$G976),J$1)=TRUE,""✓"",""✗"")"),"✗")</f>
        <v>✗</v>
      </c>
      <c r="K976" s="23" t="str">
        <f>IFERROR(__xludf.DUMMYFUNCTION("if(REGEXMATCH(join("", "",$F976:$G976),K$1)=TRUE,""✓"",""✗"")"),"✗")</f>
        <v>✗</v>
      </c>
      <c r="L976" s="23" t="str">
        <f>IFERROR(__xludf.DUMMYFUNCTION("if(REGEXMATCH(join("", "",$F976:$G976),L$1)=TRUE,""✓"",""✗"")"),"✗")</f>
        <v>✗</v>
      </c>
      <c r="M976" s="23" t="str">
        <f>IFERROR(__xludf.DUMMYFUNCTION("if(REGEXMATCH(join("", "",$F976:$G976),M$1)=TRUE,""✓"",""✗"")"),"✗")</f>
        <v>✗</v>
      </c>
      <c r="N976" s="23" t="str">
        <f>IFERROR(__xludf.DUMMYFUNCTION("if(REGEXMATCH(join("", "",$F976:$G976),N$1)=TRUE,""✓"",""✗"")"),"✗")</f>
        <v>✗</v>
      </c>
      <c r="O976" s="23" t="str">
        <f>IFERROR(__xludf.DUMMYFUNCTION("if(REGEXMATCH(join("", "",$F976:$G976),O$1)=TRUE,""✓"",""✗"")"),"✗")</f>
        <v>✗</v>
      </c>
      <c r="P976" s="23" t="str">
        <f>IFERROR(__xludf.DUMMYFUNCTION("if(REGEXMATCH(join("", "",$F976:$G976),P$1)=TRUE,""✓"",""✗"")"),"✗")</f>
        <v>✗</v>
      </c>
      <c r="Q976" s="23" t="str">
        <f>IFERROR(__xludf.DUMMYFUNCTION("if(REGEXMATCH(join("", "",$F976:$G976),Q$1)=TRUE,""✓"",""✗"")"),"✗")</f>
        <v>✗</v>
      </c>
      <c r="R976" s="23" t="str">
        <f>IFERROR(__xludf.DUMMYFUNCTION("if(REGEXMATCH(join("", "",$F976:$G976),R$1)=TRUE,""✓"",""✗"")"),"✗")</f>
        <v>✗</v>
      </c>
      <c r="S976" s="23" t="str">
        <f>IFERROR(__xludf.DUMMYFUNCTION("if(REGEXMATCH(join("", "",$F976:$G976),S$1)=TRUE,""✓"",""✗"")"),"✗")</f>
        <v>✗</v>
      </c>
      <c r="T976" s="23" t="str">
        <f>IFERROR(__xludf.DUMMYFUNCTION("if(REGEXMATCH(join("", "",$F976:$G976),T$1)=TRUE,""✓"",""✗"")"),"✗")</f>
        <v>✗</v>
      </c>
      <c r="U976" s="33"/>
      <c r="V976" s="33"/>
      <c r="W976" s="33"/>
      <c r="X976" s="33"/>
      <c r="Y976" s="33"/>
      <c r="Z976" s="33"/>
      <c r="AA976" s="33"/>
      <c r="AB976" s="33"/>
      <c r="AC976" s="33"/>
    </row>
    <row r="977" hidden="1">
      <c r="A977" s="17" t="s">
        <v>302</v>
      </c>
      <c r="B977" s="33"/>
      <c r="C977" s="33"/>
      <c r="D977" s="33"/>
      <c r="E977" s="33"/>
      <c r="F977" s="33"/>
      <c r="G977" s="33"/>
      <c r="H977" s="23" t="str">
        <f>IFERROR(__xludf.DUMMYFUNCTION("if(REGEXMATCH(join("", "",$F977:$G977),H$1)=TRUE,""✓"",""✗"")"),"✗")</f>
        <v>✗</v>
      </c>
      <c r="I977" s="23" t="str">
        <f>IFERROR(__xludf.DUMMYFUNCTION("if(REGEXMATCH(join("", "",$F977:$G977),I$1)=TRUE,""✓"",""✗"")"),"✗")</f>
        <v>✗</v>
      </c>
      <c r="J977" s="23" t="str">
        <f>IFERROR(__xludf.DUMMYFUNCTION("if(REGEXMATCH(join("", "",$F977:$G977),J$1)=TRUE,""✓"",""✗"")"),"✗")</f>
        <v>✗</v>
      </c>
      <c r="K977" s="23" t="str">
        <f>IFERROR(__xludf.DUMMYFUNCTION("if(REGEXMATCH(join("", "",$F977:$G977),K$1)=TRUE,""✓"",""✗"")"),"✗")</f>
        <v>✗</v>
      </c>
      <c r="L977" s="23" t="str">
        <f>IFERROR(__xludf.DUMMYFUNCTION("if(REGEXMATCH(join("", "",$F977:$G977),L$1)=TRUE,""✓"",""✗"")"),"✗")</f>
        <v>✗</v>
      </c>
      <c r="M977" s="23" t="str">
        <f>IFERROR(__xludf.DUMMYFUNCTION("if(REGEXMATCH(join("", "",$F977:$G977),M$1)=TRUE,""✓"",""✗"")"),"✗")</f>
        <v>✗</v>
      </c>
      <c r="N977" s="23" t="str">
        <f>IFERROR(__xludf.DUMMYFUNCTION("if(REGEXMATCH(join("", "",$F977:$G977),N$1)=TRUE,""✓"",""✗"")"),"✗")</f>
        <v>✗</v>
      </c>
      <c r="O977" s="23" t="str">
        <f>IFERROR(__xludf.DUMMYFUNCTION("if(REGEXMATCH(join("", "",$F977:$G977),O$1)=TRUE,""✓"",""✗"")"),"✗")</f>
        <v>✗</v>
      </c>
      <c r="P977" s="23" t="str">
        <f>IFERROR(__xludf.DUMMYFUNCTION("if(REGEXMATCH(join("", "",$F977:$G977),P$1)=TRUE,""✓"",""✗"")"),"✗")</f>
        <v>✗</v>
      </c>
      <c r="Q977" s="23" t="str">
        <f>IFERROR(__xludf.DUMMYFUNCTION("if(REGEXMATCH(join("", "",$F977:$G977),Q$1)=TRUE,""✓"",""✗"")"),"✗")</f>
        <v>✗</v>
      </c>
      <c r="R977" s="23" t="str">
        <f>IFERROR(__xludf.DUMMYFUNCTION("if(REGEXMATCH(join("", "",$F977:$G977),R$1)=TRUE,""✓"",""✗"")"),"✗")</f>
        <v>✗</v>
      </c>
      <c r="S977" s="23" t="str">
        <f>IFERROR(__xludf.DUMMYFUNCTION("if(REGEXMATCH(join("", "",$F977:$G977),S$1)=TRUE,""✓"",""✗"")"),"✗")</f>
        <v>✗</v>
      </c>
      <c r="T977" s="23" t="str">
        <f>IFERROR(__xludf.DUMMYFUNCTION("if(REGEXMATCH(join("", "",$F977:$G977),T$1)=TRUE,""✓"",""✗"")"),"✗")</f>
        <v>✗</v>
      </c>
      <c r="U977" s="33"/>
      <c r="V977" s="33"/>
      <c r="W977" s="33"/>
      <c r="X977" s="33"/>
      <c r="Y977" s="33"/>
      <c r="Z977" s="33"/>
      <c r="AA977" s="33"/>
      <c r="AB977" s="33"/>
      <c r="AC977" s="33"/>
    </row>
    <row r="978" hidden="1">
      <c r="A978" s="17" t="s">
        <v>302</v>
      </c>
      <c r="B978" s="33"/>
      <c r="C978" s="33"/>
      <c r="D978" s="33"/>
      <c r="E978" s="33"/>
      <c r="F978" s="33"/>
      <c r="G978" s="33"/>
      <c r="H978" s="23" t="str">
        <f>IFERROR(__xludf.DUMMYFUNCTION("if(REGEXMATCH(join("", "",$F978:$G978),H$1)=TRUE,""✓"",""✗"")"),"✗")</f>
        <v>✗</v>
      </c>
      <c r="I978" s="23" t="str">
        <f>IFERROR(__xludf.DUMMYFUNCTION("if(REGEXMATCH(join("", "",$F978:$G978),I$1)=TRUE,""✓"",""✗"")"),"✗")</f>
        <v>✗</v>
      </c>
      <c r="J978" s="23" t="str">
        <f>IFERROR(__xludf.DUMMYFUNCTION("if(REGEXMATCH(join("", "",$F978:$G978),J$1)=TRUE,""✓"",""✗"")"),"✗")</f>
        <v>✗</v>
      </c>
      <c r="K978" s="23" t="str">
        <f>IFERROR(__xludf.DUMMYFUNCTION("if(REGEXMATCH(join("", "",$F978:$G978),K$1)=TRUE,""✓"",""✗"")"),"✗")</f>
        <v>✗</v>
      </c>
      <c r="L978" s="23" t="str">
        <f>IFERROR(__xludf.DUMMYFUNCTION("if(REGEXMATCH(join("", "",$F978:$G978),L$1)=TRUE,""✓"",""✗"")"),"✗")</f>
        <v>✗</v>
      </c>
      <c r="M978" s="23" t="str">
        <f>IFERROR(__xludf.DUMMYFUNCTION("if(REGEXMATCH(join("", "",$F978:$G978),M$1)=TRUE,""✓"",""✗"")"),"✗")</f>
        <v>✗</v>
      </c>
      <c r="N978" s="23" t="str">
        <f>IFERROR(__xludf.DUMMYFUNCTION("if(REGEXMATCH(join("", "",$F978:$G978),N$1)=TRUE,""✓"",""✗"")"),"✗")</f>
        <v>✗</v>
      </c>
      <c r="O978" s="23" t="str">
        <f>IFERROR(__xludf.DUMMYFUNCTION("if(REGEXMATCH(join("", "",$F978:$G978),O$1)=TRUE,""✓"",""✗"")"),"✗")</f>
        <v>✗</v>
      </c>
      <c r="P978" s="23" t="str">
        <f>IFERROR(__xludf.DUMMYFUNCTION("if(REGEXMATCH(join("", "",$F978:$G978),P$1)=TRUE,""✓"",""✗"")"),"✗")</f>
        <v>✗</v>
      </c>
      <c r="Q978" s="23" t="str">
        <f>IFERROR(__xludf.DUMMYFUNCTION("if(REGEXMATCH(join("", "",$F978:$G978),Q$1)=TRUE,""✓"",""✗"")"),"✗")</f>
        <v>✗</v>
      </c>
      <c r="R978" s="23" t="str">
        <f>IFERROR(__xludf.DUMMYFUNCTION("if(REGEXMATCH(join("", "",$F978:$G978),R$1)=TRUE,""✓"",""✗"")"),"✗")</f>
        <v>✗</v>
      </c>
      <c r="S978" s="23" t="str">
        <f>IFERROR(__xludf.DUMMYFUNCTION("if(REGEXMATCH(join("", "",$F978:$G978),S$1)=TRUE,""✓"",""✗"")"),"✗")</f>
        <v>✗</v>
      </c>
      <c r="T978" s="23" t="str">
        <f>IFERROR(__xludf.DUMMYFUNCTION("if(REGEXMATCH(join("", "",$F978:$G978),T$1)=TRUE,""✓"",""✗"")"),"✗")</f>
        <v>✗</v>
      </c>
      <c r="U978" s="33"/>
      <c r="V978" s="33"/>
      <c r="W978" s="33"/>
      <c r="X978" s="33"/>
      <c r="Y978" s="33"/>
      <c r="Z978" s="33"/>
      <c r="AA978" s="33"/>
      <c r="AB978" s="33"/>
      <c r="AC978" s="33"/>
    </row>
    <row r="979" hidden="1">
      <c r="A979" s="17" t="s">
        <v>302</v>
      </c>
      <c r="B979" s="33"/>
      <c r="C979" s="33"/>
      <c r="D979" s="33"/>
      <c r="E979" s="33"/>
      <c r="F979" s="33"/>
      <c r="G979" s="33"/>
      <c r="H979" s="23" t="str">
        <f>IFERROR(__xludf.DUMMYFUNCTION("if(REGEXMATCH(join("", "",$F979:$G979),H$1)=TRUE,""✓"",""✗"")"),"✗")</f>
        <v>✗</v>
      </c>
      <c r="I979" s="23" t="str">
        <f>IFERROR(__xludf.DUMMYFUNCTION("if(REGEXMATCH(join("", "",$F979:$G979),I$1)=TRUE,""✓"",""✗"")"),"✗")</f>
        <v>✗</v>
      </c>
      <c r="J979" s="23" t="str">
        <f>IFERROR(__xludf.DUMMYFUNCTION("if(REGEXMATCH(join("", "",$F979:$G979),J$1)=TRUE,""✓"",""✗"")"),"✗")</f>
        <v>✗</v>
      </c>
      <c r="K979" s="23" t="str">
        <f>IFERROR(__xludf.DUMMYFUNCTION("if(REGEXMATCH(join("", "",$F979:$G979),K$1)=TRUE,""✓"",""✗"")"),"✗")</f>
        <v>✗</v>
      </c>
      <c r="L979" s="23" t="str">
        <f>IFERROR(__xludf.DUMMYFUNCTION("if(REGEXMATCH(join("", "",$F979:$G979),L$1)=TRUE,""✓"",""✗"")"),"✗")</f>
        <v>✗</v>
      </c>
      <c r="M979" s="23" t="str">
        <f>IFERROR(__xludf.DUMMYFUNCTION("if(REGEXMATCH(join("", "",$F979:$G979),M$1)=TRUE,""✓"",""✗"")"),"✗")</f>
        <v>✗</v>
      </c>
      <c r="N979" s="23" t="str">
        <f>IFERROR(__xludf.DUMMYFUNCTION("if(REGEXMATCH(join("", "",$F979:$G979),N$1)=TRUE,""✓"",""✗"")"),"✗")</f>
        <v>✗</v>
      </c>
      <c r="O979" s="23" t="str">
        <f>IFERROR(__xludf.DUMMYFUNCTION("if(REGEXMATCH(join("", "",$F979:$G979),O$1)=TRUE,""✓"",""✗"")"),"✗")</f>
        <v>✗</v>
      </c>
      <c r="P979" s="23" t="str">
        <f>IFERROR(__xludf.DUMMYFUNCTION("if(REGEXMATCH(join("", "",$F979:$G979),P$1)=TRUE,""✓"",""✗"")"),"✗")</f>
        <v>✗</v>
      </c>
      <c r="Q979" s="23" t="str">
        <f>IFERROR(__xludf.DUMMYFUNCTION("if(REGEXMATCH(join("", "",$F979:$G979),Q$1)=TRUE,""✓"",""✗"")"),"✗")</f>
        <v>✗</v>
      </c>
      <c r="R979" s="23" t="str">
        <f>IFERROR(__xludf.DUMMYFUNCTION("if(REGEXMATCH(join("", "",$F979:$G979),R$1)=TRUE,""✓"",""✗"")"),"✗")</f>
        <v>✗</v>
      </c>
      <c r="S979" s="23" t="str">
        <f>IFERROR(__xludf.DUMMYFUNCTION("if(REGEXMATCH(join("", "",$F979:$G979),S$1)=TRUE,""✓"",""✗"")"),"✗")</f>
        <v>✗</v>
      </c>
      <c r="T979" s="23" t="str">
        <f>IFERROR(__xludf.DUMMYFUNCTION("if(REGEXMATCH(join("", "",$F979:$G979),T$1)=TRUE,""✓"",""✗"")"),"✗")</f>
        <v>✗</v>
      </c>
      <c r="U979" s="33"/>
      <c r="V979" s="33"/>
      <c r="W979" s="33"/>
      <c r="X979" s="33"/>
      <c r="Y979" s="33"/>
      <c r="Z979" s="33"/>
      <c r="AA979" s="33"/>
      <c r="AB979" s="33"/>
      <c r="AC979" s="33"/>
    </row>
    <row r="980" hidden="1">
      <c r="A980" s="17" t="s">
        <v>302</v>
      </c>
      <c r="B980" s="33"/>
      <c r="C980" s="33"/>
      <c r="D980" s="33"/>
      <c r="E980" s="33"/>
      <c r="F980" s="33"/>
      <c r="G980" s="33"/>
      <c r="H980" s="23" t="str">
        <f>IFERROR(__xludf.DUMMYFUNCTION("if(REGEXMATCH(join("", "",$F980:$G980),H$1)=TRUE,""✓"",""✗"")"),"✗")</f>
        <v>✗</v>
      </c>
      <c r="I980" s="23" t="str">
        <f>IFERROR(__xludf.DUMMYFUNCTION("if(REGEXMATCH(join("", "",$F980:$G980),I$1)=TRUE,""✓"",""✗"")"),"✗")</f>
        <v>✗</v>
      </c>
      <c r="J980" s="23" t="str">
        <f>IFERROR(__xludf.DUMMYFUNCTION("if(REGEXMATCH(join("", "",$F980:$G980),J$1)=TRUE,""✓"",""✗"")"),"✗")</f>
        <v>✗</v>
      </c>
      <c r="K980" s="23" t="str">
        <f>IFERROR(__xludf.DUMMYFUNCTION("if(REGEXMATCH(join("", "",$F980:$G980),K$1)=TRUE,""✓"",""✗"")"),"✗")</f>
        <v>✗</v>
      </c>
      <c r="L980" s="23" t="str">
        <f>IFERROR(__xludf.DUMMYFUNCTION("if(REGEXMATCH(join("", "",$F980:$G980),L$1)=TRUE,""✓"",""✗"")"),"✗")</f>
        <v>✗</v>
      </c>
      <c r="M980" s="23" t="str">
        <f>IFERROR(__xludf.DUMMYFUNCTION("if(REGEXMATCH(join("", "",$F980:$G980),M$1)=TRUE,""✓"",""✗"")"),"✗")</f>
        <v>✗</v>
      </c>
      <c r="N980" s="23" t="str">
        <f>IFERROR(__xludf.DUMMYFUNCTION("if(REGEXMATCH(join("", "",$F980:$G980),N$1)=TRUE,""✓"",""✗"")"),"✗")</f>
        <v>✗</v>
      </c>
      <c r="O980" s="23" t="str">
        <f>IFERROR(__xludf.DUMMYFUNCTION("if(REGEXMATCH(join("", "",$F980:$G980),O$1)=TRUE,""✓"",""✗"")"),"✗")</f>
        <v>✗</v>
      </c>
      <c r="P980" s="23" t="str">
        <f>IFERROR(__xludf.DUMMYFUNCTION("if(REGEXMATCH(join("", "",$F980:$G980),P$1)=TRUE,""✓"",""✗"")"),"✗")</f>
        <v>✗</v>
      </c>
      <c r="Q980" s="23" t="str">
        <f>IFERROR(__xludf.DUMMYFUNCTION("if(REGEXMATCH(join("", "",$F980:$G980),Q$1)=TRUE,""✓"",""✗"")"),"✗")</f>
        <v>✗</v>
      </c>
      <c r="R980" s="23" t="str">
        <f>IFERROR(__xludf.DUMMYFUNCTION("if(REGEXMATCH(join("", "",$F980:$G980),R$1)=TRUE,""✓"",""✗"")"),"✗")</f>
        <v>✗</v>
      </c>
      <c r="S980" s="23" t="str">
        <f>IFERROR(__xludf.DUMMYFUNCTION("if(REGEXMATCH(join("", "",$F980:$G980),S$1)=TRUE,""✓"",""✗"")"),"✗")</f>
        <v>✗</v>
      </c>
      <c r="T980" s="23" t="str">
        <f>IFERROR(__xludf.DUMMYFUNCTION("if(REGEXMATCH(join("", "",$F980:$G980),T$1)=TRUE,""✓"",""✗"")"),"✗")</f>
        <v>✗</v>
      </c>
      <c r="U980" s="33"/>
      <c r="V980" s="33"/>
      <c r="W980" s="33"/>
      <c r="X980" s="33"/>
      <c r="Y980" s="33"/>
      <c r="Z980" s="33"/>
      <c r="AA980" s="33"/>
      <c r="AB980" s="33"/>
      <c r="AC980" s="33"/>
    </row>
    <row r="981" hidden="1">
      <c r="A981" s="17" t="s">
        <v>302</v>
      </c>
      <c r="B981" s="33"/>
      <c r="C981" s="33"/>
      <c r="D981" s="33"/>
      <c r="E981" s="33"/>
      <c r="F981" s="33"/>
      <c r="G981" s="33"/>
      <c r="H981" s="23" t="str">
        <f>IFERROR(__xludf.DUMMYFUNCTION("if(REGEXMATCH(join("", "",$F981:$G981),H$1)=TRUE,""✓"",""✗"")"),"✗")</f>
        <v>✗</v>
      </c>
      <c r="I981" s="23" t="str">
        <f>IFERROR(__xludf.DUMMYFUNCTION("if(REGEXMATCH(join("", "",$F981:$G981),I$1)=TRUE,""✓"",""✗"")"),"✗")</f>
        <v>✗</v>
      </c>
      <c r="J981" s="23" t="str">
        <f>IFERROR(__xludf.DUMMYFUNCTION("if(REGEXMATCH(join("", "",$F981:$G981),J$1)=TRUE,""✓"",""✗"")"),"✗")</f>
        <v>✗</v>
      </c>
      <c r="K981" s="23" t="str">
        <f>IFERROR(__xludf.DUMMYFUNCTION("if(REGEXMATCH(join("", "",$F981:$G981),K$1)=TRUE,""✓"",""✗"")"),"✗")</f>
        <v>✗</v>
      </c>
      <c r="L981" s="23" t="str">
        <f>IFERROR(__xludf.DUMMYFUNCTION("if(REGEXMATCH(join("", "",$F981:$G981),L$1)=TRUE,""✓"",""✗"")"),"✗")</f>
        <v>✗</v>
      </c>
      <c r="M981" s="23" t="str">
        <f>IFERROR(__xludf.DUMMYFUNCTION("if(REGEXMATCH(join("", "",$F981:$G981),M$1)=TRUE,""✓"",""✗"")"),"✗")</f>
        <v>✗</v>
      </c>
      <c r="N981" s="23" t="str">
        <f>IFERROR(__xludf.DUMMYFUNCTION("if(REGEXMATCH(join("", "",$F981:$G981),N$1)=TRUE,""✓"",""✗"")"),"✗")</f>
        <v>✗</v>
      </c>
      <c r="O981" s="23" t="str">
        <f>IFERROR(__xludf.DUMMYFUNCTION("if(REGEXMATCH(join("", "",$F981:$G981),O$1)=TRUE,""✓"",""✗"")"),"✗")</f>
        <v>✗</v>
      </c>
      <c r="P981" s="23" t="str">
        <f>IFERROR(__xludf.DUMMYFUNCTION("if(REGEXMATCH(join("", "",$F981:$G981),P$1)=TRUE,""✓"",""✗"")"),"✗")</f>
        <v>✗</v>
      </c>
      <c r="Q981" s="23" t="str">
        <f>IFERROR(__xludf.DUMMYFUNCTION("if(REGEXMATCH(join("", "",$F981:$G981),Q$1)=TRUE,""✓"",""✗"")"),"✗")</f>
        <v>✗</v>
      </c>
      <c r="R981" s="23" t="str">
        <f>IFERROR(__xludf.DUMMYFUNCTION("if(REGEXMATCH(join("", "",$F981:$G981),R$1)=TRUE,""✓"",""✗"")"),"✗")</f>
        <v>✗</v>
      </c>
      <c r="S981" s="23" t="str">
        <f>IFERROR(__xludf.DUMMYFUNCTION("if(REGEXMATCH(join("", "",$F981:$G981),S$1)=TRUE,""✓"",""✗"")"),"✗")</f>
        <v>✗</v>
      </c>
      <c r="T981" s="23" t="str">
        <f>IFERROR(__xludf.DUMMYFUNCTION("if(REGEXMATCH(join("", "",$F981:$G981),T$1)=TRUE,""✓"",""✗"")"),"✗")</f>
        <v>✗</v>
      </c>
      <c r="U981" s="33"/>
      <c r="V981" s="33"/>
      <c r="W981" s="33"/>
      <c r="X981" s="33"/>
      <c r="Y981" s="33"/>
      <c r="Z981" s="33"/>
      <c r="AA981" s="33"/>
      <c r="AB981" s="33"/>
      <c r="AC981" s="33"/>
    </row>
    <row r="982" hidden="1">
      <c r="A982" s="17" t="s">
        <v>302</v>
      </c>
      <c r="B982" s="33"/>
      <c r="C982" s="33"/>
      <c r="D982" s="33"/>
      <c r="E982" s="33"/>
      <c r="F982" s="33"/>
      <c r="G982" s="33"/>
      <c r="H982" s="23" t="str">
        <f>IFERROR(__xludf.DUMMYFUNCTION("if(REGEXMATCH(join("", "",$F982:$G982),H$1)=TRUE,""✓"",""✗"")"),"✗")</f>
        <v>✗</v>
      </c>
      <c r="I982" s="23" t="str">
        <f>IFERROR(__xludf.DUMMYFUNCTION("if(REGEXMATCH(join("", "",$F982:$G982),I$1)=TRUE,""✓"",""✗"")"),"✗")</f>
        <v>✗</v>
      </c>
      <c r="J982" s="23" t="str">
        <f>IFERROR(__xludf.DUMMYFUNCTION("if(REGEXMATCH(join("", "",$F982:$G982),J$1)=TRUE,""✓"",""✗"")"),"✗")</f>
        <v>✗</v>
      </c>
      <c r="K982" s="23" t="str">
        <f>IFERROR(__xludf.DUMMYFUNCTION("if(REGEXMATCH(join("", "",$F982:$G982),K$1)=TRUE,""✓"",""✗"")"),"✗")</f>
        <v>✗</v>
      </c>
      <c r="L982" s="23" t="str">
        <f>IFERROR(__xludf.DUMMYFUNCTION("if(REGEXMATCH(join("", "",$F982:$G982),L$1)=TRUE,""✓"",""✗"")"),"✗")</f>
        <v>✗</v>
      </c>
      <c r="M982" s="23" t="str">
        <f>IFERROR(__xludf.DUMMYFUNCTION("if(REGEXMATCH(join("", "",$F982:$G982),M$1)=TRUE,""✓"",""✗"")"),"✗")</f>
        <v>✗</v>
      </c>
      <c r="N982" s="23" t="str">
        <f>IFERROR(__xludf.DUMMYFUNCTION("if(REGEXMATCH(join("", "",$F982:$G982),N$1)=TRUE,""✓"",""✗"")"),"✗")</f>
        <v>✗</v>
      </c>
      <c r="O982" s="23" t="str">
        <f>IFERROR(__xludf.DUMMYFUNCTION("if(REGEXMATCH(join("", "",$F982:$G982),O$1)=TRUE,""✓"",""✗"")"),"✗")</f>
        <v>✗</v>
      </c>
      <c r="P982" s="23" t="str">
        <f>IFERROR(__xludf.DUMMYFUNCTION("if(REGEXMATCH(join("", "",$F982:$G982),P$1)=TRUE,""✓"",""✗"")"),"✗")</f>
        <v>✗</v>
      </c>
      <c r="Q982" s="23" t="str">
        <f>IFERROR(__xludf.DUMMYFUNCTION("if(REGEXMATCH(join("", "",$F982:$G982),Q$1)=TRUE,""✓"",""✗"")"),"✗")</f>
        <v>✗</v>
      </c>
      <c r="R982" s="23" t="str">
        <f>IFERROR(__xludf.DUMMYFUNCTION("if(REGEXMATCH(join("", "",$F982:$G982),R$1)=TRUE,""✓"",""✗"")"),"✗")</f>
        <v>✗</v>
      </c>
      <c r="S982" s="23" t="str">
        <f>IFERROR(__xludf.DUMMYFUNCTION("if(REGEXMATCH(join("", "",$F982:$G982),S$1)=TRUE,""✓"",""✗"")"),"✗")</f>
        <v>✗</v>
      </c>
      <c r="T982" s="23" t="str">
        <f>IFERROR(__xludf.DUMMYFUNCTION("if(REGEXMATCH(join("", "",$F982:$G982),T$1)=TRUE,""✓"",""✗"")"),"✗")</f>
        <v>✗</v>
      </c>
      <c r="U982" s="33"/>
      <c r="V982" s="33"/>
      <c r="W982" s="33"/>
      <c r="X982" s="33"/>
      <c r="Y982" s="33"/>
      <c r="Z982" s="33"/>
      <c r="AA982" s="33"/>
      <c r="AB982" s="33"/>
      <c r="AC982" s="33"/>
    </row>
    <row r="983" hidden="1">
      <c r="A983" s="17" t="s">
        <v>302</v>
      </c>
      <c r="B983" s="33"/>
      <c r="C983" s="33"/>
      <c r="D983" s="33"/>
      <c r="E983" s="33"/>
      <c r="F983" s="33"/>
      <c r="G983" s="33"/>
      <c r="H983" s="23" t="str">
        <f>IFERROR(__xludf.DUMMYFUNCTION("if(REGEXMATCH(join("", "",$F983:$G983),H$1)=TRUE,""✓"",""✗"")"),"✗")</f>
        <v>✗</v>
      </c>
      <c r="I983" s="23" t="str">
        <f>IFERROR(__xludf.DUMMYFUNCTION("if(REGEXMATCH(join("", "",$F983:$G983),I$1)=TRUE,""✓"",""✗"")"),"✗")</f>
        <v>✗</v>
      </c>
      <c r="J983" s="23" t="str">
        <f>IFERROR(__xludf.DUMMYFUNCTION("if(REGEXMATCH(join("", "",$F983:$G983),J$1)=TRUE,""✓"",""✗"")"),"✗")</f>
        <v>✗</v>
      </c>
      <c r="K983" s="23" t="str">
        <f>IFERROR(__xludf.DUMMYFUNCTION("if(REGEXMATCH(join("", "",$F983:$G983),K$1)=TRUE,""✓"",""✗"")"),"✗")</f>
        <v>✗</v>
      </c>
      <c r="L983" s="23" t="str">
        <f>IFERROR(__xludf.DUMMYFUNCTION("if(REGEXMATCH(join("", "",$F983:$G983),L$1)=TRUE,""✓"",""✗"")"),"✗")</f>
        <v>✗</v>
      </c>
      <c r="M983" s="23" t="str">
        <f>IFERROR(__xludf.DUMMYFUNCTION("if(REGEXMATCH(join("", "",$F983:$G983),M$1)=TRUE,""✓"",""✗"")"),"✗")</f>
        <v>✗</v>
      </c>
      <c r="N983" s="23" t="str">
        <f>IFERROR(__xludf.DUMMYFUNCTION("if(REGEXMATCH(join("", "",$F983:$G983),N$1)=TRUE,""✓"",""✗"")"),"✗")</f>
        <v>✗</v>
      </c>
      <c r="O983" s="23" t="str">
        <f>IFERROR(__xludf.DUMMYFUNCTION("if(REGEXMATCH(join("", "",$F983:$G983),O$1)=TRUE,""✓"",""✗"")"),"✗")</f>
        <v>✗</v>
      </c>
      <c r="P983" s="23" t="str">
        <f>IFERROR(__xludf.DUMMYFUNCTION("if(REGEXMATCH(join("", "",$F983:$G983),P$1)=TRUE,""✓"",""✗"")"),"✗")</f>
        <v>✗</v>
      </c>
      <c r="Q983" s="23" t="str">
        <f>IFERROR(__xludf.DUMMYFUNCTION("if(REGEXMATCH(join("", "",$F983:$G983),Q$1)=TRUE,""✓"",""✗"")"),"✗")</f>
        <v>✗</v>
      </c>
      <c r="R983" s="23" t="str">
        <f>IFERROR(__xludf.DUMMYFUNCTION("if(REGEXMATCH(join("", "",$F983:$G983),R$1)=TRUE,""✓"",""✗"")"),"✗")</f>
        <v>✗</v>
      </c>
      <c r="S983" s="23" t="str">
        <f>IFERROR(__xludf.DUMMYFUNCTION("if(REGEXMATCH(join("", "",$F983:$G983),S$1)=TRUE,""✓"",""✗"")"),"✗")</f>
        <v>✗</v>
      </c>
      <c r="T983" s="23" t="str">
        <f>IFERROR(__xludf.DUMMYFUNCTION("if(REGEXMATCH(join("", "",$F983:$G983),T$1)=TRUE,""✓"",""✗"")"),"✗")</f>
        <v>✗</v>
      </c>
      <c r="U983" s="33"/>
      <c r="V983" s="33"/>
      <c r="W983" s="33"/>
      <c r="X983" s="33"/>
      <c r="Y983" s="33"/>
      <c r="Z983" s="33"/>
      <c r="AA983" s="33"/>
      <c r="AB983" s="33"/>
      <c r="AC983" s="33"/>
    </row>
    <row r="984" hidden="1">
      <c r="A984" s="17" t="s">
        <v>302</v>
      </c>
      <c r="B984" s="33"/>
      <c r="C984" s="33"/>
      <c r="D984" s="33"/>
      <c r="E984" s="33"/>
      <c r="F984" s="33"/>
      <c r="G984" s="33"/>
      <c r="H984" s="23" t="str">
        <f>IFERROR(__xludf.DUMMYFUNCTION("if(REGEXMATCH(join("", "",$F984:$G984),H$1)=TRUE,""✓"",""✗"")"),"✗")</f>
        <v>✗</v>
      </c>
      <c r="I984" s="23" t="str">
        <f>IFERROR(__xludf.DUMMYFUNCTION("if(REGEXMATCH(join("", "",$F984:$G984),I$1)=TRUE,""✓"",""✗"")"),"✗")</f>
        <v>✗</v>
      </c>
      <c r="J984" s="23" t="str">
        <f>IFERROR(__xludf.DUMMYFUNCTION("if(REGEXMATCH(join("", "",$F984:$G984),J$1)=TRUE,""✓"",""✗"")"),"✗")</f>
        <v>✗</v>
      </c>
      <c r="K984" s="23" t="str">
        <f>IFERROR(__xludf.DUMMYFUNCTION("if(REGEXMATCH(join("", "",$F984:$G984),K$1)=TRUE,""✓"",""✗"")"),"✗")</f>
        <v>✗</v>
      </c>
      <c r="L984" s="23" t="str">
        <f>IFERROR(__xludf.DUMMYFUNCTION("if(REGEXMATCH(join("", "",$F984:$G984),L$1)=TRUE,""✓"",""✗"")"),"✗")</f>
        <v>✗</v>
      </c>
      <c r="M984" s="23" t="str">
        <f>IFERROR(__xludf.DUMMYFUNCTION("if(REGEXMATCH(join("", "",$F984:$G984),M$1)=TRUE,""✓"",""✗"")"),"✗")</f>
        <v>✗</v>
      </c>
      <c r="N984" s="23" t="str">
        <f>IFERROR(__xludf.DUMMYFUNCTION("if(REGEXMATCH(join("", "",$F984:$G984),N$1)=TRUE,""✓"",""✗"")"),"✗")</f>
        <v>✗</v>
      </c>
      <c r="O984" s="23" t="str">
        <f>IFERROR(__xludf.DUMMYFUNCTION("if(REGEXMATCH(join("", "",$F984:$G984),O$1)=TRUE,""✓"",""✗"")"),"✗")</f>
        <v>✗</v>
      </c>
      <c r="P984" s="23" t="str">
        <f>IFERROR(__xludf.DUMMYFUNCTION("if(REGEXMATCH(join("", "",$F984:$G984),P$1)=TRUE,""✓"",""✗"")"),"✗")</f>
        <v>✗</v>
      </c>
      <c r="Q984" s="23" t="str">
        <f>IFERROR(__xludf.DUMMYFUNCTION("if(REGEXMATCH(join("", "",$F984:$G984),Q$1)=TRUE,""✓"",""✗"")"),"✗")</f>
        <v>✗</v>
      </c>
      <c r="R984" s="23" t="str">
        <f>IFERROR(__xludf.DUMMYFUNCTION("if(REGEXMATCH(join("", "",$F984:$G984),R$1)=TRUE,""✓"",""✗"")"),"✗")</f>
        <v>✗</v>
      </c>
      <c r="S984" s="23" t="str">
        <f>IFERROR(__xludf.DUMMYFUNCTION("if(REGEXMATCH(join("", "",$F984:$G984),S$1)=TRUE,""✓"",""✗"")"),"✗")</f>
        <v>✗</v>
      </c>
      <c r="T984" s="23" t="str">
        <f>IFERROR(__xludf.DUMMYFUNCTION("if(REGEXMATCH(join("", "",$F984:$G984),T$1)=TRUE,""✓"",""✗"")"),"✗")</f>
        <v>✗</v>
      </c>
      <c r="U984" s="33"/>
      <c r="V984" s="33"/>
      <c r="W984" s="33"/>
      <c r="X984" s="33"/>
      <c r="Y984" s="33"/>
      <c r="Z984" s="33"/>
      <c r="AA984" s="33"/>
      <c r="AB984" s="33"/>
      <c r="AC984" s="33"/>
    </row>
    <row r="985" hidden="1">
      <c r="A985" s="17" t="s">
        <v>302</v>
      </c>
      <c r="B985" s="33"/>
      <c r="C985" s="33"/>
      <c r="D985" s="33"/>
      <c r="E985" s="33"/>
      <c r="F985" s="33"/>
      <c r="G985" s="33"/>
      <c r="H985" s="23" t="str">
        <f>IFERROR(__xludf.DUMMYFUNCTION("if(REGEXMATCH(join("", "",$F985:$G985),H$1)=TRUE,""✓"",""✗"")"),"✗")</f>
        <v>✗</v>
      </c>
      <c r="I985" s="23" t="str">
        <f>IFERROR(__xludf.DUMMYFUNCTION("if(REGEXMATCH(join("", "",$F985:$G985),I$1)=TRUE,""✓"",""✗"")"),"✗")</f>
        <v>✗</v>
      </c>
      <c r="J985" s="23" t="str">
        <f>IFERROR(__xludf.DUMMYFUNCTION("if(REGEXMATCH(join("", "",$F985:$G985),J$1)=TRUE,""✓"",""✗"")"),"✗")</f>
        <v>✗</v>
      </c>
      <c r="K985" s="23" t="str">
        <f>IFERROR(__xludf.DUMMYFUNCTION("if(REGEXMATCH(join("", "",$F985:$G985),K$1)=TRUE,""✓"",""✗"")"),"✗")</f>
        <v>✗</v>
      </c>
      <c r="L985" s="23" t="str">
        <f>IFERROR(__xludf.DUMMYFUNCTION("if(REGEXMATCH(join("", "",$F985:$G985),L$1)=TRUE,""✓"",""✗"")"),"✗")</f>
        <v>✗</v>
      </c>
      <c r="M985" s="23" t="str">
        <f>IFERROR(__xludf.DUMMYFUNCTION("if(REGEXMATCH(join("", "",$F985:$G985),M$1)=TRUE,""✓"",""✗"")"),"✗")</f>
        <v>✗</v>
      </c>
      <c r="N985" s="23" t="str">
        <f>IFERROR(__xludf.DUMMYFUNCTION("if(REGEXMATCH(join("", "",$F985:$G985),N$1)=TRUE,""✓"",""✗"")"),"✗")</f>
        <v>✗</v>
      </c>
      <c r="O985" s="23" t="str">
        <f>IFERROR(__xludf.DUMMYFUNCTION("if(REGEXMATCH(join("", "",$F985:$G985),O$1)=TRUE,""✓"",""✗"")"),"✗")</f>
        <v>✗</v>
      </c>
      <c r="P985" s="23" t="str">
        <f>IFERROR(__xludf.DUMMYFUNCTION("if(REGEXMATCH(join("", "",$F985:$G985),P$1)=TRUE,""✓"",""✗"")"),"✗")</f>
        <v>✗</v>
      </c>
      <c r="Q985" s="23" t="str">
        <f>IFERROR(__xludf.DUMMYFUNCTION("if(REGEXMATCH(join("", "",$F985:$G985),Q$1)=TRUE,""✓"",""✗"")"),"✗")</f>
        <v>✗</v>
      </c>
      <c r="R985" s="23" t="str">
        <f>IFERROR(__xludf.DUMMYFUNCTION("if(REGEXMATCH(join("", "",$F985:$G985),R$1)=TRUE,""✓"",""✗"")"),"✗")</f>
        <v>✗</v>
      </c>
      <c r="S985" s="23" t="str">
        <f>IFERROR(__xludf.DUMMYFUNCTION("if(REGEXMATCH(join("", "",$F985:$G985),S$1)=TRUE,""✓"",""✗"")"),"✗")</f>
        <v>✗</v>
      </c>
      <c r="T985" s="23" t="str">
        <f>IFERROR(__xludf.DUMMYFUNCTION("if(REGEXMATCH(join("", "",$F985:$G985),T$1)=TRUE,""✓"",""✗"")"),"✗")</f>
        <v>✗</v>
      </c>
      <c r="U985" s="33"/>
      <c r="V985" s="33"/>
      <c r="W985" s="33"/>
      <c r="X985" s="33"/>
      <c r="Y985" s="33"/>
      <c r="Z985" s="33"/>
      <c r="AA985" s="33"/>
      <c r="AB985" s="33"/>
      <c r="AC985" s="33"/>
    </row>
    <row r="986" hidden="1">
      <c r="A986" s="17" t="s">
        <v>302</v>
      </c>
      <c r="B986" s="33"/>
      <c r="C986" s="33"/>
      <c r="D986" s="33"/>
      <c r="E986" s="33"/>
      <c r="F986" s="33"/>
      <c r="G986" s="33"/>
      <c r="H986" s="23" t="str">
        <f>IFERROR(__xludf.DUMMYFUNCTION("if(REGEXMATCH(join("", "",$F986:$G986),H$1)=TRUE,""✓"",""✗"")"),"✗")</f>
        <v>✗</v>
      </c>
      <c r="I986" s="23" t="str">
        <f>IFERROR(__xludf.DUMMYFUNCTION("if(REGEXMATCH(join("", "",$F986:$G986),I$1)=TRUE,""✓"",""✗"")"),"✗")</f>
        <v>✗</v>
      </c>
      <c r="J986" s="23" t="str">
        <f>IFERROR(__xludf.DUMMYFUNCTION("if(REGEXMATCH(join("", "",$F986:$G986),J$1)=TRUE,""✓"",""✗"")"),"✗")</f>
        <v>✗</v>
      </c>
      <c r="K986" s="23" t="str">
        <f>IFERROR(__xludf.DUMMYFUNCTION("if(REGEXMATCH(join("", "",$F986:$G986),K$1)=TRUE,""✓"",""✗"")"),"✗")</f>
        <v>✗</v>
      </c>
      <c r="L986" s="23" t="str">
        <f>IFERROR(__xludf.DUMMYFUNCTION("if(REGEXMATCH(join("", "",$F986:$G986),L$1)=TRUE,""✓"",""✗"")"),"✗")</f>
        <v>✗</v>
      </c>
      <c r="M986" s="23" t="str">
        <f>IFERROR(__xludf.DUMMYFUNCTION("if(REGEXMATCH(join("", "",$F986:$G986),M$1)=TRUE,""✓"",""✗"")"),"✗")</f>
        <v>✗</v>
      </c>
      <c r="N986" s="23" t="str">
        <f>IFERROR(__xludf.DUMMYFUNCTION("if(REGEXMATCH(join("", "",$F986:$G986),N$1)=TRUE,""✓"",""✗"")"),"✗")</f>
        <v>✗</v>
      </c>
      <c r="O986" s="23" t="str">
        <f>IFERROR(__xludf.DUMMYFUNCTION("if(REGEXMATCH(join("", "",$F986:$G986),O$1)=TRUE,""✓"",""✗"")"),"✗")</f>
        <v>✗</v>
      </c>
      <c r="P986" s="23" t="str">
        <f>IFERROR(__xludf.DUMMYFUNCTION("if(REGEXMATCH(join("", "",$F986:$G986),P$1)=TRUE,""✓"",""✗"")"),"✗")</f>
        <v>✗</v>
      </c>
      <c r="Q986" s="23" t="str">
        <f>IFERROR(__xludf.DUMMYFUNCTION("if(REGEXMATCH(join("", "",$F986:$G986),Q$1)=TRUE,""✓"",""✗"")"),"✗")</f>
        <v>✗</v>
      </c>
      <c r="R986" s="23" t="str">
        <f>IFERROR(__xludf.DUMMYFUNCTION("if(REGEXMATCH(join("", "",$F986:$G986),R$1)=TRUE,""✓"",""✗"")"),"✗")</f>
        <v>✗</v>
      </c>
      <c r="S986" s="23" t="str">
        <f>IFERROR(__xludf.DUMMYFUNCTION("if(REGEXMATCH(join("", "",$F986:$G986),S$1)=TRUE,""✓"",""✗"")"),"✗")</f>
        <v>✗</v>
      </c>
      <c r="T986" s="23" t="str">
        <f>IFERROR(__xludf.DUMMYFUNCTION("if(REGEXMATCH(join("", "",$F986:$G986),T$1)=TRUE,""✓"",""✗"")"),"✗")</f>
        <v>✗</v>
      </c>
      <c r="U986" s="33"/>
      <c r="V986" s="33"/>
      <c r="W986" s="33"/>
      <c r="X986" s="33"/>
      <c r="Y986" s="33"/>
      <c r="Z986" s="33"/>
      <c r="AA986" s="33"/>
      <c r="AB986" s="33"/>
      <c r="AC986" s="33"/>
    </row>
    <row r="987" hidden="1">
      <c r="A987" s="17" t="s">
        <v>302</v>
      </c>
      <c r="B987" s="33"/>
      <c r="C987" s="33"/>
      <c r="D987" s="33"/>
      <c r="E987" s="33"/>
      <c r="F987" s="33"/>
      <c r="G987" s="33"/>
      <c r="H987" s="23" t="str">
        <f>IFERROR(__xludf.DUMMYFUNCTION("if(REGEXMATCH(join("", "",$F987:$G987),H$1)=TRUE,""✓"",""✗"")"),"✗")</f>
        <v>✗</v>
      </c>
      <c r="I987" s="23" t="str">
        <f>IFERROR(__xludf.DUMMYFUNCTION("if(REGEXMATCH(join("", "",$F987:$G987),I$1)=TRUE,""✓"",""✗"")"),"✗")</f>
        <v>✗</v>
      </c>
      <c r="J987" s="23" t="str">
        <f>IFERROR(__xludf.DUMMYFUNCTION("if(REGEXMATCH(join("", "",$F987:$G987),J$1)=TRUE,""✓"",""✗"")"),"✗")</f>
        <v>✗</v>
      </c>
      <c r="K987" s="23" t="str">
        <f>IFERROR(__xludf.DUMMYFUNCTION("if(REGEXMATCH(join("", "",$F987:$G987),K$1)=TRUE,""✓"",""✗"")"),"✗")</f>
        <v>✗</v>
      </c>
      <c r="L987" s="23" t="str">
        <f>IFERROR(__xludf.DUMMYFUNCTION("if(REGEXMATCH(join("", "",$F987:$G987),L$1)=TRUE,""✓"",""✗"")"),"✗")</f>
        <v>✗</v>
      </c>
      <c r="M987" s="23" t="str">
        <f>IFERROR(__xludf.DUMMYFUNCTION("if(REGEXMATCH(join("", "",$F987:$G987),M$1)=TRUE,""✓"",""✗"")"),"✗")</f>
        <v>✗</v>
      </c>
      <c r="N987" s="23" t="str">
        <f>IFERROR(__xludf.DUMMYFUNCTION("if(REGEXMATCH(join("", "",$F987:$G987),N$1)=TRUE,""✓"",""✗"")"),"✗")</f>
        <v>✗</v>
      </c>
      <c r="O987" s="23" t="str">
        <f>IFERROR(__xludf.DUMMYFUNCTION("if(REGEXMATCH(join("", "",$F987:$G987),O$1)=TRUE,""✓"",""✗"")"),"✗")</f>
        <v>✗</v>
      </c>
      <c r="P987" s="23" t="str">
        <f>IFERROR(__xludf.DUMMYFUNCTION("if(REGEXMATCH(join("", "",$F987:$G987),P$1)=TRUE,""✓"",""✗"")"),"✗")</f>
        <v>✗</v>
      </c>
      <c r="Q987" s="23" t="str">
        <f>IFERROR(__xludf.DUMMYFUNCTION("if(REGEXMATCH(join("", "",$F987:$G987),Q$1)=TRUE,""✓"",""✗"")"),"✗")</f>
        <v>✗</v>
      </c>
      <c r="R987" s="23" t="str">
        <f>IFERROR(__xludf.DUMMYFUNCTION("if(REGEXMATCH(join("", "",$F987:$G987),R$1)=TRUE,""✓"",""✗"")"),"✗")</f>
        <v>✗</v>
      </c>
      <c r="S987" s="23" t="str">
        <f>IFERROR(__xludf.DUMMYFUNCTION("if(REGEXMATCH(join("", "",$F987:$G987),S$1)=TRUE,""✓"",""✗"")"),"✗")</f>
        <v>✗</v>
      </c>
      <c r="T987" s="23" t="str">
        <f>IFERROR(__xludf.DUMMYFUNCTION("if(REGEXMATCH(join("", "",$F987:$G987),T$1)=TRUE,""✓"",""✗"")"),"✗")</f>
        <v>✗</v>
      </c>
      <c r="U987" s="33"/>
      <c r="V987" s="33"/>
      <c r="W987" s="33"/>
      <c r="X987" s="33"/>
      <c r="Y987" s="33"/>
      <c r="Z987" s="33"/>
      <c r="AA987" s="33"/>
      <c r="AB987" s="33"/>
      <c r="AC987" s="33"/>
    </row>
    <row r="988" hidden="1">
      <c r="A988" s="17" t="s">
        <v>302</v>
      </c>
      <c r="B988" s="33"/>
      <c r="C988" s="33"/>
      <c r="D988" s="33"/>
      <c r="E988" s="33"/>
      <c r="F988" s="33"/>
      <c r="G988" s="33"/>
      <c r="H988" s="23" t="str">
        <f>IFERROR(__xludf.DUMMYFUNCTION("if(REGEXMATCH(join("", "",$F988:$G988),H$1)=TRUE,""✓"",""✗"")"),"✗")</f>
        <v>✗</v>
      </c>
      <c r="I988" s="23" t="str">
        <f>IFERROR(__xludf.DUMMYFUNCTION("if(REGEXMATCH(join("", "",$F988:$G988),I$1)=TRUE,""✓"",""✗"")"),"✗")</f>
        <v>✗</v>
      </c>
      <c r="J988" s="23" t="str">
        <f>IFERROR(__xludf.DUMMYFUNCTION("if(REGEXMATCH(join("", "",$F988:$G988),J$1)=TRUE,""✓"",""✗"")"),"✗")</f>
        <v>✗</v>
      </c>
      <c r="K988" s="23" t="str">
        <f>IFERROR(__xludf.DUMMYFUNCTION("if(REGEXMATCH(join("", "",$F988:$G988),K$1)=TRUE,""✓"",""✗"")"),"✗")</f>
        <v>✗</v>
      </c>
      <c r="L988" s="23" t="str">
        <f>IFERROR(__xludf.DUMMYFUNCTION("if(REGEXMATCH(join("", "",$F988:$G988),L$1)=TRUE,""✓"",""✗"")"),"✗")</f>
        <v>✗</v>
      </c>
      <c r="M988" s="23" t="str">
        <f>IFERROR(__xludf.DUMMYFUNCTION("if(REGEXMATCH(join("", "",$F988:$G988),M$1)=TRUE,""✓"",""✗"")"),"✗")</f>
        <v>✗</v>
      </c>
      <c r="N988" s="23" t="str">
        <f>IFERROR(__xludf.DUMMYFUNCTION("if(REGEXMATCH(join("", "",$F988:$G988),N$1)=TRUE,""✓"",""✗"")"),"✗")</f>
        <v>✗</v>
      </c>
      <c r="O988" s="23" t="str">
        <f>IFERROR(__xludf.DUMMYFUNCTION("if(REGEXMATCH(join("", "",$F988:$G988),O$1)=TRUE,""✓"",""✗"")"),"✗")</f>
        <v>✗</v>
      </c>
      <c r="P988" s="23" t="str">
        <f>IFERROR(__xludf.DUMMYFUNCTION("if(REGEXMATCH(join("", "",$F988:$G988),P$1)=TRUE,""✓"",""✗"")"),"✗")</f>
        <v>✗</v>
      </c>
      <c r="Q988" s="23" t="str">
        <f>IFERROR(__xludf.DUMMYFUNCTION("if(REGEXMATCH(join("", "",$F988:$G988),Q$1)=TRUE,""✓"",""✗"")"),"✗")</f>
        <v>✗</v>
      </c>
      <c r="R988" s="23" t="str">
        <f>IFERROR(__xludf.DUMMYFUNCTION("if(REGEXMATCH(join("", "",$F988:$G988),R$1)=TRUE,""✓"",""✗"")"),"✗")</f>
        <v>✗</v>
      </c>
      <c r="S988" s="23" t="str">
        <f>IFERROR(__xludf.DUMMYFUNCTION("if(REGEXMATCH(join("", "",$F988:$G988),S$1)=TRUE,""✓"",""✗"")"),"✗")</f>
        <v>✗</v>
      </c>
      <c r="T988" s="23" t="str">
        <f>IFERROR(__xludf.DUMMYFUNCTION("if(REGEXMATCH(join("", "",$F988:$G988),T$1)=TRUE,""✓"",""✗"")"),"✗")</f>
        <v>✗</v>
      </c>
      <c r="U988" s="33"/>
      <c r="V988" s="33"/>
      <c r="W988" s="33"/>
      <c r="X988" s="33"/>
      <c r="Y988" s="33"/>
      <c r="Z988" s="33"/>
      <c r="AA988" s="33"/>
      <c r="AB988" s="33"/>
      <c r="AC988" s="33"/>
    </row>
    <row r="989" hidden="1">
      <c r="A989" s="17" t="s">
        <v>302</v>
      </c>
      <c r="B989" s="33"/>
      <c r="C989" s="33"/>
      <c r="D989" s="33"/>
      <c r="E989" s="33"/>
      <c r="F989" s="33"/>
      <c r="G989" s="33"/>
      <c r="H989" s="23" t="str">
        <f>IFERROR(__xludf.DUMMYFUNCTION("if(REGEXMATCH(join("", "",$F989:$G989),H$1)=TRUE,""✓"",""✗"")"),"✗")</f>
        <v>✗</v>
      </c>
      <c r="I989" s="23" t="str">
        <f>IFERROR(__xludf.DUMMYFUNCTION("if(REGEXMATCH(join("", "",$F989:$G989),I$1)=TRUE,""✓"",""✗"")"),"✗")</f>
        <v>✗</v>
      </c>
      <c r="J989" s="23" t="str">
        <f>IFERROR(__xludf.DUMMYFUNCTION("if(REGEXMATCH(join("", "",$F989:$G989),J$1)=TRUE,""✓"",""✗"")"),"✗")</f>
        <v>✗</v>
      </c>
      <c r="K989" s="23" t="str">
        <f>IFERROR(__xludf.DUMMYFUNCTION("if(REGEXMATCH(join("", "",$F989:$G989),K$1)=TRUE,""✓"",""✗"")"),"✗")</f>
        <v>✗</v>
      </c>
      <c r="L989" s="23" t="str">
        <f>IFERROR(__xludf.DUMMYFUNCTION("if(REGEXMATCH(join("", "",$F989:$G989),L$1)=TRUE,""✓"",""✗"")"),"✗")</f>
        <v>✗</v>
      </c>
      <c r="M989" s="23" t="str">
        <f>IFERROR(__xludf.DUMMYFUNCTION("if(REGEXMATCH(join("", "",$F989:$G989),M$1)=TRUE,""✓"",""✗"")"),"✗")</f>
        <v>✗</v>
      </c>
      <c r="N989" s="23" t="str">
        <f>IFERROR(__xludf.DUMMYFUNCTION("if(REGEXMATCH(join("", "",$F989:$G989),N$1)=TRUE,""✓"",""✗"")"),"✗")</f>
        <v>✗</v>
      </c>
      <c r="O989" s="23" t="str">
        <f>IFERROR(__xludf.DUMMYFUNCTION("if(REGEXMATCH(join("", "",$F989:$G989),O$1)=TRUE,""✓"",""✗"")"),"✗")</f>
        <v>✗</v>
      </c>
      <c r="P989" s="23" t="str">
        <f>IFERROR(__xludf.DUMMYFUNCTION("if(REGEXMATCH(join("", "",$F989:$G989),P$1)=TRUE,""✓"",""✗"")"),"✗")</f>
        <v>✗</v>
      </c>
      <c r="Q989" s="23" t="str">
        <f>IFERROR(__xludf.DUMMYFUNCTION("if(REGEXMATCH(join("", "",$F989:$G989),Q$1)=TRUE,""✓"",""✗"")"),"✗")</f>
        <v>✗</v>
      </c>
      <c r="R989" s="23" t="str">
        <f>IFERROR(__xludf.DUMMYFUNCTION("if(REGEXMATCH(join("", "",$F989:$G989),R$1)=TRUE,""✓"",""✗"")"),"✗")</f>
        <v>✗</v>
      </c>
      <c r="S989" s="23" t="str">
        <f>IFERROR(__xludf.DUMMYFUNCTION("if(REGEXMATCH(join("", "",$F989:$G989),S$1)=TRUE,""✓"",""✗"")"),"✗")</f>
        <v>✗</v>
      </c>
      <c r="T989" s="23" t="str">
        <f>IFERROR(__xludf.DUMMYFUNCTION("if(REGEXMATCH(join("", "",$F989:$G989),T$1)=TRUE,""✓"",""✗"")"),"✗")</f>
        <v>✗</v>
      </c>
      <c r="U989" s="33"/>
      <c r="V989" s="33"/>
      <c r="W989" s="33"/>
      <c r="X989" s="33"/>
      <c r="Y989" s="33"/>
      <c r="Z989" s="33"/>
      <c r="AA989" s="33"/>
      <c r="AB989" s="33"/>
      <c r="AC989" s="33"/>
    </row>
    <row r="990" hidden="1">
      <c r="A990" s="17" t="s">
        <v>302</v>
      </c>
      <c r="B990" s="33"/>
      <c r="C990" s="33"/>
      <c r="D990" s="33"/>
      <c r="E990" s="33"/>
      <c r="F990" s="33"/>
      <c r="G990" s="33"/>
      <c r="H990" s="51">
        <f t="shared" ref="H990:T990" si="23">countif(H882:H989,"✓")</f>
        <v>0</v>
      </c>
      <c r="I990" s="51">
        <f t="shared" si="23"/>
        <v>0</v>
      </c>
      <c r="J990" s="51">
        <f t="shared" si="23"/>
        <v>0</v>
      </c>
      <c r="K990" s="51">
        <f t="shared" si="23"/>
        <v>0</v>
      </c>
      <c r="L990" s="51">
        <f t="shared" si="23"/>
        <v>0</v>
      </c>
      <c r="M990" s="51">
        <f t="shared" si="23"/>
        <v>0</v>
      </c>
      <c r="N990" s="51">
        <f t="shared" si="23"/>
        <v>0</v>
      </c>
      <c r="O990" s="51">
        <f t="shared" si="23"/>
        <v>0</v>
      </c>
      <c r="P990" s="51">
        <f t="shared" si="23"/>
        <v>0</v>
      </c>
      <c r="Q990" s="51">
        <f t="shared" si="23"/>
        <v>0</v>
      </c>
      <c r="R990" s="51">
        <f t="shared" si="23"/>
        <v>0</v>
      </c>
      <c r="S990" s="51">
        <f t="shared" si="23"/>
        <v>0</v>
      </c>
      <c r="T990" s="51">
        <f t="shared" si="23"/>
        <v>0</v>
      </c>
      <c r="U990" s="33"/>
      <c r="V990" s="33"/>
      <c r="W990" s="33"/>
      <c r="X990" s="33"/>
      <c r="Y990" s="33"/>
      <c r="Z990" s="33"/>
      <c r="AA990" s="33"/>
      <c r="AB990" s="33"/>
      <c r="AC990" s="33"/>
    </row>
    <row r="991">
      <c r="A991" s="17" t="s">
        <v>302</v>
      </c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</row>
    <row r="992">
      <c r="A992" s="17" t="s">
        <v>302</v>
      </c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</row>
    <row r="993">
      <c r="A993" s="17" t="s">
        <v>302</v>
      </c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</row>
    <row r="994">
      <c r="A994" s="17" t="s">
        <v>302</v>
      </c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</row>
    <row r="995">
      <c r="A995" s="17" t="s">
        <v>302</v>
      </c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</row>
    <row r="996">
      <c r="A996" s="17" t="s">
        <v>302</v>
      </c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</row>
    <row r="997">
      <c r="A997" s="17" t="s">
        <v>302</v>
      </c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</row>
    <row r="998">
      <c r="A998" s="17" t="s">
        <v>302</v>
      </c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</row>
    <row r="999">
      <c r="A999" s="17" t="s">
        <v>302</v>
      </c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</row>
    <row r="1000">
      <c r="A1000" s="17" t="s">
        <v>302</v>
      </c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</row>
    <row r="1001">
      <c r="A1001" s="17" t="s">
        <v>302</v>
      </c>
      <c r="B1001" s="33"/>
      <c r="C1001" s="3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  <c r="AA1001" s="33"/>
      <c r="AB1001" s="33"/>
      <c r="AC1001" s="33"/>
    </row>
  </sheetData>
  <autoFilter ref="$A$1:$T$990">
    <filterColumn colId="4">
      <filters>
        <filter val="Included"/>
      </filters>
    </filterColumn>
  </autoFilter>
  <conditionalFormatting sqref="H2:T109 H112:T219 H222:T329 H332:T439 H442:T549 H552:T659 H662:T769 H772:T879 H882:T989">
    <cfRule type="cellIs" dxfId="4" priority="1" operator="equal">
      <formula>"✓"</formula>
    </cfRule>
  </conditionalFormatting>
  <conditionalFormatting sqref="H2:T109 H112:T219 H222:T329 H332:T439 H442:T549 H552:T659 H662:T769 H772:T879 H882:T989">
    <cfRule type="cellIs" dxfId="3" priority="2" operator="equal">
      <formula>"✗"</formula>
    </cfRule>
  </conditionalFormatting>
  <conditionalFormatting sqref="A2:G1001 H55">
    <cfRule type="expression" dxfId="3" priority="3">
      <formula>$E2="Excluded"</formula>
    </cfRule>
  </conditionalFormatting>
  <dataValidations>
    <dataValidation type="list" allowBlank="1" showErrorMessage="1" sqref="B9:C9 B16:C16 B18:C18 B21:C22 B25:C25 B28:C28 B30:C30 B40:C41 B43:C43 B49:C49 B60:C62 B64:C66 B70:C70 B72:C72 B75:C76 B79:C82 B84:C84 B89:C89 B92:C93 B95:C95 B100:C100 E2:E101">
      <formula1>"Included,Excluded"</formula1>
    </dataValidation>
    <dataValidation type="list" allowBlank="1" showErrorMessage="1" sqref="F2:F8 F10:F15 F17 F19:F20 F23:F24 F26:F27 F29 F31:F39 F42 F44:F48 F50:F59 F63 F67:F69 F71 F73:F74 F77:F78 F83 F85:F88 F90:F91 F94 F96:F99 F101">
      <formula1>"patellar,hamstring,quadriceps,peroneus,Achilles,tibialis"</formula1>
    </dataValidation>
    <dataValidation type="list" allowBlank="1" showErrorMessage="1" sqref="G2:G8 G10:G15 G17 G19:G20 G23:G24 G26:G27 G29 G31:G39 G42 G44:G48 G50:G59 G63 G67:G69 G71 G73:G74 G77:G78 G83 G85:G88 G90:G91 G94 G96:G99 G101">
      <formula1>"IKDC,Tegner,Lysholm,Instrumental laxity,Pivot shift,Lachman,Graft rupture"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</hyperlinks>
  <drawing r:id="rId10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3.75"/>
    <col customWidth="1" hidden="1" min="2" max="2" width="21.63"/>
    <col customWidth="1" min="3" max="3" width="33.75"/>
    <col customWidth="1" min="4" max="4" width="21.0"/>
    <col customWidth="1" min="5" max="6" width="18.75"/>
    <col customWidth="1" min="7" max="7" width="27.0"/>
    <col customWidth="1" min="8" max="8" width="58.5"/>
    <col customWidth="1" min="9" max="21" width="3.0"/>
  </cols>
  <sheetData>
    <row r="1">
      <c r="A1" s="8"/>
      <c r="B1" s="8" t="s">
        <v>0</v>
      </c>
      <c r="C1" s="11" t="s">
        <v>7</v>
      </c>
      <c r="D1" s="8" t="s">
        <v>3</v>
      </c>
      <c r="E1" s="8"/>
      <c r="F1" s="8" t="s">
        <v>5</v>
      </c>
      <c r="G1" s="8" t="s">
        <v>6</v>
      </c>
      <c r="H1" s="8" t="s">
        <v>8</v>
      </c>
      <c r="I1" s="13" t="s">
        <v>2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4</v>
      </c>
      <c r="R1" s="13" t="s">
        <v>16</v>
      </c>
      <c r="S1" s="13" t="s">
        <v>17</v>
      </c>
      <c r="T1" s="13" t="s">
        <v>19</v>
      </c>
      <c r="U1" s="13" t="s">
        <v>20</v>
      </c>
    </row>
    <row r="2">
      <c r="A2" s="8">
        <v>1.0</v>
      </c>
      <c r="B2" s="15" t="s">
        <v>1</v>
      </c>
      <c r="C2" s="16" t="str">
        <f t="shared" ref="C2:C108" si="1">hyperlink("https://github.com/d-wkim/phd/blob/main/data/pdf/"&amp;D2&amp;".pdf",SUBSTITUTE(PROPER(D2),"_"," et al., "))</f>
        <v>Ageberg et al., 2009</v>
      </c>
      <c r="D2" s="19" t="s">
        <v>22</v>
      </c>
      <c r="E2" s="15" t="str">
        <f t="shared" ref="E2:E108" si="2">"https://raw.githubusercontent.com/d-wkim/phd/refs/heads/main/data/pdf/"&amp;D2&amp;" .pdf"</f>
        <v>https://raw.githubusercontent.com/d-wkim/phd/refs/heads/main/data/pdf/ageberg_2009 .pdf</v>
      </c>
      <c r="F2" s="15" t="s">
        <v>32</v>
      </c>
      <c r="G2" s="15" t="s">
        <v>33</v>
      </c>
      <c r="H2" s="15" t="s">
        <v>4</v>
      </c>
      <c r="I2" s="23" t="str">
        <f>IFERROR(__xludf.DUMMYFUNCTION("if(REGEXMATCH(join("", "",$G2:$H2),I$1)=TRUE,""✓"",""✗"")"),"✓")</f>
        <v>✓</v>
      </c>
      <c r="J2" s="23" t="str">
        <f>IFERROR(__xludf.DUMMYFUNCTION("if(REGEXMATCH(join("", "",$G2:$H2),J$1)=TRUE,""✓"",""✗"")"),"✓")</f>
        <v>✓</v>
      </c>
      <c r="K2" s="23" t="str">
        <f>IFERROR(__xludf.DUMMYFUNCTION("if(REGEXMATCH(join("", "",$G2:$H2),K$1)=TRUE,""✓"",""✗"")"),"✗")</f>
        <v>✗</v>
      </c>
      <c r="L2" s="23" t="str">
        <f>IFERROR(__xludf.DUMMYFUNCTION("if(REGEXMATCH(join("", "",$G2:$H2),L$1)=TRUE,""✓"",""✗"")"),"✗")</f>
        <v>✗</v>
      </c>
      <c r="M2" s="23" t="str">
        <f>IFERROR(__xludf.DUMMYFUNCTION("if(REGEXMATCH(join("", "",$G2:$H2),M$1)=TRUE,""✓"",""✗"")"),"✗")</f>
        <v>✗</v>
      </c>
      <c r="N2" s="23" t="str">
        <f>IFERROR(__xludf.DUMMYFUNCTION("if(REGEXMATCH(join("", "",$G2:$H2),N$1)=TRUE,""✓"",""✗"")"),"✗")</f>
        <v>✗</v>
      </c>
      <c r="O2" s="23" t="str">
        <f>IFERROR(__xludf.DUMMYFUNCTION("if(REGEXMATCH(join("", "",$G2:$H2),O$1)=TRUE,""✓"",""✗"")"),"✗")</f>
        <v>✗</v>
      </c>
      <c r="P2" s="23" t="str">
        <f>IFERROR(__xludf.DUMMYFUNCTION("if(REGEXMATCH(join("", "",$G2:$H2),P$1)=TRUE,""✓"",""✗"")"),"✗")</f>
        <v>✗</v>
      </c>
      <c r="Q2" s="23" t="str">
        <f>IFERROR(__xludf.DUMMYFUNCTION("if(REGEXMATCH(join("", "",$G2:$H2),Q$1)=TRUE,""✓"",""✗"")"),"✓")</f>
        <v>✓</v>
      </c>
      <c r="R2" s="23" t="str">
        <f>IFERROR(__xludf.DUMMYFUNCTION("if(REGEXMATCH(join("", "",$G2:$H2),R$1)=TRUE,""✓"",""✗"")"),"✗")</f>
        <v>✗</v>
      </c>
      <c r="S2" s="23" t="str">
        <f>IFERROR(__xludf.DUMMYFUNCTION("if(REGEXMATCH(join("", "",$G2:$H2),S$1)=TRUE,""✓"",""✗"")"),"✗")</f>
        <v>✗</v>
      </c>
      <c r="T2" s="23" t="str">
        <f>IFERROR(__xludf.DUMMYFUNCTION("if(REGEXMATCH(join("", "",$G2:$H2),T$1)=TRUE,""✓"",""✗"")"),"✗")</f>
        <v>✗</v>
      </c>
      <c r="U2" s="23" t="str">
        <f>IFERROR(__xludf.DUMMYFUNCTION("if(REGEXMATCH(join("", "",$G2:$H2),U$1)=TRUE,""✓"",""✗"")"),"✗")</f>
        <v>✗</v>
      </c>
    </row>
    <row r="3">
      <c r="A3" s="8">
        <v>2.0</v>
      </c>
      <c r="B3" s="8" t="s">
        <v>25</v>
      </c>
      <c r="C3" s="16" t="str">
        <f t="shared" si="1"/>
        <v>Aglietti et al., 2004</v>
      </c>
      <c r="D3" s="30" t="s">
        <v>46</v>
      </c>
      <c r="E3" s="15" t="str">
        <f t="shared" si="2"/>
        <v>https://raw.githubusercontent.com/d-wkim/phd/refs/heads/main/data/pdf/aglietti_2004 .pdf</v>
      </c>
      <c r="F3" s="8" t="s">
        <v>32</v>
      </c>
      <c r="G3" s="8" t="s">
        <v>33</v>
      </c>
      <c r="H3" s="32" t="s">
        <v>26</v>
      </c>
      <c r="I3" s="23" t="str">
        <f>IFERROR(__xludf.DUMMYFUNCTION("if(REGEXMATCH(join("", "",$G3:$H3),I$1)=TRUE,""✓"",""✗"")"),"✓")</f>
        <v>✓</v>
      </c>
      <c r="J3" s="23" t="str">
        <f>IFERROR(__xludf.DUMMYFUNCTION("if(REGEXMATCH(join("", "",$G3:$H3),J$1)=TRUE,""✓"",""✗"")"),"✓")</f>
        <v>✓</v>
      </c>
      <c r="K3" s="23" t="str">
        <f>IFERROR(__xludf.DUMMYFUNCTION("if(REGEXMATCH(join("", "",$G3:$H3),K$1)=TRUE,""✓"",""✗"")"),"✗")</f>
        <v>✗</v>
      </c>
      <c r="L3" s="23" t="str">
        <f>IFERROR(__xludf.DUMMYFUNCTION("if(REGEXMATCH(join("", "",$G3:$H3),L$1)=TRUE,""✓"",""✗"")"),"✗")</f>
        <v>✗</v>
      </c>
      <c r="M3" s="23" t="str">
        <f>IFERROR(__xludf.DUMMYFUNCTION("if(REGEXMATCH(join("", "",$G3:$H3),M$1)=TRUE,""✓"",""✗"")"),"✗")</f>
        <v>✗</v>
      </c>
      <c r="N3" s="23" t="str">
        <f>IFERROR(__xludf.DUMMYFUNCTION("if(REGEXMATCH(join("", "",$G3:$H3),N$1)=TRUE,""✓"",""✗"")"),"✗")</f>
        <v>✗</v>
      </c>
      <c r="O3" s="23" t="str">
        <f>IFERROR(__xludf.DUMMYFUNCTION("if(REGEXMATCH(join("", "",$G3:$H3),O$1)=TRUE,""✓"",""✗"")"),"✗")</f>
        <v>✗</v>
      </c>
      <c r="P3" s="23" t="str">
        <f>IFERROR(__xludf.DUMMYFUNCTION("if(REGEXMATCH(join("", "",$G3:$H3),P$1)=TRUE,""✓"",""✗"")"),"✗")</f>
        <v>✗</v>
      </c>
      <c r="Q3" s="23" t="str">
        <f>IFERROR(__xludf.DUMMYFUNCTION("if(REGEXMATCH(join("", "",$G3:$H3),Q$1)=TRUE,""✓"",""✗"")"),"✗")</f>
        <v>✗</v>
      </c>
      <c r="R3" s="23" t="str">
        <f>IFERROR(__xludf.DUMMYFUNCTION("if(REGEXMATCH(join("", "",$G3:$H3),R$1)=TRUE,""✓"",""✗"")"),"✓")</f>
        <v>✓</v>
      </c>
      <c r="S3" s="23" t="str">
        <f>IFERROR(__xludf.DUMMYFUNCTION("if(REGEXMATCH(join("", "",$G3:$H3),S$1)=TRUE,""✓"",""✗"")"),"✓")</f>
        <v>✓</v>
      </c>
      <c r="T3" s="23" t="str">
        <f>IFERROR(__xludf.DUMMYFUNCTION("if(REGEXMATCH(join("", "",$G3:$H3),T$1)=TRUE,""✓"",""✗"")"),"✓")</f>
        <v>✓</v>
      </c>
      <c r="U3" s="23" t="str">
        <f>IFERROR(__xludf.DUMMYFUNCTION("if(REGEXMATCH(join("", "",$G3:$H3),U$1)=TRUE,""✓"",""✗"")"),"✗")</f>
        <v>✗</v>
      </c>
    </row>
    <row r="4">
      <c r="A4" s="8">
        <v>3.0</v>
      </c>
      <c r="B4" s="8" t="s">
        <v>29</v>
      </c>
      <c r="C4" s="16" t="str">
        <f t="shared" si="1"/>
        <v>Ahldén et al., 2009</v>
      </c>
      <c r="D4" s="30" t="s">
        <v>78</v>
      </c>
      <c r="E4" s="15" t="str">
        <f t="shared" si="2"/>
        <v>https://raw.githubusercontent.com/d-wkim/phd/refs/heads/main/data/pdf/ahldén_2009 .pdf</v>
      </c>
      <c r="F4" s="8" t="s">
        <v>32</v>
      </c>
      <c r="G4" s="8" t="s">
        <v>33</v>
      </c>
      <c r="H4" s="32" t="s">
        <v>30</v>
      </c>
      <c r="I4" s="23" t="str">
        <f>IFERROR(__xludf.DUMMYFUNCTION("if(REGEXMATCH(join("", "",$G4:$H4),I$1)=TRUE,""✓"",""✗"")"),"✓")</f>
        <v>✓</v>
      </c>
      <c r="J4" s="23" t="str">
        <f>IFERROR(__xludf.DUMMYFUNCTION("if(REGEXMATCH(join("", "",$G4:$H4),J$1)=TRUE,""✓"",""✗"")"),"✓")</f>
        <v>✓</v>
      </c>
      <c r="K4" s="23" t="str">
        <f>IFERROR(__xludf.DUMMYFUNCTION("if(REGEXMATCH(join("", "",$G4:$H4),K$1)=TRUE,""✓"",""✗"")"),"✗")</f>
        <v>✗</v>
      </c>
      <c r="L4" s="23" t="str">
        <f>IFERROR(__xludf.DUMMYFUNCTION("if(REGEXMATCH(join("", "",$G4:$H4),L$1)=TRUE,""✓"",""✗"")"),"✗")</f>
        <v>✗</v>
      </c>
      <c r="M4" s="23" t="str">
        <f>IFERROR(__xludf.DUMMYFUNCTION("if(REGEXMATCH(join("", "",$G4:$H4),M$1)=TRUE,""✓"",""✗"")"),"✗")</f>
        <v>✗</v>
      </c>
      <c r="N4" s="23" t="str">
        <f>IFERROR(__xludf.DUMMYFUNCTION("if(REGEXMATCH(join("", "",$G4:$H4),N$1)=TRUE,""✓"",""✗"")"),"✗")</f>
        <v>✗</v>
      </c>
      <c r="O4" s="23" t="str">
        <f>IFERROR(__xludf.DUMMYFUNCTION("if(REGEXMATCH(join("", "",$G4:$H4),O$1)=TRUE,""✓"",""✗"")"),"✗")</f>
        <v>✗</v>
      </c>
      <c r="P4" s="23" t="str">
        <f>IFERROR(__xludf.DUMMYFUNCTION("if(REGEXMATCH(join("", "",$G4:$H4),P$1)=TRUE,""✓"",""✗"")"),"✓")</f>
        <v>✓</v>
      </c>
      <c r="Q4" s="23" t="str">
        <f>IFERROR(__xludf.DUMMYFUNCTION("if(REGEXMATCH(join("", "",$G4:$H4),Q$1)=TRUE,""✓"",""✗"")"),"✓")</f>
        <v>✓</v>
      </c>
      <c r="R4" s="23" t="str">
        <f>IFERROR(__xludf.DUMMYFUNCTION("if(REGEXMATCH(join("", "",$G4:$H4),R$1)=TRUE,""✓"",""✗"")"),"✓")</f>
        <v>✓</v>
      </c>
      <c r="S4" s="23" t="str">
        <f>IFERROR(__xludf.DUMMYFUNCTION("if(REGEXMATCH(join("", "",$G4:$H4),S$1)=TRUE,""✓"",""✗"")"),"✗")</f>
        <v>✗</v>
      </c>
      <c r="T4" s="23" t="str">
        <f>IFERROR(__xludf.DUMMYFUNCTION("if(REGEXMATCH(join("", "",$G4:$H4),T$1)=TRUE,""✓"",""✗"")"),"✓")</f>
        <v>✓</v>
      </c>
      <c r="U4" s="23" t="str">
        <f>IFERROR(__xludf.DUMMYFUNCTION("if(REGEXMATCH(join("", "",$G4:$H4),U$1)=TRUE,""✓"",""✗"")"),"✗")</f>
        <v>✗</v>
      </c>
    </row>
    <row r="5" hidden="1">
      <c r="A5" s="8">
        <v>4.0</v>
      </c>
      <c r="B5" s="8" t="s">
        <v>31</v>
      </c>
      <c r="C5" s="16" t="str">
        <f t="shared" si="1"/>
        <v>Akelman et al., 2016</v>
      </c>
      <c r="D5" s="30" t="s">
        <v>95</v>
      </c>
      <c r="E5" s="15" t="str">
        <f t="shared" si="2"/>
        <v>https://raw.githubusercontent.com/d-wkim/phd/refs/heads/main/data/pdf/akelman_2016 .pdf</v>
      </c>
      <c r="F5" s="8" t="s">
        <v>102</v>
      </c>
      <c r="G5" s="8" t="s">
        <v>33</v>
      </c>
      <c r="H5" s="32" t="s">
        <v>16</v>
      </c>
      <c r="I5" s="23" t="str">
        <f>IFERROR(__xludf.DUMMYFUNCTION("if(REGEXMATCH(join("", "",$G5:$H5),I$1)=TRUE,""✓"",""✗"")"),"✓")</f>
        <v>✓</v>
      </c>
      <c r="J5" s="23" t="str">
        <f>IFERROR(__xludf.DUMMYFUNCTION("if(REGEXMATCH(join("", "",$G5:$H5),J$1)=TRUE,""✓"",""✗"")"),"✓")</f>
        <v>✓</v>
      </c>
      <c r="K5" s="23" t="str">
        <f>IFERROR(__xludf.DUMMYFUNCTION("if(REGEXMATCH(join("", "",$G5:$H5),K$1)=TRUE,""✓"",""✗"")"),"✗")</f>
        <v>✗</v>
      </c>
      <c r="L5" s="23" t="str">
        <f>IFERROR(__xludf.DUMMYFUNCTION("if(REGEXMATCH(join("", "",$G5:$H5),L$1)=TRUE,""✓"",""✗"")"),"✗")</f>
        <v>✗</v>
      </c>
      <c r="M5" s="23" t="str">
        <f>IFERROR(__xludf.DUMMYFUNCTION("if(REGEXMATCH(join("", "",$G5:$H5),M$1)=TRUE,""✓"",""✗"")"),"✗")</f>
        <v>✗</v>
      </c>
      <c r="N5" s="23" t="str">
        <f>IFERROR(__xludf.DUMMYFUNCTION("if(REGEXMATCH(join("", "",$G5:$H5),N$1)=TRUE,""✓"",""✗"")"),"✗")</f>
        <v>✗</v>
      </c>
      <c r="O5" s="23" t="str">
        <f>IFERROR(__xludf.DUMMYFUNCTION("if(REGEXMATCH(join("", "",$G5:$H5),O$1)=TRUE,""✓"",""✗"")"),"✗")</f>
        <v>✗</v>
      </c>
      <c r="P5" s="23" t="str">
        <f>IFERROR(__xludf.DUMMYFUNCTION("if(REGEXMATCH(join("", "",$G5:$H5),P$1)=TRUE,""✓"",""✗"")"),"✗")</f>
        <v>✗</v>
      </c>
      <c r="Q5" s="23" t="str">
        <f>IFERROR(__xludf.DUMMYFUNCTION("if(REGEXMATCH(join("", "",$G5:$H5),Q$1)=TRUE,""✓"",""✗"")"),"✗")</f>
        <v>✗</v>
      </c>
      <c r="R5" s="23" t="str">
        <f>IFERROR(__xludf.DUMMYFUNCTION("if(REGEXMATCH(join("", "",$G5:$H5),R$1)=TRUE,""✓"",""✗"")"),"✓")</f>
        <v>✓</v>
      </c>
      <c r="S5" s="23" t="str">
        <f>IFERROR(__xludf.DUMMYFUNCTION("if(REGEXMATCH(join("", "",$G5:$H5),S$1)=TRUE,""✓"",""✗"")"),"✗")</f>
        <v>✗</v>
      </c>
      <c r="T5" s="23" t="str">
        <f>IFERROR(__xludf.DUMMYFUNCTION("if(REGEXMATCH(join("", "",$G5:$H5),T$1)=TRUE,""✓"",""✗"")"),"✗")</f>
        <v>✗</v>
      </c>
      <c r="U5" s="23" t="str">
        <f>IFERROR(__xludf.DUMMYFUNCTION("if(REGEXMATCH(join("", "",$G5:$H5),U$1)=TRUE,""✓"",""✗"")"),"✗")</f>
        <v>✗</v>
      </c>
    </row>
    <row r="6">
      <c r="A6" s="8">
        <v>5.0</v>
      </c>
      <c r="B6" s="8" t="s">
        <v>34</v>
      </c>
      <c r="C6" s="16" t="str">
        <f t="shared" si="1"/>
        <v>Anderson et al., 2001</v>
      </c>
      <c r="D6" s="30" t="s">
        <v>112</v>
      </c>
      <c r="E6" s="15" t="str">
        <f t="shared" si="2"/>
        <v>https://raw.githubusercontent.com/d-wkim/phd/refs/heads/main/data/pdf/anderson_2001 .pdf</v>
      </c>
      <c r="F6" s="8" t="s">
        <v>32</v>
      </c>
      <c r="G6" s="8" t="s">
        <v>33</v>
      </c>
      <c r="H6" s="32" t="s">
        <v>35</v>
      </c>
      <c r="I6" s="23" t="str">
        <f>IFERROR(__xludf.DUMMYFUNCTION("if(REGEXMATCH(join("", "",$G6:$H6),I$1)=TRUE,""✓"",""✗"")"),"✓")</f>
        <v>✓</v>
      </c>
      <c r="J6" s="23" t="str">
        <f>IFERROR(__xludf.DUMMYFUNCTION("if(REGEXMATCH(join("", "",$G6:$H6),J$1)=TRUE,""✓"",""✗"")"),"✓")</f>
        <v>✓</v>
      </c>
      <c r="K6" s="23" t="str">
        <f>IFERROR(__xludf.DUMMYFUNCTION("if(REGEXMATCH(join("", "",$G6:$H6),K$1)=TRUE,""✓"",""✗"")"),"✗")</f>
        <v>✗</v>
      </c>
      <c r="L6" s="23" t="str">
        <f>IFERROR(__xludf.DUMMYFUNCTION("if(REGEXMATCH(join("", "",$G6:$H6),L$1)=TRUE,""✓"",""✗"")"),"✗")</f>
        <v>✗</v>
      </c>
      <c r="M6" s="23" t="str">
        <f>IFERROR(__xludf.DUMMYFUNCTION("if(REGEXMATCH(join("", "",$G6:$H6),M$1)=TRUE,""✓"",""✗"")"),"✗")</f>
        <v>✗</v>
      </c>
      <c r="N6" s="23" t="str">
        <f>IFERROR(__xludf.DUMMYFUNCTION("if(REGEXMATCH(join("", "",$G6:$H6),N$1)=TRUE,""✓"",""✗"")"),"✗")</f>
        <v>✗</v>
      </c>
      <c r="O6" s="23" t="str">
        <f>IFERROR(__xludf.DUMMYFUNCTION("if(REGEXMATCH(join("", "",$G6:$H6),O$1)=TRUE,""✓"",""✗"")"),"✓")</f>
        <v>✓</v>
      </c>
      <c r="P6" s="23" t="str">
        <f>IFERROR(__xludf.DUMMYFUNCTION("if(REGEXMATCH(join("", "",$G6:$H6),P$1)=TRUE,""✓"",""✗"")"),"✗")</f>
        <v>✗</v>
      </c>
      <c r="Q6" s="23" t="str">
        <f>IFERROR(__xludf.DUMMYFUNCTION("if(REGEXMATCH(join("", "",$G6:$H6),Q$1)=TRUE,""✓"",""✗"")"),"✗")</f>
        <v>✗</v>
      </c>
      <c r="R6" s="23" t="str">
        <f>IFERROR(__xludf.DUMMYFUNCTION("if(REGEXMATCH(join("", "",$G6:$H6),R$1)=TRUE,""✓"",""✗"")"),"✓")</f>
        <v>✓</v>
      </c>
      <c r="S6" s="23" t="str">
        <f>IFERROR(__xludf.DUMMYFUNCTION("if(REGEXMATCH(join("", "",$G6:$H6),S$1)=TRUE,""✓"",""✗"")"),"✓")</f>
        <v>✓</v>
      </c>
      <c r="T6" s="23" t="str">
        <f>IFERROR(__xludf.DUMMYFUNCTION("if(REGEXMATCH(join("", "",$G6:$H6),T$1)=TRUE,""✓"",""✗"")"),"✗")</f>
        <v>✗</v>
      </c>
      <c r="U6" s="23" t="str">
        <f>IFERROR(__xludf.DUMMYFUNCTION("if(REGEXMATCH(join("", "",$G6:$H6),U$1)=TRUE,""✓"",""✗"")"),"✗")</f>
        <v>✗</v>
      </c>
    </row>
    <row r="7">
      <c r="A7" s="8">
        <v>6.0</v>
      </c>
      <c r="B7" s="8" t="s">
        <v>37</v>
      </c>
      <c r="C7" s="16" t="str">
        <f t="shared" si="1"/>
        <v>Anz et al., 2023</v>
      </c>
      <c r="D7" s="30" t="s">
        <v>126</v>
      </c>
      <c r="E7" s="15" t="str">
        <f t="shared" si="2"/>
        <v>https://raw.githubusercontent.com/d-wkim/phd/refs/heads/main/data/pdf/anz_2023 .pdf</v>
      </c>
      <c r="F7" s="8" t="s">
        <v>32</v>
      </c>
      <c r="G7" s="8" t="s">
        <v>33</v>
      </c>
      <c r="H7" s="32" t="s">
        <v>20</v>
      </c>
      <c r="I7" s="23" t="str">
        <f>IFERROR(__xludf.DUMMYFUNCTION("if(REGEXMATCH(join("", "",$G7:$H7),I$1)=TRUE,""✓"",""✗"")"),"✓")</f>
        <v>✓</v>
      </c>
      <c r="J7" s="23" t="str">
        <f>IFERROR(__xludf.DUMMYFUNCTION("if(REGEXMATCH(join("", "",$G7:$H7),J$1)=TRUE,""✓"",""✗"")"),"✓")</f>
        <v>✓</v>
      </c>
      <c r="K7" s="23" t="str">
        <f>IFERROR(__xludf.DUMMYFUNCTION("if(REGEXMATCH(join("", "",$G7:$H7),K$1)=TRUE,""✓"",""✗"")"),"✗")</f>
        <v>✗</v>
      </c>
      <c r="L7" s="23" t="str">
        <f>IFERROR(__xludf.DUMMYFUNCTION("if(REGEXMATCH(join("", "",$G7:$H7),L$1)=TRUE,""✓"",""✗"")"),"✗")</f>
        <v>✗</v>
      </c>
      <c r="M7" s="23" t="str">
        <f>IFERROR(__xludf.DUMMYFUNCTION("if(REGEXMATCH(join("", "",$G7:$H7),M$1)=TRUE,""✓"",""✗"")"),"✗")</f>
        <v>✗</v>
      </c>
      <c r="N7" s="23" t="str">
        <f>IFERROR(__xludf.DUMMYFUNCTION("if(REGEXMATCH(join("", "",$G7:$H7),N$1)=TRUE,""✓"",""✗"")"),"✗")</f>
        <v>✗</v>
      </c>
      <c r="O7" s="23" t="str">
        <f>IFERROR(__xludf.DUMMYFUNCTION("if(REGEXMATCH(join("", "",$G7:$H7),O$1)=TRUE,""✓"",""✗"")"),"✗")</f>
        <v>✗</v>
      </c>
      <c r="P7" s="23" t="str">
        <f>IFERROR(__xludf.DUMMYFUNCTION("if(REGEXMATCH(join("", "",$G7:$H7),P$1)=TRUE,""✓"",""✗"")"),"✗")</f>
        <v>✗</v>
      </c>
      <c r="Q7" s="23" t="str">
        <f>IFERROR(__xludf.DUMMYFUNCTION("if(REGEXMATCH(join("", "",$G7:$H7),Q$1)=TRUE,""✓"",""✗"")"),"✗")</f>
        <v>✗</v>
      </c>
      <c r="R7" s="23" t="str">
        <f>IFERROR(__xludf.DUMMYFUNCTION("if(REGEXMATCH(join("", "",$G7:$H7),R$1)=TRUE,""✓"",""✗"")"),"✗")</f>
        <v>✗</v>
      </c>
      <c r="S7" s="23" t="str">
        <f>IFERROR(__xludf.DUMMYFUNCTION("if(REGEXMATCH(join("", "",$G7:$H7),S$1)=TRUE,""✓"",""✗"")"),"✗")</f>
        <v>✗</v>
      </c>
      <c r="T7" s="23" t="str">
        <f>IFERROR(__xludf.DUMMYFUNCTION("if(REGEXMATCH(join("", "",$G7:$H7),T$1)=TRUE,""✓"",""✗"")"),"✗")</f>
        <v>✗</v>
      </c>
      <c r="U7" s="23" t="str">
        <f>IFERROR(__xludf.DUMMYFUNCTION("if(REGEXMATCH(join("", "",$G7:$H7),U$1)=TRUE,""✓"",""✗"")"),"✓")</f>
        <v>✓</v>
      </c>
    </row>
    <row r="8">
      <c r="A8" s="8">
        <v>7.0</v>
      </c>
      <c r="B8" s="8" t="s">
        <v>39</v>
      </c>
      <c r="C8" s="16" t="str">
        <f t="shared" si="1"/>
        <v>Aune et al., 2001</v>
      </c>
      <c r="D8" s="30" t="s">
        <v>142</v>
      </c>
      <c r="E8" s="15" t="str">
        <f t="shared" si="2"/>
        <v>https://raw.githubusercontent.com/d-wkim/phd/refs/heads/main/data/pdf/aune_2001 .pdf</v>
      </c>
      <c r="F8" s="8" t="s">
        <v>32</v>
      </c>
      <c r="G8" s="8" t="s">
        <v>33</v>
      </c>
      <c r="H8" s="32" t="s">
        <v>16</v>
      </c>
      <c r="I8" s="23" t="str">
        <f>IFERROR(__xludf.DUMMYFUNCTION("if(REGEXMATCH(join("", "",$G8:$H8),I$1)=TRUE,""✓"",""✗"")"),"✓")</f>
        <v>✓</v>
      </c>
      <c r="J8" s="23" t="str">
        <f>IFERROR(__xludf.DUMMYFUNCTION("if(REGEXMATCH(join("", "",$G8:$H8),J$1)=TRUE,""✓"",""✗"")"),"✓")</f>
        <v>✓</v>
      </c>
      <c r="K8" s="23" t="str">
        <f>IFERROR(__xludf.DUMMYFUNCTION("if(REGEXMATCH(join("", "",$G8:$H8),K$1)=TRUE,""✓"",""✗"")"),"✗")</f>
        <v>✗</v>
      </c>
      <c r="L8" s="23" t="str">
        <f>IFERROR(__xludf.DUMMYFUNCTION("if(REGEXMATCH(join("", "",$G8:$H8),L$1)=TRUE,""✓"",""✗"")"),"✗")</f>
        <v>✗</v>
      </c>
      <c r="M8" s="23" t="str">
        <f>IFERROR(__xludf.DUMMYFUNCTION("if(REGEXMATCH(join("", "",$G8:$H8),M$1)=TRUE,""✓"",""✗"")"),"✗")</f>
        <v>✗</v>
      </c>
      <c r="N8" s="23" t="str">
        <f>IFERROR(__xludf.DUMMYFUNCTION("if(REGEXMATCH(join("", "",$G8:$H8),N$1)=TRUE,""✓"",""✗"")"),"✗")</f>
        <v>✗</v>
      </c>
      <c r="O8" s="23" t="str">
        <f>IFERROR(__xludf.DUMMYFUNCTION("if(REGEXMATCH(join("", "",$G8:$H8),O$1)=TRUE,""✓"",""✗"")"),"✗")</f>
        <v>✗</v>
      </c>
      <c r="P8" s="23" t="str">
        <f>IFERROR(__xludf.DUMMYFUNCTION("if(REGEXMATCH(join("", "",$G8:$H8),P$1)=TRUE,""✓"",""✗"")"),"✗")</f>
        <v>✗</v>
      </c>
      <c r="Q8" s="23" t="str">
        <f>IFERROR(__xludf.DUMMYFUNCTION("if(REGEXMATCH(join("", "",$G8:$H8),Q$1)=TRUE,""✓"",""✗"")"),"✗")</f>
        <v>✗</v>
      </c>
      <c r="R8" s="23" t="str">
        <f>IFERROR(__xludf.DUMMYFUNCTION("if(REGEXMATCH(join("", "",$G8:$H8),R$1)=TRUE,""✓"",""✗"")"),"✓")</f>
        <v>✓</v>
      </c>
      <c r="S8" s="23" t="str">
        <f>IFERROR(__xludf.DUMMYFUNCTION("if(REGEXMATCH(join("", "",$G8:$H8),S$1)=TRUE,""✓"",""✗"")"),"✗")</f>
        <v>✗</v>
      </c>
      <c r="T8" s="23" t="str">
        <f>IFERROR(__xludf.DUMMYFUNCTION("if(REGEXMATCH(join("", "",$G8:$H8),T$1)=TRUE,""✓"",""✗"")"),"✗")</f>
        <v>✗</v>
      </c>
      <c r="U8" s="23" t="str">
        <f>IFERROR(__xludf.DUMMYFUNCTION("if(REGEXMATCH(join("", "",$G8:$H8),U$1)=TRUE,""✓"",""✗"")"),"✗")</f>
        <v>✗</v>
      </c>
    </row>
    <row r="9">
      <c r="A9" s="8">
        <v>8.0</v>
      </c>
      <c r="B9" s="8" t="s">
        <v>160</v>
      </c>
      <c r="C9" s="42" t="str">
        <f t="shared" si="1"/>
        <v>Barenius et al., 2010</v>
      </c>
      <c r="D9" s="8" t="s">
        <v>163</v>
      </c>
      <c r="E9" s="15" t="str">
        <f t="shared" si="2"/>
        <v>https://raw.githubusercontent.com/d-wkim/phd/refs/heads/main/data/pdf/barenius_2010 .pdf</v>
      </c>
      <c r="F9" s="8" t="s">
        <v>32</v>
      </c>
      <c r="G9" s="8" t="s">
        <v>33</v>
      </c>
      <c r="H9" s="32" t="s">
        <v>41</v>
      </c>
      <c r="I9" s="23" t="str">
        <f>IFERROR(__xludf.DUMMYFUNCTION("if(REGEXMATCH(join("", "",$G9:$H9),I$1)=TRUE,""✓"",""✗"")"),"✓")</f>
        <v>✓</v>
      </c>
      <c r="J9" s="23" t="str">
        <f>IFERROR(__xludf.DUMMYFUNCTION("if(REGEXMATCH(join("", "",$G9:$H9),J$1)=TRUE,""✓"",""✗"")"),"✓")</f>
        <v>✓</v>
      </c>
      <c r="K9" s="23" t="str">
        <f>IFERROR(__xludf.DUMMYFUNCTION("if(REGEXMATCH(join("", "",$G9:$H9),K$1)=TRUE,""✓"",""✗"")"),"✗")</f>
        <v>✗</v>
      </c>
      <c r="L9" s="23" t="str">
        <f>IFERROR(__xludf.DUMMYFUNCTION("if(REGEXMATCH(join("", "",$G9:$H9),L$1)=TRUE,""✓"",""✗"")"),"✗")</f>
        <v>✗</v>
      </c>
      <c r="M9" s="23" t="str">
        <f>IFERROR(__xludf.DUMMYFUNCTION("if(REGEXMATCH(join("", "",$G9:$H9),M$1)=TRUE,""✓"",""✗"")"),"✗")</f>
        <v>✗</v>
      </c>
      <c r="N9" s="23" t="str">
        <f>IFERROR(__xludf.DUMMYFUNCTION("if(REGEXMATCH(join("", "",$G9:$H9),N$1)=TRUE,""✓"",""✗"")"),"✗")</f>
        <v>✗</v>
      </c>
      <c r="O9" s="23" t="str">
        <f>IFERROR(__xludf.DUMMYFUNCTION("if(REGEXMATCH(join("", "",$G9:$H9),O$1)=TRUE,""✓"",""✗"")"),"✓")</f>
        <v>✓</v>
      </c>
      <c r="P9" s="23" t="str">
        <f>IFERROR(__xludf.DUMMYFUNCTION("if(REGEXMATCH(join("", "",$G9:$H9),P$1)=TRUE,""✓"",""✗"")"),"✓")</f>
        <v>✓</v>
      </c>
      <c r="Q9" s="23" t="str">
        <f>IFERROR(__xludf.DUMMYFUNCTION("if(REGEXMATCH(join("", "",$G9:$H9),Q$1)=TRUE,""✓"",""✗"")"),"✗")</f>
        <v>✗</v>
      </c>
      <c r="R9" s="23" t="str">
        <f>IFERROR(__xludf.DUMMYFUNCTION("if(REGEXMATCH(join("", "",$G9:$H9),R$1)=TRUE,""✓"",""✗"")"),"✓")</f>
        <v>✓</v>
      </c>
      <c r="S9" s="23" t="str">
        <f>IFERROR(__xludf.DUMMYFUNCTION("if(REGEXMATCH(join("", "",$G9:$H9),S$1)=TRUE,""✓"",""✗"")"),"✓")</f>
        <v>✓</v>
      </c>
      <c r="T9" s="23" t="str">
        <f>IFERROR(__xludf.DUMMYFUNCTION("if(REGEXMATCH(join("", "",$G9:$H9),T$1)=TRUE,""✓"",""✗"")"),"✓")</f>
        <v>✓</v>
      </c>
      <c r="U9" s="23" t="str">
        <f>IFERROR(__xludf.DUMMYFUNCTION("if(REGEXMATCH(join("", "",$G9:$H9),U$1)=TRUE,""✓"",""✗"")"),"✗")</f>
        <v>✗</v>
      </c>
    </row>
    <row r="10" hidden="1">
      <c r="A10" s="8">
        <v>9.0</v>
      </c>
      <c r="B10" s="8" t="s">
        <v>40</v>
      </c>
      <c r="C10" s="16" t="str">
        <f t="shared" si="1"/>
        <v>Barenius et al., 2014</v>
      </c>
      <c r="D10" s="30" t="s">
        <v>172</v>
      </c>
      <c r="E10" s="15" t="str">
        <f t="shared" si="2"/>
        <v>https://raw.githubusercontent.com/d-wkim/phd/refs/heads/main/data/pdf/barenius_2014 .pdf</v>
      </c>
      <c r="F10" s="8" t="s">
        <v>102</v>
      </c>
      <c r="G10" s="8" t="s">
        <v>33</v>
      </c>
      <c r="H10" s="8" t="s">
        <v>4</v>
      </c>
      <c r="I10" s="23" t="str">
        <f>IFERROR(__xludf.DUMMYFUNCTION("if(REGEXMATCH(join("", "",$G10:$H10),I$1)=TRUE,""✓"",""✗"")"),"✓")</f>
        <v>✓</v>
      </c>
      <c r="J10" s="23" t="str">
        <f>IFERROR(__xludf.DUMMYFUNCTION("if(REGEXMATCH(join("", "",$G10:$H10),J$1)=TRUE,""✓"",""✗"")"),"✓")</f>
        <v>✓</v>
      </c>
      <c r="K10" s="23" t="str">
        <f>IFERROR(__xludf.DUMMYFUNCTION("if(REGEXMATCH(join("", "",$G10:$H10),K$1)=TRUE,""✓"",""✗"")"),"✗")</f>
        <v>✗</v>
      </c>
      <c r="L10" s="23" t="str">
        <f>IFERROR(__xludf.DUMMYFUNCTION("if(REGEXMATCH(join("", "",$G10:$H10),L$1)=TRUE,""✓"",""✗"")"),"✗")</f>
        <v>✗</v>
      </c>
      <c r="M10" s="23" t="str">
        <f>IFERROR(__xludf.DUMMYFUNCTION("if(REGEXMATCH(join("", "",$G10:$H10),M$1)=TRUE,""✓"",""✗"")"),"✗")</f>
        <v>✗</v>
      </c>
      <c r="N10" s="23" t="str">
        <f>IFERROR(__xludf.DUMMYFUNCTION("if(REGEXMATCH(join("", "",$G10:$H10),N$1)=TRUE,""✓"",""✗"")"),"✗")</f>
        <v>✗</v>
      </c>
      <c r="O10" s="23" t="str">
        <f>IFERROR(__xludf.DUMMYFUNCTION("if(REGEXMATCH(join("", "",$G10:$H10),O$1)=TRUE,""✓"",""✗"")"),"✗")</f>
        <v>✗</v>
      </c>
      <c r="P10" s="23" t="str">
        <f>IFERROR(__xludf.DUMMYFUNCTION("if(REGEXMATCH(join("", "",$G10:$H10),P$1)=TRUE,""✓"",""✗"")"),"✗")</f>
        <v>✗</v>
      </c>
      <c r="Q10" s="23" t="str">
        <f>IFERROR(__xludf.DUMMYFUNCTION("if(REGEXMATCH(join("", "",$G10:$H10),Q$1)=TRUE,""✓"",""✗"")"),"✓")</f>
        <v>✓</v>
      </c>
      <c r="R10" s="23" t="str">
        <f>IFERROR(__xludf.DUMMYFUNCTION("if(REGEXMATCH(join("", "",$G10:$H10),R$1)=TRUE,""✓"",""✗"")"),"✗")</f>
        <v>✗</v>
      </c>
      <c r="S10" s="23" t="str">
        <f>IFERROR(__xludf.DUMMYFUNCTION("if(REGEXMATCH(join("", "",$G10:$H10),S$1)=TRUE,""✓"",""✗"")"),"✗")</f>
        <v>✗</v>
      </c>
      <c r="T10" s="23" t="str">
        <f>IFERROR(__xludf.DUMMYFUNCTION("if(REGEXMATCH(join("", "",$G10:$H10),T$1)=TRUE,""✓"",""✗"")"),"✗")</f>
        <v>✗</v>
      </c>
      <c r="U10" s="23" t="str">
        <f>IFERROR(__xludf.DUMMYFUNCTION("if(REGEXMATCH(join("", "",$G10:$H10),U$1)=TRUE,""✓"",""✗"")"),"✗")</f>
        <v>✗</v>
      </c>
    </row>
    <row r="11">
      <c r="A11" s="8">
        <v>10.0</v>
      </c>
      <c r="B11" s="8" t="s">
        <v>42</v>
      </c>
      <c r="C11" s="16" t="str">
        <f t="shared" si="1"/>
        <v>Barié et al., 2020</v>
      </c>
      <c r="D11" s="30" t="s">
        <v>188</v>
      </c>
      <c r="E11" s="15" t="str">
        <f t="shared" si="2"/>
        <v>https://raw.githubusercontent.com/d-wkim/phd/refs/heads/main/data/pdf/barié_2020 .pdf</v>
      </c>
      <c r="F11" s="8" t="s">
        <v>32</v>
      </c>
      <c r="G11" s="32" t="s">
        <v>191</v>
      </c>
      <c r="H11" s="32" t="s">
        <v>43</v>
      </c>
      <c r="I11" s="23" t="str">
        <f>IFERROR(__xludf.DUMMYFUNCTION("if(REGEXMATCH(join("", "",$G11:$H11),I$1)=TRUE,""✓"",""✗"")"),"✓")</f>
        <v>✓</v>
      </c>
      <c r="J11" s="23" t="str">
        <f>IFERROR(__xludf.DUMMYFUNCTION("if(REGEXMATCH(join("", "",$G11:$H11),J$1)=TRUE,""✓"",""✗"")"),"✗")</f>
        <v>✗</v>
      </c>
      <c r="K11" s="23" t="str">
        <f>IFERROR(__xludf.DUMMYFUNCTION("if(REGEXMATCH(join("", "",$G11:$H11),K$1)=TRUE,""✓"",""✗"")"),"✓")</f>
        <v>✓</v>
      </c>
      <c r="L11" s="23" t="str">
        <f>IFERROR(__xludf.DUMMYFUNCTION("if(REGEXMATCH(join("", "",$G11:$H11),L$1)=TRUE,""✓"",""✗"")"),"✗")</f>
        <v>✗</v>
      </c>
      <c r="M11" s="23" t="str">
        <f>IFERROR(__xludf.DUMMYFUNCTION("if(REGEXMATCH(join("", "",$G11:$H11),M$1)=TRUE,""✓"",""✗"")"),"✗")</f>
        <v>✗</v>
      </c>
      <c r="N11" s="23" t="str">
        <f>IFERROR(__xludf.DUMMYFUNCTION("if(REGEXMATCH(join("", "",$G11:$H11),N$1)=TRUE,""✓"",""✗"")"),"✗")</f>
        <v>✗</v>
      </c>
      <c r="O11" s="23" t="str">
        <f>IFERROR(__xludf.DUMMYFUNCTION("if(REGEXMATCH(join("", "",$G11:$H11),O$1)=TRUE,""✓"",""✗"")"),"✓")</f>
        <v>✓</v>
      </c>
      <c r="P11" s="23" t="str">
        <f>IFERROR(__xludf.DUMMYFUNCTION("if(REGEXMATCH(join("", "",$G11:$H11),P$1)=TRUE,""✓"",""✗"")"),"✓")</f>
        <v>✓</v>
      </c>
      <c r="Q11" s="23" t="str">
        <f>IFERROR(__xludf.DUMMYFUNCTION("if(REGEXMATCH(join("", "",$G11:$H11),Q$1)=TRUE,""✓"",""✗"")"),"✓")</f>
        <v>✓</v>
      </c>
      <c r="R11" s="23" t="str">
        <f>IFERROR(__xludf.DUMMYFUNCTION("if(REGEXMATCH(join("", "",$G11:$H11),R$1)=TRUE,""✓"",""✗"")"),"✓")</f>
        <v>✓</v>
      </c>
      <c r="S11" s="23" t="str">
        <f>IFERROR(__xludf.DUMMYFUNCTION("if(REGEXMATCH(join("", "",$G11:$H11),S$1)=TRUE,""✓"",""✗"")"),"✗")</f>
        <v>✗</v>
      </c>
      <c r="T11" s="23" t="str">
        <f>IFERROR(__xludf.DUMMYFUNCTION("if(REGEXMATCH(join("", "",$G11:$H11),T$1)=TRUE,""✓"",""✗"")"),"✗")</f>
        <v>✗</v>
      </c>
      <c r="U11" s="23" t="str">
        <f>IFERROR(__xludf.DUMMYFUNCTION("if(REGEXMATCH(join("", "",$G11:$H11),U$1)=TRUE,""✓"",""✗"")"),"✓")</f>
        <v>✓</v>
      </c>
    </row>
    <row r="12">
      <c r="A12" s="8">
        <v>11.0</v>
      </c>
      <c r="B12" s="8" t="s">
        <v>47</v>
      </c>
      <c r="C12" s="16" t="str">
        <f t="shared" si="1"/>
        <v>Beynnon et al., 2002</v>
      </c>
      <c r="D12" s="30" t="s">
        <v>199</v>
      </c>
      <c r="E12" s="15" t="str">
        <f t="shared" si="2"/>
        <v>https://raw.githubusercontent.com/d-wkim/phd/refs/heads/main/data/pdf/beynnon_2002 .pdf</v>
      </c>
      <c r="F12" s="8" t="s">
        <v>32</v>
      </c>
      <c r="G12" s="8" t="s">
        <v>33</v>
      </c>
      <c r="H12" s="32" t="s">
        <v>48</v>
      </c>
      <c r="I12" s="23" t="str">
        <f>IFERROR(__xludf.DUMMYFUNCTION("if(REGEXMATCH(join("", "",$G12:$H12),I$1)=TRUE,""✓"",""✗"")"),"✓")</f>
        <v>✓</v>
      </c>
      <c r="J12" s="23" t="str">
        <f>IFERROR(__xludf.DUMMYFUNCTION("if(REGEXMATCH(join("", "",$G12:$H12),J$1)=TRUE,""✓"",""✗"")"),"✓")</f>
        <v>✓</v>
      </c>
      <c r="K12" s="23" t="str">
        <f>IFERROR(__xludf.DUMMYFUNCTION("if(REGEXMATCH(join("", "",$G12:$H12),K$1)=TRUE,""✓"",""✗"")"),"✗")</f>
        <v>✗</v>
      </c>
      <c r="L12" s="23" t="str">
        <f>IFERROR(__xludf.DUMMYFUNCTION("if(REGEXMATCH(join("", "",$G12:$H12),L$1)=TRUE,""✓"",""✗"")"),"✗")</f>
        <v>✗</v>
      </c>
      <c r="M12" s="23" t="str">
        <f>IFERROR(__xludf.DUMMYFUNCTION("if(REGEXMATCH(join("", "",$G12:$H12),M$1)=TRUE,""✓"",""✗"")"),"✗")</f>
        <v>✗</v>
      </c>
      <c r="N12" s="23" t="str">
        <f>IFERROR(__xludf.DUMMYFUNCTION("if(REGEXMATCH(join("", "",$G12:$H12),N$1)=TRUE,""✓"",""✗"")"),"✗")</f>
        <v>✗</v>
      </c>
      <c r="O12" s="23" t="str">
        <f>IFERROR(__xludf.DUMMYFUNCTION("if(REGEXMATCH(join("", "",$G12:$H12),O$1)=TRUE,""✓"",""✗"")"),"✓")</f>
        <v>✓</v>
      </c>
      <c r="P12" s="23" t="str">
        <f>IFERROR(__xludf.DUMMYFUNCTION("if(REGEXMATCH(join("", "",$G12:$H12),P$1)=TRUE,""✓"",""✗"")"),"✗")</f>
        <v>✗</v>
      </c>
      <c r="Q12" s="23" t="str">
        <f>IFERROR(__xludf.DUMMYFUNCTION("if(REGEXMATCH(join("", "",$G12:$H12),Q$1)=TRUE,""✓"",""✗"")"),"✓")</f>
        <v>✓</v>
      </c>
      <c r="R12" s="23" t="str">
        <f>IFERROR(__xludf.DUMMYFUNCTION("if(REGEXMATCH(join("", "",$G12:$H12),R$1)=TRUE,""✓"",""✗"")"),"✓")</f>
        <v>✓</v>
      </c>
      <c r="S12" s="23" t="str">
        <f>IFERROR(__xludf.DUMMYFUNCTION("if(REGEXMATCH(join("", "",$G12:$H12),S$1)=TRUE,""✓"",""✗"")"),"✓")</f>
        <v>✓</v>
      </c>
      <c r="T12" s="23" t="str">
        <f>IFERROR(__xludf.DUMMYFUNCTION("if(REGEXMATCH(join("", "",$G12:$H12),T$1)=TRUE,""✓"",""✗"")"),"✓")</f>
        <v>✓</v>
      </c>
      <c r="U12" s="23" t="str">
        <f>IFERROR(__xludf.DUMMYFUNCTION("if(REGEXMATCH(join("", "",$G12:$H12),U$1)=TRUE,""✓"",""✗"")"),"✗")</f>
        <v>✗</v>
      </c>
    </row>
    <row r="13">
      <c r="A13" s="8">
        <v>12.0</v>
      </c>
      <c r="B13" s="8" t="s">
        <v>51</v>
      </c>
      <c r="C13" s="16" t="str">
        <f t="shared" si="1"/>
        <v>Bi et al., 2018</v>
      </c>
      <c r="D13" s="30" t="s">
        <v>207</v>
      </c>
      <c r="E13" s="15" t="str">
        <f t="shared" si="2"/>
        <v>https://raw.githubusercontent.com/d-wkim/phd/refs/heads/main/data/pdf/bi_2018 .pdf</v>
      </c>
      <c r="F13" s="8" t="s">
        <v>32</v>
      </c>
      <c r="G13" s="32" t="s">
        <v>209</v>
      </c>
      <c r="H13" s="32" t="s">
        <v>53</v>
      </c>
      <c r="I13" s="23" t="str">
        <f>IFERROR(__xludf.DUMMYFUNCTION("if(REGEXMATCH(join("", "",$G13:$H13),I$1)=TRUE,""✓"",""✗"")"),"✗")</f>
        <v>✗</v>
      </c>
      <c r="J13" s="23" t="str">
        <f>IFERROR(__xludf.DUMMYFUNCTION("if(REGEXMATCH(join("", "",$G13:$H13),J$1)=TRUE,""✓"",""✗"")"),"✓")</f>
        <v>✓</v>
      </c>
      <c r="K13" s="23" t="str">
        <f>IFERROR(__xludf.DUMMYFUNCTION("if(REGEXMATCH(join("", "",$G13:$H13),K$1)=TRUE,""✓"",""✗"")"),"✗")</f>
        <v>✗</v>
      </c>
      <c r="L13" s="23" t="str">
        <f>IFERROR(__xludf.DUMMYFUNCTION("if(REGEXMATCH(join("", "",$G13:$H13),L$1)=TRUE,""✓"",""✗"")"),"✓")</f>
        <v>✓</v>
      </c>
      <c r="M13" s="23" t="str">
        <f>IFERROR(__xludf.DUMMYFUNCTION("if(REGEXMATCH(join("", "",$G13:$H13),M$1)=TRUE,""✓"",""✗"")"),"✗")</f>
        <v>✗</v>
      </c>
      <c r="N13" s="23" t="str">
        <f>IFERROR(__xludf.DUMMYFUNCTION("if(REGEXMATCH(join("", "",$G13:$H13),N$1)=TRUE,""✓"",""✗"")"),"✗")</f>
        <v>✗</v>
      </c>
      <c r="O13" s="23" t="str">
        <f>IFERROR(__xludf.DUMMYFUNCTION("if(REGEXMATCH(join("", "",$G13:$H13),O$1)=TRUE,""✓"",""✗"")"),"✓")</f>
        <v>✓</v>
      </c>
      <c r="P13" s="23" t="str">
        <f>IFERROR(__xludf.DUMMYFUNCTION("if(REGEXMATCH(join("", "",$G13:$H13),P$1)=TRUE,""✓"",""✗"")"),"✗")</f>
        <v>✗</v>
      </c>
      <c r="Q13" s="23" t="str">
        <f>IFERROR(__xludf.DUMMYFUNCTION("if(REGEXMATCH(join("", "",$G13:$H13),Q$1)=TRUE,""✓"",""✗"")"),"✗")</f>
        <v>✗</v>
      </c>
      <c r="R13" s="23" t="str">
        <f>IFERROR(__xludf.DUMMYFUNCTION("if(REGEXMATCH(join("", "",$G13:$H13),R$1)=TRUE,""✓"",""✗"")"),"✓")</f>
        <v>✓</v>
      </c>
      <c r="S13" s="23" t="str">
        <f>IFERROR(__xludf.DUMMYFUNCTION("if(REGEXMATCH(join("", "",$G13:$H13),S$1)=TRUE,""✓"",""✗"")"),"✓")</f>
        <v>✓</v>
      </c>
      <c r="T13" s="23" t="str">
        <f>IFERROR(__xludf.DUMMYFUNCTION("if(REGEXMATCH(join("", "",$G13:$H13),T$1)=TRUE,""✓"",""✗"")"),"✗")</f>
        <v>✗</v>
      </c>
      <c r="U13" s="23" t="str">
        <f>IFERROR(__xludf.DUMMYFUNCTION("if(REGEXMATCH(join("", "",$G13:$H13),U$1)=TRUE,""✓"",""✗"")"),"✓")</f>
        <v>✓</v>
      </c>
    </row>
    <row r="14">
      <c r="A14" s="8">
        <v>13.0</v>
      </c>
      <c r="B14" s="8" t="s">
        <v>57</v>
      </c>
      <c r="C14" s="16" t="str">
        <f t="shared" si="1"/>
        <v>Björnsson et al., 2016</v>
      </c>
      <c r="D14" s="30" t="s">
        <v>213</v>
      </c>
      <c r="E14" s="15" t="str">
        <f t="shared" si="2"/>
        <v>https://raw.githubusercontent.com/d-wkim/phd/refs/heads/main/data/pdf/björnsson_2016 .pdf</v>
      </c>
      <c r="F14" s="8" t="s">
        <v>32</v>
      </c>
      <c r="G14" s="8" t="s">
        <v>33</v>
      </c>
      <c r="H14" s="32" t="s">
        <v>58</v>
      </c>
      <c r="I14" s="23" t="str">
        <f>IFERROR(__xludf.DUMMYFUNCTION("if(REGEXMATCH(join("", "",$G14:$H14),I$1)=TRUE,""✓"",""✗"")"),"✓")</f>
        <v>✓</v>
      </c>
      <c r="J14" s="23" t="str">
        <f>IFERROR(__xludf.DUMMYFUNCTION("if(REGEXMATCH(join("", "",$G14:$H14),J$1)=TRUE,""✓"",""✗"")"),"✓")</f>
        <v>✓</v>
      </c>
      <c r="K14" s="23" t="str">
        <f>IFERROR(__xludf.DUMMYFUNCTION("if(REGEXMATCH(join("", "",$G14:$H14),K$1)=TRUE,""✓"",""✗"")"),"✗")</f>
        <v>✗</v>
      </c>
      <c r="L14" s="23" t="str">
        <f>IFERROR(__xludf.DUMMYFUNCTION("if(REGEXMATCH(join("", "",$G14:$H14),L$1)=TRUE,""✓"",""✗"")"),"✗")</f>
        <v>✗</v>
      </c>
      <c r="M14" s="23" t="str">
        <f>IFERROR(__xludf.DUMMYFUNCTION("if(REGEXMATCH(join("", "",$G14:$H14),M$1)=TRUE,""✓"",""✗"")"),"✗")</f>
        <v>✗</v>
      </c>
      <c r="N14" s="23" t="str">
        <f>IFERROR(__xludf.DUMMYFUNCTION("if(REGEXMATCH(join("", "",$G14:$H14),N$1)=TRUE,""✓"",""✗"")"),"✗")</f>
        <v>✗</v>
      </c>
      <c r="O14" s="23" t="str">
        <f>IFERROR(__xludf.DUMMYFUNCTION("if(REGEXMATCH(join("", "",$G14:$H14),O$1)=TRUE,""✓"",""✗"")"),"✓")</f>
        <v>✓</v>
      </c>
      <c r="P14" s="23" t="str">
        <f>IFERROR(__xludf.DUMMYFUNCTION("if(REGEXMATCH(join("", "",$G14:$H14),P$1)=TRUE,""✓"",""✗"")"),"✓")</f>
        <v>✓</v>
      </c>
      <c r="Q14" s="23" t="str">
        <f>IFERROR(__xludf.DUMMYFUNCTION("if(REGEXMATCH(join("", "",$G14:$H14),Q$1)=TRUE,""✓"",""✗"")"),"✓")</f>
        <v>✓</v>
      </c>
      <c r="R14" s="23" t="str">
        <f>IFERROR(__xludf.DUMMYFUNCTION("if(REGEXMATCH(join("", "",$G14:$H14),R$1)=TRUE,""✓"",""✗"")"),"✓")</f>
        <v>✓</v>
      </c>
      <c r="S14" s="23" t="str">
        <f>IFERROR(__xludf.DUMMYFUNCTION("if(REGEXMATCH(join("", "",$G14:$H14),S$1)=TRUE,""✓"",""✗"")"),"✗")</f>
        <v>✗</v>
      </c>
      <c r="T14" s="23" t="str">
        <f>IFERROR(__xludf.DUMMYFUNCTION("if(REGEXMATCH(join("", "",$G14:$H14),T$1)=TRUE,""✓"",""✗"")"),"✗")</f>
        <v>✗</v>
      </c>
      <c r="U14" s="23" t="str">
        <f>IFERROR(__xludf.DUMMYFUNCTION("if(REGEXMATCH(join("", "",$G14:$H14),U$1)=TRUE,""✓"",""✗"")"),"✗")</f>
        <v>✗</v>
      </c>
    </row>
    <row r="15">
      <c r="A15" s="8">
        <v>14.0</v>
      </c>
      <c r="B15" s="8" t="s">
        <v>64</v>
      </c>
      <c r="C15" s="16" t="str">
        <f t="shared" si="1"/>
        <v>Bottoni et al., 2015</v>
      </c>
      <c r="D15" s="30" t="s">
        <v>219</v>
      </c>
      <c r="E15" s="15" t="str">
        <f t="shared" si="2"/>
        <v>https://raw.githubusercontent.com/d-wkim/phd/refs/heads/main/data/pdf/bottoni_2015 .pdf</v>
      </c>
      <c r="F15" s="8" t="s">
        <v>32</v>
      </c>
      <c r="G15" s="32" t="s">
        <v>223</v>
      </c>
      <c r="H15" s="32" t="s">
        <v>65</v>
      </c>
      <c r="I15" s="23" t="str">
        <f>IFERROR(__xludf.DUMMYFUNCTION("if(REGEXMATCH(join("", "",$G15:$H15),I$1)=TRUE,""✓"",""✗"")"),"✗")</f>
        <v>✗</v>
      </c>
      <c r="J15" s="23" t="str">
        <f>IFERROR(__xludf.DUMMYFUNCTION("if(REGEXMATCH(join("", "",$G15:$H15),J$1)=TRUE,""✓"",""✗"")"),"✓")</f>
        <v>✓</v>
      </c>
      <c r="K15" s="23" t="str">
        <f>IFERROR(__xludf.DUMMYFUNCTION("if(REGEXMATCH(join("", "",$G15:$H15),K$1)=TRUE,""✓"",""✗"")"),"✗")</f>
        <v>✗</v>
      </c>
      <c r="L15" s="23" t="str">
        <f>IFERROR(__xludf.DUMMYFUNCTION("if(REGEXMATCH(join("", "",$G15:$H15),L$1)=TRUE,""✓"",""✗"")"),"✗")</f>
        <v>✗</v>
      </c>
      <c r="M15" s="23" t="str">
        <f>IFERROR(__xludf.DUMMYFUNCTION("if(REGEXMATCH(join("", "",$G15:$H15),M$1)=TRUE,""✓"",""✗"")"),"✗")</f>
        <v>✗</v>
      </c>
      <c r="N15" s="23" t="str">
        <f>IFERROR(__xludf.DUMMYFUNCTION("if(REGEXMATCH(join("", "",$G15:$H15),N$1)=TRUE,""✓"",""✗"")"),"✓")</f>
        <v>✓</v>
      </c>
      <c r="O15" s="23" t="str">
        <f>IFERROR(__xludf.DUMMYFUNCTION("if(REGEXMATCH(join("", "",$G15:$H15),O$1)=TRUE,""✓"",""✗"")"),"✓")</f>
        <v>✓</v>
      </c>
      <c r="P15" s="23" t="str">
        <f>IFERROR(__xludf.DUMMYFUNCTION("if(REGEXMATCH(join("", "",$G15:$H15),P$1)=TRUE,""✓"",""✗"")"),"✗")</f>
        <v>✗</v>
      </c>
      <c r="Q15" s="23" t="str">
        <f>IFERROR(__xludf.DUMMYFUNCTION("if(REGEXMATCH(join("", "",$G15:$H15),Q$1)=TRUE,""✓"",""✗"")"),"✓")</f>
        <v>✓</v>
      </c>
      <c r="R15" s="23" t="str">
        <f>IFERROR(__xludf.DUMMYFUNCTION("if(REGEXMATCH(join("", "",$G15:$H15),R$1)=TRUE,""✓"",""✗"")"),"✗")</f>
        <v>✗</v>
      </c>
      <c r="S15" s="23" t="str">
        <f>IFERROR(__xludf.DUMMYFUNCTION("if(REGEXMATCH(join("", "",$G15:$H15),S$1)=TRUE,""✓"",""✗"")"),"✗")</f>
        <v>✗</v>
      </c>
      <c r="T15" s="23" t="str">
        <f>IFERROR(__xludf.DUMMYFUNCTION("if(REGEXMATCH(join("", "",$G15:$H15),T$1)=TRUE,""✓"",""✗"")"),"✗")</f>
        <v>✗</v>
      </c>
      <c r="U15" s="23" t="str">
        <f>IFERROR(__xludf.DUMMYFUNCTION("if(REGEXMATCH(join("", "",$G15:$H15),U$1)=TRUE,""✓"",""✗"")"),"✗")</f>
        <v>✗</v>
      </c>
    </row>
    <row r="16" hidden="1">
      <c r="A16" s="8">
        <v>15.0</v>
      </c>
      <c r="B16" s="8" t="s">
        <v>227</v>
      </c>
      <c r="C16" s="42" t="str">
        <f t="shared" si="1"/>
        <v>Brand et al., 2000</v>
      </c>
      <c r="D16" s="8" t="s">
        <v>229</v>
      </c>
      <c r="E16" s="15" t="str">
        <f t="shared" si="2"/>
        <v>https://raw.githubusercontent.com/d-wkim/phd/refs/heads/main/data/pdf/brand_2000 .pdf</v>
      </c>
      <c r="F16" s="8" t="s">
        <v>102</v>
      </c>
      <c r="G16" s="32"/>
      <c r="H16" s="8" t="s">
        <v>230</v>
      </c>
      <c r="I16" s="23" t="str">
        <f>IFERROR(__xludf.DUMMYFUNCTION("if(REGEXMATCH(join("", "",$G16:$H16),I$1)=TRUE,""✓"",""✗"")"),"✗")</f>
        <v>✗</v>
      </c>
      <c r="J16" s="23" t="str">
        <f>IFERROR(__xludf.DUMMYFUNCTION("if(REGEXMATCH(join("", "",$G16:$H16),J$1)=TRUE,""✓"",""✗"")"),"✗")</f>
        <v>✗</v>
      </c>
      <c r="K16" s="23" t="str">
        <f>IFERROR(__xludf.DUMMYFUNCTION("if(REGEXMATCH(join("", "",$G16:$H16),K$1)=TRUE,""✓"",""✗"")"),"✗")</f>
        <v>✗</v>
      </c>
      <c r="L16" s="23" t="str">
        <f>IFERROR(__xludf.DUMMYFUNCTION("if(REGEXMATCH(join("", "",$G16:$H16),L$1)=TRUE,""✓"",""✗"")"),"✗")</f>
        <v>✗</v>
      </c>
      <c r="M16" s="23" t="str">
        <f>IFERROR(__xludf.DUMMYFUNCTION("if(REGEXMATCH(join("", "",$G16:$H16),M$1)=TRUE,""✓"",""✗"")"),"✗")</f>
        <v>✗</v>
      </c>
      <c r="N16" s="23" t="str">
        <f>IFERROR(__xludf.DUMMYFUNCTION("if(REGEXMATCH(join("", "",$G16:$H16),N$1)=TRUE,""✓"",""✗"")"),"✗")</f>
        <v>✗</v>
      </c>
      <c r="O16" s="23" t="str">
        <f>IFERROR(__xludf.DUMMYFUNCTION("if(REGEXMATCH(join("", "",$G16:$H16),O$1)=TRUE,""✓"",""✗"")"),"✗")</f>
        <v>✗</v>
      </c>
      <c r="P16" s="23" t="str">
        <f>IFERROR(__xludf.DUMMYFUNCTION("if(REGEXMATCH(join("", "",$G16:$H16),P$1)=TRUE,""✓"",""✗"")"),"✗")</f>
        <v>✗</v>
      </c>
      <c r="Q16" s="23" t="str">
        <f>IFERROR(__xludf.DUMMYFUNCTION("if(REGEXMATCH(join("", "",$G16:$H16),Q$1)=TRUE,""✓"",""✗"")"),"✗")</f>
        <v>✗</v>
      </c>
      <c r="R16" s="23" t="str">
        <f>IFERROR(__xludf.DUMMYFUNCTION("if(REGEXMATCH(join("", "",$G16:$H16),R$1)=TRUE,""✓"",""✗"")"),"✗")</f>
        <v>✗</v>
      </c>
      <c r="S16" s="23" t="str">
        <f>IFERROR(__xludf.DUMMYFUNCTION("if(REGEXMATCH(join("", "",$G16:$H16),S$1)=TRUE,""✓"",""✗"")"),"✗")</f>
        <v>✗</v>
      </c>
      <c r="T16" s="23" t="str">
        <f>IFERROR(__xludf.DUMMYFUNCTION("if(REGEXMATCH(join("", "",$G16:$H16),T$1)=TRUE,""✓"",""✗"")"),"✗")</f>
        <v>✗</v>
      </c>
      <c r="U16" s="23" t="str">
        <f>IFERROR(__xludf.DUMMYFUNCTION("if(REGEXMATCH(join("", "",$G16:$H16),U$1)=TRUE,""✓"",""✗"")"),"✗")</f>
        <v>✗</v>
      </c>
    </row>
    <row r="17">
      <c r="A17" s="8">
        <v>16.0</v>
      </c>
      <c r="B17" s="8" t="s">
        <v>70</v>
      </c>
      <c r="C17" s="16" t="str">
        <f t="shared" si="1"/>
        <v>Breker et al., 2025</v>
      </c>
      <c r="D17" s="30" t="s">
        <v>232</v>
      </c>
      <c r="E17" s="15" t="str">
        <f t="shared" si="2"/>
        <v>https://raw.githubusercontent.com/d-wkim/phd/refs/heads/main/data/pdf/breker_2025 .pdf</v>
      </c>
      <c r="F17" s="8" t="s">
        <v>32</v>
      </c>
      <c r="G17" s="8" t="s">
        <v>33</v>
      </c>
      <c r="H17" s="32" t="s">
        <v>16</v>
      </c>
      <c r="I17" s="23" t="str">
        <f>IFERROR(__xludf.DUMMYFUNCTION("if(REGEXMATCH(join("", "",$G17:$H17),I$1)=TRUE,""✓"",""✗"")"),"✓")</f>
        <v>✓</v>
      </c>
      <c r="J17" s="23" t="str">
        <f>IFERROR(__xludf.DUMMYFUNCTION("if(REGEXMATCH(join("", "",$G17:$H17),J$1)=TRUE,""✓"",""✗"")"),"✓")</f>
        <v>✓</v>
      </c>
      <c r="K17" s="23" t="str">
        <f>IFERROR(__xludf.DUMMYFUNCTION("if(REGEXMATCH(join("", "",$G17:$H17),K$1)=TRUE,""✓"",""✗"")"),"✗")</f>
        <v>✗</v>
      </c>
      <c r="L17" s="23" t="str">
        <f>IFERROR(__xludf.DUMMYFUNCTION("if(REGEXMATCH(join("", "",$G17:$H17),L$1)=TRUE,""✓"",""✗"")"),"✗")</f>
        <v>✗</v>
      </c>
      <c r="M17" s="23" t="str">
        <f>IFERROR(__xludf.DUMMYFUNCTION("if(REGEXMATCH(join("", "",$G17:$H17),M$1)=TRUE,""✓"",""✗"")"),"✗")</f>
        <v>✗</v>
      </c>
      <c r="N17" s="23" t="str">
        <f>IFERROR(__xludf.DUMMYFUNCTION("if(REGEXMATCH(join("", "",$G17:$H17),N$1)=TRUE,""✓"",""✗"")"),"✗")</f>
        <v>✗</v>
      </c>
      <c r="O17" s="23" t="str">
        <f>IFERROR(__xludf.DUMMYFUNCTION("if(REGEXMATCH(join("", "",$G17:$H17),O$1)=TRUE,""✓"",""✗"")"),"✗")</f>
        <v>✗</v>
      </c>
      <c r="P17" s="23" t="str">
        <f>IFERROR(__xludf.DUMMYFUNCTION("if(REGEXMATCH(join("", "",$G17:$H17),P$1)=TRUE,""✓"",""✗"")"),"✗")</f>
        <v>✗</v>
      </c>
      <c r="Q17" s="23" t="str">
        <f>IFERROR(__xludf.DUMMYFUNCTION("if(REGEXMATCH(join("", "",$G17:$H17),Q$1)=TRUE,""✓"",""✗"")"),"✗")</f>
        <v>✗</v>
      </c>
      <c r="R17" s="23" t="str">
        <f>IFERROR(__xludf.DUMMYFUNCTION("if(REGEXMATCH(join("", "",$G17:$H17),R$1)=TRUE,""✓"",""✗"")"),"✓")</f>
        <v>✓</v>
      </c>
      <c r="S17" s="23" t="str">
        <f>IFERROR(__xludf.DUMMYFUNCTION("if(REGEXMATCH(join("", "",$G17:$H17),S$1)=TRUE,""✓"",""✗"")"),"✗")</f>
        <v>✗</v>
      </c>
      <c r="T17" s="23" t="str">
        <f>IFERROR(__xludf.DUMMYFUNCTION("if(REGEXMATCH(join("", "",$G17:$H17),T$1)=TRUE,""✓"",""✗"")"),"✗")</f>
        <v>✗</v>
      </c>
      <c r="U17" s="23" t="str">
        <f>IFERROR(__xludf.DUMMYFUNCTION("if(REGEXMATCH(join("", "",$G17:$H17),U$1)=TRUE,""✓"",""✗"")"),"✗")</f>
        <v>✗</v>
      </c>
    </row>
    <row r="18" hidden="1">
      <c r="A18" s="8">
        <v>17.0</v>
      </c>
      <c r="B18" s="8" t="s">
        <v>236</v>
      </c>
      <c r="C18" s="42" t="str">
        <f t="shared" si="1"/>
        <v>Buescu et al., 2017</v>
      </c>
      <c r="D18" s="8" t="s">
        <v>237</v>
      </c>
      <c r="E18" s="15" t="str">
        <f t="shared" si="2"/>
        <v>https://raw.githubusercontent.com/d-wkim/phd/refs/heads/main/data/pdf/buescu_2017 .pdf</v>
      </c>
      <c r="F18" s="8" t="s">
        <v>102</v>
      </c>
      <c r="G18" s="32"/>
      <c r="H18" s="8" t="s">
        <v>230</v>
      </c>
      <c r="I18" s="23" t="str">
        <f>IFERROR(__xludf.DUMMYFUNCTION("if(REGEXMATCH(join("", "",$G18:$H18),I$1)=TRUE,""✓"",""✗"")"),"✗")</f>
        <v>✗</v>
      </c>
      <c r="J18" s="23" t="str">
        <f>IFERROR(__xludf.DUMMYFUNCTION("if(REGEXMATCH(join("", "",$G18:$H18),J$1)=TRUE,""✓"",""✗"")"),"✗")</f>
        <v>✗</v>
      </c>
      <c r="K18" s="23" t="str">
        <f>IFERROR(__xludf.DUMMYFUNCTION("if(REGEXMATCH(join("", "",$G18:$H18),K$1)=TRUE,""✓"",""✗"")"),"✗")</f>
        <v>✗</v>
      </c>
      <c r="L18" s="23" t="str">
        <f>IFERROR(__xludf.DUMMYFUNCTION("if(REGEXMATCH(join("", "",$G18:$H18),L$1)=TRUE,""✓"",""✗"")"),"✗")</f>
        <v>✗</v>
      </c>
      <c r="M18" s="23" t="str">
        <f>IFERROR(__xludf.DUMMYFUNCTION("if(REGEXMATCH(join("", "",$G18:$H18),M$1)=TRUE,""✓"",""✗"")"),"✗")</f>
        <v>✗</v>
      </c>
      <c r="N18" s="23" t="str">
        <f>IFERROR(__xludf.DUMMYFUNCTION("if(REGEXMATCH(join("", "",$G18:$H18),N$1)=TRUE,""✓"",""✗"")"),"✗")</f>
        <v>✗</v>
      </c>
      <c r="O18" s="23" t="str">
        <f>IFERROR(__xludf.DUMMYFUNCTION("if(REGEXMATCH(join("", "",$G18:$H18),O$1)=TRUE,""✓"",""✗"")"),"✗")</f>
        <v>✗</v>
      </c>
      <c r="P18" s="23" t="str">
        <f>IFERROR(__xludf.DUMMYFUNCTION("if(REGEXMATCH(join("", "",$G18:$H18),P$1)=TRUE,""✓"",""✗"")"),"✗")</f>
        <v>✗</v>
      </c>
      <c r="Q18" s="23" t="str">
        <f>IFERROR(__xludf.DUMMYFUNCTION("if(REGEXMATCH(join("", "",$G18:$H18),Q$1)=TRUE,""✓"",""✗"")"),"✗")</f>
        <v>✗</v>
      </c>
      <c r="R18" s="23" t="str">
        <f>IFERROR(__xludf.DUMMYFUNCTION("if(REGEXMATCH(join("", "",$G18:$H18),R$1)=TRUE,""✓"",""✗"")"),"✗")</f>
        <v>✗</v>
      </c>
      <c r="S18" s="23" t="str">
        <f>IFERROR(__xludf.DUMMYFUNCTION("if(REGEXMATCH(join("", "",$G18:$H18),S$1)=TRUE,""✓"",""✗"")"),"✗")</f>
        <v>✗</v>
      </c>
      <c r="T18" s="23" t="str">
        <f>IFERROR(__xludf.DUMMYFUNCTION("if(REGEXMATCH(join("", "",$G18:$H18),T$1)=TRUE,""✓"",""✗"")"),"✗")</f>
        <v>✗</v>
      </c>
      <c r="U18" s="23" t="str">
        <f>IFERROR(__xludf.DUMMYFUNCTION("if(REGEXMATCH(join("", "",$G18:$H18),U$1)=TRUE,""✓"",""✗"")"),"✗")</f>
        <v>✗</v>
      </c>
    </row>
    <row r="19">
      <c r="A19" s="8">
        <v>18.0</v>
      </c>
      <c r="B19" s="8" t="s">
        <v>72</v>
      </c>
      <c r="C19" s="16" t="str">
        <f t="shared" si="1"/>
        <v>Butt et al., 2024</v>
      </c>
      <c r="D19" s="30" t="s">
        <v>240</v>
      </c>
      <c r="E19" s="15" t="str">
        <f t="shared" si="2"/>
        <v>https://raw.githubusercontent.com/d-wkim/phd/refs/heads/main/data/pdf/butt_2024 .pdf</v>
      </c>
      <c r="F19" s="8" t="s">
        <v>32</v>
      </c>
      <c r="G19" s="32" t="s">
        <v>209</v>
      </c>
      <c r="H19" s="32" t="s">
        <v>73</v>
      </c>
      <c r="I19" s="23" t="str">
        <f>IFERROR(__xludf.DUMMYFUNCTION("if(REGEXMATCH(join("", "",$G19:$H19),I$1)=TRUE,""✓"",""✗"")"),"✗")</f>
        <v>✗</v>
      </c>
      <c r="J19" s="23" t="str">
        <f>IFERROR(__xludf.DUMMYFUNCTION("if(REGEXMATCH(join("", "",$G19:$H19),J$1)=TRUE,""✓"",""✗"")"),"✓")</f>
        <v>✓</v>
      </c>
      <c r="K19" s="23" t="str">
        <f>IFERROR(__xludf.DUMMYFUNCTION("if(REGEXMATCH(join("", "",$G19:$H19),K$1)=TRUE,""✓"",""✗"")"),"✗")</f>
        <v>✗</v>
      </c>
      <c r="L19" s="23" t="str">
        <f>IFERROR(__xludf.DUMMYFUNCTION("if(REGEXMATCH(join("", "",$G19:$H19),L$1)=TRUE,""✓"",""✗"")"),"✓")</f>
        <v>✓</v>
      </c>
      <c r="M19" s="23" t="str">
        <f>IFERROR(__xludf.DUMMYFUNCTION("if(REGEXMATCH(join("", "",$G19:$H19),M$1)=TRUE,""✓"",""✗"")"),"✗")</f>
        <v>✗</v>
      </c>
      <c r="N19" s="23" t="str">
        <f>IFERROR(__xludf.DUMMYFUNCTION("if(REGEXMATCH(join("", "",$G19:$H19),N$1)=TRUE,""✓"",""✗"")"),"✗")</f>
        <v>✗</v>
      </c>
      <c r="O19" s="23" t="str">
        <f>IFERROR(__xludf.DUMMYFUNCTION("if(REGEXMATCH(join("", "",$G19:$H19),O$1)=TRUE,""✓"",""✗"")"),"✓")</f>
        <v>✓</v>
      </c>
      <c r="P19" s="23" t="str">
        <f>IFERROR(__xludf.DUMMYFUNCTION("if(REGEXMATCH(join("", "",$G19:$H19),P$1)=TRUE,""✓"",""✗"")"),"✓")</f>
        <v>✓</v>
      </c>
      <c r="Q19" s="23" t="str">
        <f>IFERROR(__xludf.DUMMYFUNCTION("if(REGEXMATCH(join("", "",$G19:$H19),Q$1)=TRUE,""✓"",""✗"")"),"✗")</f>
        <v>✗</v>
      </c>
      <c r="R19" s="23" t="str">
        <f>IFERROR(__xludf.DUMMYFUNCTION("if(REGEXMATCH(join("", "",$G19:$H19),R$1)=TRUE,""✓"",""✗"")"),"✗")</f>
        <v>✗</v>
      </c>
      <c r="S19" s="23" t="str">
        <f>IFERROR(__xludf.DUMMYFUNCTION("if(REGEXMATCH(join("", "",$G19:$H19),S$1)=TRUE,""✓"",""✗"")"),"✓")</f>
        <v>✓</v>
      </c>
      <c r="T19" s="23" t="str">
        <f>IFERROR(__xludf.DUMMYFUNCTION("if(REGEXMATCH(join("", "",$G19:$H19),T$1)=TRUE,""✓"",""✗"")"),"✓")</f>
        <v>✓</v>
      </c>
      <c r="U19" s="23" t="str">
        <f>IFERROR(__xludf.DUMMYFUNCTION("if(REGEXMATCH(join("", "",$G19:$H19),U$1)=TRUE,""✓"",""✗"")"),"✗")</f>
        <v>✗</v>
      </c>
    </row>
    <row r="20">
      <c r="A20" s="8">
        <v>19.0</v>
      </c>
      <c r="B20" s="8" t="s">
        <v>75</v>
      </c>
      <c r="C20" s="16" t="str">
        <f t="shared" si="1"/>
        <v>Calvert et al., 2025</v>
      </c>
      <c r="D20" s="30" t="s">
        <v>243</v>
      </c>
      <c r="E20" s="15" t="str">
        <f t="shared" si="2"/>
        <v>https://raw.githubusercontent.com/d-wkim/phd/refs/heads/main/data/pdf/calvert_2025 .pdf</v>
      </c>
      <c r="F20" s="8" t="s">
        <v>32</v>
      </c>
      <c r="G20" s="32" t="s">
        <v>245</v>
      </c>
      <c r="H20" s="32" t="s">
        <v>76</v>
      </c>
      <c r="I20" s="23" t="str">
        <f>IFERROR(__xludf.DUMMYFUNCTION("if(REGEXMATCH(join("", "",$G20:$H20),I$1)=TRUE,""✓"",""✗"")"),"✗")</f>
        <v>✗</v>
      </c>
      <c r="J20" s="23" t="str">
        <f>IFERROR(__xludf.DUMMYFUNCTION("if(REGEXMATCH(join("", "",$G20:$H20),J$1)=TRUE,""✓"",""✗"")"),"✓")</f>
        <v>✓</v>
      </c>
      <c r="K20" s="23" t="str">
        <f>IFERROR(__xludf.DUMMYFUNCTION("if(REGEXMATCH(join("", "",$G20:$H20),K$1)=TRUE,""✓"",""✗"")"),"✓")</f>
        <v>✓</v>
      </c>
      <c r="L20" s="23" t="str">
        <f>IFERROR(__xludf.DUMMYFUNCTION("if(REGEXMATCH(join("", "",$G20:$H20),L$1)=TRUE,""✓"",""✗"")"),"✗")</f>
        <v>✗</v>
      </c>
      <c r="M20" s="23" t="str">
        <f>IFERROR(__xludf.DUMMYFUNCTION("if(REGEXMATCH(join("", "",$G20:$H20),M$1)=TRUE,""✓"",""✗"")"),"✗")</f>
        <v>✗</v>
      </c>
      <c r="N20" s="23" t="str">
        <f>IFERROR(__xludf.DUMMYFUNCTION("if(REGEXMATCH(join("", "",$G20:$H20),N$1)=TRUE,""✓"",""✗"")"),"✗")</f>
        <v>✗</v>
      </c>
      <c r="O20" s="23" t="str">
        <f>IFERROR(__xludf.DUMMYFUNCTION("if(REGEXMATCH(join("", "",$G20:$H20),O$1)=TRUE,""✓"",""✗"")"),"✓")</f>
        <v>✓</v>
      </c>
      <c r="P20" s="23" t="str">
        <f>IFERROR(__xludf.DUMMYFUNCTION("if(REGEXMATCH(join("", "",$G20:$H20),P$1)=TRUE,""✓"",""✗"")"),"✗")</f>
        <v>✗</v>
      </c>
      <c r="Q20" s="23" t="str">
        <f>IFERROR(__xludf.DUMMYFUNCTION("if(REGEXMATCH(join("", "",$G20:$H20),Q$1)=TRUE,""✓"",""✗"")"),"✗")</f>
        <v>✗</v>
      </c>
      <c r="R20" s="23" t="str">
        <f>IFERROR(__xludf.DUMMYFUNCTION("if(REGEXMATCH(join("", "",$G20:$H20),R$1)=TRUE,""✓"",""✗"")"),"✓")</f>
        <v>✓</v>
      </c>
      <c r="S20" s="23" t="str">
        <f>IFERROR(__xludf.DUMMYFUNCTION("if(REGEXMATCH(join("", "",$G20:$H20),S$1)=TRUE,""✓"",""✗"")"),"✗")</f>
        <v>✗</v>
      </c>
      <c r="T20" s="23" t="str">
        <f>IFERROR(__xludf.DUMMYFUNCTION("if(REGEXMATCH(join("", "",$G20:$H20),T$1)=TRUE,""✓"",""✗"")"),"✗")</f>
        <v>✗</v>
      </c>
      <c r="U20" s="23" t="str">
        <f>IFERROR(__xludf.DUMMYFUNCTION("if(REGEXMATCH(join("", "",$G20:$H20),U$1)=TRUE,""✓"",""✗"")"),"✗")</f>
        <v>✗</v>
      </c>
    </row>
    <row r="21" hidden="1">
      <c r="A21" s="8">
        <v>20.0</v>
      </c>
      <c r="B21" s="8" t="s">
        <v>248</v>
      </c>
      <c r="C21" s="42" t="str">
        <f t="shared" si="1"/>
        <v>Carter &amp; Edinger et al., 1999</v>
      </c>
      <c r="D21" s="8" t="s">
        <v>249</v>
      </c>
      <c r="E21" s="15" t="str">
        <f t="shared" si="2"/>
        <v>https://raw.githubusercontent.com/d-wkim/phd/refs/heads/main/data/pdf/carter &amp; edinger_1999 .pdf</v>
      </c>
      <c r="F21" s="8" t="s">
        <v>102</v>
      </c>
      <c r="G21" s="8"/>
      <c r="H21" s="8" t="s">
        <v>230</v>
      </c>
      <c r="I21" s="23" t="str">
        <f>IFERROR(__xludf.DUMMYFUNCTION("if(REGEXMATCH(join("", "",$G21:$H21),I$1)=TRUE,""✓"",""✗"")"),"✗")</f>
        <v>✗</v>
      </c>
      <c r="J21" s="23" t="str">
        <f>IFERROR(__xludf.DUMMYFUNCTION("if(REGEXMATCH(join("", "",$G21:$H21),J$1)=TRUE,""✓"",""✗"")"),"✗")</f>
        <v>✗</v>
      </c>
      <c r="K21" s="23" t="str">
        <f>IFERROR(__xludf.DUMMYFUNCTION("if(REGEXMATCH(join("", "",$G21:$H21),K$1)=TRUE,""✓"",""✗"")"),"✗")</f>
        <v>✗</v>
      </c>
      <c r="L21" s="23" t="str">
        <f>IFERROR(__xludf.DUMMYFUNCTION("if(REGEXMATCH(join("", "",$G21:$H21),L$1)=TRUE,""✓"",""✗"")"),"✗")</f>
        <v>✗</v>
      </c>
      <c r="M21" s="23" t="str">
        <f>IFERROR(__xludf.DUMMYFUNCTION("if(REGEXMATCH(join("", "",$G21:$H21),M$1)=TRUE,""✓"",""✗"")"),"✗")</f>
        <v>✗</v>
      </c>
      <c r="N21" s="23" t="str">
        <f>IFERROR(__xludf.DUMMYFUNCTION("if(REGEXMATCH(join("", "",$G21:$H21),N$1)=TRUE,""✓"",""✗"")"),"✗")</f>
        <v>✗</v>
      </c>
      <c r="O21" s="23" t="str">
        <f>IFERROR(__xludf.DUMMYFUNCTION("if(REGEXMATCH(join("", "",$G21:$H21),O$1)=TRUE,""✓"",""✗"")"),"✗")</f>
        <v>✗</v>
      </c>
      <c r="P21" s="23" t="str">
        <f>IFERROR(__xludf.DUMMYFUNCTION("if(REGEXMATCH(join("", "",$G21:$H21),P$1)=TRUE,""✓"",""✗"")"),"✗")</f>
        <v>✗</v>
      </c>
      <c r="Q21" s="23" t="str">
        <f>IFERROR(__xludf.DUMMYFUNCTION("if(REGEXMATCH(join("", "",$G21:$H21),Q$1)=TRUE,""✓"",""✗"")"),"✗")</f>
        <v>✗</v>
      </c>
      <c r="R21" s="23" t="str">
        <f>IFERROR(__xludf.DUMMYFUNCTION("if(REGEXMATCH(join("", "",$G21:$H21),R$1)=TRUE,""✓"",""✗"")"),"✗")</f>
        <v>✗</v>
      </c>
      <c r="S21" s="23" t="str">
        <f>IFERROR(__xludf.DUMMYFUNCTION("if(REGEXMATCH(join("", "",$G21:$H21),S$1)=TRUE,""✓"",""✗"")"),"✗")</f>
        <v>✗</v>
      </c>
      <c r="T21" s="23" t="str">
        <f>IFERROR(__xludf.DUMMYFUNCTION("if(REGEXMATCH(join("", "",$G21:$H21),T$1)=TRUE,""✓"",""✗"")"),"✗")</f>
        <v>✗</v>
      </c>
      <c r="U21" s="23" t="str">
        <f>IFERROR(__xludf.DUMMYFUNCTION("if(REGEXMATCH(join("", "",$G21:$H21),U$1)=TRUE,""✓"",""✗"")"),"✗")</f>
        <v>✗</v>
      </c>
    </row>
    <row r="22" hidden="1">
      <c r="A22" s="8">
        <v>21.0</v>
      </c>
      <c r="B22" s="8" t="s">
        <v>252</v>
      </c>
      <c r="C22" s="42" t="str">
        <f t="shared" si="1"/>
        <v>Covey et al., 2018</v>
      </c>
      <c r="D22" s="8" t="s">
        <v>253</v>
      </c>
      <c r="E22" s="15" t="str">
        <f t="shared" si="2"/>
        <v>https://raw.githubusercontent.com/d-wkim/phd/refs/heads/main/data/pdf/covey_2018 .pdf</v>
      </c>
      <c r="F22" s="8" t="s">
        <v>102</v>
      </c>
      <c r="G22" s="8"/>
      <c r="H22" s="8" t="s">
        <v>230</v>
      </c>
      <c r="I22" s="23" t="str">
        <f>IFERROR(__xludf.DUMMYFUNCTION("if(REGEXMATCH(join("", "",$G22:$H22),I$1)=TRUE,""✓"",""✗"")"),"✗")</f>
        <v>✗</v>
      </c>
      <c r="J22" s="23" t="str">
        <f>IFERROR(__xludf.DUMMYFUNCTION("if(REGEXMATCH(join("", "",$G22:$H22),J$1)=TRUE,""✓"",""✗"")"),"✗")</f>
        <v>✗</v>
      </c>
      <c r="K22" s="23" t="str">
        <f>IFERROR(__xludf.DUMMYFUNCTION("if(REGEXMATCH(join("", "",$G22:$H22),K$1)=TRUE,""✓"",""✗"")"),"✗")</f>
        <v>✗</v>
      </c>
      <c r="L22" s="23" t="str">
        <f>IFERROR(__xludf.DUMMYFUNCTION("if(REGEXMATCH(join("", "",$G22:$H22),L$1)=TRUE,""✓"",""✗"")"),"✗")</f>
        <v>✗</v>
      </c>
      <c r="M22" s="23" t="str">
        <f>IFERROR(__xludf.DUMMYFUNCTION("if(REGEXMATCH(join("", "",$G22:$H22),M$1)=TRUE,""✓"",""✗"")"),"✗")</f>
        <v>✗</v>
      </c>
      <c r="N22" s="23" t="str">
        <f>IFERROR(__xludf.DUMMYFUNCTION("if(REGEXMATCH(join("", "",$G22:$H22),N$1)=TRUE,""✓"",""✗"")"),"✗")</f>
        <v>✗</v>
      </c>
      <c r="O22" s="23" t="str">
        <f>IFERROR(__xludf.DUMMYFUNCTION("if(REGEXMATCH(join("", "",$G22:$H22),O$1)=TRUE,""✓"",""✗"")"),"✗")</f>
        <v>✗</v>
      </c>
      <c r="P22" s="23" t="str">
        <f>IFERROR(__xludf.DUMMYFUNCTION("if(REGEXMATCH(join("", "",$G22:$H22),P$1)=TRUE,""✓"",""✗"")"),"✗")</f>
        <v>✗</v>
      </c>
      <c r="Q22" s="23" t="str">
        <f>IFERROR(__xludf.DUMMYFUNCTION("if(REGEXMATCH(join("", "",$G22:$H22),Q$1)=TRUE,""✓"",""✗"")"),"✗")</f>
        <v>✗</v>
      </c>
      <c r="R22" s="23" t="str">
        <f>IFERROR(__xludf.DUMMYFUNCTION("if(REGEXMATCH(join("", "",$G22:$H22),R$1)=TRUE,""✓"",""✗"")"),"✗")</f>
        <v>✗</v>
      </c>
      <c r="S22" s="23" t="str">
        <f>IFERROR(__xludf.DUMMYFUNCTION("if(REGEXMATCH(join("", "",$G22:$H22),S$1)=TRUE,""✓"",""✗"")"),"✗")</f>
        <v>✗</v>
      </c>
      <c r="T22" s="23" t="str">
        <f>IFERROR(__xludf.DUMMYFUNCTION("if(REGEXMATCH(join("", "",$G22:$H22),T$1)=TRUE,""✓"",""✗"")"),"✗")</f>
        <v>✗</v>
      </c>
      <c r="U22" s="23" t="str">
        <f>IFERROR(__xludf.DUMMYFUNCTION("if(REGEXMATCH(join("", "",$G22:$H22),U$1)=TRUE,""✓"",""✗"")"),"✗")</f>
        <v>✗</v>
      </c>
    </row>
    <row r="23">
      <c r="A23" s="8">
        <v>22.0</v>
      </c>
      <c r="B23" s="8" t="s">
        <v>79</v>
      </c>
      <c r="C23" s="16" t="str">
        <f t="shared" si="1"/>
        <v>Cruz et al., 2022</v>
      </c>
      <c r="D23" s="30" t="s">
        <v>255</v>
      </c>
      <c r="E23" s="15" t="str">
        <f t="shared" si="2"/>
        <v>https://raw.githubusercontent.com/d-wkim/phd/refs/heads/main/data/pdf/cruz_2022 .pdf</v>
      </c>
      <c r="F23" s="8" t="s">
        <v>32</v>
      </c>
      <c r="G23" s="32" t="s">
        <v>223</v>
      </c>
      <c r="H23" s="32" t="s">
        <v>20</v>
      </c>
      <c r="I23" s="23" t="str">
        <f>IFERROR(__xludf.DUMMYFUNCTION("if(REGEXMATCH(join("", "",$G23:$H23),I$1)=TRUE,""✓"",""✗"")"),"✗")</f>
        <v>✗</v>
      </c>
      <c r="J23" s="23" t="str">
        <f>IFERROR(__xludf.DUMMYFUNCTION("if(REGEXMATCH(join("", "",$G23:$H23),J$1)=TRUE,""✓"",""✗"")"),"✓")</f>
        <v>✓</v>
      </c>
      <c r="K23" s="23" t="str">
        <f>IFERROR(__xludf.DUMMYFUNCTION("if(REGEXMATCH(join("", "",$G23:$H23),K$1)=TRUE,""✓"",""✗"")"),"✗")</f>
        <v>✗</v>
      </c>
      <c r="L23" s="23" t="str">
        <f>IFERROR(__xludf.DUMMYFUNCTION("if(REGEXMATCH(join("", "",$G23:$H23),L$1)=TRUE,""✓"",""✗"")"),"✗")</f>
        <v>✗</v>
      </c>
      <c r="M23" s="23" t="str">
        <f>IFERROR(__xludf.DUMMYFUNCTION("if(REGEXMATCH(join("", "",$G23:$H23),M$1)=TRUE,""✓"",""✗"")"),"✗")</f>
        <v>✗</v>
      </c>
      <c r="N23" s="23" t="str">
        <f>IFERROR(__xludf.DUMMYFUNCTION("if(REGEXMATCH(join("", "",$G23:$H23),N$1)=TRUE,""✓"",""✗"")"),"✓")</f>
        <v>✓</v>
      </c>
      <c r="O23" s="23" t="str">
        <f>IFERROR(__xludf.DUMMYFUNCTION("if(REGEXMATCH(join("", "",$G23:$H23),O$1)=TRUE,""✓"",""✗"")"),"✗")</f>
        <v>✗</v>
      </c>
      <c r="P23" s="23" t="str">
        <f>IFERROR(__xludf.DUMMYFUNCTION("if(REGEXMATCH(join("", "",$G23:$H23),P$1)=TRUE,""✓"",""✗"")"),"✗")</f>
        <v>✗</v>
      </c>
      <c r="Q23" s="23" t="str">
        <f>IFERROR(__xludf.DUMMYFUNCTION("if(REGEXMATCH(join("", "",$G23:$H23),Q$1)=TRUE,""✓"",""✗"")"),"✗")</f>
        <v>✗</v>
      </c>
      <c r="R23" s="23" t="str">
        <f>IFERROR(__xludf.DUMMYFUNCTION("if(REGEXMATCH(join("", "",$G23:$H23),R$1)=TRUE,""✓"",""✗"")"),"✗")</f>
        <v>✗</v>
      </c>
      <c r="S23" s="23" t="str">
        <f>IFERROR(__xludf.DUMMYFUNCTION("if(REGEXMATCH(join("", "",$G23:$H23),S$1)=TRUE,""✓"",""✗"")"),"✗")</f>
        <v>✗</v>
      </c>
      <c r="T23" s="23" t="str">
        <f>IFERROR(__xludf.DUMMYFUNCTION("if(REGEXMATCH(join("", "",$G23:$H23),T$1)=TRUE,""✓"",""✗"")"),"✗")</f>
        <v>✗</v>
      </c>
      <c r="U23" s="23" t="str">
        <f>IFERROR(__xludf.DUMMYFUNCTION("if(REGEXMATCH(join("", "",$G23:$H23),U$1)=TRUE,""✓"",""✗"")"),"✓")</f>
        <v>✓</v>
      </c>
    </row>
    <row r="24">
      <c r="A24" s="8">
        <v>23.0</v>
      </c>
      <c r="B24" s="8" t="s">
        <v>81</v>
      </c>
      <c r="C24" s="16" t="str">
        <f t="shared" si="1"/>
        <v>Ejerhed et al., 2003</v>
      </c>
      <c r="D24" s="30" t="s">
        <v>260</v>
      </c>
      <c r="E24" s="15" t="str">
        <f t="shared" si="2"/>
        <v>https://raw.githubusercontent.com/d-wkim/phd/refs/heads/main/data/pdf/ejerhed_2003 .pdf</v>
      </c>
      <c r="F24" s="8" t="s">
        <v>32</v>
      </c>
      <c r="G24" s="32" t="s">
        <v>33</v>
      </c>
      <c r="H24" s="32" t="s">
        <v>82</v>
      </c>
      <c r="I24" s="23" t="str">
        <f>IFERROR(__xludf.DUMMYFUNCTION("if(REGEXMATCH(join("", "",$G24:$H24),I$1)=TRUE,""✓"",""✗"")"),"✓")</f>
        <v>✓</v>
      </c>
      <c r="J24" s="23" t="str">
        <f>IFERROR(__xludf.DUMMYFUNCTION("if(REGEXMATCH(join("", "",$G24:$H24),J$1)=TRUE,""✓"",""✗"")"),"✓")</f>
        <v>✓</v>
      </c>
      <c r="K24" s="23" t="str">
        <f>IFERROR(__xludf.DUMMYFUNCTION("if(REGEXMATCH(join("", "",$G24:$H24),K$1)=TRUE,""✓"",""✗"")"),"✗")</f>
        <v>✗</v>
      </c>
      <c r="L24" s="23" t="str">
        <f>IFERROR(__xludf.DUMMYFUNCTION("if(REGEXMATCH(join("", "",$G24:$H24),L$1)=TRUE,""✓"",""✗"")"),"✗")</f>
        <v>✗</v>
      </c>
      <c r="M24" s="23" t="str">
        <f>IFERROR(__xludf.DUMMYFUNCTION("if(REGEXMATCH(join("", "",$G24:$H24),M$1)=TRUE,""✓"",""✗"")"),"✗")</f>
        <v>✗</v>
      </c>
      <c r="N24" s="23" t="str">
        <f>IFERROR(__xludf.DUMMYFUNCTION("if(REGEXMATCH(join("", "",$G24:$H24),N$1)=TRUE,""✓"",""✗"")"),"✗")</f>
        <v>✗</v>
      </c>
      <c r="O24" s="23" t="str">
        <f>IFERROR(__xludf.DUMMYFUNCTION("if(REGEXMATCH(join("", "",$G24:$H24),O$1)=TRUE,""✓"",""✗"")"),"✗")</f>
        <v>✗</v>
      </c>
      <c r="P24" s="23" t="str">
        <f>IFERROR(__xludf.DUMMYFUNCTION("if(REGEXMATCH(join("", "",$G24:$H24),P$1)=TRUE,""✓"",""✗"")"),"✓")</f>
        <v>✓</v>
      </c>
      <c r="Q24" s="23" t="str">
        <f>IFERROR(__xludf.DUMMYFUNCTION("if(REGEXMATCH(join("", "",$G24:$H24),Q$1)=TRUE,""✓"",""✗"")"),"✓")</f>
        <v>✓</v>
      </c>
      <c r="R24" s="23" t="str">
        <f>IFERROR(__xludf.DUMMYFUNCTION("if(REGEXMATCH(join("", "",$G24:$H24),R$1)=TRUE,""✓"",""✗"")"),"✓")</f>
        <v>✓</v>
      </c>
      <c r="S24" s="23" t="str">
        <f>IFERROR(__xludf.DUMMYFUNCTION("if(REGEXMATCH(join("", "",$G24:$H24),S$1)=TRUE,""✓"",""✗"")"),"✗")</f>
        <v>✗</v>
      </c>
      <c r="T24" s="23" t="str">
        <f>IFERROR(__xludf.DUMMYFUNCTION("if(REGEXMATCH(join("", "",$G24:$H24),T$1)=TRUE,""✓"",""✗"")"),"✓")</f>
        <v>✓</v>
      </c>
      <c r="U24" s="23" t="str">
        <f>IFERROR(__xludf.DUMMYFUNCTION("if(REGEXMATCH(join("", "",$G24:$H24),U$1)=TRUE,""✓"",""✗"")"),"✗")</f>
        <v>✗</v>
      </c>
    </row>
    <row r="25" hidden="1">
      <c r="A25" s="8">
        <v>24.0</v>
      </c>
      <c r="B25" s="8" t="s">
        <v>265</v>
      </c>
      <c r="C25" s="42" t="str">
        <f t="shared" si="1"/>
        <v>Eriksson et al., 2001</v>
      </c>
      <c r="D25" s="8" t="s">
        <v>266</v>
      </c>
      <c r="E25" s="15" t="str">
        <f t="shared" si="2"/>
        <v>https://raw.githubusercontent.com/d-wkim/phd/refs/heads/main/data/pdf/eriksson_2001 .pdf</v>
      </c>
      <c r="F25" s="8" t="s">
        <v>102</v>
      </c>
      <c r="G25" s="32"/>
      <c r="H25" s="8" t="s">
        <v>228</v>
      </c>
      <c r="I25" s="23" t="str">
        <f>IFERROR(__xludf.DUMMYFUNCTION("if(REGEXMATCH(join("", "",$G25:$H25),I$1)=TRUE,""✓"",""✗"")"),"✗")</f>
        <v>✗</v>
      </c>
      <c r="J25" s="23" t="str">
        <f>IFERROR(__xludf.DUMMYFUNCTION("if(REGEXMATCH(join("", "",$G25:$H25),J$1)=TRUE,""✓"",""✗"")"),"✗")</f>
        <v>✗</v>
      </c>
      <c r="K25" s="23" t="str">
        <f>IFERROR(__xludf.DUMMYFUNCTION("if(REGEXMATCH(join("", "",$G25:$H25),K$1)=TRUE,""✓"",""✗"")"),"✗")</f>
        <v>✗</v>
      </c>
      <c r="L25" s="23" t="str">
        <f>IFERROR(__xludf.DUMMYFUNCTION("if(REGEXMATCH(join("", "",$G25:$H25),L$1)=TRUE,""✓"",""✗"")"),"✗")</f>
        <v>✗</v>
      </c>
      <c r="M25" s="23" t="str">
        <f>IFERROR(__xludf.DUMMYFUNCTION("if(REGEXMATCH(join("", "",$G25:$H25),M$1)=TRUE,""✓"",""✗"")"),"✗")</f>
        <v>✗</v>
      </c>
      <c r="N25" s="23" t="str">
        <f>IFERROR(__xludf.DUMMYFUNCTION("if(REGEXMATCH(join("", "",$G25:$H25),N$1)=TRUE,""✓"",""✗"")"),"✗")</f>
        <v>✗</v>
      </c>
      <c r="O25" s="23" t="str">
        <f>IFERROR(__xludf.DUMMYFUNCTION("if(REGEXMATCH(join("", "",$G25:$H25),O$1)=TRUE,""✓"",""✗"")"),"✗")</f>
        <v>✗</v>
      </c>
      <c r="P25" s="23" t="str">
        <f>IFERROR(__xludf.DUMMYFUNCTION("if(REGEXMATCH(join("", "",$G25:$H25),P$1)=TRUE,""✓"",""✗"")"),"✗")</f>
        <v>✗</v>
      </c>
      <c r="Q25" s="23" t="str">
        <f>IFERROR(__xludf.DUMMYFUNCTION("if(REGEXMATCH(join("", "",$G25:$H25),Q$1)=TRUE,""✓"",""✗"")"),"✗")</f>
        <v>✗</v>
      </c>
      <c r="R25" s="23" t="str">
        <f>IFERROR(__xludf.DUMMYFUNCTION("if(REGEXMATCH(join("", "",$G25:$H25),R$1)=TRUE,""✓"",""✗"")"),"✗")</f>
        <v>✗</v>
      </c>
      <c r="S25" s="23" t="str">
        <f>IFERROR(__xludf.DUMMYFUNCTION("if(REGEXMATCH(join("", "",$G25:$H25),S$1)=TRUE,""✓"",""✗"")"),"✗")</f>
        <v>✗</v>
      </c>
      <c r="T25" s="23" t="str">
        <f>IFERROR(__xludf.DUMMYFUNCTION("if(REGEXMATCH(join("", "",$G25:$H25),T$1)=TRUE,""✓"",""✗"")"),"✗")</f>
        <v>✗</v>
      </c>
      <c r="U25" s="23" t="str">
        <f>IFERROR(__xludf.DUMMYFUNCTION("if(REGEXMATCH(join("", "",$G25:$H25),U$1)=TRUE,""✓"",""✗"")"),"✗")</f>
        <v>✗</v>
      </c>
    </row>
    <row r="26">
      <c r="A26" s="8">
        <v>25.0</v>
      </c>
      <c r="B26" s="8" t="s">
        <v>84</v>
      </c>
      <c r="C26" s="16" t="str">
        <f t="shared" si="1"/>
        <v>Eriksson et al., 2006</v>
      </c>
      <c r="D26" s="30" t="s">
        <v>269</v>
      </c>
      <c r="E26" s="15" t="str">
        <f t="shared" si="2"/>
        <v>https://raw.githubusercontent.com/d-wkim/phd/refs/heads/main/data/pdf/eriksson_2006 .pdf</v>
      </c>
      <c r="F26" s="8" t="s">
        <v>32</v>
      </c>
      <c r="G26" s="8" t="s">
        <v>33</v>
      </c>
      <c r="H26" s="32" t="s">
        <v>85</v>
      </c>
      <c r="I26" s="23" t="str">
        <f>IFERROR(__xludf.DUMMYFUNCTION("if(REGEXMATCH(join("", "",$G26:$H26),I$1)=TRUE,""✓"",""✗"")"),"✓")</f>
        <v>✓</v>
      </c>
      <c r="J26" s="23" t="str">
        <f>IFERROR(__xludf.DUMMYFUNCTION("if(REGEXMATCH(join("", "",$G26:$H26),J$1)=TRUE,""✓"",""✗"")"),"✓")</f>
        <v>✓</v>
      </c>
      <c r="K26" s="23" t="str">
        <f>IFERROR(__xludf.DUMMYFUNCTION("if(REGEXMATCH(join("", "",$G26:$H26),K$1)=TRUE,""✓"",""✗"")"),"✗")</f>
        <v>✗</v>
      </c>
      <c r="L26" s="23" t="str">
        <f>IFERROR(__xludf.DUMMYFUNCTION("if(REGEXMATCH(join("", "",$G26:$H26),L$1)=TRUE,""✓"",""✗"")"),"✗")</f>
        <v>✗</v>
      </c>
      <c r="M26" s="23" t="str">
        <f>IFERROR(__xludf.DUMMYFUNCTION("if(REGEXMATCH(join("", "",$G26:$H26),M$1)=TRUE,""✓"",""✗"")"),"✗")</f>
        <v>✗</v>
      </c>
      <c r="N26" s="23" t="str">
        <f>IFERROR(__xludf.DUMMYFUNCTION("if(REGEXMATCH(join("", "",$G26:$H26),N$1)=TRUE,""✓"",""✗"")"),"✗")</f>
        <v>✗</v>
      </c>
      <c r="O26" s="23" t="str">
        <f>IFERROR(__xludf.DUMMYFUNCTION("if(REGEXMATCH(join("", "",$G26:$H26),O$1)=TRUE,""✓"",""✗"")"),"✗")</f>
        <v>✗</v>
      </c>
      <c r="P26" s="23" t="str">
        <f>IFERROR(__xludf.DUMMYFUNCTION("if(REGEXMATCH(join("", "",$G26:$H26),P$1)=TRUE,""✓"",""✗"")"),"✗")</f>
        <v>✗</v>
      </c>
      <c r="Q26" s="23" t="str">
        <f>IFERROR(__xludf.DUMMYFUNCTION("if(REGEXMATCH(join("", "",$G26:$H26),Q$1)=TRUE,""✓"",""✗"")"),"✗")</f>
        <v>✗</v>
      </c>
      <c r="R26" s="23" t="str">
        <f>IFERROR(__xludf.DUMMYFUNCTION("if(REGEXMATCH(join("", "",$G26:$H26),R$1)=TRUE,""✓"",""✗"")"),"✓")</f>
        <v>✓</v>
      </c>
      <c r="S26" s="23" t="str">
        <f>IFERROR(__xludf.DUMMYFUNCTION("if(REGEXMATCH(join("", "",$G26:$H26),S$1)=TRUE,""✓"",""✗"")"),"✓")</f>
        <v>✓</v>
      </c>
      <c r="T26" s="23" t="str">
        <f>IFERROR(__xludf.DUMMYFUNCTION("if(REGEXMATCH(join("", "",$G26:$H26),T$1)=TRUE,""✓"",""✗"")"),"✗")</f>
        <v>✗</v>
      </c>
      <c r="U26" s="23" t="str">
        <f>IFERROR(__xludf.DUMMYFUNCTION("if(REGEXMATCH(join("", "",$G26:$H26),U$1)=TRUE,""✓"",""✗"")"),"✗")</f>
        <v>✗</v>
      </c>
    </row>
    <row r="27">
      <c r="A27" s="8">
        <v>26.0</v>
      </c>
      <c r="B27" s="8" t="s">
        <v>86</v>
      </c>
      <c r="C27" s="16" t="str">
        <f t="shared" si="1"/>
        <v>Feller et al., Webster et al., 2003</v>
      </c>
      <c r="D27" s="30" t="s">
        <v>274</v>
      </c>
      <c r="E27" s="15" t="str">
        <f t="shared" si="2"/>
        <v>https://raw.githubusercontent.com/d-wkim/phd/refs/heads/main/data/pdf/feller_webster_2003 .pdf</v>
      </c>
      <c r="F27" s="8" t="s">
        <v>32</v>
      </c>
      <c r="G27" s="8" t="s">
        <v>33</v>
      </c>
      <c r="H27" s="32" t="s">
        <v>87</v>
      </c>
      <c r="I27" s="23" t="str">
        <f>IFERROR(__xludf.DUMMYFUNCTION("if(REGEXMATCH(join("", "",$G27:$H27),I$1)=TRUE,""✓"",""✗"")"),"✓")</f>
        <v>✓</v>
      </c>
      <c r="J27" s="23" t="str">
        <f>IFERROR(__xludf.DUMMYFUNCTION("if(REGEXMATCH(join("", "",$G27:$H27),J$1)=TRUE,""✓"",""✗"")"),"✓")</f>
        <v>✓</v>
      </c>
      <c r="K27" s="23" t="str">
        <f>IFERROR(__xludf.DUMMYFUNCTION("if(REGEXMATCH(join("", "",$G27:$H27),K$1)=TRUE,""✓"",""✗"")"),"✗")</f>
        <v>✗</v>
      </c>
      <c r="L27" s="23" t="str">
        <f>IFERROR(__xludf.DUMMYFUNCTION("if(REGEXMATCH(join("", "",$G27:$H27),L$1)=TRUE,""✓"",""✗"")"),"✗")</f>
        <v>✗</v>
      </c>
      <c r="M27" s="23" t="str">
        <f>IFERROR(__xludf.DUMMYFUNCTION("if(REGEXMATCH(join("", "",$G27:$H27),M$1)=TRUE,""✓"",""✗"")"),"✗")</f>
        <v>✗</v>
      </c>
      <c r="N27" s="23" t="str">
        <f>IFERROR(__xludf.DUMMYFUNCTION("if(REGEXMATCH(join("", "",$G27:$H27),N$1)=TRUE,""✓"",""✗"")"),"✗")</f>
        <v>✗</v>
      </c>
      <c r="O27" s="23" t="str">
        <f>IFERROR(__xludf.DUMMYFUNCTION("if(REGEXMATCH(join("", "",$G27:$H27),O$1)=TRUE,""✓"",""✗"")"),"✓")</f>
        <v>✓</v>
      </c>
      <c r="P27" s="23" t="str">
        <f>IFERROR(__xludf.DUMMYFUNCTION("if(REGEXMATCH(join("", "",$G27:$H27),P$1)=TRUE,""✓"",""✗"")"),"✗")</f>
        <v>✗</v>
      </c>
      <c r="Q27" s="23" t="str">
        <f>IFERROR(__xludf.DUMMYFUNCTION("if(REGEXMATCH(join("", "",$G27:$H27),Q$1)=TRUE,""✓"",""✗"")"),"✗")</f>
        <v>✗</v>
      </c>
      <c r="R27" s="23" t="str">
        <f>IFERROR(__xludf.DUMMYFUNCTION("if(REGEXMATCH(join("", "",$G27:$H27),R$1)=TRUE,""✓"",""✗"")"),"✓")</f>
        <v>✓</v>
      </c>
      <c r="S27" s="23" t="str">
        <f>IFERROR(__xludf.DUMMYFUNCTION("if(REGEXMATCH(join("", "",$G27:$H27),S$1)=TRUE,""✓"",""✗"")"),"✓")</f>
        <v>✓</v>
      </c>
      <c r="T27" s="23" t="str">
        <f>IFERROR(__xludf.DUMMYFUNCTION("if(REGEXMATCH(join("", "",$G27:$H27),T$1)=TRUE,""✓"",""✗"")"),"✓")</f>
        <v>✓</v>
      </c>
      <c r="U27" s="23" t="str">
        <f>IFERROR(__xludf.DUMMYFUNCTION("if(REGEXMATCH(join("", "",$G27:$H27),U$1)=TRUE,""✓"",""✗"")"),"✗")</f>
        <v>✗</v>
      </c>
    </row>
    <row r="28" hidden="1">
      <c r="A28" s="8">
        <v>27.0</v>
      </c>
      <c r="B28" s="8" t="s">
        <v>278</v>
      </c>
      <c r="C28" s="42" t="str">
        <f t="shared" si="1"/>
        <v>Garcia-Linage et al., 2025</v>
      </c>
      <c r="D28" s="8" t="s">
        <v>279</v>
      </c>
      <c r="E28" s="15" t="str">
        <f t="shared" si="2"/>
        <v>https://raw.githubusercontent.com/d-wkim/phd/refs/heads/main/data/pdf/garcia-linage_2025 .pdf</v>
      </c>
      <c r="F28" s="8" t="s">
        <v>102</v>
      </c>
      <c r="G28" s="32"/>
      <c r="H28" s="8" t="s">
        <v>281</v>
      </c>
      <c r="I28" s="23" t="str">
        <f>IFERROR(__xludf.DUMMYFUNCTION("if(REGEXMATCH(join("", "",$G28:$H28),I$1)=TRUE,""✓"",""✗"")"),"✗")</f>
        <v>✗</v>
      </c>
      <c r="J28" s="23" t="str">
        <f>IFERROR(__xludf.DUMMYFUNCTION("if(REGEXMATCH(join("", "",$G28:$H28),J$1)=TRUE,""✓"",""✗"")"),"✗")</f>
        <v>✗</v>
      </c>
      <c r="K28" s="23" t="str">
        <f>IFERROR(__xludf.DUMMYFUNCTION("if(REGEXMATCH(join("", "",$G28:$H28),K$1)=TRUE,""✓"",""✗"")"),"✗")</f>
        <v>✗</v>
      </c>
      <c r="L28" s="23" t="str">
        <f>IFERROR(__xludf.DUMMYFUNCTION("if(REGEXMATCH(join("", "",$G28:$H28),L$1)=TRUE,""✓"",""✗"")"),"✗")</f>
        <v>✗</v>
      </c>
      <c r="M28" s="23" t="str">
        <f>IFERROR(__xludf.DUMMYFUNCTION("if(REGEXMATCH(join("", "",$G28:$H28),M$1)=TRUE,""✓"",""✗"")"),"✗")</f>
        <v>✗</v>
      </c>
      <c r="N28" s="23" t="str">
        <f>IFERROR(__xludf.DUMMYFUNCTION("if(REGEXMATCH(join("", "",$G28:$H28),N$1)=TRUE,""✓"",""✗"")"),"✗")</f>
        <v>✗</v>
      </c>
      <c r="O28" s="23" t="str">
        <f>IFERROR(__xludf.DUMMYFUNCTION("if(REGEXMATCH(join("", "",$G28:$H28),O$1)=TRUE,""✓"",""✗"")"),"✗")</f>
        <v>✗</v>
      </c>
      <c r="P28" s="23" t="str">
        <f>IFERROR(__xludf.DUMMYFUNCTION("if(REGEXMATCH(join("", "",$G28:$H28),P$1)=TRUE,""✓"",""✗"")"),"✗")</f>
        <v>✗</v>
      </c>
      <c r="Q28" s="23" t="str">
        <f>IFERROR(__xludf.DUMMYFUNCTION("if(REGEXMATCH(join("", "",$G28:$H28),Q$1)=TRUE,""✓"",""✗"")"),"✗")</f>
        <v>✗</v>
      </c>
      <c r="R28" s="23" t="str">
        <f>IFERROR(__xludf.DUMMYFUNCTION("if(REGEXMATCH(join("", "",$G28:$H28),R$1)=TRUE,""✓"",""✗"")"),"✗")</f>
        <v>✗</v>
      </c>
      <c r="S28" s="23" t="str">
        <f>IFERROR(__xludf.DUMMYFUNCTION("if(REGEXMATCH(join("", "",$G28:$H28),S$1)=TRUE,""✓"",""✗"")"),"✗")</f>
        <v>✗</v>
      </c>
      <c r="T28" s="23" t="str">
        <f>IFERROR(__xludf.DUMMYFUNCTION("if(REGEXMATCH(join("", "",$G28:$H28),T$1)=TRUE,""✓"",""✗"")"),"✗")</f>
        <v>✗</v>
      </c>
      <c r="U28" s="23" t="str">
        <f>IFERROR(__xludf.DUMMYFUNCTION("if(REGEXMATCH(join("", "",$G28:$H28),U$1)=TRUE,""✓"",""✗"")"),"✗")</f>
        <v>✗</v>
      </c>
    </row>
    <row r="29">
      <c r="A29" s="8">
        <v>28.0</v>
      </c>
      <c r="B29" s="8" t="s">
        <v>90</v>
      </c>
      <c r="C29" s="16" t="str">
        <f t="shared" si="1"/>
        <v>Gerber et al., 2007</v>
      </c>
      <c r="D29" s="30" t="s">
        <v>284</v>
      </c>
      <c r="E29" s="15" t="str">
        <f t="shared" si="2"/>
        <v>https://raw.githubusercontent.com/d-wkim/phd/refs/heads/main/data/pdf/gerber_2007 .pdf</v>
      </c>
      <c r="F29" s="8" t="s">
        <v>32</v>
      </c>
      <c r="G29" s="8" t="s">
        <v>33</v>
      </c>
      <c r="H29" s="32" t="s">
        <v>16</v>
      </c>
      <c r="I29" s="23" t="str">
        <f>IFERROR(__xludf.DUMMYFUNCTION("if(REGEXMATCH(join("", "",$G29:$H29),I$1)=TRUE,""✓"",""✗"")"),"✓")</f>
        <v>✓</v>
      </c>
      <c r="J29" s="23" t="str">
        <f>IFERROR(__xludf.DUMMYFUNCTION("if(REGEXMATCH(join("", "",$G29:$H29),J$1)=TRUE,""✓"",""✗"")"),"✓")</f>
        <v>✓</v>
      </c>
      <c r="K29" s="23" t="str">
        <f>IFERROR(__xludf.DUMMYFUNCTION("if(REGEXMATCH(join("", "",$G29:$H29),K$1)=TRUE,""✓"",""✗"")"),"✗")</f>
        <v>✗</v>
      </c>
      <c r="L29" s="23" t="str">
        <f>IFERROR(__xludf.DUMMYFUNCTION("if(REGEXMATCH(join("", "",$G29:$H29),L$1)=TRUE,""✓"",""✗"")"),"✗")</f>
        <v>✗</v>
      </c>
      <c r="M29" s="23" t="str">
        <f>IFERROR(__xludf.DUMMYFUNCTION("if(REGEXMATCH(join("", "",$G29:$H29),M$1)=TRUE,""✓"",""✗"")"),"✗")</f>
        <v>✗</v>
      </c>
      <c r="N29" s="23" t="str">
        <f>IFERROR(__xludf.DUMMYFUNCTION("if(REGEXMATCH(join("", "",$G29:$H29),N$1)=TRUE,""✓"",""✗"")"),"✗")</f>
        <v>✗</v>
      </c>
      <c r="O29" s="23" t="str">
        <f>IFERROR(__xludf.DUMMYFUNCTION("if(REGEXMATCH(join("", "",$G29:$H29),O$1)=TRUE,""✓"",""✗"")"),"✗")</f>
        <v>✗</v>
      </c>
      <c r="P29" s="23" t="str">
        <f>IFERROR(__xludf.DUMMYFUNCTION("if(REGEXMATCH(join("", "",$G29:$H29),P$1)=TRUE,""✓"",""✗"")"),"✗")</f>
        <v>✗</v>
      </c>
      <c r="Q29" s="23" t="str">
        <f>IFERROR(__xludf.DUMMYFUNCTION("if(REGEXMATCH(join("", "",$G29:$H29),Q$1)=TRUE,""✓"",""✗"")"),"✗")</f>
        <v>✗</v>
      </c>
      <c r="R29" s="23" t="str">
        <f>IFERROR(__xludf.DUMMYFUNCTION("if(REGEXMATCH(join("", "",$G29:$H29),R$1)=TRUE,""✓"",""✗"")"),"✓")</f>
        <v>✓</v>
      </c>
      <c r="S29" s="23" t="str">
        <f>IFERROR(__xludf.DUMMYFUNCTION("if(REGEXMATCH(join("", "",$G29:$H29),S$1)=TRUE,""✓"",""✗"")"),"✗")</f>
        <v>✗</v>
      </c>
      <c r="T29" s="23" t="str">
        <f>IFERROR(__xludf.DUMMYFUNCTION("if(REGEXMATCH(join("", "",$G29:$H29),T$1)=TRUE,""✓"",""✗"")"),"✗")</f>
        <v>✗</v>
      </c>
      <c r="U29" s="23" t="str">
        <f>IFERROR(__xludf.DUMMYFUNCTION("if(REGEXMATCH(join("", "",$G29:$H29),U$1)=TRUE,""✓"",""✗"")"),"✗")</f>
        <v>✗</v>
      </c>
    </row>
    <row r="30" hidden="1">
      <c r="A30" s="8">
        <v>29.0</v>
      </c>
      <c r="B30" s="8" t="s">
        <v>286</v>
      </c>
      <c r="C30" s="42" t="str">
        <f t="shared" si="1"/>
        <v>Ghalayini et al., 2010</v>
      </c>
      <c r="D30" s="8" t="s">
        <v>287</v>
      </c>
      <c r="E30" s="15" t="str">
        <f t="shared" si="2"/>
        <v>https://raw.githubusercontent.com/d-wkim/phd/refs/heads/main/data/pdf/ghalayini_2010 .pdf</v>
      </c>
      <c r="F30" s="8" t="s">
        <v>102</v>
      </c>
      <c r="G30" s="32"/>
      <c r="H30" s="8" t="s">
        <v>289</v>
      </c>
      <c r="I30" s="23" t="str">
        <f>IFERROR(__xludf.DUMMYFUNCTION("if(REGEXMATCH(join("", "",$G30:$H30),I$1)=TRUE,""✓"",""✗"")"),"✗")</f>
        <v>✗</v>
      </c>
      <c r="J30" s="23" t="str">
        <f>IFERROR(__xludf.DUMMYFUNCTION("if(REGEXMATCH(join("", "",$G30:$H30),J$1)=TRUE,""✓"",""✗"")"),"✗")</f>
        <v>✗</v>
      </c>
      <c r="K30" s="23" t="str">
        <f>IFERROR(__xludf.DUMMYFUNCTION("if(REGEXMATCH(join("", "",$G30:$H30),K$1)=TRUE,""✓"",""✗"")"),"✗")</f>
        <v>✗</v>
      </c>
      <c r="L30" s="23" t="str">
        <f>IFERROR(__xludf.DUMMYFUNCTION("if(REGEXMATCH(join("", "",$G30:$H30),L$1)=TRUE,""✓"",""✗"")"),"✗")</f>
        <v>✗</v>
      </c>
      <c r="M30" s="23" t="str">
        <f>IFERROR(__xludf.DUMMYFUNCTION("if(REGEXMATCH(join("", "",$G30:$H30),M$1)=TRUE,""✓"",""✗"")"),"✗")</f>
        <v>✗</v>
      </c>
      <c r="N30" s="23" t="str">
        <f>IFERROR(__xludf.DUMMYFUNCTION("if(REGEXMATCH(join("", "",$G30:$H30),N$1)=TRUE,""✓"",""✗"")"),"✗")</f>
        <v>✗</v>
      </c>
      <c r="O30" s="23" t="str">
        <f>IFERROR(__xludf.DUMMYFUNCTION("if(REGEXMATCH(join("", "",$G30:$H30),O$1)=TRUE,""✓"",""✗"")"),"✗")</f>
        <v>✗</v>
      </c>
      <c r="P30" s="23" t="str">
        <f>IFERROR(__xludf.DUMMYFUNCTION("if(REGEXMATCH(join("", "",$G30:$H30),P$1)=TRUE,""✓"",""✗"")"),"✗")</f>
        <v>✗</v>
      </c>
      <c r="Q30" s="23" t="str">
        <f>IFERROR(__xludf.DUMMYFUNCTION("if(REGEXMATCH(join("", "",$G30:$H30),Q$1)=TRUE,""✓"",""✗"")"),"✗")</f>
        <v>✗</v>
      </c>
      <c r="R30" s="23" t="str">
        <f>IFERROR(__xludf.DUMMYFUNCTION("if(REGEXMATCH(join("", "",$G30:$H30),R$1)=TRUE,""✓"",""✗"")"),"✗")</f>
        <v>✗</v>
      </c>
      <c r="S30" s="23" t="str">
        <f>IFERROR(__xludf.DUMMYFUNCTION("if(REGEXMATCH(join("", "",$G30:$H30),S$1)=TRUE,""✓"",""✗"")"),"✗")</f>
        <v>✗</v>
      </c>
      <c r="T30" s="23" t="str">
        <f>IFERROR(__xludf.DUMMYFUNCTION("if(REGEXMATCH(join("", "",$G30:$H30),T$1)=TRUE,""✓"",""✗"")"),"✗")</f>
        <v>✗</v>
      </c>
      <c r="U30" s="23" t="str">
        <f>IFERROR(__xludf.DUMMYFUNCTION("if(REGEXMATCH(join("", "",$G30:$H30),U$1)=TRUE,""✓"",""✗"")"),"✗")</f>
        <v>✗</v>
      </c>
    </row>
    <row r="31">
      <c r="A31" s="8">
        <v>30.0</v>
      </c>
      <c r="B31" s="8" t="s">
        <v>91</v>
      </c>
      <c r="C31" s="16" t="str">
        <f t="shared" si="1"/>
        <v>Gifstad et al., 2013</v>
      </c>
      <c r="D31" s="30" t="s">
        <v>293</v>
      </c>
      <c r="E31" s="15" t="str">
        <f t="shared" si="2"/>
        <v>https://raw.githubusercontent.com/d-wkim/phd/refs/heads/main/data/pdf/gifstad_2013 .pdf</v>
      </c>
      <c r="F31" s="8" t="s">
        <v>32</v>
      </c>
      <c r="G31" s="8" t="s">
        <v>33</v>
      </c>
      <c r="H31" s="32" t="s">
        <v>82</v>
      </c>
      <c r="I31" s="23" t="str">
        <f>IFERROR(__xludf.DUMMYFUNCTION("if(REGEXMATCH(join("", "",$G31:$H31),I$1)=TRUE,""✓"",""✗"")"),"✓")</f>
        <v>✓</v>
      </c>
      <c r="J31" s="23" t="str">
        <f>IFERROR(__xludf.DUMMYFUNCTION("if(REGEXMATCH(join("", "",$G31:$H31),J$1)=TRUE,""✓"",""✗"")"),"✓")</f>
        <v>✓</v>
      </c>
      <c r="K31" s="23" t="str">
        <f>IFERROR(__xludf.DUMMYFUNCTION("if(REGEXMATCH(join("", "",$G31:$H31),K$1)=TRUE,""✓"",""✗"")"),"✗")</f>
        <v>✗</v>
      </c>
      <c r="L31" s="23" t="str">
        <f>IFERROR(__xludf.DUMMYFUNCTION("if(REGEXMATCH(join("", "",$G31:$H31),L$1)=TRUE,""✓"",""✗"")"),"✗")</f>
        <v>✗</v>
      </c>
      <c r="M31" s="23" t="str">
        <f>IFERROR(__xludf.DUMMYFUNCTION("if(REGEXMATCH(join("", "",$G31:$H31),M$1)=TRUE,""✓"",""✗"")"),"✗")</f>
        <v>✗</v>
      </c>
      <c r="N31" s="23" t="str">
        <f>IFERROR(__xludf.DUMMYFUNCTION("if(REGEXMATCH(join("", "",$G31:$H31),N$1)=TRUE,""✓"",""✗"")"),"✗")</f>
        <v>✗</v>
      </c>
      <c r="O31" s="23" t="str">
        <f>IFERROR(__xludf.DUMMYFUNCTION("if(REGEXMATCH(join("", "",$G31:$H31),O$1)=TRUE,""✓"",""✗"")"),"✗")</f>
        <v>✗</v>
      </c>
      <c r="P31" s="23" t="str">
        <f>IFERROR(__xludf.DUMMYFUNCTION("if(REGEXMATCH(join("", "",$G31:$H31),P$1)=TRUE,""✓"",""✗"")"),"✓")</f>
        <v>✓</v>
      </c>
      <c r="Q31" s="23" t="str">
        <f>IFERROR(__xludf.DUMMYFUNCTION("if(REGEXMATCH(join("", "",$G31:$H31),Q$1)=TRUE,""✓"",""✗"")"),"✓")</f>
        <v>✓</v>
      </c>
      <c r="R31" s="23" t="str">
        <f>IFERROR(__xludf.DUMMYFUNCTION("if(REGEXMATCH(join("", "",$G31:$H31),R$1)=TRUE,""✓"",""✗"")"),"✓")</f>
        <v>✓</v>
      </c>
      <c r="S31" s="23" t="str">
        <f>IFERROR(__xludf.DUMMYFUNCTION("if(REGEXMATCH(join("", "",$G31:$H31),S$1)=TRUE,""✓"",""✗"")"),"✗")</f>
        <v>✗</v>
      </c>
      <c r="T31" s="23" t="str">
        <f>IFERROR(__xludf.DUMMYFUNCTION("if(REGEXMATCH(join("", "",$G31:$H31),T$1)=TRUE,""✓"",""✗"")"),"✓")</f>
        <v>✓</v>
      </c>
      <c r="U31" s="23" t="str">
        <f>IFERROR(__xludf.DUMMYFUNCTION("if(REGEXMATCH(join("", "",$G31:$H31),U$1)=TRUE,""✓"",""✗"")"),"✗")</f>
        <v>✗</v>
      </c>
    </row>
    <row r="32">
      <c r="A32" s="8">
        <v>31.0</v>
      </c>
      <c r="B32" s="8" t="s">
        <v>93</v>
      </c>
      <c r="C32" s="16" t="str">
        <f t="shared" si="1"/>
        <v>Gobbi et al., Francisco et al., 2006</v>
      </c>
      <c r="D32" s="19" t="s">
        <v>296</v>
      </c>
      <c r="E32" s="15" t="str">
        <f t="shared" si="2"/>
        <v>https://raw.githubusercontent.com/d-wkim/phd/refs/heads/main/data/pdf/gobbi_francisco_2006 .pdf</v>
      </c>
      <c r="F32" s="8" t="s">
        <v>32</v>
      </c>
      <c r="G32" s="8" t="s">
        <v>33</v>
      </c>
      <c r="H32" s="32" t="s">
        <v>94</v>
      </c>
      <c r="I32" s="23" t="str">
        <f>IFERROR(__xludf.DUMMYFUNCTION("if(REGEXMATCH(join("", "",$G32:$H32),I$1)=TRUE,""✓"",""✗"")"),"✓")</f>
        <v>✓</v>
      </c>
      <c r="J32" s="23" t="str">
        <f>IFERROR(__xludf.DUMMYFUNCTION("if(REGEXMATCH(join("", "",$G32:$H32),J$1)=TRUE,""✓"",""✗"")"),"✓")</f>
        <v>✓</v>
      </c>
      <c r="K32" s="23" t="str">
        <f>IFERROR(__xludf.DUMMYFUNCTION("if(REGEXMATCH(join("", "",$G32:$H32),K$1)=TRUE,""✓"",""✗"")"),"✗")</f>
        <v>✗</v>
      </c>
      <c r="L32" s="23" t="str">
        <f>IFERROR(__xludf.DUMMYFUNCTION("if(REGEXMATCH(join("", "",$G32:$H32),L$1)=TRUE,""✓"",""✗"")"),"✗")</f>
        <v>✗</v>
      </c>
      <c r="M32" s="23" t="str">
        <f>IFERROR(__xludf.DUMMYFUNCTION("if(REGEXMATCH(join("", "",$G32:$H32),M$1)=TRUE,""✓"",""✗"")"),"✗")</f>
        <v>✗</v>
      </c>
      <c r="N32" s="23" t="str">
        <f>IFERROR(__xludf.DUMMYFUNCTION("if(REGEXMATCH(join("", "",$G32:$H32),N$1)=TRUE,""✓"",""✗"")"),"✗")</f>
        <v>✗</v>
      </c>
      <c r="O32" s="23" t="str">
        <f>IFERROR(__xludf.DUMMYFUNCTION("if(REGEXMATCH(join("", "",$G32:$H32),O$1)=TRUE,""✓"",""✗"")"),"✓")</f>
        <v>✓</v>
      </c>
      <c r="P32" s="23" t="str">
        <f>IFERROR(__xludf.DUMMYFUNCTION("if(REGEXMATCH(join("", "",$G32:$H32),P$1)=TRUE,""✓"",""✗"")"),"✓")</f>
        <v>✓</v>
      </c>
      <c r="Q32" s="23" t="str">
        <f>IFERROR(__xludf.DUMMYFUNCTION("if(REGEXMATCH(join("", "",$G32:$H32),Q$1)=TRUE,""✓"",""✗"")"),"✓")</f>
        <v>✓</v>
      </c>
      <c r="R32" s="23" t="str">
        <f>IFERROR(__xludf.DUMMYFUNCTION("if(REGEXMATCH(join("", "",$G32:$H32),R$1)=TRUE,""✓"",""✗"")"),"✓")</f>
        <v>✓</v>
      </c>
      <c r="S32" s="23" t="str">
        <f>IFERROR(__xludf.DUMMYFUNCTION("if(REGEXMATCH(join("", "",$G32:$H32),S$1)=TRUE,""✓"",""✗"")"),"✗")</f>
        <v>✗</v>
      </c>
      <c r="T32" s="23" t="str">
        <f>IFERROR(__xludf.DUMMYFUNCTION("if(REGEXMATCH(join("", "",$G32:$H32),T$1)=TRUE,""✓"",""✗"")"),"✗")</f>
        <v>✗</v>
      </c>
      <c r="U32" s="23" t="str">
        <f>IFERROR(__xludf.DUMMYFUNCTION("if(REGEXMATCH(join("", "",$G32:$H32),U$1)=TRUE,""✓"",""✗"")"),"✗")</f>
        <v>✗</v>
      </c>
    </row>
    <row r="33">
      <c r="A33" s="8">
        <v>32.0</v>
      </c>
      <c r="B33" s="8" t="s">
        <v>97</v>
      </c>
      <c r="C33" s="16" t="str">
        <f t="shared" si="1"/>
        <v>Guglielmetti et al., 2021</v>
      </c>
      <c r="D33" s="30" t="s">
        <v>300</v>
      </c>
      <c r="E33" s="15" t="str">
        <f t="shared" si="2"/>
        <v>https://raw.githubusercontent.com/d-wkim/phd/refs/heads/main/data/pdf/guglielmetti_2021 .pdf</v>
      </c>
      <c r="F33" s="8" t="s">
        <v>32</v>
      </c>
      <c r="G33" s="8" t="s">
        <v>33</v>
      </c>
      <c r="H33" s="32" t="s">
        <v>98</v>
      </c>
      <c r="I33" s="23" t="str">
        <f>IFERROR(__xludf.DUMMYFUNCTION("if(REGEXMATCH(join("", "",$G33:$H33),I$1)=TRUE,""✓"",""✗"")"),"✓")</f>
        <v>✓</v>
      </c>
      <c r="J33" s="23" t="str">
        <f>IFERROR(__xludf.DUMMYFUNCTION("if(REGEXMATCH(join("", "",$G33:$H33),J$1)=TRUE,""✓"",""✗"")"),"✓")</f>
        <v>✓</v>
      </c>
      <c r="K33" s="23" t="str">
        <f>IFERROR(__xludf.DUMMYFUNCTION("if(REGEXMATCH(join("", "",$G33:$H33),K$1)=TRUE,""✓"",""✗"")"),"✗")</f>
        <v>✗</v>
      </c>
      <c r="L33" s="23" t="str">
        <f>IFERROR(__xludf.DUMMYFUNCTION("if(REGEXMATCH(join("", "",$G33:$H33),L$1)=TRUE,""✓"",""✗"")"),"✗")</f>
        <v>✗</v>
      </c>
      <c r="M33" s="23" t="str">
        <f>IFERROR(__xludf.DUMMYFUNCTION("if(REGEXMATCH(join("", "",$G33:$H33),M$1)=TRUE,""✓"",""✗"")"),"✗")</f>
        <v>✗</v>
      </c>
      <c r="N33" s="23" t="str">
        <f>IFERROR(__xludf.DUMMYFUNCTION("if(REGEXMATCH(join("", "",$G33:$H33),N$1)=TRUE,""✓"",""✗"")"),"✗")</f>
        <v>✗</v>
      </c>
      <c r="O33" s="23" t="str">
        <f>IFERROR(__xludf.DUMMYFUNCTION("if(REGEXMATCH(join("", "",$G33:$H33),O$1)=TRUE,""✓"",""✗"")"),"✓")</f>
        <v>✓</v>
      </c>
      <c r="P33" s="23" t="str">
        <f>IFERROR(__xludf.DUMMYFUNCTION("if(REGEXMATCH(join("", "",$G33:$H33),P$1)=TRUE,""✓"",""✗"")"),"✓")</f>
        <v>✓</v>
      </c>
      <c r="Q33" s="23" t="str">
        <f>IFERROR(__xludf.DUMMYFUNCTION("if(REGEXMATCH(join("", "",$G33:$H33),Q$1)=TRUE,""✓"",""✗"")"),"✗")</f>
        <v>✗</v>
      </c>
      <c r="R33" s="23" t="str">
        <f>IFERROR(__xludf.DUMMYFUNCTION("if(REGEXMATCH(join("", "",$G33:$H33),R$1)=TRUE,""✓"",""✗"")"),"✗")</f>
        <v>✗</v>
      </c>
      <c r="S33" s="23" t="str">
        <f>IFERROR(__xludf.DUMMYFUNCTION("if(REGEXMATCH(join("", "",$G33:$H33),S$1)=TRUE,""✓"",""✗"")"),"✓")</f>
        <v>✓</v>
      </c>
      <c r="T33" s="23" t="str">
        <f>IFERROR(__xludf.DUMMYFUNCTION("if(REGEXMATCH(join("", "",$G33:$H33),T$1)=TRUE,""✓"",""✗"")"),"✓")</f>
        <v>✓</v>
      </c>
      <c r="U33" s="23" t="str">
        <f>IFERROR(__xludf.DUMMYFUNCTION("if(REGEXMATCH(join("", "",$G33:$H33),U$1)=TRUE,""✓"",""✗"")"),"✗")</f>
        <v>✗</v>
      </c>
    </row>
    <row r="34">
      <c r="A34" s="8">
        <v>33.0</v>
      </c>
      <c r="B34" s="8" t="s">
        <v>99</v>
      </c>
      <c r="C34" s="16" t="str">
        <f t="shared" si="1"/>
        <v>Harilainen et al., 2006</v>
      </c>
      <c r="D34" s="30" t="s">
        <v>303</v>
      </c>
      <c r="E34" s="15" t="str">
        <f t="shared" si="2"/>
        <v>https://raw.githubusercontent.com/d-wkim/phd/refs/heads/main/data/pdf/harilainen_2006 .pdf</v>
      </c>
      <c r="F34" s="8" t="s">
        <v>32</v>
      </c>
      <c r="G34" s="8" t="s">
        <v>33</v>
      </c>
      <c r="H34" s="32" t="s">
        <v>100</v>
      </c>
      <c r="I34" s="23" t="str">
        <f>IFERROR(__xludf.DUMMYFUNCTION("if(REGEXMATCH(join("", "",$G34:$H34),I$1)=TRUE,""✓"",""✗"")"),"✓")</f>
        <v>✓</v>
      </c>
      <c r="J34" s="23" t="str">
        <f>IFERROR(__xludf.DUMMYFUNCTION("if(REGEXMATCH(join("", "",$G34:$H34),J$1)=TRUE,""✓"",""✗"")"),"✓")</f>
        <v>✓</v>
      </c>
      <c r="K34" s="23" t="str">
        <f>IFERROR(__xludf.DUMMYFUNCTION("if(REGEXMATCH(join("", "",$G34:$H34),K$1)=TRUE,""✓"",""✗"")"),"✗")</f>
        <v>✗</v>
      </c>
      <c r="L34" s="23" t="str">
        <f>IFERROR(__xludf.DUMMYFUNCTION("if(REGEXMATCH(join("", "",$G34:$H34),L$1)=TRUE,""✓"",""✗"")"),"✗")</f>
        <v>✗</v>
      </c>
      <c r="M34" s="23" t="str">
        <f>IFERROR(__xludf.DUMMYFUNCTION("if(REGEXMATCH(join("", "",$G34:$H34),M$1)=TRUE,""✓"",""✗"")"),"✗")</f>
        <v>✗</v>
      </c>
      <c r="N34" s="23" t="str">
        <f>IFERROR(__xludf.DUMMYFUNCTION("if(REGEXMATCH(join("", "",$G34:$H34),N$1)=TRUE,""✓"",""✗"")"),"✗")</f>
        <v>✗</v>
      </c>
      <c r="O34" s="23" t="str">
        <f>IFERROR(__xludf.DUMMYFUNCTION("if(REGEXMATCH(join("", "",$G34:$H34),O$1)=TRUE,""✓"",""✗"")"),"✓")</f>
        <v>✓</v>
      </c>
      <c r="P34" s="23" t="str">
        <f>IFERROR(__xludf.DUMMYFUNCTION("if(REGEXMATCH(join("", "",$G34:$H34),P$1)=TRUE,""✓"",""✗"")"),"✓")</f>
        <v>✓</v>
      </c>
      <c r="Q34" s="23" t="str">
        <f>IFERROR(__xludf.DUMMYFUNCTION("if(REGEXMATCH(join("", "",$G34:$H34),Q$1)=TRUE,""✓"",""✗"")"),"✓")</f>
        <v>✓</v>
      </c>
      <c r="R34" s="23" t="str">
        <f>IFERROR(__xludf.DUMMYFUNCTION("if(REGEXMATCH(join("", "",$G34:$H34),R$1)=TRUE,""✓"",""✗"")"),"✓")</f>
        <v>✓</v>
      </c>
      <c r="S34" s="23" t="str">
        <f>IFERROR(__xludf.DUMMYFUNCTION("if(REGEXMATCH(join("", "",$G34:$H34),S$1)=TRUE,""✓"",""✗"")"),"✓")</f>
        <v>✓</v>
      </c>
      <c r="T34" s="23" t="str">
        <f>IFERROR(__xludf.DUMMYFUNCTION("if(REGEXMATCH(join("", "",$G34:$H34),T$1)=TRUE,""✓"",""✗"")"),"✗")</f>
        <v>✗</v>
      </c>
      <c r="U34" s="23" t="str">
        <f>IFERROR(__xludf.DUMMYFUNCTION("if(REGEXMATCH(join("", "",$G34:$H34),U$1)=TRUE,""✓"",""✗"")"),"✗")</f>
        <v>✗</v>
      </c>
    </row>
    <row r="35">
      <c r="A35" s="8">
        <v>34.0</v>
      </c>
      <c r="B35" s="8" t="s">
        <v>103</v>
      </c>
      <c r="C35" s="16" t="str">
        <f t="shared" si="1"/>
        <v>Heijne et al., Werner et al., 2010</v>
      </c>
      <c r="D35" s="30" t="s">
        <v>306</v>
      </c>
      <c r="E35" s="15" t="str">
        <f t="shared" si="2"/>
        <v>https://raw.githubusercontent.com/d-wkim/phd/refs/heads/main/data/pdf/heijne_werner_2010 .pdf</v>
      </c>
      <c r="F35" s="8" t="s">
        <v>32</v>
      </c>
      <c r="G35" s="8" t="s">
        <v>33</v>
      </c>
      <c r="H35" s="32" t="s">
        <v>104</v>
      </c>
      <c r="I35" s="23" t="str">
        <f>IFERROR(__xludf.DUMMYFUNCTION("if(REGEXMATCH(join("", "",$G35:$H35),I$1)=TRUE,""✓"",""✗"")"),"✓")</f>
        <v>✓</v>
      </c>
      <c r="J35" s="23" t="str">
        <f>IFERROR(__xludf.DUMMYFUNCTION("if(REGEXMATCH(join("", "",$G35:$H35),J$1)=TRUE,""✓"",""✗"")"),"✓")</f>
        <v>✓</v>
      </c>
      <c r="K35" s="23" t="str">
        <f>IFERROR(__xludf.DUMMYFUNCTION("if(REGEXMATCH(join("", "",$G35:$H35),K$1)=TRUE,""✓"",""✗"")"),"✗")</f>
        <v>✗</v>
      </c>
      <c r="L35" s="23" t="str">
        <f>IFERROR(__xludf.DUMMYFUNCTION("if(REGEXMATCH(join("", "",$G35:$H35),L$1)=TRUE,""✓"",""✗"")"),"✗")</f>
        <v>✗</v>
      </c>
      <c r="M35" s="23" t="str">
        <f>IFERROR(__xludf.DUMMYFUNCTION("if(REGEXMATCH(join("", "",$G35:$H35),M$1)=TRUE,""✓"",""✗"")"),"✗")</f>
        <v>✗</v>
      </c>
      <c r="N35" s="23" t="str">
        <f>IFERROR(__xludf.DUMMYFUNCTION("if(REGEXMATCH(join("", "",$G35:$H35),N$1)=TRUE,""✓"",""✗"")"),"✗")</f>
        <v>✗</v>
      </c>
      <c r="O35" s="23" t="str">
        <f>IFERROR(__xludf.DUMMYFUNCTION("if(REGEXMATCH(join("", "",$G35:$H35),O$1)=TRUE,""✓"",""✗"")"),"✗")</f>
        <v>✗</v>
      </c>
      <c r="P35" s="23" t="str">
        <f>IFERROR(__xludf.DUMMYFUNCTION("if(REGEXMATCH(join("", "",$G35:$H35),P$1)=TRUE,""✓"",""✗"")"),"✗")</f>
        <v>✗</v>
      </c>
      <c r="Q35" s="23" t="str">
        <f>IFERROR(__xludf.DUMMYFUNCTION("if(REGEXMATCH(join("", "",$G35:$H35),Q$1)=TRUE,""✓"",""✗"")"),"✓")</f>
        <v>✓</v>
      </c>
      <c r="R35" s="23" t="str">
        <f>IFERROR(__xludf.DUMMYFUNCTION("if(REGEXMATCH(join("", "",$G35:$H35),R$1)=TRUE,""✓"",""✗"")"),"✓")</f>
        <v>✓</v>
      </c>
      <c r="S35" s="23" t="str">
        <f>IFERROR(__xludf.DUMMYFUNCTION("if(REGEXMATCH(join("", "",$G35:$H35),S$1)=TRUE,""✓"",""✗"")"),"✓")</f>
        <v>✓</v>
      </c>
      <c r="T35" s="23" t="str">
        <f>IFERROR(__xludf.DUMMYFUNCTION("if(REGEXMATCH(join("", "",$G35:$H35),T$1)=TRUE,""✓"",""✗"")"),"✗")</f>
        <v>✗</v>
      </c>
      <c r="U35" s="23" t="str">
        <f>IFERROR(__xludf.DUMMYFUNCTION("if(REGEXMATCH(join("", "",$G35:$H35),U$1)=TRUE,""✓"",""✗"")"),"✗")</f>
        <v>✗</v>
      </c>
    </row>
    <row r="36">
      <c r="A36" s="8">
        <v>35.0</v>
      </c>
      <c r="B36" s="8" t="s">
        <v>105</v>
      </c>
      <c r="C36" s="16" t="str">
        <f t="shared" si="1"/>
        <v>Holm et al., 2010</v>
      </c>
      <c r="D36" s="30" t="s">
        <v>309</v>
      </c>
      <c r="E36" s="15" t="str">
        <f t="shared" si="2"/>
        <v>https://raw.githubusercontent.com/d-wkim/phd/refs/heads/main/data/pdf/holm_2010 .pdf</v>
      </c>
      <c r="F36" s="8" t="s">
        <v>32</v>
      </c>
      <c r="G36" s="8" t="s">
        <v>33</v>
      </c>
      <c r="H36" s="32" t="s">
        <v>106</v>
      </c>
      <c r="I36" s="23" t="str">
        <f>IFERROR(__xludf.DUMMYFUNCTION("if(REGEXMATCH(join("", "",$G36:$H36),I$1)=TRUE,""✓"",""✗"")"),"✓")</f>
        <v>✓</v>
      </c>
      <c r="J36" s="23" t="str">
        <f>IFERROR(__xludf.DUMMYFUNCTION("if(REGEXMATCH(join("", "",$G36:$H36),J$1)=TRUE,""✓"",""✗"")"),"✓")</f>
        <v>✓</v>
      </c>
      <c r="K36" s="23" t="str">
        <f>IFERROR(__xludf.DUMMYFUNCTION("if(REGEXMATCH(join("", "",$G36:$H36),K$1)=TRUE,""✓"",""✗"")"),"✗")</f>
        <v>✗</v>
      </c>
      <c r="L36" s="23" t="str">
        <f>IFERROR(__xludf.DUMMYFUNCTION("if(REGEXMATCH(join("", "",$G36:$H36),L$1)=TRUE,""✓"",""✗"")"),"✗")</f>
        <v>✗</v>
      </c>
      <c r="M36" s="23" t="str">
        <f>IFERROR(__xludf.DUMMYFUNCTION("if(REGEXMATCH(join("", "",$G36:$H36),M$1)=TRUE,""✓"",""✗"")"),"✗")</f>
        <v>✗</v>
      </c>
      <c r="N36" s="23" t="str">
        <f>IFERROR(__xludf.DUMMYFUNCTION("if(REGEXMATCH(join("", "",$G36:$H36),N$1)=TRUE,""✓"",""✗"")"),"✗")</f>
        <v>✗</v>
      </c>
      <c r="O36" s="23" t="str">
        <f>IFERROR(__xludf.DUMMYFUNCTION("if(REGEXMATCH(join("", "",$G36:$H36),O$1)=TRUE,""✓"",""✗"")"),"✗")</f>
        <v>✗</v>
      </c>
      <c r="P36" s="23" t="str">
        <f>IFERROR(__xludf.DUMMYFUNCTION("if(REGEXMATCH(join("", "",$G36:$H36),P$1)=TRUE,""✓"",""✗"")"),"✗")</f>
        <v>✗</v>
      </c>
      <c r="Q36" s="23" t="str">
        <f>IFERROR(__xludf.DUMMYFUNCTION("if(REGEXMATCH(join("", "",$G36:$H36),Q$1)=TRUE,""✓"",""✗"")"),"✓")</f>
        <v>✓</v>
      </c>
      <c r="R36" s="23" t="str">
        <f>IFERROR(__xludf.DUMMYFUNCTION("if(REGEXMATCH(join("", "",$G36:$H36),R$1)=TRUE,""✓"",""✗"")"),"✓")</f>
        <v>✓</v>
      </c>
      <c r="S36" s="23" t="str">
        <f>IFERROR(__xludf.DUMMYFUNCTION("if(REGEXMATCH(join("", "",$G36:$H36),S$1)=TRUE,""✓"",""✗"")"),"✗")</f>
        <v>✗</v>
      </c>
      <c r="T36" s="23" t="str">
        <f>IFERROR(__xludf.DUMMYFUNCTION("if(REGEXMATCH(join("", "",$G36:$H36),T$1)=TRUE,""✓"",""✗"")"),"✗")</f>
        <v>✗</v>
      </c>
      <c r="U36" s="23" t="str">
        <f>IFERROR(__xludf.DUMMYFUNCTION("if(REGEXMATCH(join("", "",$G36:$H36),U$1)=TRUE,""✓"",""✗"")"),"✗")</f>
        <v>✗</v>
      </c>
    </row>
    <row r="37">
      <c r="A37" s="8">
        <v>36.0</v>
      </c>
      <c r="B37" s="8" t="s">
        <v>107</v>
      </c>
      <c r="C37" s="16" t="str">
        <f t="shared" si="1"/>
        <v>Horstmann et al., 2022</v>
      </c>
      <c r="D37" s="30" t="s">
        <v>311</v>
      </c>
      <c r="E37" s="15" t="str">
        <f t="shared" si="2"/>
        <v>https://raw.githubusercontent.com/d-wkim/phd/refs/heads/main/data/pdf/horstmann_2022 .pdf</v>
      </c>
      <c r="F37" s="8" t="s">
        <v>32</v>
      </c>
      <c r="G37" s="32" t="s">
        <v>245</v>
      </c>
      <c r="H37" s="32" t="s">
        <v>108</v>
      </c>
      <c r="I37" s="23" t="str">
        <f>IFERROR(__xludf.DUMMYFUNCTION("if(REGEXMATCH(join("", "",$G37:$H37),I$1)=TRUE,""✓"",""✗"")"),"✗")</f>
        <v>✗</v>
      </c>
      <c r="J37" s="23" t="str">
        <f>IFERROR(__xludf.DUMMYFUNCTION("if(REGEXMATCH(join("", "",$G37:$H37),J$1)=TRUE,""✓"",""✗"")"),"✓")</f>
        <v>✓</v>
      </c>
      <c r="K37" s="23" t="str">
        <f>IFERROR(__xludf.DUMMYFUNCTION("if(REGEXMATCH(join("", "",$G37:$H37),K$1)=TRUE,""✓"",""✗"")"),"✓")</f>
        <v>✓</v>
      </c>
      <c r="L37" s="23" t="str">
        <f>IFERROR(__xludf.DUMMYFUNCTION("if(REGEXMATCH(join("", "",$G37:$H37),L$1)=TRUE,""✓"",""✗"")"),"✗")</f>
        <v>✗</v>
      </c>
      <c r="M37" s="23" t="str">
        <f>IFERROR(__xludf.DUMMYFUNCTION("if(REGEXMATCH(join("", "",$G37:$H37),M$1)=TRUE,""✓"",""✗"")"),"✗")</f>
        <v>✗</v>
      </c>
      <c r="N37" s="23" t="str">
        <f>IFERROR(__xludf.DUMMYFUNCTION("if(REGEXMATCH(join("", "",$G37:$H37),N$1)=TRUE,""✓"",""✗"")"),"✗")</f>
        <v>✗</v>
      </c>
      <c r="O37" s="23" t="str">
        <f>IFERROR(__xludf.DUMMYFUNCTION("if(REGEXMATCH(join("", "",$G37:$H37),O$1)=TRUE,""✓"",""✗"")"),"✓")</f>
        <v>✓</v>
      </c>
      <c r="P37" s="23" t="str">
        <f>IFERROR(__xludf.DUMMYFUNCTION("if(REGEXMATCH(join("", "",$G37:$H37),P$1)=TRUE,""✓"",""✗"")"),"✓")</f>
        <v>✓</v>
      </c>
      <c r="Q37" s="23" t="str">
        <f>IFERROR(__xludf.DUMMYFUNCTION("if(REGEXMATCH(join("", "",$G37:$H37),Q$1)=TRUE,""✓"",""✗"")"),"✗")</f>
        <v>✗</v>
      </c>
      <c r="R37" s="23" t="str">
        <f>IFERROR(__xludf.DUMMYFUNCTION("if(REGEXMATCH(join("", "",$G37:$H37),R$1)=TRUE,""✓"",""✗"")"),"✓")</f>
        <v>✓</v>
      </c>
      <c r="S37" s="23" t="str">
        <f>IFERROR(__xludf.DUMMYFUNCTION("if(REGEXMATCH(join("", "",$G37:$H37),S$1)=TRUE,""✓"",""✗"")"),"✗")</f>
        <v>✗</v>
      </c>
      <c r="T37" s="23" t="str">
        <f>IFERROR(__xludf.DUMMYFUNCTION("if(REGEXMATCH(join("", "",$G37:$H37),T$1)=TRUE,""✓"",""✗"")"),"✗")</f>
        <v>✗</v>
      </c>
      <c r="U37" s="23" t="str">
        <f>IFERROR(__xludf.DUMMYFUNCTION("if(REGEXMATCH(join("", "",$G37:$H37),U$1)=TRUE,""✓"",""✗"")"),"✗")</f>
        <v>✗</v>
      </c>
    </row>
    <row r="38">
      <c r="A38" s="8">
        <v>37.0</v>
      </c>
      <c r="B38" s="8" t="s">
        <v>110</v>
      </c>
      <c r="C38" s="16" t="str">
        <f t="shared" si="1"/>
        <v>Ibrahim et al., 2005</v>
      </c>
      <c r="D38" s="30" t="s">
        <v>315</v>
      </c>
      <c r="E38" s="15" t="str">
        <f t="shared" si="2"/>
        <v>https://raw.githubusercontent.com/d-wkim/phd/refs/heads/main/data/pdf/ibrahim_2005 .pdf</v>
      </c>
      <c r="F38" s="8" t="s">
        <v>32</v>
      </c>
      <c r="G38" s="8" t="s">
        <v>33</v>
      </c>
      <c r="H38" s="32" t="s">
        <v>111</v>
      </c>
      <c r="I38" s="23" t="str">
        <f>IFERROR(__xludf.DUMMYFUNCTION("if(REGEXMATCH(join("", "",$G38:$H38),I$1)=TRUE,""✓"",""✗"")"),"✓")</f>
        <v>✓</v>
      </c>
      <c r="J38" s="23" t="str">
        <f>IFERROR(__xludf.DUMMYFUNCTION("if(REGEXMATCH(join("", "",$G38:$H38),J$1)=TRUE,""✓"",""✗"")"),"✓")</f>
        <v>✓</v>
      </c>
      <c r="K38" s="23" t="str">
        <f>IFERROR(__xludf.DUMMYFUNCTION("if(REGEXMATCH(join("", "",$G38:$H38),K$1)=TRUE,""✓"",""✗"")"),"✗")</f>
        <v>✗</v>
      </c>
      <c r="L38" s="23" t="str">
        <f>IFERROR(__xludf.DUMMYFUNCTION("if(REGEXMATCH(join("", "",$G38:$H38),L$1)=TRUE,""✓"",""✗"")"),"✗")</f>
        <v>✗</v>
      </c>
      <c r="M38" s="23" t="str">
        <f>IFERROR(__xludf.DUMMYFUNCTION("if(REGEXMATCH(join("", "",$G38:$H38),M$1)=TRUE,""✓"",""✗"")"),"✗")</f>
        <v>✗</v>
      </c>
      <c r="N38" s="23" t="str">
        <f>IFERROR(__xludf.DUMMYFUNCTION("if(REGEXMATCH(join("", "",$G38:$H38),N$1)=TRUE,""✓"",""✗"")"),"✗")</f>
        <v>✗</v>
      </c>
      <c r="O38" s="23" t="str">
        <f>IFERROR(__xludf.DUMMYFUNCTION("if(REGEXMATCH(join("", "",$G38:$H38),O$1)=TRUE,""✓"",""✗"")"),"✗")</f>
        <v>✗</v>
      </c>
      <c r="P38" s="23" t="str">
        <f>IFERROR(__xludf.DUMMYFUNCTION("if(REGEXMATCH(join("", "",$G38:$H38),P$1)=TRUE,""✓"",""✗"")"),"✓")</f>
        <v>✓</v>
      </c>
      <c r="Q38" s="23" t="str">
        <f>IFERROR(__xludf.DUMMYFUNCTION("if(REGEXMATCH(join("", "",$G38:$H38),Q$1)=TRUE,""✓"",""✗"")"),"✗")</f>
        <v>✗</v>
      </c>
      <c r="R38" s="23" t="str">
        <f>IFERROR(__xludf.DUMMYFUNCTION("if(REGEXMATCH(join("", "",$G38:$H38),R$1)=TRUE,""✓"",""✗"")"),"✓")</f>
        <v>✓</v>
      </c>
      <c r="S38" s="23" t="str">
        <f>IFERROR(__xludf.DUMMYFUNCTION("if(REGEXMATCH(join("", "",$G38:$H38),S$1)=TRUE,""✓"",""✗"")"),"✓")</f>
        <v>✓</v>
      </c>
      <c r="T38" s="23" t="str">
        <f>IFERROR(__xludf.DUMMYFUNCTION("if(REGEXMATCH(join("", "",$G38:$H38),T$1)=TRUE,""✓"",""✗"")"),"✓")</f>
        <v>✓</v>
      </c>
      <c r="U38" s="23" t="str">
        <f>IFERROR(__xludf.DUMMYFUNCTION("if(REGEXMATCH(join("", "",$G38:$H38),U$1)=TRUE,""✓"",""✗"")"),"✗")</f>
        <v>✗</v>
      </c>
    </row>
    <row r="39">
      <c r="A39" s="8">
        <v>38.0</v>
      </c>
      <c r="B39" s="8" t="s">
        <v>113</v>
      </c>
      <c r="C39" s="16" t="str">
        <f t="shared" si="1"/>
        <v>Iliopoulos et al., 2017</v>
      </c>
      <c r="D39" s="30" t="s">
        <v>316</v>
      </c>
      <c r="E39" s="15" t="str">
        <f t="shared" si="2"/>
        <v>https://raw.githubusercontent.com/d-wkim/phd/refs/heads/main/data/pdf/iliopoulos_2017 .pdf</v>
      </c>
      <c r="F39" s="8" t="s">
        <v>32</v>
      </c>
      <c r="G39" s="8" t="s">
        <v>33</v>
      </c>
      <c r="H39" s="32" t="s">
        <v>98</v>
      </c>
      <c r="I39" s="23" t="str">
        <f>IFERROR(__xludf.DUMMYFUNCTION("if(REGEXMATCH(join("", "",$G39:$H39),I$1)=TRUE,""✓"",""✗"")"),"✓")</f>
        <v>✓</v>
      </c>
      <c r="J39" s="23" t="str">
        <f>IFERROR(__xludf.DUMMYFUNCTION("if(REGEXMATCH(join("", "",$G39:$H39),J$1)=TRUE,""✓"",""✗"")"),"✓")</f>
        <v>✓</v>
      </c>
      <c r="K39" s="23" t="str">
        <f>IFERROR(__xludf.DUMMYFUNCTION("if(REGEXMATCH(join("", "",$G39:$H39),K$1)=TRUE,""✓"",""✗"")"),"✗")</f>
        <v>✗</v>
      </c>
      <c r="L39" s="23" t="str">
        <f>IFERROR(__xludf.DUMMYFUNCTION("if(REGEXMATCH(join("", "",$G39:$H39),L$1)=TRUE,""✓"",""✗"")"),"✗")</f>
        <v>✗</v>
      </c>
      <c r="M39" s="23" t="str">
        <f>IFERROR(__xludf.DUMMYFUNCTION("if(REGEXMATCH(join("", "",$G39:$H39),M$1)=TRUE,""✓"",""✗"")"),"✗")</f>
        <v>✗</v>
      </c>
      <c r="N39" s="23" t="str">
        <f>IFERROR(__xludf.DUMMYFUNCTION("if(REGEXMATCH(join("", "",$G39:$H39),N$1)=TRUE,""✓"",""✗"")"),"✗")</f>
        <v>✗</v>
      </c>
      <c r="O39" s="23" t="str">
        <f>IFERROR(__xludf.DUMMYFUNCTION("if(REGEXMATCH(join("", "",$G39:$H39),O$1)=TRUE,""✓"",""✗"")"),"✓")</f>
        <v>✓</v>
      </c>
      <c r="P39" s="23" t="str">
        <f>IFERROR(__xludf.DUMMYFUNCTION("if(REGEXMATCH(join("", "",$G39:$H39),P$1)=TRUE,""✓"",""✗"")"),"✓")</f>
        <v>✓</v>
      </c>
      <c r="Q39" s="23" t="str">
        <f>IFERROR(__xludf.DUMMYFUNCTION("if(REGEXMATCH(join("", "",$G39:$H39),Q$1)=TRUE,""✓"",""✗"")"),"✗")</f>
        <v>✗</v>
      </c>
      <c r="R39" s="23" t="str">
        <f>IFERROR(__xludf.DUMMYFUNCTION("if(REGEXMATCH(join("", "",$G39:$H39),R$1)=TRUE,""✓"",""✗"")"),"✗")</f>
        <v>✗</v>
      </c>
      <c r="S39" s="23" t="str">
        <f>IFERROR(__xludf.DUMMYFUNCTION("if(REGEXMATCH(join("", "",$G39:$H39),S$1)=TRUE,""✓"",""✗"")"),"✓")</f>
        <v>✓</v>
      </c>
      <c r="T39" s="23" t="str">
        <f>IFERROR(__xludf.DUMMYFUNCTION("if(REGEXMATCH(join("", "",$G39:$H39),T$1)=TRUE,""✓"",""✗"")"),"✓")</f>
        <v>✓</v>
      </c>
      <c r="U39" s="23" t="str">
        <f>IFERROR(__xludf.DUMMYFUNCTION("if(REGEXMATCH(join("", "",$G39:$H39),U$1)=TRUE,""✓"",""✗"")"),"✗")</f>
        <v>✗</v>
      </c>
    </row>
    <row r="40" hidden="1">
      <c r="A40" s="8">
        <v>39.0</v>
      </c>
      <c r="B40" s="8" t="s">
        <v>320</v>
      </c>
      <c r="C40" s="42" t="str">
        <f t="shared" si="1"/>
        <v>Irrgang et al., 2021</v>
      </c>
      <c r="D40" s="8" t="s">
        <v>321</v>
      </c>
      <c r="E40" s="15" t="str">
        <f t="shared" si="2"/>
        <v>https://raw.githubusercontent.com/d-wkim/phd/refs/heads/main/data/pdf/irrgang_2021 .pdf</v>
      </c>
      <c r="F40" s="8" t="s">
        <v>102</v>
      </c>
      <c r="G40" s="32"/>
      <c r="H40" s="8" t="s">
        <v>289</v>
      </c>
      <c r="I40" s="23" t="str">
        <f>IFERROR(__xludf.DUMMYFUNCTION("if(REGEXMATCH(join("", "",$G40:$H40),I$1)=TRUE,""✓"",""✗"")"),"✗")</f>
        <v>✗</v>
      </c>
      <c r="J40" s="23" t="str">
        <f>IFERROR(__xludf.DUMMYFUNCTION("if(REGEXMATCH(join("", "",$G40:$H40),J$1)=TRUE,""✓"",""✗"")"),"✗")</f>
        <v>✗</v>
      </c>
      <c r="K40" s="23" t="str">
        <f>IFERROR(__xludf.DUMMYFUNCTION("if(REGEXMATCH(join("", "",$G40:$H40),K$1)=TRUE,""✓"",""✗"")"),"✗")</f>
        <v>✗</v>
      </c>
      <c r="L40" s="23" t="str">
        <f>IFERROR(__xludf.DUMMYFUNCTION("if(REGEXMATCH(join("", "",$G40:$H40),L$1)=TRUE,""✓"",""✗"")"),"✗")</f>
        <v>✗</v>
      </c>
      <c r="M40" s="23" t="str">
        <f>IFERROR(__xludf.DUMMYFUNCTION("if(REGEXMATCH(join("", "",$G40:$H40),M$1)=TRUE,""✓"",""✗"")"),"✗")</f>
        <v>✗</v>
      </c>
      <c r="N40" s="23" t="str">
        <f>IFERROR(__xludf.DUMMYFUNCTION("if(REGEXMATCH(join("", "",$G40:$H40),N$1)=TRUE,""✓"",""✗"")"),"✗")</f>
        <v>✗</v>
      </c>
      <c r="O40" s="23" t="str">
        <f>IFERROR(__xludf.DUMMYFUNCTION("if(REGEXMATCH(join("", "",$G40:$H40),O$1)=TRUE,""✓"",""✗"")"),"✗")</f>
        <v>✗</v>
      </c>
      <c r="P40" s="23" t="str">
        <f>IFERROR(__xludf.DUMMYFUNCTION("if(REGEXMATCH(join("", "",$G40:$H40),P$1)=TRUE,""✓"",""✗"")"),"✗")</f>
        <v>✗</v>
      </c>
      <c r="Q40" s="23" t="str">
        <f>IFERROR(__xludf.DUMMYFUNCTION("if(REGEXMATCH(join("", "",$G40:$H40),Q$1)=TRUE,""✓"",""✗"")"),"✗")</f>
        <v>✗</v>
      </c>
      <c r="R40" s="23" t="str">
        <f>IFERROR(__xludf.DUMMYFUNCTION("if(REGEXMATCH(join("", "",$G40:$H40),R$1)=TRUE,""✓"",""✗"")"),"✗")</f>
        <v>✗</v>
      </c>
      <c r="S40" s="23" t="str">
        <f>IFERROR(__xludf.DUMMYFUNCTION("if(REGEXMATCH(join("", "",$G40:$H40),S$1)=TRUE,""✓"",""✗"")"),"✗")</f>
        <v>✗</v>
      </c>
      <c r="T40" s="23" t="str">
        <f>IFERROR(__xludf.DUMMYFUNCTION("if(REGEXMATCH(join("", "",$G40:$H40),T$1)=TRUE,""✓"",""✗"")"),"✗")</f>
        <v>✗</v>
      </c>
      <c r="U40" s="23" t="str">
        <f>IFERROR(__xludf.DUMMYFUNCTION("if(REGEXMATCH(join("", "",$G40:$H40),U$1)=TRUE,""✓"",""✗"")"),"✗")</f>
        <v>✗</v>
      </c>
    </row>
    <row r="41" hidden="1">
      <c r="A41" s="8">
        <v>40.0</v>
      </c>
      <c r="B41" s="8" t="s">
        <v>322</v>
      </c>
      <c r="C41" s="42" t="str">
        <f t="shared" si="1"/>
        <v>Jansson et al., 1999</v>
      </c>
      <c r="D41" s="8" t="s">
        <v>323</v>
      </c>
      <c r="E41" s="15" t="str">
        <f t="shared" si="2"/>
        <v>https://raw.githubusercontent.com/d-wkim/phd/refs/heads/main/data/pdf/jansson_1999 .pdf</v>
      </c>
      <c r="F41" s="8" t="s">
        <v>102</v>
      </c>
      <c r="G41" s="8"/>
      <c r="H41" s="8" t="s">
        <v>228</v>
      </c>
      <c r="I41" s="23" t="str">
        <f>IFERROR(__xludf.DUMMYFUNCTION("if(REGEXMATCH(join("", "",$G41:$H41),I$1)=TRUE,""✓"",""✗"")"),"✗")</f>
        <v>✗</v>
      </c>
      <c r="J41" s="23" t="str">
        <f>IFERROR(__xludf.DUMMYFUNCTION("if(REGEXMATCH(join("", "",$G41:$H41),J$1)=TRUE,""✓"",""✗"")"),"✗")</f>
        <v>✗</v>
      </c>
      <c r="K41" s="23" t="str">
        <f>IFERROR(__xludf.DUMMYFUNCTION("if(REGEXMATCH(join("", "",$G41:$H41),K$1)=TRUE,""✓"",""✗"")"),"✗")</f>
        <v>✗</v>
      </c>
      <c r="L41" s="23" t="str">
        <f>IFERROR(__xludf.DUMMYFUNCTION("if(REGEXMATCH(join("", "",$G41:$H41),L$1)=TRUE,""✓"",""✗"")"),"✗")</f>
        <v>✗</v>
      </c>
      <c r="M41" s="23" t="str">
        <f>IFERROR(__xludf.DUMMYFUNCTION("if(REGEXMATCH(join("", "",$G41:$H41),M$1)=TRUE,""✓"",""✗"")"),"✗")</f>
        <v>✗</v>
      </c>
      <c r="N41" s="23" t="str">
        <f>IFERROR(__xludf.DUMMYFUNCTION("if(REGEXMATCH(join("", "",$G41:$H41),N$1)=TRUE,""✓"",""✗"")"),"✗")</f>
        <v>✗</v>
      </c>
      <c r="O41" s="23" t="str">
        <f>IFERROR(__xludf.DUMMYFUNCTION("if(REGEXMATCH(join("", "",$G41:$H41),O$1)=TRUE,""✓"",""✗"")"),"✗")</f>
        <v>✗</v>
      </c>
      <c r="P41" s="23" t="str">
        <f>IFERROR(__xludf.DUMMYFUNCTION("if(REGEXMATCH(join("", "",$G41:$H41),P$1)=TRUE,""✓"",""✗"")"),"✗")</f>
        <v>✗</v>
      </c>
      <c r="Q41" s="23" t="str">
        <f>IFERROR(__xludf.DUMMYFUNCTION("if(REGEXMATCH(join("", "",$G41:$H41),Q$1)=TRUE,""✓"",""✗"")"),"✗")</f>
        <v>✗</v>
      </c>
      <c r="R41" s="23" t="str">
        <f>IFERROR(__xludf.DUMMYFUNCTION("if(REGEXMATCH(join("", "",$G41:$H41),R$1)=TRUE,""✓"",""✗"")"),"✗")</f>
        <v>✗</v>
      </c>
      <c r="S41" s="23" t="str">
        <f>IFERROR(__xludf.DUMMYFUNCTION("if(REGEXMATCH(join("", "",$G41:$H41),S$1)=TRUE,""✓"",""✗"")"),"✗")</f>
        <v>✗</v>
      </c>
      <c r="T41" s="23" t="str">
        <f>IFERROR(__xludf.DUMMYFUNCTION("if(REGEXMATCH(join("", "",$G41:$H41),T$1)=TRUE,""✓"",""✗"")"),"✗")</f>
        <v>✗</v>
      </c>
      <c r="U41" s="23" t="str">
        <f>IFERROR(__xludf.DUMMYFUNCTION("if(REGEXMATCH(join("", "",$G41:$H41),U$1)=TRUE,""✓"",""✗"")"),"✗")</f>
        <v>✗</v>
      </c>
    </row>
    <row r="42">
      <c r="A42" s="8">
        <v>41.0</v>
      </c>
      <c r="B42" s="8" t="s">
        <v>115</v>
      </c>
      <c r="C42" s="16" t="str">
        <f t="shared" si="1"/>
        <v>Jansson et al., 2003</v>
      </c>
      <c r="D42" s="30" t="s">
        <v>325</v>
      </c>
      <c r="E42" s="15" t="str">
        <f t="shared" si="2"/>
        <v>https://raw.githubusercontent.com/d-wkim/phd/refs/heads/main/data/pdf/jansson_2003 .pdf</v>
      </c>
      <c r="F42" s="8" t="s">
        <v>32</v>
      </c>
      <c r="G42" s="8" t="s">
        <v>33</v>
      </c>
      <c r="H42" s="32" t="s">
        <v>116</v>
      </c>
      <c r="I42" s="23" t="str">
        <f>IFERROR(__xludf.DUMMYFUNCTION("if(REGEXMATCH(join("", "",$G42:$H42),I$1)=TRUE,""✓"",""✗"")"),"✓")</f>
        <v>✓</v>
      </c>
      <c r="J42" s="23" t="str">
        <f>IFERROR(__xludf.DUMMYFUNCTION("if(REGEXMATCH(join("", "",$G42:$H42),J$1)=TRUE,""✓"",""✗"")"),"✓")</f>
        <v>✓</v>
      </c>
      <c r="K42" s="23" t="str">
        <f>IFERROR(__xludf.DUMMYFUNCTION("if(REGEXMATCH(join("", "",$G42:$H42),K$1)=TRUE,""✓"",""✗"")"),"✗")</f>
        <v>✗</v>
      </c>
      <c r="L42" s="23" t="str">
        <f>IFERROR(__xludf.DUMMYFUNCTION("if(REGEXMATCH(join("", "",$G42:$H42),L$1)=TRUE,""✓"",""✗"")"),"✗")</f>
        <v>✗</v>
      </c>
      <c r="M42" s="23" t="str">
        <f>IFERROR(__xludf.DUMMYFUNCTION("if(REGEXMATCH(join("", "",$G42:$H42),M$1)=TRUE,""✓"",""✗"")"),"✗")</f>
        <v>✗</v>
      </c>
      <c r="N42" s="23" t="str">
        <f>IFERROR(__xludf.DUMMYFUNCTION("if(REGEXMATCH(join("", "",$G42:$H42),N$1)=TRUE,""✓"",""✗"")"),"✗")</f>
        <v>✗</v>
      </c>
      <c r="O42" s="23" t="str">
        <f>IFERROR(__xludf.DUMMYFUNCTION("if(REGEXMATCH(join("", "",$G42:$H42),O$1)=TRUE,""✓"",""✗"")"),"✗")</f>
        <v>✗</v>
      </c>
      <c r="P42" s="23" t="str">
        <f>IFERROR(__xludf.DUMMYFUNCTION("if(REGEXMATCH(join("", "",$G42:$H42),P$1)=TRUE,""✓"",""✗"")"),"✓")</f>
        <v>✓</v>
      </c>
      <c r="Q42" s="23" t="str">
        <f>IFERROR(__xludf.DUMMYFUNCTION("if(REGEXMATCH(join("", "",$G42:$H42),Q$1)=TRUE,""✓"",""✗"")"),"✓")</f>
        <v>✓</v>
      </c>
      <c r="R42" s="23" t="str">
        <f>IFERROR(__xludf.DUMMYFUNCTION("if(REGEXMATCH(join("", "",$G42:$H42),R$1)=TRUE,""✓"",""✗"")"),"✓")</f>
        <v>✓</v>
      </c>
      <c r="S42" s="23" t="str">
        <f>IFERROR(__xludf.DUMMYFUNCTION("if(REGEXMATCH(join("", "",$G42:$H42),S$1)=TRUE,""✓"",""✗"")"),"✓")</f>
        <v>✓</v>
      </c>
      <c r="T42" s="23" t="str">
        <f>IFERROR(__xludf.DUMMYFUNCTION("if(REGEXMATCH(join("", "",$G42:$H42),T$1)=TRUE,""✓"",""✗"")"),"✓")</f>
        <v>✓</v>
      </c>
      <c r="U42" s="23" t="str">
        <f>IFERROR(__xludf.DUMMYFUNCTION("if(REGEXMATCH(join("", "",$G42:$H42),U$1)=TRUE,""✓"",""✗"")"),"✗")</f>
        <v>✗</v>
      </c>
    </row>
    <row r="43" hidden="1">
      <c r="A43" s="8">
        <v>42.0</v>
      </c>
      <c r="B43" s="8" t="s">
        <v>326</v>
      </c>
      <c r="C43" s="42" t="str">
        <f t="shared" si="1"/>
        <v>Johns et al., 2026</v>
      </c>
      <c r="D43" s="8" t="s">
        <v>328</v>
      </c>
      <c r="E43" s="15" t="str">
        <f t="shared" si="2"/>
        <v>https://raw.githubusercontent.com/d-wkim/phd/refs/heads/main/data/pdf/johns_2026 .pdf</v>
      </c>
      <c r="F43" s="8" t="s">
        <v>102</v>
      </c>
      <c r="G43" s="32"/>
      <c r="H43" s="8" t="s">
        <v>230</v>
      </c>
      <c r="I43" s="23" t="str">
        <f>IFERROR(__xludf.DUMMYFUNCTION("if(REGEXMATCH(join("", "",$G43:$H43),I$1)=TRUE,""✓"",""✗"")"),"✗")</f>
        <v>✗</v>
      </c>
      <c r="J43" s="23" t="str">
        <f>IFERROR(__xludf.DUMMYFUNCTION("if(REGEXMATCH(join("", "",$G43:$H43),J$1)=TRUE,""✓"",""✗"")"),"✗")</f>
        <v>✗</v>
      </c>
      <c r="K43" s="23" t="str">
        <f>IFERROR(__xludf.DUMMYFUNCTION("if(REGEXMATCH(join("", "",$G43:$H43),K$1)=TRUE,""✓"",""✗"")"),"✗")</f>
        <v>✗</v>
      </c>
      <c r="L43" s="23" t="str">
        <f>IFERROR(__xludf.DUMMYFUNCTION("if(REGEXMATCH(join("", "",$G43:$H43),L$1)=TRUE,""✓"",""✗"")"),"✗")</f>
        <v>✗</v>
      </c>
      <c r="M43" s="23" t="str">
        <f>IFERROR(__xludf.DUMMYFUNCTION("if(REGEXMATCH(join("", "",$G43:$H43),M$1)=TRUE,""✓"",""✗"")"),"✗")</f>
        <v>✗</v>
      </c>
      <c r="N43" s="23" t="str">
        <f>IFERROR(__xludf.DUMMYFUNCTION("if(REGEXMATCH(join("", "",$G43:$H43),N$1)=TRUE,""✓"",""✗"")"),"✗")</f>
        <v>✗</v>
      </c>
      <c r="O43" s="23" t="str">
        <f>IFERROR(__xludf.DUMMYFUNCTION("if(REGEXMATCH(join("", "",$G43:$H43),O$1)=TRUE,""✓"",""✗"")"),"✗")</f>
        <v>✗</v>
      </c>
      <c r="P43" s="23" t="str">
        <f>IFERROR(__xludf.DUMMYFUNCTION("if(REGEXMATCH(join("", "",$G43:$H43),P$1)=TRUE,""✓"",""✗"")"),"✗")</f>
        <v>✗</v>
      </c>
      <c r="Q43" s="23" t="str">
        <f>IFERROR(__xludf.DUMMYFUNCTION("if(REGEXMATCH(join("", "",$G43:$H43),Q$1)=TRUE,""✓"",""✗"")"),"✗")</f>
        <v>✗</v>
      </c>
      <c r="R43" s="23" t="str">
        <f>IFERROR(__xludf.DUMMYFUNCTION("if(REGEXMATCH(join("", "",$G43:$H43),R$1)=TRUE,""✓"",""✗"")"),"✗")</f>
        <v>✗</v>
      </c>
      <c r="S43" s="23" t="str">
        <f>IFERROR(__xludf.DUMMYFUNCTION("if(REGEXMATCH(join("", "",$G43:$H43),S$1)=TRUE,""✓"",""✗"")"),"✗")</f>
        <v>✗</v>
      </c>
      <c r="T43" s="23" t="str">
        <f>IFERROR(__xludf.DUMMYFUNCTION("if(REGEXMATCH(join("", "",$G43:$H43),T$1)=TRUE,""✓"",""✗"")"),"✗")</f>
        <v>✗</v>
      </c>
      <c r="U43" s="23" t="str">
        <f>IFERROR(__xludf.DUMMYFUNCTION("if(REGEXMATCH(join("", "",$G43:$H43),U$1)=TRUE,""✓"",""✗"")"),"✗")</f>
        <v>✗</v>
      </c>
    </row>
    <row r="44">
      <c r="A44" s="8">
        <v>43.0</v>
      </c>
      <c r="B44" s="8" t="s">
        <v>117</v>
      </c>
      <c r="C44" s="16" t="str">
        <f t="shared" si="1"/>
        <v>Kautzner et al., 2015</v>
      </c>
      <c r="D44" s="30" t="s">
        <v>329</v>
      </c>
      <c r="E44" s="15" t="str">
        <f t="shared" si="2"/>
        <v>https://raw.githubusercontent.com/d-wkim/phd/refs/heads/main/data/pdf/kautzner_2015 .pdf</v>
      </c>
      <c r="F44" s="8" t="s">
        <v>32</v>
      </c>
      <c r="G44" s="8" t="s">
        <v>33</v>
      </c>
      <c r="H44" s="32" t="s">
        <v>118</v>
      </c>
      <c r="I44" s="23" t="str">
        <f>IFERROR(__xludf.DUMMYFUNCTION("if(REGEXMATCH(join("", "",$G44:$H44),I$1)=TRUE,""✓"",""✗"")"),"✓")</f>
        <v>✓</v>
      </c>
      <c r="J44" s="23" t="str">
        <f>IFERROR(__xludf.DUMMYFUNCTION("if(REGEXMATCH(join("", "",$G44:$H44),J$1)=TRUE,""✓"",""✗"")"),"✓")</f>
        <v>✓</v>
      </c>
      <c r="K44" s="23" t="str">
        <f>IFERROR(__xludf.DUMMYFUNCTION("if(REGEXMATCH(join("", "",$G44:$H44),K$1)=TRUE,""✓"",""✗"")"),"✗")</f>
        <v>✗</v>
      </c>
      <c r="L44" s="23" t="str">
        <f>IFERROR(__xludf.DUMMYFUNCTION("if(REGEXMATCH(join("", "",$G44:$H44),L$1)=TRUE,""✓"",""✗"")"),"✗")</f>
        <v>✗</v>
      </c>
      <c r="M44" s="23" t="str">
        <f>IFERROR(__xludf.DUMMYFUNCTION("if(REGEXMATCH(join("", "",$G44:$H44),M$1)=TRUE,""✓"",""✗"")"),"✗")</f>
        <v>✗</v>
      </c>
      <c r="N44" s="23" t="str">
        <f>IFERROR(__xludf.DUMMYFUNCTION("if(REGEXMATCH(join("", "",$G44:$H44),N$1)=TRUE,""✓"",""✗"")"),"✗")</f>
        <v>✗</v>
      </c>
      <c r="O44" s="23" t="str">
        <f>IFERROR(__xludf.DUMMYFUNCTION("if(REGEXMATCH(join("", "",$G44:$H44),O$1)=TRUE,""✓"",""✗"")"),"✗")</f>
        <v>✗</v>
      </c>
      <c r="P44" s="23" t="str">
        <f>IFERROR(__xludf.DUMMYFUNCTION("if(REGEXMATCH(join("", "",$G44:$H44),P$1)=TRUE,""✓"",""✗"")"),"✓")</f>
        <v>✓</v>
      </c>
      <c r="Q44" s="23" t="str">
        <f>IFERROR(__xludf.DUMMYFUNCTION("if(REGEXMATCH(join("", "",$G44:$H44),Q$1)=TRUE,""✓"",""✗"")"),"✗")</f>
        <v>✗</v>
      </c>
      <c r="R44" s="23" t="str">
        <f>IFERROR(__xludf.DUMMYFUNCTION("if(REGEXMATCH(join("", "",$G44:$H44),R$1)=TRUE,""✓"",""✗"")"),"✓")</f>
        <v>✓</v>
      </c>
      <c r="S44" s="23" t="str">
        <f>IFERROR(__xludf.DUMMYFUNCTION("if(REGEXMATCH(join("", "",$G44:$H44),S$1)=TRUE,""✓"",""✗"")"),"✗")</f>
        <v>✗</v>
      </c>
      <c r="T44" s="23" t="str">
        <f>IFERROR(__xludf.DUMMYFUNCTION("if(REGEXMATCH(join("", "",$G44:$H44),T$1)=TRUE,""✓"",""✗"")"),"✗")</f>
        <v>✗</v>
      </c>
      <c r="U44" s="23" t="str">
        <f>IFERROR(__xludf.DUMMYFUNCTION("if(REGEXMATCH(join("", "",$G44:$H44),U$1)=TRUE,""✓"",""✗"")"),"✗")</f>
        <v>✗</v>
      </c>
    </row>
    <row r="45">
      <c r="A45" s="8">
        <v>44.0</v>
      </c>
      <c r="B45" s="8" t="s">
        <v>119</v>
      </c>
      <c r="C45" s="16" t="str">
        <f t="shared" si="1"/>
        <v>Komzak et al., 2022</v>
      </c>
      <c r="D45" s="30" t="s">
        <v>330</v>
      </c>
      <c r="E45" s="15" t="str">
        <f t="shared" si="2"/>
        <v>https://raw.githubusercontent.com/d-wkim/phd/refs/heads/main/data/pdf/komzak_2022 .pdf</v>
      </c>
      <c r="F45" s="8" t="s">
        <v>32</v>
      </c>
      <c r="G45" s="32" t="s">
        <v>191</v>
      </c>
      <c r="H45" s="32" t="s">
        <v>120</v>
      </c>
      <c r="I45" s="23" t="str">
        <f>IFERROR(__xludf.DUMMYFUNCTION("if(REGEXMATCH(join("", "",$G45:$H45),I$1)=TRUE,""✓"",""✗"")"),"✓")</f>
        <v>✓</v>
      </c>
      <c r="J45" s="23" t="str">
        <f>IFERROR(__xludf.DUMMYFUNCTION("if(REGEXMATCH(join("", "",$G45:$H45),J$1)=TRUE,""✓"",""✗"")"),"✗")</f>
        <v>✗</v>
      </c>
      <c r="K45" s="23" t="str">
        <f>IFERROR(__xludf.DUMMYFUNCTION("if(REGEXMATCH(join("", "",$G45:$H45),K$1)=TRUE,""✓"",""✗"")"),"✓")</f>
        <v>✓</v>
      </c>
      <c r="L45" s="23" t="str">
        <f>IFERROR(__xludf.DUMMYFUNCTION("if(REGEXMATCH(join("", "",$G45:$H45),L$1)=TRUE,""✓"",""✗"")"),"✗")</f>
        <v>✗</v>
      </c>
      <c r="M45" s="23" t="str">
        <f>IFERROR(__xludf.DUMMYFUNCTION("if(REGEXMATCH(join("", "",$G45:$H45),M$1)=TRUE,""✓"",""✗"")"),"✗")</f>
        <v>✗</v>
      </c>
      <c r="N45" s="23" t="str">
        <f>IFERROR(__xludf.DUMMYFUNCTION("if(REGEXMATCH(join("", "",$G45:$H45),N$1)=TRUE,""✓"",""✗"")"),"✗")</f>
        <v>✗</v>
      </c>
      <c r="O45" s="23" t="str">
        <f>IFERROR(__xludf.DUMMYFUNCTION("if(REGEXMATCH(join("", "",$G45:$H45),O$1)=TRUE,""✓"",""✗"")"),"✓")</f>
        <v>✓</v>
      </c>
      <c r="P45" s="23" t="str">
        <f>IFERROR(__xludf.DUMMYFUNCTION("if(REGEXMATCH(join("", "",$G45:$H45),P$1)=TRUE,""✓"",""✗"")"),"✓")</f>
        <v>✓</v>
      </c>
      <c r="Q45" s="23" t="str">
        <f>IFERROR(__xludf.DUMMYFUNCTION("if(REGEXMATCH(join("", "",$G45:$H45),Q$1)=TRUE,""✓"",""✗"")"),"✗")</f>
        <v>✗</v>
      </c>
      <c r="R45" s="23" t="str">
        <f>IFERROR(__xludf.DUMMYFUNCTION("if(REGEXMATCH(join("", "",$G45:$H45),R$1)=TRUE,""✓"",""✗"")"),"✗")</f>
        <v>✗</v>
      </c>
      <c r="S45" s="23" t="str">
        <f>IFERROR(__xludf.DUMMYFUNCTION("if(REGEXMATCH(join("", "",$G45:$H45),S$1)=TRUE,""✓"",""✗"")"),"✗")</f>
        <v>✗</v>
      </c>
      <c r="T45" s="23" t="str">
        <f>IFERROR(__xludf.DUMMYFUNCTION("if(REGEXMATCH(join("", "",$G45:$H45),T$1)=TRUE,""✓"",""✗"")"),"✗")</f>
        <v>✗</v>
      </c>
      <c r="U45" s="23" t="str">
        <f>IFERROR(__xludf.DUMMYFUNCTION("if(REGEXMATCH(join("", "",$G45:$H45),U$1)=TRUE,""✓"",""✗"")"),"✗")</f>
        <v>✗</v>
      </c>
    </row>
    <row r="46">
      <c r="A46" s="8">
        <v>45.0</v>
      </c>
      <c r="B46" s="8" t="s">
        <v>121</v>
      </c>
      <c r="C46" s="16" t="str">
        <f t="shared" si="1"/>
        <v>Konrads et al., 2016</v>
      </c>
      <c r="D46" s="30" t="s">
        <v>344</v>
      </c>
      <c r="E46" s="15" t="str">
        <f t="shared" si="2"/>
        <v>https://raw.githubusercontent.com/d-wkim/phd/refs/heads/main/data/pdf/konrads_2016 .pdf</v>
      </c>
      <c r="F46" s="8" t="s">
        <v>32</v>
      </c>
      <c r="G46" s="8" t="s">
        <v>33</v>
      </c>
      <c r="H46" s="32" t="s">
        <v>122</v>
      </c>
      <c r="I46" s="23" t="str">
        <f>IFERROR(__xludf.DUMMYFUNCTION("if(REGEXMATCH(join("", "",$G46:$H46),I$1)=TRUE,""✓"",""✗"")"),"✓")</f>
        <v>✓</v>
      </c>
      <c r="J46" s="23" t="str">
        <f>IFERROR(__xludf.DUMMYFUNCTION("if(REGEXMATCH(join("", "",$G46:$H46),J$1)=TRUE,""✓"",""✗"")"),"✓")</f>
        <v>✓</v>
      </c>
      <c r="K46" s="23" t="str">
        <f>IFERROR(__xludf.DUMMYFUNCTION("if(REGEXMATCH(join("", "",$G46:$H46),K$1)=TRUE,""✓"",""✗"")"),"✗")</f>
        <v>✗</v>
      </c>
      <c r="L46" s="23" t="str">
        <f>IFERROR(__xludf.DUMMYFUNCTION("if(REGEXMATCH(join("", "",$G46:$H46),L$1)=TRUE,""✓"",""✗"")"),"✗")</f>
        <v>✗</v>
      </c>
      <c r="M46" s="23" t="str">
        <f>IFERROR(__xludf.DUMMYFUNCTION("if(REGEXMATCH(join("", "",$G46:$H46),M$1)=TRUE,""✓"",""✗"")"),"✗")</f>
        <v>✗</v>
      </c>
      <c r="N46" s="23" t="str">
        <f>IFERROR(__xludf.DUMMYFUNCTION("if(REGEXMATCH(join("", "",$G46:$H46),N$1)=TRUE,""✓"",""✗"")"),"✗")</f>
        <v>✗</v>
      </c>
      <c r="O46" s="23" t="str">
        <f>IFERROR(__xludf.DUMMYFUNCTION("if(REGEXMATCH(join("", "",$G46:$H46),O$1)=TRUE,""✓"",""✗"")"),"✓")</f>
        <v>✓</v>
      </c>
      <c r="P46" s="23" t="str">
        <f>IFERROR(__xludf.DUMMYFUNCTION("if(REGEXMATCH(join("", "",$G46:$H46),P$1)=TRUE,""✓"",""✗"")"),"✓")</f>
        <v>✓</v>
      </c>
      <c r="Q46" s="23" t="str">
        <f>IFERROR(__xludf.DUMMYFUNCTION("if(REGEXMATCH(join("", "",$G46:$H46),Q$1)=TRUE,""✓"",""✗"")"),"✓")</f>
        <v>✓</v>
      </c>
      <c r="R46" s="23" t="str">
        <f>IFERROR(__xludf.DUMMYFUNCTION("if(REGEXMATCH(join("", "",$G46:$H46),R$1)=TRUE,""✓"",""✗"")"),"✓")</f>
        <v>✓</v>
      </c>
      <c r="S46" s="23" t="str">
        <f>IFERROR(__xludf.DUMMYFUNCTION("if(REGEXMATCH(join("", "",$G46:$H46),S$1)=TRUE,""✓"",""✗"")"),"✓")</f>
        <v>✓</v>
      </c>
      <c r="T46" s="23" t="str">
        <f>IFERROR(__xludf.DUMMYFUNCTION("if(REGEXMATCH(join("", "",$G46:$H46),T$1)=TRUE,""✓"",""✗"")"),"✓")</f>
        <v>✓</v>
      </c>
      <c r="U46" s="23" t="str">
        <f>IFERROR(__xludf.DUMMYFUNCTION("if(REGEXMATCH(join("", "",$G46:$H46),U$1)=TRUE,""✓"",""✗"")"),"✗")</f>
        <v>✗</v>
      </c>
    </row>
    <row r="47">
      <c r="A47" s="8">
        <v>46.0</v>
      </c>
      <c r="B47" s="8" t="s">
        <v>124</v>
      </c>
      <c r="C47" s="16" t="str">
        <f t="shared" si="1"/>
        <v>Laoruengthana et al., 2009</v>
      </c>
      <c r="D47" s="30" t="s">
        <v>346</v>
      </c>
      <c r="E47" s="15" t="str">
        <f t="shared" si="2"/>
        <v>https://raw.githubusercontent.com/d-wkim/phd/refs/heads/main/data/pdf/laoruengthana_2009 .pdf</v>
      </c>
      <c r="F47" s="8" t="s">
        <v>32</v>
      </c>
      <c r="G47" s="8" t="s">
        <v>33</v>
      </c>
      <c r="H47" s="32" t="s">
        <v>125</v>
      </c>
      <c r="I47" s="23" t="str">
        <f>IFERROR(__xludf.DUMMYFUNCTION("if(REGEXMATCH(join("", "",$G47:$H47),I$1)=TRUE,""✓"",""✗"")"),"✓")</f>
        <v>✓</v>
      </c>
      <c r="J47" s="23" t="str">
        <f>IFERROR(__xludf.DUMMYFUNCTION("if(REGEXMATCH(join("", "",$G47:$H47),J$1)=TRUE,""✓"",""✗"")"),"✓")</f>
        <v>✓</v>
      </c>
      <c r="K47" s="23" t="str">
        <f>IFERROR(__xludf.DUMMYFUNCTION("if(REGEXMATCH(join("", "",$G47:$H47),K$1)=TRUE,""✓"",""✗"")"),"✗")</f>
        <v>✗</v>
      </c>
      <c r="L47" s="23" t="str">
        <f>IFERROR(__xludf.DUMMYFUNCTION("if(REGEXMATCH(join("", "",$G47:$H47),L$1)=TRUE,""✓"",""✗"")"),"✗")</f>
        <v>✗</v>
      </c>
      <c r="M47" s="23" t="str">
        <f>IFERROR(__xludf.DUMMYFUNCTION("if(REGEXMATCH(join("", "",$G47:$H47),M$1)=TRUE,""✓"",""✗"")"),"✗")</f>
        <v>✗</v>
      </c>
      <c r="N47" s="23" t="str">
        <f>IFERROR(__xludf.DUMMYFUNCTION("if(REGEXMATCH(join("", "",$G47:$H47),N$1)=TRUE,""✓"",""✗"")"),"✗")</f>
        <v>✗</v>
      </c>
      <c r="O47" s="23" t="str">
        <f>IFERROR(__xludf.DUMMYFUNCTION("if(REGEXMATCH(join("", "",$G47:$H47),O$1)=TRUE,""✓"",""✗"")"),"✓")</f>
        <v>✓</v>
      </c>
      <c r="P47" s="23" t="str">
        <f>IFERROR(__xludf.DUMMYFUNCTION("if(REGEXMATCH(join("", "",$G47:$H47),P$1)=TRUE,""✓"",""✗"")"),"✓")</f>
        <v>✓</v>
      </c>
      <c r="Q47" s="23" t="str">
        <f>IFERROR(__xludf.DUMMYFUNCTION("if(REGEXMATCH(join("", "",$G47:$H47),Q$1)=TRUE,""✓"",""✗"")"),"✗")</f>
        <v>✗</v>
      </c>
      <c r="R47" s="23" t="str">
        <f>IFERROR(__xludf.DUMMYFUNCTION("if(REGEXMATCH(join("", "",$G47:$H47),R$1)=TRUE,""✓"",""✗"")"),"✓")</f>
        <v>✓</v>
      </c>
      <c r="S47" s="23" t="str">
        <f>IFERROR(__xludf.DUMMYFUNCTION("if(REGEXMATCH(join("", "",$G47:$H47),S$1)=TRUE,""✓"",""✗"")"),"✓")</f>
        <v>✓</v>
      </c>
      <c r="T47" s="23" t="str">
        <f>IFERROR(__xludf.DUMMYFUNCTION("if(REGEXMATCH(join("", "",$G47:$H47),T$1)=TRUE,""✓"",""✗"")"),"✗")</f>
        <v>✗</v>
      </c>
      <c r="U47" s="23" t="str">
        <f>IFERROR(__xludf.DUMMYFUNCTION("if(REGEXMATCH(join("", "",$G47:$H47),U$1)=TRUE,""✓"",""✗"")"),"✗")</f>
        <v>✗</v>
      </c>
    </row>
    <row r="48">
      <c r="A48" s="8">
        <v>47.0</v>
      </c>
      <c r="B48" s="8" t="s">
        <v>127</v>
      </c>
      <c r="C48" s="16" t="str">
        <f t="shared" si="1"/>
        <v>Lawhorn et al., 2012</v>
      </c>
      <c r="D48" s="30" t="s">
        <v>347</v>
      </c>
      <c r="E48" s="15" t="str">
        <f t="shared" si="2"/>
        <v>https://raw.githubusercontent.com/d-wkim/phd/refs/heads/main/data/pdf/lawhorn_2012 .pdf</v>
      </c>
      <c r="F48" s="8" t="s">
        <v>32</v>
      </c>
      <c r="G48" s="32" t="s">
        <v>223</v>
      </c>
      <c r="H48" s="32" t="s">
        <v>35</v>
      </c>
      <c r="I48" s="23" t="str">
        <f>IFERROR(__xludf.DUMMYFUNCTION("if(REGEXMATCH(join("", "",$G48:$H48),I$1)=TRUE,""✓"",""✗"")"),"✗")</f>
        <v>✗</v>
      </c>
      <c r="J48" s="23" t="str">
        <f>IFERROR(__xludf.DUMMYFUNCTION("if(REGEXMATCH(join("", "",$G48:$H48),J$1)=TRUE,""✓"",""✗"")"),"✓")</f>
        <v>✓</v>
      </c>
      <c r="K48" s="23" t="str">
        <f>IFERROR(__xludf.DUMMYFUNCTION("if(REGEXMATCH(join("", "",$G48:$H48),K$1)=TRUE,""✓"",""✗"")"),"✗")</f>
        <v>✗</v>
      </c>
      <c r="L48" s="23" t="str">
        <f>IFERROR(__xludf.DUMMYFUNCTION("if(REGEXMATCH(join("", "",$G48:$H48),L$1)=TRUE,""✓"",""✗"")"),"✗")</f>
        <v>✗</v>
      </c>
      <c r="M48" s="23" t="str">
        <f>IFERROR(__xludf.DUMMYFUNCTION("if(REGEXMATCH(join("", "",$G48:$H48),M$1)=TRUE,""✓"",""✗"")"),"✗")</f>
        <v>✗</v>
      </c>
      <c r="N48" s="23" t="str">
        <f>IFERROR(__xludf.DUMMYFUNCTION("if(REGEXMATCH(join("", "",$G48:$H48),N$1)=TRUE,""✓"",""✗"")"),"✓")</f>
        <v>✓</v>
      </c>
      <c r="O48" s="23" t="str">
        <f>IFERROR(__xludf.DUMMYFUNCTION("if(REGEXMATCH(join("", "",$G48:$H48),O$1)=TRUE,""✓"",""✗"")"),"✓")</f>
        <v>✓</v>
      </c>
      <c r="P48" s="23" t="str">
        <f>IFERROR(__xludf.DUMMYFUNCTION("if(REGEXMATCH(join("", "",$G48:$H48),P$1)=TRUE,""✓"",""✗"")"),"✗")</f>
        <v>✗</v>
      </c>
      <c r="Q48" s="23" t="str">
        <f>IFERROR(__xludf.DUMMYFUNCTION("if(REGEXMATCH(join("", "",$G48:$H48),Q$1)=TRUE,""✓"",""✗"")"),"✗")</f>
        <v>✗</v>
      </c>
      <c r="R48" s="23" t="str">
        <f>IFERROR(__xludf.DUMMYFUNCTION("if(REGEXMATCH(join("", "",$G48:$H48),R$1)=TRUE,""✓"",""✗"")"),"✓")</f>
        <v>✓</v>
      </c>
      <c r="S48" s="23" t="str">
        <f>IFERROR(__xludf.DUMMYFUNCTION("if(REGEXMATCH(join("", "",$G48:$H48),S$1)=TRUE,""✓"",""✗"")"),"✓")</f>
        <v>✓</v>
      </c>
      <c r="T48" s="23" t="str">
        <f>IFERROR(__xludf.DUMMYFUNCTION("if(REGEXMATCH(join("", "",$G48:$H48),T$1)=TRUE,""✓"",""✗"")"),"✗")</f>
        <v>✗</v>
      </c>
      <c r="U48" s="23" t="str">
        <f>IFERROR(__xludf.DUMMYFUNCTION("if(REGEXMATCH(join("", "",$G48:$H48),U$1)=TRUE,""✓"",""✗"")"),"✗")</f>
        <v>✗</v>
      </c>
    </row>
    <row r="49" hidden="1">
      <c r="A49" s="8">
        <v>48.0</v>
      </c>
      <c r="B49" s="8" t="s">
        <v>349</v>
      </c>
      <c r="C49" s="42" t="str">
        <f t="shared" si="1"/>
        <v>Laxdal et al., 2004</v>
      </c>
      <c r="D49" s="8" t="s">
        <v>350</v>
      </c>
      <c r="E49" s="15" t="str">
        <f t="shared" si="2"/>
        <v>https://raw.githubusercontent.com/d-wkim/phd/refs/heads/main/data/pdf/laxdal_2004 .pdf</v>
      </c>
      <c r="F49" s="8" t="s">
        <v>102</v>
      </c>
      <c r="G49" s="8"/>
      <c r="H49" s="8" t="s">
        <v>228</v>
      </c>
      <c r="I49" s="23" t="str">
        <f>IFERROR(__xludf.DUMMYFUNCTION("if(REGEXMATCH(join("", "",$G49:$H49),I$1)=TRUE,""✓"",""✗"")"),"✗")</f>
        <v>✗</v>
      </c>
      <c r="J49" s="23" t="str">
        <f>IFERROR(__xludf.DUMMYFUNCTION("if(REGEXMATCH(join("", "",$G49:$H49),J$1)=TRUE,""✓"",""✗"")"),"✗")</f>
        <v>✗</v>
      </c>
      <c r="K49" s="23" t="str">
        <f>IFERROR(__xludf.DUMMYFUNCTION("if(REGEXMATCH(join("", "",$G49:$H49),K$1)=TRUE,""✓"",""✗"")"),"✗")</f>
        <v>✗</v>
      </c>
      <c r="L49" s="23" t="str">
        <f>IFERROR(__xludf.DUMMYFUNCTION("if(REGEXMATCH(join("", "",$G49:$H49),L$1)=TRUE,""✓"",""✗"")"),"✗")</f>
        <v>✗</v>
      </c>
      <c r="M49" s="23" t="str">
        <f>IFERROR(__xludf.DUMMYFUNCTION("if(REGEXMATCH(join("", "",$G49:$H49),M$1)=TRUE,""✓"",""✗"")"),"✗")</f>
        <v>✗</v>
      </c>
      <c r="N49" s="23" t="str">
        <f>IFERROR(__xludf.DUMMYFUNCTION("if(REGEXMATCH(join("", "",$G49:$H49),N$1)=TRUE,""✓"",""✗"")"),"✗")</f>
        <v>✗</v>
      </c>
      <c r="O49" s="23" t="str">
        <f>IFERROR(__xludf.DUMMYFUNCTION("if(REGEXMATCH(join("", "",$G49:$H49),O$1)=TRUE,""✓"",""✗"")"),"✗")</f>
        <v>✗</v>
      </c>
      <c r="P49" s="23" t="str">
        <f>IFERROR(__xludf.DUMMYFUNCTION("if(REGEXMATCH(join("", "",$G49:$H49),P$1)=TRUE,""✓"",""✗"")"),"✗")</f>
        <v>✗</v>
      </c>
      <c r="Q49" s="23" t="str">
        <f>IFERROR(__xludf.DUMMYFUNCTION("if(REGEXMATCH(join("", "",$G49:$H49),Q$1)=TRUE,""✓"",""✗"")"),"✗")</f>
        <v>✗</v>
      </c>
      <c r="R49" s="23" t="str">
        <f>IFERROR(__xludf.DUMMYFUNCTION("if(REGEXMATCH(join("", "",$G49:$H49),R$1)=TRUE,""✓"",""✗"")"),"✗")</f>
        <v>✗</v>
      </c>
      <c r="S49" s="23" t="str">
        <f>IFERROR(__xludf.DUMMYFUNCTION("if(REGEXMATCH(join("", "",$G49:$H49),S$1)=TRUE,""✓"",""✗"")"),"✗")</f>
        <v>✗</v>
      </c>
      <c r="T49" s="23" t="str">
        <f>IFERROR(__xludf.DUMMYFUNCTION("if(REGEXMATCH(join("", "",$G49:$H49),T$1)=TRUE,""✓"",""✗"")"),"✗")</f>
        <v>✗</v>
      </c>
      <c r="U49" s="23" t="str">
        <f>IFERROR(__xludf.DUMMYFUNCTION("if(REGEXMATCH(join("", "",$G49:$H49),U$1)=TRUE,""✓"",""✗"")"),"✗")</f>
        <v>✗</v>
      </c>
    </row>
    <row r="50">
      <c r="A50" s="8">
        <v>49.0</v>
      </c>
      <c r="B50" s="8" t="s">
        <v>128</v>
      </c>
      <c r="C50" s="16" t="str">
        <f t="shared" si="1"/>
        <v>Laxdal et al., 2005</v>
      </c>
      <c r="D50" s="30" t="s">
        <v>351</v>
      </c>
      <c r="E50" s="15" t="str">
        <f t="shared" si="2"/>
        <v>https://raw.githubusercontent.com/d-wkim/phd/refs/heads/main/data/pdf/laxdal_2005 .pdf</v>
      </c>
      <c r="F50" s="8" t="s">
        <v>32</v>
      </c>
      <c r="G50" s="8" t="s">
        <v>33</v>
      </c>
      <c r="H50" s="32" t="s">
        <v>94</v>
      </c>
      <c r="I50" s="23" t="str">
        <f>IFERROR(__xludf.DUMMYFUNCTION("if(REGEXMATCH(join("", "",$G50:$H50),I$1)=TRUE,""✓"",""✗"")"),"✓")</f>
        <v>✓</v>
      </c>
      <c r="J50" s="23" t="str">
        <f>IFERROR(__xludf.DUMMYFUNCTION("if(REGEXMATCH(join("", "",$G50:$H50),J$1)=TRUE,""✓"",""✗"")"),"✓")</f>
        <v>✓</v>
      </c>
      <c r="K50" s="23" t="str">
        <f>IFERROR(__xludf.DUMMYFUNCTION("if(REGEXMATCH(join("", "",$G50:$H50),K$1)=TRUE,""✓"",""✗"")"),"✗")</f>
        <v>✗</v>
      </c>
      <c r="L50" s="23" t="str">
        <f>IFERROR(__xludf.DUMMYFUNCTION("if(REGEXMATCH(join("", "",$G50:$H50),L$1)=TRUE,""✓"",""✗"")"),"✗")</f>
        <v>✗</v>
      </c>
      <c r="M50" s="23" t="str">
        <f>IFERROR(__xludf.DUMMYFUNCTION("if(REGEXMATCH(join("", "",$G50:$H50),M$1)=TRUE,""✓"",""✗"")"),"✗")</f>
        <v>✗</v>
      </c>
      <c r="N50" s="23" t="str">
        <f>IFERROR(__xludf.DUMMYFUNCTION("if(REGEXMATCH(join("", "",$G50:$H50),N$1)=TRUE,""✓"",""✗"")"),"✗")</f>
        <v>✗</v>
      </c>
      <c r="O50" s="23" t="str">
        <f>IFERROR(__xludf.DUMMYFUNCTION("if(REGEXMATCH(join("", "",$G50:$H50),O$1)=TRUE,""✓"",""✗"")"),"✓")</f>
        <v>✓</v>
      </c>
      <c r="P50" s="23" t="str">
        <f>IFERROR(__xludf.DUMMYFUNCTION("if(REGEXMATCH(join("", "",$G50:$H50),P$1)=TRUE,""✓"",""✗"")"),"✓")</f>
        <v>✓</v>
      </c>
      <c r="Q50" s="23" t="str">
        <f>IFERROR(__xludf.DUMMYFUNCTION("if(REGEXMATCH(join("", "",$G50:$H50),Q$1)=TRUE,""✓"",""✗"")"),"✓")</f>
        <v>✓</v>
      </c>
      <c r="R50" s="23" t="str">
        <f>IFERROR(__xludf.DUMMYFUNCTION("if(REGEXMATCH(join("", "",$G50:$H50),R$1)=TRUE,""✓"",""✗"")"),"✓")</f>
        <v>✓</v>
      </c>
      <c r="S50" s="23" t="str">
        <f>IFERROR(__xludf.DUMMYFUNCTION("if(REGEXMATCH(join("", "",$G50:$H50),S$1)=TRUE,""✓"",""✗"")"),"✗")</f>
        <v>✗</v>
      </c>
      <c r="T50" s="23" t="str">
        <f>IFERROR(__xludf.DUMMYFUNCTION("if(REGEXMATCH(join("", "",$G50:$H50),T$1)=TRUE,""✓"",""✗"")"),"✗")</f>
        <v>✗</v>
      </c>
      <c r="U50" s="23" t="str">
        <f>IFERROR(__xludf.DUMMYFUNCTION("if(REGEXMATCH(join("", "",$G50:$H50),U$1)=TRUE,""✓"",""✗"")"),"✗")</f>
        <v>✗</v>
      </c>
    </row>
    <row r="51">
      <c r="A51" s="8">
        <v>50.0</v>
      </c>
      <c r="B51" s="8" t="s">
        <v>129</v>
      </c>
      <c r="C51" s="16" t="str">
        <f t="shared" si="1"/>
        <v>Leitgeb et al., 2014</v>
      </c>
      <c r="D51" s="30" t="s">
        <v>353</v>
      </c>
      <c r="E51" s="15" t="str">
        <f t="shared" si="2"/>
        <v>https://raw.githubusercontent.com/d-wkim/phd/refs/heads/main/data/pdf/leitgeb_2014 .pdf</v>
      </c>
      <c r="F51" s="8" t="s">
        <v>32</v>
      </c>
      <c r="G51" s="8" t="s">
        <v>33</v>
      </c>
      <c r="H51" s="32" t="s">
        <v>130</v>
      </c>
      <c r="I51" s="23" t="str">
        <f>IFERROR(__xludf.DUMMYFUNCTION("if(REGEXMATCH(join("", "",$G51:$H51),I$1)=TRUE,""✓"",""✗"")"),"✓")</f>
        <v>✓</v>
      </c>
      <c r="J51" s="23" t="str">
        <f>IFERROR(__xludf.DUMMYFUNCTION("if(REGEXMATCH(join("", "",$G51:$H51),J$1)=TRUE,""✓"",""✗"")"),"✓")</f>
        <v>✓</v>
      </c>
      <c r="K51" s="23" t="str">
        <f>IFERROR(__xludf.DUMMYFUNCTION("if(REGEXMATCH(join("", "",$G51:$H51),K$1)=TRUE,""✓"",""✗"")"),"✗")</f>
        <v>✗</v>
      </c>
      <c r="L51" s="23" t="str">
        <f>IFERROR(__xludf.DUMMYFUNCTION("if(REGEXMATCH(join("", "",$G51:$H51),L$1)=TRUE,""✓"",""✗"")"),"✗")</f>
        <v>✗</v>
      </c>
      <c r="M51" s="23" t="str">
        <f>IFERROR(__xludf.DUMMYFUNCTION("if(REGEXMATCH(join("", "",$G51:$H51),M$1)=TRUE,""✓"",""✗"")"),"✗")</f>
        <v>✗</v>
      </c>
      <c r="N51" s="23" t="str">
        <f>IFERROR(__xludf.DUMMYFUNCTION("if(REGEXMATCH(join("", "",$G51:$H51),N$1)=TRUE,""✓"",""✗"")"),"✗")</f>
        <v>✗</v>
      </c>
      <c r="O51" s="23" t="str">
        <f>IFERROR(__xludf.DUMMYFUNCTION("if(REGEXMATCH(join("", "",$G51:$H51),O$1)=TRUE,""✓"",""✗"")"),"✗")</f>
        <v>✗</v>
      </c>
      <c r="P51" s="23" t="str">
        <f>IFERROR(__xludf.DUMMYFUNCTION("if(REGEXMATCH(join("", "",$G51:$H51),P$1)=TRUE,""✓"",""✗"")"),"✗")</f>
        <v>✗</v>
      </c>
      <c r="Q51" s="23" t="str">
        <f>IFERROR(__xludf.DUMMYFUNCTION("if(REGEXMATCH(join("", "",$G51:$H51),Q$1)=TRUE,""✓"",""✗"")"),"✗")</f>
        <v>✗</v>
      </c>
      <c r="R51" s="23" t="str">
        <f>IFERROR(__xludf.DUMMYFUNCTION("if(REGEXMATCH(join("", "",$G51:$H51),R$1)=TRUE,""✓"",""✗"")"),"✓")</f>
        <v>✓</v>
      </c>
      <c r="S51" s="23" t="str">
        <f>IFERROR(__xludf.DUMMYFUNCTION("if(REGEXMATCH(join("", "",$G51:$H51),S$1)=TRUE,""✓"",""✗"")"),"✗")</f>
        <v>✗</v>
      </c>
      <c r="T51" s="23" t="str">
        <f>IFERROR(__xludf.DUMMYFUNCTION("if(REGEXMATCH(join("", "",$G51:$H51),T$1)=TRUE,""✓"",""✗"")"),"✓")</f>
        <v>✓</v>
      </c>
      <c r="U51" s="23" t="str">
        <f>IFERROR(__xludf.DUMMYFUNCTION("if(REGEXMATCH(join("", "",$G51:$H51),U$1)=TRUE,""✓"",""✗"")"),"✗")</f>
        <v>✗</v>
      </c>
    </row>
    <row r="52">
      <c r="A52" s="8">
        <v>51.0</v>
      </c>
      <c r="B52" s="8" t="s">
        <v>132</v>
      </c>
      <c r="C52" s="16" t="str">
        <f t="shared" si="1"/>
        <v>Li et al., 2015</v>
      </c>
      <c r="D52" s="30" t="s">
        <v>356</v>
      </c>
      <c r="E52" s="15" t="str">
        <f t="shared" si="2"/>
        <v>https://raw.githubusercontent.com/d-wkim/phd/refs/heads/main/data/pdf/li_2015 .pdf</v>
      </c>
      <c r="F52" s="8" t="s">
        <v>32</v>
      </c>
      <c r="G52" s="32" t="s">
        <v>223</v>
      </c>
      <c r="H52" s="32" t="s">
        <v>122</v>
      </c>
      <c r="I52" s="23" t="str">
        <f>IFERROR(__xludf.DUMMYFUNCTION("if(REGEXMATCH(join("", "",$G52:$H52),I$1)=TRUE,""✓"",""✗"")"),"✗")</f>
        <v>✗</v>
      </c>
      <c r="J52" s="23" t="str">
        <f>IFERROR(__xludf.DUMMYFUNCTION("if(REGEXMATCH(join("", "",$G52:$H52),J$1)=TRUE,""✓"",""✗"")"),"✓")</f>
        <v>✓</v>
      </c>
      <c r="K52" s="23" t="str">
        <f>IFERROR(__xludf.DUMMYFUNCTION("if(REGEXMATCH(join("", "",$G52:$H52),K$1)=TRUE,""✓"",""✗"")"),"✗")</f>
        <v>✗</v>
      </c>
      <c r="L52" s="23" t="str">
        <f>IFERROR(__xludf.DUMMYFUNCTION("if(REGEXMATCH(join("", "",$G52:$H52),L$1)=TRUE,""✓"",""✗"")"),"✗")</f>
        <v>✗</v>
      </c>
      <c r="M52" s="23" t="str">
        <f>IFERROR(__xludf.DUMMYFUNCTION("if(REGEXMATCH(join("", "",$G52:$H52),M$1)=TRUE,""✓"",""✗"")"),"✗")</f>
        <v>✗</v>
      </c>
      <c r="N52" s="23" t="str">
        <f>IFERROR(__xludf.DUMMYFUNCTION("if(REGEXMATCH(join("", "",$G52:$H52),N$1)=TRUE,""✓"",""✗"")"),"✓")</f>
        <v>✓</v>
      </c>
      <c r="O52" s="23" t="str">
        <f>IFERROR(__xludf.DUMMYFUNCTION("if(REGEXMATCH(join("", "",$G52:$H52),O$1)=TRUE,""✓"",""✗"")"),"✓")</f>
        <v>✓</v>
      </c>
      <c r="P52" s="23" t="str">
        <f>IFERROR(__xludf.DUMMYFUNCTION("if(REGEXMATCH(join("", "",$G52:$H52),P$1)=TRUE,""✓"",""✗"")"),"✓")</f>
        <v>✓</v>
      </c>
      <c r="Q52" s="23" t="str">
        <f>IFERROR(__xludf.DUMMYFUNCTION("if(REGEXMATCH(join("", "",$G52:$H52),Q$1)=TRUE,""✓"",""✗"")"),"✓")</f>
        <v>✓</v>
      </c>
      <c r="R52" s="23" t="str">
        <f>IFERROR(__xludf.DUMMYFUNCTION("if(REGEXMATCH(join("", "",$G52:$H52),R$1)=TRUE,""✓"",""✗"")"),"✓")</f>
        <v>✓</v>
      </c>
      <c r="S52" s="23" t="str">
        <f>IFERROR(__xludf.DUMMYFUNCTION("if(REGEXMATCH(join("", "",$G52:$H52),S$1)=TRUE,""✓"",""✗"")"),"✓")</f>
        <v>✓</v>
      </c>
      <c r="T52" s="23" t="str">
        <f>IFERROR(__xludf.DUMMYFUNCTION("if(REGEXMATCH(join("", "",$G52:$H52),T$1)=TRUE,""✓"",""✗"")"),"✓")</f>
        <v>✓</v>
      </c>
      <c r="U52" s="23" t="str">
        <f>IFERROR(__xludf.DUMMYFUNCTION("if(REGEXMATCH(join("", "",$G52:$H52),U$1)=TRUE,""✓"",""✗"")"),"✗")</f>
        <v>✗</v>
      </c>
    </row>
    <row r="53">
      <c r="A53" s="8">
        <v>52.0</v>
      </c>
      <c r="B53" s="8" t="s">
        <v>133</v>
      </c>
      <c r="C53" s="16" t="str">
        <f t="shared" si="1"/>
        <v>Lidén et al., 2007</v>
      </c>
      <c r="D53" s="30" t="s">
        <v>358</v>
      </c>
      <c r="E53" s="15" t="str">
        <f t="shared" si="2"/>
        <v>https://raw.githubusercontent.com/d-wkim/phd/refs/heads/main/data/pdf/lidén_2007 .pdf</v>
      </c>
      <c r="F53" s="8" t="s">
        <v>32</v>
      </c>
      <c r="G53" s="8" t="s">
        <v>33</v>
      </c>
      <c r="H53" s="32" t="s">
        <v>134</v>
      </c>
      <c r="I53" s="23" t="str">
        <f>IFERROR(__xludf.DUMMYFUNCTION("if(REGEXMATCH(join("", "",$G53:$H53),I$1)=TRUE,""✓"",""✗"")"),"✓")</f>
        <v>✓</v>
      </c>
      <c r="J53" s="23" t="str">
        <f>IFERROR(__xludf.DUMMYFUNCTION("if(REGEXMATCH(join("", "",$G53:$H53),J$1)=TRUE,""✓"",""✗"")"),"✓")</f>
        <v>✓</v>
      </c>
      <c r="K53" s="23" t="str">
        <f>IFERROR(__xludf.DUMMYFUNCTION("if(REGEXMATCH(join("", "",$G53:$H53),K$1)=TRUE,""✓"",""✗"")"),"✗")</f>
        <v>✗</v>
      </c>
      <c r="L53" s="23" t="str">
        <f>IFERROR(__xludf.DUMMYFUNCTION("if(REGEXMATCH(join("", "",$G53:$H53),L$1)=TRUE,""✓"",""✗"")"),"✗")</f>
        <v>✗</v>
      </c>
      <c r="M53" s="23" t="str">
        <f>IFERROR(__xludf.DUMMYFUNCTION("if(REGEXMATCH(join("", "",$G53:$H53),M$1)=TRUE,""✓"",""✗"")"),"✗")</f>
        <v>✗</v>
      </c>
      <c r="N53" s="23" t="str">
        <f>IFERROR(__xludf.DUMMYFUNCTION("if(REGEXMATCH(join("", "",$G53:$H53),N$1)=TRUE,""✓"",""✗"")"),"✗")</f>
        <v>✗</v>
      </c>
      <c r="O53" s="23" t="str">
        <f>IFERROR(__xludf.DUMMYFUNCTION("if(REGEXMATCH(join("", "",$G53:$H53),O$1)=TRUE,""✓"",""✗"")"),"✓")</f>
        <v>✓</v>
      </c>
      <c r="P53" s="23" t="str">
        <f>IFERROR(__xludf.DUMMYFUNCTION("if(REGEXMATCH(join("", "",$G53:$H53),P$1)=TRUE,""✓"",""✗"")"),"✓")</f>
        <v>✓</v>
      </c>
      <c r="Q53" s="23" t="str">
        <f>IFERROR(__xludf.DUMMYFUNCTION("if(REGEXMATCH(join("", "",$G53:$H53),Q$1)=TRUE,""✓"",""✗"")"),"✓")</f>
        <v>✓</v>
      </c>
      <c r="R53" s="23" t="str">
        <f>IFERROR(__xludf.DUMMYFUNCTION("if(REGEXMATCH(join("", "",$G53:$H53),R$1)=TRUE,""✓"",""✗"")"),"✓")</f>
        <v>✓</v>
      </c>
      <c r="S53" s="23" t="str">
        <f>IFERROR(__xludf.DUMMYFUNCTION("if(REGEXMATCH(join("", "",$G53:$H53),S$1)=TRUE,""✓"",""✗"")"),"✗")</f>
        <v>✗</v>
      </c>
      <c r="T53" s="23" t="str">
        <f>IFERROR(__xludf.DUMMYFUNCTION("if(REGEXMATCH(join("", "",$G53:$H53),T$1)=TRUE,""✓"",""✗"")"),"✓")</f>
        <v>✓</v>
      </c>
      <c r="U53" s="23" t="str">
        <f>IFERROR(__xludf.DUMMYFUNCTION("if(REGEXMATCH(join("", "",$G53:$H53),U$1)=TRUE,""✓"",""✗"")"),"✗")</f>
        <v>✗</v>
      </c>
    </row>
    <row r="54">
      <c r="A54" s="8">
        <v>53.0</v>
      </c>
      <c r="B54" s="8" t="s">
        <v>138</v>
      </c>
      <c r="C54" s="16" t="str">
        <f t="shared" si="1"/>
        <v>Lind et al., 2020</v>
      </c>
      <c r="D54" s="30" t="s">
        <v>359</v>
      </c>
      <c r="E54" s="15" t="str">
        <f t="shared" si="2"/>
        <v>https://raw.githubusercontent.com/d-wkim/phd/refs/heads/main/data/pdf/lind_2020 .pdf</v>
      </c>
      <c r="F54" s="8" t="s">
        <v>32</v>
      </c>
      <c r="G54" s="32" t="s">
        <v>245</v>
      </c>
      <c r="H54" s="32" t="s">
        <v>139</v>
      </c>
      <c r="I54" s="23" t="str">
        <f>IFERROR(__xludf.DUMMYFUNCTION("if(REGEXMATCH(join("", "",$G54:$H54),I$1)=TRUE,""✓"",""✗"")"),"✗")</f>
        <v>✗</v>
      </c>
      <c r="J54" s="23" t="str">
        <f>IFERROR(__xludf.DUMMYFUNCTION("if(REGEXMATCH(join("", "",$G54:$H54),J$1)=TRUE,""✓"",""✗"")"),"✓")</f>
        <v>✓</v>
      </c>
      <c r="K54" s="23" t="str">
        <f>IFERROR(__xludf.DUMMYFUNCTION("if(REGEXMATCH(join("", "",$G54:$H54),K$1)=TRUE,""✓"",""✗"")"),"✓")</f>
        <v>✓</v>
      </c>
      <c r="L54" s="23" t="str">
        <f>IFERROR(__xludf.DUMMYFUNCTION("if(REGEXMATCH(join("", "",$G54:$H54),L$1)=TRUE,""✓"",""✗"")"),"✗")</f>
        <v>✗</v>
      </c>
      <c r="M54" s="23" t="str">
        <f>IFERROR(__xludf.DUMMYFUNCTION("if(REGEXMATCH(join("", "",$G54:$H54),M$1)=TRUE,""✓"",""✗"")"),"✗")</f>
        <v>✗</v>
      </c>
      <c r="N54" s="23" t="str">
        <f>IFERROR(__xludf.DUMMYFUNCTION("if(REGEXMATCH(join("", "",$G54:$H54),N$1)=TRUE,""✓"",""✗"")"),"✗")</f>
        <v>✗</v>
      </c>
      <c r="O54" s="23" t="str">
        <f>IFERROR(__xludf.DUMMYFUNCTION("if(REGEXMATCH(join("", "",$G54:$H54),O$1)=TRUE,""✓"",""✗"")"),"✓")</f>
        <v>✓</v>
      </c>
      <c r="P54" s="23" t="str">
        <f>IFERROR(__xludf.DUMMYFUNCTION("if(REGEXMATCH(join("", "",$G54:$H54),P$1)=TRUE,""✓"",""✗"")"),"✗")</f>
        <v>✗</v>
      </c>
      <c r="Q54" s="23" t="str">
        <f>IFERROR(__xludf.DUMMYFUNCTION("if(REGEXMATCH(join("", "",$G54:$H54),Q$1)=TRUE,""✓"",""✗"")"),"✓")</f>
        <v>✓</v>
      </c>
      <c r="R54" s="23" t="str">
        <f>IFERROR(__xludf.DUMMYFUNCTION("if(REGEXMATCH(join("", "",$G54:$H54),R$1)=TRUE,""✓"",""✗"")"),"✓")</f>
        <v>✓</v>
      </c>
      <c r="S54" s="23" t="str">
        <f>IFERROR(__xludf.DUMMYFUNCTION("if(REGEXMATCH(join("", "",$G54:$H54),S$1)=TRUE,""✓"",""✗"")"),"✓")</f>
        <v>✓</v>
      </c>
      <c r="T54" s="23" t="str">
        <f>IFERROR(__xludf.DUMMYFUNCTION("if(REGEXMATCH(join("", "",$G54:$H54),T$1)=TRUE,""✓"",""✗"")"),"✗")</f>
        <v>✗</v>
      </c>
      <c r="U54" s="23" t="str">
        <f>IFERROR(__xludf.DUMMYFUNCTION("if(REGEXMATCH(join("", "",$G54:$H54),U$1)=TRUE,""✓"",""✗"")"),"✗")</f>
        <v>✗</v>
      </c>
    </row>
    <row r="55">
      <c r="A55" s="8">
        <v>54.0</v>
      </c>
      <c r="B55" s="8" t="s">
        <v>141</v>
      </c>
      <c r="C55" s="16" t="str">
        <f t="shared" si="1"/>
        <v>Lucidi et al., 2025</v>
      </c>
      <c r="D55" s="30" t="s">
        <v>361</v>
      </c>
      <c r="E55" s="15" t="str">
        <f t="shared" si="2"/>
        <v>https://raw.githubusercontent.com/d-wkim/phd/refs/heads/main/data/pdf/lucidi_2025 .pdf</v>
      </c>
      <c r="F55" s="8" t="s">
        <v>32</v>
      </c>
      <c r="G55" s="8" t="s">
        <v>33</v>
      </c>
      <c r="H55" s="32" t="s">
        <v>143</v>
      </c>
      <c r="I55" s="23" t="str">
        <f>IFERROR(__xludf.DUMMYFUNCTION("if(REGEXMATCH(join("", "",$G55:$H55),I$1)=TRUE,""✓"",""✗"")"),"✓")</f>
        <v>✓</v>
      </c>
      <c r="J55" s="23" t="str">
        <f>IFERROR(__xludf.DUMMYFUNCTION("if(REGEXMATCH(join("", "",$G55:$H55),J$1)=TRUE,""✓"",""✗"")"),"✓")</f>
        <v>✓</v>
      </c>
      <c r="K55" s="23" t="str">
        <f>IFERROR(__xludf.DUMMYFUNCTION("if(REGEXMATCH(join("", "",$G55:$H55),K$1)=TRUE,""✓"",""✗"")"),"✗")</f>
        <v>✗</v>
      </c>
      <c r="L55" s="23" t="str">
        <f>IFERROR(__xludf.DUMMYFUNCTION("if(REGEXMATCH(join("", "",$G55:$H55),L$1)=TRUE,""✓"",""✗"")"),"✗")</f>
        <v>✗</v>
      </c>
      <c r="M55" s="23" t="str">
        <f>IFERROR(__xludf.DUMMYFUNCTION("if(REGEXMATCH(join("", "",$G55:$H55),M$1)=TRUE,""✓"",""✗"")"),"✗")</f>
        <v>✗</v>
      </c>
      <c r="N55" s="23" t="str">
        <f>IFERROR(__xludf.DUMMYFUNCTION("if(REGEXMATCH(join("", "",$G55:$H55),N$1)=TRUE,""✓"",""✗"")"),"✗")</f>
        <v>✗</v>
      </c>
      <c r="O55" s="23" t="str">
        <f>IFERROR(__xludf.DUMMYFUNCTION("if(REGEXMATCH(join("", "",$G55:$H55),O$1)=TRUE,""✓"",""✗"")"),"✓")</f>
        <v>✓</v>
      </c>
      <c r="P55" s="23" t="str">
        <f>IFERROR(__xludf.DUMMYFUNCTION("if(REGEXMATCH(join("", "",$G55:$H55),P$1)=TRUE,""✓"",""✗"")"),"✓")</f>
        <v>✓</v>
      </c>
      <c r="Q55" s="23" t="str">
        <f>IFERROR(__xludf.DUMMYFUNCTION("if(REGEXMATCH(join("", "",$G55:$H55),Q$1)=TRUE,""✓"",""✗"")"),"✓")</f>
        <v>✓</v>
      </c>
      <c r="R55" s="23" t="str">
        <f>IFERROR(__xludf.DUMMYFUNCTION("if(REGEXMATCH(join("", "",$G55:$H55),R$1)=TRUE,""✓"",""✗"")"),"✓")</f>
        <v>✓</v>
      </c>
      <c r="S55" s="23" t="str">
        <f>IFERROR(__xludf.DUMMYFUNCTION("if(REGEXMATCH(join("", "",$G55:$H55),S$1)=TRUE,""✓"",""✗"")"),"✓")</f>
        <v>✓</v>
      </c>
      <c r="T55" s="23" t="str">
        <f>IFERROR(__xludf.DUMMYFUNCTION("if(REGEXMATCH(join("", "",$G55:$H55),T$1)=TRUE,""✓"",""✗"")"),"✗")</f>
        <v>✗</v>
      </c>
      <c r="U55" s="23" t="str">
        <f>IFERROR(__xludf.DUMMYFUNCTION("if(REGEXMATCH(join("", "",$G55:$H55),U$1)=TRUE,""✓"",""✗"")"),"✓")</f>
        <v>✓</v>
      </c>
    </row>
    <row r="56">
      <c r="A56" s="8">
        <v>55.0</v>
      </c>
      <c r="B56" s="8" t="s">
        <v>145</v>
      </c>
      <c r="C56" s="16" t="str">
        <f t="shared" si="1"/>
        <v>Lui et al., 2012</v>
      </c>
      <c r="D56" s="30" t="s">
        <v>362</v>
      </c>
      <c r="E56" s="15" t="str">
        <f t="shared" si="2"/>
        <v>https://raw.githubusercontent.com/d-wkim/phd/refs/heads/main/data/pdf/lui_2012 .pdf</v>
      </c>
      <c r="F56" s="8" t="s">
        <v>32</v>
      </c>
      <c r="G56" s="8" t="s">
        <v>33</v>
      </c>
      <c r="H56" s="32" t="s">
        <v>146</v>
      </c>
      <c r="I56" s="23" t="str">
        <f>IFERROR(__xludf.DUMMYFUNCTION("if(REGEXMATCH(join("", "",$G56:$H56),I$1)=TRUE,""✓"",""✗"")"),"✓")</f>
        <v>✓</v>
      </c>
      <c r="J56" s="23" t="str">
        <f>IFERROR(__xludf.DUMMYFUNCTION("if(REGEXMATCH(join("", "",$G56:$H56),J$1)=TRUE,""✓"",""✗"")"),"✓")</f>
        <v>✓</v>
      </c>
      <c r="K56" s="23" t="str">
        <f>IFERROR(__xludf.DUMMYFUNCTION("if(REGEXMATCH(join("", "",$G56:$H56),K$1)=TRUE,""✓"",""✗"")"),"✗")</f>
        <v>✗</v>
      </c>
      <c r="L56" s="23" t="str">
        <f>IFERROR(__xludf.DUMMYFUNCTION("if(REGEXMATCH(join("", "",$G56:$H56),L$1)=TRUE,""✓"",""✗"")"),"✗")</f>
        <v>✗</v>
      </c>
      <c r="M56" s="23" t="str">
        <f>IFERROR(__xludf.DUMMYFUNCTION("if(REGEXMATCH(join("", "",$G56:$H56),M$1)=TRUE,""✓"",""✗"")"),"✗")</f>
        <v>✗</v>
      </c>
      <c r="N56" s="23" t="str">
        <f>IFERROR(__xludf.DUMMYFUNCTION("if(REGEXMATCH(join("", "",$G56:$H56),N$1)=TRUE,""✓"",""✗"")"),"✗")</f>
        <v>✗</v>
      </c>
      <c r="O56" s="23" t="str">
        <f>IFERROR(__xludf.DUMMYFUNCTION("if(REGEXMATCH(join("", "",$G56:$H56),O$1)=TRUE,""✓"",""✗"")"),"✓")</f>
        <v>✓</v>
      </c>
      <c r="P56" s="23" t="str">
        <f>IFERROR(__xludf.DUMMYFUNCTION("if(REGEXMATCH(join("", "",$G56:$H56),P$1)=TRUE,""✓"",""✗"")"),"✓")</f>
        <v>✓</v>
      </c>
      <c r="Q56" s="23" t="str">
        <f>IFERROR(__xludf.DUMMYFUNCTION("if(REGEXMATCH(join("", "",$G56:$H56),Q$1)=TRUE,""✓"",""✗"")"),"✗")</f>
        <v>✗</v>
      </c>
      <c r="R56" s="23" t="str">
        <f>IFERROR(__xludf.DUMMYFUNCTION("if(REGEXMATCH(join("", "",$G56:$H56),R$1)=TRUE,""✓"",""✗"")"),"✓")</f>
        <v>✓</v>
      </c>
      <c r="S56" s="23" t="str">
        <f>IFERROR(__xludf.DUMMYFUNCTION("if(REGEXMATCH(join("", "",$G56:$H56),S$1)=TRUE,""✓"",""✗"")"),"✗")</f>
        <v>✗</v>
      </c>
      <c r="T56" s="23" t="str">
        <f>IFERROR(__xludf.DUMMYFUNCTION("if(REGEXMATCH(join("", "",$G56:$H56),T$1)=TRUE,""✓"",""✗"")"),"✓")</f>
        <v>✓</v>
      </c>
      <c r="U56" s="23" t="str">
        <f>IFERROR(__xludf.DUMMYFUNCTION("if(REGEXMATCH(join("", "",$G56:$H56),U$1)=TRUE,""✓"",""✗"")"),"✗")</f>
        <v>✗</v>
      </c>
    </row>
    <row r="57">
      <c r="A57" s="8">
        <v>56.0</v>
      </c>
      <c r="B57" s="8" t="s">
        <v>147</v>
      </c>
      <c r="C57" s="16" t="str">
        <f t="shared" si="1"/>
        <v>Lund et al., 2014</v>
      </c>
      <c r="D57" s="30" t="s">
        <v>364</v>
      </c>
      <c r="E57" s="15" t="str">
        <f t="shared" si="2"/>
        <v>https://raw.githubusercontent.com/d-wkim/phd/refs/heads/main/data/pdf/lund_2014 .pdf</v>
      </c>
      <c r="F57" s="8" t="s">
        <v>32</v>
      </c>
      <c r="G57" s="32" t="s">
        <v>191</v>
      </c>
      <c r="H57" s="32" t="s">
        <v>148</v>
      </c>
      <c r="I57" s="23" t="str">
        <f>IFERROR(__xludf.DUMMYFUNCTION("if(REGEXMATCH(join("", "",$G57:$H57),I$1)=TRUE,""✓"",""✗"")"),"✓")</f>
        <v>✓</v>
      </c>
      <c r="J57" s="23" t="str">
        <f>IFERROR(__xludf.DUMMYFUNCTION("if(REGEXMATCH(join("", "",$G57:$H57),J$1)=TRUE,""✓"",""✗"")"),"✗")</f>
        <v>✗</v>
      </c>
      <c r="K57" s="23" t="str">
        <f>IFERROR(__xludf.DUMMYFUNCTION("if(REGEXMATCH(join("", "",$G57:$H57),K$1)=TRUE,""✓"",""✗"")"),"✓")</f>
        <v>✓</v>
      </c>
      <c r="L57" s="23" t="str">
        <f>IFERROR(__xludf.DUMMYFUNCTION("if(REGEXMATCH(join("", "",$G57:$H57),L$1)=TRUE,""✓"",""✗"")"),"✗")</f>
        <v>✗</v>
      </c>
      <c r="M57" s="23" t="str">
        <f>IFERROR(__xludf.DUMMYFUNCTION("if(REGEXMATCH(join("", "",$G57:$H57),M$1)=TRUE,""✓"",""✗"")"),"✗")</f>
        <v>✗</v>
      </c>
      <c r="N57" s="23" t="str">
        <f>IFERROR(__xludf.DUMMYFUNCTION("if(REGEXMATCH(join("", "",$G57:$H57),N$1)=TRUE,""✓"",""✗"")"),"✗")</f>
        <v>✗</v>
      </c>
      <c r="O57" s="23" t="str">
        <f>IFERROR(__xludf.DUMMYFUNCTION("if(REGEXMATCH(join("", "",$G57:$H57),O$1)=TRUE,""✓"",""✗"")"),"✓")</f>
        <v>✓</v>
      </c>
      <c r="P57" s="23" t="str">
        <f>IFERROR(__xludf.DUMMYFUNCTION("if(REGEXMATCH(join("", "",$G57:$H57),P$1)=TRUE,""✓"",""✗"")"),"✗")</f>
        <v>✗</v>
      </c>
      <c r="Q57" s="23" t="str">
        <f>IFERROR(__xludf.DUMMYFUNCTION("if(REGEXMATCH(join("", "",$G57:$H57),Q$1)=TRUE,""✓"",""✗"")"),"✗")</f>
        <v>✗</v>
      </c>
      <c r="R57" s="23" t="str">
        <f>IFERROR(__xludf.DUMMYFUNCTION("if(REGEXMATCH(join("", "",$G57:$H57),R$1)=TRUE,""✓"",""✗"")"),"✓")</f>
        <v>✓</v>
      </c>
      <c r="S57" s="23" t="str">
        <f>IFERROR(__xludf.DUMMYFUNCTION("if(REGEXMATCH(join("", "",$G57:$H57),S$1)=TRUE,""✓"",""✗"")"),"✗")</f>
        <v>✗</v>
      </c>
      <c r="T57" s="23" t="str">
        <f>IFERROR(__xludf.DUMMYFUNCTION("if(REGEXMATCH(join("", "",$G57:$H57),T$1)=TRUE,""✓"",""✗"")"),"✗")</f>
        <v>✗</v>
      </c>
      <c r="U57" s="23" t="str">
        <f>IFERROR(__xludf.DUMMYFUNCTION("if(REGEXMATCH(join("", "",$G57:$H57),U$1)=TRUE,""✓"",""✗"")"),"✗")</f>
        <v>✗</v>
      </c>
    </row>
    <row r="58">
      <c r="A58" s="8">
        <v>57.0</v>
      </c>
      <c r="B58" s="8" t="s">
        <v>150</v>
      </c>
      <c r="C58" s="16" t="str">
        <f t="shared" si="1"/>
        <v>Maletis et al., 2007</v>
      </c>
      <c r="D58" s="30" t="s">
        <v>365</v>
      </c>
      <c r="E58" s="15" t="str">
        <f t="shared" si="2"/>
        <v>https://raw.githubusercontent.com/d-wkim/phd/refs/heads/main/data/pdf/maletis_2007 .pdf</v>
      </c>
      <c r="F58" s="8" t="s">
        <v>32</v>
      </c>
      <c r="G58" s="8" t="s">
        <v>33</v>
      </c>
      <c r="H58" s="32" t="s">
        <v>94</v>
      </c>
      <c r="I58" s="23" t="str">
        <f>IFERROR(__xludf.DUMMYFUNCTION("if(REGEXMATCH(join("", "",$G58:$H58),I$1)=TRUE,""✓"",""✗"")"),"✓")</f>
        <v>✓</v>
      </c>
      <c r="J58" s="23" t="str">
        <f>IFERROR(__xludf.DUMMYFUNCTION("if(REGEXMATCH(join("", "",$G58:$H58),J$1)=TRUE,""✓"",""✗"")"),"✓")</f>
        <v>✓</v>
      </c>
      <c r="K58" s="23" t="str">
        <f>IFERROR(__xludf.DUMMYFUNCTION("if(REGEXMATCH(join("", "",$G58:$H58),K$1)=TRUE,""✓"",""✗"")"),"✗")</f>
        <v>✗</v>
      </c>
      <c r="L58" s="23" t="str">
        <f>IFERROR(__xludf.DUMMYFUNCTION("if(REGEXMATCH(join("", "",$G58:$H58),L$1)=TRUE,""✓"",""✗"")"),"✗")</f>
        <v>✗</v>
      </c>
      <c r="M58" s="23" t="str">
        <f>IFERROR(__xludf.DUMMYFUNCTION("if(REGEXMATCH(join("", "",$G58:$H58),M$1)=TRUE,""✓"",""✗"")"),"✗")</f>
        <v>✗</v>
      </c>
      <c r="N58" s="23" t="str">
        <f>IFERROR(__xludf.DUMMYFUNCTION("if(REGEXMATCH(join("", "",$G58:$H58),N$1)=TRUE,""✓"",""✗"")"),"✗")</f>
        <v>✗</v>
      </c>
      <c r="O58" s="23" t="str">
        <f>IFERROR(__xludf.DUMMYFUNCTION("if(REGEXMATCH(join("", "",$G58:$H58),O$1)=TRUE,""✓"",""✗"")"),"✓")</f>
        <v>✓</v>
      </c>
      <c r="P58" s="23" t="str">
        <f>IFERROR(__xludf.DUMMYFUNCTION("if(REGEXMATCH(join("", "",$G58:$H58),P$1)=TRUE,""✓"",""✗"")"),"✓")</f>
        <v>✓</v>
      </c>
      <c r="Q58" s="23" t="str">
        <f>IFERROR(__xludf.DUMMYFUNCTION("if(REGEXMATCH(join("", "",$G58:$H58),Q$1)=TRUE,""✓"",""✗"")"),"✓")</f>
        <v>✓</v>
      </c>
      <c r="R58" s="23" t="str">
        <f>IFERROR(__xludf.DUMMYFUNCTION("if(REGEXMATCH(join("", "",$G58:$H58),R$1)=TRUE,""✓"",""✗"")"),"✓")</f>
        <v>✓</v>
      </c>
      <c r="S58" s="23" t="str">
        <f>IFERROR(__xludf.DUMMYFUNCTION("if(REGEXMATCH(join("", "",$G58:$H58),S$1)=TRUE,""✓"",""✗"")"),"✗")</f>
        <v>✗</v>
      </c>
      <c r="T58" s="23" t="str">
        <f>IFERROR(__xludf.DUMMYFUNCTION("if(REGEXMATCH(join("", "",$G58:$H58),T$1)=TRUE,""✓"",""✗"")"),"✗")</f>
        <v>✗</v>
      </c>
      <c r="U58" s="23" t="str">
        <f>IFERROR(__xludf.DUMMYFUNCTION("if(REGEXMATCH(join("", "",$G58:$H58),U$1)=TRUE,""✓"",""✗"")"),"✗")</f>
        <v>✗</v>
      </c>
    </row>
    <row r="59">
      <c r="A59" s="8">
        <v>58.0</v>
      </c>
      <c r="B59" s="8" t="s">
        <v>153</v>
      </c>
      <c r="C59" s="16" t="str">
        <f t="shared" si="1"/>
        <v>Malik et al., 2026</v>
      </c>
      <c r="D59" s="30" t="s">
        <v>367</v>
      </c>
      <c r="E59" s="15" t="str">
        <f t="shared" si="2"/>
        <v>https://raw.githubusercontent.com/d-wkim/phd/refs/heads/main/data/pdf/malik_2026 .pdf</v>
      </c>
      <c r="F59" s="8" t="s">
        <v>32</v>
      </c>
      <c r="G59" s="32" t="s">
        <v>209</v>
      </c>
      <c r="H59" s="32" t="s">
        <v>154</v>
      </c>
      <c r="I59" s="23" t="str">
        <f>IFERROR(__xludf.DUMMYFUNCTION("if(REGEXMATCH(join("", "",$G59:$H59),I$1)=TRUE,""✓"",""✗"")"),"✗")</f>
        <v>✗</v>
      </c>
      <c r="J59" s="23" t="str">
        <f>IFERROR(__xludf.DUMMYFUNCTION("if(REGEXMATCH(join("", "",$G59:$H59),J$1)=TRUE,""✓"",""✗"")"),"✓")</f>
        <v>✓</v>
      </c>
      <c r="K59" s="23" t="str">
        <f>IFERROR(__xludf.DUMMYFUNCTION("if(REGEXMATCH(join("", "",$G59:$H59),K$1)=TRUE,""✓"",""✗"")"),"✗")</f>
        <v>✗</v>
      </c>
      <c r="L59" s="23" t="str">
        <f>IFERROR(__xludf.DUMMYFUNCTION("if(REGEXMATCH(join("", "",$G59:$H59),L$1)=TRUE,""✓"",""✗"")"),"✓")</f>
        <v>✓</v>
      </c>
      <c r="M59" s="23" t="str">
        <f>IFERROR(__xludf.DUMMYFUNCTION("if(REGEXMATCH(join("", "",$G59:$H59),M$1)=TRUE,""✓"",""✗"")"),"✗")</f>
        <v>✗</v>
      </c>
      <c r="N59" s="23" t="str">
        <f>IFERROR(__xludf.DUMMYFUNCTION("if(REGEXMATCH(join("", "",$G59:$H59),N$1)=TRUE,""✓"",""✗"")"),"✗")</f>
        <v>✗</v>
      </c>
      <c r="O59" s="23" t="str">
        <f>IFERROR(__xludf.DUMMYFUNCTION("if(REGEXMATCH(join("", "",$G59:$H59),O$1)=TRUE,""✓"",""✗"")"),"✓")</f>
        <v>✓</v>
      </c>
      <c r="P59" s="23" t="str">
        <f>IFERROR(__xludf.DUMMYFUNCTION("if(REGEXMATCH(join("", "",$G59:$H59),P$1)=TRUE,""✓"",""✗"")"),"✓")</f>
        <v>✓</v>
      </c>
      <c r="Q59" s="23" t="str">
        <f>IFERROR(__xludf.DUMMYFUNCTION("if(REGEXMATCH(join("", "",$G59:$H59),Q$1)=TRUE,""✓"",""✗"")"),"✓")</f>
        <v>✓</v>
      </c>
      <c r="R59" s="23" t="str">
        <f>IFERROR(__xludf.DUMMYFUNCTION("if(REGEXMATCH(join("", "",$G59:$H59),R$1)=TRUE,""✓"",""✗"")"),"✓")</f>
        <v>✓</v>
      </c>
      <c r="S59" s="23" t="str">
        <f>IFERROR(__xludf.DUMMYFUNCTION("if(REGEXMATCH(join("", "",$G59:$H59),S$1)=TRUE,""✓"",""✗"")"),"✓")</f>
        <v>✓</v>
      </c>
      <c r="T59" s="23" t="str">
        <f>IFERROR(__xludf.DUMMYFUNCTION("if(REGEXMATCH(join("", "",$G59:$H59),T$1)=TRUE,""✓"",""✗"")"),"✓")</f>
        <v>✓</v>
      </c>
      <c r="U59" s="23" t="str">
        <f>IFERROR(__xludf.DUMMYFUNCTION("if(REGEXMATCH(join("", "",$G59:$H59),U$1)=TRUE,""✓"",""✗"")"),"✗")</f>
        <v>✗</v>
      </c>
    </row>
    <row r="60" hidden="1">
      <c r="A60" s="8">
        <v>59.0</v>
      </c>
      <c r="B60" s="8" t="s">
        <v>370</v>
      </c>
      <c r="C60" s="42" t="str">
        <f t="shared" si="1"/>
        <v>Martin et al., 2024</v>
      </c>
      <c r="D60" s="8" t="s">
        <v>371</v>
      </c>
      <c r="E60" s="15" t="str">
        <f t="shared" si="2"/>
        <v>https://raw.githubusercontent.com/d-wkim/phd/refs/heads/main/data/pdf/martin_2024 .pdf</v>
      </c>
      <c r="F60" s="8" t="s">
        <v>102</v>
      </c>
      <c r="G60" s="8"/>
      <c r="H60" s="8" t="s">
        <v>230</v>
      </c>
      <c r="I60" s="23" t="str">
        <f>IFERROR(__xludf.DUMMYFUNCTION("if(REGEXMATCH(join("", "",$G60:$H60),I$1)=TRUE,""✓"",""✗"")"),"✗")</f>
        <v>✗</v>
      </c>
      <c r="J60" s="23" t="str">
        <f>IFERROR(__xludf.DUMMYFUNCTION("if(REGEXMATCH(join("", "",$G60:$H60),J$1)=TRUE,""✓"",""✗"")"),"✗")</f>
        <v>✗</v>
      </c>
      <c r="K60" s="23" t="str">
        <f>IFERROR(__xludf.DUMMYFUNCTION("if(REGEXMATCH(join("", "",$G60:$H60),K$1)=TRUE,""✓"",""✗"")"),"✗")</f>
        <v>✗</v>
      </c>
      <c r="L60" s="23" t="str">
        <f>IFERROR(__xludf.DUMMYFUNCTION("if(REGEXMATCH(join("", "",$G60:$H60),L$1)=TRUE,""✓"",""✗"")"),"✗")</f>
        <v>✗</v>
      </c>
      <c r="M60" s="23" t="str">
        <f>IFERROR(__xludf.DUMMYFUNCTION("if(REGEXMATCH(join("", "",$G60:$H60),M$1)=TRUE,""✓"",""✗"")"),"✗")</f>
        <v>✗</v>
      </c>
      <c r="N60" s="23" t="str">
        <f>IFERROR(__xludf.DUMMYFUNCTION("if(REGEXMATCH(join("", "",$G60:$H60),N$1)=TRUE,""✓"",""✗"")"),"✗")</f>
        <v>✗</v>
      </c>
      <c r="O60" s="23" t="str">
        <f>IFERROR(__xludf.DUMMYFUNCTION("if(REGEXMATCH(join("", "",$G60:$H60),O$1)=TRUE,""✓"",""✗"")"),"✗")</f>
        <v>✗</v>
      </c>
      <c r="P60" s="23" t="str">
        <f>IFERROR(__xludf.DUMMYFUNCTION("if(REGEXMATCH(join("", "",$G60:$H60),P$1)=TRUE,""✓"",""✗"")"),"✗")</f>
        <v>✗</v>
      </c>
      <c r="Q60" s="23" t="str">
        <f>IFERROR(__xludf.DUMMYFUNCTION("if(REGEXMATCH(join("", "",$G60:$H60),Q$1)=TRUE,""✓"",""✗"")"),"✗")</f>
        <v>✗</v>
      </c>
      <c r="R60" s="23" t="str">
        <f>IFERROR(__xludf.DUMMYFUNCTION("if(REGEXMATCH(join("", "",$G60:$H60),R$1)=TRUE,""✓"",""✗"")"),"✗")</f>
        <v>✗</v>
      </c>
      <c r="S60" s="23" t="str">
        <f>IFERROR(__xludf.DUMMYFUNCTION("if(REGEXMATCH(join("", "",$G60:$H60),S$1)=TRUE,""✓"",""✗"")"),"✗")</f>
        <v>✗</v>
      </c>
      <c r="T60" s="23" t="str">
        <f>IFERROR(__xludf.DUMMYFUNCTION("if(REGEXMATCH(join("", "",$G60:$H60),T$1)=TRUE,""✓"",""✗"")"),"✗")</f>
        <v>✗</v>
      </c>
      <c r="U60" s="23" t="str">
        <f>IFERROR(__xludf.DUMMYFUNCTION("if(REGEXMATCH(join("", "",$G60:$H60),U$1)=TRUE,""✓"",""✗"")"),"✗")</f>
        <v>✗</v>
      </c>
    </row>
    <row r="61" hidden="1">
      <c r="A61" s="8">
        <v>60.0</v>
      </c>
      <c r="B61" s="8" t="s">
        <v>373</v>
      </c>
      <c r="C61" s="42" t="str">
        <f t="shared" si="1"/>
        <v>Martin-Alguacil et al., 2018</v>
      </c>
      <c r="D61" s="8" t="s">
        <v>374</v>
      </c>
      <c r="E61" s="15" t="str">
        <f t="shared" si="2"/>
        <v>https://raw.githubusercontent.com/d-wkim/phd/refs/heads/main/data/pdf/martin-alguacil_2018 .pdf</v>
      </c>
      <c r="F61" s="8" t="s">
        <v>102</v>
      </c>
      <c r="G61" s="32"/>
      <c r="H61" s="8" t="s">
        <v>228</v>
      </c>
      <c r="I61" s="23" t="str">
        <f>IFERROR(__xludf.DUMMYFUNCTION("if(REGEXMATCH(join("", "",$G61:$H61),I$1)=TRUE,""✓"",""✗"")"),"✗")</f>
        <v>✗</v>
      </c>
      <c r="J61" s="23" t="str">
        <f>IFERROR(__xludf.DUMMYFUNCTION("if(REGEXMATCH(join("", "",$G61:$H61),J$1)=TRUE,""✓"",""✗"")"),"✗")</f>
        <v>✗</v>
      </c>
      <c r="K61" s="23" t="str">
        <f>IFERROR(__xludf.DUMMYFUNCTION("if(REGEXMATCH(join("", "",$G61:$H61),K$1)=TRUE,""✓"",""✗"")"),"✗")</f>
        <v>✗</v>
      </c>
      <c r="L61" s="23" t="str">
        <f>IFERROR(__xludf.DUMMYFUNCTION("if(REGEXMATCH(join("", "",$G61:$H61),L$1)=TRUE,""✓"",""✗"")"),"✗")</f>
        <v>✗</v>
      </c>
      <c r="M61" s="23" t="str">
        <f>IFERROR(__xludf.DUMMYFUNCTION("if(REGEXMATCH(join("", "",$G61:$H61),M$1)=TRUE,""✓"",""✗"")"),"✗")</f>
        <v>✗</v>
      </c>
      <c r="N61" s="23" t="str">
        <f>IFERROR(__xludf.DUMMYFUNCTION("if(REGEXMATCH(join("", "",$G61:$H61),N$1)=TRUE,""✓"",""✗"")"),"✗")</f>
        <v>✗</v>
      </c>
      <c r="O61" s="23" t="str">
        <f>IFERROR(__xludf.DUMMYFUNCTION("if(REGEXMATCH(join("", "",$G61:$H61),O$1)=TRUE,""✓"",""✗"")"),"✗")</f>
        <v>✗</v>
      </c>
      <c r="P61" s="23" t="str">
        <f>IFERROR(__xludf.DUMMYFUNCTION("if(REGEXMATCH(join("", "",$G61:$H61),P$1)=TRUE,""✓"",""✗"")"),"✗")</f>
        <v>✗</v>
      </c>
      <c r="Q61" s="23" t="str">
        <f>IFERROR(__xludf.DUMMYFUNCTION("if(REGEXMATCH(join("", "",$G61:$H61),Q$1)=TRUE,""✓"",""✗"")"),"✗")</f>
        <v>✗</v>
      </c>
      <c r="R61" s="23" t="str">
        <f>IFERROR(__xludf.DUMMYFUNCTION("if(REGEXMATCH(join("", "",$G61:$H61),R$1)=TRUE,""✓"",""✗"")"),"✗")</f>
        <v>✗</v>
      </c>
      <c r="S61" s="23" t="str">
        <f>IFERROR(__xludf.DUMMYFUNCTION("if(REGEXMATCH(join("", "",$G61:$H61),S$1)=TRUE,""✓"",""✗"")"),"✗")</f>
        <v>✗</v>
      </c>
      <c r="T61" s="23" t="str">
        <f>IFERROR(__xludf.DUMMYFUNCTION("if(REGEXMATCH(join("", "",$G61:$H61),T$1)=TRUE,""✓"",""✗"")"),"✗")</f>
        <v>✗</v>
      </c>
      <c r="U61" s="23" t="str">
        <f>IFERROR(__xludf.DUMMYFUNCTION("if(REGEXMATCH(join("", "",$G61:$H61),U$1)=TRUE,""✓"",""✗"")"),"✗")</f>
        <v>✗</v>
      </c>
    </row>
    <row r="62" hidden="1">
      <c r="A62" s="8">
        <v>61.0</v>
      </c>
      <c r="B62" s="8" t="s">
        <v>375</v>
      </c>
      <c r="C62" s="42" t="str">
        <f t="shared" si="1"/>
        <v>Martin-Alguacil et al., 2019</v>
      </c>
      <c r="D62" s="8" t="s">
        <v>376</v>
      </c>
      <c r="E62" s="15" t="str">
        <f t="shared" si="2"/>
        <v>https://raw.githubusercontent.com/d-wkim/phd/refs/heads/main/data/pdf/martin-alguacil_2019 .pdf</v>
      </c>
      <c r="F62" s="8" t="s">
        <v>102</v>
      </c>
      <c r="G62" s="32"/>
      <c r="H62" s="8" t="s">
        <v>230</v>
      </c>
      <c r="I62" s="23" t="str">
        <f>IFERROR(__xludf.DUMMYFUNCTION("if(REGEXMATCH(join("", "",$G62:$H62),I$1)=TRUE,""✓"",""✗"")"),"✗")</f>
        <v>✗</v>
      </c>
      <c r="J62" s="23" t="str">
        <f>IFERROR(__xludf.DUMMYFUNCTION("if(REGEXMATCH(join("", "",$G62:$H62),J$1)=TRUE,""✓"",""✗"")"),"✗")</f>
        <v>✗</v>
      </c>
      <c r="K62" s="23" t="str">
        <f>IFERROR(__xludf.DUMMYFUNCTION("if(REGEXMATCH(join("", "",$G62:$H62),K$1)=TRUE,""✓"",""✗"")"),"✗")</f>
        <v>✗</v>
      </c>
      <c r="L62" s="23" t="str">
        <f>IFERROR(__xludf.DUMMYFUNCTION("if(REGEXMATCH(join("", "",$G62:$H62),L$1)=TRUE,""✓"",""✗"")"),"✗")</f>
        <v>✗</v>
      </c>
      <c r="M62" s="23" t="str">
        <f>IFERROR(__xludf.DUMMYFUNCTION("if(REGEXMATCH(join("", "",$G62:$H62),M$1)=TRUE,""✓"",""✗"")"),"✗")</f>
        <v>✗</v>
      </c>
      <c r="N62" s="23" t="str">
        <f>IFERROR(__xludf.DUMMYFUNCTION("if(REGEXMATCH(join("", "",$G62:$H62),N$1)=TRUE,""✓"",""✗"")"),"✗")</f>
        <v>✗</v>
      </c>
      <c r="O62" s="23" t="str">
        <f>IFERROR(__xludf.DUMMYFUNCTION("if(REGEXMATCH(join("", "",$G62:$H62),O$1)=TRUE,""✓"",""✗"")"),"✗")</f>
        <v>✗</v>
      </c>
      <c r="P62" s="23" t="str">
        <f>IFERROR(__xludf.DUMMYFUNCTION("if(REGEXMATCH(join("", "",$G62:$H62),P$1)=TRUE,""✓"",""✗"")"),"✗")</f>
        <v>✗</v>
      </c>
      <c r="Q62" s="23" t="str">
        <f>IFERROR(__xludf.DUMMYFUNCTION("if(REGEXMATCH(join("", "",$G62:$H62),Q$1)=TRUE,""✓"",""✗"")"),"✗")</f>
        <v>✗</v>
      </c>
      <c r="R62" s="23" t="str">
        <f>IFERROR(__xludf.DUMMYFUNCTION("if(REGEXMATCH(join("", "",$G62:$H62),R$1)=TRUE,""✓"",""✗"")"),"✗")</f>
        <v>✗</v>
      </c>
      <c r="S62" s="23" t="str">
        <f>IFERROR(__xludf.DUMMYFUNCTION("if(REGEXMATCH(join("", "",$G62:$H62),S$1)=TRUE,""✓"",""✗"")"),"✗")</f>
        <v>✗</v>
      </c>
      <c r="T62" s="23" t="str">
        <f>IFERROR(__xludf.DUMMYFUNCTION("if(REGEXMATCH(join("", "",$G62:$H62),T$1)=TRUE,""✓"",""✗"")"),"✗")</f>
        <v>✗</v>
      </c>
      <c r="U62" s="23" t="str">
        <f>IFERROR(__xludf.DUMMYFUNCTION("if(REGEXMATCH(join("", "",$G62:$H62),U$1)=TRUE,""✓"",""✗"")"),"✗")</f>
        <v>✗</v>
      </c>
    </row>
    <row r="63">
      <c r="A63" s="8">
        <v>62.0</v>
      </c>
      <c r="B63" s="8" t="s">
        <v>155</v>
      </c>
      <c r="C63" s="16" t="str">
        <f t="shared" si="1"/>
        <v>Matsumoto et al., 2006</v>
      </c>
      <c r="D63" s="30" t="s">
        <v>377</v>
      </c>
      <c r="E63" s="15" t="str">
        <f t="shared" si="2"/>
        <v>https://raw.githubusercontent.com/d-wkim/phd/refs/heads/main/data/pdf/matsumoto_2006 .pdf</v>
      </c>
      <c r="F63" s="8" t="s">
        <v>32</v>
      </c>
      <c r="G63" s="8" t="s">
        <v>33</v>
      </c>
      <c r="H63" s="32" t="s">
        <v>76</v>
      </c>
      <c r="I63" s="23" t="str">
        <f>IFERROR(__xludf.DUMMYFUNCTION("if(REGEXMATCH(join("", "",$G63:$H63),I$1)=TRUE,""✓"",""✗"")"),"✓")</f>
        <v>✓</v>
      </c>
      <c r="J63" s="23" t="str">
        <f>IFERROR(__xludf.DUMMYFUNCTION("if(REGEXMATCH(join("", "",$G63:$H63),J$1)=TRUE,""✓"",""✗"")"),"✓")</f>
        <v>✓</v>
      </c>
      <c r="K63" s="23" t="str">
        <f>IFERROR(__xludf.DUMMYFUNCTION("if(REGEXMATCH(join("", "",$G63:$H63),K$1)=TRUE,""✓"",""✗"")"),"✗")</f>
        <v>✗</v>
      </c>
      <c r="L63" s="23" t="str">
        <f>IFERROR(__xludf.DUMMYFUNCTION("if(REGEXMATCH(join("", "",$G63:$H63),L$1)=TRUE,""✓"",""✗"")"),"✗")</f>
        <v>✗</v>
      </c>
      <c r="M63" s="23" t="str">
        <f>IFERROR(__xludf.DUMMYFUNCTION("if(REGEXMATCH(join("", "",$G63:$H63),M$1)=TRUE,""✓"",""✗"")"),"✗")</f>
        <v>✗</v>
      </c>
      <c r="N63" s="23" t="str">
        <f>IFERROR(__xludf.DUMMYFUNCTION("if(REGEXMATCH(join("", "",$G63:$H63),N$1)=TRUE,""✓"",""✗"")"),"✗")</f>
        <v>✗</v>
      </c>
      <c r="O63" s="23" t="str">
        <f>IFERROR(__xludf.DUMMYFUNCTION("if(REGEXMATCH(join("", "",$G63:$H63),O$1)=TRUE,""✓"",""✗"")"),"✓")</f>
        <v>✓</v>
      </c>
      <c r="P63" s="23" t="str">
        <f>IFERROR(__xludf.DUMMYFUNCTION("if(REGEXMATCH(join("", "",$G63:$H63),P$1)=TRUE,""✓"",""✗"")"),"✗")</f>
        <v>✗</v>
      </c>
      <c r="Q63" s="23" t="str">
        <f>IFERROR(__xludf.DUMMYFUNCTION("if(REGEXMATCH(join("", "",$G63:$H63),Q$1)=TRUE,""✓"",""✗"")"),"✗")</f>
        <v>✗</v>
      </c>
      <c r="R63" s="23" t="str">
        <f>IFERROR(__xludf.DUMMYFUNCTION("if(REGEXMATCH(join("", "",$G63:$H63),R$1)=TRUE,""✓"",""✗"")"),"✓")</f>
        <v>✓</v>
      </c>
      <c r="S63" s="23" t="str">
        <f>IFERROR(__xludf.DUMMYFUNCTION("if(REGEXMATCH(join("", "",$G63:$H63),S$1)=TRUE,""✓"",""✗"")"),"✗")</f>
        <v>✗</v>
      </c>
      <c r="T63" s="23" t="str">
        <f>IFERROR(__xludf.DUMMYFUNCTION("if(REGEXMATCH(join("", "",$G63:$H63),T$1)=TRUE,""✓"",""✗"")"),"✗")</f>
        <v>✗</v>
      </c>
      <c r="U63" s="23" t="str">
        <f>IFERROR(__xludf.DUMMYFUNCTION("if(REGEXMATCH(join("", "",$G63:$H63),U$1)=TRUE,""✓"",""✗"")"),"✗")</f>
        <v>✗</v>
      </c>
    </row>
    <row r="64" hidden="1">
      <c r="A64" s="8">
        <v>63.0</v>
      </c>
      <c r="B64" s="8" t="s">
        <v>378</v>
      </c>
      <c r="C64" s="42" t="str">
        <f t="shared" si="1"/>
        <v>Mccormack et al., 2006</v>
      </c>
      <c r="D64" s="8" t="s">
        <v>379</v>
      </c>
      <c r="E64" s="15" t="str">
        <f t="shared" si="2"/>
        <v>https://raw.githubusercontent.com/d-wkim/phd/refs/heads/main/data/pdf/mccormack_2006 .pdf</v>
      </c>
      <c r="F64" s="8" t="s">
        <v>102</v>
      </c>
      <c r="G64" s="51"/>
      <c r="H64" s="8" t="s">
        <v>230</v>
      </c>
      <c r="I64" s="23" t="str">
        <f>IFERROR(__xludf.DUMMYFUNCTION("if(REGEXMATCH(join("", "",$G64:$H64),I$1)=TRUE,""✓"",""✗"")"),"✗")</f>
        <v>✗</v>
      </c>
      <c r="J64" s="23" t="str">
        <f>IFERROR(__xludf.DUMMYFUNCTION("if(REGEXMATCH(join("", "",$G64:$H64),J$1)=TRUE,""✓"",""✗"")"),"✗")</f>
        <v>✗</v>
      </c>
      <c r="K64" s="23" t="str">
        <f>IFERROR(__xludf.DUMMYFUNCTION("if(REGEXMATCH(join("", "",$G64:$H64),K$1)=TRUE,""✓"",""✗"")"),"✗")</f>
        <v>✗</v>
      </c>
      <c r="L64" s="23" t="str">
        <f>IFERROR(__xludf.DUMMYFUNCTION("if(REGEXMATCH(join("", "",$G64:$H64),L$1)=TRUE,""✓"",""✗"")"),"✗")</f>
        <v>✗</v>
      </c>
      <c r="M64" s="23" t="str">
        <f>IFERROR(__xludf.DUMMYFUNCTION("if(REGEXMATCH(join("", "",$G64:$H64),M$1)=TRUE,""✓"",""✗"")"),"✗")</f>
        <v>✗</v>
      </c>
      <c r="N64" s="23" t="str">
        <f>IFERROR(__xludf.DUMMYFUNCTION("if(REGEXMATCH(join("", "",$G64:$H64),N$1)=TRUE,""✓"",""✗"")"),"✗")</f>
        <v>✗</v>
      </c>
      <c r="O64" s="23" t="str">
        <f>IFERROR(__xludf.DUMMYFUNCTION("if(REGEXMATCH(join("", "",$G64:$H64),O$1)=TRUE,""✓"",""✗"")"),"✗")</f>
        <v>✗</v>
      </c>
      <c r="P64" s="23" t="str">
        <f>IFERROR(__xludf.DUMMYFUNCTION("if(REGEXMATCH(join("", "",$G64:$H64),P$1)=TRUE,""✓"",""✗"")"),"✗")</f>
        <v>✗</v>
      </c>
      <c r="Q64" s="23" t="str">
        <f>IFERROR(__xludf.DUMMYFUNCTION("if(REGEXMATCH(join("", "",$G64:$H64),Q$1)=TRUE,""✓"",""✗"")"),"✗")</f>
        <v>✗</v>
      </c>
      <c r="R64" s="23" t="str">
        <f>IFERROR(__xludf.DUMMYFUNCTION("if(REGEXMATCH(join("", "",$G64:$H64),R$1)=TRUE,""✓"",""✗"")"),"✗")</f>
        <v>✗</v>
      </c>
      <c r="S64" s="23" t="str">
        <f>IFERROR(__xludf.DUMMYFUNCTION("if(REGEXMATCH(join("", "",$G64:$H64),S$1)=TRUE,""✓"",""✗"")"),"✗")</f>
        <v>✗</v>
      </c>
      <c r="T64" s="23" t="str">
        <f>IFERROR(__xludf.DUMMYFUNCTION("if(REGEXMATCH(join("", "",$G64:$H64),T$1)=TRUE,""✓"",""✗"")"),"✗")</f>
        <v>✗</v>
      </c>
      <c r="U64" s="23" t="str">
        <f>IFERROR(__xludf.DUMMYFUNCTION("if(REGEXMATCH(join("", "",$G64:$H64),U$1)=TRUE,""✓"",""✗"")"),"✗")</f>
        <v>✗</v>
      </c>
    </row>
    <row r="65" hidden="1">
      <c r="A65" s="8">
        <v>64.0</v>
      </c>
      <c r="B65" s="8" t="s">
        <v>380</v>
      </c>
      <c r="C65" s="42" t="str">
        <f t="shared" si="1"/>
        <v>Mohammadi et al., 2013</v>
      </c>
      <c r="D65" s="8" t="s">
        <v>381</v>
      </c>
      <c r="E65" s="15" t="str">
        <f t="shared" si="2"/>
        <v>https://raw.githubusercontent.com/d-wkim/phd/refs/heads/main/data/pdf/mohammadi_2013 .pdf</v>
      </c>
      <c r="F65" s="8" t="s">
        <v>102</v>
      </c>
      <c r="G65" s="8"/>
      <c r="H65" s="8" t="s">
        <v>230</v>
      </c>
      <c r="I65" s="23" t="str">
        <f>IFERROR(__xludf.DUMMYFUNCTION("if(REGEXMATCH(join("", "",$G65:$H65),I$1)=TRUE,""✓"",""✗"")"),"✗")</f>
        <v>✗</v>
      </c>
      <c r="J65" s="23" t="str">
        <f>IFERROR(__xludf.DUMMYFUNCTION("if(REGEXMATCH(join("", "",$G65:$H65),J$1)=TRUE,""✓"",""✗"")"),"✗")</f>
        <v>✗</v>
      </c>
      <c r="K65" s="23" t="str">
        <f>IFERROR(__xludf.DUMMYFUNCTION("if(REGEXMATCH(join("", "",$G65:$H65),K$1)=TRUE,""✓"",""✗"")"),"✗")</f>
        <v>✗</v>
      </c>
      <c r="L65" s="23" t="str">
        <f>IFERROR(__xludf.DUMMYFUNCTION("if(REGEXMATCH(join("", "",$G65:$H65),L$1)=TRUE,""✓"",""✗"")"),"✗")</f>
        <v>✗</v>
      </c>
      <c r="M65" s="23" t="str">
        <f>IFERROR(__xludf.DUMMYFUNCTION("if(REGEXMATCH(join("", "",$G65:$H65),M$1)=TRUE,""✓"",""✗"")"),"✗")</f>
        <v>✗</v>
      </c>
      <c r="N65" s="23" t="str">
        <f>IFERROR(__xludf.DUMMYFUNCTION("if(REGEXMATCH(join("", "",$G65:$H65),N$1)=TRUE,""✓"",""✗"")"),"✗")</f>
        <v>✗</v>
      </c>
      <c r="O65" s="23" t="str">
        <f>IFERROR(__xludf.DUMMYFUNCTION("if(REGEXMATCH(join("", "",$G65:$H65),O$1)=TRUE,""✓"",""✗"")"),"✗")</f>
        <v>✗</v>
      </c>
      <c r="P65" s="23" t="str">
        <f>IFERROR(__xludf.DUMMYFUNCTION("if(REGEXMATCH(join("", "",$G65:$H65),P$1)=TRUE,""✓"",""✗"")"),"✗")</f>
        <v>✗</v>
      </c>
      <c r="Q65" s="23" t="str">
        <f>IFERROR(__xludf.DUMMYFUNCTION("if(REGEXMATCH(join("", "",$G65:$H65),Q$1)=TRUE,""✓"",""✗"")"),"✗")</f>
        <v>✗</v>
      </c>
      <c r="R65" s="23" t="str">
        <f>IFERROR(__xludf.DUMMYFUNCTION("if(REGEXMATCH(join("", "",$G65:$H65),R$1)=TRUE,""✓"",""✗"")"),"✗")</f>
        <v>✗</v>
      </c>
      <c r="S65" s="23" t="str">
        <f>IFERROR(__xludf.DUMMYFUNCTION("if(REGEXMATCH(join("", "",$G65:$H65),S$1)=TRUE,""✓"",""✗"")"),"✗")</f>
        <v>✗</v>
      </c>
      <c r="T65" s="23" t="str">
        <f>IFERROR(__xludf.DUMMYFUNCTION("if(REGEXMATCH(join("", "",$G65:$H65),T$1)=TRUE,""✓"",""✗"")"),"✗")</f>
        <v>✗</v>
      </c>
      <c r="U65" s="23" t="str">
        <f>IFERROR(__xludf.DUMMYFUNCTION("if(REGEXMATCH(join("", "",$G65:$H65),U$1)=TRUE,""✓"",""✗"")"),"✗")</f>
        <v>✗</v>
      </c>
    </row>
    <row r="66" hidden="1">
      <c r="A66" s="8">
        <v>65.0</v>
      </c>
      <c r="B66" s="8" t="s">
        <v>383</v>
      </c>
      <c r="C66" s="42" t="str">
        <f t="shared" si="1"/>
        <v>Mohtadi et al., 2016A</v>
      </c>
      <c r="D66" s="8" t="s">
        <v>384</v>
      </c>
      <c r="E66" s="15" t="str">
        <f t="shared" si="2"/>
        <v>https://raw.githubusercontent.com/d-wkim/phd/refs/heads/main/data/pdf/mohtadi_2016a .pdf</v>
      </c>
      <c r="F66" s="8" t="s">
        <v>102</v>
      </c>
      <c r="G66" s="8"/>
      <c r="H66" s="8" t="s">
        <v>228</v>
      </c>
      <c r="I66" s="23" t="str">
        <f>IFERROR(__xludf.DUMMYFUNCTION("if(REGEXMATCH(join("", "",$G66:$H66),I$1)=TRUE,""✓"",""✗"")"),"✗")</f>
        <v>✗</v>
      </c>
      <c r="J66" s="23" t="str">
        <f>IFERROR(__xludf.DUMMYFUNCTION("if(REGEXMATCH(join("", "",$G66:$H66),J$1)=TRUE,""✓"",""✗"")"),"✗")</f>
        <v>✗</v>
      </c>
      <c r="K66" s="23" t="str">
        <f>IFERROR(__xludf.DUMMYFUNCTION("if(REGEXMATCH(join("", "",$G66:$H66),K$1)=TRUE,""✓"",""✗"")"),"✗")</f>
        <v>✗</v>
      </c>
      <c r="L66" s="23" t="str">
        <f>IFERROR(__xludf.DUMMYFUNCTION("if(REGEXMATCH(join("", "",$G66:$H66),L$1)=TRUE,""✓"",""✗"")"),"✗")</f>
        <v>✗</v>
      </c>
      <c r="M66" s="23" t="str">
        <f>IFERROR(__xludf.DUMMYFUNCTION("if(REGEXMATCH(join("", "",$G66:$H66),M$1)=TRUE,""✓"",""✗"")"),"✗")</f>
        <v>✗</v>
      </c>
      <c r="N66" s="23" t="str">
        <f>IFERROR(__xludf.DUMMYFUNCTION("if(REGEXMATCH(join("", "",$G66:$H66),N$1)=TRUE,""✓"",""✗"")"),"✗")</f>
        <v>✗</v>
      </c>
      <c r="O66" s="23" t="str">
        <f>IFERROR(__xludf.DUMMYFUNCTION("if(REGEXMATCH(join("", "",$G66:$H66),O$1)=TRUE,""✓"",""✗"")"),"✗")</f>
        <v>✗</v>
      </c>
      <c r="P66" s="23" t="str">
        <f>IFERROR(__xludf.DUMMYFUNCTION("if(REGEXMATCH(join("", "",$G66:$H66),P$1)=TRUE,""✓"",""✗"")"),"✗")</f>
        <v>✗</v>
      </c>
      <c r="Q66" s="23" t="str">
        <f>IFERROR(__xludf.DUMMYFUNCTION("if(REGEXMATCH(join("", "",$G66:$H66),Q$1)=TRUE,""✓"",""✗"")"),"✗")</f>
        <v>✗</v>
      </c>
      <c r="R66" s="23" t="str">
        <f>IFERROR(__xludf.DUMMYFUNCTION("if(REGEXMATCH(join("", "",$G66:$H66),R$1)=TRUE,""✓"",""✗"")"),"✗")</f>
        <v>✗</v>
      </c>
      <c r="S66" s="23" t="str">
        <f>IFERROR(__xludf.DUMMYFUNCTION("if(REGEXMATCH(join("", "",$G66:$H66),S$1)=TRUE,""✓"",""✗"")"),"✗")</f>
        <v>✗</v>
      </c>
      <c r="T66" s="23" t="str">
        <f>IFERROR(__xludf.DUMMYFUNCTION("if(REGEXMATCH(join("", "",$G66:$H66),T$1)=TRUE,""✓"",""✗"")"),"✗")</f>
        <v>✗</v>
      </c>
      <c r="U66" s="23" t="str">
        <f>IFERROR(__xludf.DUMMYFUNCTION("if(REGEXMATCH(join("", "",$G66:$H66),U$1)=TRUE,""✓"",""✗"")"),"✗")</f>
        <v>✗</v>
      </c>
    </row>
    <row r="67">
      <c r="A67" s="8">
        <v>66.0</v>
      </c>
      <c r="B67" s="8" t="s">
        <v>157</v>
      </c>
      <c r="C67" s="16" t="str">
        <f t="shared" si="1"/>
        <v>Mohtadi et al., 2016B</v>
      </c>
      <c r="D67" s="30" t="s">
        <v>385</v>
      </c>
      <c r="E67" s="15" t="str">
        <f t="shared" si="2"/>
        <v>https://raw.githubusercontent.com/d-wkim/phd/refs/heads/main/data/pdf/mohtadi_2016b .pdf</v>
      </c>
      <c r="F67" s="8" t="s">
        <v>32</v>
      </c>
      <c r="G67" s="8" t="s">
        <v>33</v>
      </c>
      <c r="H67" s="32" t="s">
        <v>158</v>
      </c>
      <c r="I67" s="23" t="str">
        <f>IFERROR(__xludf.DUMMYFUNCTION("if(REGEXMATCH(join("", "",$G67:$H67),I$1)=TRUE,""✓"",""✗"")"),"✓")</f>
        <v>✓</v>
      </c>
      <c r="J67" s="23" t="str">
        <f>IFERROR(__xludf.DUMMYFUNCTION("if(REGEXMATCH(join("", "",$G67:$H67),J$1)=TRUE,""✓"",""✗"")"),"✓")</f>
        <v>✓</v>
      </c>
      <c r="K67" s="23" t="str">
        <f>IFERROR(__xludf.DUMMYFUNCTION("if(REGEXMATCH(join("", "",$G67:$H67),K$1)=TRUE,""✓"",""✗"")"),"✗")</f>
        <v>✗</v>
      </c>
      <c r="L67" s="23" t="str">
        <f>IFERROR(__xludf.DUMMYFUNCTION("if(REGEXMATCH(join("", "",$G67:$H67),L$1)=TRUE,""✓"",""✗"")"),"✗")</f>
        <v>✗</v>
      </c>
      <c r="M67" s="23" t="str">
        <f>IFERROR(__xludf.DUMMYFUNCTION("if(REGEXMATCH(join("", "",$G67:$H67),M$1)=TRUE,""✓"",""✗"")"),"✗")</f>
        <v>✗</v>
      </c>
      <c r="N67" s="23" t="str">
        <f>IFERROR(__xludf.DUMMYFUNCTION("if(REGEXMATCH(join("", "",$G67:$H67),N$1)=TRUE,""✓"",""✗"")"),"✗")</f>
        <v>✗</v>
      </c>
      <c r="O67" s="23" t="str">
        <f>IFERROR(__xludf.DUMMYFUNCTION("if(REGEXMATCH(join("", "",$G67:$H67),O$1)=TRUE,""✓"",""✗"")"),"✗")</f>
        <v>✗</v>
      </c>
      <c r="P67" s="23" t="str">
        <f>IFERROR(__xludf.DUMMYFUNCTION("if(REGEXMATCH(join("", "",$G67:$H67),P$1)=TRUE,""✓"",""✗"")"),"✗")</f>
        <v>✗</v>
      </c>
      <c r="Q67" s="23" t="str">
        <f>IFERROR(__xludf.DUMMYFUNCTION("if(REGEXMATCH(join("", "",$G67:$H67),Q$1)=TRUE,""✓"",""✗"")"),"✗")</f>
        <v>✗</v>
      </c>
      <c r="R67" s="23" t="str">
        <f>IFERROR(__xludf.DUMMYFUNCTION("if(REGEXMATCH(join("", "",$G67:$H67),R$1)=TRUE,""✓"",""✗"")"),"✓")</f>
        <v>✓</v>
      </c>
      <c r="S67" s="23" t="str">
        <f>IFERROR(__xludf.DUMMYFUNCTION("if(REGEXMATCH(join("", "",$G67:$H67),S$1)=TRUE,""✓"",""✗"")"),"✗")</f>
        <v>✗</v>
      </c>
      <c r="T67" s="23" t="str">
        <f>IFERROR(__xludf.DUMMYFUNCTION("if(REGEXMATCH(join("", "",$G67:$H67),T$1)=TRUE,""✓"",""✗"")"),"✓")</f>
        <v>✓</v>
      </c>
      <c r="U67" s="23" t="str">
        <f>IFERROR(__xludf.DUMMYFUNCTION("if(REGEXMATCH(join("", "",$G67:$H67),U$1)=TRUE,""✓"",""✗"")"),"✓")</f>
        <v>✓</v>
      </c>
    </row>
    <row r="68">
      <c r="A68" s="8">
        <v>67.0</v>
      </c>
      <c r="B68" s="8" t="s">
        <v>161</v>
      </c>
      <c r="C68" s="16" t="str">
        <f t="shared" si="1"/>
        <v>Mohtadi et al., Chan et al., 2019</v>
      </c>
      <c r="D68" s="30" t="s">
        <v>387</v>
      </c>
      <c r="E68" s="15" t="str">
        <f t="shared" si="2"/>
        <v>https://raw.githubusercontent.com/d-wkim/phd/refs/heads/main/data/pdf/mohtadi_chan_2019 .pdf</v>
      </c>
      <c r="F68" s="8" t="s">
        <v>32</v>
      </c>
      <c r="G68" s="8" t="s">
        <v>33</v>
      </c>
      <c r="H68" s="32" t="s">
        <v>162</v>
      </c>
      <c r="I68" s="23" t="str">
        <f>IFERROR(__xludf.DUMMYFUNCTION("if(REGEXMATCH(join("", "",$G68:$H68),I$1)=TRUE,""✓"",""✗"")"),"✓")</f>
        <v>✓</v>
      </c>
      <c r="J68" s="23" t="str">
        <f>IFERROR(__xludf.DUMMYFUNCTION("if(REGEXMATCH(join("", "",$G68:$H68),J$1)=TRUE,""✓"",""✗"")"),"✓")</f>
        <v>✓</v>
      </c>
      <c r="K68" s="23" t="str">
        <f>IFERROR(__xludf.DUMMYFUNCTION("if(REGEXMATCH(join("", "",$G68:$H68),K$1)=TRUE,""✓"",""✗"")"),"✗")</f>
        <v>✗</v>
      </c>
      <c r="L68" s="23" t="str">
        <f>IFERROR(__xludf.DUMMYFUNCTION("if(REGEXMATCH(join("", "",$G68:$H68),L$1)=TRUE,""✓"",""✗"")"),"✗")</f>
        <v>✗</v>
      </c>
      <c r="M68" s="23" t="str">
        <f>IFERROR(__xludf.DUMMYFUNCTION("if(REGEXMATCH(join("", "",$G68:$H68),M$1)=TRUE,""✓"",""✗"")"),"✗")</f>
        <v>✗</v>
      </c>
      <c r="N68" s="23" t="str">
        <f>IFERROR(__xludf.DUMMYFUNCTION("if(REGEXMATCH(join("", "",$G68:$H68),N$1)=TRUE,""✓"",""✗"")"),"✗")</f>
        <v>✗</v>
      </c>
      <c r="O68" s="23" t="str">
        <f>IFERROR(__xludf.DUMMYFUNCTION("if(REGEXMATCH(join("", "",$G68:$H68),O$1)=TRUE,""✓"",""✗"")"),"✓")</f>
        <v>✓</v>
      </c>
      <c r="P68" s="23" t="str">
        <f>IFERROR(__xludf.DUMMYFUNCTION("if(REGEXMATCH(join("", "",$G68:$H68),P$1)=TRUE,""✓"",""✗"")"),"✗")</f>
        <v>✗</v>
      </c>
      <c r="Q68" s="23" t="str">
        <f>IFERROR(__xludf.DUMMYFUNCTION("if(REGEXMATCH(join("", "",$G68:$H68),Q$1)=TRUE,""✓"",""✗"")"),"✗")</f>
        <v>✗</v>
      </c>
      <c r="R68" s="23" t="str">
        <f>IFERROR(__xludf.DUMMYFUNCTION("if(REGEXMATCH(join("", "",$G68:$H68),R$1)=TRUE,""✓"",""✗"")"),"✓")</f>
        <v>✓</v>
      </c>
      <c r="S68" s="23" t="str">
        <f>IFERROR(__xludf.DUMMYFUNCTION("if(REGEXMATCH(join("", "",$G68:$H68),S$1)=TRUE,""✓"",""✗"")"),"✓")</f>
        <v>✓</v>
      </c>
      <c r="T68" s="23" t="str">
        <f>IFERROR(__xludf.DUMMYFUNCTION("if(REGEXMATCH(join("", "",$G68:$H68),T$1)=TRUE,""✓"",""✗"")"),"✓")</f>
        <v>✓</v>
      </c>
      <c r="U68" s="23" t="str">
        <f>IFERROR(__xludf.DUMMYFUNCTION("if(REGEXMATCH(join("", "",$G68:$H68),U$1)=TRUE,""✓"",""✗"")"),"✓")</f>
        <v>✓</v>
      </c>
    </row>
    <row r="69">
      <c r="A69" s="8">
        <v>68.0</v>
      </c>
      <c r="B69" s="8" t="s">
        <v>164</v>
      </c>
      <c r="C69" s="16" t="str">
        <f t="shared" si="1"/>
        <v>Moraiti et al., 2010</v>
      </c>
      <c r="D69" s="30" t="s">
        <v>388</v>
      </c>
      <c r="E69" s="15" t="str">
        <f t="shared" si="2"/>
        <v>https://raw.githubusercontent.com/d-wkim/phd/refs/heads/main/data/pdf/moraiti_2010 .pdf</v>
      </c>
      <c r="F69" s="8" t="s">
        <v>32</v>
      </c>
      <c r="G69" s="8" t="s">
        <v>33</v>
      </c>
      <c r="H69" s="32" t="s">
        <v>165</v>
      </c>
      <c r="I69" s="23" t="str">
        <f>IFERROR(__xludf.DUMMYFUNCTION("if(REGEXMATCH(join("", "",$G69:$H69),I$1)=TRUE,""✓"",""✗"")"),"✓")</f>
        <v>✓</v>
      </c>
      <c r="J69" s="23" t="str">
        <f>IFERROR(__xludf.DUMMYFUNCTION("if(REGEXMATCH(join("", "",$G69:$H69),J$1)=TRUE,""✓"",""✗"")"),"✓")</f>
        <v>✓</v>
      </c>
      <c r="K69" s="23" t="str">
        <f>IFERROR(__xludf.DUMMYFUNCTION("if(REGEXMATCH(join("", "",$G69:$H69),K$1)=TRUE,""✓"",""✗"")"),"✗")</f>
        <v>✗</v>
      </c>
      <c r="L69" s="23" t="str">
        <f>IFERROR(__xludf.DUMMYFUNCTION("if(REGEXMATCH(join("", "",$G69:$H69),L$1)=TRUE,""✓"",""✗"")"),"✗")</f>
        <v>✗</v>
      </c>
      <c r="M69" s="23" t="str">
        <f>IFERROR(__xludf.DUMMYFUNCTION("if(REGEXMATCH(join("", "",$G69:$H69),M$1)=TRUE,""✓"",""✗"")"),"✗")</f>
        <v>✗</v>
      </c>
      <c r="N69" s="23" t="str">
        <f>IFERROR(__xludf.DUMMYFUNCTION("if(REGEXMATCH(join("", "",$G69:$H69),N$1)=TRUE,""✓"",""✗"")"),"✗")</f>
        <v>✗</v>
      </c>
      <c r="O69" s="23" t="str">
        <f>IFERROR(__xludf.DUMMYFUNCTION("if(REGEXMATCH(join("", "",$G69:$H69),O$1)=TRUE,""✓"",""✗"")"),"✓")</f>
        <v>✓</v>
      </c>
      <c r="P69" s="23" t="str">
        <f>IFERROR(__xludf.DUMMYFUNCTION("if(REGEXMATCH(join("", "",$G69:$H69),P$1)=TRUE,""✓"",""✗"")"),"✓")</f>
        <v>✓</v>
      </c>
      <c r="Q69" s="23" t="str">
        <f>IFERROR(__xludf.DUMMYFUNCTION("if(REGEXMATCH(join("", "",$G69:$H69),Q$1)=TRUE,""✓"",""✗"")"),"✓")</f>
        <v>✓</v>
      </c>
      <c r="R69" s="23" t="str">
        <f>IFERROR(__xludf.DUMMYFUNCTION("if(REGEXMATCH(join("", "",$G69:$H69),R$1)=TRUE,""✓"",""✗"")"),"✓")</f>
        <v>✓</v>
      </c>
      <c r="S69" s="23" t="str">
        <f>IFERROR(__xludf.DUMMYFUNCTION("if(REGEXMATCH(join("", "",$G69:$H69),S$1)=TRUE,""✓"",""✗"")"),"✗")</f>
        <v>✗</v>
      </c>
      <c r="T69" s="23" t="str">
        <f>IFERROR(__xludf.DUMMYFUNCTION("if(REGEXMATCH(join("", "",$G69:$H69),T$1)=TRUE,""✓"",""✗"")"),"✓")</f>
        <v>✓</v>
      </c>
      <c r="U69" s="23" t="str">
        <f>IFERROR(__xludf.DUMMYFUNCTION("if(REGEXMATCH(join("", "",$G69:$H69),U$1)=TRUE,""✓"",""✗"")"),"✓")</f>
        <v>✓</v>
      </c>
    </row>
    <row r="70" hidden="1">
      <c r="A70" s="8">
        <v>69.0</v>
      </c>
      <c r="B70" s="8" t="s">
        <v>390</v>
      </c>
      <c r="C70" s="42" t="str">
        <f t="shared" si="1"/>
        <v>Mouzopoulos et al., 2015</v>
      </c>
      <c r="D70" s="8" t="s">
        <v>391</v>
      </c>
      <c r="E70" s="15" t="str">
        <f t="shared" si="2"/>
        <v>https://raw.githubusercontent.com/d-wkim/phd/refs/heads/main/data/pdf/mouzopoulos_2015 .pdf</v>
      </c>
      <c r="F70" s="8" t="s">
        <v>102</v>
      </c>
      <c r="G70" s="8"/>
      <c r="H70" s="8" t="s">
        <v>230</v>
      </c>
      <c r="I70" s="23" t="str">
        <f>IFERROR(__xludf.DUMMYFUNCTION("if(REGEXMATCH(join("", "",$G70:$H70),I$1)=TRUE,""✓"",""✗"")"),"✗")</f>
        <v>✗</v>
      </c>
      <c r="J70" s="23" t="str">
        <f>IFERROR(__xludf.DUMMYFUNCTION("if(REGEXMATCH(join("", "",$G70:$H70),J$1)=TRUE,""✓"",""✗"")"),"✗")</f>
        <v>✗</v>
      </c>
      <c r="K70" s="23" t="str">
        <f>IFERROR(__xludf.DUMMYFUNCTION("if(REGEXMATCH(join("", "",$G70:$H70),K$1)=TRUE,""✓"",""✗"")"),"✗")</f>
        <v>✗</v>
      </c>
      <c r="L70" s="23" t="str">
        <f>IFERROR(__xludf.DUMMYFUNCTION("if(REGEXMATCH(join("", "",$G70:$H70),L$1)=TRUE,""✓"",""✗"")"),"✗")</f>
        <v>✗</v>
      </c>
      <c r="M70" s="23" t="str">
        <f>IFERROR(__xludf.DUMMYFUNCTION("if(REGEXMATCH(join("", "",$G70:$H70),M$1)=TRUE,""✓"",""✗"")"),"✗")</f>
        <v>✗</v>
      </c>
      <c r="N70" s="23" t="str">
        <f>IFERROR(__xludf.DUMMYFUNCTION("if(REGEXMATCH(join("", "",$G70:$H70),N$1)=TRUE,""✓"",""✗"")"),"✗")</f>
        <v>✗</v>
      </c>
      <c r="O70" s="23" t="str">
        <f>IFERROR(__xludf.DUMMYFUNCTION("if(REGEXMATCH(join("", "",$G70:$H70),O$1)=TRUE,""✓"",""✗"")"),"✗")</f>
        <v>✗</v>
      </c>
      <c r="P70" s="23" t="str">
        <f>IFERROR(__xludf.DUMMYFUNCTION("if(REGEXMATCH(join("", "",$G70:$H70),P$1)=TRUE,""✓"",""✗"")"),"✗")</f>
        <v>✗</v>
      </c>
      <c r="Q70" s="23" t="str">
        <f>IFERROR(__xludf.DUMMYFUNCTION("if(REGEXMATCH(join("", "",$G70:$H70),Q$1)=TRUE,""✓"",""✗"")"),"✗")</f>
        <v>✗</v>
      </c>
      <c r="R70" s="23" t="str">
        <f>IFERROR(__xludf.DUMMYFUNCTION("if(REGEXMATCH(join("", "",$G70:$H70),R$1)=TRUE,""✓"",""✗"")"),"✗")</f>
        <v>✗</v>
      </c>
      <c r="S70" s="23" t="str">
        <f>IFERROR(__xludf.DUMMYFUNCTION("if(REGEXMATCH(join("", "",$G70:$H70),S$1)=TRUE,""✓"",""✗"")"),"✗")</f>
        <v>✗</v>
      </c>
      <c r="T70" s="23" t="str">
        <f>IFERROR(__xludf.DUMMYFUNCTION("if(REGEXMATCH(join("", "",$G70:$H70),T$1)=TRUE,""✓"",""✗"")"),"✗")</f>
        <v>✗</v>
      </c>
      <c r="U70" s="23" t="str">
        <f>IFERROR(__xludf.DUMMYFUNCTION("if(REGEXMATCH(join("", "",$G70:$H70),U$1)=TRUE,""✓"",""✗"")"),"✗")</f>
        <v>✗</v>
      </c>
    </row>
    <row r="71">
      <c r="A71" s="8">
        <v>70.0</v>
      </c>
      <c r="B71" s="8" t="s">
        <v>166</v>
      </c>
      <c r="C71" s="16" t="str">
        <f t="shared" si="1"/>
        <v>Noh et al., 2011</v>
      </c>
      <c r="D71" s="30" t="s">
        <v>394</v>
      </c>
      <c r="E71" s="15" t="str">
        <f t="shared" si="2"/>
        <v>https://raw.githubusercontent.com/d-wkim/phd/refs/heads/main/data/pdf/noh_2011 .pdf</v>
      </c>
      <c r="F71" s="8" t="s">
        <v>32</v>
      </c>
      <c r="G71" s="32" t="s">
        <v>395</v>
      </c>
      <c r="H71" s="32" t="s">
        <v>167</v>
      </c>
      <c r="I71" s="23" t="str">
        <f>IFERROR(__xludf.DUMMYFUNCTION("if(REGEXMATCH(join("", "",$G71:$H71),I$1)=TRUE,""✓"",""✗"")"),"✗")</f>
        <v>✗</v>
      </c>
      <c r="J71" s="23" t="str">
        <f>IFERROR(__xludf.DUMMYFUNCTION("if(REGEXMATCH(join("", "",$G71:$H71),J$1)=TRUE,""✓"",""✗"")"),"✓")</f>
        <v>✓</v>
      </c>
      <c r="K71" s="23" t="str">
        <f>IFERROR(__xludf.DUMMYFUNCTION("if(REGEXMATCH(join("", "",$G71:$H71),K$1)=TRUE,""✓"",""✗"")"),"✗")</f>
        <v>✗</v>
      </c>
      <c r="L71" s="23" t="str">
        <f>IFERROR(__xludf.DUMMYFUNCTION("if(REGEXMATCH(join("", "",$G71:$H71),L$1)=TRUE,""✓"",""✗"")"),"✗")</f>
        <v>✗</v>
      </c>
      <c r="M71" s="23" t="str">
        <f>IFERROR(__xludf.DUMMYFUNCTION("if(REGEXMATCH(join("", "",$G71:$H71),M$1)=TRUE,""✓"",""✗"")"),"✓")</f>
        <v>✓</v>
      </c>
      <c r="N71" s="23" t="str">
        <f>IFERROR(__xludf.DUMMYFUNCTION("if(REGEXMATCH(join("", "",$G71:$H71),N$1)=TRUE,""✓"",""✗"")"),"✗")</f>
        <v>✗</v>
      </c>
      <c r="O71" s="23" t="str">
        <f>IFERROR(__xludf.DUMMYFUNCTION("if(REGEXMATCH(join("", "",$G71:$H71),O$1)=TRUE,""✓"",""✗"")"),"✓")</f>
        <v>✓</v>
      </c>
      <c r="P71" s="23" t="str">
        <f>IFERROR(__xludf.DUMMYFUNCTION("if(REGEXMATCH(join("", "",$G71:$H71),P$1)=TRUE,""✓"",""✗"")"),"✓")</f>
        <v>✓</v>
      </c>
      <c r="Q71" s="23" t="str">
        <f>IFERROR(__xludf.DUMMYFUNCTION("if(REGEXMATCH(join("", "",$G71:$H71),Q$1)=TRUE,""✓"",""✗"")"),"✓")</f>
        <v>✓</v>
      </c>
      <c r="R71" s="23" t="str">
        <f>IFERROR(__xludf.DUMMYFUNCTION("if(REGEXMATCH(join("", "",$G71:$H71),R$1)=TRUE,""✓"",""✗"")"),"✓")</f>
        <v>✓</v>
      </c>
      <c r="S71" s="23" t="str">
        <f>IFERROR(__xludf.DUMMYFUNCTION("if(REGEXMATCH(join("", "",$G71:$H71),S$1)=TRUE,""✓"",""✗"")"),"✓")</f>
        <v>✓</v>
      </c>
      <c r="T71" s="23" t="str">
        <f>IFERROR(__xludf.DUMMYFUNCTION("if(REGEXMATCH(join("", "",$G71:$H71),T$1)=TRUE,""✓"",""✗"")"),"✓")</f>
        <v>✓</v>
      </c>
      <c r="U71" s="23" t="str">
        <f>IFERROR(__xludf.DUMMYFUNCTION("if(REGEXMATCH(join("", "",$G71:$H71),U$1)=TRUE,""✓"",""✗"")"),"✓")</f>
        <v>✓</v>
      </c>
    </row>
    <row r="72" hidden="1">
      <c r="A72" s="8">
        <v>71.0</v>
      </c>
      <c r="B72" s="8" t="s">
        <v>397</v>
      </c>
      <c r="C72" s="42" t="str">
        <f t="shared" si="1"/>
        <v>Nurmi et al., 2004</v>
      </c>
      <c r="D72" s="8" t="s">
        <v>398</v>
      </c>
      <c r="E72" s="15" t="str">
        <f t="shared" si="2"/>
        <v>https://raw.githubusercontent.com/d-wkim/phd/refs/heads/main/data/pdf/nurmi_2004 .pdf</v>
      </c>
      <c r="F72" s="8" t="s">
        <v>102</v>
      </c>
      <c r="G72" s="32"/>
      <c r="H72" s="8" t="s">
        <v>230</v>
      </c>
      <c r="I72" s="23" t="str">
        <f>IFERROR(__xludf.DUMMYFUNCTION("if(REGEXMATCH(join("", "",$G72:$H72),I$1)=TRUE,""✓"",""✗"")"),"✗")</f>
        <v>✗</v>
      </c>
      <c r="J72" s="23" t="str">
        <f>IFERROR(__xludf.DUMMYFUNCTION("if(REGEXMATCH(join("", "",$G72:$H72),J$1)=TRUE,""✓"",""✗"")"),"✗")</f>
        <v>✗</v>
      </c>
      <c r="K72" s="23" t="str">
        <f>IFERROR(__xludf.DUMMYFUNCTION("if(REGEXMATCH(join("", "",$G72:$H72),K$1)=TRUE,""✓"",""✗"")"),"✗")</f>
        <v>✗</v>
      </c>
      <c r="L72" s="23" t="str">
        <f>IFERROR(__xludf.DUMMYFUNCTION("if(REGEXMATCH(join("", "",$G72:$H72),L$1)=TRUE,""✓"",""✗"")"),"✗")</f>
        <v>✗</v>
      </c>
      <c r="M72" s="23" t="str">
        <f>IFERROR(__xludf.DUMMYFUNCTION("if(REGEXMATCH(join("", "",$G72:$H72),M$1)=TRUE,""✓"",""✗"")"),"✗")</f>
        <v>✗</v>
      </c>
      <c r="N72" s="23" t="str">
        <f>IFERROR(__xludf.DUMMYFUNCTION("if(REGEXMATCH(join("", "",$G72:$H72),N$1)=TRUE,""✓"",""✗"")"),"✗")</f>
        <v>✗</v>
      </c>
      <c r="O72" s="23" t="str">
        <f>IFERROR(__xludf.DUMMYFUNCTION("if(REGEXMATCH(join("", "",$G72:$H72),O$1)=TRUE,""✓"",""✗"")"),"✗")</f>
        <v>✗</v>
      </c>
      <c r="P72" s="23" t="str">
        <f>IFERROR(__xludf.DUMMYFUNCTION("if(REGEXMATCH(join("", "",$G72:$H72),P$1)=TRUE,""✓"",""✗"")"),"✗")</f>
        <v>✗</v>
      </c>
      <c r="Q72" s="23" t="str">
        <f>IFERROR(__xludf.DUMMYFUNCTION("if(REGEXMATCH(join("", "",$G72:$H72),Q$1)=TRUE,""✓"",""✗"")"),"✗")</f>
        <v>✗</v>
      </c>
      <c r="R72" s="23" t="str">
        <f>IFERROR(__xludf.DUMMYFUNCTION("if(REGEXMATCH(join("", "",$G72:$H72),R$1)=TRUE,""✓"",""✗"")"),"✗")</f>
        <v>✗</v>
      </c>
      <c r="S72" s="23" t="str">
        <f>IFERROR(__xludf.DUMMYFUNCTION("if(REGEXMATCH(join("", "",$G72:$H72),S$1)=TRUE,""✓"",""✗"")"),"✗")</f>
        <v>✗</v>
      </c>
      <c r="T72" s="23" t="str">
        <f>IFERROR(__xludf.DUMMYFUNCTION("if(REGEXMATCH(join("", "",$G72:$H72),T$1)=TRUE,""✓"",""✗"")"),"✗")</f>
        <v>✗</v>
      </c>
      <c r="U72" s="23" t="str">
        <f>IFERROR(__xludf.DUMMYFUNCTION("if(REGEXMATCH(join("", "",$G72:$H72),U$1)=TRUE,""✓"",""✗"")"),"✗")</f>
        <v>✗</v>
      </c>
    </row>
    <row r="73">
      <c r="A73" s="8">
        <v>72.0</v>
      </c>
      <c r="B73" s="8" t="s">
        <v>169</v>
      </c>
      <c r="C73" s="16" t="str">
        <f t="shared" si="1"/>
        <v>Oneill et al., 1996</v>
      </c>
      <c r="D73" s="30" t="s">
        <v>399</v>
      </c>
      <c r="E73" s="15" t="str">
        <f t="shared" si="2"/>
        <v>https://raw.githubusercontent.com/d-wkim/phd/refs/heads/main/data/pdf/oneill_1996 .pdf</v>
      </c>
      <c r="F73" s="8" t="s">
        <v>32</v>
      </c>
      <c r="G73" s="8" t="s">
        <v>33</v>
      </c>
      <c r="H73" s="32" t="s">
        <v>108</v>
      </c>
      <c r="I73" s="23" t="str">
        <f>IFERROR(__xludf.DUMMYFUNCTION("if(REGEXMATCH(join("", "",$G73:$H73),I$1)=TRUE,""✓"",""✗"")"),"✓")</f>
        <v>✓</v>
      </c>
      <c r="J73" s="23" t="str">
        <f>IFERROR(__xludf.DUMMYFUNCTION("if(REGEXMATCH(join("", "",$G73:$H73),J$1)=TRUE,""✓"",""✗"")"),"✓")</f>
        <v>✓</v>
      </c>
      <c r="K73" s="23" t="str">
        <f>IFERROR(__xludf.DUMMYFUNCTION("if(REGEXMATCH(join("", "",$G73:$H73),K$1)=TRUE,""✓"",""✗"")"),"✗")</f>
        <v>✗</v>
      </c>
      <c r="L73" s="23" t="str">
        <f>IFERROR(__xludf.DUMMYFUNCTION("if(REGEXMATCH(join("", "",$G73:$H73),L$1)=TRUE,""✓"",""✗"")"),"✗")</f>
        <v>✗</v>
      </c>
      <c r="M73" s="23" t="str">
        <f>IFERROR(__xludf.DUMMYFUNCTION("if(REGEXMATCH(join("", "",$G73:$H73),M$1)=TRUE,""✓"",""✗"")"),"✗")</f>
        <v>✗</v>
      </c>
      <c r="N73" s="23" t="str">
        <f>IFERROR(__xludf.DUMMYFUNCTION("if(REGEXMATCH(join("", "",$G73:$H73),N$1)=TRUE,""✓"",""✗"")"),"✗")</f>
        <v>✗</v>
      </c>
      <c r="O73" s="23" t="str">
        <f>IFERROR(__xludf.DUMMYFUNCTION("if(REGEXMATCH(join("", "",$G73:$H73),O$1)=TRUE,""✓"",""✗"")"),"✓")</f>
        <v>✓</v>
      </c>
      <c r="P73" s="23" t="str">
        <f>IFERROR(__xludf.DUMMYFUNCTION("if(REGEXMATCH(join("", "",$G73:$H73),P$1)=TRUE,""✓"",""✗"")"),"✓")</f>
        <v>✓</v>
      </c>
      <c r="Q73" s="23" t="str">
        <f>IFERROR(__xludf.DUMMYFUNCTION("if(REGEXMATCH(join("", "",$G73:$H73),Q$1)=TRUE,""✓"",""✗"")"),"✗")</f>
        <v>✗</v>
      </c>
      <c r="R73" s="23" t="str">
        <f>IFERROR(__xludf.DUMMYFUNCTION("if(REGEXMATCH(join("", "",$G73:$H73),R$1)=TRUE,""✓"",""✗"")"),"✓")</f>
        <v>✓</v>
      </c>
      <c r="S73" s="23" t="str">
        <f>IFERROR(__xludf.DUMMYFUNCTION("if(REGEXMATCH(join("", "",$G73:$H73),S$1)=TRUE,""✓"",""✗"")"),"✗")</f>
        <v>✗</v>
      </c>
      <c r="T73" s="23" t="str">
        <f>IFERROR(__xludf.DUMMYFUNCTION("if(REGEXMATCH(join("", "",$G73:$H73),T$1)=TRUE,""✓"",""✗"")"),"✗")</f>
        <v>✗</v>
      </c>
      <c r="U73" s="23" t="str">
        <f>IFERROR(__xludf.DUMMYFUNCTION("if(REGEXMATCH(join("", "",$G73:$H73),U$1)=TRUE,""✓"",""✗"")"),"✗")</f>
        <v>✗</v>
      </c>
    </row>
    <row r="74">
      <c r="A74" s="8">
        <v>73.0</v>
      </c>
      <c r="B74" s="8" t="s">
        <v>171</v>
      </c>
      <c r="C74" s="16" t="str">
        <f t="shared" si="1"/>
        <v>Papalia et al., 2015</v>
      </c>
      <c r="D74" s="30" t="s">
        <v>401</v>
      </c>
      <c r="E74" s="15" t="str">
        <f t="shared" si="2"/>
        <v>https://raw.githubusercontent.com/d-wkim/phd/refs/heads/main/data/pdf/papalia_2015 .pdf</v>
      </c>
      <c r="F74" s="8" t="s">
        <v>32</v>
      </c>
      <c r="G74" s="8" t="s">
        <v>33</v>
      </c>
      <c r="H74" s="32" t="s">
        <v>120</v>
      </c>
      <c r="I74" s="23" t="str">
        <f>IFERROR(__xludf.DUMMYFUNCTION("if(REGEXMATCH(join("", "",$G74:$H74),I$1)=TRUE,""✓"",""✗"")"),"✓")</f>
        <v>✓</v>
      </c>
      <c r="J74" s="23" t="str">
        <f>IFERROR(__xludf.DUMMYFUNCTION("if(REGEXMATCH(join("", "",$G74:$H74),J$1)=TRUE,""✓"",""✗"")"),"✓")</f>
        <v>✓</v>
      </c>
      <c r="K74" s="23" t="str">
        <f>IFERROR(__xludf.DUMMYFUNCTION("if(REGEXMATCH(join("", "",$G74:$H74),K$1)=TRUE,""✓"",""✗"")"),"✗")</f>
        <v>✗</v>
      </c>
      <c r="L74" s="23" t="str">
        <f>IFERROR(__xludf.DUMMYFUNCTION("if(REGEXMATCH(join("", "",$G74:$H74),L$1)=TRUE,""✓"",""✗"")"),"✗")</f>
        <v>✗</v>
      </c>
      <c r="M74" s="23" t="str">
        <f>IFERROR(__xludf.DUMMYFUNCTION("if(REGEXMATCH(join("", "",$G74:$H74),M$1)=TRUE,""✓"",""✗"")"),"✗")</f>
        <v>✗</v>
      </c>
      <c r="N74" s="23" t="str">
        <f>IFERROR(__xludf.DUMMYFUNCTION("if(REGEXMATCH(join("", "",$G74:$H74),N$1)=TRUE,""✓"",""✗"")"),"✗")</f>
        <v>✗</v>
      </c>
      <c r="O74" s="23" t="str">
        <f>IFERROR(__xludf.DUMMYFUNCTION("if(REGEXMATCH(join("", "",$G74:$H74),O$1)=TRUE,""✓"",""✗"")"),"✓")</f>
        <v>✓</v>
      </c>
      <c r="P74" s="23" t="str">
        <f>IFERROR(__xludf.DUMMYFUNCTION("if(REGEXMATCH(join("", "",$G74:$H74),P$1)=TRUE,""✓"",""✗"")"),"✓")</f>
        <v>✓</v>
      </c>
      <c r="Q74" s="23" t="str">
        <f>IFERROR(__xludf.DUMMYFUNCTION("if(REGEXMATCH(join("", "",$G74:$H74),Q$1)=TRUE,""✓"",""✗"")"),"✗")</f>
        <v>✗</v>
      </c>
      <c r="R74" s="23" t="str">
        <f>IFERROR(__xludf.DUMMYFUNCTION("if(REGEXMATCH(join("", "",$G74:$H74),R$1)=TRUE,""✓"",""✗"")"),"✗")</f>
        <v>✗</v>
      </c>
      <c r="S74" s="23" t="str">
        <f>IFERROR(__xludf.DUMMYFUNCTION("if(REGEXMATCH(join("", "",$G74:$H74),S$1)=TRUE,""✓"",""✗"")"),"✗")</f>
        <v>✗</v>
      </c>
      <c r="T74" s="23" t="str">
        <f>IFERROR(__xludf.DUMMYFUNCTION("if(REGEXMATCH(join("", "",$G74:$H74),T$1)=TRUE,""✓"",""✗"")"),"✗")</f>
        <v>✗</v>
      </c>
      <c r="U74" s="23" t="str">
        <f>IFERROR(__xludf.DUMMYFUNCTION("if(REGEXMATCH(join("", "",$G74:$H74),U$1)=TRUE,""✓"",""✗"")"),"✗")</f>
        <v>✗</v>
      </c>
    </row>
    <row r="75" hidden="1">
      <c r="A75" s="8">
        <v>74.0</v>
      </c>
      <c r="B75" s="8" t="s">
        <v>402</v>
      </c>
      <c r="C75" s="42" t="str">
        <f t="shared" si="1"/>
        <v>Pässler et al., 2015</v>
      </c>
      <c r="D75" s="8" t="s">
        <v>403</v>
      </c>
      <c r="E75" s="15" t="str">
        <f t="shared" si="2"/>
        <v>https://raw.githubusercontent.com/d-wkim/phd/refs/heads/main/data/pdf/pässler_2015 .pdf</v>
      </c>
      <c r="F75" s="8" t="s">
        <v>102</v>
      </c>
      <c r="G75" s="8"/>
      <c r="H75" s="8" t="s">
        <v>281</v>
      </c>
      <c r="I75" s="23" t="str">
        <f>IFERROR(__xludf.DUMMYFUNCTION("if(REGEXMATCH(join("", "",$G75:$H75),I$1)=TRUE,""✓"",""✗"")"),"✗")</f>
        <v>✗</v>
      </c>
      <c r="J75" s="23" t="str">
        <f>IFERROR(__xludf.DUMMYFUNCTION("if(REGEXMATCH(join("", "",$G75:$H75),J$1)=TRUE,""✓"",""✗"")"),"✗")</f>
        <v>✗</v>
      </c>
      <c r="K75" s="23" t="str">
        <f>IFERROR(__xludf.DUMMYFUNCTION("if(REGEXMATCH(join("", "",$G75:$H75),K$1)=TRUE,""✓"",""✗"")"),"✗")</f>
        <v>✗</v>
      </c>
      <c r="L75" s="23" t="str">
        <f>IFERROR(__xludf.DUMMYFUNCTION("if(REGEXMATCH(join("", "",$G75:$H75),L$1)=TRUE,""✓"",""✗"")"),"✗")</f>
        <v>✗</v>
      </c>
      <c r="M75" s="23" t="str">
        <f>IFERROR(__xludf.DUMMYFUNCTION("if(REGEXMATCH(join("", "",$G75:$H75),M$1)=TRUE,""✓"",""✗"")"),"✗")</f>
        <v>✗</v>
      </c>
      <c r="N75" s="23" t="str">
        <f>IFERROR(__xludf.DUMMYFUNCTION("if(REGEXMATCH(join("", "",$G75:$H75),N$1)=TRUE,""✓"",""✗"")"),"✗")</f>
        <v>✗</v>
      </c>
      <c r="O75" s="23" t="str">
        <f>IFERROR(__xludf.DUMMYFUNCTION("if(REGEXMATCH(join("", "",$G75:$H75),O$1)=TRUE,""✓"",""✗"")"),"✗")</f>
        <v>✗</v>
      </c>
      <c r="P75" s="23" t="str">
        <f>IFERROR(__xludf.DUMMYFUNCTION("if(REGEXMATCH(join("", "",$G75:$H75),P$1)=TRUE,""✓"",""✗"")"),"✗")</f>
        <v>✗</v>
      </c>
      <c r="Q75" s="23" t="str">
        <f>IFERROR(__xludf.DUMMYFUNCTION("if(REGEXMATCH(join("", "",$G75:$H75),Q$1)=TRUE,""✓"",""✗"")"),"✗")</f>
        <v>✗</v>
      </c>
      <c r="R75" s="23" t="str">
        <f>IFERROR(__xludf.DUMMYFUNCTION("if(REGEXMATCH(join("", "",$G75:$H75),R$1)=TRUE,""✓"",""✗"")"),"✗")</f>
        <v>✗</v>
      </c>
      <c r="S75" s="23" t="str">
        <f>IFERROR(__xludf.DUMMYFUNCTION("if(REGEXMATCH(join("", "",$G75:$H75),S$1)=TRUE,""✓"",""✗"")"),"✗")</f>
        <v>✗</v>
      </c>
      <c r="T75" s="23" t="str">
        <f>IFERROR(__xludf.DUMMYFUNCTION("if(REGEXMATCH(join("", "",$G75:$H75),T$1)=TRUE,""✓"",""✗"")"),"✗")</f>
        <v>✗</v>
      </c>
      <c r="U75" s="23" t="str">
        <f>IFERROR(__xludf.DUMMYFUNCTION("if(REGEXMATCH(join("", "",$G75:$H75),U$1)=TRUE,""✓"",""✗"")"),"✗")</f>
        <v>✗</v>
      </c>
    </row>
    <row r="76" hidden="1">
      <c r="A76" s="8">
        <v>75.0</v>
      </c>
      <c r="B76" s="8" t="s">
        <v>405</v>
      </c>
      <c r="C76" s="42" t="str">
        <f t="shared" si="1"/>
        <v>Pigozzi et al., 2004</v>
      </c>
      <c r="D76" s="8" t="s">
        <v>406</v>
      </c>
      <c r="E76" s="15" t="str">
        <f t="shared" si="2"/>
        <v>https://raw.githubusercontent.com/d-wkim/phd/refs/heads/main/data/pdf/pigozzi_2004 .pdf</v>
      </c>
      <c r="F76" s="8" t="s">
        <v>102</v>
      </c>
      <c r="G76" s="32"/>
      <c r="H76" s="8" t="s">
        <v>230</v>
      </c>
      <c r="I76" s="23" t="str">
        <f>IFERROR(__xludf.DUMMYFUNCTION("if(REGEXMATCH(join("", "",$G76:$H76),I$1)=TRUE,""✓"",""✗"")"),"✗")</f>
        <v>✗</v>
      </c>
      <c r="J76" s="23" t="str">
        <f>IFERROR(__xludf.DUMMYFUNCTION("if(REGEXMATCH(join("", "",$G76:$H76),J$1)=TRUE,""✓"",""✗"")"),"✗")</f>
        <v>✗</v>
      </c>
      <c r="K76" s="23" t="str">
        <f>IFERROR(__xludf.DUMMYFUNCTION("if(REGEXMATCH(join("", "",$G76:$H76),K$1)=TRUE,""✓"",""✗"")"),"✗")</f>
        <v>✗</v>
      </c>
      <c r="L76" s="23" t="str">
        <f>IFERROR(__xludf.DUMMYFUNCTION("if(REGEXMATCH(join("", "",$G76:$H76),L$1)=TRUE,""✓"",""✗"")"),"✗")</f>
        <v>✗</v>
      </c>
      <c r="M76" s="23" t="str">
        <f>IFERROR(__xludf.DUMMYFUNCTION("if(REGEXMATCH(join("", "",$G76:$H76),M$1)=TRUE,""✓"",""✗"")"),"✗")</f>
        <v>✗</v>
      </c>
      <c r="N76" s="23" t="str">
        <f>IFERROR(__xludf.DUMMYFUNCTION("if(REGEXMATCH(join("", "",$G76:$H76),N$1)=TRUE,""✓"",""✗"")"),"✗")</f>
        <v>✗</v>
      </c>
      <c r="O76" s="23" t="str">
        <f>IFERROR(__xludf.DUMMYFUNCTION("if(REGEXMATCH(join("", "",$G76:$H76),O$1)=TRUE,""✓"",""✗"")"),"✗")</f>
        <v>✗</v>
      </c>
      <c r="P76" s="23" t="str">
        <f>IFERROR(__xludf.DUMMYFUNCTION("if(REGEXMATCH(join("", "",$G76:$H76),P$1)=TRUE,""✓"",""✗"")"),"✗")</f>
        <v>✗</v>
      </c>
      <c r="Q76" s="23" t="str">
        <f>IFERROR(__xludf.DUMMYFUNCTION("if(REGEXMATCH(join("", "",$G76:$H76),Q$1)=TRUE,""✓"",""✗"")"),"✗")</f>
        <v>✗</v>
      </c>
      <c r="R76" s="23" t="str">
        <f>IFERROR(__xludf.DUMMYFUNCTION("if(REGEXMATCH(join("", "",$G76:$H76),R$1)=TRUE,""✓"",""✗"")"),"✗")</f>
        <v>✗</v>
      </c>
      <c r="S76" s="23" t="str">
        <f>IFERROR(__xludf.DUMMYFUNCTION("if(REGEXMATCH(join("", "",$G76:$H76),S$1)=TRUE,""✓"",""✗"")"),"✗")</f>
        <v>✗</v>
      </c>
      <c r="T76" s="23" t="str">
        <f>IFERROR(__xludf.DUMMYFUNCTION("if(REGEXMATCH(join("", "",$G76:$H76),T$1)=TRUE,""✓"",""✗"")"),"✗")</f>
        <v>✗</v>
      </c>
      <c r="U76" s="23" t="str">
        <f>IFERROR(__xludf.DUMMYFUNCTION("if(REGEXMATCH(join("", "",$G76:$H76),U$1)=TRUE,""✓"",""✗"")"),"✗")</f>
        <v>✗</v>
      </c>
    </row>
    <row r="77">
      <c r="A77" s="8">
        <v>76.0</v>
      </c>
      <c r="B77" s="8" t="s">
        <v>174</v>
      </c>
      <c r="C77" s="16" t="str">
        <f t="shared" si="1"/>
        <v>Pinczewski et al., 2007</v>
      </c>
      <c r="D77" s="30" t="s">
        <v>407</v>
      </c>
      <c r="E77" s="15" t="str">
        <f t="shared" si="2"/>
        <v>https://raw.githubusercontent.com/d-wkim/phd/refs/heads/main/data/pdf/pinczewski_2007 .pdf</v>
      </c>
      <c r="F77" s="8" t="s">
        <v>32</v>
      </c>
      <c r="G77" s="8" t="s">
        <v>33</v>
      </c>
      <c r="H77" s="32" t="s">
        <v>41</v>
      </c>
      <c r="I77" s="23" t="str">
        <f>IFERROR(__xludf.DUMMYFUNCTION("if(REGEXMATCH(join("", "",$G77:$H77),I$1)=TRUE,""✓"",""✗"")"),"✓")</f>
        <v>✓</v>
      </c>
      <c r="J77" s="23" t="str">
        <f>IFERROR(__xludf.DUMMYFUNCTION("if(REGEXMATCH(join("", "",$G77:$H77),J$1)=TRUE,""✓"",""✗"")"),"✓")</f>
        <v>✓</v>
      </c>
      <c r="K77" s="23" t="str">
        <f>IFERROR(__xludf.DUMMYFUNCTION("if(REGEXMATCH(join("", "",$G77:$H77),K$1)=TRUE,""✓"",""✗"")"),"✗")</f>
        <v>✗</v>
      </c>
      <c r="L77" s="23" t="str">
        <f>IFERROR(__xludf.DUMMYFUNCTION("if(REGEXMATCH(join("", "",$G77:$H77),L$1)=TRUE,""✓"",""✗"")"),"✗")</f>
        <v>✗</v>
      </c>
      <c r="M77" s="23" t="str">
        <f>IFERROR(__xludf.DUMMYFUNCTION("if(REGEXMATCH(join("", "",$G77:$H77),M$1)=TRUE,""✓"",""✗"")"),"✗")</f>
        <v>✗</v>
      </c>
      <c r="N77" s="23" t="str">
        <f>IFERROR(__xludf.DUMMYFUNCTION("if(REGEXMATCH(join("", "",$G77:$H77),N$1)=TRUE,""✓"",""✗"")"),"✗")</f>
        <v>✗</v>
      </c>
      <c r="O77" s="23" t="str">
        <f>IFERROR(__xludf.DUMMYFUNCTION("if(REGEXMATCH(join("", "",$G77:$H77),O$1)=TRUE,""✓"",""✗"")"),"✓")</f>
        <v>✓</v>
      </c>
      <c r="P77" s="23" t="str">
        <f>IFERROR(__xludf.DUMMYFUNCTION("if(REGEXMATCH(join("", "",$G77:$H77),P$1)=TRUE,""✓"",""✗"")"),"✓")</f>
        <v>✓</v>
      </c>
      <c r="Q77" s="23" t="str">
        <f>IFERROR(__xludf.DUMMYFUNCTION("if(REGEXMATCH(join("", "",$G77:$H77),Q$1)=TRUE,""✓"",""✗"")"),"✗")</f>
        <v>✗</v>
      </c>
      <c r="R77" s="23" t="str">
        <f>IFERROR(__xludf.DUMMYFUNCTION("if(REGEXMATCH(join("", "",$G77:$H77),R$1)=TRUE,""✓"",""✗"")"),"✓")</f>
        <v>✓</v>
      </c>
      <c r="S77" s="23" t="str">
        <f>IFERROR(__xludf.DUMMYFUNCTION("if(REGEXMATCH(join("", "",$G77:$H77),S$1)=TRUE,""✓"",""✗"")"),"✓")</f>
        <v>✓</v>
      </c>
      <c r="T77" s="23" t="str">
        <f>IFERROR(__xludf.DUMMYFUNCTION("if(REGEXMATCH(join("", "",$G77:$H77),T$1)=TRUE,""✓"",""✗"")"),"✓")</f>
        <v>✓</v>
      </c>
      <c r="U77" s="23" t="str">
        <f>IFERROR(__xludf.DUMMYFUNCTION("if(REGEXMATCH(join("", "",$G77:$H77),U$1)=TRUE,""✓"",""✗"")"),"✗")</f>
        <v>✗</v>
      </c>
    </row>
    <row r="78">
      <c r="A78" s="8">
        <v>77.0</v>
      </c>
      <c r="B78" s="8" t="s">
        <v>176</v>
      </c>
      <c r="C78" s="16" t="str">
        <f t="shared" si="1"/>
        <v>Popovic et al., 2024</v>
      </c>
      <c r="D78" s="30" t="s">
        <v>409</v>
      </c>
      <c r="E78" s="15" t="str">
        <f t="shared" si="2"/>
        <v>https://raw.githubusercontent.com/d-wkim/phd/refs/heads/main/data/pdf/popovic_2024 .pdf</v>
      </c>
      <c r="F78" s="8" t="s">
        <v>32</v>
      </c>
      <c r="G78" s="8" t="s">
        <v>33</v>
      </c>
      <c r="H78" s="32" t="s">
        <v>177</v>
      </c>
      <c r="I78" s="23" t="str">
        <f>IFERROR(__xludf.DUMMYFUNCTION("if(REGEXMATCH(join("", "",$G78:$H78),I$1)=TRUE,""✓"",""✗"")"),"✓")</f>
        <v>✓</v>
      </c>
      <c r="J78" s="23" t="str">
        <f>IFERROR(__xludf.DUMMYFUNCTION("if(REGEXMATCH(join("", "",$G78:$H78),J$1)=TRUE,""✓"",""✗"")"),"✓")</f>
        <v>✓</v>
      </c>
      <c r="K78" s="23" t="str">
        <f>IFERROR(__xludf.DUMMYFUNCTION("if(REGEXMATCH(join("", "",$G78:$H78),K$1)=TRUE,""✓"",""✗"")"),"✗")</f>
        <v>✗</v>
      </c>
      <c r="L78" s="23" t="str">
        <f>IFERROR(__xludf.DUMMYFUNCTION("if(REGEXMATCH(join("", "",$G78:$H78),L$1)=TRUE,""✓"",""✗"")"),"✗")</f>
        <v>✗</v>
      </c>
      <c r="M78" s="23" t="str">
        <f>IFERROR(__xludf.DUMMYFUNCTION("if(REGEXMATCH(join("", "",$G78:$H78),M$1)=TRUE,""✓"",""✗"")"),"✗")</f>
        <v>✗</v>
      </c>
      <c r="N78" s="23" t="str">
        <f>IFERROR(__xludf.DUMMYFUNCTION("if(REGEXMATCH(join("", "",$G78:$H78),N$1)=TRUE,""✓"",""✗"")"),"✗")</f>
        <v>✗</v>
      </c>
      <c r="O78" s="23" t="str">
        <f>IFERROR(__xludf.DUMMYFUNCTION("if(REGEXMATCH(join("", "",$G78:$H78),O$1)=TRUE,""✓"",""✗"")"),"✗")</f>
        <v>✗</v>
      </c>
      <c r="P78" s="23" t="str">
        <f>IFERROR(__xludf.DUMMYFUNCTION("if(REGEXMATCH(join("", "",$G78:$H78),P$1)=TRUE,""✓"",""✗"")"),"✓")</f>
        <v>✓</v>
      </c>
      <c r="Q78" s="23" t="str">
        <f>IFERROR(__xludf.DUMMYFUNCTION("if(REGEXMATCH(join("", "",$G78:$H78),Q$1)=TRUE,""✓"",""✗"")"),"✓")</f>
        <v>✓</v>
      </c>
      <c r="R78" s="23" t="str">
        <f>IFERROR(__xludf.DUMMYFUNCTION("if(REGEXMATCH(join("", "",$G78:$H78),R$1)=TRUE,""✓"",""✗"")"),"✓")</f>
        <v>✓</v>
      </c>
      <c r="S78" s="23" t="str">
        <f>IFERROR(__xludf.DUMMYFUNCTION("if(REGEXMATCH(join("", "",$G78:$H78),S$1)=TRUE,""✓"",""✗"")"),"✓")</f>
        <v>✓</v>
      </c>
      <c r="T78" s="23" t="str">
        <f>IFERROR(__xludf.DUMMYFUNCTION("if(REGEXMATCH(join("", "",$G78:$H78),T$1)=TRUE,""✓"",""✗"")"),"✓")</f>
        <v>✓</v>
      </c>
      <c r="U78" s="23" t="str">
        <f>IFERROR(__xludf.DUMMYFUNCTION("if(REGEXMATCH(join("", "",$G78:$H78),U$1)=TRUE,""✓"",""✗"")"),"✗")</f>
        <v>✗</v>
      </c>
    </row>
    <row r="79" hidden="1">
      <c r="A79" s="8">
        <v>78.0</v>
      </c>
      <c r="B79" s="8" t="s">
        <v>411</v>
      </c>
      <c r="C79" s="42" t="str">
        <f t="shared" si="1"/>
        <v>Röpke et al., 2001</v>
      </c>
      <c r="D79" s="8" t="s">
        <v>412</v>
      </c>
      <c r="E79" s="15" t="str">
        <f t="shared" si="2"/>
        <v>https://raw.githubusercontent.com/d-wkim/phd/refs/heads/main/data/pdf/röpke_2001 .pdf</v>
      </c>
      <c r="F79" s="8" t="s">
        <v>102</v>
      </c>
      <c r="G79" s="8"/>
      <c r="H79" s="8" t="s">
        <v>281</v>
      </c>
      <c r="I79" s="23" t="str">
        <f>IFERROR(__xludf.DUMMYFUNCTION("if(REGEXMATCH(join("", "",$G79:$H79),I$1)=TRUE,""✓"",""✗"")"),"✗")</f>
        <v>✗</v>
      </c>
      <c r="J79" s="23" t="str">
        <f>IFERROR(__xludf.DUMMYFUNCTION("if(REGEXMATCH(join("", "",$G79:$H79),J$1)=TRUE,""✓"",""✗"")"),"✗")</f>
        <v>✗</v>
      </c>
      <c r="K79" s="23" t="str">
        <f>IFERROR(__xludf.DUMMYFUNCTION("if(REGEXMATCH(join("", "",$G79:$H79),K$1)=TRUE,""✓"",""✗"")"),"✗")</f>
        <v>✗</v>
      </c>
      <c r="L79" s="23" t="str">
        <f>IFERROR(__xludf.DUMMYFUNCTION("if(REGEXMATCH(join("", "",$G79:$H79),L$1)=TRUE,""✓"",""✗"")"),"✗")</f>
        <v>✗</v>
      </c>
      <c r="M79" s="23" t="str">
        <f>IFERROR(__xludf.DUMMYFUNCTION("if(REGEXMATCH(join("", "",$G79:$H79),M$1)=TRUE,""✓"",""✗"")"),"✗")</f>
        <v>✗</v>
      </c>
      <c r="N79" s="23" t="str">
        <f>IFERROR(__xludf.DUMMYFUNCTION("if(REGEXMATCH(join("", "",$G79:$H79),N$1)=TRUE,""✓"",""✗"")"),"✗")</f>
        <v>✗</v>
      </c>
      <c r="O79" s="23" t="str">
        <f>IFERROR(__xludf.DUMMYFUNCTION("if(REGEXMATCH(join("", "",$G79:$H79),O$1)=TRUE,""✓"",""✗"")"),"✗")</f>
        <v>✗</v>
      </c>
      <c r="P79" s="23" t="str">
        <f>IFERROR(__xludf.DUMMYFUNCTION("if(REGEXMATCH(join("", "",$G79:$H79),P$1)=TRUE,""✓"",""✗"")"),"✗")</f>
        <v>✗</v>
      </c>
      <c r="Q79" s="23" t="str">
        <f>IFERROR(__xludf.DUMMYFUNCTION("if(REGEXMATCH(join("", "",$G79:$H79),Q$1)=TRUE,""✓"",""✗"")"),"✗")</f>
        <v>✗</v>
      </c>
      <c r="R79" s="23" t="str">
        <f>IFERROR(__xludf.DUMMYFUNCTION("if(REGEXMATCH(join("", "",$G79:$H79),R$1)=TRUE,""✓"",""✗"")"),"✗")</f>
        <v>✗</v>
      </c>
      <c r="S79" s="23" t="str">
        <f>IFERROR(__xludf.DUMMYFUNCTION("if(REGEXMATCH(join("", "",$G79:$H79),S$1)=TRUE,""✓"",""✗"")"),"✗")</f>
        <v>✗</v>
      </c>
      <c r="T79" s="23" t="str">
        <f>IFERROR(__xludf.DUMMYFUNCTION("if(REGEXMATCH(join("", "",$G79:$H79),T$1)=TRUE,""✓"",""✗"")"),"✗")</f>
        <v>✗</v>
      </c>
      <c r="U79" s="23" t="str">
        <f>IFERROR(__xludf.DUMMYFUNCTION("if(REGEXMATCH(join("", "",$G79:$H79),U$1)=TRUE,""✓"",""✗"")"),"✗")</f>
        <v>✗</v>
      </c>
    </row>
    <row r="80" hidden="1">
      <c r="A80" s="8">
        <v>79.0</v>
      </c>
      <c r="B80" s="8" t="s">
        <v>415</v>
      </c>
      <c r="C80" s="42" t="str">
        <f t="shared" si="1"/>
        <v>Sajovic et al., 2006</v>
      </c>
      <c r="D80" s="8" t="s">
        <v>416</v>
      </c>
      <c r="E80" s="15" t="str">
        <f t="shared" si="2"/>
        <v>https://raw.githubusercontent.com/d-wkim/phd/refs/heads/main/data/pdf/sajovic_2006 .pdf</v>
      </c>
      <c r="F80" s="8" t="s">
        <v>102</v>
      </c>
      <c r="G80" s="8"/>
      <c r="H80" s="8" t="s">
        <v>228</v>
      </c>
      <c r="I80" s="23" t="str">
        <f>IFERROR(__xludf.DUMMYFUNCTION("if(REGEXMATCH(join("", "",$G80:$H80),I$1)=TRUE,""✓"",""✗"")"),"✗")</f>
        <v>✗</v>
      </c>
      <c r="J80" s="23" t="str">
        <f>IFERROR(__xludf.DUMMYFUNCTION("if(REGEXMATCH(join("", "",$G80:$H80),J$1)=TRUE,""✓"",""✗"")"),"✗")</f>
        <v>✗</v>
      </c>
      <c r="K80" s="23" t="str">
        <f>IFERROR(__xludf.DUMMYFUNCTION("if(REGEXMATCH(join("", "",$G80:$H80),K$1)=TRUE,""✓"",""✗"")"),"✗")</f>
        <v>✗</v>
      </c>
      <c r="L80" s="23" t="str">
        <f>IFERROR(__xludf.DUMMYFUNCTION("if(REGEXMATCH(join("", "",$G80:$H80),L$1)=TRUE,""✓"",""✗"")"),"✗")</f>
        <v>✗</v>
      </c>
      <c r="M80" s="23" t="str">
        <f>IFERROR(__xludf.DUMMYFUNCTION("if(REGEXMATCH(join("", "",$G80:$H80),M$1)=TRUE,""✓"",""✗"")"),"✗")</f>
        <v>✗</v>
      </c>
      <c r="N80" s="23" t="str">
        <f>IFERROR(__xludf.DUMMYFUNCTION("if(REGEXMATCH(join("", "",$G80:$H80),N$1)=TRUE,""✓"",""✗"")"),"✗")</f>
        <v>✗</v>
      </c>
      <c r="O80" s="23" t="str">
        <f>IFERROR(__xludf.DUMMYFUNCTION("if(REGEXMATCH(join("", "",$G80:$H80),O$1)=TRUE,""✓"",""✗"")"),"✗")</f>
        <v>✗</v>
      </c>
      <c r="P80" s="23" t="str">
        <f>IFERROR(__xludf.DUMMYFUNCTION("if(REGEXMATCH(join("", "",$G80:$H80),P$1)=TRUE,""✓"",""✗"")"),"✗")</f>
        <v>✗</v>
      </c>
      <c r="Q80" s="23" t="str">
        <f>IFERROR(__xludf.DUMMYFUNCTION("if(REGEXMATCH(join("", "",$G80:$H80),Q$1)=TRUE,""✓"",""✗"")"),"✗")</f>
        <v>✗</v>
      </c>
      <c r="R80" s="23" t="str">
        <f>IFERROR(__xludf.DUMMYFUNCTION("if(REGEXMATCH(join("", "",$G80:$H80),R$1)=TRUE,""✓"",""✗"")"),"✗")</f>
        <v>✗</v>
      </c>
      <c r="S80" s="23" t="str">
        <f>IFERROR(__xludf.DUMMYFUNCTION("if(REGEXMATCH(join("", "",$G80:$H80),S$1)=TRUE,""✓"",""✗"")"),"✗")</f>
        <v>✗</v>
      </c>
      <c r="T80" s="23" t="str">
        <f>IFERROR(__xludf.DUMMYFUNCTION("if(REGEXMATCH(join("", "",$G80:$H80),T$1)=TRUE,""✓"",""✗"")"),"✗")</f>
        <v>✗</v>
      </c>
      <c r="U80" s="23" t="str">
        <f>IFERROR(__xludf.DUMMYFUNCTION("if(REGEXMATCH(join("", "",$G80:$H80),U$1)=TRUE,""✓"",""✗"")"),"✗")</f>
        <v>✗</v>
      </c>
    </row>
    <row r="81" hidden="1">
      <c r="A81" s="8">
        <v>80.0</v>
      </c>
      <c r="B81" s="8" t="s">
        <v>418</v>
      </c>
      <c r="C81" s="42" t="str">
        <f t="shared" si="1"/>
        <v>Sajovic et al., 2008</v>
      </c>
      <c r="D81" s="8" t="s">
        <v>419</v>
      </c>
      <c r="E81" s="15" t="str">
        <f t="shared" si="2"/>
        <v>https://raw.githubusercontent.com/d-wkim/phd/refs/heads/main/data/pdf/sajovic_2008 .pdf</v>
      </c>
      <c r="F81" s="8" t="s">
        <v>102</v>
      </c>
      <c r="G81" s="8"/>
      <c r="H81" s="8" t="s">
        <v>228</v>
      </c>
      <c r="I81" s="23" t="str">
        <f>IFERROR(__xludf.DUMMYFUNCTION("if(REGEXMATCH(join("", "",$G81:$H81),I$1)=TRUE,""✓"",""✗"")"),"✗")</f>
        <v>✗</v>
      </c>
      <c r="J81" s="23" t="str">
        <f>IFERROR(__xludf.DUMMYFUNCTION("if(REGEXMATCH(join("", "",$G81:$H81),J$1)=TRUE,""✓"",""✗"")"),"✗")</f>
        <v>✗</v>
      </c>
      <c r="K81" s="23" t="str">
        <f>IFERROR(__xludf.DUMMYFUNCTION("if(REGEXMATCH(join("", "",$G81:$H81),K$1)=TRUE,""✓"",""✗"")"),"✗")</f>
        <v>✗</v>
      </c>
      <c r="L81" s="23" t="str">
        <f>IFERROR(__xludf.DUMMYFUNCTION("if(REGEXMATCH(join("", "",$G81:$H81),L$1)=TRUE,""✓"",""✗"")"),"✗")</f>
        <v>✗</v>
      </c>
      <c r="M81" s="23" t="str">
        <f>IFERROR(__xludf.DUMMYFUNCTION("if(REGEXMATCH(join("", "",$G81:$H81),M$1)=TRUE,""✓"",""✗"")"),"✗")</f>
        <v>✗</v>
      </c>
      <c r="N81" s="23" t="str">
        <f>IFERROR(__xludf.DUMMYFUNCTION("if(REGEXMATCH(join("", "",$G81:$H81),N$1)=TRUE,""✓"",""✗"")"),"✗")</f>
        <v>✗</v>
      </c>
      <c r="O81" s="23" t="str">
        <f>IFERROR(__xludf.DUMMYFUNCTION("if(REGEXMATCH(join("", "",$G81:$H81),O$1)=TRUE,""✓"",""✗"")"),"✗")</f>
        <v>✗</v>
      </c>
      <c r="P81" s="23" t="str">
        <f>IFERROR(__xludf.DUMMYFUNCTION("if(REGEXMATCH(join("", "",$G81:$H81),P$1)=TRUE,""✓"",""✗"")"),"✗")</f>
        <v>✗</v>
      </c>
      <c r="Q81" s="23" t="str">
        <f>IFERROR(__xludf.DUMMYFUNCTION("if(REGEXMATCH(join("", "",$G81:$H81),Q$1)=TRUE,""✓"",""✗"")"),"✗")</f>
        <v>✗</v>
      </c>
      <c r="R81" s="23" t="str">
        <f>IFERROR(__xludf.DUMMYFUNCTION("if(REGEXMATCH(join("", "",$G81:$H81),R$1)=TRUE,""✓"",""✗"")"),"✗")</f>
        <v>✗</v>
      </c>
      <c r="S81" s="23" t="str">
        <f>IFERROR(__xludf.DUMMYFUNCTION("if(REGEXMATCH(join("", "",$G81:$H81),S$1)=TRUE,""✓"",""✗"")"),"✗")</f>
        <v>✗</v>
      </c>
      <c r="T81" s="23" t="str">
        <f>IFERROR(__xludf.DUMMYFUNCTION("if(REGEXMATCH(join("", "",$G81:$H81),T$1)=TRUE,""✓"",""✗"")"),"✗")</f>
        <v>✗</v>
      </c>
      <c r="U81" s="23" t="str">
        <f>IFERROR(__xludf.DUMMYFUNCTION("if(REGEXMATCH(join("", "",$G81:$H81),U$1)=TRUE,""✓"",""✗"")"),"✗")</f>
        <v>✗</v>
      </c>
    </row>
    <row r="82" hidden="1">
      <c r="A82" s="8">
        <v>81.0</v>
      </c>
      <c r="B82" s="8" t="s">
        <v>420</v>
      </c>
      <c r="C82" s="42" t="str">
        <f t="shared" si="1"/>
        <v>Sajovic et al., 2011</v>
      </c>
      <c r="D82" s="8" t="s">
        <v>421</v>
      </c>
      <c r="E82" s="15" t="str">
        <f t="shared" si="2"/>
        <v>https://raw.githubusercontent.com/d-wkim/phd/refs/heads/main/data/pdf/sajovic_2011 .pdf</v>
      </c>
      <c r="F82" s="8" t="s">
        <v>102</v>
      </c>
      <c r="G82" s="8"/>
      <c r="H82" s="8" t="s">
        <v>228</v>
      </c>
      <c r="I82" s="23" t="str">
        <f>IFERROR(__xludf.DUMMYFUNCTION("if(REGEXMATCH(join("", "",$G82:$H82),I$1)=TRUE,""✓"",""✗"")"),"✗")</f>
        <v>✗</v>
      </c>
      <c r="J82" s="23" t="str">
        <f>IFERROR(__xludf.DUMMYFUNCTION("if(REGEXMATCH(join("", "",$G82:$H82),J$1)=TRUE,""✓"",""✗"")"),"✗")</f>
        <v>✗</v>
      </c>
      <c r="K82" s="23" t="str">
        <f>IFERROR(__xludf.DUMMYFUNCTION("if(REGEXMATCH(join("", "",$G82:$H82),K$1)=TRUE,""✓"",""✗"")"),"✗")</f>
        <v>✗</v>
      </c>
      <c r="L82" s="23" t="str">
        <f>IFERROR(__xludf.DUMMYFUNCTION("if(REGEXMATCH(join("", "",$G82:$H82),L$1)=TRUE,""✓"",""✗"")"),"✗")</f>
        <v>✗</v>
      </c>
      <c r="M82" s="23" t="str">
        <f>IFERROR(__xludf.DUMMYFUNCTION("if(REGEXMATCH(join("", "",$G82:$H82),M$1)=TRUE,""✓"",""✗"")"),"✗")</f>
        <v>✗</v>
      </c>
      <c r="N82" s="23" t="str">
        <f>IFERROR(__xludf.DUMMYFUNCTION("if(REGEXMATCH(join("", "",$G82:$H82),N$1)=TRUE,""✓"",""✗"")"),"✗")</f>
        <v>✗</v>
      </c>
      <c r="O82" s="23" t="str">
        <f>IFERROR(__xludf.DUMMYFUNCTION("if(REGEXMATCH(join("", "",$G82:$H82),O$1)=TRUE,""✓"",""✗"")"),"✗")</f>
        <v>✗</v>
      </c>
      <c r="P82" s="23" t="str">
        <f>IFERROR(__xludf.DUMMYFUNCTION("if(REGEXMATCH(join("", "",$G82:$H82),P$1)=TRUE,""✓"",""✗"")"),"✗")</f>
        <v>✗</v>
      </c>
      <c r="Q82" s="23" t="str">
        <f>IFERROR(__xludf.DUMMYFUNCTION("if(REGEXMATCH(join("", "",$G82:$H82),Q$1)=TRUE,""✓"",""✗"")"),"✗")</f>
        <v>✗</v>
      </c>
      <c r="R82" s="23" t="str">
        <f>IFERROR(__xludf.DUMMYFUNCTION("if(REGEXMATCH(join("", "",$G82:$H82),R$1)=TRUE,""✓"",""✗"")"),"✗")</f>
        <v>✗</v>
      </c>
      <c r="S82" s="23" t="str">
        <f>IFERROR(__xludf.DUMMYFUNCTION("if(REGEXMATCH(join("", "",$G82:$H82),S$1)=TRUE,""✓"",""✗"")"),"✗")</f>
        <v>✗</v>
      </c>
      <c r="T82" s="23" t="str">
        <f>IFERROR(__xludf.DUMMYFUNCTION("if(REGEXMATCH(join("", "",$G82:$H82),T$1)=TRUE,""✓"",""✗"")"),"✗")</f>
        <v>✗</v>
      </c>
      <c r="U82" s="23" t="str">
        <f>IFERROR(__xludf.DUMMYFUNCTION("if(REGEXMATCH(join("", "",$G82:$H82),U$1)=TRUE,""✓"",""✗"")"),"✗")</f>
        <v>✗</v>
      </c>
    </row>
    <row r="83">
      <c r="A83" s="8">
        <v>82.0</v>
      </c>
      <c r="B83" s="8" t="s">
        <v>178</v>
      </c>
      <c r="C83" s="16" t="str">
        <f t="shared" si="1"/>
        <v>Sajovic et al., 2018</v>
      </c>
      <c r="D83" s="30" t="s">
        <v>422</v>
      </c>
      <c r="E83" s="15" t="str">
        <f t="shared" si="2"/>
        <v>https://raw.githubusercontent.com/d-wkim/phd/refs/heads/main/data/pdf/sajovic_2018 .pdf</v>
      </c>
      <c r="F83" s="8" t="s">
        <v>32</v>
      </c>
      <c r="G83" s="8" t="s">
        <v>33</v>
      </c>
      <c r="H83" s="32" t="s">
        <v>179</v>
      </c>
      <c r="I83" s="23" t="str">
        <f>IFERROR(__xludf.DUMMYFUNCTION("if(REGEXMATCH(join("", "",$G83:$H83),I$1)=TRUE,""✓"",""✗"")"),"✓")</f>
        <v>✓</v>
      </c>
      <c r="J83" s="23" t="str">
        <f>IFERROR(__xludf.DUMMYFUNCTION("if(REGEXMATCH(join("", "",$G83:$H83),J$1)=TRUE,""✓"",""✗"")"),"✓")</f>
        <v>✓</v>
      </c>
      <c r="K83" s="23" t="str">
        <f>IFERROR(__xludf.DUMMYFUNCTION("if(REGEXMATCH(join("", "",$G83:$H83),K$1)=TRUE,""✓"",""✗"")"),"✗")</f>
        <v>✗</v>
      </c>
      <c r="L83" s="23" t="str">
        <f>IFERROR(__xludf.DUMMYFUNCTION("if(REGEXMATCH(join("", "",$G83:$H83),L$1)=TRUE,""✓"",""✗"")"),"✗")</f>
        <v>✗</v>
      </c>
      <c r="M83" s="23" t="str">
        <f>IFERROR(__xludf.DUMMYFUNCTION("if(REGEXMATCH(join("", "",$G83:$H83),M$1)=TRUE,""✓"",""✗"")"),"✗")</f>
        <v>✗</v>
      </c>
      <c r="N83" s="23" t="str">
        <f>IFERROR(__xludf.DUMMYFUNCTION("if(REGEXMATCH(join("", "",$G83:$H83),N$1)=TRUE,""✓"",""✗"")"),"✗")</f>
        <v>✗</v>
      </c>
      <c r="O83" s="23" t="str">
        <f>IFERROR(__xludf.DUMMYFUNCTION("if(REGEXMATCH(join("", "",$G83:$H83),O$1)=TRUE,""✓"",""✗"")"),"✓")</f>
        <v>✓</v>
      </c>
      <c r="P83" s="23" t="str">
        <f>IFERROR(__xludf.DUMMYFUNCTION("if(REGEXMATCH(join("", "",$G83:$H83),P$1)=TRUE,""✓"",""✗"")"),"✓")</f>
        <v>✓</v>
      </c>
      <c r="Q83" s="23" t="str">
        <f>IFERROR(__xludf.DUMMYFUNCTION("if(REGEXMATCH(join("", "",$G83:$H83),Q$1)=TRUE,""✓"",""✗"")"),"✗")</f>
        <v>✗</v>
      </c>
      <c r="R83" s="23" t="str">
        <f>IFERROR(__xludf.DUMMYFUNCTION("if(REGEXMATCH(join("", "",$G83:$H83),R$1)=TRUE,""✓"",""✗"")"),"✓")</f>
        <v>✓</v>
      </c>
      <c r="S83" s="23" t="str">
        <f>IFERROR(__xludf.DUMMYFUNCTION("if(REGEXMATCH(join("", "",$G83:$H83),S$1)=TRUE,""✓"",""✗"")"),"✓")</f>
        <v>✓</v>
      </c>
      <c r="T83" s="23" t="str">
        <f>IFERROR(__xludf.DUMMYFUNCTION("if(REGEXMATCH(join("", "",$G83:$H83),T$1)=TRUE,""✓"",""✗"")"),"✓")</f>
        <v>✓</v>
      </c>
      <c r="U83" s="23" t="str">
        <f>IFERROR(__xludf.DUMMYFUNCTION("if(REGEXMATCH(join("", "",$G83:$H83),U$1)=TRUE,""✓"",""✗"")"),"✗")</f>
        <v>✗</v>
      </c>
    </row>
    <row r="84" hidden="1">
      <c r="A84" s="8">
        <v>83.0</v>
      </c>
      <c r="B84" s="8" t="s">
        <v>424</v>
      </c>
      <c r="C84" s="42" t="str">
        <f t="shared" si="1"/>
        <v>Sato et al., 2005</v>
      </c>
      <c r="D84" s="8" t="s">
        <v>425</v>
      </c>
      <c r="E84" s="15" t="str">
        <f t="shared" si="2"/>
        <v>https://raw.githubusercontent.com/d-wkim/phd/refs/heads/main/data/pdf/sato_2005 .pdf</v>
      </c>
      <c r="F84" s="8" t="s">
        <v>102</v>
      </c>
      <c r="G84" s="8"/>
      <c r="H84" s="8" t="s">
        <v>230</v>
      </c>
      <c r="I84" s="23" t="str">
        <f>IFERROR(__xludf.DUMMYFUNCTION("if(REGEXMATCH(join("", "",$G84:$H84),I$1)=TRUE,""✓"",""✗"")"),"✗")</f>
        <v>✗</v>
      </c>
      <c r="J84" s="23" t="str">
        <f>IFERROR(__xludf.DUMMYFUNCTION("if(REGEXMATCH(join("", "",$G84:$H84),J$1)=TRUE,""✓"",""✗"")"),"✗")</f>
        <v>✗</v>
      </c>
      <c r="K84" s="23" t="str">
        <f>IFERROR(__xludf.DUMMYFUNCTION("if(REGEXMATCH(join("", "",$G84:$H84),K$1)=TRUE,""✓"",""✗"")"),"✗")</f>
        <v>✗</v>
      </c>
      <c r="L84" s="23" t="str">
        <f>IFERROR(__xludf.DUMMYFUNCTION("if(REGEXMATCH(join("", "",$G84:$H84),L$1)=TRUE,""✓"",""✗"")"),"✗")</f>
        <v>✗</v>
      </c>
      <c r="M84" s="23" t="str">
        <f>IFERROR(__xludf.DUMMYFUNCTION("if(REGEXMATCH(join("", "",$G84:$H84),M$1)=TRUE,""✓"",""✗"")"),"✗")</f>
        <v>✗</v>
      </c>
      <c r="N84" s="23" t="str">
        <f>IFERROR(__xludf.DUMMYFUNCTION("if(REGEXMATCH(join("", "",$G84:$H84),N$1)=TRUE,""✓"",""✗"")"),"✗")</f>
        <v>✗</v>
      </c>
      <c r="O84" s="23" t="str">
        <f>IFERROR(__xludf.DUMMYFUNCTION("if(REGEXMATCH(join("", "",$G84:$H84),O$1)=TRUE,""✓"",""✗"")"),"✗")</f>
        <v>✗</v>
      </c>
      <c r="P84" s="23" t="str">
        <f>IFERROR(__xludf.DUMMYFUNCTION("if(REGEXMATCH(join("", "",$G84:$H84),P$1)=TRUE,""✓"",""✗"")"),"✗")</f>
        <v>✗</v>
      </c>
      <c r="Q84" s="23" t="str">
        <f>IFERROR(__xludf.DUMMYFUNCTION("if(REGEXMATCH(join("", "",$G84:$H84),Q$1)=TRUE,""✓"",""✗"")"),"✗")</f>
        <v>✗</v>
      </c>
      <c r="R84" s="23" t="str">
        <f>IFERROR(__xludf.DUMMYFUNCTION("if(REGEXMATCH(join("", "",$G84:$H84),R$1)=TRUE,""✓"",""✗"")"),"✗")</f>
        <v>✗</v>
      </c>
      <c r="S84" s="23" t="str">
        <f>IFERROR(__xludf.DUMMYFUNCTION("if(REGEXMATCH(join("", "",$G84:$H84),S$1)=TRUE,""✓"",""✗"")"),"✗")</f>
        <v>✗</v>
      </c>
      <c r="T84" s="23" t="str">
        <f>IFERROR(__xludf.DUMMYFUNCTION("if(REGEXMATCH(join("", "",$G84:$H84),T$1)=TRUE,""✓"",""✗"")"),"✗")</f>
        <v>✗</v>
      </c>
      <c r="U84" s="23" t="str">
        <f>IFERROR(__xludf.DUMMYFUNCTION("if(REGEXMATCH(join("", "",$G84:$H84),U$1)=TRUE,""✓"",""✗"")"),"✗")</f>
        <v>✗</v>
      </c>
    </row>
    <row r="85">
      <c r="A85" s="8">
        <v>84.0</v>
      </c>
      <c r="B85" s="8" t="s">
        <v>180</v>
      </c>
      <c r="C85" s="16" t="str">
        <f t="shared" si="1"/>
        <v>Sinding et al., 2020</v>
      </c>
      <c r="D85" s="30" t="s">
        <v>427</v>
      </c>
      <c r="E85" s="15" t="str">
        <f t="shared" si="2"/>
        <v>https://raw.githubusercontent.com/d-wkim/phd/refs/heads/main/data/pdf/sinding_2020 .pdf</v>
      </c>
      <c r="F85" s="8" t="s">
        <v>32</v>
      </c>
      <c r="G85" s="32" t="s">
        <v>245</v>
      </c>
      <c r="H85" s="32" t="s">
        <v>14</v>
      </c>
      <c r="I85" s="23" t="str">
        <f>IFERROR(__xludf.DUMMYFUNCTION("if(REGEXMATCH(join("", "",$G85:$H85),I$1)=TRUE,""✓"",""✗"")"),"✗")</f>
        <v>✗</v>
      </c>
      <c r="J85" s="23" t="str">
        <f>IFERROR(__xludf.DUMMYFUNCTION("if(REGEXMATCH(join("", "",$G85:$H85),J$1)=TRUE,""✓"",""✗"")"),"✓")</f>
        <v>✓</v>
      </c>
      <c r="K85" s="23" t="str">
        <f>IFERROR(__xludf.DUMMYFUNCTION("if(REGEXMATCH(join("", "",$G85:$H85),K$1)=TRUE,""✓"",""✗"")"),"✓")</f>
        <v>✓</v>
      </c>
      <c r="L85" s="23" t="str">
        <f>IFERROR(__xludf.DUMMYFUNCTION("if(REGEXMATCH(join("", "",$G85:$H85),L$1)=TRUE,""✓"",""✗"")"),"✗")</f>
        <v>✗</v>
      </c>
      <c r="M85" s="23" t="str">
        <f>IFERROR(__xludf.DUMMYFUNCTION("if(REGEXMATCH(join("", "",$G85:$H85),M$1)=TRUE,""✓"",""✗"")"),"✗")</f>
        <v>✗</v>
      </c>
      <c r="N85" s="23" t="str">
        <f>IFERROR(__xludf.DUMMYFUNCTION("if(REGEXMATCH(join("", "",$G85:$H85),N$1)=TRUE,""✓"",""✗"")"),"✗")</f>
        <v>✗</v>
      </c>
      <c r="O85" s="23" t="str">
        <f>IFERROR(__xludf.DUMMYFUNCTION("if(REGEXMATCH(join("", "",$G85:$H85),O$1)=TRUE,""✓"",""✗"")"),"✓")</f>
        <v>✓</v>
      </c>
      <c r="P85" s="23" t="str">
        <f>IFERROR(__xludf.DUMMYFUNCTION("if(REGEXMATCH(join("", "",$G85:$H85),P$1)=TRUE,""✓"",""✗"")"),"✗")</f>
        <v>✗</v>
      </c>
      <c r="Q85" s="23" t="str">
        <f>IFERROR(__xludf.DUMMYFUNCTION("if(REGEXMATCH(join("", "",$G85:$H85),Q$1)=TRUE,""✓"",""✗"")"),"✗")</f>
        <v>✗</v>
      </c>
      <c r="R85" s="23" t="str">
        <f>IFERROR(__xludf.DUMMYFUNCTION("if(REGEXMATCH(join("", "",$G85:$H85),R$1)=TRUE,""✓"",""✗"")"),"✗")</f>
        <v>✗</v>
      </c>
      <c r="S85" s="23" t="str">
        <f>IFERROR(__xludf.DUMMYFUNCTION("if(REGEXMATCH(join("", "",$G85:$H85),S$1)=TRUE,""✓"",""✗"")"),"✗")</f>
        <v>✗</v>
      </c>
      <c r="T85" s="23" t="str">
        <f>IFERROR(__xludf.DUMMYFUNCTION("if(REGEXMATCH(join("", "",$G85:$H85),T$1)=TRUE,""✓"",""✗"")"),"✗")</f>
        <v>✗</v>
      </c>
      <c r="U85" s="23" t="str">
        <f>IFERROR(__xludf.DUMMYFUNCTION("if(REGEXMATCH(join("", "",$G85:$H85),U$1)=TRUE,""✓"",""✗"")"),"✗")</f>
        <v>✗</v>
      </c>
    </row>
    <row r="86">
      <c r="A86" s="8">
        <v>85.0</v>
      </c>
      <c r="B86" s="8" t="s">
        <v>181</v>
      </c>
      <c r="C86" s="16" t="str">
        <f t="shared" si="1"/>
        <v>Smith et al., 2020</v>
      </c>
      <c r="D86" s="30" t="s">
        <v>428</v>
      </c>
      <c r="E86" s="15" t="str">
        <f t="shared" si="2"/>
        <v>https://raw.githubusercontent.com/d-wkim/phd/refs/heads/main/data/pdf/smith_2020 .pdf</v>
      </c>
      <c r="F86" s="8" t="s">
        <v>32</v>
      </c>
      <c r="G86" s="32" t="s">
        <v>429</v>
      </c>
      <c r="H86" s="32" t="s">
        <v>182</v>
      </c>
      <c r="I86" s="23" t="str">
        <f>IFERROR(__xludf.DUMMYFUNCTION("if(REGEXMATCH(join("", "",$G86:$H86),I$1)=TRUE,""✓"",""✗"")"),"✓")</f>
        <v>✓</v>
      </c>
      <c r="J86" s="23" t="str">
        <f>IFERROR(__xludf.DUMMYFUNCTION("if(REGEXMATCH(join("", "",$G86:$H86),J$1)=TRUE,""✓"",""✗"")"),"✓")</f>
        <v>✓</v>
      </c>
      <c r="K86" s="23" t="str">
        <f>IFERROR(__xludf.DUMMYFUNCTION("if(REGEXMATCH(join("", "",$G86:$H86),K$1)=TRUE,""✓"",""✗"")"),"✓")</f>
        <v>✓</v>
      </c>
      <c r="L86" s="23" t="str">
        <f>IFERROR(__xludf.DUMMYFUNCTION("if(REGEXMATCH(join("", "",$G86:$H86),L$1)=TRUE,""✓"",""✗"")"),"✗")</f>
        <v>✗</v>
      </c>
      <c r="M86" s="23" t="str">
        <f>IFERROR(__xludf.DUMMYFUNCTION("if(REGEXMATCH(join("", "",$G86:$H86),M$1)=TRUE,""✓"",""✗"")"),"✗")</f>
        <v>✗</v>
      </c>
      <c r="N86" s="23" t="str">
        <f>IFERROR(__xludf.DUMMYFUNCTION("if(REGEXMATCH(join("", "",$G86:$H86),N$1)=TRUE,""✓"",""✗"")"),"✗")</f>
        <v>✗</v>
      </c>
      <c r="O86" s="23" t="str">
        <f>IFERROR(__xludf.DUMMYFUNCTION("if(REGEXMATCH(join("", "",$G86:$H86),O$1)=TRUE,""✓"",""✗"")"),"✓")</f>
        <v>✓</v>
      </c>
      <c r="P86" s="23" t="str">
        <f>IFERROR(__xludf.DUMMYFUNCTION("if(REGEXMATCH(join("", "",$G86:$H86),P$1)=TRUE,""✓"",""✗"")"),"✗")</f>
        <v>✗</v>
      </c>
      <c r="Q86" s="23" t="str">
        <f>IFERROR(__xludf.DUMMYFUNCTION("if(REGEXMATCH(join("", "",$G86:$H86),Q$1)=TRUE,""✓"",""✗"")"),"✗")</f>
        <v>✗</v>
      </c>
      <c r="R86" s="23" t="str">
        <f>IFERROR(__xludf.DUMMYFUNCTION("if(REGEXMATCH(join("", "",$G86:$H86),R$1)=TRUE,""✓"",""✗"")"),"✓")</f>
        <v>✓</v>
      </c>
      <c r="S86" s="23" t="str">
        <f>IFERROR(__xludf.DUMMYFUNCTION("if(REGEXMATCH(join("", "",$G86:$H86),S$1)=TRUE,""✓"",""✗"")"),"✗")</f>
        <v>✗</v>
      </c>
      <c r="T86" s="23" t="str">
        <f>IFERROR(__xludf.DUMMYFUNCTION("if(REGEXMATCH(join("", "",$G86:$H86),T$1)=TRUE,""✓"",""✗"")"),"✗")</f>
        <v>✗</v>
      </c>
      <c r="U86" s="23" t="str">
        <f>IFERROR(__xludf.DUMMYFUNCTION("if(REGEXMATCH(join("", "",$G86:$H86),U$1)=TRUE,""✓"",""✗"")"),"✓")</f>
        <v>✓</v>
      </c>
    </row>
    <row r="87">
      <c r="A87" s="8">
        <v>86.0</v>
      </c>
      <c r="B87" s="8" t="s">
        <v>186</v>
      </c>
      <c r="C87" s="16" t="str">
        <f t="shared" si="1"/>
        <v>Sonnery-Cottet et al., 2020</v>
      </c>
      <c r="D87" s="30" t="s">
        <v>431</v>
      </c>
      <c r="E87" s="15" t="str">
        <f t="shared" si="2"/>
        <v>https://raw.githubusercontent.com/d-wkim/phd/refs/heads/main/data/pdf/sonnery-cottet_2020 .pdf</v>
      </c>
      <c r="F87" s="8" t="s">
        <v>32</v>
      </c>
      <c r="G87" s="32" t="s">
        <v>33</v>
      </c>
      <c r="H87" s="32" t="s">
        <v>187</v>
      </c>
      <c r="I87" s="23" t="str">
        <f>IFERROR(__xludf.DUMMYFUNCTION("if(REGEXMATCH(join("", "",$G87:$H87),I$1)=TRUE,""✓"",""✗"")"),"✓")</f>
        <v>✓</v>
      </c>
      <c r="J87" s="23" t="str">
        <f>IFERROR(__xludf.DUMMYFUNCTION("if(REGEXMATCH(join("", "",$G87:$H87),J$1)=TRUE,""✓"",""✗"")"),"✓")</f>
        <v>✓</v>
      </c>
      <c r="K87" s="23" t="str">
        <f>IFERROR(__xludf.DUMMYFUNCTION("if(REGEXMATCH(join("", "",$G87:$H87),K$1)=TRUE,""✓"",""✗"")"),"✗")</f>
        <v>✗</v>
      </c>
      <c r="L87" s="23" t="str">
        <f>IFERROR(__xludf.DUMMYFUNCTION("if(REGEXMATCH(join("", "",$G87:$H87),L$1)=TRUE,""✓"",""✗"")"),"✗")</f>
        <v>✗</v>
      </c>
      <c r="M87" s="23" t="str">
        <f>IFERROR(__xludf.DUMMYFUNCTION("if(REGEXMATCH(join("", "",$G87:$H87),M$1)=TRUE,""✓"",""✗"")"),"✗")</f>
        <v>✗</v>
      </c>
      <c r="N87" s="23" t="str">
        <f>IFERROR(__xludf.DUMMYFUNCTION("if(REGEXMATCH(join("", "",$G87:$H87),N$1)=TRUE,""✓"",""✗"")"),"✗")</f>
        <v>✗</v>
      </c>
      <c r="O87" s="23" t="str">
        <f>IFERROR(__xludf.DUMMYFUNCTION("if(REGEXMATCH(join("", "",$G87:$H87),O$1)=TRUE,""✓"",""✗"")"),"✓")</f>
        <v>✓</v>
      </c>
      <c r="P87" s="23" t="str">
        <f>IFERROR(__xludf.DUMMYFUNCTION("if(REGEXMATCH(join("", "",$G87:$H87),P$1)=TRUE,""✓"",""✗"")"),"✓")</f>
        <v>✓</v>
      </c>
      <c r="Q87" s="23" t="str">
        <f>IFERROR(__xludf.DUMMYFUNCTION("if(REGEXMATCH(join("", "",$G87:$H87),Q$1)=TRUE,""✓"",""✗"")"),"✓")</f>
        <v>✓</v>
      </c>
      <c r="R87" s="23" t="str">
        <f>IFERROR(__xludf.DUMMYFUNCTION("if(REGEXMATCH(join("", "",$G87:$H87),R$1)=TRUE,""✓"",""✗"")"),"✓")</f>
        <v>✓</v>
      </c>
      <c r="S87" s="23" t="str">
        <f>IFERROR(__xludf.DUMMYFUNCTION("if(REGEXMATCH(join("", "",$G87:$H87),S$1)=TRUE,""✓"",""✗"")"),"✓")</f>
        <v>✓</v>
      </c>
      <c r="T87" s="23" t="str">
        <f>IFERROR(__xludf.DUMMYFUNCTION("if(REGEXMATCH(join("", "",$G87:$H87),T$1)=TRUE,""✓"",""✗"")"),"✓")</f>
        <v>✓</v>
      </c>
      <c r="U87" s="23" t="str">
        <f>IFERROR(__xludf.DUMMYFUNCTION("if(REGEXMATCH(join("", "",$G87:$H87),U$1)=TRUE,""✓"",""✗"")"),"✗")</f>
        <v>✗</v>
      </c>
    </row>
    <row r="88">
      <c r="A88" s="8">
        <v>87.0</v>
      </c>
      <c r="B88" s="8" t="s">
        <v>189</v>
      </c>
      <c r="C88" s="16" t="str">
        <f t="shared" si="1"/>
        <v>Sonnery-Cottet et al., 2026</v>
      </c>
      <c r="D88" s="30" t="s">
        <v>432</v>
      </c>
      <c r="E88" s="15" t="str">
        <f t="shared" si="2"/>
        <v>https://raw.githubusercontent.com/d-wkim/phd/refs/heads/main/data/pdf/sonnery-cottet_2026 .pdf</v>
      </c>
      <c r="F88" s="8" t="s">
        <v>32</v>
      </c>
      <c r="G88" s="32" t="s">
        <v>33</v>
      </c>
      <c r="H88" s="32" t="s">
        <v>143</v>
      </c>
      <c r="I88" s="23" t="str">
        <f>IFERROR(__xludf.DUMMYFUNCTION("if(REGEXMATCH(join("", "",$G88:$H88),I$1)=TRUE,""✓"",""✗"")"),"✓")</f>
        <v>✓</v>
      </c>
      <c r="J88" s="23" t="str">
        <f>IFERROR(__xludf.DUMMYFUNCTION("if(REGEXMATCH(join("", "",$G88:$H88),J$1)=TRUE,""✓"",""✗"")"),"✓")</f>
        <v>✓</v>
      </c>
      <c r="K88" s="23" t="str">
        <f>IFERROR(__xludf.DUMMYFUNCTION("if(REGEXMATCH(join("", "",$G88:$H88),K$1)=TRUE,""✓"",""✗"")"),"✗")</f>
        <v>✗</v>
      </c>
      <c r="L88" s="23" t="str">
        <f>IFERROR(__xludf.DUMMYFUNCTION("if(REGEXMATCH(join("", "",$G88:$H88),L$1)=TRUE,""✓"",""✗"")"),"✗")</f>
        <v>✗</v>
      </c>
      <c r="M88" s="23" t="str">
        <f>IFERROR(__xludf.DUMMYFUNCTION("if(REGEXMATCH(join("", "",$G88:$H88),M$1)=TRUE,""✓"",""✗"")"),"✗")</f>
        <v>✗</v>
      </c>
      <c r="N88" s="23" t="str">
        <f>IFERROR(__xludf.DUMMYFUNCTION("if(REGEXMATCH(join("", "",$G88:$H88),N$1)=TRUE,""✓"",""✗"")"),"✗")</f>
        <v>✗</v>
      </c>
      <c r="O88" s="23" t="str">
        <f>IFERROR(__xludf.DUMMYFUNCTION("if(REGEXMATCH(join("", "",$G88:$H88),O$1)=TRUE,""✓"",""✗"")"),"✓")</f>
        <v>✓</v>
      </c>
      <c r="P88" s="23" t="str">
        <f>IFERROR(__xludf.DUMMYFUNCTION("if(REGEXMATCH(join("", "",$G88:$H88),P$1)=TRUE,""✓"",""✗"")"),"✓")</f>
        <v>✓</v>
      </c>
      <c r="Q88" s="23" t="str">
        <f>IFERROR(__xludf.DUMMYFUNCTION("if(REGEXMATCH(join("", "",$G88:$H88),Q$1)=TRUE,""✓"",""✗"")"),"✓")</f>
        <v>✓</v>
      </c>
      <c r="R88" s="23" t="str">
        <f>IFERROR(__xludf.DUMMYFUNCTION("if(REGEXMATCH(join("", "",$G88:$H88),R$1)=TRUE,""✓"",""✗"")"),"✓")</f>
        <v>✓</v>
      </c>
      <c r="S88" s="23" t="str">
        <f>IFERROR(__xludf.DUMMYFUNCTION("if(REGEXMATCH(join("", "",$G88:$H88),S$1)=TRUE,""✓"",""✗"")"),"✓")</f>
        <v>✓</v>
      </c>
      <c r="T88" s="23" t="str">
        <f>IFERROR(__xludf.DUMMYFUNCTION("if(REGEXMATCH(join("", "",$G88:$H88),T$1)=TRUE,""✓"",""✗"")"),"✗")</f>
        <v>✗</v>
      </c>
      <c r="U88" s="23" t="str">
        <f>IFERROR(__xludf.DUMMYFUNCTION("if(REGEXMATCH(join("", "",$G88:$H88),U$1)=TRUE,""✓"",""✗"")"),"✓")</f>
        <v>✓</v>
      </c>
    </row>
    <row r="89" hidden="1">
      <c r="A89" s="8">
        <v>88.0</v>
      </c>
      <c r="B89" s="8" t="s">
        <v>434</v>
      </c>
      <c r="C89" s="42" t="str">
        <f t="shared" si="1"/>
        <v>Sumanont et al., 2024</v>
      </c>
      <c r="D89" s="8" t="s">
        <v>435</v>
      </c>
      <c r="E89" s="15" t="str">
        <f t="shared" si="2"/>
        <v>https://raw.githubusercontent.com/d-wkim/phd/refs/heads/main/data/pdf/sumanont_2024 .pdf</v>
      </c>
      <c r="F89" s="8" t="s">
        <v>102</v>
      </c>
      <c r="G89" s="32"/>
      <c r="H89" s="51"/>
      <c r="I89" s="23" t="str">
        <f>IFERROR(__xludf.DUMMYFUNCTION("if(REGEXMATCH(join("", "",$G89:$H89),I$1)=TRUE,""✓"",""✗"")"),"✗")</f>
        <v>✗</v>
      </c>
      <c r="J89" s="23" t="str">
        <f>IFERROR(__xludf.DUMMYFUNCTION("if(REGEXMATCH(join("", "",$G89:$H89),J$1)=TRUE,""✓"",""✗"")"),"✗")</f>
        <v>✗</v>
      </c>
      <c r="K89" s="23" t="str">
        <f>IFERROR(__xludf.DUMMYFUNCTION("if(REGEXMATCH(join("", "",$G89:$H89),K$1)=TRUE,""✓"",""✗"")"),"✗")</f>
        <v>✗</v>
      </c>
      <c r="L89" s="23" t="str">
        <f>IFERROR(__xludf.DUMMYFUNCTION("if(REGEXMATCH(join("", "",$G89:$H89),L$1)=TRUE,""✓"",""✗"")"),"✗")</f>
        <v>✗</v>
      </c>
      <c r="M89" s="23" t="str">
        <f>IFERROR(__xludf.DUMMYFUNCTION("if(REGEXMATCH(join("", "",$G89:$H89),M$1)=TRUE,""✓"",""✗"")"),"✗")</f>
        <v>✗</v>
      </c>
      <c r="N89" s="23" t="str">
        <f>IFERROR(__xludf.DUMMYFUNCTION("if(REGEXMATCH(join("", "",$G89:$H89),N$1)=TRUE,""✓"",""✗"")"),"✗")</f>
        <v>✗</v>
      </c>
      <c r="O89" s="23" t="str">
        <f>IFERROR(__xludf.DUMMYFUNCTION("if(REGEXMATCH(join("", "",$G89:$H89),O$1)=TRUE,""✓"",""✗"")"),"✗")</f>
        <v>✗</v>
      </c>
      <c r="P89" s="23" t="str">
        <f>IFERROR(__xludf.DUMMYFUNCTION("if(REGEXMATCH(join("", "",$G89:$H89),P$1)=TRUE,""✓"",""✗"")"),"✗")</f>
        <v>✗</v>
      </c>
      <c r="Q89" s="23" t="str">
        <f>IFERROR(__xludf.DUMMYFUNCTION("if(REGEXMATCH(join("", "",$G89:$H89),Q$1)=TRUE,""✓"",""✗"")"),"✗")</f>
        <v>✗</v>
      </c>
      <c r="R89" s="23" t="str">
        <f>IFERROR(__xludf.DUMMYFUNCTION("if(REGEXMATCH(join("", "",$G89:$H89),R$1)=TRUE,""✓"",""✗"")"),"✗")</f>
        <v>✗</v>
      </c>
      <c r="S89" s="23" t="str">
        <f>IFERROR(__xludf.DUMMYFUNCTION("if(REGEXMATCH(join("", "",$G89:$H89),S$1)=TRUE,""✓"",""✗"")"),"✗")</f>
        <v>✗</v>
      </c>
      <c r="T89" s="23" t="str">
        <f>IFERROR(__xludf.DUMMYFUNCTION("if(REGEXMATCH(join("", "",$G89:$H89),T$1)=TRUE,""✓"",""✗"")"),"✗")</f>
        <v>✗</v>
      </c>
      <c r="U89" s="23" t="str">
        <f>IFERROR(__xludf.DUMMYFUNCTION("if(REGEXMATCH(join("", "",$G89:$H89),U$1)=TRUE,""✓"",""✗"")"),"✗")</f>
        <v>✗</v>
      </c>
    </row>
    <row r="90">
      <c r="A90" s="8">
        <v>89.0</v>
      </c>
      <c r="B90" s="8" t="s">
        <v>190</v>
      </c>
      <c r="C90" s="16" t="str">
        <f t="shared" si="1"/>
        <v>Tang et al., 2023</v>
      </c>
      <c r="D90" s="30" t="s">
        <v>436</v>
      </c>
      <c r="E90" s="15" t="str">
        <f t="shared" si="2"/>
        <v>https://raw.githubusercontent.com/d-wkim/phd/refs/heads/main/data/pdf/tang_2023 .pdf</v>
      </c>
      <c r="F90" s="8" t="s">
        <v>32</v>
      </c>
      <c r="G90" s="32" t="s">
        <v>245</v>
      </c>
      <c r="H90" s="32" t="s">
        <v>14</v>
      </c>
      <c r="I90" s="23" t="str">
        <f>IFERROR(__xludf.DUMMYFUNCTION("if(REGEXMATCH(join("", "",$G90:$H90),I$1)=TRUE,""✓"",""✗"")"),"✗")</f>
        <v>✗</v>
      </c>
      <c r="J90" s="23" t="str">
        <f>IFERROR(__xludf.DUMMYFUNCTION("if(REGEXMATCH(join("", "",$G90:$H90),J$1)=TRUE,""✓"",""✗"")"),"✓")</f>
        <v>✓</v>
      </c>
      <c r="K90" s="23" t="str">
        <f>IFERROR(__xludf.DUMMYFUNCTION("if(REGEXMATCH(join("", "",$G90:$H90),K$1)=TRUE,""✓"",""✗"")"),"✓")</f>
        <v>✓</v>
      </c>
      <c r="L90" s="23" t="str">
        <f>IFERROR(__xludf.DUMMYFUNCTION("if(REGEXMATCH(join("", "",$G90:$H90),L$1)=TRUE,""✓"",""✗"")"),"✗")</f>
        <v>✗</v>
      </c>
      <c r="M90" s="23" t="str">
        <f>IFERROR(__xludf.DUMMYFUNCTION("if(REGEXMATCH(join("", "",$G90:$H90),M$1)=TRUE,""✓"",""✗"")"),"✗")</f>
        <v>✗</v>
      </c>
      <c r="N90" s="23" t="str">
        <f>IFERROR(__xludf.DUMMYFUNCTION("if(REGEXMATCH(join("", "",$G90:$H90),N$1)=TRUE,""✓"",""✗"")"),"✗")</f>
        <v>✗</v>
      </c>
      <c r="O90" s="23" t="str">
        <f>IFERROR(__xludf.DUMMYFUNCTION("if(REGEXMATCH(join("", "",$G90:$H90),O$1)=TRUE,""✓"",""✗"")"),"✓")</f>
        <v>✓</v>
      </c>
      <c r="P90" s="23" t="str">
        <f>IFERROR(__xludf.DUMMYFUNCTION("if(REGEXMATCH(join("", "",$G90:$H90),P$1)=TRUE,""✓"",""✗"")"),"✗")</f>
        <v>✗</v>
      </c>
      <c r="Q90" s="23" t="str">
        <f>IFERROR(__xludf.DUMMYFUNCTION("if(REGEXMATCH(join("", "",$G90:$H90),Q$1)=TRUE,""✓"",""✗"")"),"✗")</f>
        <v>✗</v>
      </c>
      <c r="R90" s="23" t="str">
        <f>IFERROR(__xludf.DUMMYFUNCTION("if(REGEXMATCH(join("", "",$G90:$H90),R$1)=TRUE,""✓"",""✗"")"),"✗")</f>
        <v>✗</v>
      </c>
      <c r="S90" s="23" t="str">
        <f>IFERROR(__xludf.DUMMYFUNCTION("if(REGEXMATCH(join("", "",$G90:$H90),S$1)=TRUE,""✓"",""✗"")"),"✗")</f>
        <v>✗</v>
      </c>
      <c r="T90" s="23" t="str">
        <f>IFERROR(__xludf.DUMMYFUNCTION("if(REGEXMATCH(join("", "",$G90:$H90),T$1)=TRUE,""✓"",""✗"")"),"✗")</f>
        <v>✗</v>
      </c>
      <c r="U90" s="23" t="str">
        <f>IFERROR(__xludf.DUMMYFUNCTION("if(REGEXMATCH(join("", "",$G90:$H90),U$1)=TRUE,""✓"",""✗"")"),"✗")</f>
        <v>✗</v>
      </c>
    </row>
    <row r="91">
      <c r="A91" s="8">
        <v>90.0</v>
      </c>
      <c r="B91" s="8" t="s">
        <v>192</v>
      </c>
      <c r="C91" s="16" t="str">
        <f t="shared" si="1"/>
        <v>Taylor et al., 2009</v>
      </c>
      <c r="D91" s="30" t="s">
        <v>438</v>
      </c>
      <c r="E91" s="15" t="str">
        <f t="shared" si="2"/>
        <v>https://raw.githubusercontent.com/d-wkim/phd/refs/heads/main/data/pdf/taylor_2009 .pdf</v>
      </c>
      <c r="F91" s="8" t="s">
        <v>32</v>
      </c>
      <c r="G91" s="32" t="s">
        <v>33</v>
      </c>
      <c r="H91" s="32" t="s">
        <v>100</v>
      </c>
      <c r="I91" s="23" t="str">
        <f>IFERROR(__xludf.DUMMYFUNCTION("if(REGEXMATCH(join("", "",$G91:$H91),I$1)=TRUE,""✓"",""✗"")"),"✓")</f>
        <v>✓</v>
      </c>
      <c r="J91" s="23" t="str">
        <f>IFERROR(__xludf.DUMMYFUNCTION("if(REGEXMATCH(join("", "",$G91:$H91),J$1)=TRUE,""✓"",""✗"")"),"✓")</f>
        <v>✓</v>
      </c>
      <c r="K91" s="23" t="str">
        <f>IFERROR(__xludf.DUMMYFUNCTION("if(REGEXMATCH(join("", "",$G91:$H91),K$1)=TRUE,""✓"",""✗"")"),"✗")</f>
        <v>✗</v>
      </c>
      <c r="L91" s="23" t="str">
        <f>IFERROR(__xludf.DUMMYFUNCTION("if(REGEXMATCH(join("", "",$G91:$H91),L$1)=TRUE,""✓"",""✗"")"),"✗")</f>
        <v>✗</v>
      </c>
      <c r="M91" s="23" t="str">
        <f>IFERROR(__xludf.DUMMYFUNCTION("if(REGEXMATCH(join("", "",$G91:$H91),M$1)=TRUE,""✓"",""✗"")"),"✗")</f>
        <v>✗</v>
      </c>
      <c r="N91" s="23" t="str">
        <f>IFERROR(__xludf.DUMMYFUNCTION("if(REGEXMATCH(join("", "",$G91:$H91),N$1)=TRUE,""✓"",""✗"")"),"✗")</f>
        <v>✗</v>
      </c>
      <c r="O91" s="23" t="str">
        <f>IFERROR(__xludf.DUMMYFUNCTION("if(REGEXMATCH(join("", "",$G91:$H91),O$1)=TRUE,""✓"",""✗"")"),"✓")</f>
        <v>✓</v>
      </c>
      <c r="P91" s="23" t="str">
        <f>IFERROR(__xludf.DUMMYFUNCTION("if(REGEXMATCH(join("", "",$G91:$H91),P$1)=TRUE,""✓"",""✗"")"),"✓")</f>
        <v>✓</v>
      </c>
      <c r="Q91" s="23" t="str">
        <f>IFERROR(__xludf.DUMMYFUNCTION("if(REGEXMATCH(join("", "",$G91:$H91),Q$1)=TRUE,""✓"",""✗"")"),"✓")</f>
        <v>✓</v>
      </c>
      <c r="R91" s="23" t="str">
        <f>IFERROR(__xludf.DUMMYFUNCTION("if(REGEXMATCH(join("", "",$G91:$H91),R$1)=TRUE,""✓"",""✗"")"),"✓")</f>
        <v>✓</v>
      </c>
      <c r="S91" s="23" t="str">
        <f>IFERROR(__xludf.DUMMYFUNCTION("if(REGEXMATCH(join("", "",$G91:$H91),S$1)=TRUE,""✓"",""✗"")"),"✓")</f>
        <v>✓</v>
      </c>
      <c r="T91" s="23" t="str">
        <f>IFERROR(__xludf.DUMMYFUNCTION("if(REGEXMATCH(join("", "",$G91:$H91),T$1)=TRUE,""✓"",""✗"")"),"✗")</f>
        <v>✗</v>
      </c>
      <c r="U91" s="23" t="str">
        <f>IFERROR(__xludf.DUMMYFUNCTION("if(REGEXMATCH(join("", "",$G91:$H91),U$1)=TRUE,""✓"",""✗"")"),"✗")</f>
        <v>✗</v>
      </c>
    </row>
    <row r="92" hidden="1">
      <c r="A92" s="8">
        <v>91.0</v>
      </c>
      <c r="B92" s="8" t="s">
        <v>440</v>
      </c>
      <c r="C92" s="42" t="str">
        <f t="shared" si="1"/>
        <v>Tibesku et al., 2003</v>
      </c>
      <c r="D92" s="8" t="s">
        <v>441</v>
      </c>
      <c r="E92" s="15" t="str">
        <f t="shared" si="2"/>
        <v>https://raw.githubusercontent.com/d-wkim/phd/refs/heads/main/data/pdf/tibesku_2003 .pdf</v>
      </c>
      <c r="F92" s="8" t="s">
        <v>102</v>
      </c>
      <c r="G92" s="32"/>
      <c r="H92" s="51"/>
      <c r="I92" s="23" t="str">
        <f>IFERROR(__xludf.DUMMYFUNCTION("if(REGEXMATCH(join("", "",$G92:$H92),I$1)=TRUE,""✓"",""✗"")"),"✗")</f>
        <v>✗</v>
      </c>
      <c r="J92" s="23" t="str">
        <f>IFERROR(__xludf.DUMMYFUNCTION("if(REGEXMATCH(join("", "",$G92:$H92),J$1)=TRUE,""✓"",""✗"")"),"✗")</f>
        <v>✗</v>
      </c>
      <c r="K92" s="23" t="str">
        <f>IFERROR(__xludf.DUMMYFUNCTION("if(REGEXMATCH(join("", "",$G92:$H92),K$1)=TRUE,""✓"",""✗"")"),"✗")</f>
        <v>✗</v>
      </c>
      <c r="L92" s="23" t="str">
        <f>IFERROR(__xludf.DUMMYFUNCTION("if(REGEXMATCH(join("", "",$G92:$H92),L$1)=TRUE,""✓"",""✗"")"),"✗")</f>
        <v>✗</v>
      </c>
      <c r="M92" s="23" t="str">
        <f>IFERROR(__xludf.DUMMYFUNCTION("if(REGEXMATCH(join("", "",$G92:$H92),M$1)=TRUE,""✓"",""✗"")"),"✗")</f>
        <v>✗</v>
      </c>
      <c r="N92" s="23" t="str">
        <f>IFERROR(__xludf.DUMMYFUNCTION("if(REGEXMATCH(join("", "",$G92:$H92),N$1)=TRUE,""✓"",""✗"")"),"✗")</f>
        <v>✗</v>
      </c>
      <c r="O92" s="23" t="str">
        <f>IFERROR(__xludf.DUMMYFUNCTION("if(REGEXMATCH(join("", "",$G92:$H92),O$1)=TRUE,""✓"",""✗"")"),"✗")</f>
        <v>✗</v>
      </c>
      <c r="P92" s="23" t="str">
        <f>IFERROR(__xludf.DUMMYFUNCTION("if(REGEXMATCH(join("", "",$G92:$H92),P$1)=TRUE,""✓"",""✗"")"),"✗")</f>
        <v>✗</v>
      </c>
      <c r="Q92" s="23" t="str">
        <f>IFERROR(__xludf.DUMMYFUNCTION("if(REGEXMATCH(join("", "",$G92:$H92),Q$1)=TRUE,""✓"",""✗"")"),"✗")</f>
        <v>✗</v>
      </c>
      <c r="R92" s="23" t="str">
        <f>IFERROR(__xludf.DUMMYFUNCTION("if(REGEXMATCH(join("", "",$G92:$H92),R$1)=TRUE,""✓"",""✗"")"),"✗")</f>
        <v>✗</v>
      </c>
      <c r="S92" s="23" t="str">
        <f>IFERROR(__xludf.DUMMYFUNCTION("if(REGEXMATCH(join("", "",$G92:$H92),S$1)=TRUE,""✓"",""✗"")"),"✗")</f>
        <v>✗</v>
      </c>
      <c r="T92" s="23" t="str">
        <f>IFERROR(__xludf.DUMMYFUNCTION("if(REGEXMATCH(join("", "",$G92:$H92),T$1)=TRUE,""✓"",""✗"")"),"✗")</f>
        <v>✗</v>
      </c>
      <c r="U92" s="23" t="str">
        <f>IFERROR(__xludf.DUMMYFUNCTION("if(REGEXMATCH(join("", "",$G92:$H92),U$1)=TRUE,""✓"",""✗"")"),"✗")</f>
        <v>✗</v>
      </c>
    </row>
    <row r="93">
      <c r="A93" s="8">
        <v>93.0</v>
      </c>
      <c r="B93" s="8" t="s">
        <v>194</v>
      </c>
      <c r="C93" s="16" t="str">
        <f t="shared" si="1"/>
        <v>Vilchez-Cavazos et al., 2020</v>
      </c>
      <c r="D93" s="19" t="s">
        <v>442</v>
      </c>
      <c r="E93" s="15" t="str">
        <f t="shared" si="2"/>
        <v>https://raw.githubusercontent.com/d-wkim/phd/refs/heads/main/data/pdf/vilchez-cavazos_2020 .pdf</v>
      </c>
      <c r="F93" s="8" t="s">
        <v>32</v>
      </c>
      <c r="G93" s="32" t="s">
        <v>191</v>
      </c>
      <c r="H93" s="32" t="s">
        <v>94</v>
      </c>
      <c r="I93" s="23" t="str">
        <f>IFERROR(__xludf.DUMMYFUNCTION("if(REGEXMATCH(join("", "",$G93:$H93),I$1)=TRUE,""✓"",""✗"")"),"✓")</f>
        <v>✓</v>
      </c>
      <c r="J93" s="23" t="str">
        <f>IFERROR(__xludf.DUMMYFUNCTION("if(REGEXMATCH(join("", "",$G93:$H93),J$1)=TRUE,""✓"",""✗"")"),"✗")</f>
        <v>✗</v>
      </c>
      <c r="K93" s="23" t="str">
        <f>IFERROR(__xludf.DUMMYFUNCTION("if(REGEXMATCH(join("", "",$G93:$H93),K$1)=TRUE,""✓"",""✗"")"),"✓")</f>
        <v>✓</v>
      </c>
      <c r="L93" s="23" t="str">
        <f>IFERROR(__xludf.DUMMYFUNCTION("if(REGEXMATCH(join("", "",$G93:$H93),L$1)=TRUE,""✓"",""✗"")"),"✗")</f>
        <v>✗</v>
      </c>
      <c r="M93" s="23" t="str">
        <f>IFERROR(__xludf.DUMMYFUNCTION("if(REGEXMATCH(join("", "",$G93:$H93),M$1)=TRUE,""✓"",""✗"")"),"✗")</f>
        <v>✗</v>
      </c>
      <c r="N93" s="23" t="str">
        <f>IFERROR(__xludf.DUMMYFUNCTION("if(REGEXMATCH(join("", "",$G93:$H93),N$1)=TRUE,""✓"",""✗"")"),"✗")</f>
        <v>✗</v>
      </c>
      <c r="O93" s="23" t="str">
        <f>IFERROR(__xludf.DUMMYFUNCTION("if(REGEXMATCH(join("", "",$G93:$H93),O$1)=TRUE,""✓"",""✗"")"),"✓")</f>
        <v>✓</v>
      </c>
      <c r="P93" s="23" t="str">
        <f>IFERROR(__xludf.DUMMYFUNCTION("if(REGEXMATCH(join("", "",$G93:$H93),P$1)=TRUE,""✓"",""✗"")"),"✓")</f>
        <v>✓</v>
      </c>
      <c r="Q93" s="23" t="str">
        <f>IFERROR(__xludf.DUMMYFUNCTION("if(REGEXMATCH(join("", "",$G93:$H93),Q$1)=TRUE,""✓"",""✗"")"),"✓")</f>
        <v>✓</v>
      </c>
      <c r="R93" s="23" t="str">
        <f>IFERROR(__xludf.DUMMYFUNCTION("if(REGEXMATCH(join("", "",$G93:$H93),R$1)=TRUE,""✓"",""✗"")"),"✓")</f>
        <v>✓</v>
      </c>
      <c r="S93" s="23" t="str">
        <f>IFERROR(__xludf.DUMMYFUNCTION("if(REGEXMATCH(join("", "",$G93:$H93),S$1)=TRUE,""✓"",""✗"")"),"✗")</f>
        <v>✗</v>
      </c>
      <c r="T93" s="23" t="str">
        <f>IFERROR(__xludf.DUMMYFUNCTION("if(REGEXMATCH(join("", "",$G93:$H93),T$1)=TRUE,""✓"",""✗"")"),"✗")</f>
        <v>✗</v>
      </c>
      <c r="U93" s="23" t="str">
        <f>IFERROR(__xludf.DUMMYFUNCTION("if(REGEXMATCH(join("", "",$G93:$H93),U$1)=TRUE,""✓"",""✗"")"),"✗")</f>
        <v>✗</v>
      </c>
    </row>
    <row r="94">
      <c r="A94" s="8">
        <v>95.0</v>
      </c>
      <c r="B94" s="8" t="s">
        <v>196</v>
      </c>
      <c r="C94" s="16" t="str">
        <f t="shared" si="1"/>
        <v>Webster et al., 2001</v>
      </c>
      <c r="D94" s="30" t="s">
        <v>446</v>
      </c>
      <c r="E94" s="15" t="str">
        <f t="shared" si="2"/>
        <v>https://raw.githubusercontent.com/d-wkim/phd/refs/heads/main/data/pdf/webster_2001 .pdf</v>
      </c>
      <c r="F94" s="8" t="s">
        <v>32</v>
      </c>
      <c r="G94" s="32" t="s">
        <v>33</v>
      </c>
      <c r="H94" s="32" t="s">
        <v>76</v>
      </c>
      <c r="I94" s="23" t="str">
        <f>IFERROR(__xludf.DUMMYFUNCTION("if(REGEXMATCH(join("", "",$G94:$H94),I$1)=TRUE,""✓"",""✗"")"),"✓")</f>
        <v>✓</v>
      </c>
      <c r="J94" s="23" t="str">
        <f>IFERROR(__xludf.DUMMYFUNCTION("if(REGEXMATCH(join("", "",$G94:$H94),J$1)=TRUE,""✓"",""✗"")"),"✓")</f>
        <v>✓</v>
      </c>
      <c r="K94" s="23" t="str">
        <f>IFERROR(__xludf.DUMMYFUNCTION("if(REGEXMATCH(join("", "",$G94:$H94),K$1)=TRUE,""✓"",""✗"")"),"✗")</f>
        <v>✗</v>
      </c>
      <c r="L94" s="23" t="str">
        <f>IFERROR(__xludf.DUMMYFUNCTION("if(REGEXMATCH(join("", "",$G94:$H94),L$1)=TRUE,""✓"",""✗"")"),"✗")</f>
        <v>✗</v>
      </c>
      <c r="M94" s="23" t="str">
        <f>IFERROR(__xludf.DUMMYFUNCTION("if(REGEXMATCH(join("", "",$G94:$H94),M$1)=TRUE,""✓"",""✗"")"),"✗")</f>
        <v>✗</v>
      </c>
      <c r="N94" s="23" t="str">
        <f>IFERROR(__xludf.DUMMYFUNCTION("if(REGEXMATCH(join("", "",$G94:$H94),N$1)=TRUE,""✓"",""✗"")"),"✗")</f>
        <v>✗</v>
      </c>
      <c r="O94" s="23" t="str">
        <f>IFERROR(__xludf.DUMMYFUNCTION("if(REGEXMATCH(join("", "",$G94:$H94),O$1)=TRUE,""✓"",""✗"")"),"✓")</f>
        <v>✓</v>
      </c>
      <c r="P94" s="23" t="str">
        <f>IFERROR(__xludf.DUMMYFUNCTION("if(REGEXMATCH(join("", "",$G94:$H94),P$1)=TRUE,""✓"",""✗"")"),"✗")</f>
        <v>✗</v>
      </c>
      <c r="Q94" s="23" t="str">
        <f>IFERROR(__xludf.DUMMYFUNCTION("if(REGEXMATCH(join("", "",$G94:$H94),Q$1)=TRUE,""✓"",""✗"")"),"✗")</f>
        <v>✗</v>
      </c>
      <c r="R94" s="23" t="str">
        <f>IFERROR(__xludf.DUMMYFUNCTION("if(REGEXMATCH(join("", "",$G94:$H94),R$1)=TRUE,""✓"",""✗"")"),"✓")</f>
        <v>✓</v>
      </c>
      <c r="S94" s="23" t="str">
        <f>IFERROR(__xludf.DUMMYFUNCTION("if(REGEXMATCH(join("", "",$G94:$H94),S$1)=TRUE,""✓"",""✗"")"),"✗")</f>
        <v>✗</v>
      </c>
      <c r="T94" s="23" t="str">
        <f>IFERROR(__xludf.DUMMYFUNCTION("if(REGEXMATCH(join("", "",$G94:$H94),T$1)=TRUE,""✓"",""✗"")"),"✗")</f>
        <v>✗</v>
      </c>
      <c r="U94" s="23" t="str">
        <f>IFERROR(__xludf.DUMMYFUNCTION("if(REGEXMATCH(join("", "",$G94:$H94),U$1)=TRUE,""✓"",""✗"")"),"✗")</f>
        <v>✗</v>
      </c>
    </row>
    <row r="95">
      <c r="A95" s="8">
        <v>96.0</v>
      </c>
      <c r="B95" s="8" t="s">
        <v>197</v>
      </c>
      <c r="C95" s="16" t="str">
        <f t="shared" si="1"/>
        <v>Wipfler et al., 2011</v>
      </c>
      <c r="D95" s="30" t="s">
        <v>447</v>
      </c>
      <c r="E95" s="15" t="str">
        <f t="shared" si="2"/>
        <v>https://raw.githubusercontent.com/d-wkim/phd/refs/heads/main/data/pdf/wipfler_2011 .pdf</v>
      </c>
      <c r="F95" s="8" t="s">
        <v>32</v>
      </c>
      <c r="G95" s="32" t="s">
        <v>33</v>
      </c>
      <c r="H95" s="32" t="s">
        <v>198</v>
      </c>
      <c r="I95" s="23" t="str">
        <f>IFERROR(__xludf.DUMMYFUNCTION("if(REGEXMATCH(join("", "",$G95:$H95),I$1)=TRUE,""✓"",""✗"")"),"✓")</f>
        <v>✓</v>
      </c>
      <c r="J95" s="23" t="str">
        <f>IFERROR(__xludf.DUMMYFUNCTION("if(REGEXMATCH(join("", "",$G95:$H95),J$1)=TRUE,""✓"",""✗"")"),"✓")</f>
        <v>✓</v>
      </c>
      <c r="K95" s="23" t="str">
        <f>IFERROR(__xludf.DUMMYFUNCTION("if(REGEXMATCH(join("", "",$G95:$H95),K$1)=TRUE,""✓"",""✗"")"),"✗")</f>
        <v>✗</v>
      </c>
      <c r="L95" s="23" t="str">
        <f>IFERROR(__xludf.DUMMYFUNCTION("if(REGEXMATCH(join("", "",$G95:$H95),L$1)=TRUE,""✓"",""✗"")"),"✗")</f>
        <v>✗</v>
      </c>
      <c r="M95" s="23" t="str">
        <f>IFERROR(__xludf.DUMMYFUNCTION("if(REGEXMATCH(join("", "",$G95:$H95),M$1)=TRUE,""✓"",""✗"")"),"✗")</f>
        <v>✗</v>
      </c>
      <c r="N95" s="23" t="str">
        <f>IFERROR(__xludf.DUMMYFUNCTION("if(REGEXMATCH(join("", "",$G95:$H95),N$1)=TRUE,""✓"",""✗"")"),"✗")</f>
        <v>✗</v>
      </c>
      <c r="O95" s="23" t="str">
        <f>IFERROR(__xludf.DUMMYFUNCTION("if(REGEXMATCH(join("", "",$G95:$H95),O$1)=TRUE,""✓"",""✗"")"),"✓")</f>
        <v>✓</v>
      </c>
      <c r="P95" s="23" t="str">
        <f>IFERROR(__xludf.DUMMYFUNCTION("if(REGEXMATCH(join("", "",$G95:$H95),P$1)=TRUE,""✓"",""✗"")"),"✓")</f>
        <v>✓</v>
      </c>
      <c r="Q95" s="23" t="str">
        <f>IFERROR(__xludf.DUMMYFUNCTION("if(REGEXMATCH(join("", "",$G95:$H95),Q$1)=TRUE,""✓"",""✗"")"),"✓")</f>
        <v>✓</v>
      </c>
      <c r="R95" s="23" t="str">
        <f>IFERROR(__xludf.DUMMYFUNCTION("if(REGEXMATCH(join("", "",$G95:$H95),R$1)=TRUE,""✓"",""✗"")"),"✓")</f>
        <v>✓</v>
      </c>
      <c r="S95" s="23" t="str">
        <f>IFERROR(__xludf.DUMMYFUNCTION("if(REGEXMATCH(join("", "",$G95:$H95),S$1)=TRUE,""✓"",""✗"")"),"✓")</f>
        <v>✓</v>
      </c>
      <c r="T95" s="23" t="str">
        <f>IFERROR(__xludf.DUMMYFUNCTION("if(REGEXMATCH(join("", "",$G95:$H95),T$1)=TRUE,""✓"",""✗"")"),"✓")</f>
        <v>✓</v>
      </c>
      <c r="U95" s="23" t="str">
        <f>IFERROR(__xludf.DUMMYFUNCTION("if(REGEXMATCH(join("", "",$G95:$H95),U$1)=TRUE,""✓"",""✗"")"),"✓")</f>
        <v>✓</v>
      </c>
    </row>
    <row r="96">
      <c r="A96" s="8">
        <v>97.0</v>
      </c>
      <c r="B96" s="8" t="s">
        <v>200</v>
      </c>
      <c r="C96" s="16" t="str">
        <f t="shared" si="1"/>
        <v>Yadav et al., 2025</v>
      </c>
      <c r="D96" s="30" t="s">
        <v>449</v>
      </c>
      <c r="E96" s="15" t="str">
        <f t="shared" si="2"/>
        <v>https://raw.githubusercontent.com/d-wkim/phd/refs/heads/main/data/pdf/yadav_2025 .pdf</v>
      </c>
      <c r="F96" s="8" t="s">
        <v>32</v>
      </c>
      <c r="G96" s="32" t="s">
        <v>245</v>
      </c>
      <c r="H96" s="32" t="s">
        <v>201</v>
      </c>
      <c r="I96" s="23" t="str">
        <f>IFERROR(__xludf.DUMMYFUNCTION("if(REGEXMATCH(join("", "",$G96:$H96),I$1)=TRUE,""✓"",""✗"")"),"✗")</f>
        <v>✗</v>
      </c>
      <c r="J96" s="23" t="str">
        <f>IFERROR(__xludf.DUMMYFUNCTION("if(REGEXMATCH(join("", "",$G96:$H96),J$1)=TRUE,""✓"",""✗"")"),"✓")</f>
        <v>✓</v>
      </c>
      <c r="K96" s="23" t="str">
        <f>IFERROR(__xludf.DUMMYFUNCTION("if(REGEXMATCH(join("", "",$G96:$H96),K$1)=TRUE,""✓"",""✗"")"),"✓")</f>
        <v>✓</v>
      </c>
      <c r="L96" s="23" t="str">
        <f>IFERROR(__xludf.DUMMYFUNCTION("if(REGEXMATCH(join("", "",$G96:$H96),L$1)=TRUE,""✓"",""✗"")"),"✗")</f>
        <v>✗</v>
      </c>
      <c r="M96" s="23" t="str">
        <f>IFERROR(__xludf.DUMMYFUNCTION("if(REGEXMATCH(join("", "",$G96:$H96),M$1)=TRUE,""✓"",""✗"")"),"✗")</f>
        <v>✗</v>
      </c>
      <c r="N96" s="23" t="str">
        <f>IFERROR(__xludf.DUMMYFUNCTION("if(REGEXMATCH(join("", "",$G96:$H96),N$1)=TRUE,""✓"",""✗"")"),"✗")</f>
        <v>✗</v>
      </c>
      <c r="O96" s="23" t="str">
        <f>IFERROR(__xludf.DUMMYFUNCTION("if(REGEXMATCH(join("", "",$G96:$H96),O$1)=TRUE,""✓"",""✗"")"),"✗")</f>
        <v>✗</v>
      </c>
      <c r="P96" s="23" t="str">
        <f>IFERROR(__xludf.DUMMYFUNCTION("if(REGEXMATCH(join("", "",$G96:$H96),P$1)=TRUE,""✓"",""✗"")"),"✓")</f>
        <v>✓</v>
      </c>
      <c r="Q96" s="23" t="str">
        <f>IFERROR(__xludf.DUMMYFUNCTION("if(REGEXMATCH(join("", "",$G96:$H96),Q$1)=TRUE,""✓"",""✗"")"),"✗")</f>
        <v>✗</v>
      </c>
      <c r="R96" s="23" t="str">
        <f>IFERROR(__xludf.DUMMYFUNCTION("if(REGEXMATCH(join("", "",$G96:$H96),R$1)=TRUE,""✓"",""✗"")"),"✓")</f>
        <v>✓</v>
      </c>
      <c r="S96" s="23" t="str">
        <f>IFERROR(__xludf.DUMMYFUNCTION("if(REGEXMATCH(join("", "",$G96:$H96),S$1)=TRUE,""✓"",""✗"")"),"✓")</f>
        <v>✓</v>
      </c>
      <c r="T96" s="23" t="str">
        <f>IFERROR(__xludf.DUMMYFUNCTION("if(REGEXMATCH(join("", "",$G96:$H96),T$1)=TRUE,""✓"",""✗"")"),"✓")</f>
        <v>✓</v>
      </c>
      <c r="U96" s="23" t="str">
        <f>IFERROR(__xludf.DUMMYFUNCTION("if(REGEXMATCH(join("", "",$G96:$H96),U$1)=TRUE,""✓"",""✗"")"),"✗")</f>
        <v>✗</v>
      </c>
    </row>
    <row r="97">
      <c r="A97" s="8">
        <v>98.0</v>
      </c>
      <c r="B97" s="8" t="s">
        <v>203</v>
      </c>
      <c r="C97" s="16" t="str">
        <f t="shared" si="1"/>
        <v>Yoo et al., 2017</v>
      </c>
      <c r="D97" s="30" t="s">
        <v>452</v>
      </c>
      <c r="E97" s="15" t="str">
        <f t="shared" si="2"/>
        <v>https://raw.githubusercontent.com/d-wkim/phd/refs/heads/main/data/pdf/yoo_2017 .pdf</v>
      </c>
      <c r="F97" s="8" t="s">
        <v>32</v>
      </c>
      <c r="G97" s="32" t="s">
        <v>223</v>
      </c>
      <c r="H97" s="32" t="s">
        <v>204</v>
      </c>
      <c r="I97" s="23" t="str">
        <f>IFERROR(__xludf.DUMMYFUNCTION("if(REGEXMATCH(join("", "",$G97:$H97),I$1)=TRUE,""✓"",""✗"")"),"✗")</f>
        <v>✗</v>
      </c>
      <c r="J97" s="23" t="str">
        <f>IFERROR(__xludf.DUMMYFUNCTION("if(REGEXMATCH(join("", "",$G97:$H97),J$1)=TRUE,""✓"",""✗"")"),"✓")</f>
        <v>✓</v>
      </c>
      <c r="K97" s="23" t="str">
        <f>IFERROR(__xludf.DUMMYFUNCTION("if(REGEXMATCH(join("", "",$G97:$H97),K$1)=TRUE,""✓"",""✗"")"),"✗")</f>
        <v>✗</v>
      </c>
      <c r="L97" s="23" t="str">
        <f>IFERROR(__xludf.DUMMYFUNCTION("if(REGEXMATCH(join("", "",$G97:$H97),L$1)=TRUE,""✓"",""✗"")"),"✗")</f>
        <v>✗</v>
      </c>
      <c r="M97" s="23" t="str">
        <f>IFERROR(__xludf.DUMMYFUNCTION("if(REGEXMATCH(join("", "",$G97:$H97),M$1)=TRUE,""✓"",""✗"")"),"✗")</f>
        <v>✗</v>
      </c>
      <c r="N97" s="23" t="str">
        <f>IFERROR(__xludf.DUMMYFUNCTION("if(REGEXMATCH(join("", "",$G97:$H97),N$1)=TRUE,""✓"",""✗"")"),"✓")</f>
        <v>✓</v>
      </c>
      <c r="O97" s="23" t="str">
        <f>IFERROR(__xludf.DUMMYFUNCTION("if(REGEXMATCH(join("", "",$G97:$H97),O$1)=TRUE,""✓"",""✗"")"),"✗")</f>
        <v>✗</v>
      </c>
      <c r="P97" s="23" t="str">
        <f>IFERROR(__xludf.DUMMYFUNCTION("if(REGEXMATCH(join("", "",$G97:$H97),P$1)=TRUE,""✓"",""✗"")"),"✓")</f>
        <v>✓</v>
      </c>
      <c r="Q97" s="23" t="str">
        <f>IFERROR(__xludf.DUMMYFUNCTION("if(REGEXMATCH(join("", "",$G97:$H97),Q$1)=TRUE,""✓"",""✗"")"),"✓")</f>
        <v>✓</v>
      </c>
      <c r="R97" s="23" t="str">
        <f>IFERROR(__xludf.DUMMYFUNCTION("if(REGEXMATCH(join("", "",$G97:$H97),R$1)=TRUE,""✓"",""✗"")"),"✓")</f>
        <v>✓</v>
      </c>
      <c r="S97" s="23" t="str">
        <f>IFERROR(__xludf.DUMMYFUNCTION("if(REGEXMATCH(join("", "",$G97:$H97),S$1)=TRUE,""✓"",""✗"")"),"✓")</f>
        <v>✓</v>
      </c>
      <c r="T97" s="23" t="str">
        <f>IFERROR(__xludf.DUMMYFUNCTION("if(REGEXMATCH(join("", "",$G97:$H97),T$1)=TRUE,""✓"",""✗"")"),"✓")</f>
        <v>✓</v>
      </c>
      <c r="U97" s="23" t="str">
        <f>IFERROR(__xludf.DUMMYFUNCTION("if(REGEXMATCH(join("", "",$G97:$H97),U$1)=TRUE,""✓"",""✗"")"),"✗")</f>
        <v>✗</v>
      </c>
    </row>
    <row r="98" hidden="1">
      <c r="A98" s="8">
        <v>98.0</v>
      </c>
      <c r="B98" s="8" t="s">
        <v>454</v>
      </c>
      <c r="C98" s="42" t="str">
        <f t="shared" si="1"/>
        <v>Zaffagnini et al., 2006</v>
      </c>
      <c r="D98" s="8" t="s">
        <v>456</v>
      </c>
      <c r="E98" s="15" t="str">
        <f t="shared" si="2"/>
        <v>https://raw.githubusercontent.com/d-wkim/phd/refs/heads/main/data/pdf/zaffagnini_2006 .pdf</v>
      </c>
      <c r="F98" s="8" t="s">
        <v>102</v>
      </c>
      <c r="G98" s="32"/>
      <c r="H98" s="51"/>
      <c r="I98" s="23" t="str">
        <f>IFERROR(__xludf.DUMMYFUNCTION("if(REGEXMATCH(join("", "",$G98:$H98),I$1)=TRUE,""✓"",""✗"")"),"✗")</f>
        <v>✗</v>
      </c>
      <c r="J98" s="23" t="str">
        <f>IFERROR(__xludf.DUMMYFUNCTION("if(REGEXMATCH(join("", "",$G98:$H98),J$1)=TRUE,""✓"",""✗"")"),"✗")</f>
        <v>✗</v>
      </c>
      <c r="K98" s="23" t="str">
        <f>IFERROR(__xludf.DUMMYFUNCTION("if(REGEXMATCH(join("", "",$G98:$H98),K$1)=TRUE,""✓"",""✗"")"),"✗")</f>
        <v>✗</v>
      </c>
      <c r="L98" s="23" t="str">
        <f>IFERROR(__xludf.DUMMYFUNCTION("if(REGEXMATCH(join("", "",$G98:$H98),L$1)=TRUE,""✓"",""✗"")"),"✗")</f>
        <v>✗</v>
      </c>
      <c r="M98" s="23" t="str">
        <f>IFERROR(__xludf.DUMMYFUNCTION("if(REGEXMATCH(join("", "",$G98:$H98),M$1)=TRUE,""✓"",""✗"")"),"✗")</f>
        <v>✗</v>
      </c>
      <c r="N98" s="23" t="str">
        <f>IFERROR(__xludf.DUMMYFUNCTION("if(REGEXMATCH(join("", "",$G98:$H98),N$1)=TRUE,""✓"",""✗"")"),"✗")</f>
        <v>✗</v>
      </c>
      <c r="O98" s="23" t="str">
        <f>IFERROR(__xludf.DUMMYFUNCTION("if(REGEXMATCH(join("", "",$G98:$H98),O$1)=TRUE,""✓"",""✗"")"),"✗")</f>
        <v>✗</v>
      </c>
      <c r="P98" s="23" t="str">
        <f>IFERROR(__xludf.DUMMYFUNCTION("if(REGEXMATCH(join("", "",$G98:$H98),P$1)=TRUE,""✓"",""✗"")"),"✗")</f>
        <v>✗</v>
      </c>
      <c r="Q98" s="23" t="str">
        <f>IFERROR(__xludf.DUMMYFUNCTION("if(REGEXMATCH(join("", "",$G98:$H98),Q$1)=TRUE,""✓"",""✗"")"),"✗")</f>
        <v>✗</v>
      </c>
      <c r="R98" s="23" t="str">
        <f>IFERROR(__xludf.DUMMYFUNCTION("if(REGEXMATCH(join("", "",$G98:$H98),R$1)=TRUE,""✓"",""✗"")"),"✗")</f>
        <v>✗</v>
      </c>
      <c r="S98" s="23" t="str">
        <f>IFERROR(__xludf.DUMMYFUNCTION("if(REGEXMATCH(join("", "",$G98:$H98),S$1)=TRUE,""✓"",""✗"")"),"✗")</f>
        <v>✗</v>
      </c>
      <c r="T98" s="23" t="str">
        <f>IFERROR(__xludf.DUMMYFUNCTION("if(REGEXMATCH(join("", "",$G98:$H98),T$1)=TRUE,""✓"",""✗"")"),"✗")</f>
        <v>✗</v>
      </c>
      <c r="U98" s="23" t="str">
        <f>IFERROR(__xludf.DUMMYFUNCTION("if(REGEXMATCH(join("", "",$G98:$H98),U$1)=TRUE,""✓"",""✗"")"),"✗")</f>
        <v>✗</v>
      </c>
    </row>
    <row r="99">
      <c r="A99" s="8">
        <v>100.0</v>
      </c>
      <c r="B99" s="8" t="s">
        <v>205</v>
      </c>
      <c r="C99" s="16" t="str">
        <f t="shared" si="1"/>
        <v>Zaffagnini et al., 2011</v>
      </c>
      <c r="D99" s="30" t="s">
        <v>457</v>
      </c>
      <c r="E99" s="15" t="str">
        <f t="shared" si="2"/>
        <v>https://raw.githubusercontent.com/d-wkim/phd/refs/heads/main/data/pdf/zaffagnini_2011 .pdf</v>
      </c>
      <c r="F99" s="8" t="s">
        <v>32</v>
      </c>
      <c r="G99" s="32" t="s">
        <v>33</v>
      </c>
      <c r="H99" s="32" t="s">
        <v>76</v>
      </c>
      <c r="I99" s="23" t="str">
        <f>IFERROR(__xludf.DUMMYFUNCTION("if(REGEXMATCH(join("", "",$G99:$H99),I$1)=TRUE,""✓"",""✗"")"),"✓")</f>
        <v>✓</v>
      </c>
      <c r="J99" s="23" t="str">
        <f>IFERROR(__xludf.DUMMYFUNCTION("if(REGEXMATCH(join("", "",$G99:$H99),J$1)=TRUE,""✓"",""✗"")"),"✓")</f>
        <v>✓</v>
      </c>
      <c r="K99" s="23" t="str">
        <f>IFERROR(__xludf.DUMMYFUNCTION("if(REGEXMATCH(join("", "",$G99:$H99),K$1)=TRUE,""✓"",""✗"")"),"✗")</f>
        <v>✗</v>
      </c>
      <c r="L99" s="23" t="str">
        <f>IFERROR(__xludf.DUMMYFUNCTION("if(REGEXMATCH(join("", "",$G99:$H99),L$1)=TRUE,""✓"",""✗"")"),"✗")</f>
        <v>✗</v>
      </c>
      <c r="M99" s="23" t="str">
        <f>IFERROR(__xludf.DUMMYFUNCTION("if(REGEXMATCH(join("", "",$G99:$H99),M$1)=TRUE,""✓"",""✗"")"),"✗")</f>
        <v>✗</v>
      </c>
      <c r="N99" s="23" t="str">
        <f>IFERROR(__xludf.DUMMYFUNCTION("if(REGEXMATCH(join("", "",$G99:$H99),N$1)=TRUE,""✓"",""✗"")"),"✗")</f>
        <v>✗</v>
      </c>
      <c r="O99" s="23" t="str">
        <f>IFERROR(__xludf.DUMMYFUNCTION("if(REGEXMATCH(join("", "",$G99:$H99),O$1)=TRUE,""✓"",""✗"")"),"✓")</f>
        <v>✓</v>
      </c>
      <c r="P99" s="23" t="str">
        <f>IFERROR(__xludf.DUMMYFUNCTION("if(REGEXMATCH(join("", "",$G99:$H99),P$1)=TRUE,""✓"",""✗"")"),"✗")</f>
        <v>✗</v>
      </c>
      <c r="Q99" s="23" t="str">
        <f>IFERROR(__xludf.DUMMYFUNCTION("if(REGEXMATCH(join("", "",$G99:$H99),Q$1)=TRUE,""✓"",""✗"")"),"✗")</f>
        <v>✗</v>
      </c>
      <c r="R99" s="23" t="str">
        <f>IFERROR(__xludf.DUMMYFUNCTION("if(REGEXMATCH(join("", "",$G99:$H99),R$1)=TRUE,""✓"",""✗"")"),"✓")</f>
        <v>✓</v>
      </c>
      <c r="S99" s="23" t="str">
        <f>IFERROR(__xludf.DUMMYFUNCTION("if(REGEXMATCH(join("", "",$G99:$H99),S$1)=TRUE,""✓"",""✗"")"),"✗")</f>
        <v>✗</v>
      </c>
      <c r="T99" s="23" t="str">
        <f>IFERROR(__xludf.DUMMYFUNCTION("if(REGEXMATCH(join("", "",$G99:$H99),T$1)=TRUE,""✓"",""✗"")"),"✗")</f>
        <v>✗</v>
      </c>
      <c r="U99" s="23" t="str">
        <f>IFERROR(__xludf.DUMMYFUNCTION("if(REGEXMATCH(join("", "",$G99:$H99),U$1)=TRUE,""✓"",""✗"")"),"✗")</f>
        <v>✗</v>
      </c>
    </row>
    <row r="100" hidden="1">
      <c r="A100" s="8">
        <v>101.0</v>
      </c>
      <c r="B100" s="8" t="s">
        <v>461</v>
      </c>
      <c r="C100" s="16" t="str">
        <f t="shared" si="1"/>
        <v>Dai et al., 2025</v>
      </c>
      <c r="D100" s="8" t="s">
        <v>462</v>
      </c>
      <c r="E100" s="15" t="str">
        <f t="shared" si="2"/>
        <v>https://raw.githubusercontent.com/d-wkim/phd/refs/heads/main/data/pdf/dai_2025 .pdf</v>
      </c>
      <c r="F100" s="8" t="s">
        <v>463</v>
      </c>
      <c r="G100" s="51"/>
      <c r="H100" s="51"/>
      <c r="I100" s="23" t="str">
        <f>IFERROR(__xludf.DUMMYFUNCTION("if(REGEXMATCH(join("", "",$G100:$H100),I$1)=TRUE,""✓"",""✗"")"),"✗")</f>
        <v>✗</v>
      </c>
      <c r="J100" s="23" t="str">
        <f>IFERROR(__xludf.DUMMYFUNCTION("if(REGEXMATCH(join("", "",$G100:$H100),J$1)=TRUE,""✓"",""✗"")"),"✗")</f>
        <v>✗</v>
      </c>
      <c r="K100" s="23" t="str">
        <f>IFERROR(__xludf.DUMMYFUNCTION("if(REGEXMATCH(join("", "",$G100:$H100),K$1)=TRUE,""✓"",""✗"")"),"✗")</f>
        <v>✗</v>
      </c>
      <c r="L100" s="23" t="str">
        <f>IFERROR(__xludf.DUMMYFUNCTION("if(REGEXMATCH(join("", "",$G100:$H100),L$1)=TRUE,""✓"",""✗"")"),"✗")</f>
        <v>✗</v>
      </c>
      <c r="M100" s="23" t="str">
        <f>IFERROR(__xludf.DUMMYFUNCTION("if(REGEXMATCH(join("", "",$G100:$H100),M$1)=TRUE,""✓"",""✗"")"),"✗")</f>
        <v>✗</v>
      </c>
      <c r="N100" s="23" t="str">
        <f>IFERROR(__xludf.DUMMYFUNCTION("if(REGEXMATCH(join("", "",$G100:$H100),N$1)=TRUE,""✓"",""✗"")"),"✗")</f>
        <v>✗</v>
      </c>
      <c r="O100" s="23" t="str">
        <f>IFERROR(__xludf.DUMMYFUNCTION("if(REGEXMATCH(join("", "",$G100:$H100),O$1)=TRUE,""✓"",""✗"")"),"✗")</f>
        <v>✗</v>
      </c>
      <c r="P100" s="23" t="str">
        <f>IFERROR(__xludf.DUMMYFUNCTION("if(REGEXMATCH(join("", "",$G100:$H100),P$1)=TRUE,""✓"",""✗"")"),"✗")</f>
        <v>✗</v>
      </c>
      <c r="Q100" s="23" t="str">
        <f>IFERROR(__xludf.DUMMYFUNCTION("if(REGEXMATCH(join("", "",$G100:$H100),Q$1)=TRUE,""✓"",""✗"")"),"✗")</f>
        <v>✗</v>
      </c>
      <c r="R100" s="23" t="str">
        <f>IFERROR(__xludf.DUMMYFUNCTION("if(REGEXMATCH(join("", "",$G100:$H100),R$1)=TRUE,""✓"",""✗"")"),"✗")</f>
        <v>✗</v>
      </c>
      <c r="S100" s="23" t="str">
        <f>IFERROR(__xludf.DUMMYFUNCTION("if(REGEXMATCH(join("", "",$G100:$H100),S$1)=TRUE,""✓"",""✗"")"),"✗")</f>
        <v>✗</v>
      </c>
      <c r="T100" s="23" t="str">
        <f>IFERROR(__xludf.DUMMYFUNCTION("if(REGEXMATCH(join("", "",$G100:$H100),T$1)=TRUE,""✓"",""✗"")"),"✗")</f>
        <v>✗</v>
      </c>
      <c r="U100" s="23" t="str">
        <f>IFERROR(__xludf.DUMMYFUNCTION("if(REGEXMATCH(join("", "",$G100:$H100),U$1)=TRUE,""✓"",""✗"")"),"✗")</f>
        <v>✗</v>
      </c>
    </row>
    <row r="101" hidden="1">
      <c r="A101" s="8">
        <v>102.0</v>
      </c>
      <c r="B101" s="8" t="s">
        <v>464</v>
      </c>
      <c r="C101" s="16" t="str">
        <f t="shared" si="1"/>
        <v>Drogset et al., 2009</v>
      </c>
      <c r="D101" s="8" t="s">
        <v>465</v>
      </c>
      <c r="E101" s="15" t="str">
        <f t="shared" si="2"/>
        <v>https://raw.githubusercontent.com/d-wkim/phd/refs/heads/main/data/pdf/drogset_2009 .pdf</v>
      </c>
      <c r="F101" s="8" t="s">
        <v>463</v>
      </c>
      <c r="G101" s="51"/>
      <c r="H101" s="51"/>
      <c r="I101" s="23" t="str">
        <f>IFERROR(__xludf.DUMMYFUNCTION("if(REGEXMATCH(join("", "",$G101:$H101),I$1)=TRUE,""✓"",""✗"")"),"✗")</f>
        <v>✗</v>
      </c>
      <c r="J101" s="23" t="str">
        <f>IFERROR(__xludf.DUMMYFUNCTION("if(REGEXMATCH(join("", "",$G101:$H101),J$1)=TRUE,""✓"",""✗"")"),"✗")</f>
        <v>✗</v>
      </c>
      <c r="K101" s="23" t="str">
        <f>IFERROR(__xludf.DUMMYFUNCTION("if(REGEXMATCH(join("", "",$G101:$H101),K$1)=TRUE,""✓"",""✗"")"),"✗")</f>
        <v>✗</v>
      </c>
      <c r="L101" s="23" t="str">
        <f>IFERROR(__xludf.DUMMYFUNCTION("if(REGEXMATCH(join("", "",$G101:$H101),L$1)=TRUE,""✓"",""✗"")"),"✗")</f>
        <v>✗</v>
      </c>
      <c r="M101" s="23" t="str">
        <f>IFERROR(__xludf.DUMMYFUNCTION("if(REGEXMATCH(join("", "",$G101:$H101),M$1)=TRUE,""✓"",""✗"")"),"✗")</f>
        <v>✗</v>
      </c>
      <c r="N101" s="23" t="str">
        <f>IFERROR(__xludf.DUMMYFUNCTION("if(REGEXMATCH(join("", "",$G101:$H101),N$1)=TRUE,""✓"",""✗"")"),"✗")</f>
        <v>✗</v>
      </c>
      <c r="O101" s="23" t="str">
        <f>IFERROR(__xludf.DUMMYFUNCTION("if(REGEXMATCH(join("", "",$G101:$H101),O$1)=TRUE,""✓"",""✗"")"),"✗")</f>
        <v>✗</v>
      </c>
      <c r="P101" s="23" t="str">
        <f>IFERROR(__xludf.DUMMYFUNCTION("if(REGEXMATCH(join("", "",$G101:$H101),P$1)=TRUE,""✓"",""✗"")"),"✗")</f>
        <v>✗</v>
      </c>
      <c r="Q101" s="23" t="str">
        <f>IFERROR(__xludf.DUMMYFUNCTION("if(REGEXMATCH(join("", "",$G101:$H101),Q$1)=TRUE,""✓"",""✗"")"),"✗")</f>
        <v>✗</v>
      </c>
      <c r="R101" s="23" t="str">
        <f>IFERROR(__xludf.DUMMYFUNCTION("if(REGEXMATCH(join("", "",$G101:$H101),R$1)=TRUE,""✓"",""✗"")"),"✗")</f>
        <v>✗</v>
      </c>
      <c r="S101" s="23" t="str">
        <f>IFERROR(__xludf.DUMMYFUNCTION("if(REGEXMATCH(join("", "",$G101:$H101),S$1)=TRUE,""✓"",""✗"")"),"✗")</f>
        <v>✗</v>
      </c>
      <c r="T101" s="23" t="str">
        <f>IFERROR(__xludf.DUMMYFUNCTION("if(REGEXMATCH(join("", "",$G101:$H101),T$1)=TRUE,""✓"",""✗"")"),"✗")</f>
        <v>✗</v>
      </c>
      <c r="U101" s="23" t="str">
        <f>IFERROR(__xludf.DUMMYFUNCTION("if(REGEXMATCH(join("", "",$G101:$H101),U$1)=TRUE,""✓"",""✗"")"),"✗")</f>
        <v>✗</v>
      </c>
    </row>
    <row r="102" hidden="1">
      <c r="A102" s="8">
        <v>103.0</v>
      </c>
      <c r="B102" s="8" t="s">
        <v>467</v>
      </c>
      <c r="C102" s="16" t="str">
        <f t="shared" si="1"/>
        <v>Gupta et al., 2017</v>
      </c>
      <c r="D102" s="8" t="s">
        <v>468</v>
      </c>
      <c r="E102" s="15" t="str">
        <f t="shared" si="2"/>
        <v>https://raw.githubusercontent.com/d-wkim/phd/refs/heads/main/data/pdf/gupta_2017 .pdf</v>
      </c>
      <c r="F102" s="8" t="s">
        <v>463</v>
      </c>
      <c r="G102" s="51"/>
      <c r="H102" s="51"/>
      <c r="I102" s="23" t="str">
        <f>IFERROR(__xludf.DUMMYFUNCTION("if(REGEXMATCH(join("", "",$G102:$H102),I$1)=TRUE,""✓"",""✗"")"),"✗")</f>
        <v>✗</v>
      </c>
      <c r="J102" s="23" t="str">
        <f>IFERROR(__xludf.DUMMYFUNCTION("if(REGEXMATCH(join("", "",$G102:$H102),J$1)=TRUE,""✓"",""✗"")"),"✗")</f>
        <v>✗</v>
      </c>
      <c r="K102" s="23" t="str">
        <f>IFERROR(__xludf.DUMMYFUNCTION("if(REGEXMATCH(join("", "",$G102:$H102),K$1)=TRUE,""✓"",""✗"")"),"✗")</f>
        <v>✗</v>
      </c>
      <c r="L102" s="23" t="str">
        <f>IFERROR(__xludf.DUMMYFUNCTION("if(REGEXMATCH(join("", "",$G102:$H102),L$1)=TRUE,""✓"",""✗"")"),"✗")</f>
        <v>✗</v>
      </c>
      <c r="M102" s="23" t="str">
        <f>IFERROR(__xludf.DUMMYFUNCTION("if(REGEXMATCH(join("", "",$G102:$H102),M$1)=TRUE,""✓"",""✗"")"),"✗")</f>
        <v>✗</v>
      </c>
      <c r="N102" s="23" t="str">
        <f>IFERROR(__xludf.DUMMYFUNCTION("if(REGEXMATCH(join("", "",$G102:$H102),N$1)=TRUE,""✓"",""✗"")"),"✗")</f>
        <v>✗</v>
      </c>
      <c r="O102" s="23" t="str">
        <f>IFERROR(__xludf.DUMMYFUNCTION("if(REGEXMATCH(join("", "",$G102:$H102),O$1)=TRUE,""✓"",""✗"")"),"✗")</f>
        <v>✗</v>
      </c>
      <c r="P102" s="23" t="str">
        <f>IFERROR(__xludf.DUMMYFUNCTION("if(REGEXMATCH(join("", "",$G102:$H102),P$1)=TRUE,""✓"",""✗"")"),"✗")</f>
        <v>✗</v>
      </c>
      <c r="Q102" s="23" t="str">
        <f>IFERROR(__xludf.DUMMYFUNCTION("if(REGEXMATCH(join("", "",$G102:$H102),Q$1)=TRUE,""✓"",""✗"")"),"✗")</f>
        <v>✗</v>
      </c>
      <c r="R102" s="23" t="str">
        <f>IFERROR(__xludf.DUMMYFUNCTION("if(REGEXMATCH(join("", "",$G102:$H102),R$1)=TRUE,""✓"",""✗"")"),"✗")</f>
        <v>✗</v>
      </c>
      <c r="S102" s="23" t="str">
        <f>IFERROR(__xludf.DUMMYFUNCTION("if(REGEXMATCH(join("", "",$G102:$H102),S$1)=TRUE,""✓"",""✗"")"),"✗")</f>
        <v>✗</v>
      </c>
      <c r="T102" s="23" t="str">
        <f>IFERROR(__xludf.DUMMYFUNCTION("if(REGEXMATCH(join("", "",$G102:$H102),T$1)=TRUE,""✓"",""✗"")"),"✗")</f>
        <v>✗</v>
      </c>
      <c r="U102" s="23" t="str">
        <f>IFERROR(__xludf.DUMMYFUNCTION("if(REGEXMATCH(join("", "",$G102:$H102),U$1)=TRUE,""✓"",""✗"")"),"✗")</f>
        <v>✗</v>
      </c>
    </row>
    <row r="103" hidden="1">
      <c r="A103" s="8">
        <v>104.0</v>
      </c>
      <c r="B103" s="8" t="s">
        <v>469</v>
      </c>
      <c r="C103" s="16" t="str">
        <f t="shared" si="1"/>
        <v>Beard et al., 2001</v>
      </c>
      <c r="D103" s="8" t="s">
        <v>470</v>
      </c>
      <c r="E103" s="15" t="str">
        <f t="shared" si="2"/>
        <v>https://raw.githubusercontent.com/d-wkim/phd/refs/heads/main/data/pdf/beard_2001 .pdf</v>
      </c>
      <c r="F103" s="8" t="s">
        <v>463</v>
      </c>
      <c r="G103" s="51"/>
      <c r="H103" s="51"/>
      <c r="I103" s="23" t="str">
        <f>IFERROR(__xludf.DUMMYFUNCTION("if(REGEXMATCH(join("", "",$G103:$H103),I$1)=TRUE,""✓"",""✗"")"),"✗")</f>
        <v>✗</v>
      </c>
      <c r="J103" s="23" t="str">
        <f>IFERROR(__xludf.DUMMYFUNCTION("if(REGEXMATCH(join("", "",$G103:$H103),J$1)=TRUE,""✓"",""✗"")"),"✗")</f>
        <v>✗</v>
      </c>
      <c r="K103" s="23" t="str">
        <f>IFERROR(__xludf.DUMMYFUNCTION("if(REGEXMATCH(join("", "",$G103:$H103),K$1)=TRUE,""✓"",""✗"")"),"✗")</f>
        <v>✗</v>
      </c>
      <c r="L103" s="23" t="str">
        <f>IFERROR(__xludf.DUMMYFUNCTION("if(REGEXMATCH(join("", "",$G103:$H103),L$1)=TRUE,""✓"",""✗"")"),"✗")</f>
        <v>✗</v>
      </c>
      <c r="M103" s="23" t="str">
        <f>IFERROR(__xludf.DUMMYFUNCTION("if(REGEXMATCH(join("", "",$G103:$H103),M$1)=TRUE,""✓"",""✗"")"),"✗")</f>
        <v>✗</v>
      </c>
      <c r="N103" s="23" t="str">
        <f>IFERROR(__xludf.DUMMYFUNCTION("if(REGEXMATCH(join("", "",$G103:$H103),N$1)=TRUE,""✓"",""✗"")"),"✗")</f>
        <v>✗</v>
      </c>
      <c r="O103" s="23" t="str">
        <f>IFERROR(__xludf.DUMMYFUNCTION("if(REGEXMATCH(join("", "",$G103:$H103),O$1)=TRUE,""✓"",""✗"")"),"✗")</f>
        <v>✗</v>
      </c>
      <c r="P103" s="23" t="str">
        <f>IFERROR(__xludf.DUMMYFUNCTION("if(REGEXMATCH(join("", "",$G103:$H103),P$1)=TRUE,""✓"",""✗"")"),"✗")</f>
        <v>✗</v>
      </c>
      <c r="Q103" s="23" t="str">
        <f>IFERROR(__xludf.DUMMYFUNCTION("if(REGEXMATCH(join("", "",$G103:$H103),Q$1)=TRUE,""✓"",""✗"")"),"✗")</f>
        <v>✗</v>
      </c>
      <c r="R103" s="23" t="str">
        <f>IFERROR(__xludf.DUMMYFUNCTION("if(REGEXMATCH(join("", "",$G103:$H103),R$1)=TRUE,""✓"",""✗"")"),"✗")</f>
        <v>✗</v>
      </c>
      <c r="S103" s="23" t="str">
        <f>IFERROR(__xludf.DUMMYFUNCTION("if(REGEXMATCH(join("", "",$G103:$H103),S$1)=TRUE,""✓"",""✗"")"),"✗")</f>
        <v>✗</v>
      </c>
      <c r="T103" s="23" t="str">
        <f>IFERROR(__xludf.DUMMYFUNCTION("if(REGEXMATCH(join("", "",$G103:$H103),T$1)=TRUE,""✓"",""✗"")"),"✗")</f>
        <v>✗</v>
      </c>
      <c r="U103" s="23" t="str">
        <f>IFERROR(__xludf.DUMMYFUNCTION("if(REGEXMATCH(join("", "",$G103:$H103),U$1)=TRUE,""✓"",""✗"")"),"✗")</f>
        <v>✗</v>
      </c>
    </row>
    <row r="104" hidden="1">
      <c r="A104" s="8">
        <v>105.0</v>
      </c>
      <c r="B104" s="8" t="s">
        <v>472</v>
      </c>
      <c r="C104" s="16" t="str">
        <f t="shared" si="1"/>
        <v>Kang et al., 2014</v>
      </c>
      <c r="D104" s="8" t="s">
        <v>473</v>
      </c>
      <c r="E104" s="15" t="str">
        <f t="shared" si="2"/>
        <v>https://raw.githubusercontent.com/d-wkim/phd/refs/heads/main/data/pdf/kang_2014 .pdf</v>
      </c>
      <c r="F104" s="8" t="s">
        <v>463</v>
      </c>
      <c r="G104" s="51"/>
      <c r="H104" s="51"/>
      <c r="I104" s="23" t="str">
        <f>IFERROR(__xludf.DUMMYFUNCTION("if(REGEXMATCH(join("", "",$G104:$H104),I$1)=TRUE,""✓"",""✗"")"),"✗")</f>
        <v>✗</v>
      </c>
      <c r="J104" s="23" t="str">
        <f>IFERROR(__xludf.DUMMYFUNCTION("if(REGEXMATCH(join("", "",$G104:$H104),J$1)=TRUE,""✓"",""✗"")"),"✗")</f>
        <v>✗</v>
      </c>
      <c r="K104" s="23" t="str">
        <f>IFERROR(__xludf.DUMMYFUNCTION("if(REGEXMATCH(join("", "",$G104:$H104),K$1)=TRUE,""✓"",""✗"")"),"✗")</f>
        <v>✗</v>
      </c>
      <c r="L104" s="23" t="str">
        <f>IFERROR(__xludf.DUMMYFUNCTION("if(REGEXMATCH(join("", "",$G104:$H104),L$1)=TRUE,""✓"",""✗"")"),"✗")</f>
        <v>✗</v>
      </c>
      <c r="M104" s="23" t="str">
        <f>IFERROR(__xludf.DUMMYFUNCTION("if(REGEXMATCH(join("", "",$G104:$H104),M$1)=TRUE,""✓"",""✗"")"),"✗")</f>
        <v>✗</v>
      </c>
      <c r="N104" s="23" t="str">
        <f>IFERROR(__xludf.DUMMYFUNCTION("if(REGEXMATCH(join("", "",$G104:$H104),N$1)=TRUE,""✓"",""✗"")"),"✗")</f>
        <v>✗</v>
      </c>
      <c r="O104" s="23" t="str">
        <f>IFERROR(__xludf.DUMMYFUNCTION("if(REGEXMATCH(join("", "",$G104:$H104),O$1)=TRUE,""✓"",""✗"")"),"✗")</f>
        <v>✗</v>
      </c>
      <c r="P104" s="23" t="str">
        <f>IFERROR(__xludf.DUMMYFUNCTION("if(REGEXMATCH(join("", "",$G104:$H104),P$1)=TRUE,""✓"",""✗"")"),"✗")</f>
        <v>✗</v>
      </c>
      <c r="Q104" s="23" t="str">
        <f>IFERROR(__xludf.DUMMYFUNCTION("if(REGEXMATCH(join("", "",$G104:$H104),Q$1)=TRUE,""✓"",""✗"")"),"✗")</f>
        <v>✗</v>
      </c>
      <c r="R104" s="23" t="str">
        <f>IFERROR(__xludf.DUMMYFUNCTION("if(REGEXMATCH(join("", "",$G104:$H104),R$1)=TRUE,""✓"",""✗"")"),"✗")</f>
        <v>✗</v>
      </c>
      <c r="S104" s="23" t="str">
        <f>IFERROR(__xludf.DUMMYFUNCTION("if(REGEXMATCH(join("", "",$G104:$H104),S$1)=TRUE,""✓"",""✗"")"),"✗")</f>
        <v>✗</v>
      </c>
      <c r="T104" s="23" t="str">
        <f>IFERROR(__xludf.DUMMYFUNCTION("if(REGEXMATCH(join("", "",$G104:$H104),T$1)=TRUE,""✓"",""✗"")"),"✗")</f>
        <v>✗</v>
      </c>
      <c r="U104" s="23" t="str">
        <f>IFERROR(__xludf.DUMMYFUNCTION("if(REGEXMATCH(join("", "",$G104:$H104),U$1)=TRUE,""✓"",""✗"")"),"✗")</f>
        <v>✗</v>
      </c>
    </row>
    <row r="105" hidden="1">
      <c r="A105" s="8">
        <v>106.0</v>
      </c>
      <c r="B105" s="8" t="s">
        <v>474</v>
      </c>
      <c r="C105" s="16" t="str">
        <f t="shared" si="1"/>
        <v>Shaieb et al., 2002</v>
      </c>
      <c r="D105" s="8" t="s">
        <v>475</v>
      </c>
      <c r="E105" s="15" t="str">
        <f t="shared" si="2"/>
        <v>https://raw.githubusercontent.com/d-wkim/phd/refs/heads/main/data/pdf/shaieb_2002 .pdf</v>
      </c>
      <c r="F105" s="8" t="s">
        <v>463</v>
      </c>
      <c r="G105" s="51"/>
      <c r="H105" s="51"/>
      <c r="I105" s="23" t="str">
        <f>IFERROR(__xludf.DUMMYFUNCTION("if(REGEXMATCH(join("", "",$G105:$H105),I$1)=TRUE,""✓"",""✗"")"),"✗")</f>
        <v>✗</v>
      </c>
      <c r="J105" s="23" t="str">
        <f>IFERROR(__xludf.DUMMYFUNCTION("if(REGEXMATCH(join("", "",$G105:$H105),J$1)=TRUE,""✓"",""✗"")"),"✗")</f>
        <v>✗</v>
      </c>
      <c r="K105" s="23" t="str">
        <f>IFERROR(__xludf.DUMMYFUNCTION("if(REGEXMATCH(join("", "",$G105:$H105),K$1)=TRUE,""✓"",""✗"")"),"✗")</f>
        <v>✗</v>
      </c>
      <c r="L105" s="23" t="str">
        <f>IFERROR(__xludf.DUMMYFUNCTION("if(REGEXMATCH(join("", "",$G105:$H105),L$1)=TRUE,""✓"",""✗"")"),"✗")</f>
        <v>✗</v>
      </c>
      <c r="M105" s="23" t="str">
        <f>IFERROR(__xludf.DUMMYFUNCTION("if(REGEXMATCH(join("", "",$G105:$H105),M$1)=TRUE,""✓"",""✗"")"),"✗")</f>
        <v>✗</v>
      </c>
      <c r="N105" s="23" t="str">
        <f>IFERROR(__xludf.DUMMYFUNCTION("if(REGEXMATCH(join("", "",$G105:$H105),N$1)=TRUE,""✓"",""✗"")"),"✗")</f>
        <v>✗</v>
      </c>
      <c r="O105" s="23" t="str">
        <f>IFERROR(__xludf.DUMMYFUNCTION("if(REGEXMATCH(join("", "",$G105:$H105),O$1)=TRUE,""✓"",""✗"")"),"✗")</f>
        <v>✗</v>
      </c>
      <c r="P105" s="23" t="str">
        <f>IFERROR(__xludf.DUMMYFUNCTION("if(REGEXMATCH(join("", "",$G105:$H105),P$1)=TRUE,""✓"",""✗"")"),"✗")</f>
        <v>✗</v>
      </c>
      <c r="Q105" s="23" t="str">
        <f>IFERROR(__xludf.DUMMYFUNCTION("if(REGEXMATCH(join("", "",$G105:$H105),Q$1)=TRUE,""✓"",""✗"")"),"✗")</f>
        <v>✗</v>
      </c>
      <c r="R105" s="23" t="str">
        <f>IFERROR(__xludf.DUMMYFUNCTION("if(REGEXMATCH(join("", "",$G105:$H105),R$1)=TRUE,""✓"",""✗"")"),"✗")</f>
        <v>✗</v>
      </c>
      <c r="S105" s="23" t="str">
        <f>IFERROR(__xludf.DUMMYFUNCTION("if(REGEXMATCH(join("", "",$G105:$H105),S$1)=TRUE,""✓"",""✗"")"),"✗")</f>
        <v>✗</v>
      </c>
      <c r="T105" s="23" t="str">
        <f>IFERROR(__xludf.DUMMYFUNCTION("if(REGEXMATCH(join("", "",$G105:$H105),T$1)=TRUE,""✓"",""✗"")"),"✗")</f>
        <v>✗</v>
      </c>
      <c r="U105" s="23" t="str">
        <f>IFERROR(__xludf.DUMMYFUNCTION("if(REGEXMATCH(join("", "",$G105:$H105),U$1)=TRUE,""✓"",""✗"")"),"✗")</f>
        <v>✗</v>
      </c>
    </row>
    <row r="106" hidden="1">
      <c r="A106" s="8">
        <v>107.0</v>
      </c>
      <c r="B106" s="8" t="s">
        <v>476</v>
      </c>
      <c r="C106" s="16" t="str">
        <f t="shared" si="1"/>
        <v>Volpi et al., 2010</v>
      </c>
      <c r="D106" s="8" t="s">
        <v>477</v>
      </c>
      <c r="E106" s="15" t="str">
        <f t="shared" si="2"/>
        <v>https://raw.githubusercontent.com/d-wkim/phd/refs/heads/main/data/pdf/volpi_2010 .pdf</v>
      </c>
      <c r="F106" s="8" t="s">
        <v>463</v>
      </c>
      <c r="G106" s="51"/>
      <c r="H106" s="51"/>
      <c r="I106" s="23" t="str">
        <f>IFERROR(__xludf.DUMMYFUNCTION("if(REGEXMATCH(join("", "",$G106:$H106),I$1)=TRUE,""✓"",""✗"")"),"✗")</f>
        <v>✗</v>
      </c>
      <c r="J106" s="23" t="str">
        <f>IFERROR(__xludf.DUMMYFUNCTION("if(REGEXMATCH(join("", "",$G106:$H106),J$1)=TRUE,""✓"",""✗"")"),"✗")</f>
        <v>✗</v>
      </c>
      <c r="K106" s="23" t="str">
        <f>IFERROR(__xludf.DUMMYFUNCTION("if(REGEXMATCH(join("", "",$G106:$H106),K$1)=TRUE,""✓"",""✗"")"),"✗")</f>
        <v>✗</v>
      </c>
      <c r="L106" s="23" t="str">
        <f>IFERROR(__xludf.DUMMYFUNCTION("if(REGEXMATCH(join("", "",$G106:$H106),L$1)=TRUE,""✓"",""✗"")"),"✗")</f>
        <v>✗</v>
      </c>
      <c r="M106" s="23" t="str">
        <f>IFERROR(__xludf.DUMMYFUNCTION("if(REGEXMATCH(join("", "",$G106:$H106),M$1)=TRUE,""✓"",""✗"")"),"✗")</f>
        <v>✗</v>
      </c>
      <c r="N106" s="23" t="str">
        <f>IFERROR(__xludf.DUMMYFUNCTION("if(REGEXMATCH(join("", "",$G106:$H106),N$1)=TRUE,""✓"",""✗"")"),"✗")</f>
        <v>✗</v>
      </c>
      <c r="O106" s="23" t="str">
        <f>IFERROR(__xludf.DUMMYFUNCTION("if(REGEXMATCH(join("", "",$G106:$H106),O$1)=TRUE,""✓"",""✗"")"),"✗")</f>
        <v>✗</v>
      </c>
      <c r="P106" s="23" t="str">
        <f>IFERROR(__xludf.DUMMYFUNCTION("if(REGEXMATCH(join("", "",$G106:$H106),P$1)=TRUE,""✓"",""✗"")"),"✗")</f>
        <v>✗</v>
      </c>
      <c r="Q106" s="23" t="str">
        <f>IFERROR(__xludf.DUMMYFUNCTION("if(REGEXMATCH(join("", "",$G106:$H106),Q$1)=TRUE,""✓"",""✗"")"),"✗")</f>
        <v>✗</v>
      </c>
      <c r="R106" s="23" t="str">
        <f>IFERROR(__xludf.DUMMYFUNCTION("if(REGEXMATCH(join("", "",$G106:$H106),R$1)=TRUE,""✓"",""✗"")"),"✗")</f>
        <v>✗</v>
      </c>
      <c r="S106" s="23" t="str">
        <f>IFERROR(__xludf.DUMMYFUNCTION("if(REGEXMATCH(join("", "",$G106:$H106),S$1)=TRUE,""✓"",""✗"")"),"✗")</f>
        <v>✗</v>
      </c>
      <c r="T106" s="23" t="str">
        <f>IFERROR(__xludf.DUMMYFUNCTION("if(REGEXMATCH(join("", "",$G106:$H106),T$1)=TRUE,""✓"",""✗"")"),"✗")</f>
        <v>✗</v>
      </c>
      <c r="U106" s="23" t="str">
        <f>IFERROR(__xludf.DUMMYFUNCTION("if(REGEXMATCH(join("", "",$G106:$H106),U$1)=TRUE,""✓"",""✗"")"),"✗")</f>
        <v>✗</v>
      </c>
    </row>
    <row r="107" hidden="1">
      <c r="A107" s="8">
        <v>108.0</v>
      </c>
      <c r="B107" s="8" t="s">
        <v>479</v>
      </c>
      <c r="C107" s="16" t="str">
        <f t="shared" si="1"/>
        <v>Webster et al., 2015</v>
      </c>
      <c r="D107" s="8" t="s">
        <v>480</v>
      </c>
      <c r="E107" s="15" t="str">
        <f t="shared" si="2"/>
        <v>https://raw.githubusercontent.com/d-wkim/phd/refs/heads/main/data/pdf/webster_2015 .pdf</v>
      </c>
      <c r="F107" s="8" t="s">
        <v>463</v>
      </c>
      <c r="G107" s="51"/>
      <c r="H107" s="51"/>
      <c r="I107" s="23" t="str">
        <f>IFERROR(__xludf.DUMMYFUNCTION("if(REGEXMATCH(join("", "",$G107:$H107),I$1)=TRUE,""✓"",""✗"")"),"✗")</f>
        <v>✗</v>
      </c>
      <c r="J107" s="23" t="str">
        <f>IFERROR(__xludf.DUMMYFUNCTION("if(REGEXMATCH(join("", "",$G107:$H107),J$1)=TRUE,""✓"",""✗"")"),"✗")</f>
        <v>✗</v>
      </c>
      <c r="K107" s="23" t="str">
        <f>IFERROR(__xludf.DUMMYFUNCTION("if(REGEXMATCH(join("", "",$G107:$H107),K$1)=TRUE,""✓"",""✗"")"),"✗")</f>
        <v>✗</v>
      </c>
      <c r="L107" s="23" t="str">
        <f>IFERROR(__xludf.DUMMYFUNCTION("if(REGEXMATCH(join("", "",$G107:$H107),L$1)=TRUE,""✓"",""✗"")"),"✗")</f>
        <v>✗</v>
      </c>
      <c r="M107" s="23" t="str">
        <f>IFERROR(__xludf.DUMMYFUNCTION("if(REGEXMATCH(join("", "",$G107:$H107),M$1)=TRUE,""✓"",""✗"")"),"✗")</f>
        <v>✗</v>
      </c>
      <c r="N107" s="23" t="str">
        <f>IFERROR(__xludf.DUMMYFUNCTION("if(REGEXMATCH(join("", "",$G107:$H107),N$1)=TRUE,""✓"",""✗"")"),"✗")</f>
        <v>✗</v>
      </c>
      <c r="O107" s="23" t="str">
        <f>IFERROR(__xludf.DUMMYFUNCTION("if(REGEXMATCH(join("", "",$G107:$H107),O$1)=TRUE,""✓"",""✗"")"),"✗")</f>
        <v>✗</v>
      </c>
      <c r="P107" s="23" t="str">
        <f>IFERROR(__xludf.DUMMYFUNCTION("if(REGEXMATCH(join("", "",$G107:$H107),P$1)=TRUE,""✓"",""✗"")"),"✗")</f>
        <v>✗</v>
      </c>
      <c r="Q107" s="23" t="str">
        <f>IFERROR(__xludf.DUMMYFUNCTION("if(REGEXMATCH(join("", "",$G107:$H107),Q$1)=TRUE,""✓"",""✗"")"),"✗")</f>
        <v>✗</v>
      </c>
      <c r="R107" s="23" t="str">
        <f>IFERROR(__xludf.DUMMYFUNCTION("if(REGEXMATCH(join("", "",$G107:$H107),R$1)=TRUE,""✓"",""✗"")"),"✗")</f>
        <v>✗</v>
      </c>
      <c r="S107" s="23" t="str">
        <f>IFERROR(__xludf.DUMMYFUNCTION("if(REGEXMATCH(join("", "",$G107:$H107),S$1)=TRUE,""✓"",""✗"")"),"✗")</f>
        <v>✗</v>
      </c>
      <c r="T107" s="23" t="str">
        <f>IFERROR(__xludf.DUMMYFUNCTION("if(REGEXMATCH(join("", "",$G107:$H107),T$1)=TRUE,""✓"",""✗"")"),"✗")</f>
        <v>✗</v>
      </c>
      <c r="U107" s="23" t="str">
        <f>IFERROR(__xludf.DUMMYFUNCTION("if(REGEXMATCH(join("", "",$G107:$H107),U$1)=TRUE,""✓"",""✗"")"),"✗")</f>
        <v>✗</v>
      </c>
    </row>
    <row r="108" hidden="1">
      <c r="A108" s="8">
        <v>109.0</v>
      </c>
      <c r="B108" s="8" t="s">
        <v>481</v>
      </c>
      <c r="C108" s="16" t="str">
        <f t="shared" si="1"/>
        <v>Mcrae et al., 2013</v>
      </c>
      <c r="D108" s="8" t="s">
        <v>482</v>
      </c>
      <c r="E108" s="15" t="str">
        <f t="shared" si="2"/>
        <v>https://raw.githubusercontent.com/d-wkim/phd/refs/heads/main/data/pdf/mcrae_2013 .pdf</v>
      </c>
      <c r="F108" s="8" t="s">
        <v>463</v>
      </c>
      <c r="G108" s="51"/>
      <c r="H108" s="51"/>
      <c r="I108" s="23" t="str">
        <f>IFERROR(__xludf.DUMMYFUNCTION("if(REGEXMATCH(join("", "",$G108:$H108),I$1)=TRUE,""✓"",""✗"")"),"✗")</f>
        <v>✗</v>
      </c>
      <c r="J108" s="23" t="str">
        <f>IFERROR(__xludf.DUMMYFUNCTION("if(REGEXMATCH(join("", "",$G108:$H108),J$1)=TRUE,""✓"",""✗"")"),"✗")</f>
        <v>✗</v>
      </c>
      <c r="K108" s="23" t="str">
        <f>IFERROR(__xludf.DUMMYFUNCTION("if(REGEXMATCH(join("", "",$G108:$H108),K$1)=TRUE,""✓"",""✗"")"),"✗")</f>
        <v>✗</v>
      </c>
      <c r="L108" s="23" t="str">
        <f>IFERROR(__xludf.DUMMYFUNCTION("if(REGEXMATCH(join("", "",$G108:$H108),L$1)=TRUE,""✓"",""✗"")"),"✗")</f>
        <v>✗</v>
      </c>
      <c r="M108" s="23" t="str">
        <f>IFERROR(__xludf.DUMMYFUNCTION("if(REGEXMATCH(join("", "",$G108:$H108),M$1)=TRUE,""✓"",""✗"")"),"✗")</f>
        <v>✗</v>
      </c>
      <c r="N108" s="23" t="str">
        <f>IFERROR(__xludf.DUMMYFUNCTION("if(REGEXMATCH(join("", "",$G108:$H108),N$1)=TRUE,""✓"",""✗"")"),"✗")</f>
        <v>✗</v>
      </c>
      <c r="O108" s="23" t="str">
        <f>IFERROR(__xludf.DUMMYFUNCTION("if(REGEXMATCH(join("", "",$G108:$H108),O$1)=TRUE,""✓"",""✗"")"),"✗")</f>
        <v>✗</v>
      </c>
      <c r="P108" s="23" t="str">
        <f>IFERROR(__xludf.DUMMYFUNCTION("if(REGEXMATCH(join("", "",$G108:$H108),P$1)=TRUE,""✓"",""✗"")"),"✗")</f>
        <v>✗</v>
      </c>
      <c r="Q108" s="23" t="str">
        <f>IFERROR(__xludf.DUMMYFUNCTION("if(REGEXMATCH(join("", "",$G108:$H108),Q$1)=TRUE,""✓"",""✗"")"),"✗")</f>
        <v>✗</v>
      </c>
      <c r="R108" s="23" t="str">
        <f>IFERROR(__xludf.DUMMYFUNCTION("if(REGEXMATCH(join("", "",$G108:$H108),R$1)=TRUE,""✓"",""✗"")"),"✗")</f>
        <v>✗</v>
      </c>
      <c r="S108" s="23" t="str">
        <f>IFERROR(__xludf.DUMMYFUNCTION("if(REGEXMATCH(join("", "",$G108:$H108),S$1)=TRUE,""✓"",""✗"")"),"✗")</f>
        <v>✗</v>
      </c>
      <c r="T108" s="23" t="str">
        <f>IFERROR(__xludf.DUMMYFUNCTION("if(REGEXMATCH(join("", "",$G108:$H108),T$1)=TRUE,""✓"",""✗"")"),"✗")</f>
        <v>✗</v>
      </c>
      <c r="U108" s="23" t="str">
        <f>IFERROR(__xludf.DUMMYFUNCTION("if(REGEXMATCH(join("", "",$G108:$H108),U$1)=TRUE,""✓"",""✗"")"),"✗")</f>
        <v>✗</v>
      </c>
    </row>
    <row r="109">
      <c r="A109" s="51" t="s">
        <v>302</v>
      </c>
      <c r="B109" s="51"/>
      <c r="C109" s="51"/>
      <c r="D109" s="51"/>
      <c r="E109" s="51"/>
      <c r="F109" s="51"/>
      <c r="G109" s="51"/>
      <c r="H109" s="51"/>
      <c r="I109" s="51">
        <f t="shared" ref="I109:U109" si="3">countif(I2:I108,"✓")</f>
        <v>54</v>
      </c>
      <c r="J109" s="51">
        <f t="shared" si="3"/>
        <v>65</v>
      </c>
      <c r="K109" s="51">
        <f t="shared" si="3"/>
        <v>11</v>
      </c>
      <c r="L109" s="51">
        <f t="shared" si="3"/>
        <v>3</v>
      </c>
      <c r="M109" s="51">
        <f t="shared" si="3"/>
        <v>1</v>
      </c>
      <c r="N109" s="51">
        <f t="shared" si="3"/>
        <v>5</v>
      </c>
      <c r="O109" s="51">
        <f t="shared" si="3"/>
        <v>46</v>
      </c>
      <c r="P109" s="51">
        <f t="shared" si="3"/>
        <v>39</v>
      </c>
      <c r="Q109" s="51">
        <f t="shared" si="3"/>
        <v>31</v>
      </c>
      <c r="R109" s="51">
        <f t="shared" si="3"/>
        <v>57</v>
      </c>
      <c r="S109" s="51">
        <f t="shared" si="3"/>
        <v>32</v>
      </c>
      <c r="T109" s="51">
        <f t="shared" si="3"/>
        <v>29</v>
      </c>
      <c r="U109" s="51">
        <f t="shared" si="3"/>
        <v>12</v>
      </c>
    </row>
    <row r="110">
      <c r="A110" s="53" t="s">
        <v>302</v>
      </c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</row>
    <row r="111">
      <c r="A111" s="53" t="s">
        <v>302</v>
      </c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</row>
    <row r="112">
      <c r="A112" s="53" t="s">
        <v>302</v>
      </c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</row>
    <row r="113">
      <c r="A113" s="53" t="s">
        <v>302</v>
      </c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</row>
    <row r="114">
      <c r="A114" s="53" t="s">
        <v>302</v>
      </c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</row>
    <row r="115">
      <c r="A115" s="53" t="s">
        <v>302</v>
      </c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</row>
    <row r="116">
      <c r="A116" s="53" t="s">
        <v>302</v>
      </c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</row>
    <row r="117">
      <c r="A117" s="53" t="s">
        <v>302</v>
      </c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</row>
    <row r="118">
      <c r="A118" s="53" t="s">
        <v>302</v>
      </c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</row>
    <row r="119">
      <c r="A119" s="53" t="s">
        <v>302</v>
      </c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</row>
    <row r="120">
      <c r="A120" s="53" t="s">
        <v>302</v>
      </c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</row>
    <row r="121">
      <c r="A121" s="53" t="s">
        <v>302</v>
      </c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</row>
    <row r="122">
      <c r="A122" s="53" t="s">
        <v>302</v>
      </c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</row>
    <row r="123">
      <c r="A123" s="53" t="s">
        <v>302</v>
      </c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</row>
    <row r="124">
      <c r="A124" s="53" t="s">
        <v>302</v>
      </c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</row>
    <row r="125">
      <c r="A125" s="53" t="s">
        <v>302</v>
      </c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</row>
    <row r="126">
      <c r="A126" s="53" t="s">
        <v>302</v>
      </c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</row>
    <row r="127">
      <c r="A127" s="53" t="s">
        <v>302</v>
      </c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</row>
    <row r="128">
      <c r="A128" s="53" t="s">
        <v>302</v>
      </c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</row>
    <row r="129">
      <c r="A129" s="53" t="s">
        <v>302</v>
      </c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</row>
    <row r="130">
      <c r="A130" s="53" t="s">
        <v>302</v>
      </c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</row>
    <row r="131">
      <c r="A131" s="53" t="s">
        <v>302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</row>
    <row r="132">
      <c r="A132" s="53" t="s">
        <v>302</v>
      </c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</row>
    <row r="133">
      <c r="A133" s="53" t="s">
        <v>302</v>
      </c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</row>
    <row r="134">
      <c r="A134" s="53" t="s">
        <v>302</v>
      </c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</row>
    <row r="135">
      <c r="A135" s="53" t="s">
        <v>302</v>
      </c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</row>
    <row r="136">
      <c r="A136" s="53" t="s">
        <v>302</v>
      </c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</row>
    <row r="137">
      <c r="A137" s="53" t="s">
        <v>302</v>
      </c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</row>
    <row r="138">
      <c r="A138" s="53" t="s">
        <v>302</v>
      </c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</row>
    <row r="139">
      <c r="A139" s="53" t="s">
        <v>302</v>
      </c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</row>
    <row r="140">
      <c r="A140" s="53" t="s">
        <v>302</v>
      </c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</row>
    <row r="141">
      <c r="A141" s="53" t="s">
        <v>302</v>
      </c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</row>
    <row r="142">
      <c r="A142" s="53" t="s">
        <v>302</v>
      </c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</row>
    <row r="143">
      <c r="A143" s="53" t="s">
        <v>302</v>
      </c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</row>
    <row r="144">
      <c r="A144" s="53" t="s">
        <v>302</v>
      </c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</row>
    <row r="145">
      <c r="A145" s="53" t="s">
        <v>302</v>
      </c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</row>
    <row r="146">
      <c r="A146" s="53" t="s">
        <v>302</v>
      </c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</row>
    <row r="147">
      <c r="A147" s="53" t="s">
        <v>302</v>
      </c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</row>
    <row r="148">
      <c r="A148" s="53" t="s">
        <v>302</v>
      </c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</row>
    <row r="149">
      <c r="A149" s="53" t="s">
        <v>302</v>
      </c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</row>
    <row r="150">
      <c r="A150" s="53" t="s">
        <v>302</v>
      </c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</row>
    <row r="151">
      <c r="A151" s="53" t="s">
        <v>302</v>
      </c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</row>
    <row r="152">
      <c r="A152" s="53" t="s">
        <v>302</v>
      </c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</row>
    <row r="153">
      <c r="A153" s="53" t="s">
        <v>302</v>
      </c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</row>
    <row r="154">
      <c r="A154" s="53" t="s">
        <v>302</v>
      </c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</row>
    <row r="155">
      <c r="A155" s="53" t="s">
        <v>302</v>
      </c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</row>
    <row r="156">
      <c r="A156" s="53" t="s">
        <v>302</v>
      </c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</row>
    <row r="157">
      <c r="A157" s="53" t="s">
        <v>302</v>
      </c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</row>
    <row r="158">
      <c r="A158" s="53" t="s">
        <v>302</v>
      </c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</row>
    <row r="159">
      <c r="A159" s="53" t="s">
        <v>302</v>
      </c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</row>
    <row r="160">
      <c r="A160" s="53" t="s">
        <v>302</v>
      </c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</row>
    <row r="161">
      <c r="A161" s="53" t="s">
        <v>302</v>
      </c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</row>
    <row r="162">
      <c r="A162" s="53" t="s">
        <v>302</v>
      </c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</row>
    <row r="163">
      <c r="A163" s="53" t="s">
        <v>302</v>
      </c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</row>
    <row r="164">
      <c r="A164" s="53" t="s">
        <v>302</v>
      </c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</row>
    <row r="165">
      <c r="A165" s="53" t="s">
        <v>302</v>
      </c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</row>
    <row r="166">
      <c r="A166" s="53" t="s">
        <v>302</v>
      </c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</row>
    <row r="167">
      <c r="A167" s="53" t="s">
        <v>302</v>
      </c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</row>
    <row r="168">
      <c r="A168" s="53" t="s">
        <v>302</v>
      </c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</row>
    <row r="169">
      <c r="A169" s="53" t="s">
        <v>302</v>
      </c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</row>
    <row r="170">
      <c r="A170" s="53" t="s">
        <v>302</v>
      </c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</row>
    <row r="171">
      <c r="A171" s="53" t="s">
        <v>302</v>
      </c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</row>
    <row r="172">
      <c r="A172" s="53" t="s">
        <v>302</v>
      </c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</row>
    <row r="173">
      <c r="A173" s="53" t="s">
        <v>302</v>
      </c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</row>
    <row r="174">
      <c r="A174" s="53" t="s">
        <v>302</v>
      </c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</row>
    <row r="175">
      <c r="A175" s="53" t="s">
        <v>302</v>
      </c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</row>
    <row r="176">
      <c r="A176" s="53" t="s">
        <v>302</v>
      </c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</row>
    <row r="177">
      <c r="A177" s="53" t="s">
        <v>302</v>
      </c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</row>
    <row r="178">
      <c r="A178" s="53" t="s">
        <v>302</v>
      </c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</row>
    <row r="179">
      <c r="A179" s="53" t="s">
        <v>302</v>
      </c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</row>
    <row r="180">
      <c r="A180" s="53" t="s">
        <v>302</v>
      </c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</row>
    <row r="181">
      <c r="A181" s="53" t="s">
        <v>302</v>
      </c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</row>
    <row r="182">
      <c r="A182" s="53" t="s">
        <v>302</v>
      </c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</row>
    <row r="183">
      <c r="A183" s="53" t="s">
        <v>302</v>
      </c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</row>
    <row r="184">
      <c r="A184" s="53" t="s">
        <v>302</v>
      </c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</row>
    <row r="185">
      <c r="A185" s="53" t="s">
        <v>302</v>
      </c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</row>
    <row r="186">
      <c r="A186" s="53" t="s">
        <v>302</v>
      </c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</row>
    <row r="187">
      <c r="A187" s="53" t="s">
        <v>302</v>
      </c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</row>
    <row r="188">
      <c r="A188" s="53" t="s">
        <v>302</v>
      </c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</row>
    <row r="189">
      <c r="A189" s="53" t="s">
        <v>302</v>
      </c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</row>
    <row r="190">
      <c r="A190" s="53" t="s">
        <v>302</v>
      </c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</row>
    <row r="191">
      <c r="A191" s="53" t="s">
        <v>302</v>
      </c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</row>
    <row r="192">
      <c r="A192" s="53" t="s">
        <v>302</v>
      </c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</row>
    <row r="193">
      <c r="A193" s="53" t="s">
        <v>302</v>
      </c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</row>
    <row r="194">
      <c r="A194" s="53" t="s">
        <v>302</v>
      </c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</row>
    <row r="195">
      <c r="A195" s="53" t="s">
        <v>302</v>
      </c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</row>
    <row r="196">
      <c r="A196" s="53" t="s">
        <v>302</v>
      </c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</row>
    <row r="197">
      <c r="A197" s="53" t="s">
        <v>302</v>
      </c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</row>
    <row r="198">
      <c r="A198" s="53" t="s">
        <v>302</v>
      </c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</row>
    <row r="199">
      <c r="A199" s="53" t="s">
        <v>302</v>
      </c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</row>
    <row r="200">
      <c r="A200" s="53" t="s">
        <v>302</v>
      </c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</row>
    <row r="201">
      <c r="A201" s="53" t="s">
        <v>302</v>
      </c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</row>
    <row r="202">
      <c r="A202" s="53" t="s">
        <v>302</v>
      </c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</row>
    <row r="203">
      <c r="A203" s="53" t="s">
        <v>302</v>
      </c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</row>
    <row r="204">
      <c r="A204" s="53" t="s">
        <v>302</v>
      </c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</row>
    <row r="205">
      <c r="A205" s="53" t="s">
        <v>302</v>
      </c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</row>
    <row r="206">
      <c r="A206" s="53" t="s">
        <v>302</v>
      </c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</row>
    <row r="207">
      <c r="A207" s="53" t="s">
        <v>302</v>
      </c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</row>
    <row r="208">
      <c r="A208" s="53" t="s">
        <v>302</v>
      </c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</row>
    <row r="209">
      <c r="A209" s="53" t="s">
        <v>302</v>
      </c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</row>
    <row r="210">
      <c r="A210" s="53" t="s">
        <v>302</v>
      </c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</row>
    <row r="211">
      <c r="A211" s="53" t="s">
        <v>302</v>
      </c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</row>
    <row r="212">
      <c r="A212" s="53" t="s">
        <v>302</v>
      </c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</row>
    <row r="213">
      <c r="A213" s="53" t="s">
        <v>302</v>
      </c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</row>
    <row r="214">
      <c r="A214" s="53" t="s">
        <v>302</v>
      </c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</row>
    <row r="215">
      <c r="A215" s="53" t="s">
        <v>302</v>
      </c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</row>
    <row r="216">
      <c r="A216" s="53" t="s">
        <v>302</v>
      </c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</row>
    <row r="217">
      <c r="A217" s="53" t="s">
        <v>302</v>
      </c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</row>
    <row r="218">
      <c r="A218" s="53" t="s">
        <v>302</v>
      </c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</row>
    <row r="219">
      <c r="A219" s="53" t="s">
        <v>302</v>
      </c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</row>
    <row r="220">
      <c r="A220" s="53" t="s">
        <v>302</v>
      </c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</row>
    <row r="221">
      <c r="A221" s="53" t="s">
        <v>302</v>
      </c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</row>
    <row r="222">
      <c r="A222" s="53" t="s">
        <v>302</v>
      </c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</row>
    <row r="223">
      <c r="A223" s="53" t="s">
        <v>302</v>
      </c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</row>
    <row r="224">
      <c r="A224" s="53" t="s">
        <v>302</v>
      </c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</row>
    <row r="225">
      <c r="A225" s="53" t="s">
        <v>302</v>
      </c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</row>
    <row r="226">
      <c r="A226" s="53" t="s">
        <v>302</v>
      </c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</row>
    <row r="227">
      <c r="A227" s="53" t="s">
        <v>302</v>
      </c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</row>
    <row r="228">
      <c r="A228" s="53" t="s">
        <v>302</v>
      </c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</row>
    <row r="229">
      <c r="A229" s="53" t="s">
        <v>302</v>
      </c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</row>
    <row r="230">
      <c r="A230" s="53" t="s">
        <v>302</v>
      </c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</row>
    <row r="231">
      <c r="A231" s="53" t="s">
        <v>302</v>
      </c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</row>
    <row r="232">
      <c r="A232" s="53" t="s">
        <v>302</v>
      </c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</row>
    <row r="233">
      <c r="A233" s="53" t="s">
        <v>302</v>
      </c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</row>
    <row r="234">
      <c r="A234" s="53" t="s">
        <v>302</v>
      </c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</row>
    <row r="235">
      <c r="A235" s="53" t="s">
        <v>302</v>
      </c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</row>
    <row r="236">
      <c r="A236" s="53" t="s">
        <v>302</v>
      </c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</row>
    <row r="237">
      <c r="A237" s="53" t="s">
        <v>302</v>
      </c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</row>
    <row r="238">
      <c r="A238" s="53" t="s">
        <v>302</v>
      </c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</row>
    <row r="239">
      <c r="A239" s="53" t="s">
        <v>302</v>
      </c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</row>
    <row r="240">
      <c r="A240" s="53" t="s">
        <v>302</v>
      </c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</row>
    <row r="241">
      <c r="A241" s="53" t="s">
        <v>302</v>
      </c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</row>
    <row r="242">
      <c r="A242" s="53" t="s">
        <v>302</v>
      </c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</row>
    <row r="243">
      <c r="A243" s="53" t="s">
        <v>302</v>
      </c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</row>
    <row r="244">
      <c r="A244" s="53" t="s">
        <v>302</v>
      </c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</row>
    <row r="245">
      <c r="A245" s="53" t="s">
        <v>302</v>
      </c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</row>
    <row r="246">
      <c r="A246" s="53" t="s">
        <v>302</v>
      </c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</row>
    <row r="247">
      <c r="A247" s="53" t="s">
        <v>302</v>
      </c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</row>
    <row r="248">
      <c r="A248" s="53" t="s">
        <v>302</v>
      </c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</row>
    <row r="249">
      <c r="A249" s="53" t="s">
        <v>302</v>
      </c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</row>
    <row r="250">
      <c r="A250" s="53" t="s">
        <v>302</v>
      </c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</row>
    <row r="251">
      <c r="A251" s="53" t="s">
        <v>302</v>
      </c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</row>
    <row r="252">
      <c r="A252" s="53" t="s">
        <v>302</v>
      </c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</row>
    <row r="253">
      <c r="A253" s="53" t="s">
        <v>302</v>
      </c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</row>
    <row r="254">
      <c r="A254" s="53" t="s">
        <v>302</v>
      </c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</row>
    <row r="255">
      <c r="A255" s="53" t="s">
        <v>302</v>
      </c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</row>
    <row r="256">
      <c r="A256" s="53" t="s">
        <v>302</v>
      </c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</row>
    <row r="257">
      <c r="A257" s="53" t="s">
        <v>302</v>
      </c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</row>
    <row r="258">
      <c r="A258" s="53" t="s">
        <v>302</v>
      </c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</row>
    <row r="259">
      <c r="A259" s="53" t="s">
        <v>302</v>
      </c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</row>
    <row r="260">
      <c r="A260" s="53" t="s">
        <v>302</v>
      </c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</row>
    <row r="261">
      <c r="A261" s="53" t="s">
        <v>302</v>
      </c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</row>
    <row r="262">
      <c r="A262" s="53" t="s">
        <v>302</v>
      </c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</row>
    <row r="263">
      <c r="A263" s="53" t="s">
        <v>302</v>
      </c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</row>
    <row r="264">
      <c r="A264" s="53" t="s">
        <v>302</v>
      </c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</row>
    <row r="265">
      <c r="A265" s="53" t="s">
        <v>302</v>
      </c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</row>
    <row r="266">
      <c r="A266" s="53" t="s">
        <v>302</v>
      </c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</row>
    <row r="267">
      <c r="A267" s="53" t="s">
        <v>302</v>
      </c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</row>
    <row r="268">
      <c r="A268" s="53" t="s">
        <v>302</v>
      </c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</row>
    <row r="269">
      <c r="A269" s="53" t="s">
        <v>302</v>
      </c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</row>
    <row r="270">
      <c r="A270" s="53" t="s">
        <v>302</v>
      </c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</row>
    <row r="271">
      <c r="A271" s="53" t="s">
        <v>302</v>
      </c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</row>
    <row r="272">
      <c r="A272" s="53" t="s">
        <v>302</v>
      </c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</row>
    <row r="273">
      <c r="A273" s="53" t="s">
        <v>302</v>
      </c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</row>
    <row r="274">
      <c r="A274" s="53" t="s">
        <v>302</v>
      </c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</row>
    <row r="275">
      <c r="A275" s="53" t="s">
        <v>302</v>
      </c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</row>
    <row r="276">
      <c r="A276" s="53" t="s">
        <v>302</v>
      </c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</row>
    <row r="277">
      <c r="A277" s="53" t="s">
        <v>302</v>
      </c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</row>
    <row r="278">
      <c r="A278" s="53" t="s">
        <v>302</v>
      </c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</row>
    <row r="279">
      <c r="A279" s="53" t="s">
        <v>302</v>
      </c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</row>
    <row r="280">
      <c r="A280" s="53" t="s">
        <v>302</v>
      </c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</row>
    <row r="281">
      <c r="A281" s="53" t="s">
        <v>302</v>
      </c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</row>
    <row r="282">
      <c r="A282" s="53" t="s">
        <v>302</v>
      </c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</row>
    <row r="283">
      <c r="A283" s="53" t="s">
        <v>302</v>
      </c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</row>
    <row r="284">
      <c r="A284" s="53" t="s">
        <v>302</v>
      </c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</row>
    <row r="285">
      <c r="A285" s="53" t="s">
        <v>302</v>
      </c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</row>
    <row r="286">
      <c r="A286" s="53" t="s">
        <v>302</v>
      </c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</row>
    <row r="287">
      <c r="A287" s="53" t="s">
        <v>302</v>
      </c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</row>
    <row r="288">
      <c r="A288" s="53" t="s">
        <v>302</v>
      </c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</row>
    <row r="289">
      <c r="A289" s="53" t="s">
        <v>302</v>
      </c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</row>
    <row r="290">
      <c r="A290" s="53" t="s">
        <v>302</v>
      </c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</row>
    <row r="291">
      <c r="A291" s="53" t="s">
        <v>302</v>
      </c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</row>
    <row r="292">
      <c r="A292" s="53" t="s">
        <v>302</v>
      </c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</row>
    <row r="293">
      <c r="A293" s="53" t="s">
        <v>302</v>
      </c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</row>
    <row r="294">
      <c r="A294" s="53" t="s">
        <v>302</v>
      </c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</row>
    <row r="295">
      <c r="A295" s="53" t="s">
        <v>302</v>
      </c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</row>
    <row r="296">
      <c r="A296" s="53" t="s">
        <v>302</v>
      </c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</row>
    <row r="297">
      <c r="A297" s="53" t="s">
        <v>302</v>
      </c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</row>
    <row r="298">
      <c r="A298" s="53" t="s">
        <v>302</v>
      </c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</row>
    <row r="299">
      <c r="A299" s="53" t="s">
        <v>302</v>
      </c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</row>
    <row r="300">
      <c r="A300" s="53" t="s">
        <v>302</v>
      </c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</row>
    <row r="301">
      <c r="A301" s="53" t="s">
        <v>302</v>
      </c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</row>
    <row r="302">
      <c r="A302" s="53" t="s">
        <v>302</v>
      </c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</row>
    <row r="303">
      <c r="A303" s="53" t="s">
        <v>302</v>
      </c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</row>
    <row r="304">
      <c r="A304" s="53" t="s">
        <v>302</v>
      </c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</row>
    <row r="305">
      <c r="A305" s="53" t="s">
        <v>302</v>
      </c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</row>
    <row r="306">
      <c r="A306" s="53" t="s">
        <v>302</v>
      </c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</row>
    <row r="307">
      <c r="A307" s="53" t="s">
        <v>302</v>
      </c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</row>
    <row r="308">
      <c r="A308" s="53" t="s">
        <v>302</v>
      </c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</row>
    <row r="309">
      <c r="A309" s="53" t="s">
        <v>302</v>
      </c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</row>
    <row r="310">
      <c r="A310" s="53" t="s">
        <v>302</v>
      </c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</row>
    <row r="311">
      <c r="A311" s="53" t="s">
        <v>302</v>
      </c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</row>
    <row r="312">
      <c r="A312" s="53" t="s">
        <v>302</v>
      </c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</row>
    <row r="313">
      <c r="A313" s="53" t="s">
        <v>302</v>
      </c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</row>
    <row r="314">
      <c r="A314" s="53" t="s">
        <v>302</v>
      </c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</row>
    <row r="315">
      <c r="A315" s="53" t="s">
        <v>302</v>
      </c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</row>
    <row r="316">
      <c r="A316" s="53" t="s">
        <v>302</v>
      </c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</row>
    <row r="317">
      <c r="A317" s="53" t="s">
        <v>302</v>
      </c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</row>
    <row r="318">
      <c r="A318" s="53" t="s">
        <v>302</v>
      </c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</row>
    <row r="319">
      <c r="A319" s="53" t="s">
        <v>302</v>
      </c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</row>
    <row r="320">
      <c r="A320" s="53" t="s">
        <v>302</v>
      </c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</row>
    <row r="321">
      <c r="A321" s="53" t="s">
        <v>302</v>
      </c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</row>
    <row r="322">
      <c r="A322" s="53" t="s">
        <v>302</v>
      </c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</row>
    <row r="323">
      <c r="A323" s="53" t="s">
        <v>302</v>
      </c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</row>
    <row r="324">
      <c r="A324" s="53" t="s">
        <v>302</v>
      </c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</row>
    <row r="325">
      <c r="A325" s="53" t="s">
        <v>302</v>
      </c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</row>
    <row r="326">
      <c r="A326" s="53" t="s">
        <v>302</v>
      </c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</row>
    <row r="327">
      <c r="A327" s="53" t="s">
        <v>302</v>
      </c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</row>
    <row r="328">
      <c r="A328" s="53" t="s">
        <v>302</v>
      </c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</row>
    <row r="329">
      <c r="A329" s="53" t="s">
        <v>302</v>
      </c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</row>
    <row r="330">
      <c r="A330" s="53" t="s">
        <v>302</v>
      </c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</row>
    <row r="331">
      <c r="A331" s="53" t="s">
        <v>302</v>
      </c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</row>
    <row r="332">
      <c r="A332" s="53" t="s">
        <v>302</v>
      </c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</row>
    <row r="333">
      <c r="A333" s="53" t="s">
        <v>302</v>
      </c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</row>
    <row r="334">
      <c r="A334" s="53" t="s">
        <v>302</v>
      </c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</row>
    <row r="335">
      <c r="A335" s="53" t="s">
        <v>302</v>
      </c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</row>
    <row r="336">
      <c r="A336" s="53" t="s">
        <v>302</v>
      </c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</row>
    <row r="337">
      <c r="A337" s="53" t="s">
        <v>302</v>
      </c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</row>
    <row r="338">
      <c r="A338" s="53" t="s">
        <v>302</v>
      </c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</row>
    <row r="339">
      <c r="A339" s="53" t="s">
        <v>302</v>
      </c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</row>
    <row r="340">
      <c r="A340" s="53" t="s">
        <v>302</v>
      </c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</row>
    <row r="341">
      <c r="A341" s="53" t="s">
        <v>302</v>
      </c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</row>
    <row r="342">
      <c r="A342" s="53" t="s">
        <v>302</v>
      </c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</row>
    <row r="343">
      <c r="A343" s="53" t="s">
        <v>302</v>
      </c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</row>
    <row r="344">
      <c r="A344" s="53" t="s">
        <v>302</v>
      </c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</row>
    <row r="345">
      <c r="A345" s="53" t="s">
        <v>302</v>
      </c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</row>
    <row r="346">
      <c r="A346" s="53" t="s">
        <v>302</v>
      </c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</row>
    <row r="347">
      <c r="A347" s="53" t="s">
        <v>302</v>
      </c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</row>
    <row r="348">
      <c r="A348" s="53" t="s">
        <v>302</v>
      </c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</row>
    <row r="349">
      <c r="A349" s="53" t="s">
        <v>302</v>
      </c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</row>
    <row r="350">
      <c r="A350" s="53" t="s">
        <v>302</v>
      </c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</row>
    <row r="351">
      <c r="A351" s="53" t="s">
        <v>302</v>
      </c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</row>
    <row r="352">
      <c r="A352" s="53" t="s">
        <v>302</v>
      </c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</row>
    <row r="353">
      <c r="A353" s="53" t="s">
        <v>302</v>
      </c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</row>
    <row r="354">
      <c r="A354" s="53" t="s">
        <v>302</v>
      </c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</row>
    <row r="355">
      <c r="A355" s="53" t="s">
        <v>302</v>
      </c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</row>
    <row r="356">
      <c r="A356" s="53" t="s">
        <v>302</v>
      </c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</row>
    <row r="357">
      <c r="A357" s="53" t="s">
        <v>302</v>
      </c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</row>
    <row r="358">
      <c r="A358" s="53" t="s">
        <v>302</v>
      </c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</row>
    <row r="359">
      <c r="A359" s="53" t="s">
        <v>302</v>
      </c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</row>
    <row r="360">
      <c r="A360" s="53" t="s">
        <v>302</v>
      </c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</row>
    <row r="361">
      <c r="A361" s="53" t="s">
        <v>302</v>
      </c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</row>
    <row r="362">
      <c r="A362" s="53" t="s">
        <v>302</v>
      </c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</row>
    <row r="363">
      <c r="A363" s="53" t="s">
        <v>302</v>
      </c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</row>
    <row r="364">
      <c r="A364" s="53" t="s">
        <v>302</v>
      </c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</row>
    <row r="365">
      <c r="A365" s="53" t="s">
        <v>302</v>
      </c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</row>
    <row r="366">
      <c r="A366" s="53" t="s">
        <v>302</v>
      </c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</row>
    <row r="367">
      <c r="A367" s="53" t="s">
        <v>302</v>
      </c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</row>
    <row r="368">
      <c r="A368" s="53" t="s">
        <v>302</v>
      </c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</row>
    <row r="369">
      <c r="A369" s="53" t="s">
        <v>302</v>
      </c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</row>
    <row r="370">
      <c r="A370" s="53" t="s">
        <v>302</v>
      </c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</row>
    <row r="371">
      <c r="A371" s="53" t="s">
        <v>302</v>
      </c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</row>
    <row r="372">
      <c r="A372" s="53" t="s">
        <v>302</v>
      </c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</row>
    <row r="373">
      <c r="A373" s="53" t="s">
        <v>302</v>
      </c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</row>
    <row r="374">
      <c r="A374" s="53" t="s">
        <v>302</v>
      </c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</row>
    <row r="375">
      <c r="A375" s="53" t="s">
        <v>302</v>
      </c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</row>
    <row r="376">
      <c r="A376" s="53" t="s">
        <v>302</v>
      </c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</row>
    <row r="377">
      <c r="A377" s="53" t="s">
        <v>302</v>
      </c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</row>
    <row r="378">
      <c r="A378" s="53" t="s">
        <v>302</v>
      </c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</row>
    <row r="379">
      <c r="A379" s="53" t="s">
        <v>302</v>
      </c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</row>
    <row r="380">
      <c r="A380" s="53" t="s">
        <v>302</v>
      </c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</row>
    <row r="381">
      <c r="A381" s="53" t="s">
        <v>302</v>
      </c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</row>
    <row r="382">
      <c r="A382" s="53" t="s">
        <v>302</v>
      </c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</row>
    <row r="383">
      <c r="A383" s="53" t="s">
        <v>302</v>
      </c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</row>
    <row r="384">
      <c r="A384" s="53" t="s">
        <v>302</v>
      </c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</row>
    <row r="385">
      <c r="A385" s="53" t="s">
        <v>302</v>
      </c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</row>
    <row r="386">
      <c r="A386" s="53" t="s">
        <v>302</v>
      </c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</row>
    <row r="387">
      <c r="A387" s="53" t="s">
        <v>302</v>
      </c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</row>
    <row r="388">
      <c r="A388" s="53" t="s">
        <v>302</v>
      </c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</row>
    <row r="389">
      <c r="A389" s="53" t="s">
        <v>302</v>
      </c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</row>
    <row r="390">
      <c r="A390" s="53" t="s">
        <v>302</v>
      </c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</row>
    <row r="391">
      <c r="A391" s="53" t="s">
        <v>302</v>
      </c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</row>
    <row r="392">
      <c r="A392" s="53" t="s">
        <v>302</v>
      </c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</row>
    <row r="393">
      <c r="A393" s="53" t="s">
        <v>302</v>
      </c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</row>
    <row r="394">
      <c r="A394" s="53" t="s">
        <v>302</v>
      </c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</row>
    <row r="395">
      <c r="A395" s="53" t="s">
        <v>302</v>
      </c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</row>
    <row r="396">
      <c r="A396" s="53" t="s">
        <v>302</v>
      </c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</row>
    <row r="397">
      <c r="A397" s="53" t="s">
        <v>302</v>
      </c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</row>
    <row r="398">
      <c r="A398" s="53" t="s">
        <v>302</v>
      </c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</row>
    <row r="399">
      <c r="A399" s="53" t="s">
        <v>302</v>
      </c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</row>
    <row r="400">
      <c r="A400" s="53" t="s">
        <v>302</v>
      </c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</row>
    <row r="401">
      <c r="A401" s="53" t="s">
        <v>302</v>
      </c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</row>
    <row r="402">
      <c r="A402" s="53" t="s">
        <v>302</v>
      </c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</row>
    <row r="403">
      <c r="A403" s="53" t="s">
        <v>302</v>
      </c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</row>
    <row r="404">
      <c r="A404" s="53" t="s">
        <v>302</v>
      </c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</row>
    <row r="405">
      <c r="A405" s="53" t="s">
        <v>302</v>
      </c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</row>
    <row r="406">
      <c r="A406" s="53" t="s">
        <v>302</v>
      </c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</row>
    <row r="407">
      <c r="A407" s="53" t="s">
        <v>302</v>
      </c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</row>
    <row r="408">
      <c r="A408" s="53" t="s">
        <v>302</v>
      </c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</row>
    <row r="409">
      <c r="A409" s="53" t="s">
        <v>302</v>
      </c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</row>
    <row r="410">
      <c r="A410" s="53" t="s">
        <v>302</v>
      </c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</row>
    <row r="411">
      <c r="A411" s="53" t="s">
        <v>302</v>
      </c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</row>
    <row r="412">
      <c r="A412" s="53" t="s">
        <v>302</v>
      </c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</row>
    <row r="413">
      <c r="A413" s="53" t="s">
        <v>302</v>
      </c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</row>
    <row r="414">
      <c r="A414" s="53" t="s">
        <v>302</v>
      </c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</row>
    <row r="415">
      <c r="A415" s="53" t="s">
        <v>302</v>
      </c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</row>
    <row r="416">
      <c r="A416" s="53" t="s">
        <v>302</v>
      </c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</row>
    <row r="417">
      <c r="A417" s="53" t="s">
        <v>302</v>
      </c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</row>
    <row r="418">
      <c r="A418" s="53" t="s">
        <v>302</v>
      </c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</row>
    <row r="419">
      <c r="A419" s="53" t="s">
        <v>302</v>
      </c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</row>
    <row r="420">
      <c r="A420" s="53" t="s">
        <v>302</v>
      </c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</row>
    <row r="421">
      <c r="A421" s="53" t="s">
        <v>302</v>
      </c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</row>
    <row r="422">
      <c r="A422" s="53" t="s">
        <v>302</v>
      </c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</row>
    <row r="423">
      <c r="A423" s="53" t="s">
        <v>302</v>
      </c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</row>
    <row r="424">
      <c r="A424" s="53" t="s">
        <v>302</v>
      </c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</row>
    <row r="425">
      <c r="A425" s="53" t="s">
        <v>302</v>
      </c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</row>
    <row r="426">
      <c r="A426" s="53" t="s">
        <v>302</v>
      </c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</row>
    <row r="427">
      <c r="A427" s="53" t="s">
        <v>302</v>
      </c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</row>
    <row r="428">
      <c r="A428" s="53" t="s">
        <v>302</v>
      </c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</row>
    <row r="429">
      <c r="A429" s="53" t="s">
        <v>302</v>
      </c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</row>
    <row r="430">
      <c r="A430" s="53" t="s">
        <v>302</v>
      </c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</row>
    <row r="431">
      <c r="A431" s="53" t="s">
        <v>302</v>
      </c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</row>
    <row r="432">
      <c r="A432" s="53" t="s">
        <v>302</v>
      </c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</row>
    <row r="433">
      <c r="A433" s="53" t="s">
        <v>302</v>
      </c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</row>
    <row r="434">
      <c r="A434" s="53" t="s">
        <v>302</v>
      </c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</row>
    <row r="435">
      <c r="A435" s="53" t="s">
        <v>302</v>
      </c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</row>
    <row r="436">
      <c r="A436" s="53" t="s">
        <v>302</v>
      </c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</row>
    <row r="437">
      <c r="A437" s="53" t="s">
        <v>302</v>
      </c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</row>
    <row r="438">
      <c r="A438" s="53" t="s">
        <v>302</v>
      </c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</row>
    <row r="439">
      <c r="A439" s="53" t="s">
        <v>302</v>
      </c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</row>
    <row r="440">
      <c r="A440" s="53" t="s">
        <v>302</v>
      </c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</row>
    <row r="441">
      <c r="A441" s="53" t="s">
        <v>302</v>
      </c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</row>
    <row r="442">
      <c r="A442" s="53" t="s">
        <v>302</v>
      </c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</row>
    <row r="443">
      <c r="A443" s="53" t="s">
        <v>302</v>
      </c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</row>
    <row r="444">
      <c r="A444" s="53" t="s">
        <v>302</v>
      </c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</row>
    <row r="445">
      <c r="A445" s="53" t="s">
        <v>302</v>
      </c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</row>
    <row r="446">
      <c r="A446" s="53" t="s">
        <v>302</v>
      </c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</row>
    <row r="447">
      <c r="A447" s="53" t="s">
        <v>302</v>
      </c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</row>
    <row r="448">
      <c r="A448" s="53" t="s">
        <v>302</v>
      </c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</row>
    <row r="449">
      <c r="A449" s="53" t="s">
        <v>302</v>
      </c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</row>
    <row r="450">
      <c r="A450" s="53" t="s">
        <v>302</v>
      </c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</row>
    <row r="451">
      <c r="A451" s="53" t="s">
        <v>302</v>
      </c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</row>
    <row r="452">
      <c r="A452" s="53" t="s">
        <v>302</v>
      </c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</row>
    <row r="453">
      <c r="A453" s="53" t="s">
        <v>302</v>
      </c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</row>
    <row r="454">
      <c r="A454" s="53" t="s">
        <v>302</v>
      </c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</row>
    <row r="455">
      <c r="A455" s="53" t="s">
        <v>302</v>
      </c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</row>
    <row r="456">
      <c r="A456" s="53" t="s">
        <v>302</v>
      </c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</row>
    <row r="457">
      <c r="A457" s="53" t="s">
        <v>302</v>
      </c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</row>
    <row r="458">
      <c r="A458" s="53" t="s">
        <v>302</v>
      </c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</row>
    <row r="459">
      <c r="A459" s="53" t="s">
        <v>302</v>
      </c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</row>
    <row r="460">
      <c r="A460" s="53" t="s">
        <v>302</v>
      </c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</row>
    <row r="461">
      <c r="A461" s="53" t="s">
        <v>302</v>
      </c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</row>
    <row r="462">
      <c r="A462" s="53" t="s">
        <v>302</v>
      </c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</row>
    <row r="463">
      <c r="A463" s="53" t="s">
        <v>302</v>
      </c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</row>
    <row r="464">
      <c r="A464" s="53" t="s">
        <v>302</v>
      </c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</row>
    <row r="465">
      <c r="A465" s="53" t="s">
        <v>302</v>
      </c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</row>
    <row r="466">
      <c r="A466" s="53" t="s">
        <v>302</v>
      </c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</row>
    <row r="467">
      <c r="A467" s="53" t="s">
        <v>302</v>
      </c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</row>
    <row r="468">
      <c r="A468" s="53" t="s">
        <v>302</v>
      </c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</row>
    <row r="469">
      <c r="A469" s="53" t="s">
        <v>302</v>
      </c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</row>
    <row r="470">
      <c r="A470" s="53" t="s">
        <v>302</v>
      </c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</row>
    <row r="471">
      <c r="A471" s="53" t="s">
        <v>302</v>
      </c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</row>
    <row r="472">
      <c r="A472" s="53" t="s">
        <v>302</v>
      </c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</row>
    <row r="473">
      <c r="A473" s="53" t="s">
        <v>302</v>
      </c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</row>
    <row r="474">
      <c r="A474" s="53" t="s">
        <v>302</v>
      </c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</row>
    <row r="475">
      <c r="A475" s="53" t="s">
        <v>302</v>
      </c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</row>
    <row r="476">
      <c r="A476" s="53" t="s">
        <v>302</v>
      </c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</row>
    <row r="477">
      <c r="A477" s="53" t="s">
        <v>302</v>
      </c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</row>
    <row r="478">
      <c r="A478" s="53" t="s">
        <v>302</v>
      </c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</row>
    <row r="479">
      <c r="A479" s="53" t="s">
        <v>302</v>
      </c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</row>
    <row r="480">
      <c r="A480" s="53" t="s">
        <v>302</v>
      </c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</row>
    <row r="481">
      <c r="A481" s="53" t="s">
        <v>302</v>
      </c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</row>
    <row r="482">
      <c r="A482" s="53" t="s">
        <v>302</v>
      </c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</row>
    <row r="483">
      <c r="A483" s="53" t="s">
        <v>302</v>
      </c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</row>
    <row r="484">
      <c r="A484" s="53" t="s">
        <v>302</v>
      </c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</row>
    <row r="485">
      <c r="A485" s="53" t="s">
        <v>302</v>
      </c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</row>
    <row r="486">
      <c r="A486" s="53" t="s">
        <v>302</v>
      </c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</row>
    <row r="487">
      <c r="A487" s="53" t="s">
        <v>302</v>
      </c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</row>
    <row r="488">
      <c r="A488" s="53" t="s">
        <v>302</v>
      </c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</row>
    <row r="489">
      <c r="A489" s="53" t="s">
        <v>302</v>
      </c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</row>
    <row r="490">
      <c r="A490" s="53" t="s">
        <v>302</v>
      </c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</row>
    <row r="491">
      <c r="A491" s="53" t="s">
        <v>302</v>
      </c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</row>
    <row r="492">
      <c r="A492" s="53" t="s">
        <v>302</v>
      </c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</row>
    <row r="493">
      <c r="A493" s="53" t="s">
        <v>302</v>
      </c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</row>
    <row r="494">
      <c r="A494" s="53" t="s">
        <v>302</v>
      </c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</row>
    <row r="495">
      <c r="A495" s="53" t="s">
        <v>302</v>
      </c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</row>
    <row r="496">
      <c r="A496" s="53" t="s">
        <v>302</v>
      </c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</row>
    <row r="497">
      <c r="A497" s="53" t="s">
        <v>302</v>
      </c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</row>
    <row r="498">
      <c r="A498" s="53" t="s">
        <v>302</v>
      </c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</row>
    <row r="499">
      <c r="A499" s="53" t="s">
        <v>302</v>
      </c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</row>
    <row r="500">
      <c r="A500" s="53" t="s">
        <v>302</v>
      </c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</row>
    <row r="501">
      <c r="A501" s="53" t="s">
        <v>302</v>
      </c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</row>
    <row r="502">
      <c r="A502" s="53" t="s">
        <v>302</v>
      </c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</row>
    <row r="503">
      <c r="A503" s="53" t="s">
        <v>302</v>
      </c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</row>
    <row r="504">
      <c r="A504" s="53" t="s">
        <v>302</v>
      </c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</row>
    <row r="505">
      <c r="A505" s="53" t="s">
        <v>302</v>
      </c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</row>
    <row r="506">
      <c r="A506" s="53" t="s">
        <v>302</v>
      </c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</row>
    <row r="507">
      <c r="A507" s="53" t="s">
        <v>302</v>
      </c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</row>
    <row r="508">
      <c r="A508" s="53" t="s">
        <v>302</v>
      </c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</row>
    <row r="509">
      <c r="A509" s="53" t="s">
        <v>302</v>
      </c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</row>
    <row r="510">
      <c r="A510" s="53" t="s">
        <v>302</v>
      </c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</row>
    <row r="511">
      <c r="A511" s="53" t="s">
        <v>302</v>
      </c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</row>
    <row r="512">
      <c r="A512" s="53" t="s">
        <v>302</v>
      </c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</row>
    <row r="513">
      <c r="A513" s="53" t="s">
        <v>302</v>
      </c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</row>
    <row r="514">
      <c r="A514" s="53" t="s">
        <v>302</v>
      </c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</row>
    <row r="515">
      <c r="A515" s="53" t="s">
        <v>302</v>
      </c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</row>
    <row r="516">
      <c r="A516" s="53" t="s">
        <v>302</v>
      </c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</row>
    <row r="517">
      <c r="A517" s="53" t="s">
        <v>302</v>
      </c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</row>
    <row r="518">
      <c r="A518" s="53" t="s">
        <v>302</v>
      </c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</row>
    <row r="519">
      <c r="A519" s="53" t="s">
        <v>302</v>
      </c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</row>
    <row r="520">
      <c r="A520" s="53" t="s">
        <v>302</v>
      </c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</row>
    <row r="521">
      <c r="A521" s="53" t="s">
        <v>302</v>
      </c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</row>
    <row r="522">
      <c r="A522" s="53" t="s">
        <v>302</v>
      </c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</row>
    <row r="523">
      <c r="A523" s="53" t="s">
        <v>302</v>
      </c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</row>
    <row r="524">
      <c r="A524" s="53" t="s">
        <v>302</v>
      </c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</row>
    <row r="525">
      <c r="A525" s="53" t="s">
        <v>302</v>
      </c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</row>
    <row r="526">
      <c r="A526" s="53" t="s">
        <v>302</v>
      </c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</row>
    <row r="527">
      <c r="A527" s="53" t="s">
        <v>302</v>
      </c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</row>
    <row r="528">
      <c r="A528" s="53" t="s">
        <v>302</v>
      </c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</row>
    <row r="529">
      <c r="A529" s="53" t="s">
        <v>302</v>
      </c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</row>
    <row r="530">
      <c r="A530" s="53" t="s">
        <v>302</v>
      </c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</row>
    <row r="531">
      <c r="A531" s="53" t="s">
        <v>302</v>
      </c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</row>
    <row r="532">
      <c r="A532" s="53" t="s">
        <v>302</v>
      </c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</row>
    <row r="533">
      <c r="A533" s="53" t="s">
        <v>302</v>
      </c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</row>
    <row r="534">
      <c r="A534" s="53" t="s">
        <v>302</v>
      </c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</row>
    <row r="535">
      <c r="A535" s="53" t="s">
        <v>302</v>
      </c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</row>
    <row r="536">
      <c r="A536" s="53" t="s">
        <v>302</v>
      </c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</row>
    <row r="537">
      <c r="A537" s="53" t="s">
        <v>302</v>
      </c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</row>
    <row r="538">
      <c r="A538" s="53" t="s">
        <v>302</v>
      </c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</row>
    <row r="539">
      <c r="A539" s="53" t="s">
        <v>302</v>
      </c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</row>
    <row r="540">
      <c r="A540" s="53" t="s">
        <v>302</v>
      </c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</row>
    <row r="541">
      <c r="A541" s="53" t="s">
        <v>302</v>
      </c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</row>
    <row r="542">
      <c r="A542" s="53" t="s">
        <v>302</v>
      </c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</row>
    <row r="543">
      <c r="A543" s="53" t="s">
        <v>302</v>
      </c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</row>
    <row r="544">
      <c r="A544" s="53" t="s">
        <v>302</v>
      </c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</row>
    <row r="545">
      <c r="A545" s="53" t="s">
        <v>302</v>
      </c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</row>
    <row r="546">
      <c r="A546" s="53" t="s">
        <v>302</v>
      </c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</row>
    <row r="547">
      <c r="A547" s="53" t="s">
        <v>302</v>
      </c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</row>
    <row r="548">
      <c r="A548" s="53" t="s">
        <v>302</v>
      </c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</row>
    <row r="549">
      <c r="A549" s="53" t="s">
        <v>302</v>
      </c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</row>
    <row r="550">
      <c r="A550" s="53" t="s">
        <v>302</v>
      </c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</row>
    <row r="551">
      <c r="A551" s="53" t="s">
        <v>302</v>
      </c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</row>
    <row r="552">
      <c r="A552" s="53" t="s">
        <v>302</v>
      </c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</row>
    <row r="553">
      <c r="A553" s="53" t="s">
        <v>302</v>
      </c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</row>
    <row r="554">
      <c r="A554" s="53" t="s">
        <v>302</v>
      </c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</row>
    <row r="555">
      <c r="A555" s="53" t="s">
        <v>302</v>
      </c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</row>
    <row r="556">
      <c r="A556" s="53" t="s">
        <v>302</v>
      </c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</row>
    <row r="557">
      <c r="A557" s="53" t="s">
        <v>302</v>
      </c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</row>
    <row r="558">
      <c r="A558" s="53" t="s">
        <v>302</v>
      </c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</row>
    <row r="559">
      <c r="A559" s="53" t="s">
        <v>302</v>
      </c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</row>
    <row r="560">
      <c r="A560" s="53" t="s">
        <v>302</v>
      </c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</row>
    <row r="561">
      <c r="A561" s="53" t="s">
        <v>302</v>
      </c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</row>
    <row r="562">
      <c r="A562" s="53" t="s">
        <v>302</v>
      </c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</row>
    <row r="563">
      <c r="A563" s="53" t="s">
        <v>302</v>
      </c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</row>
    <row r="564">
      <c r="A564" s="53" t="s">
        <v>302</v>
      </c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</row>
    <row r="565">
      <c r="A565" s="53" t="s">
        <v>302</v>
      </c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</row>
    <row r="566">
      <c r="A566" s="53" t="s">
        <v>302</v>
      </c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</row>
    <row r="567">
      <c r="A567" s="53" t="s">
        <v>302</v>
      </c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</row>
    <row r="568">
      <c r="A568" s="53" t="s">
        <v>302</v>
      </c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</row>
    <row r="569">
      <c r="A569" s="53" t="s">
        <v>302</v>
      </c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</row>
    <row r="570">
      <c r="A570" s="53" t="s">
        <v>302</v>
      </c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</row>
    <row r="571">
      <c r="A571" s="53" t="s">
        <v>302</v>
      </c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</row>
    <row r="572">
      <c r="A572" s="53" t="s">
        <v>302</v>
      </c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</row>
    <row r="573">
      <c r="A573" s="53" t="s">
        <v>302</v>
      </c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</row>
    <row r="574">
      <c r="A574" s="53" t="s">
        <v>302</v>
      </c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</row>
    <row r="575">
      <c r="A575" s="53" t="s">
        <v>302</v>
      </c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</row>
    <row r="576">
      <c r="A576" s="53" t="s">
        <v>302</v>
      </c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</row>
    <row r="577">
      <c r="A577" s="53" t="s">
        <v>302</v>
      </c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</row>
    <row r="578">
      <c r="A578" s="53" t="s">
        <v>302</v>
      </c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</row>
    <row r="579">
      <c r="A579" s="53" t="s">
        <v>302</v>
      </c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</row>
    <row r="580">
      <c r="A580" s="53" t="s">
        <v>302</v>
      </c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</row>
    <row r="581">
      <c r="A581" s="53" t="s">
        <v>302</v>
      </c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</row>
    <row r="582">
      <c r="A582" s="53" t="s">
        <v>302</v>
      </c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</row>
    <row r="583">
      <c r="A583" s="53" t="s">
        <v>302</v>
      </c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</row>
    <row r="584">
      <c r="A584" s="53" t="s">
        <v>302</v>
      </c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</row>
    <row r="585">
      <c r="A585" s="53" t="s">
        <v>302</v>
      </c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</row>
    <row r="586">
      <c r="A586" s="53" t="s">
        <v>302</v>
      </c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</row>
    <row r="587">
      <c r="A587" s="53" t="s">
        <v>302</v>
      </c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</row>
    <row r="588">
      <c r="A588" s="53" t="s">
        <v>302</v>
      </c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</row>
    <row r="589">
      <c r="A589" s="53" t="s">
        <v>302</v>
      </c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</row>
    <row r="590">
      <c r="A590" s="53" t="s">
        <v>302</v>
      </c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</row>
    <row r="591">
      <c r="A591" s="53" t="s">
        <v>302</v>
      </c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</row>
    <row r="592">
      <c r="A592" s="53" t="s">
        <v>302</v>
      </c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</row>
    <row r="593">
      <c r="A593" s="53" t="s">
        <v>302</v>
      </c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</row>
    <row r="594">
      <c r="A594" s="53" t="s">
        <v>302</v>
      </c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</row>
    <row r="595">
      <c r="A595" s="53" t="s">
        <v>302</v>
      </c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</row>
    <row r="596">
      <c r="A596" s="53" t="s">
        <v>302</v>
      </c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</row>
    <row r="597">
      <c r="A597" s="53" t="s">
        <v>302</v>
      </c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</row>
    <row r="598">
      <c r="A598" s="53" t="s">
        <v>302</v>
      </c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</row>
    <row r="599">
      <c r="A599" s="53" t="s">
        <v>302</v>
      </c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</row>
    <row r="600">
      <c r="A600" s="53" t="s">
        <v>302</v>
      </c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</row>
    <row r="601">
      <c r="A601" s="53" t="s">
        <v>302</v>
      </c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</row>
    <row r="602">
      <c r="A602" s="53" t="s">
        <v>302</v>
      </c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</row>
    <row r="603">
      <c r="A603" s="53" t="s">
        <v>302</v>
      </c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</row>
    <row r="604">
      <c r="A604" s="53" t="s">
        <v>302</v>
      </c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</row>
    <row r="605">
      <c r="A605" s="53" t="s">
        <v>302</v>
      </c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</row>
    <row r="606">
      <c r="A606" s="53" t="s">
        <v>302</v>
      </c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</row>
    <row r="607">
      <c r="A607" s="53" t="s">
        <v>302</v>
      </c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</row>
    <row r="608">
      <c r="A608" s="53" t="s">
        <v>302</v>
      </c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</row>
    <row r="609">
      <c r="A609" s="53" t="s">
        <v>302</v>
      </c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</row>
    <row r="610">
      <c r="A610" s="53" t="s">
        <v>302</v>
      </c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</row>
    <row r="611">
      <c r="A611" s="53" t="s">
        <v>302</v>
      </c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</row>
    <row r="612">
      <c r="A612" s="53" t="s">
        <v>302</v>
      </c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</row>
    <row r="613">
      <c r="A613" s="53" t="s">
        <v>302</v>
      </c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</row>
    <row r="614">
      <c r="A614" s="53" t="s">
        <v>302</v>
      </c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</row>
    <row r="615">
      <c r="A615" s="53" t="s">
        <v>302</v>
      </c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</row>
    <row r="616">
      <c r="A616" s="53" t="s">
        <v>302</v>
      </c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</row>
    <row r="617">
      <c r="A617" s="53" t="s">
        <v>302</v>
      </c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</row>
    <row r="618">
      <c r="A618" s="53" t="s">
        <v>302</v>
      </c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</row>
    <row r="619">
      <c r="A619" s="53" t="s">
        <v>302</v>
      </c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</row>
    <row r="620">
      <c r="A620" s="53" t="s">
        <v>302</v>
      </c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</row>
    <row r="621">
      <c r="A621" s="53" t="s">
        <v>302</v>
      </c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</row>
    <row r="622">
      <c r="A622" s="53" t="s">
        <v>302</v>
      </c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</row>
    <row r="623">
      <c r="A623" s="53" t="s">
        <v>302</v>
      </c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</row>
    <row r="624">
      <c r="A624" s="53" t="s">
        <v>302</v>
      </c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</row>
    <row r="625">
      <c r="A625" s="53" t="s">
        <v>302</v>
      </c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</row>
    <row r="626">
      <c r="A626" s="53" t="s">
        <v>302</v>
      </c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</row>
    <row r="627">
      <c r="A627" s="53" t="s">
        <v>302</v>
      </c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</row>
    <row r="628">
      <c r="A628" s="53" t="s">
        <v>302</v>
      </c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</row>
    <row r="629">
      <c r="A629" s="53" t="s">
        <v>302</v>
      </c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</row>
    <row r="630">
      <c r="A630" s="53" t="s">
        <v>302</v>
      </c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</row>
    <row r="631">
      <c r="A631" s="53" t="s">
        <v>302</v>
      </c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</row>
    <row r="632">
      <c r="A632" s="53" t="s">
        <v>302</v>
      </c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</row>
    <row r="633">
      <c r="A633" s="53" t="s">
        <v>302</v>
      </c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</row>
    <row r="634">
      <c r="A634" s="53" t="s">
        <v>302</v>
      </c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</row>
    <row r="635">
      <c r="A635" s="53" t="s">
        <v>302</v>
      </c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</row>
    <row r="636">
      <c r="A636" s="53" t="s">
        <v>302</v>
      </c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</row>
    <row r="637">
      <c r="A637" s="53" t="s">
        <v>302</v>
      </c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</row>
    <row r="638">
      <c r="A638" s="53" t="s">
        <v>302</v>
      </c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</row>
    <row r="639">
      <c r="A639" s="53" t="s">
        <v>302</v>
      </c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</row>
    <row r="640">
      <c r="A640" s="53" t="s">
        <v>302</v>
      </c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</row>
    <row r="641">
      <c r="A641" s="53" t="s">
        <v>302</v>
      </c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</row>
    <row r="642">
      <c r="A642" s="53" t="s">
        <v>302</v>
      </c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</row>
    <row r="643">
      <c r="A643" s="53" t="s">
        <v>302</v>
      </c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</row>
    <row r="644">
      <c r="A644" s="53" t="s">
        <v>302</v>
      </c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</row>
    <row r="645">
      <c r="A645" s="53" t="s">
        <v>302</v>
      </c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</row>
    <row r="646">
      <c r="A646" s="53" t="s">
        <v>302</v>
      </c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</row>
    <row r="647">
      <c r="A647" s="53" t="s">
        <v>302</v>
      </c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</row>
    <row r="648">
      <c r="A648" s="53" t="s">
        <v>302</v>
      </c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</row>
    <row r="649">
      <c r="A649" s="53" t="s">
        <v>302</v>
      </c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</row>
    <row r="650">
      <c r="A650" s="53" t="s">
        <v>302</v>
      </c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</row>
    <row r="651">
      <c r="A651" s="53" t="s">
        <v>302</v>
      </c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</row>
    <row r="652">
      <c r="A652" s="53" t="s">
        <v>302</v>
      </c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</row>
    <row r="653">
      <c r="A653" s="53" t="s">
        <v>302</v>
      </c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</row>
    <row r="654">
      <c r="A654" s="53" t="s">
        <v>302</v>
      </c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</row>
    <row r="655">
      <c r="A655" s="53" t="s">
        <v>302</v>
      </c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</row>
    <row r="656">
      <c r="A656" s="53" t="s">
        <v>302</v>
      </c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</row>
    <row r="657">
      <c r="A657" s="53" t="s">
        <v>302</v>
      </c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</row>
    <row r="658">
      <c r="A658" s="53" t="s">
        <v>302</v>
      </c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</row>
    <row r="659">
      <c r="A659" s="53" t="s">
        <v>302</v>
      </c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</row>
    <row r="660">
      <c r="A660" s="53" t="s">
        <v>302</v>
      </c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</row>
    <row r="661">
      <c r="A661" s="53" t="s">
        <v>302</v>
      </c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</row>
    <row r="662">
      <c r="A662" s="53" t="s">
        <v>302</v>
      </c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</row>
    <row r="663">
      <c r="A663" s="53" t="s">
        <v>302</v>
      </c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</row>
    <row r="664">
      <c r="A664" s="53" t="s">
        <v>302</v>
      </c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</row>
    <row r="665">
      <c r="A665" s="53" t="s">
        <v>302</v>
      </c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</row>
    <row r="666">
      <c r="A666" s="53" t="s">
        <v>302</v>
      </c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</row>
    <row r="667">
      <c r="A667" s="53" t="s">
        <v>302</v>
      </c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</row>
    <row r="668">
      <c r="A668" s="53" t="s">
        <v>302</v>
      </c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</row>
    <row r="669">
      <c r="A669" s="53" t="s">
        <v>302</v>
      </c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</row>
    <row r="670">
      <c r="A670" s="53" t="s">
        <v>302</v>
      </c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</row>
    <row r="671">
      <c r="A671" s="53" t="s">
        <v>302</v>
      </c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</row>
    <row r="672">
      <c r="A672" s="53" t="s">
        <v>302</v>
      </c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</row>
    <row r="673">
      <c r="A673" s="53" t="s">
        <v>302</v>
      </c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</row>
    <row r="674">
      <c r="A674" s="53" t="s">
        <v>302</v>
      </c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</row>
    <row r="675">
      <c r="A675" s="53" t="s">
        <v>302</v>
      </c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</row>
    <row r="676">
      <c r="A676" s="53" t="s">
        <v>302</v>
      </c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</row>
    <row r="677">
      <c r="A677" s="53" t="s">
        <v>302</v>
      </c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</row>
    <row r="678">
      <c r="A678" s="53" t="s">
        <v>302</v>
      </c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</row>
    <row r="679">
      <c r="A679" s="53" t="s">
        <v>302</v>
      </c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</row>
    <row r="680">
      <c r="A680" s="53" t="s">
        <v>302</v>
      </c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</row>
    <row r="681">
      <c r="A681" s="53" t="s">
        <v>302</v>
      </c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</row>
    <row r="682">
      <c r="A682" s="53" t="s">
        <v>302</v>
      </c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</row>
    <row r="683">
      <c r="A683" s="53" t="s">
        <v>302</v>
      </c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</row>
    <row r="684">
      <c r="A684" s="53" t="s">
        <v>302</v>
      </c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</row>
    <row r="685">
      <c r="A685" s="53" t="s">
        <v>302</v>
      </c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</row>
    <row r="686">
      <c r="A686" s="53" t="s">
        <v>302</v>
      </c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</row>
    <row r="687">
      <c r="A687" s="53" t="s">
        <v>302</v>
      </c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</row>
    <row r="688">
      <c r="A688" s="53" t="s">
        <v>302</v>
      </c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</row>
    <row r="689">
      <c r="A689" s="53" t="s">
        <v>302</v>
      </c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</row>
    <row r="690">
      <c r="A690" s="53" t="s">
        <v>302</v>
      </c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</row>
    <row r="691">
      <c r="A691" s="53" t="s">
        <v>302</v>
      </c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</row>
    <row r="692">
      <c r="A692" s="53" t="s">
        <v>302</v>
      </c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</row>
    <row r="693">
      <c r="A693" s="53" t="s">
        <v>302</v>
      </c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</row>
    <row r="694">
      <c r="A694" s="53" t="s">
        <v>302</v>
      </c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</row>
    <row r="695">
      <c r="A695" s="53" t="s">
        <v>302</v>
      </c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</row>
    <row r="696">
      <c r="A696" s="53" t="s">
        <v>302</v>
      </c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</row>
    <row r="697">
      <c r="A697" s="53" t="s">
        <v>302</v>
      </c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</row>
    <row r="698">
      <c r="A698" s="53" t="s">
        <v>302</v>
      </c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</row>
    <row r="699">
      <c r="A699" s="53" t="s">
        <v>302</v>
      </c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</row>
    <row r="700">
      <c r="A700" s="53" t="s">
        <v>302</v>
      </c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</row>
    <row r="701">
      <c r="A701" s="53" t="s">
        <v>302</v>
      </c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</row>
    <row r="702">
      <c r="A702" s="53" t="s">
        <v>302</v>
      </c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</row>
    <row r="703">
      <c r="A703" s="53" t="s">
        <v>302</v>
      </c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</row>
    <row r="704">
      <c r="A704" s="53" t="s">
        <v>302</v>
      </c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</row>
    <row r="705">
      <c r="A705" s="53" t="s">
        <v>302</v>
      </c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</row>
    <row r="706">
      <c r="A706" s="53" t="s">
        <v>302</v>
      </c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</row>
    <row r="707">
      <c r="A707" s="53" t="s">
        <v>302</v>
      </c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</row>
    <row r="708">
      <c r="A708" s="53" t="s">
        <v>302</v>
      </c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</row>
    <row r="709">
      <c r="A709" s="53" t="s">
        <v>302</v>
      </c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</row>
    <row r="710">
      <c r="A710" s="53" t="s">
        <v>302</v>
      </c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</row>
    <row r="711">
      <c r="A711" s="53" t="s">
        <v>302</v>
      </c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</row>
    <row r="712">
      <c r="A712" s="53" t="s">
        <v>302</v>
      </c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</row>
    <row r="713">
      <c r="A713" s="53" t="s">
        <v>302</v>
      </c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</row>
    <row r="714">
      <c r="A714" s="53" t="s">
        <v>302</v>
      </c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</row>
    <row r="715">
      <c r="A715" s="53" t="s">
        <v>302</v>
      </c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</row>
    <row r="716">
      <c r="A716" s="53" t="s">
        <v>302</v>
      </c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</row>
    <row r="717">
      <c r="A717" s="53" t="s">
        <v>302</v>
      </c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</row>
    <row r="718">
      <c r="A718" s="53" t="s">
        <v>302</v>
      </c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</row>
    <row r="719">
      <c r="A719" s="53" t="s">
        <v>302</v>
      </c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</row>
    <row r="720">
      <c r="A720" s="53" t="s">
        <v>302</v>
      </c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</row>
    <row r="721">
      <c r="A721" s="53" t="s">
        <v>302</v>
      </c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</row>
    <row r="722">
      <c r="A722" s="53" t="s">
        <v>302</v>
      </c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</row>
    <row r="723">
      <c r="A723" s="53" t="s">
        <v>302</v>
      </c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</row>
    <row r="724">
      <c r="A724" s="53" t="s">
        <v>302</v>
      </c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</row>
    <row r="725">
      <c r="A725" s="53" t="s">
        <v>302</v>
      </c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</row>
    <row r="726">
      <c r="A726" s="53" t="s">
        <v>302</v>
      </c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</row>
    <row r="727">
      <c r="A727" s="53" t="s">
        <v>302</v>
      </c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</row>
    <row r="728">
      <c r="A728" s="53" t="s">
        <v>302</v>
      </c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</row>
    <row r="729">
      <c r="A729" s="53" t="s">
        <v>302</v>
      </c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</row>
    <row r="730">
      <c r="A730" s="53" t="s">
        <v>302</v>
      </c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</row>
    <row r="731">
      <c r="A731" s="53" t="s">
        <v>302</v>
      </c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</row>
    <row r="732">
      <c r="A732" s="53" t="s">
        <v>302</v>
      </c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</row>
    <row r="733">
      <c r="A733" s="53" t="s">
        <v>302</v>
      </c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</row>
    <row r="734">
      <c r="A734" s="53" t="s">
        <v>302</v>
      </c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</row>
    <row r="735">
      <c r="A735" s="53" t="s">
        <v>302</v>
      </c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</row>
    <row r="736">
      <c r="A736" s="53" t="s">
        <v>302</v>
      </c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</row>
    <row r="737">
      <c r="A737" s="53" t="s">
        <v>302</v>
      </c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</row>
    <row r="738">
      <c r="A738" s="53" t="s">
        <v>302</v>
      </c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</row>
    <row r="739">
      <c r="A739" s="53" t="s">
        <v>302</v>
      </c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</row>
    <row r="740">
      <c r="A740" s="53" t="s">
        <v>302</v>
      </c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</row>
    <row r="741">
      <c r="A741" s="53" t="s">
        <v>302</v>
      </c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</row>
    <row r="742">
      <c r="A742" s="53" t="s">
        <v>302</v>
      </c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</row>
    <row r="743">
      <c r="A743" s="53" t="s">
        <v>302</v>
      </c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</row>
    <row r="744">
      <c r="A744" s="53" t="s">
        <v>302</v>
      </c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</row>
    <row r="745">
      <c r="A745" s="53" t="s">
        <v>302</v>
      </c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</row>
    <row r="746">
      <c r="A746" s="53" t="s">
        <v>302</v>
      </c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</row>
    <row r="747">
      <c r="A747" s="53" t="s">
        <v>302</v>
      </c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</row>
    <row r="748">
      <c r="A748" s="53" t="s">
        <v>302</v>
      </c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</row>
    <row r="749">
      <c r="A749" s="53" t="s">
        <v>302</v>
      </c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</row>
    <row r="750">
      <c r="A750" s="53" t="s">
        <v>302</v>
      </c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</row>
    <row r="751">
      <c r="A751" s="53" t="s">
        <v>302</v>
      </c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</row>
    <row r="752">
      <c r="A752" s="53" t="s">
        <v>302</v>
      </c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</row>
    <row r="753">
      <c r="A753" s="53" t="s">
        <v>302</v>
      </c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</row>
    <row r="754">
      <c r="A754" s="53" t="s">
        <v>302</v>
      </c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</row>
    <row r="755">
      <c r="A755" s="53" t="s">
        <v>302</v>
      </c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</row>
    <row r="756">
      <c r="A756" s="53" t="s">
        <v>302</v>
      </c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</row>
    <row r="757">
      <c r="A757" s="53" t="s">
        <v>302</v>
      </c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</row>
    <row r="758">
      <c r="A758" s="53" t="s">
        <v>302</v>
      </c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</row>
    <row r="759">
      <c r="A759" s="53" t="s">
        <v>302</v>
      </c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</row>
    <row r="760">
      <c r="A760" s="53" t="s">
        <v>302</v>
      </c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</row>
    <row r="761">
      <c r="A761" s="53" t="s">
        <v>302</v>
      </c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</row>
    <row r="762">
      <c r="A762" s="53" t="s">
        <v>302</v>
      </c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</row>
    <row r="763">
      <c r="A763" s="53" t="s">
        <v>302</v>
      </c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</row>
    <row r="764">
      <c r="A764" s="53" t="s">
        <v>302</v>
      </c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</row>
    <row r="765">
      <c r="A765" s="53" t="s">
        <v>302</v>
      </c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</row>
    <row r="766">
      <c r="A766" s="53" t="s">
        <v>302</v>
      </c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</row>
    <row r="767">
      <c r="A767" s="53" t="s">
        <v>302</v>
      </c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</row>
    <row r="768">
      <c r="A768" s="53" t="s">
        <v>302</v>
      </c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</row>
    <row r="769">
      <c r="A769" s="53" t="s">
        <v>302</v>
      </c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</row>
    <row r="770">
      <c r="A770" s="53" t="s">
        <v>302</v>
      </c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</row>
    <row r="771">
      <c r="A771" s="53" t="s">
        <v>302</v>
      </c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</row>
    <row r="772">
      <c r="A772" s="53" t="s">
        <v>302</v>
      </c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</row>
    <row r="773">
      <c r="A773" s="53" t="s">
        <v>302</v>
      </c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</row>
    <row r="774">
      <c r="A774" s="53" t="s">
        <v>302</v>
      </c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</row>
    <row r="775">
      <c r="A775" s="53" t="s">
        <v>302</v>
      </c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</row>
    <row r="776">
      <c r="A776" s="53" t="s">
        <v>302</v>
      </c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</row>
    <row r="777">
      <c r="A777" s="53" t="s">
        <v>302</v>
      </c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</row>
    <row r="778">
      <c r="A778" s="53" t="s">
        <v>302</v>
      </c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</row>
    <row r="779">
      <c r="A779" s="53" t="s">
        <v>302</v>
      </c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</row>
    <row r="780">
      <c r="A780" s="53" t="s">
        <v>302</v>
      </c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</row>
    <row r="781">
      <c r="A781" s="53" t="s">
        <v>302</v>
      </c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</row>
    <row r="782">
      <c r="A782" s="53" t="s">
        <v>302</v>
      </c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</row>
    <row r="783">
      <c r="A783" s="53" t="s">
        <v>302</v>
      </c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</row>
    <row r="784">
      <c r="A784" s="53" t="s">
        <v>302</v>
      </c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</row>
    <row r="785">
      <c r="A785" s="53" t="s">
        <v>302</v>
      </c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</row>
    <row r="786">
      <c r="A786" s="53" t="s">
        <v>302</v>
      </c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</row>
    <row r="787">
      <c r="A787" s="53" t="s">
        <v>302</v>
      </c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</row>
    <row r="788">
      <c r="A788" s="53" t="s">
        <v>302</v>
      </c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</row>
    <row r="789">
      <c r="A789" s="53" t="s">
        <v>302</v>
      </c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</row>
    <row r="790">
      <c r="A790" s="53" t="s">
        <v>302</v>
      </c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</row>
    <row r="791">
      <c r="A791" s="53" t="s">
        <v>302</v>
      </c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</row>
    <row r="792">
      <c r="A792" s="53" t="s">
        <v>302</v>
      </c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</row>
    <row r="793">
      <c r="A793" s="53" t="s">
        <v>302</v>
      </c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</row>
    <row r="794">
      <c r="A794" s="53" t="s">
        <v>302</v>
      </c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</row>
    <row r="795">
      <c r="A795" s="53" t="s">
        <v>302</v>
      </c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</row>
    <row r="796">
      <c r="A796" s="53" t="s">
        <v>302</v>
      </c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</row>
    <row r="797">
      <c r="A797" s="53" t="s">
        <v>302</v>
      </c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</row>
    <row r="798">
      <c r="A798" s="53" t="s">
        <v>302</v>
      </c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</row>
    <row r="799">
      <c r="A799" s="53" t="s">
        <v>302</v>
      </c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</row>
    <row r="800">
      <c r="A800" s="53" t="s">
        <v>302</v>
      </c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</row>
    <row r="801">
      <c r="A801" s="53" t="s">
        <v>302</v>
      </c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</row>
    <row r="802">
      <c r="A802" s="53" t="s">
        <v>302</v>
      </c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</row>
    <row r="803">
      <c r="A803" s="53" t="s">
        <v>302</v>
      </c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</row>
    <row r="804">
      <c r="A804" s="53" t="s">
        <v>302</v>
      </c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</row>
    <row r="805">
      <c r="A805" s="53" t="s">
        <v>302</v>
      </c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</row>
    <row r="806">
      <c r="A806" s="53" t="s">
        <v>302</v>
      </c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</row>
    <row r="807">
      <c r="A807" s="53" t="s">
        <v>302</v>
      </c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</row>
    <row r="808">
      <c r="A808" s="53" t="s">
        <v>302</v>
      </c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</row>
    <row r="809">
      <c r="A809" s="53" t="s">
        <v>302</v>
      </c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</row>
    <row r="810">
      <c r="A810" s="53" t="s">
        <v>302</v>
      </c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</row>
    <row r="811">
      <c r="A811" s="53" t="s">
        <v>302</v>
      </c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</row>
    <row r="812">
      <c r="A812" s="53" t="s">
        <v>302</v>
      </c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</row>
    <row r="813">
      <c r="A813" s="53" t="s">
        <v>302</v>
      </c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</row>
    <row r="814">
      <c r="A814" s="53" t="s">
        <v>302</v>
      </c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</row>
    <row r="815">
      <c r="A815" s="53" t="s">
        <v>302</v>
      </c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</row>
    <row r="816">
      <c r="A816" s="53" t="s">
        <v>302</v>
      </c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</row>
    <row r="817">
      <c r="A817" s="53" t="s">
        <v>302</v>
      </c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</row>
    <row r="818">
      <c r="A818" s="53" t="s">
        <v>302</v>
      </c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</row>
    <row r="819">
      <c r="A819" s="53" t="s">
        <v>302</v>
      </c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</row>
    <row r="820">
      <c r="A820" s="53" t="s">
        <v>302</v>
      </c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</row>
    <row r="821">
      <c r="A821" s="53" t="s">
        <v>302</v>
      </c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</row>
    <row r="822">
      <c r="A822" s="53" t="s">
        <v>302</v>
      </c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</row>
    <row r="823">
      <c r="A823" s="53" t="s">
        <v>302</v>
      </c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</row>
    <row r="824">
      <c r="A824" s="53" t="s">
        <v>302</v>
      </c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</row>
    <row r="825">
      <c r="A825" s="53" t="s">
        <v>302</v>
      </c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</row>
    <row r="826">
      <c r="A826" s="53" t="s">
        <v>302</v>
      </c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</row>
    <row r="827">
      <c r="A827" s="53" t="s">
        <v>302</v>
      </c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</row>
    <row r="828">
      <c r="A828" s="53" t="s">
        <v>302</v>
      </c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</row>
    <row r="829">
      <c r="A829" s="53" t="s">
        <v>302</v>
      </c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</row>
    <row r="830">
      <c r="A830" s="53" t="s">
        <v>302</v>
      </c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</row>
    <row r="831">
      <c r="A831" s="53" t="s">
        <v>302</v>
      </c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</row>
    <row r="832">
      <c r="A832" s="53" t="s">
        <v>302</v>
      </c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</row>
    <row r="833">
      <c r="A833" s="53" t="s">
        <v>302</v>
      </c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</row>
    <row r="834">
      <c r="A834" s="53" t="s">
        <v>302</v>
      </c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</row>
    <row r="835">
      <c r="A835" s="53" t="s">
        <v>302</v>
      </c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</row>
    <row r="836">
      <c r="A836" s="53" t="s">
        <v>302</v>
      </c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</row>
    <row r="837">
      <c r="A837" s="53" t="s">
        <v>302</v>
      </c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</row>
    <row r="838">
      <c r="A838" s="53" t="s">
        <v>302</v>
      </c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</row>
    <row r="839">
      <c r="A839" s="53" t="s">
        <v>302</v>
      </c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</row>
    <row r="840">
      <c r="A840" s="53" t="s">
        <v>302</v>
      </c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</row>
    <row r="841">
      <c r="A841" s="53" t="s">
        <v>302</v>
      </c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</row>
    <row r="842">
      <c r="A842" s="53" t="s">
        <v>302</v>
      </c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</row>
    <row r="843">
      <c r="A843" s="53" t="s">
        <v>302</v>
      </c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</row>
    <row r="844">
      <c r="A844" s="53" t="s">
        <v>302</v>
      </c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</row>
    <row r="845">
      <c r="A845" s="53" t="s">
        <v>302</v>
      </c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</row>
    <row r="846">
      <c r="A846" s="53" t="s">
        <v>302</v>
      </c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</row>
    <row r="847">
      <c r="A847" s="53" t="s">
        <v>302</v>
      </c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</row>
    <row r="848">
      <c r="A848" s="53" t="s">
        <v>302</v>
      </c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</row>
    <row r="849">
      <c r="A849" s="53" t="s">
        <v>302</v>
      </c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</row>
    <row r="850">
      <c r="A850" s="53" t="s">
        <v>302</v>
      </c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</row>
    <row r="851">
      <c r="A851" s="53" t="s">
        <v>302</v>
      </c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</row>
    <row r="852">
      <c r="A852" s="53" t="s">
        <v>302</v>
      </c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</row>
    <row r="853">
      <c r="A853" s="53" t="s">
        <v>302</v>
      </c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</row>
    <row r="854">
      <c r="A854" s="53" t="s">
        <v>302</v>
      </c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</row>
    <row r="855">
      <c r="A855" s="53" t="s">
        <v>302</v>
      </c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</row>
    <row r="856">
      <c r="A856" s="53" t="s">
        <v>302</v>
      </c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</row>
    <row r="857">
      <c r="A857" s="53" t="s">
        <v>302</v>
      </c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</row>
    <row r="858">
      <c r="A858" s="53" t="s">
        <v>302</v>
      </c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</row>
    <row r="859">
      <c r="A859" s="53" t="s">
        <v>302</v>
      </c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</row>
    <row r="860">
      <c r="A860" s="53" t="s">
        <v>302</v>
      </c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</row>
    <row r="861">
      <c r="A861" s="53" t="s">
        <v>302</v>
      </c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</row>
    <row r="862">
      <c r="A862" s="53" t="s">
        <v>302</v>
      </c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</row>
    <row r="863">
      <c r="A863" s="53" t="s">
        <v>302</v>
      </c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</row>
    <row r="864">
      <c r="A864" s="53" t="s">
        <v>302</v>
      </c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</row>
    <row r="865">
      <c r="A865" s="53" t="s">
        <v>302</v>
      </c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</row>
    <row r="866">
      <c r="A866" s="53" t="s">
        <v>302</v>
      </c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</row>
    <row r="867">
      <c r="A867" s="53" t="s">
        <v>302</v>
      </c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</row>
    <row r="868">
      <c r="A868" s="53" t="s">
        <v>302</v>
      </c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</row>
    <row r="869">
      <c r="A869" s="53" t="s">
        <v>302</v>
      </c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</row>
    <row r="870">
      <c r="A870" s="53" t="s">
        <v>302</v>
      </c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</row>
    <row r="871">
      <c r="A871" s="53" t="s">
        <v>302</v>
      </c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</row>
    <row r="872">
      <c r="A872" s="53" t="s">
        <v>302</v>
      </c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</row>
    <row r="873">
      <c r="A873" s="53" t="s">
        <v>302</v>
      </c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</row>
    <row r="874">
      <c r="A874" s="53" t="s">
        <v>302</v>
      </c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</row>
    <row r="875">
      <c r="A875" s="53" t="s">
        <v>302</v>
      </c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</row>
    <row r="876">
      <c r="A876" s="53" t="s">
        <v>302</v>
      </c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</row>
    <row r="877">
      <c r="A877" s="53" t="s">
        <v>302</v>
      </c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</row>
    <row r="878">
      <c r="A878" s="53" t="s">
        <v>302</v>
      </c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</row>
    <row r="879">
      <c r="A879" s="53" t="s">
        <v>302</v>
      </c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</row>
    <row r="880">
      <c r="A880" s="53" t="s">
        <v>302</v>
      </c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</row>
    <row r="881">
      <c r="A881" s="53" t="s">
        <v>302</v>
      </c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</row>
    <row r="882">
      <c r="A882" s="53" t="s">
        <v>302</v>
      </c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</row>
    <row r="883">
      <c r="A883" s="53" t="s">
        <v>302</v>
      </c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</row>
    <row r="884">
      <c r="A884" s="53" t="s">
        <v>302</v>
      </c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</row>
    <row r="885">
      <c r="A885" s="53" t="s">
        <v>302</v>
      </c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</row>
    <row r="886">
      <c r="A886" s="53" t="s">
        <v>302</v>
      </c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</row>
    <row r="887">
      <c r="A887" s="53" t="s">
        <v>302</v>
      </c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</row>
    <row r="888">
      <c r="A888" s="53" t="s">
        <v>302</v>
      </c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</row>
    <row r="889">
      <c r="A889" s="53" t="s">
        <v>302</v>
      </c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</row>
    <row r="890">
      <c r="A890" s="53" t="s">
        <v>302</v>
      </c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</row>
    <row r="891">
      <c r="A891" s="53" t="s">
        <v>302</v>
      </c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</row>
    <row r="892">
      <c r="A892" s="53" t="s">
        <v>302</v>
      </c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</row>
    <row r="893">
      <c r="A893" s="53" t="s">
        <v>302</v>
      </c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</row>
    <row r="894">
      <c r="A894" s="53" t="s">
        <v>302</v>
      </c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</row>
    <row r="895">
      <c r="A895" s="53" t="s">
        <v>302</v>
      </c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</row>
    <row r="896">
      <c r="A896" s="53" t="s">
        <v>302</v>
      </c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</row>
    <row r="897">
      <c r="A897" s="53" t="s">
        <v>302</v>
      </c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</row>
    <row r="898">
      <c r="A898" s="53" t="s">
        <v>302</v>
      </c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</row>
    <row r="899">
      <c r="A899" s="53" t="s">
        <v>302</v>
      </c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</row>
    <row r="900">
      <c r="A900" s="53" t="s">
        <v>302</v>
      </c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</row>
    <row r="901">
      <c r="A901" s="53" t="s">
        <v>302</v>
      </c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</row>
    <row r="902">
      <c r="A902" s="53" t="s">
        <v>302</v>
      </c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</row>
    <row r="903">
      <c r="A903" s="53" t="s">
        <v>302</v>
      </c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</row>
    <row r="904">
      <c r="A904" s="53" t="s">
        <v>302</v>
      </c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</row>
    <row r="905">
      <c r="A905" s="53" t="s">
        <v>302</v>
      </c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</row>
    <row r="906">
      <c r="A906" s="53" t="s">
        <v>302</v>
      </c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</row>
    <row r="907">
      <c r="A907" s="53" t="s">
        <v>302</v>
      </c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</row>
    <row r="908">
      <c r="A908" s="53" t="s">
        <v>302</v>
      </c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</row>
    <row r="909">
      <c r="A909" s="53" t="s">
        <v>302</v>
      </c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</row>
    <row r="910">
      <c r="A910" s="53" t="s">
        <v>302</v>
      </c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</row>
    <row r="911">
      <c r="A911" s="53" t="s">
        <v>302</v>
      </c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</row>
    <row r="912">
      <c r="A912" s="53" t="s">
        <v>302</v>
      </c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</row>
    <row r="913">
      <c r="A913" s="53" t="s">
        <v>302</v>
      </c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</row>
    <row r="914">
      <c r="A914" s="53" t="s">
        <v>302</v>
      </c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</row>
    <row r="915">
      <c r="A915" s="53" t="s">
        <v>302</v>
      </c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</row>
    <row r="916">
      <c r="A916" s="53" t="s">
        <v>302</v>
      </c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</row>
    <row r="917">
      <c r="A917" s="53" t="s">
        <v>302</v>
      </c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</row>
    <row r="918">
      <c r="A918" s="53" t="s">
        <v>302</v>
      </c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</row>
    <row r="919">
      <c r="A919" s="53" t="s">
        <v>302</v>
      </c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</row>
    <row r="920">
      <c r="A920" s="53" t="s">
        <v>302</v>
      </c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</row>
    <row r="921">
      <c r="A921" s="53" t="s">
        <v>302</v>
      </c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</row>
    <row r="922">
      <c r="A922" s="53" t="s">
        <v>302</v>
      </c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</row>
    <row r="923">
      <c r="A923" s="53" t="s">
        <v>302</v>
      </c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</row>
    <row r="924">
      <c r="A924" s="53" t="s">
        <v>302</v>
      </c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</row>
    <row r="925">
      <c r="A925" s="53" t="s">
        <v>302</v>
      </c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</row>
    <row r="926">
      <c r="A926" s="53" t="s">
        <v>302</v>
      </c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</row>
    <row r="927">
      <c r="A927" s="53" t="s">
        <v>302</v>
      </c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</row>
    <row r="928">
      <c r="A928" s="53" t="s">
        <v>302</v>
      </c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</row>
    <row r="929">
      <c r="A929" s="53" t="s">
        <v>302</v>
      </c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</row>
    <row r="930">
      <c r="A930" s="53" t="s">
        <v>302</v>
      </c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</row>
    <row r="931">
      <c r="A931" s="53" t="s">
        <v>302</v>
      </c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</row>
    <row r="932">
      <c r="A932" s="53" t="s">
        <v>302</v>
      </c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</row>
    <row r="933">
      <c r="A933" s="53" t="s">
        <v>302</v>
      </c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</row>
    <row r="934">
      <c r="A934" s="53" t="s">
        <v>302</v>
      </c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</row>
    <row r="935">
      <c r="A935" s="53" t="s">
        <v>302</v>
      </c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</row>
    <row r="936">
      <c r="A936" s="53" t="s">
        <v>302</v>
      </c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</row>
    <row r="937">
      <c r="A937" s="53" t="s">
        <v>302</v>
      </c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</row>
    <row r="938">
      <c r="A938" s="53" t="s">
        <v>302</v>
      </c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</row>
    <row r="939">
      <c r="A939" s="53" t="s">
        <v>302</v>
      </c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</row>
    <row r="940">
      <c r="A940" s="53" t="s">
        <v>302</v>
      </c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</row>
    <row r="941">
      <c r="A941" s="53" t="s">
        <v>302</v>
      </c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</row>
    <row r="942">
      <c r="A942" s="53" t="s">
        <v>302</v>
      </c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</row>
    <row r="943">
      <c r="A943" s="53" t="s">
        <v>302</v>
      </c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</row>
    <row r="944">
      <c r="A944" s="53" t="s">
        <v>302</v>
      </c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</row>
    <row r="945">
      <c r="A945" s="53" t="s">
        <v>302</v>
      </c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</row>
    <row r="946">
      <c r="A946" s="53" t="s">
        <v>302</v>
      </c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</row>
    <row r="947">
      <c r="A947" s="53" t="s">
        <v>302</v>
      </c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</row>
    <row r="948">
      <c r="A948" s="53" t="s">
        <v>302</v>
      </c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</row>
    <row r="949">
      <c r="A949" s="53" t="s">
        <v>302</v>
      </c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</row>
    <row r="950">
      <c r="A950" s="53" t="s">
        <v>302</v>
      </c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</row>
    <row r="951">
      <c r="A951" s="53" t="s">
        <v>302</v>
      </c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</row>
    <row r="952">
      <c r="A952" s="53" t="s">
        <v>302</v>
      </c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</row>
    <row r="953">
      <c r="A953" s="53" t="s">
        <v>302</v>
      </c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</row>
    <row r="954">
      <c r="A954" s="53" t="s">
        <v>302</v>
      </c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</row>
    <row r="955">
      <c r="A955" s="53" t="s">
        <v>302</v>
      </c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</row>
    <row r="956">
      <c r="A956" s="53" t="s">
        <v>302</v>
      </c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</row>
    <row r="957">
      <c r="A957" s="53" t="s">
        <v>302</v>
      </c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</row>
    <row r="958">
      <c r="A958" s="53" t="s">
        <v>302</v>
      </c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</row>
    <row r="959">
      <c r="A959" s="53" t="s">
        <v>302</v>
      </c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</row>
    <row r="960">
      <c r="A960" s="53" t="s">
        <v>302</v>
      </c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</row>
    <row r="961">
      <c r="A961" s="53" t="s">
        <v>302</v>
      </c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</row>
    <row r="962">
      <c r="A962" s="53" t="s">
        <v>302</v>
      </c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</row>
    <row r="963">
      <c r="A963" s="53" t="s">
        <v>302</v>
      </c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</row>
    <row r="964">
      <c r="A964" s="53" t="s">
        <v>302</v>
      </c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</row>
    <row r="965">
      <c r="A965" s="53" t="s">
        <v>302</v>
      </c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</row>
    <row r="966">
      <c r="A966" s="53" t="s">
        <v>302</v>
      </c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</row>
    <row r="967">
      <c r="A967" s="53" t="s">
        <v>302</v>
      </c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</row>
    <row r="968">
      <c r="A968" s="53" t="s">
        <v>302</v>
      </c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</row>
    <row r="969">
      <c r="A969" s="53" t="s">
        <v>302</v>
      </c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</row>
    <row r="970">
      <c r="A970" s="53" t="s">
        <v>302</v>
      </c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</row>
    <row r="971">
      <c r="A971" s="53" t="s">
        <v>302</v>
      </c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</row>
    <row r="972">
      <c r="A972" s="53" t="s">
        <v>302</v>
      </c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</row>
    <row r="973">
      <c r="A973" s="53" t="s">
        <v>302</v>
      </c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</row>
    <row r="974">
      <c r="A974" s="53" t="s">
        <v>302</v>
      </c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</row>
    <row r="975">
      <c r="A975" s="53" t="s">
        <v>302</v>
      </c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</row>
    <row r="976">
      <c r="A976" s="53" t="s">
        <v>302</v>
      </c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</row>
    <row r="977">
      <c r="A977" s="53" t="s">
        <v>302</v>
      </c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</row>
    <row r="978">
      <c r="A978" s="53" t="s">
        <v>302</v>
      </c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</row>
    <row r="979">
      <c r="A979" s="53" t="s">
        <v>302</v>
      </c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</row>
    <row r="980">
      <c r="A980" s="53" t="s">
        <v>302</v>
      </c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</row>
    <row r="981">
      <c r="A981" s="53" t="s">
        <v>302</v>
      </c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</row>
    <row r="982">
      <c r="A982" s="53" t="s">
        <v>302</v>
      </c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</row>
    <row r="983">
      <c r="A983" s="53" t="s">
        <v>302</v>
      </c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</row>
    <row r="984">
      <c r="A984" s="53" t="s">
        <v>302</v>
      </c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</row>
    <row r="985">
      <c r="A985" s="53" t="s">
        <v>302</v>
      </c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</row>
    <row r="986">
      <c r="A986" s="53" t="s">
        <v>302</v>
      </c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</row>
    <row r="987">
      <c r="A987" s="53" t="s">
        <v>302</v>
      </c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</row>
    <row r="988">
      <c r="A988" s="53" t="s">
        <v>302</v>
      </c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</row>
    <row r="989">
      <c r="A989" s="53" t="s">
        <v>302</v>
      </c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</row>
    <row r="990">
      <c r="A990" s="53" t="s">
        <v>302</v>
      </c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</row>
    <row r="991">
      <c r="A991" s="53" t="s">
        <v>302</v>
      </c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</row>
    <row r="992">
      <c r="A992" s="53" t="s">
        <v>302</v>
      </c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</row>
    <row r="993">
      <c r="A993" s="53" t="s">
        <v>302</v>
      </c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</row>
    <row r="994">
      <c r="A994" s="53" t="s">
        <v>302</v>
      </c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</row>
    <row r="995">
      <c r="A995" s="53" t="s">
        <v>302</v>
      </c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</row>
    <row r="996">
      <c r="A996" s="53" t="s">
        <v>302</v>
      </c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</row>
    <row r="997">
      <c r="A997" s="53" t="s">
        <v>302</v>
      </c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</row>
    <row r="998">
      <c r="A998" s="53" t="s">
        <v>302</v>
      </c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</row>
    <row r="999">
      <c r="A999" s="53" t="s">
        <v>302</v>
      </c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</row>
  </sheetData>
  <autoFilter ref="$A$1:$U$999">
    <filterColumn colId="5">
      <filters blank="1">
        <filter val="Included"/>
      </filters>
    </filterColumn>
    <sortState ref="A1:U999">
      <sortCondition ref="A1:A999"/>
      <sortCondition descending="1" ref="F1:F999"/>
    </sortState>
  </autoFilter>
  <conditionalFormatting sqref="E2:E108">
    <cfRule type="cellIs" dxfId="0" priority="1" operator="equal">
      <formula>"patellar"</formula>
    </cfRule>
  </conditionalFormatting>
  <conditionalFormatting sqref="E2:E108">
    <cfRule type="cellIs" dxfId="1" priority="2" operator="equal">
      <formula>"hamstring"</formula>
    </cfRule>
  </conditionalFormatting>
  <conditionalFormatting sqref="E2:E108">
    <cfRule type="cellIs" dxfId="2" priority="3" operator="equal">
      <formula>"quadriceps"</formula>
    </cfRule>
  </conditionalFormatting>
  <conditionalFormatting sqref="C69:D69 C100:C108">
    <cfRule type="expression" dxfId="3" priority="4">
      <formula>$D69="Excluded"</formula>
    </cfRule>
  </conditionalFormatting>
  <conditionalFormatting sqref="C65:D68">
    <cfRule type="expression" dxfId="3" priority="5">
      <formula>$D65="Excluded"</formula>
    </cfRule>
  </conditionalFormatting>
  <conditionalFormatting sqref="C64:D64">
    <cfRule type="expression" dxfId="3" priority="6">
      <formula>$D64="Excluded"</formula>
    </cfRule>
  </conditionalFormatting>
  <conditionalFormatting sqref="C62:D63">
    <cfRule type="expression" dxfId="3" priority="7">
      <formula>$D62="Excluded"</formula>
    </cfRule>
  </conditionalFormatting>
  <conditionalFormatting sqref="C58:D61">
    <cfRule type="expression" dxfId="3" priority="8">
      <formula>$D58="Excluded"</formula>
    </cfRule>
  </conditionalFormatting>
  <conditionalFormatting sqref="C57:D57">
    <cfRule type="expression" dxfId="3" priority="9">
      <formula>$D57="Excluded"</formula>
    </cfRule>
  </conditionalFormatting>
  <conditionalFormatting sqref="C55:D56">
    <cfRule type="expression" dxfId="3" priority="10">
      <formula>$D55="Excluded"</formula>
    </cfRule>
  </conditionalFormatting>
  <conditionalFormatting sqref="C53:D54">
    <cfRule type="expression" dxfId="3" priority="11">
      <formula>$D53="Excluded"</formula>
    </cfRule>
  </conditionalFormatting>
  <conditionalFormatting sqref="C52:D52">
    <cfRule type="expression" dxfId="3" priority="12">
      <formula>$D52="Excluded"</formula>
    </cfRule>
  </conditionalFormatting>
  <conditionalFormatting sqref="C49:D51">
    <cfRule type="expression" dxfId="3" priority="13">
      <formula>$D49="Excluded"</formula>
    </cfRule>
  </conditionalFormatting>
  <conditionalFormatting sqref="C48:D48">
    <cfRule type="expression" dxfId="3" priority="14">
      <formula>$D48="Excluded"</formula>
    </cfRule>
  </conditionalFormatting>
  <conditionalFormatting sqref="C38:D47">
    <cfRule type="expression" dxfId="3" priority="15">
      <formula>$D38="Excluded"</formula>
    </cfRule>
  </conditionalFormatting>
  <conditionalFormatting sqref="C33:D37">
    <cfRule type="expression" dxfId="3" priority="16">
      <formula>$D33="Excluded"</formula>
    </cfRule>
  </conditionalFormatting>
  <conditionalFormatting sqref="C32:D32">
    <cfRule type="expression" dxfId="3" priority="17">
      <formula>$D32="Excluded"</formula>
    </cfRule>
  </conditionalFormatting>
  <conditionalFormatting sqref="C23:D31">
    <cfRule type="expression" dxfId="3" priority="18">
      <formula>$D23="Excluded"</formula>
    </cfRule>
  </conditionalFormatting>
  <conditionalFormatting sqref="C22:D22">
    <cfRule type="expression" dxfId="3" priority="19">
      <formula>$D22="Excluded"</formula>
    </cfRule>
  </conditionalFormatting>
  <conditionalFormatting sqref="C20:D21">
    <cfRule type="expression" dxfId="3" priority="20">
      <formula>$D20="Excluded"</formula>
    </cfRule>
  </conditionalFormatting>
  <conditionalFormatting sqref="C18:D19">
    <cfRule type="expression" dxfId="3" priority="21">
      <formula>$D18="Excluded"</formula>
    </cfRule>
  </conditionalFormatting>
  <conditionalFormatting sqref="C16:D17">
    <cfRule type="expression" dxfId="3" priority="22">
      <formula>$D16="Excluded"</formula>
    </cfRule>
  </conditionalFormatting>
  <conditionalFormatting sqref="C15:D15">
    <cfRule type="expression" dxfId="3" priority="23">
      <formula>$D15="Excluded"</formula>
    </cfRule>
  </conditionalFormatting>
  <conditionalFormatting sqref="C9:D14">
    <cfRule type="expression" dxfId="3" priority="24">
      <formula>$D9="Excluded"</formula>
    </cfRule>
  </conditionalFormatting>
  <conditionalFormatting sqref="C2:C69 D2:D8 C100:C108">
    <cfRule type="expression" dxfId="3" priority="25">
      <formula>$D2="Excluded"</formula>
    </cfRule>
  </conditionalFormatting>
  <conditionalFormatting sqref="B2 C2:C69 D2 E2:E108 F2:H2 C100:C108">
    <cfRule type="expression" dxfId="3" priority="26">
      <formula>$F2="Excluded"</formula>
    </cfRule>
  </conditionalFormatting>
  <conditionalFormatting sqref="I2:U108">
    <cfRule type="cellIs" dxfId="4" priority="27" operator="equal">
      <formula>"✓"</formula>
    </cfRule>
  </conditionalFormatting>
  <conditionalFormatting sqref="I2:U108">
    <cfRule type="cellIs" dxfId="3" priority="28" operator="equal">
      <formula>"✗"</formula>
    </cfRule>
  </conditionalFormatting>
  <dataValidations>
    <dataValidation type="list" allowBlank="1" showErrorMessage="1" sqref="F2:F999">
      <formula1>"Included,Excluded"</formula1>
    </dataValidation>
    <dataValidation type="list" allowBlank="1" showErrorMessage="1" sqref="G2">
      <formula1>"patellar,hamstring,quadriceps,peroneus,Achilles,tibialis"</formula1>
    </dataValidation>
    <dataValidation type="list" allowBlank="1" showErrorMessage="1" sqref="H2">
      <formula1>"IKDC,Tegner,Lysholm,Instrumental laxity,Pivot shift,Lachman,Graft rupture"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10"/>
    <hyperlink r:id="rId9" ref="D11"/>
    <hyperlink r:id="rId10" ref="D12"/>
    <hyperlink r:id="rId11" ref="D13"/>
    <hyperlink r:id="rId12" ref="D14"/>
    <hyperlink r:id="rId13" ref="D15"/>
    <hyperlink r:id="rId14" ref="D17"/>
    <hyperlink r:id="rId15" ref="D19"/>
    <hyperlink r:id="rId16" ref="D20"/>
    <hyperlink r:id="rId17" ref="D23"/>
    <hyperlink r:id="rId18" ref="D24"/>
    <hyperlink r:id="rId19" ref="D26"/>
    <hyperlink r:id="rId20" ref="D27"/>
    <hyperlink r:id="rId21" ref="D29"/>
    <hyperlink r:id="rId22" ref="D31"/>
    <hyperlink r:id="rId23" ref="D32"/>
    <hyperlink r:id="rId24" ref="D33"/>
    <hyperlink r:id="rId25" ref="D34"/>
    <hyperlink r:id="rId26" ref="D35"/>
    <hyperlink r:id="rId27" ref="D36"/>
    <hyperlink r:id="rId28" ref="D37"/>
    <hyperlink r:id="rId29" ref="D38"/>
    <hyperlink r:id="rId30" ref="D39"/>
    <hyperlink r:id="rId31" ref="D42"/>
    <hyperlink r:id="rId32" ref="D44"/>
    <hyperlink r:id="rId33" ref="D45"/>
    <hyperlink r:id="rId34" ref="D46"/>
    <hyperlink r:id="rId35" ref="D47"/>
    <hyperlink r:id="rId36" ref="D48"/>
    <hyperlink r:id="rId37" ref="D50"/>
    <hyperlink r:id="rId38" ref="D51"/>
    <hyperlink r:id="rId39" ref="D52"/>
    <hyperlink r:id="rId40" ref="D53"/>
    <hyperlink r:id="rId41" ref="D54"/>
    <hyperlink r:id="rId42" ref="D55"/>
    <hyperlink r:id="rId43" ref="D56"/>
    <hyperlink r:id="rId44" ref="D57"/>
    <hyperlink r:id="rId45" ref="D58"/>
    <hyperlink r:id="rId46" ref="D59"/>
    <hyperlink r:id="rId47" ref="D63"/>
    <hyperlink r:id="rId48" ref="D67"/>
    <hyperlink r:id="rId49" ref="D68"/>
    <hyperlink r:id="rId50" ref="D69"/>
    <hyperlink r:id="rId51" ref="D71"/>
    <hyperlink r:id="rId52" ref="D73"/>
    <hyperlink r:id="rId53" ref="D74"/>
    <hyperlink r:id="rId54" ref="D77"/>
    <hyperlink r:id="rId55" ref="D78"/>
    <hyperlink r:id="rId56" ref="D83"/>
    <hyperlink r:id="rId57" ref="D85"/>
    <hyperlink r:id="rId58" ref="D86"/>
    <hyperlink r:id="rId59" ref="D87"/>
    <hyperlink r:id="rId60" ref="D88"/>
    <hyperlink r:id="rId61" ref="D90"/>
    <hyperlink r:id="rId62" ref="D91"/>
    <hyperlink r:id="rId63" ref="D93"/>
    <hyperlink r:id="rId64" ref="D94"/>
    <hyperlink r:id="rId65" ref="D95"/>
    <hyperlink r:id="rId66" ref="D96"/>
    <hyperlink r:id="rId67" ref="D97"/>
    <hyperlink r:id="rId68" ref="D99"/>
  </hyperlinks>
  <drawing r:id="rId6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2.88"/>
    <col customWidth="1" min="2" max="2" width="19.0"/>
    <col customWidth="1" min="4" max="4" width="58.5"/>
    <col customWidth="1" min="9" max="9" width="2.88"/>
    <col customWidth="1" min="10" max="10" width="19.0"/>
    <col customWidth="1" min="12" max="12" width="14.38"/>
  </cols>
  <sheetData>
    <row r="1">
      <c r="A1" s="3"/>
      <c r="B1" s="3"/>
      <c r="D1" s="3"/>
    </row>
    <row r="2">
      <c r="A2" s="3">
        <v>1.0</v>
      </c>
      <c r="B2" s="3" t="s">
        <v>1</v>
      </c>
      <c r="C2" s="7" t="s">
        <v>2</v>
      </c>
      <c r="D2" s="3" t="s">
        <v>4</v>
      </c>
      <c r="H2" s="7">
        <f t="array" ref="H2:H1001">if(I2:I1001&lt;&gt;"",row(A2:A1001)-1,"")</f>
        <v>1</v>
      </c>
      <c r="I2" s="7" t="str">
        <f>FUNCTION1(A2:A1001,D2:D1001)</f>
        <v>1</v>
      </c>
      <c r="J2" s="7" t="str">
        <f>FUNCTION1(B2:B1001,D2:D1001)</f>
        <v>Ageberg (2009)</v>
      </c>
      <c r="K2" s="7" t="str">
        <f>FUNCTION1(C2:C1001,D2:D1001)</f>
        <v>patellar</v>
      </c>
      <c r="L2" s="7" t="str">
        <f>IFERROR(__xludf.DUMMYFUNCTION("transpose(split(join("", "", D2:D1001),"", "", FALSE))"),"Tegner")</f>
        <v>Tegner</v>
      </c>
    </row>
    <row r="3">
      <c r="A3" s="3">
        <v>1.0</v>
      </c>
      <c r="B3" s="3" t="s">
        <v>1</v>
      </c>
      <c r="C3" s="7" t="s">
        <v>9</v>
      </c>
      <c r="D3" s="3" t="s">
        <v>4</v>
      </c>
      <c r="H3" s="7">
        <v>2.0</v>
      </c>
      <c r="I3" s="7" t="s">
        <v>23</v>
      </c>
      <c r="J3" s="7" t="s">
        <v>1</v>
      </c>
      <c r="K3" s="7" t="s">
        <v>9</v>
      </c>
      <c r="L3" s="7" t="str">
        <f>IFERROR(__xludf.DUMMYFUNCTION("""COMPUTED_VALUE"""),"Tegner")</f>
        <v>Tegner</v>
      </c>
    </row>
    <row r="4">
      <c r="A4" s="3">
        <v>2.0</v>
      </c>
      <c r="B4" s="3" t="s">
        <v>25</v>
      </c>
      <c r="C4" s="7" t="s">
        <v>2</v>
      </c>
      <c r="D4" s="18" t="s">
        <v>26</v>
      </c>
      <c r="H4" s="7">
        <v>3.0</v>
      </c>
      <c r="I4" s="7" t="s">
        <v>27</v>
      </c>
      <c r="J4" s="7" t="s">
        <v>25</v>
      </c>
      <c r="K4" s="7" t="s">
        <v>2</v>
      </c>
      <c r="L4" s="7" t="str">
        <f>IFERROR(__xludf.DUMMYFUNCTION("""COMPUTED_VALUE"""),"Lachman")</f>
        <v>Lachman</v>
      </c>
    </row>
    <row r="5">
      <c r="A5" s="3">
        <v>2.0</v>
      </c>
      <c r="B5" s="3" t="s">
        <v>25</v>
      </c>
      <c r="C5" s="7" t="s">
        <v>9</v>
      </c>
      <c r="D5" s="18" t="s">
        <v>26</v>
      </c>
      <c r="H5" s="7">
        <v>4.0</v>
      </c>
      <c r="I5" s="7" t="s">
        <v>27</v>
      </c>
      <c r="J5" s="7" t="s">
        <v>25</v>
      </c>
      <c r="K5" s="7" t="s">
        <v>2</v>
      </c>
      <c r="L5" s="7" t="str">
        <f>IFERROR(__xludf.DUMMYFUNCTION("""COMPUTED_VALUE"""),"Pivot shift")</f>
        <v>Pivot shift</v>
      </c>
    </row>
    <row r="6">
      <c r="A6" s="3">
        <v>3.0</v>
      </c>
      <c r="B6" s="3" t="s">
        <v>29</v>
      </c>
      <c r="C6" s="7" t="s">
        <v>2</v>
      </c>
      <c r="D6" s="18" t="s">
        <v>30</v>
      </c>
      <c r="H6" s="7">
        <v>5.0</v>
      </c>
      <c r="I6" s="7" t="s">
        <v>27</v>
      </c>
      <c r="J6" s="7" t="s">
        <v>25</v>
      </c>
      <c r="K6" s="7" t="s">
        <v>2</v>
      </c>
      <c r="L6" s="7" t="str">
        <f>IFERROR(__xludf.DUMMYFUNCTION("""COMPUTED_VALUE"""),"Instrumental laxity")</f>
        <v>Instrumental laxity</v>
      </c>
    </row>
    <row r="7">
      <c r="A7" s="3">
        <v>3.0</v>
      </c>
      <c r="B7" s="3" t="s">
        <v>29</v>
      </c>
      <c r="C7" s="7" t="s">
        <v>9</v>
      </c>
      <c r="D7" s="18" t="s">
        <v>30</v>
      </c>
      <c r="H7" s="7">
        <v>6.0</v>
      </c>
      <c r="I7" s="7" t="s">
        <v>27</v>
      </c>
      <c r="J7" s="7" t="s">
        <v>25</v>
      </c>
      <c r="K7" s="7" t="s">
        <v>9</v>
      </c>
      <c r="L7" s="7" t="str">
        <f>IFERROR(__xludf.DUMMYFUNCTION("""COMPUTED_VALUE"""),"Lachman")</f>
        <v>Lachman</v>
      </c>
    </row>
    <row r="8">
      <c r="A8" s="3">
        <v>4.0</v>
      </c>
      <c r="B8" s="3" t="s">
        <v>31</v>
      </c>
      <c r="C8" s="7" t="s">
        <v>2</v>
      </c>
      <c r="D8" s="18" t="s">
        <v>16</v>
      </c>
      <c r="H8" s="7">
        <v>7.0</v>
      </c>
      <c r="I8" s="7" t="s">
        <v>27</v>
      </c>
      <c r="J8" s="7" t="s">
        <v>25</v>
      </c>
      <c r="K8" s="7" t="s">
        <v>9</v>
      </c>
      <c r="L8" s="7" t="str">
        <f>IFERROR(__xludf.DUMMYFUNCTION("""COMPUTED_VALUE"""),"Pivot shift")</f>
        <v>Pivot shift</v>
      </c>
    </row>
    <row r="9">
      <c r="A9" s="3">
        <v>4.0</v>
      </c>
      <c r="B9" s="3" t="s">
        <v>31</v>
      </c>
      <c r="C9" s="7" t="s">
        <v>9</v>
      </c>
      <c r="D9" s="18" t="s">
        <v>16</v>
      </c>
      <c r="H9" s="7">
        <v>8.0</v>
      </c>
      <c r="I9" s="7" t="s">
        <v>27</v>
      </c>
      <c r="J9" s="7" t="s">
        <v>25</v>
      </c>
      <c r="K9" s="7" t="s">
        <v>9</v>
      </c>
      <c r="L9" s="7" t="str">
        <f>IFERROR(__xludf.DUMMYFUNCTION("""COMPUTED_VALUE"""),"Instrumental laxity")</f>
        <v>Instrumental laxity</v>
      </c>
    </row>
    <row r="10">
      <c r="A10" s="3">
        <v>5.0</v>
      </c>
      <c r="B10" s="3" t="s">
        <v>34</v>
      </c>
      <c r="C10" s="7" t="s">
        <v>2</v>
      </c>
      <c r="D10" s="18" t="s">
        <v>35</v>
      </c>
      <c r="H10" s="7">
        <v>9.0</v>
      </c>
      <c r="I10" s="7" t="s">
        <v>36</v>
      </c>
      <c r="J10" s="7" t="s">
        <v>29</v>
      </c>
      <c r="K10" s="7" t="s">
        <v>2</v>
      </c>
      <c r="L10" s="7" t="str">
        <f>IFERROR(__xludf.DUMMYFUNCTION("""COMPUTED_VALUE"""),"Tegner")</f>
        <v>Tegner</v>
      </c>
    </row>
    <row r="11">
      <c r="A11" s="3">
        <v>5.0</v>
      </c>
      <c r="B11" s="3" t="s">
        <v>34</v>
      </c>
      <c r="C11" s="7" t="s">
        <v>9</v>
      </c>
      <c r="D11" s="18" t="s">
        <v>35</v>
      </c>
      <c r="H11" s="7">
        <v>10.0</v>
      </c>
      <c r="I11" s="7" t="s">
        <v>36</v>
      </c>
      <c r="J11" s="7" t="s">
        <v>29</v>
      </c>
      <c r="K11" s="7" t="s">
        <v>2</v>
      </c>
      <c r="L11" s="7" t="str">
        <f>IFERROR(__xludf.DUMMYFUNCTION("""COMPUTED_VALUE"""),"Lysholm")</f>
        <v>Lysholm</v>
      </c>
    </row>
    <row r="12">
      <c r="A12" s="3">
        <v>6.0</v>
      </c>
      <c r="B12" s="3" t="s">
        <v>37</v>
      </c>
      <c r="C12" s="7" t="s">
        <v>2</v>
      </c>
      <c r="D12" s="18" t="s">
        <v>20</v>
      </c>
      <c r="H12" s="7">
        <v>11.0</v>
      </c>
      <c r="I12" s="7" t="s">
        <v>36</v>
      </c>
      <c r="J12" s="7" t="s">
        <v>29</v>
      </c>
      <c r="K12" s="7" t="s">
        <v>2</v>
      </c>
      <c r="L12" s="7" t="str">
        <f>IFERROR(__xludf.DUMMYFUNCTION("""COMPUTED_VALUE"""),"Lachman")</f>
        <v>Lachman</v>
      </c>
    </row>
    <row r="13">
      <c r="A13" s="3">
        <v>6.0</v>
      </c>
      <c r="B13" s="3" t="s">
        <v>37</v>
      </c>
      <c r="C13" s="7" t="s">
        <v>9</v>
      </c>
      <c r="D13" s="18" t="s">
        <v>20</v>
      </c>
      <c r="H13" s="7">
        <v>12.0</v>
      </c>
      <c r="I13" s="7" t="s">
        <v>36</v>
      </c>
      <c r="J13" s="7" t="s">
        <v>29</v>
      </c>
      <c r="K13" s="7" t="s">
        <v>2</v>
      </c>
      <c r="L13" s="7" t="str">
        <f>IFERROR(__xludf.DUMMYFUNCTION("""COMPUTED_VALUE"""),"Instrumental laxity")</f>
        <v>Instrumental laxity</v>
      </c>
    </row>
    <row r="14">
      <c r="A14" s="3">
        <v>7.0</v>
      </c>
      <c r="B14" s="3" t="s">
        <v>39</v>
      </c>
      <c r="C14" s="7" t="s">
        <v>2</v>
      </c>
      <c r="D14" s="18" t="s">
        <v>16</v>
      </c>
      <c r="H14" s="7">
        <v>13.0</v>
      </c>
      <c r="I14" s="7" t="s">
        <v>36</v>
      </c>
      <c r="J14" s="7" t="s">
        <v>29</v>
      </c>
      <c r="K14" s="7" t="s">
        <v>9</v>
      </c>
      <c r="L14" s="7" t="str">
        <f>IFERROR(__xludf.DUMMYFUNCTION("""COMPUTED_VALUE"""),"Tegner")</f>
        <v>Tegner</v>
      </c>
    </row>
    <row r="15">
      <c r="A15" s="3">
        <v>7.0</v>
      </c>
      <c r="B15" s="3" t="s">
        <v>39</v>
      </c>
      <c r="C15" s="7" t="s">
        <v>9</v>
      </c>
      <c r="D15" s="18" t="s">
        <v>16</v>
      </c>
      <c r="H15" s="7">
        <v>14.0</v>
      </c>
      <c r="I15" s="7" t="s">
        <v>36</v>
      </c>
      <c r="J15" s="7" t="s">
        <v>29</v>
      </c>
      <c r="K15" s="7" t="s">
        <v>9</v>
      </c>
      <c r="L15" s="7" t="str">
        <f>IFERROR(__xludf.DUMMYFUNCTION("""COMPUTED_VALUE"""),"Lysholm")</f>
        <v>Lysholm</v>
      </c>
    </row>
    <row r="16">
      <c r="A16" s="3">
        <v>8.0</v>
      </c>
      <c r="B16" s="3" t="s">
        <v>40</v>
      </c>
      <c r="C16" s="7" t="s">
        <v>2</v>
      </c>
      <c r="D16" s="18" t="s">
        <v>41</v>
      </c>
      <c r="H16" s="7">
        <v>15.0</v>
      </c>
      <c r="I16" s="7" t="s">
        <v>36</v>
      </c>
      <c r="J16" s="7" t="s">
        <v>29</v>
      </c>
      <c r="K16" s="7" t="s">
        <v>9</v>
      </c>
      <c r="L16" s="7" t="str">
        <f>IFERROR(__xludf.DUMMYFUNCTION("""COMPUTED_VALUE"""),"Lachman")</f>
        <v>Lachman</v>
      </c>
    </row>
    <row r="17">
      <c r="A17" s="3">
        <v>8.0</v>
      </c>
      <c r="B17" s="3" t="s">
        <v>40</v>
      </c>
      <c r="C17" s="7" t="s">
        <v>9</v>
      </c>
      <c r="D17" s="18" t="s">
        <v>41</v>
      </c>
      <c r="H17" s="7">
        <v>16.0</v>
      </c>
      <c r="I17" s="7" t="s">
        <v>36</v>
      </c>
      <c r="J17" s="7" t="s">
        <v>29</v>
      </c>
      <c r="K17" s="7" t="s">
        <v>9</v>
      </c>
      <c r="L17" s="7" t="str">
        <f>IFERROR(__xludf.DUMMYFUNCTION("""COMPUTED_VALUE"""),"Instrumental laxity")</f>
        <v>Instrumental laxity</v>
      </c>
    </row>
    <row r="18">
      <c r="A18" s="3">
        <v>9.0</v>
      </c>
      <c r="B18" s="3" t="s">
        <v>42</v>
      </c>
      <c r="C18" s="7" t="s">
        <v>2</v>
      </c>
      <c r="D18" s="18" t="s">
        <v>43</v>
      </c>
      <c r="H18" s="7">
        <v>17.0</v>
      </c>
      <c r="I18" s="7" t="s">
        <v>44</v>
      </c>
      <c r="J18" s="7" t="s">
        <v>31</v>
      </c>
      <c r="K18" s="7" t="s">
        <v>2</v>
      </c>
      <c r="L18" s="7" t="str">
        <f>IFERROR(__xludf.DUMMYFUNCTION("""COMPUTED_VALUE"""),"Instrumental laxity")</f>
        <v>Instrumental laxity</v>
      </c>
    </row>
    <row r="19">
      <c r="A19" s="3">
        <v>9.0</v>
      </c>
      <c r="B19" s="3" t="s">
        <v>42</v>
      </c>
      <c r="C19" s="7" t="s">
        <v>10</v>
      </c>
      <c r="D19" s="18" t="s">
        <v>43</v>
      </c>
      <c r="H19" s="7">
        <v>18.0</v>
      </c>
      <c r="I19" s="7" t="s">
        <v>44</v>
      </c>
      <c r="J19" s="7" t="s">
        <v>31</v>
      </c>
      <c r="K19" s="7" t="s">
        <v>9</v>
      </c>
      <c r="L19" s="7" t="str">
        <f>IFERROR(__xludf.DUMMYFUNCTION("""COMPUTED_VALUE"""),"Instrumental laxity")</f>
        <v>Instrumental laxity</v>
      </c>
    </row>
    <row r="20">
      <c r="A20" s="3">
        <v>10.0</v>
      </c>
      <c r="B20" s="3" t="s">
        <v>47</v>
      </c>
      <c r="C20" s="7" t="s">
        <v>2</v>
      </c>
      <c r="D20" s="18" t="s">
        <v>48</v>
      </c>
      <c r="H20" s="7">
        <v>19.0</v>
      </c>
      <c r="I20" s="7" t="s">
        <v>49</v>
      </c>
      <c r="J20" s="7" t="s">
        <v>34</v>
      </c>
      <c r="K20" s="7" t="s">
        <v>2</v>
      </c>
      <c r="L20" s="7" t="str">
        <f>IFERROR(__xludf.DUMMYFUNCTION("""COMPUTED_VALUE"""),"IKDC")</f>
        <v>IKDC</v>
      </c>
    </row>
    <row r="21">
      <c r="A21" s="3">
        <v>10.0</v>
      </c>
      <c r="B21" s="3" t="s">
        <v>47</v>
      </c>
      <c r="C21" s="7" t="s">
        <v>9</v>
      </c>
      <c r="D21" s="18" t="s">
        <v>48</v>
      </c>
      <c r="H21" s="7">
        <v>20.0</v>
      </c>
      <c r="I21" s="7" t="s">
        <v>49</v>
      </c>
      <c r="J21" s="7" t="s">
        <v>34</v>
      </c>
      <c r="K21" s="7" t="s">
        <v>2</v>
      </c>
      <c r="L21" s="7" t="str">
        <f>IFERROR(__xludf.DUMMYFUNCTION("""COMPUTED_VALUE"""),"Instrumental laxity")</f>
        <v>Instrumental laxity</v>
      </c>
    </row>
    <row r="22">
      <c r="A22" s="3">
        <v>11.0</v>
      </c>
      <c r="B22" s="3" t="s">
        <v>51</v>
      </c>
      <c r="C22" s="7" t="s">
        <v>9</v>
      </c>
      <c r="D22" s="18" t="s">
        <v>53</v>
      </c>
      <c r="H22" s="7">
        <v>21.0</v>
      </c>
      <c r="I22" s="7" t="s">
        <v>49</v>
      </c>
      <c r="J22" s="7" t="s">
        <v>34</v>
      </c>
      <c r="K22" s="7" t="s">
        <v>2</v>
      </c>
      <c r="L22" s="7" t="str">
        <f>IFERROR(__xludf.DUMMYFUNCTION("""COMPUTED_VALUE"""),"Pivot shift")</f>
        <v>Pivot shift</v>
      </c>
    </row>
    <row r="23">
      <c r="A23" s="3">
        <v>11.0</v>
      </c>
      <c r="B23" s="3" t="s">
        <v>51</v>
      </c>
      <c r="C23" s="7" t="s">
        <v>11</v>
      </c>
      <c r="D23" s="18" t="s">
        <v>53</v>
      </c>
      <c r="H23" s="7">
        <v>22.0</v>
      </c>
      <c r="I23" s="7" t="s">
        <v>49</v>
      </c>
      <c r="J23" s="7" t="s">
        <v>34</v>
      </c>
      <c r="K23" s="7" t="s">
        <v>9</v>
      </c>
      <c r="L23" s="7" t="str">
        <f>IFERROR(__xludf.DUMMYFUNCTION("""COMPUTED_VALUE"""),"IKDC")</f>
        <v>IKDC</v>
      </c>
    </row>
    <row r="24">
      <c r="A24" s="3">
        <v>12.0</v>
      </c>
      <c r="B24" s="3" t="s">
        <v>57</v>
      </c>
      <c r="C24" s="7" t="s">
        <v>2</v>
      </c>
      <c r="D24" s="18" t="s">
        <v>58</v>
      </c>
      <c r="H24" s="7">
        <v>23.0</v>
      </c>
      <c r="I24" s="7" t="s">
        <v>49</v>
      </c>
      <c r="J24" s="7" t="s">
        <v>34</v>
      </c>
      <c r="K24" s="7" t="s">
        <v>9</v>
      </c>
      <c r="L24" s="7" t="str">
        <f>IFERROR(__xludf.DUMMYFUNCTION("""COMPUTED_VALUE"""),"Instrumental laxity")</f>
        <v>Instrumental laxity</v>
      </c>
    </row>
    <row r="25">
      <c r="A25" s="3">
        <v>12.0</v>
      </c>
      <c r="B25" s="3" t="s">
        <v>57</v>
      </c>
      <c r="C25" s="7" t="s">
        <v>9</v>
      </c>
      <c r="D25" s="18" t="s">
        <v>58</v>
      </c>
      <c r="H25" s="7">
        <v>24.0</v>
      </c>
      <c r="I25" s="7" t="s">
        <v>49</v>
      </c>
      <c r="J25" s="7" t="s">
        <v>34</v>
      </c>
      <c r="K25" s="7" t="s">
        <v>9</v>
      </c>
      <c r="L25" s="7" t="str">
        <f>IFERROR(__xludf.DUMMYFUNCTION("""COMPUTED_VALUE"""),"Pivot shift")</f>
        <v>Pivot shift</v>
      </c>
    </row>
    <row r="26">
      <c r="A26" s="3">
        <v>13.0</v>
      </c>
      <c r="B26" s="3" t="s">
        <v>64</v>
      </c>
      <c r="C26" s="7" t="s">
        <v>9</v>
      </c>
      <c r="D26" s="18" t="s">
        <v>65</v>
      </c>
      <c r="H26" s="7">
        <v>25.0</v>
      </c>
      <c r="I26" s="7" t="s">
        <v>67</v>
      </c>
      <c r="J26" s="7" t="s">
        <v>37</v>
      </c>
      <c r="K26" s="7" t="s">
        <v>2</v>
      </c>
      <c r="L26" s="7" t="str">
        <f>IFERROR(__xludf.DUMMYFUNCTION("""COMPUTED_VALUE"""),"Graft rupture")</f>
        <v>Graft rupture</v>
      </c>
    </row>
    <row r="27">
      <c r="A27" s="3">
        <v>13.0</v>
      </c>
      <c r="B27" s="3" t="s">
        <v>64</v>
      </c>
      <c r="C27" s="7" t="s">
        <v>13</v>
      </c>
      <c r="D27" s="18" t="s">
        <v>65</v>
      </c>
      <c r="H27" s="7">
        <v>26.0</v>
      </c>
      <c r="I27" s="7" t="s">
        <v>67</v>
      </c>
      <c r="J27" s="7" t="s">
        <v>37</v>
      </c>
      <c r="K27" s="7" t="s">
        <v>9</v>
      </c>
      <c r="L27" s="7" t="str">
        <f>IFERROR(__xludf.DUMMYFUNCTION("""COMPUTED_VALUE"""),"Graft rupture")</f>
        <v>Graft rupture</v>
      </c>
    </row>
    <row r="28">
      <c r="A28" s="3">
        <v>14.0</v>
      </c>
      <c r="B28" s="3" t="s">
        <v>70</v>
      </c>
      <c r="C28" s="7" t="s">
        <v>2</v>
      </c>
      <c r="D28" s="18" t="s">
        <v>16</v>
      </c>
      <c r="H28" s="7">
        <v>27.0</v>
      </c>
      <c r="I28" s="7" t="s">
        <v>71</v>
      </c>
      <c r="J28" s="7" t="s">
        <v>39</v>
      </c>
      <c r="K28" s="7" t="s">
        <v>2</v>
      </c>
      <c r="L28" s="7" t="str">
        <f>IFERROR(__xludf.DUMMYFUNCTION("""COMPUTED_VALUE"""),"Instrumental laxity")</f>
        <v>Instrumental laxity</v>
      </c>
    </row>
    <row r="29">
      <c r="A29" s="3">
        <v>14.0</v>
      </c>
      <c r="B29" s="3" t="s">
        <v>70</v>
      </c>
      <c r="C29" s="7" t="s">
        <v>9</v>
      </c>
      <c r="D29" s="18" t="s">
        <v>16</v>
      </c>
      <c r="H29" s="7">
        <v>28.0</v>
      </c>
      <c r="I29" s="7" t="s">
        <v>71</v>
      </c>
      <c r="J29" s="7" t="s">
        <v>39</v>
      </c>
      <c r="K29" s="7" t="s">
        <v>9</v>
      </c>
      <c r="L29" s="7" t="str">
        <f>IFERROR(__xludf.DUMMYFUNCTION("""COMPUTED_VALUE"""),"Instrumental laxity")</f>
        <v>Instrumental laxity</v>
      </c>
    </row>
    <row r="30">
      <c r="A30" s="3">
        <v>15.0</v>
      </c>
      <c r="B30" s="3" t="s">
        <v>72</v>
      </c>
      <c r="C30" s="7" t="s">
        <v>9</v>
      </c>
      <c r="D30" s="18" t="s">
        <v>73</v>
      </c>
      <c r="H30" s="7">
        <v>29.0</v>
      </c>
      <c r="I30" s="7" t="s">
        <v>74</v>
      </c>
      <c r="J30" s="7" t="s">
        <v>40</v>
      </c>
      <c r="K30" s="7" t="s">
        <v>2</v>
      </c>
      <c r="L30" s="7" t="str">
        <f>IFERROR(__xludf.DUMMYFUNCTION("""COMPUTED_VALUE"""),"IKDC")</f>
        <v>IKDC</v>
      </c>
    </row>
    <row r="31">
      <c r="A31" s="3">
        <v>15.0</v>
      </c>
      <c r="B31" s="3" t="s">
        <v>72</v>
      </c>
      <c r="C31" s="7" t="s">
        <v>11</v>
      </c>
      <c r="D31" s="18" t="s">
        <v>73</v>
      </c>
      <c r="H31" s="7">
        <v>30.0</v>
      </c>
      <c r="I31" s="7" t="s">
        <v>74</v>
      </c>
      <c r="J31" s="7" t="s">
        <v>40</v>
      </c>
      <c r="K31" s="7" t="s">
        <v>2</v>
      </c>
      <c r="L31" s="7" t="str">
        <f>IFERROR(__xludf.DUMMYFUNCTION("""COMPUTED_VALUE"""),"Lysholm")</f>
        <v>Lysholm</v>
      </c>
    </row>
    <row r="32">
      <c r="A32" s="3">
        <v>16.0</v>
      </c>
      <c r="B32" s="3" t="s">
        <v>75</v>
      </c>
      <c r="C32" s="7" t="s">
        <v>9</v>
      </c>
      <c r="D32" s="18" t="s">
        <v>76</v>
      </c>
      <c r="H32" s="7">
        <v>31.0</v>
      </c>
      <c r="I32" s="7" t="s">
        <v>74</v>
      </c>
      <c r="J32" s="7" t="s">
        <v>40</v>
      </c>
      <c r="K32" s="7" t="s">
        <v>2</v>
      </c>
      <c r="L32" s="7" t="str">
        <f>IFERROR(__xludf.DUMMYFUNCTION("""COMPUTED_VALUE"""),"Lachman")</f>
        <v>Lachman</v>
      </c>
    </row>
    <row r="33">
      <c r="A33" s="3">
        <v>16.0</v>
      </c>
      <c r="B33" s="3" t="s">
        <v>75</v>
      </c>
      <c r="C33" s="7" t="s">
        <v>10</v>
      </c>
      <c r="D33" s="18" t="s">
        <v>76</v>
      </c>
      <c r="H33" s="7">
        <v>32.0</v>
      </c>
      <c r="I33" s="7" t="s">
        <v>74</v>
      </c>
      <c r="J33" s="7" t="s">
        <v>40</v>
      </c>
      <c r="K33" s="7" t="s">
        <v>2</v>
      </c>
      <c r="L33" s="7" t="str">
        <f>IFERROR(__xludf.DUMMYFUNCTION("""COMPUTED_VALUE"""),"Pivot shift")</f>
        <v>Pivot shift</v>
      </c>
    </row>
    <row r="34">
      <c r="A34" s="3">
        <v>17.0</v>
      </c>
      <c r="B34" s="3" t="s">
        <v>79</v>
      </c>
      <c r="C34" s="7" t="s">
        <v>9</v>
      </c>
      <c r="D34" s="18" t="s">
        <v>20</v>
      </c>
      <c r="H34" s="7">
        <v>33.0</v>
      </c>
      <c r="I34" s="7" t="s">
        <v>74</v>
      </c>
      <c r="J34" s="7" t="s">
        <v>40</v>
      </c>
      <c r="K34" s="7" t="s">
        <v>2</v>
      </c>
      <c r="L34" s="7" t="str">
        <f>IFERROR(__xludf.DUMMYFUNCTION("""COMPUTED_VALUE"""),"Instrumental laxity")</f>
        <v>Instrumental laxity</v>
      </c>
    </row>
    <row r="35">
      <c r="A35" s="3">
        <v>17.0</v>
      </c>
      <c r="B35" s="3" t="s">
        <v>79</v>
      </c>
      <c r="C35" s="7" t="s">
        <v>13</v>
      </c>
      <c r="D35" s="18" t="s">
        <v>20</v>
      </c>
      <c r="H35" s="7">
        <v>34.0</v>
      </c>
      <c r="I35" s="7" t="s">
        <v>74</v>
      </c>
      <c r="J35" s="7" t="s">
        <v>40</v>
      </c>
      <c r="K35" s="7" t="s">
        <v>9</v>
      </c>
      <c r="L35" s="7" t="str">
        <f>IFERROR(__xludf.DUMMYFUNCTION("""COMPUTED_VALUE"""),"IKDC")</f>
        <v>IKDC</v>
      </c>
    </row>
    <row r="36">
      <c r="A36" s="3">
        <v>18.0</v>
      </c>
      <c r="B36" s="3" t="s">
        <v>81</v>
      </c>
      <c r="C36" s="7" t="s">
        <v>2</v>
      </c>
      <c r="D36" s="18" t="s">
        <v>82</v>
      </c>
      <c r="H36" s="7">
        <v>35.0</v>
      </c>
      <c r="I36" s="7" t="s">
        <v>74</v>
      </c>
      <c r="J36" s="7" t="s">
        <v>40</v>
      </c>
      <c r="K36" s="7" t="s">
        <v>9</v>
      </c>
      <c r="L36" s="7" t="str">
        <f>IFERROR(__xludf.DUMMYFUNCTION("""COMPUTED_VALUE"""),"Lysholm")</f>
        <v>Lysholm</v>
      </c>
    </row>
    <row r="37">
      <c r="A37" s="3">
        <v>18.0</v>
      </c>
      <c r="B37" s="3" t="s">
        <v>81</v>
      </c>
      <c r="C37" s="7" t="s">
        <v>9</v>
      </c>
      <c r="D37" s="18" t="s">
        <v>82</v>
      </c>
      <c r="H37" s="7">
        <v>36.0</v>
      </c>
      <c r="I37" s="7" t="s">
        <v>74</v>
      </c>
      <c r="J37" s="7" t="s">
        <v>40</v>
      </c>
      <c r="K37" s="7" t="s">
        <v>9</v>
      </c>
      <c r="L37" s="7" t="str">
        <f>IFERROR(__xludf.DUMMYFUNCTION("""COMPUTED_VALUE"""),"Lachman")</f>
        <v>Lachman</v>
      </c>
    </row>
    <row r="38">
      <c r="A38" s="3">
        <v>19.0</v>
      </c>
      <c r="B38" s="3" t="s">
        <v>84</v>
      </c>
      <c r="C38" s="7" t="s">
        <v>2</v>
      </c>
      <c r="D38" s="18" t="s">
        <v>85</v>
      </c>
      <c r="H38" s="7">
        <v>37.0</v>
      </c>
      <c r="I38" s="7" t="s">
        <v>74</v>
      </c>
      <c r="J38" s="7" t="s">
        <v>40</v>
      </c>
      <c r="K38" s="7" t="s">
        <v>9</v>
      </c>
      <c r="L38" s="7" t="str">
        <f>IFERROR(__xludf.DUMMYFUNCTION("""COMPUTED_VALUE"""),"Pivot shift")</f>
        <v>Pivot shift</v>
      </c>
    </row>
    <row r="39">
      <c r="A39" s="3">
        <v>19.0</v>
      </c>
      <c r="B39" s="3" t="s">
        <v>84</v>
      </c>
      <c r="C39" s="7" t="s">
        <v>9</v>
      </c>
      <c r="D39" s="18" t="s">
        <v>85</v>
      </c>
      <c r="H39" s="7">
        <v>38.0</v>
      </c>
      <c r="I39" s="7" t="s">
        <v>74</v>
      </c>
      <c r="J39" s="7" t="s">
        <v>40</v>
      </c>
      <c r="K39" s="7" t="s">
        <v>9</v>
      </c>
      <c r="L39" s="7" t="str">
        <f>IFERROR(__xludf.DUMMYFUNCTION("""COMPUTED_VALUE"""),"Instrumental laxity")</f>
        <v>Instrumental laxity</v>
      </c>
    </row>
    <row r="40">
      <c r="A40" s="3">
        <v>20.0</v>
      </c>
      <c r="B40" s="3" t="s">
        <v>86</v>
      </c>
      <c r="C40" s="7" t="s">
        <v>2</v>
      </c>
      <c r="D40" s="18" t="s">
        <v>87</v>
      </c>
      <c r="H40" s="7">
        <v>39.0</v>
      </c>
      <c r="I40" s="7" t="s">
        <v>88</v>
      </c>
      <c r="J40" s="7" t="s">
        <v>42</v>
      </c>
      <c r="K40" s="7" t="s">
        <v>2</v>
      </c>
      <c r="L40" s="7" t="str">
        <f>IFERROR(__xludf.DUMMYFUNCTION("""COMPUTED_VALUE"""),"IKDC")</f>
        <v>IKDC</v>
      </c>
    </row>
    <row r="41">
      <c r="A41" s="3">
        <v>20.0</v>
      </c>
      <c r="B41" s="3" t="s">
        <v>86</v>
      </c>
      <c r="C41" s="7" t="s">
        <v>9</v>
      </c>
      <c r="D41" s="18" t="s">
        <v>87</v>
      </c>
      <c r="H41" s="7">
        <v>40.0</v>
      </c>
      <c r="I41" s="7" t="s">
        <v>88</v>
      </c>
      <c r="J41" s="7" t="s">
        <v>42</v>
      </c>
      <c r="K41" s="7" t="s">
        <v>2</v>
      </c>
      <c r="L41" s="7" t="str">
        <f>IFERROR(__xludf.DUMMYFUNCTION("""COMPUTED_VALUE"""),"Lysholm")</f>
        <v>Lysholm</v>
      </c>
    </row>
    <row r="42">
      <c r="A42" s="3">
        <v>21.0</v>
      </c>
      <c r="B42" s="3" t="s">
        <v>90</v>
      </c>
      <c r="C42" s="7" t="s">
        <v>2</v>
      </c>
      <c r="D42" s="18" t="s">
        <v>16</v>
      </c>
      <c r="H42" s="7">
        <v>41.0</v>
      </c>
      <c r="I42" s="7" t="s">
        <v>88</v>
      </c>
      <c r="J42" s="7" t="s">
        <v>42</v>
      </c>
      <c r="K42" s="7" t="s">
        <v>2</v>
      </c>
      <c r="L42" s="7" t="str">
        <f>IFERROR(__xludf.DUMMYFUNCTION("""COMPUTED_VALUE"""),"Tegner")</f>
        <v>Tegner</v>
      </c>
    </row>
    <row r="43">
      <c r="A43" s="3">
        <v>21.0</v>
      </c>
      <c r="B43" s="3" t="s">
        <v>90</v>
      </c>
      <c r="C43" s="7" t="s">
        <v>9</v>
      </c>
      <c r="D43" s="18" t="s">
        <v>16</v>
      </c>
      <c r="H43" s="7">
        <v>42.0</v>
      </c>
      <c r="I43" s="7" t="s">
        <v>88</v>
      </c>
      <c r="J43" s="7" t="s">
        <v>42</v>
      </c>
      <c r="K43" s="7" t="s">
        <v>2</v>
      </c>
      <c r="L43" s="7" t="str">
        <f>IFERROR(__xludf.DUMMYFUNCTION("""COMPUTED_VALUE"""),"Instrumental laxity")</f>
        <v>Instrumental laxity</v>
      </c>
    </row>
    <row r="44">
      <c r="A44" s="3">
        <v>22.0</v>
      </c>
      <c r="B44" s="3" t="s">
        <v>91</v>
      </c>
      <c r="C44" s="7" t="s">
        <v>2</v>
      </c>
      <c r="D44" s="18" t="s">
        <v>82</v>
      </c>
      <c r="H44" s="7">
        <v>43.0</v>
      </c>
      <c r="I44" s="7" t="s">
        <v>88</v>
      </c>
      <c r="J44" s="7" t="s">
        <v>42</v>
      </c>
      <c r="K44" s="7" t="s">
        <v>2</v>
      </c>
      <c r="L44" s="7" t="str">
        <f>IFERROR(__xludf.DUMMYFUNCTION("""COMPUTED_VALUE"""),"Graft rupture")</f>
        <v>Graft rupture</v>
      </c>
    </row>
    <row r="45">
      <c r="A45" s="3">
        <v>22.0</v>
      </c>
      <c r="B45" s="3" t="s">
        <v>91</v>
      </c>
      <c r="C45" s="7" t="s">
        <v>9</v>
      </c>
      <c r="D45" s="18" t="s">
        <v>82</v>
      </c>
      <c r="H45" s="7">
        <v>44.0</v>
      </c>
      <c r="I45" s="7" t="s">
        <v>88</v>
      </c>
      <c r="J45" s="7" t="s">
        <v>42</v>
      </c>
      <c r="K45" s="7" t="s">
        <v>10</v>
      </c>
      <c r="L45" s="7" t="str">
        <f>IFERROR(__xludf.DUMMYFUNCTION("""COMPUTED_VALUE"""),"IKDC")</f>
        <v>IKDC</v>
      </c>
    </row>
    <row r="46">
      <c r="A46" s="3">
        <v>23.0</v>
      </c>
      <c r="B46" s="3" t="s">
        <v>93</v>
      </c>
      <c r="C46" s="7" t="s">
        <v>2</v>
      </c>
      <c r="D46" s="18" t="s">
        <v>94</v>
      </c>
      <c r="H46" s="7">
        <v>45.0</v>
      </c>
      <c r="I46" s="7" t="s">
        <v>88</v>
      </c>
      <c r="J46" s="7" t="s">
        <v>42</v>
      </c>
      <c r="K46" s="7" t="s">
        <v>10</v>
      </c>
      <c r="L46" s="7" t="str">
        <f>IFERROR(__xludf.DUMMYFUNCTION("""COMPUTED_VALUE"""),"Lysholm")</f>
        <v>Lysholm</v>
      </c>
    </row>
    <row r="47">
      <c r="A47" s="3">
        <v>23.0</v>
      </c>
      <c r="B47" s="3" t="s">
        <v>93</v>
      </c>
      <c r="C47" s="7" t="s">
        <v>9</v>
      </c>
      <c r="D47" s="18" t="s">
        <v>94</v>
      </c>
      <c r="H47" s="7">
        <v>46.0</v>
      </c>
      <c r="I47" s="7" t="s">
        <v>88</v>
      </c>
      <c r="J47" s="7" t="s">
        <v>42</v>
      </c>
      <c r="K47" s="7" t="s">
        <v>10</v>
      </c>
      <c r="L47" s="7" t="str">
        <f>IFERROR(__xludf.DUMMYFUNCTION("""COMPUTED_VALUE"""),"Tegner")</f>
        <v>Tegner</v>
      </c>
    </row>
    <row r="48">
      <c r="A48" s="3">
        <v>24.0</v>
      </c>
      <c r="B48" s="3" t="s">
        <v>97</v>
      </c>
      <c r="C48" s="7" t="s">
        <v>2</v>
      </c>
      <c r="D48" s="18" t="s">
        <v>98</v>
      </c>
      <c r="H48" s="7">
        <v>47.0</v>
      </c>
      <c r="I48" s="7" t="s">
        <v>88</v>
      </c>
      <c r="J48" s="7" t="s">
        <v>42</v>
      </c>
      <c r="K48" s="7" t="s">
        <v>10</v>
      </c>
      <c r="L48" s="7" t="str">
        <f>IFERROR(__xludf.DUMMYFUNCTION("""COMPUTED_VALUE"""),"Instrumental laxity")</f>
        <v>Instrumental laxity</v>
      </c>
    </row>
    <row r="49">
      <c r="A49" s="3">
        <v>24.0</v>
      </c>
      <c r="B49" s="3" t="s">
        <v>97</v>
      </c>
      <c r="C49" s="7" t="s">
        <v>9</v>
      </c>
      <c r="D49" s="18" t="s">
        <v>98</v>
      </c>
      <c r="H49" s="7">
        <v>48.0</v>
      </c>
      <c r="I49" s="7" t="s">
        <v>88</v>
      </c>
      <c r="J49" s="7" t="s">
        <v>42</v>
      </c>
      <c r="K49" s="7" t="s">
        <v>10</v>
      </c>
      <c r="L49" s="7" t="str">
        <f>IFERROR(__xludf.DUMMYFUNCTION("""COMPUTED_VALUE"""),"Graft rupture")</f>
        <v>Graft rupture</v>
      </c>
    </row>
    <row r="50">
      <c r="A50" s="3">
        <v>25.0</v>
      </c>
      <c r="B50" s="3" t="s">
        <v>99</v>
      </c>
      <c r="C50" s="7" t="s">
        <v>2</v>
      </c>
      <c r="D50" s="18" t="s">
        <v>100</v>
      </c>
      <c r="H50" s="7">
        <v>49.0</v>
      </c>
      <c r="I50" s="7" t="s">
        <v>101</v>
      </c>
      <c r="J50" s="7" t="s">
        <v>47</v>
      </c>
      <c r="K50" s="7" t="s">
        <v>2</v>
      </c>
      <c r="L50" s="7" t="str">
        <f>IFERROR(__xludf.DUMMYFUNCTION("""COMPUTED_VALUE"""),"IKDC")</f>
        <v>IKDC</v>
      </c>
    </row>
    <row r="51">
      <c r="A51" s="3">
        <v>25.0</v>
      </c>
      <c r="B51" s="3" t="s">
        <v>99</v>
      </c>
      <c r="C51" s="7" t="s">
        <v>9</v>
      </c>
      <c r="D51" s="18" t="s">
        <v>100</v>
      </c>
      <c r="H51" s="7">
        <v>50.0</v>
      </c>
      <c r="I51" s="7" t="s">
        <v>101</v>
      </c>
      <c r="J51" s="7" t="s">
        <v>47</v>
      </c>
      <c r="K51" s="7" t="s">
        <v>2</v>
      </c>
      <c r="L51" s="7" t="str">
        <f>IFERROR(__xludf.DUMMYFUNCTION("""COMPUTED_VALUE"""),"Tegner")</f>
        <v>Tegner</v>
      </c>
    </row>
    <row r="52">
      <c r="A52" s="3">
        <v>26.0</v>
      </c>
      <c r="B52" s="3" t="s">
        <v>103</v>
      </c>
      <c r="C52" s="7" t="s">
        <v>2</v>
      </c>
      <c r="D52" s="18" t="s">
        <v>104</v>
      </c>
      <c r="H52" s="7">
        <v>51.0</v>
      </c>
      <c r="I52" s="7" t="s">
        <v>101</v>
      </c>
      <c r="J52" s="7" t="s">
        <v>47</v>
      </c>
      <c r="K52" s="7" t="s">
        <v>2</v>
      </c>
      <c r="L52" s="7" t="str">
        <f>IFERROR(__xludf.DUMMYFUNCTION("""COMPUTED_VALUE"""),"Instrumental laxity")</f>
        <v>Instrumental laxity</v>
      </c>
    </row>
    <row r="53">
      <c r="A53" s="3">
        <v>26.0</v>
      </c>
      <c r="B53" s="3" t="s">
        <v>103</v>
      </c>
      <c r="C53" s="7" t="s">
        <v>9</v>
      </c>
      <c r="D53" s="18" t="s">
        <v>104</v>
      </c>
      <c r="H53" s="7">
        <v>52.0</v>
      </c>
      <c r="I53" s="7" t="s">
        <v>101</v>
      </c>
      <c r="J53" s="7" t="s">
        <v>47</v>
      </c>
      <c r="K53" s="7" t="s">
        <v>2</v>
      </c>
      <c r="L53" s="7" t="str">
        <f>IFERROR(__xludf.DUMMYFUNCTION("""COMPUTED_VALUE"""),"Pivot shift")</f>
        <v>Pivot shift</v>
      </c>
    </row>
    <row r="54">
      <c r="A54" s="3">
        <v>27.0</v>
      </c>
      <c r="B54" s="3" t="s">
        <v>105</v>
      </c>
      <c r="C54" s="7" t="s">
        <v>2</v>
      </c>
      <c r="D54" s="18" t="s">
        <v>106</v>
      </c>
      <c r="H54" s="7">
        <v>53.0</v>
      </c>
      <c r="I54" s="7" t="s">
        <v>101</v>
      </c>
      <c r="J54" s="7" t="s">
        <v>47</v>
      </c>
      <c r="K54" s="7" t="s">
        <v>2</v>
      </c>
      <c r="L54" s="7" t="str">
        <f>IFERROR(__xludf.DUMMYFUNCTION("""COMPUTED_VALUE"""),"Lachman")</f>
        <v>Lachman</v>
      </c>
    </row>
    <row r="55">
      <c r="A55" s="3">
        <v>27.0</v>
      </c>
      <c r="B55" s="3" t="s">
        <v>105</v>
      </c>
      <c r="C55" s="7" t="s">
        <v>9</v>
      </c>
      <c r="D55" s="18" t="s">
        <v>106</v>
      </c>
      <c r="H55" s="7">
        <v>54.0</v>
      </c>
      <c r="I55" s="7" t="s">
        <v>101</v>
      </c>
      <c r="J55" s="7" t="s">
        <v>47</v>
      </c>
      <c r="K55" s="7" t="s">
        <v>9</v>
      </c>
      <c r="L55" s="7" t="str">
        <f>IFERROR(__xludf.DUMMYFUNCTION("""COMPUTED_VALUE"""),"IKDC")</f>
        <v>IKDC</v>
      </c>
    </row>
    <row r="56">
      <c r="A56" s="3">
        <v>28.0</v>
      </c>
      <c r="B56" s="3" t="s">
        <v>107</v>
      </c>
      <c r="C56" s="7" t="s">
        <v>9</v>
      </c>
      <c r="D56" s="18" t="s">
        <v>108</v>
      </c>
      <c r="H56" s="7">
        <v>55.0</v>
      </c>
      <c r="I56" s="7" t="s">
        <v>101</v>
      </c>
      <c r="J56" s="7" t="s">
        <v>47</v>
      </c>
      <c r="K56" s="7" t="s">
        <v>9</v>
      </c>
      <c r="L56" s="7" t="str">
        <f>IFERROR(__xludf.DUMMYFUNCTION("""COMPUTED_VALUE"""),"Tegner")</f>
        <v>Tegner</v>
      </c>
    </row>
    <row r="57">
      <c r="A57" s="3">
        <v>28.0</v>
      </c>
      <c r="B57" s="3" t="s">
        <v>107</v>
      </c>
      <c r="C57" s="7" t="s">
        <v>10</v>
      </c>
      <c r="D57" s="18" t="s">
        <v>108</v>
      </c>
      <c r="H57" s="7">
        <v>56.0</v>
      </c>
      <c r="I57" s="7" t="s">
        <v>101</v>
      </c>
      <c r="J57" s="7" t="s">
        <v>47</v>
      </c>
      <c r="K57" s="7" t="s">
        <v>9</v>
      </c>
      <c r="L57" s="7" t="str">
        <f>IFERROR(__xludf.DUMMYFUNCTION("""COMPUTED_VALUE"""),"Instrumental laxity")</f>
        <v>Instrumental laxity</v>
      </c>
    </row>
    <row r="58">
      <c r="A58" s="3">
        <v>29.0</v>
      </c>
      <c r="B58" s="3" t="s">
        <v>110</v>
      </c>
      <c r="C58" s="7" t="s">
        <v>2</v>
      </c>
      <c r="D58" s="18" t="s">
        <v>111</v>
      </c>
      <c r="H58" s="7">
        <v>57.0</v>
      </c>
      <c r="I58" s="7" t="s">
        <v>101</v>
      </c>
      <c r="J58" s="7" t="s">
        <v>47</v>
      </c>
      <c r="K58" s="7" t="s">
        <v>9</v>
      </c>
      <c r="L58" s="7" t="str">
        <f>IFERROR(__xludf.DUMMYFUNCTION("""COMPUTED_VALUE"""),"Pivot shift")</f>
        <v>Pivot shift</v>
      </c>
    </row>
    <row r="59">
      <c r="A59" s="3">
        <v>29.0</v>
      </c>
      <c r="B59" s="3" t="s">
        <v>110</v>
      </c>
      <c r="C59" s="7" t="s">
        <v>9</v>
      </c>
      <c r="D59" s="18" t="s">
        <v>111</v>
      </c>
      <c r="H59" s="7">
        <v>58.0</v>
      </c>
      <c r="I59" s="7" t="s">
        <v>101</v>
      </c>
      <c r="J59" s="7" t="s">
        <v>47</v>
      </c>
      <c r="K59" s="7" t="s">
        <v>9</v>
      </c>
      <c r="L59" s="7" t="str">
        <f>IFERROR(__xludf.DUMMYFUNCTION("""COMPUTED_VALUE"""),"Lachman")</f>
        <v>Lachman</v>
      </c>
    </row>
    <row r="60">
      <c r="A60" s="3">
        <v>30.0</v>
      </c>
      <c r="B60" s="3" t="s">
        <v>113</v>
      </c>
      <c r="C60" s="7" t="s">
        <v>2</v>
      </c>
      <c r="D60" s="18" t="s">
        <v>98</v>
      </c>
      <c r="H60" s="7">
        <v>59.0</v>
      </c>
      <c r="I60" s="7" t="s">
        <v>114</v>
      </c>
      <c r="J60" s="7" t="s">
        <v>51</v>
      </c>
      <c r="K60" s="7" t="s">
        <v>9</v>
      </c>
      <c r="L60" s="7" t="str">
        <f>IFERROR(__xludf.DUMMYFUNCTION("""COMPUTED_VALUE"""),"IKDC")</f>
        <v>IKDC</v>
      </c>
    </row>
    <row r="61">
      <c r="A61" s="3">
        <v>30.0</v>
      </c>
      <c r="B61" s="3" t="s">
        <v>113</v>
      </c>
      <c r="C61" s="7" t="s">
        <v>9</v>
      </c>
      <c r="D61" s="18" t="s">
        <v>98</v>
      </c>
      <c r="H61" s="7">
        <v>60.0</v>
      </c>
      <c r="I61" s="7" t="s">
        <v>114</v>
      </c>
      <c r="J61" s="7" t="s">
        <v>51</v>
      </c>
      <c r="K61" s="7" t="s">
        <v>9</v>
      </c>
      <c r="L61" s="7" t="str">
        <f>IFERROR(__xludf.DUMMYFUNCTION("""COMPUTED_VALUE"""),"Instrumental laxity")</f>
        <v>Instrumental laxity</v>
      </c>
    </row>
    <row r="62">
      <c r="A62" s="3">
        <v>31.0</v>
      </c>
      <c r="B62" s="3" t="s">
        <v>115</v>
      </c>
      <c r="C62" s="7" t="s">
        <v>2</v>
      </c>
      <c r="D62" s="18" t="s">
        <v>116</v>
      </c>
      <c r="H62" s="7">
        <v>61.0</v>
      </c>
      <c r="I62" s="7" t="s">
        <v>114</v>
      </c>
      <c r="J62" s="7" t="s">
        <v>51</v>
      </c>
      <c r="K62" s="7" t="s">
        <v>9</v>
      </c>
      <c r="L62" s="7" t="str">
        <f>IFERROR(__xludf.DUMMYFUNCTION("""COMPUTED_VALUE"""),"Pivot shift")</f>
        <v>Pivot shift</v>
      </c>
    </row>
    <row r="63">
      <c r="A63" s="3">
        <v>31.0</v>
      </c>
      <c r="B63" s="3" t="s">
        <v>115</v>
      </c>
      <c r="C63" s="7" t="s">
        <v>9</v>
      </c>
      <c r="D63" s="18" t="s">
        <v>116</v>
      </c>
      <c r="H63" s="7">
        <v>62.0</v>
      </c>
      <c r="I63" s="7" t="s">
        <v>114</v>
      </c>
      <c r="J63" s="7" t="s">
        <v>51</v>
      </c>
      <c r="K63" s="7" t="s">
        <v>9</v>
      </c>
      <c r="L63" s="7" t="str">
        <f>IFERROR(__xludf.DUMMYFUNCTION("""COMPUTED_VALUE"""),"Graft rupture")</f>
        <v>Graft rupture</v>
      </c>
    </row>
    <row r="64">
      <c r="A64" s="3">
        <v>32.0</v>
      </c>
      <c r="B64" s="3" t="s">
        <v>117</v>
      </c>
      <c r="C64" s="7" t="s">
        <v>2</v>
      </c>
      <c r="D64" s="18" t="s">
        <v>118</v>
      </c>
      <c r="H64" s="7">
        <v>63.0</v>
      </c>
      <c r="I64" s="7" t="s">
        <v>114</v>
      </c>
      <c r="J64" s="7" t="s">
        <v>51</v>
      </c>
      <c r="K64" s="7" t="s">
        <v>11</v>
      </c>
      <c r="L64" s="7" t="str">
        <f>IFERROR(__xludf.DUMMYFUNCTION("""COMPUTED_VALUE"""),"IKDC")</f>
        <v>IKDC</v>
      </c>
    </row>
    <row r="65">
      <c r="A65" s="3">
        <v>32.0</v>
      </c>
      <c r="B65" s="3" t="s">
        <v>117</v>
      </c>
      <c r="C65" s="7" t="s">
        <v>9</v>
      </c>
      <c r="D65" s="18" t="s">
        <v>118</v>
      </c>
      <c r="H65" s="7">
        <v>64.0</v>
      </c>
      <c r="I65" s="7" t="s">
        <v>114</v>
      </c>
      <c r="J65" s="7" t="s">
        <v>51</v>
      </c>
      <c r="K65" s="7" t="s">
        <v>11</v>
      </c>
      <c r="L65" s="7" t="str">
        <f>IFERROR(__xludf.DUMMYFUNCTION("""COMPUTED_VALUE"""),"Instrumental laxity")</f>
        <v>Instrumental laxity</v>
      </c>
    </row>
    <row r="66">
      <c r="A66" s="3">
        <v>33.0</v>
      </c>
      <c r="B66" s="3" t="s">
        <v>119</v>
      </c>
      <c r="C66" s="7" t="s">
        <v>2</v>
      </c>
      <c r="D66" s="18" t="s">
        <v>120</v>
      </c>
      <c r="H66" s="7">
        <v>65.0</v>
      </c>
      <c r="I66" s="7" t="s">
        <v>114</v>
      </c>
      <c r="J66" s="7" t="s">
        <v>51</v>
      </c>
      <c r="K66" s="7" t="s">
        <v>11</v>
      </c>
      <c r="L66" s="7" t="str">
        <f>IFERROR(__xludf.DUMMYFUNCTION("""COMPUTED_VALUE"""),"Pivot shift")</f>
        <v>Pivot shift</v>
      </c>
    </row>
    <row r="67">
      <c r="A67" s="3">
        <v>33.0</v>
      </c>
      <c r="B67" s="3" t="s">
        <v>119</v>
      </c>
      <c r="C67" s="7" t="s">
        <v>10</v>
      </c>
      <c r="D67" s="18" t="s">
        <v>120</v>
      </c>
      <c r="H67" s="7">
        <v>66.0</v>
      </c>
      <c r="I67" s="7" t="s">
        <v>114</v>
      </c>
      <c r="J67" s="7" t="s">
        <v>51</v>
      </c>
      <c r="K67" s="7" t="s">
        <v>11</v>
      </c>
      <c r="L67" s="7" t="str">
        <f>IFERROR(__xludf.DUMMYFUNCTION("""COMPUTED_VALUE"""),"Graft rupture")</f>
        <v>Graft rupture</v>
      </c>
    </row>
    <row r="68">
      <c r="A68" s="3">
        <v>34.0</v>
      </c>
      <c r="B68" s="3" t="s">
        <v>121</v>
      </c>
      <c r="C68" s="7" t="s">
        <v>2</v>
      </c>
      <c r="D68" s="18" t="s">
        <v>122</v>
      </c>
      <c r="H68" s="7">
        <v>67.0</v>
      </c>
      <c r="I68" s="7" t="s">
        <v>123</v>
      </c>
      <c r="J68" s="7" t="s">
        <v>57</v>
      </c>
      <c r="K68" s="7" t="s">
        <v>2</v>
      </c>
      <c r="L68" s="7" t="str">
        <f>IFERROR(__xludf.DUMMYFUNCTION("""COMPUTED_VALUE"""),"Instrumental laxity")</f>
        <v>Instrumental laxity</v>
      </c>
    </row>
    <row r="69">
      <c r="A69" s="3">
        <v>34.0</v>
      </c>
      <c r="B69" s="3" t="s">
        <v>121</v>
      </c>
      <c r="C69" s="7" t="s">
        <v>9</v>
      </c>
      <c r="D69" s="18" t="s">
        <v>122</v>
      </c>
      <c r="H69" s="7">
        <v>68.0</v>
      </c>
      <c r="I69" s="7" t="s">
        <v>123</v>
      </c>
      <c r="J69" s="7" t="s">
        <v>57</v>
      </c>
      <c r="K69" s="7" t="s">
        <v>2</v>
      </c>
      <c r="L69" s="7" t="str">
        <f>IFERROR(__xludf.DUMMYFUNCTION("""COMPUTED_VALUE"""),"IKDC")</f>
        <v>IKDC</v>
      </c>
    </row>
    <row r="70">
      <c r="A70" s="3">
        <v>35.0</v>
      </c>
      <c r="B70" s="3" t="s">
        <v>124</v>
      </c>
      <c r="C70" s="7" t="s">
        <v>2</v>
      </c>
      <c r="D70" s="18" t="s">
        <v>125</v>
      </c>
      <c r="H70" s="7">
        <v>69.0</v>
      </c>
      <c r="I70" s="7" t="s">
        <v>123</v>
      </c>
      <c r="J70" s="7" t="s">
        <v>57</v>
      </c>
      <c r="K70" s="7" t="s">
        <v>2</v>
      </c>
      <c r="L70" s="7" t="str">
        <f>IFERROR(__xludf.DUMMYFUNCTION("""COMPUTED_VALUE"""),"Tegner")</f>
        <v>Tegner</v>
      </c>
    </row>
    <row r="71">
      <c r="A71" s="3">
        <v>35.0</v>
      </c>
      <c r="B71" s="3" t="s">
        <v>124</v>
      </c>
      <c r="C71" s="7" t="s">
        <v>9</v>
      </c>
      <c r="D71" s="18" t="s">
        <v>125</v>
      </c>
      <c r="H71" s="7">
        <v>70.0</v>
      </c>
      <c r="I71" s="7" t="s">
        <v>123</v>
      </c>
      <c r="J71" s="7" t="s">
        <v>57</v>
      </c>
      <c r="K71" s="7" t="s">
        <v>2</v>
      </c>
      <c r="L71" s="7" t="str">
        <f>IFERROR(__xludf.DUMMYFUNCTION("""COMPUTED_VALUE"""),"Lysholm")</f>
        <v>Lysholm</v>
      </c>
    </row>
    <row r="72">
      <c r="A72" s="3">
        <v>36.0</v>
      </c>
      <c r="B72" s="3" t="s">
        <v>127</v>
      </c>
      <c r="C72" s="7" t="s">
        <v>9</v>
      </c>
      <c r="D72" s="18" t="s">
        <v>35</v>
      </c>
      <c r="H72" s="7">
        <v>71.0</v>
      </c>
      <c r="I72" s="7" t="s">
        <v>123</v>
      </c>
      <c r="J72" s="7" t="s">
        <v>57</v>
      </c>
      <c r="K72" s="7" t="s">
        <v>9</v>
      </c>
      <c r="L72" s="7" t="str">
        <f>IFERROR(__xludf.DUMMYFUNCTION("""COMPUTED_VALUE"""),"Instrumental laxity")</f>
        <v>Instrumental laxity</v>
      </c>
    </row>
    <row r="73">
      <c r="A73" s="3">
        <v>36.0</v>
      </c>
      <c r="B73" s="3" t="s">
        <v>127</v>
      </c>
      <c r="C73" s="7" t="s">
        <v>13</v>
      </c>
      <c r="D73" s="18" t="s">
        <v>35</v>
      </c>
      <c r="H73" s="7">
        <v>72.0</v>
      </c>
      <c r="I73" s="7" t="s">
        <v>123</v>
      </c>
      <c r="J73" s="7" t="s">
        <v>57</v>
      </c>
      <c r="K73" s="7" t="s">
        <v>9</v>
      </c>
      <c r="L73" s="7" t="str">
        <f>IFERROR(__xludf.DUMMYFUNCTION("""COMPUTED_VALUE"""),"IKDC")</f>
        <v>IKDC</v>
      </c>
    </row>
    <row r="74">
      <c r="A74" s="3">
        <v>37.0</v>
      </c>
      <c r="B74" s="3" t="s">
        <v>128</v>
      </c>
      <c r="C74" s="7" t="s">
        <v>2</v>
      </c>
      <c r="D74" s="18" t="s">
        <v>94</v>
      </c>
      <c r="H74" s="7">
        <v>73.0</v>
      </c>
      <c r="I74" s="7" t="s">
        <v>123</v>
      </c>
      <c r="J74" s="7" t="s">
        <v>57</v>
      </c>
      <c r="K74" s="7" t="s">
        <v>9</v>
      </c>
      <c r="L74" s="7" t="str">
        <f>IFERROR(__xludf.DUMMYFUNCTION("""COMPUTED_VALUE"""),"Tegner")</f>
        <v>Tegner</v>
      </c>
    </row>
    <row r="75">
      <c r="A75" s="3">
        <v>37.0</v>
      </c>
      <c r="B75" s="3" t="s">
        <v>128</v>
      </c>
      <c r="C75" s="7" t="s">
        <v>9</v>
      </c>
      <c r="D75" s="18" t="s">
        <v>94</v>
      </c>
      <c r="H75" s="7">
        <v>74.0</v>
      </c>
      <c r="I75" s="7" t="s">
        <v>123</v>
      </c>
      <c r="J75" s="7" t="s">
        <v>57</v>
      </c>
      <c r="K75" s="7" t="s">
        <v>9</v>
      </c>
      <c r="L75" s="7" t="str">
        <f>IFERROR(__xludf.DUMMYFUNCTION("""COMPUTED_VALUE"""),"Lysholm")</f>
        <v>Lysholm</v>
      </c>
    </row>
    <row r="76">
      <c r="A76" s="3">
        <v>38.0</v>
      </c>
      <c r="B76" s="3" t="s">
        <v>129</v>
      </c>
      <c r="C76" s="7" t="s">
        <v>2</v>
      </c>
      <c r="D76" s="18" t="s">
        <v>130</v>
      </c>
      <c r="H76" s="7">
        <v>75.0</v>
      </c>
      <c r="I76" s="7" t="s">
        <v>131</v>
      </c>
      <c r="J76" s="7" t="s">
        <v>64</v>
      </c>
      <c r="K76" s="7" t="s">
        <v>9</v>
      </c>
      <c r="L76" s="7" t="str">
        <f>IFERROR(__xludf.DUMMYFUNCTION("""COMPUTED_VALUE"""),"IKDC")</f>
        <v>IKDC</v>
      </c>
    </row>
    <row r="77">
      <c r="A77" s="3">
        <v>38.0</v>
      </c>
      <c r="B77" s="3" t="s">
        <v>129</v>
      </c>
      <c r="C77" s="7" t="s">
        <v>9</v>
      </c>
      <c r="D77" s="18" t="s">
        <v>130</v>
      </c>
      <c r="H77" s="7">
        <v>76.0</v>
      </c>
      <c r="I77" s="7" t="s">
        <v>131</v>
      </c>
      <c r="J77" s="7" t="s">
        <v>64</v>
      </c>
      <c r="K77" s="7" t="s">
        <v>9</v>
      </c>
      <c r="L77" s="7" t="str">
        <f>IFERROR(__xludf.DUMMYFUNCTION("""COMPUTED_VALUE"""),"Tegner")</f>
        <v>Tegner</v>
      </c>
    </row>
    <row r="78">
      <c r="A78" s="3">
        <v>39.0</v>
      </c>
      <c r="B78" s="3" t="s">
        <v>132</v>
      </c>
      <c r="C78" s="7" t="s">
        <v>9</v>
      </c>
      <c r="D78" s="18" t="s">
        <v>122</v>
      </c>
      <c r="H78" s="7">
        <v>77.0</v>
      </c>
      <c r="I78" s="7" t="s">
        <v>131</v>
      </c>
      <c r="J78" s="7" t="s">
        <v>64</v>
      </c>
      <c r="K78" s="7" t="s">
        <v>13</v>
      </c>
      <c r="L78" s="7" t="str">
        <f>IFERROR(__xludf.DUMMYFUNCTION("""COMPUTED_VALUE"""),"IKDC")</f>
        <v>IKDC</v>
      </c>
    </row>
    <row r="79">
      <c r="A79" s="3">
        <v>39.0</v>
      </c>
      <c r="B79" s="3" t="s">
        <v>132</v>
      </c>
      <c r="C79" s="7" t="s">
        <v>13</v>
      </c>
      <c r="D79" s="18" t="s">
        <v>122</v>
      </c>
      <c r="H79" s="7">
        <v>78.0</v>
      </c>
      <c r="I79" s="7" t="s">
        <v>131</v>
      </c>
      <c r="J79" s="7" t="s">
        <v>64</v>
      </c>
      <c r="K79" s="7" t="s">
        <v>13</v>
      </c>
      <c r="L79" s="7" t="str">
        <f>IFERROR(__xludf.DUMMYFUNCTION("""COMPUTED_VALUE"""),"Tegner")</f>
        <v>Tegner</v>
      </c>
    </row>
    <row r="80">
      <c r="A80" s="3">
        <v>40.0</v>
      </c>
      <c r="B80" s="3" t="s">
        <v>133</v>
      </c>
      <c r="C80" s="7" t="s">
        <v>2</v>
      </c>
      <c r="D80" s="18" t="s">
        <v>134</v>
      </c>
      <c r="H80" s="7">
        <v>79.0</v>
      </c>
      <c r="I80" s="7" t="s">
        <v>135</v>
      </c>
      <c r="J80" s="7" t="s">
        <v>70</v>
      </c>
      <c r="K80" s="7" t="s">
        <v>2</v>
      </c>
      <c r="L80" s="7" t="str">
        <f>IFERROR(__xludf.DUMMYFUNCTION("""COMPUTED_VALUE"""),"Instrumental laxity")</f>
        <v>Instrumental laxity</v>
      </c>
    </row>
    <row r="81">
      <c r="A81" s="3">
        <v>40.0</v>
      </c>
      <c r="B81" s="3" t="s">
        <v>133</v>
      </c>
      <c r="C81" s="7" t="s">
        <v>9</v>
      </c>
      <c r="D81" s="18" t="s">
        <v>134</v>
      </c>
      <c r="H81" s="7">
        <v>80.0</v>
      </c>
      <c r="I81" s="7" t="s">
        <v>135</v>
      </c>
      <c r="J81" s="7" t="s">
        <v>70</v>
      </c>
      <c r="K81" s="7" t="s">
        <v>9</v>
      </c>
      <c r="L81" s="7" t="str">
        <f>IFERROR(__xludf.DUMMYFUNCTION("""COMPUTED_VALUE"""),"Instrumental laxity")</f>
        <v>Instrumental laxity</v>
      </c>
    </row>
    <row r="82">
      <c r="A82" s="3">
        <v>41.0</v>
      </c>
      <c r="B82" s="3" t="s">
        <v>138</v>
      </c>
      <c r="C82" s="7" t="s">
        <v>9</v>
      </c>
      <c r="D82" s="18" t="s">
        <v>139</v>
      </c>
      <c r="H82" s="7">
        <v>81.0</v>
      </c>
      <c r="I82" s="7" t="s">
        <v>140</v>
      </c>
      <c r="J82" s="7" t="s">
        <v>72</v>
      </c>
      <c r="K82" s="7" t="s">
        <v>9</v>
      </c>
      <c r="L82" s="7" t="str">
        <f>IFERROR(__xludf.DUMMYFUNCTION("""COMPUTED_VALUE"""),"Lysholm")</f>
        <v>Lysholm</v>
      </c>
    </row>
    <row r="83">
      <c r="A83" s="3">
        <v>41.0</v>
      </c>
      <c r="B83" s="3" t="s">
        <v>138</v>
      </c>
      <c r="C83" s="7" t="s">
        <v>10</v>
      </c>
      <c r="D83" s="18" t="s">
        <v>139</v>
      </c>
      <c r="H83" s="7">
        <v>82.0</v>
      </c>
      <c r="I83" s="7" t="s">
        <v>140</v>
      </c>
      <c r="J83" s="7" t="s">
        <v>72</v>
      </c>
      <c r="K83" s="7" t="s">
        <v>9</v>
      </c>
      <c r="L83" s="7" t="str">
        <f>IFERROR(__xludf.DUMMYFUNCTION("""COMPUTED_VALUE"""),"IKDC")</f>
        <v>IKDC</v>
      </c>
    </row>
    <row r="84">
      <c r="A84" s="3">
        <v>42.0</v>
      </c>
      <c r="B84" s="3" t="s">
        <v>141</v>
      </c>
      <c r="C84" s="7" t="s">
        <v>2</v>
      </c>
      <c r="D84" s="18" t="s">
        <v>143</v>
      </c>
      <c r="H84" s="7">
        <v>83.0</v>
      </c>
      <c r="I84" s="7" t="s">
        <v>140</v>
      </c>
      <c r="J84" s="7" t="s">
        <v>72</v>
      </c>
      <c r="K84" s="7" t="s">
        <v>9</v>
      </c>
      <c r="L84" s="7" t="str">
        <f>IFERROR(__xludf.DUMMYFUNCTION("""COMPUTED_VALUE"""),"Lachman")</f>
        <v>Lachman</v>
      </c>
    </row>
    <row r="85">
      <c r="A85" s="3">
        <v>42.0</v>
      </c>
      <c r="B85" s="3" t="s">
        <v>141</v>
      </c>
      <c r="C85" s="7" t="s">
        <v>9</v>
      </c>
      <c r="D85" s="18" t="s">
        <v>143</v>
      </c>
      <c r="H85" s="7">
        <v>84.0</v>
      </c>
      <c r="I85" s="7" t="s">
        <v>140</v>
      </c>
      <c r="J85" s="7" t="s">
        <v>72</v>
      </c>
      <c r="K85" s="7" t="s">
        <v>9</v>
      </c>
      <c r="L85" s="7" t="str">
        <f>IFERROR(__xludf.DUMMYFUNCTION("""COMPUTED_VALUE"""),"Pivot shift")</f>
        <v>Pivot shift</v>
      </c>
    </row>
    <row r="86">
      <c r="A86" s="3">
        <v>43.0</v>
      </c>
      <c r="B86" s="3" t="s">
        <v>145</v>
      </c>
      <c r="C86" s="7" t="s">
        <v>2</v>
      </c>
      <c r="D86" s="18" t="s">
        <v>146</v>
      </c>
      <c r="H86" s="7">
        <v>85.0</v>
      </c>
      <c r="I86" s="7" t="s">
        <v>140</v>
      </c>
      <c r="J86" s="7" t="s">
        <v>72</v>
      </c>
      <c r="K86" s="7" t="s">
        <v>11</v>
      </c>
      <c r="L86" s="7" t="str">
        <f>IFERROR(__xludf.DUMMYFUNCTION("""COMPUTED_VALUE"""),"Lysholm")</f>
        <v>Lysholm</v>
      </c>
    </row>
    <row r="87">
      <c r="A87" s="3">
        <v>43.0</v>
      </c>
      <c r="B87" s="3" t="s">
        <v>145</v>
      </c>
      <c r="C87" s="7" t="s">
        <v>9</v>
      </c>
      <c r="D87" s="18" t="s">
        <v>146</v>
      </c>
      <c r="H87" s="7">
        <v>86.0</v>
      </c>
      <c r="I87" s="7" t="s">
        <v>140</v>
      </c>
      <c r="J87" s="7" t="s">
        <v>72</v>
      </c>
      <c r="K87" s="7" t="s">
        <v>11</v>
      </c>
      <c r="L87" s="7" t="str">
        <f>IFERROR(__xludf.DUMMYFUNCTION("""COMPUTED_VALUE"""),"IKDC")</f>
        <v>IKDC</v>
      </c>
    </row>
    <row r="88">
      <c r="A88" s="3">
        <v>44.0</v>
      </c>
      <c r="B88" s="3" t="s">
        <v>147</v>
      </c>
      <c r="C88" s="7" t="s">
        <v>2</v>
      </c>
      <c r="D88" s="18" t="s">
        <v>148</v>
      </c>
      <c r="H88" s="7">
        <v>87.0</v>
      </c>
      <c r="I88" s="7" t="s">
        <v>140</v>
      </c>
      <c r="J88" s="7" t="s">
        <v>72</v>
      </c>
      <c r="K88" s="7" t="s">
        <v>11</v>
      </c>
      <c r="L88" s="7" t="str">
        <f>IFERROR(__xludf.DUMMYFUNCTION("""COMPUTED_VALUE"""),"Lachman")</f>
        <v>Lachman</v>
      </c>
    </row>
    <row r="89">
      <c r="A89" s="3">
        <v>44.0</v>
      </c>
      <c r="B89" s="3" t="s">
        <v>147</v>
      </c>
      <c r="C89" s="7" t="s">
        <v>10</v>
      </c>
      <c r="D89" s="18" t="s">
        <v>148</v>
      </c>
      <c r="H89" s="7">
        <v>88.0</v>
      </c>
      <c r="I89" s="7" t="s">
        <v>140</v>
      </c>
      <c r="J89" s="7" t="s">
        <v>72</v>
      </c>
      <c r="K89" s="7" t="s">
        <v>11</v>
      </c>
      <c r="L89" s="7" t="str">
        <f>IFERROR(__xludf.DUMMYFUNCTION("""COMPUTED_VALUE"""),"Pivot shift")</f>
        <v>Pivot shift</v>
      </c>
    </row>
    <row r="90">
      <c r="A90" s="3">
        <v>45.0</v>
      </c>
      <c r="B90" s="3" t="s">
        <v>150</v>
      </c>
      <c r="C90" s="7" t="s">
        <v>2</v>
      </c>
      <c r="D90" s="18" t="s">
        <v>94</v>
      </c>
      <c r="H90" s="7">
        <v>89.0</v>
      </c>
      <c r="I90" s="7" t="s">
        <v>152</v>
      </c>
      <c r="J90" s="7" t="s">
        <v>75</v>
      </c>
      <c r="K90" s="7" t="s">
        <v>9</v>
      </c>
      <c r="L90" s="7" t="str">
        <f>IFERROR(__xludf.DUMMYFUNCTION("""COMPUTED_VALUE"""),"IKDC")</f>
        <v>IKDC</v>
      </c>
    </row>
    <row r="91">
      <c r="A91" s="3">
        <v>45.0</v>
      </c>
      <c r="B91" s="3" t="s">
        <v>150</v>
      </c>
      <c r="C91" s="7" t="s">
        <v>9</v>
      </c>
      <c r="D91" s="18" t="s">
        <v>94</v>
      </c>
      <c r="H91" s="7">
        <v>90.0</v>
      </c>
      <c r="I91" s="7" t="s">
        <v>152</v>
      </c>
      <c r="J91" s="7" t="s">
        <v>75</v>
      </c>
      <c r="K91" s="7" t="s">
        <v>9</v>
      </c>
      <c r="L91" s="7" t="str">
        <f>IFERROR(__xludf.DUMMYFUNCTION("""COMPUTED_VALUE"""),"Instrumental laxity")</f>
        <v>Instrumental laxity</v>
      </c>
    </row>
    <row r="92">
      <c r="A92" s="3">
        <v>46.0</v>
      </c>
      <c r="B92" s="3" t="s">
        <v>153</v>
      </c>
      <c r="C92" s="7" t="s">
        <v>9</v>
      </c>
      <c r="D92" s="18" t="s">
        <v>154</v>
      </c>
      <c r="H92" s="7">
        <v>91.0</v>
      </c>
      <c r="I92" s="7" t="s">
        <v>152</v>
      </c>
      <c r="J92" s="7" t="s">
        <v>75</v>
      </c>
      <c r="K92" s="7" t="s">
        <v>10</v>
      </c>
      <c r="L92" s="7" t="str">
        <f>IFERROR(__xludf.DUMMYFUNCTION("""COMPUTED_VALUE"""),"IKDC")</f>
        <v>IKDC</v>
      </c>
    </row>
    <row r="93">
      <c r="A93" s="3">
        <v>46.0</v>
      </c>
      <c r="B93" s="3" t="s">
        <v>153</v>
      </c>
      <c r="C93" s="7" t="s">
        <v>11</v>
      </c>
      <c r="D93" s="18" t="s">
        <v>154</v>
      </c>
      <c r="H93" s="7">
        <v>92.0</v>
      </c>
      <c r="I93" s="7" t="s">
        <v>152</v>
      </c>
      <c r="J93" s="7" t="s">
        <v>75</v>
      </c>
      <c r="K93" s="7" t="s">
        <v>10</v>
      </c>
      <c r="L93" s="7" t="str">
        <f>IFERROR(__xludf.DUMMYFUNCTION("""COMPUTED_VALUE"""),"Instrumental laxity")</f>
        <v>Instrumental laxity</v>
      </c>
    </row>
    <row r="94">
      <c r="A94" s="3">
        <v>47.0</v>
      </c>
      <c r="B94" s="3" t="s">
        <v>155</v>
      </c>
      <c r="C94" s="7" t="s">
        <v>2</v>
      </c>
      <c r="D94" s="18" t="s">
        <v>76</v>
      </c>
      <c r="H94" s="7">
        <v>93.0</v>
      </c>
      <c r="I94" s="7" t="s">
        <v>156</v>
      </c>
      <c r="J94" s="7" t="s">
        <v>79</v>
      </c>
      <c r="K94" s="7" t="s">
        <v>9</v>
      </c>
      <c r="L94" s="7" t="str">
        <f>IFERROR(__xludf.DUMMYFUNCTION("""COMPUTED_VALUE"""),"Graft rupture")</f>
        <v>Graft rupture</v>
      </c>
    </row>
    <row r="95">
      <c r="A95" s="3">
        <v>47.0</v>
      </c>
      <c r="B95" s="3" t="s">
        <v>155</v>
      </c>
      <c r="C95" s="7" t="s">
        <v>9</v>
      </c>
      <c r="D95" s="18" t="s">
        <v>76</v>
      </c>
      <c r="H95" s="7">
        <v>94.0</v>
      </c>
      <c r="I95" s="7" t="s">
        <v>156</v>
      </c>
      <c r="J95" s="7" t="s">
        <v>79</v>
      </c>
      <c r="K95" s="7" t="s">
        <v>13</v>
      </c>
      <c r="L95" s="7" t="str">
        <f>IFERROR(__xludf.DUMMYFUNCTION("""COMPUTED_VALUE"""),"Graft rupture")</f>
        <v>Graft rupture</v>
      </c>
    </row>
    <row r="96">
      <c r="A96" s="3">
        <v>48.0</v>
      </c>
      <c r="B96" s="3" t="s">
        <v>157</v>
      </c>
      <c r="C96" s="7" t="s">
        <v>2</v>
      </c>
      <c r="D96" s="18" t="s">
        <v>158</v>
      </c>
      <c r="H96" s="7">
        <v>95.0</v>
      </c>
      <c r="I96" s="7" t="s">
        <v>159</v>
      </c>
      <c r="J96" s="7" t="s">
        <v>81</v>
      </c>
      <c r="K96" s="7" t="s">
        <v>2</v>
      </c>
      <c r="L96" s="7" t="str">
        <f>IFERROR(__xludf.DUMMYFUNCTION("""COMPUTED_VALUE"""),"Tegner")</f>
        <v>Tegner</v>
      </c>
    </row>
    <row r="97">
      <c r="A97" s="3">
        <v>48.0</v>
      </c>
      <c r="B97" s="3" t="s">
        <v>157</v>
      </c>
      <c r="C97" s="7" t="s">
        <v>9</v>
      </c>
      <c r="D97" s="18" t="s">
        <v>158</v>
      </c>
      <c r="H97" s="7">
        <v>96.0</v>
      </c>
      <c r="I97" s="7" t="s">
        <v>159</v>
      </c>
      <c r="J97" s="7" t="s">
        <v>81</v>
      </c>
      <c r="K97" s="7" t="s">
        <v>2</v>
      </c>
      <c r="L97" s="7" t="str">
        <f>IFERROR(__xludf.DUMMYFUNCTION("""COMPUTED_VALUE"""),"Lysholm")</f>
        <v>Lysholm</v>
      </c>
    </row>
    <row r="98">
      <c r="A98" s="3">
        <v>49.0</v>
      </c>
      <c r="B98" s="3" t="s">
        <v>161</v>
      </c>
      <c r="C98" s="7" t="s">
        <v>2</v>
      </c>
      <c r="D98" s="18" t="s">
        <v>162</v>
      </c>
      <c r="H98" s="7">
        <v>97.0</v>
      </c>
      <c r="I98" s="7" t="s">
        <v>159</v>
      </c>
      <c r="J98" s="7" t="s">
        <v>81</v>
      </c>
      <c r="K98" s="7" t="s">
        <v>2</v>
      </c>
      <c r="L98" s="7" t="str">
        <f>IFERROR(__xludf.DUMMYFUNCTION("""COMPUTED_VALUE"""),"Instrumental laxity")</f>
        <v>Instrumental laxity</v>
      </c>
    </row>
    <row r="99">
      <c r="A99" s="3">
        <v>49.0</v>
      </c>
      <c r="B99" s="3" t="s">
        <v>161</v>
      </c>
      <c r="C99" s="7" t="s">
        <v>9</v>
      </c>
      <c r="D99" s="18" t="s">
        <v>162</v>
      </c>
      <c r="H99" s="7">
        <v>98.0</v>
      </c>
      <c r="I99" s="7" t="s">
        <v>159</v>
      </c>
      <c r="J99" s="7" t="s">
        <v>81</v>
      </c>
      <c r="K99" s="7" t="s">
        <v>2</v>
      </c>
      <c r="L99" s="7" t="str">
        <f>IFERROR(__xludf.DUMMYFUNCTION("""COMPUTED_VALUE"""),"Lachman")</f>
        <v>Lachman</v>
      </c>
    </row>
    <row r="100">
      <c r="A100" s="3">
        <v>50.0</v>
      </c>
      <c r="B100" s="3" t="s">
        <v>164</v>
      </c>
      <c r="C100" s="7" t="s">
        <v>2</v>
      </c>
      <c r="D100" s="18" t="s">
        <v>165</v>
      </c>
      <c r="H100" s="7">
        <v>99.0</v>
      </c>
      <c r="I100" s="7" t="s">
        <v>159</v>
      </c>
      <c r="J100" s="7" t="s">
        <v>81</v>
      </c>
      <c r="K100" s="7" t="s">
        <v>9</v>
      </c>
      <c r="L100" s="7" t="str">
        <f>IFERROR(__xludf.DUMMYFUNCTION("""COMPUTED_VALUE"""),"Tegner")</f>
        <v>Tegner</v>
      </c>
    </row>
    <row r="101">
      <c r="A101" s="3">
        <v>50.0</v>
      </c>
      <c r="B101" s="3" t="s">
        <v>164</v>
      </c>
      <c r="C101" s="7" t="s">
        <v>9</v>
      </c>
      <c r="D101" s="18" t="s">
        <v>165</v>
      </c>
      <c r="H101" s="7">
        <v>100.0</v>
      </c>
      <c r="I101" s="7" t="s">
        <v>159</v>
      </c>
      <c r="J101" s="7" t="s">
        <v>81</v>
      </c>
      <c r="K101" s="7" t="s">
        <v>9</v>
      </c>
      <c r="L101" s="7" t="str">
        <f>IFERROR(__xludf.DUMMYFUNCTION("""COMPUTED_VALUE"""),"Lysholm")</f>
        <v>Lysholm</v>
      </c>
    </row>
    <row r="102">
      <c r="A102" s="3">
        <v>51.0</v>
      </c>
      <c r="B102" s="3" t="s">
        <v>166</v>
      </c>
      <c r="C102" s="7" t="s">
        <v>9</v>
      </c>
      <c r="D102" s="18" t="s">
        <v>167</v>
      </c>
      <c r="H102" s="7">
        <v>101.0</v>
      </c>
      <c r="I102" s="7" t="s">
        <v>159</v>
      </c>
      <c r="J102" s="7" t="s">
        <v>81</v>
      </c>
      <c r="K102" s="7" t="s">
        <v>9</v>
      </c>
      <c r="L102" s="7" t="str">
        <f>IFERROR(__xludf.DUMMYFUNCTION("""COMPUTED_VALUE"""),"Instrumental laxity")</f>
        <v>Instrumental laxity</v>
      </c>
    </row>
    <row r="103">
      <c r="A103" s="3">
        <v>51.0</v>
      </c>
      <c r="B103" s="3" t="s">
        <v>166</v>
      </c>
      <c r="C103" s="7" t="s">
        <v>12</v>
      </c>
      <c r="D103" s="18" t="s">
        <v>167</v>
      </c>
      <c r="H103" s="7">
        <v>102.0</v>
      </c>
      <c r="I103" s="7" t="s">
        <v>159</v>
      </c>
      <c r="J103" s="7" t="s">
        <v>81</v>
      </c>
      <c r="K103" s="7" t="s">
        <v>9</v>
      </c>
      <c r="L103" s="7" t="str">
        <f>IFERROR(__xludf.DUMMYFUNCTION("""COMPUTED_VALUE"""),"Lachman")</f>
        <v>Lachman</v>
      </c>
    </row>
    <row r="104">
      <c r="A104" s="3">
        <v>52.0</v>
      </c>
      <c r="B104" s="3" t="s">
        <v>169</v>
      </c>
      <c r="C104" s="7" t="s">
        <v>2</v>
      </c>
      <c r="D104" s="18" t="s">
        <v>108</v>
      </c>
      <c r="H104" s="7">
        <v>103.0</v>
      </c>
      <c r="I104" s="7" t="s">
        <v>170</v>
      </c>
      <c r="J104" s="7" t="s">
        <v>84</v>
      </c>
      <c r="K104" s="7" t="s">
        <v>2</v>
      </c>
      <c r="L104" s="7" t="str">
        <f>IFERROR(__xludf.DUMMYFUNCTION("""COMPUTED_VALUE"""),"Instrumental laxity")</f>
        <v>Instrumental laxity</v>
      </c>
    </row>
    <row r="105">
      <c r="A105" s="3">
        <v>52.0</v>
      </c>
      <c r="B105" s="3" t="s">
        <v>169</v>
      </c>
      <c r="C105" s="7" t="s">
        <v>9</v>
      </c>
      <c r="D105" s="18" t="s">
        <v>108</v>
      </c>
      <c r="H105" s="7">
        <v>104.0</v>
      </c>
      <c r="I105" s="7" t="s">
        <v>170</v>
      </c>
      <c r="J105" s="7" t="s">
        <v>84</v>
      </c>
      <c r="K105" s="7" t="s">
        <v>2</v>
      </c>
      <c r="L105" s="7" t="str">
        <f>IFERROR(__xludf.DUMMYFUNCTION("""COMPUTED_VALUE"""),"Pivot shift")</f>
        <v>Pivot shift</v>
      </c>
    </row>
    <row r="106">
      <c r="A106" s="3">
        <v>53.0</v>
      </c>
      <c r="B106" s="3" t="s">
        <v>171</v>
      </c>
      <c r="C106" s="7" t="s">
        <v>2</v>
      </c>
      <c r="D106" s="18" t="s">
        <v>120</v>
      </c>
      <c r="H106" s="7">
        <v>105.0</v>
      </c>
      <c r="I106" s="7" t="s">
        <v>170</v>
      </c>
      <c r="J106" s="7" t="s">
        <v>84</v>
      </c>
      <c r="K106" s="7" t="s">
        <v>9</v>
      </c>
      <c r="L106" s="7" t="str">
        <f>IFERROR(__xludf.DUMMYFUNCTION("""COMPUTED_VALUE"""),"Instrumental laxity")</f>
        <v>Instrumental laxity</v>
      </c>
    </row>
    <row r="107">
      <c r="A107" s="3">
        <v>53.0</v>
      </c>
      <c r="B107" s="3" t="s">
        <v>171</v>
      </c>
      <c r="C107" s="7" t="s">
        <v>9</v>
      </c>
      <c r="D107" s="18" t="s">
        <v>120</v>
      </c>
      <c r="H107" s="7">
        <v>106.0</v>
      </c>
      <c r="I107" s="7" t="s">
        <v>170</v>
      </c>
      <c r="J107" s="7" t="s">
        <v>84</v>
      </c>
      <c r="K107" s="7" t="s">
        <v>9</v>
      </c>
      <c r="L107" s="7" t="str">
        <f>IFERROR(__xludf.DUMMYFUNCTION("""COMPUTED_VALUE"""),"Pivot shift")</f>
        <v>Pivot shift</v>
      </c>
    </row>
    <row r="108">
      <c r="A108" s="3">
        <v>54.0</v>
      </c>
      <c r="B108" s="3" t="s">
        <v>174</v>
      </c>
      <c r="C108" s="7" t="s">
        <v>2</v>
      </c>
      <c r="D108" s="18" t="s">
        <v>41</v>
      </c>
      <c r="H108" s="7">
        <v>107.0</v>
      </c>
      <c r="I108" s="7" t="s">
        <v>175</v>
      </c>
      <c r="J108" s="7" t="s">
        <v>86</v>
      </c>
      <c r="K108" s="7" t="s">
        <v>2</v>
      </c>
      <c r="L108" s="7" t="str">
        <f>IFERROR(__xludf.DUMMYFUNCTION("""COMPUTED_VALUE"""),"IKDC")</f>
        <v>IKDC</v>
      </c>
    </row>
    <row r="109">
      <c r="A109" s="3">
        <v>54.0</v>
      </c>
      <c r="B109" s="3" t="s">
        <v>174</v>
      </c>
      <c r="C109" s="7" t="s">
        <v>9</v>
      </c>
      <c r="D109" s="18" t="s">
        <v>41</v>
      </c>
      <c r="H109" s="7">
        <v>108.0</v>
      </c>
      <c r="I109" s="7" t="s">
        <v>175</v>
      </c>
      <c r="J109" s="7" t="s">
        <v>86</v>
      </c>
      <c r="K109" s="7" t="s">
        <v>2</v>
      </c>
      <c r="L109" s="7" t="str">
        <f>IFERROR(__xludf.DUMMYFUNCTION("""COMPUTED_VALUE"""),"Instrumental laxity")</f>
        <v>Instrumental laxity</v>
      </c>
    </row>
    <row r="110">
      <c r="A110" s="3">
        <v>55.0</v>
      </c>
      <c r="B110" s="3" t="s">
        <v>176</v>
      </c>
      <c r="C110" s="7" t="s">
        <v>2</v>
      </c>
      <c r="D110" s="18" t="s">
        <v>177</v>
      </c>
      <c r="H110" s="7">
        <v>109.0</v>
      </c>
      <c r="I110" s="7" t="s">
        <v>175</v>
      </c>
      <c r="J110" s="7" t="s">
        <v>86</v>
      </c>
      <c r="K110" s="7" t="s">
        <v>2</v>
      </c>
      <c r="L110" s="7" t="str">
        <f>IFERROR(__xludf.DUMMYFUNCTION("""COMPUTED_VALUE"""),"Pivot shift")</f>
        <v>Pivot shift</v>
      </c>
    </row>
    <row r="111">
      <c r="A111" s="3">
        <v>55.0</v>
      </c>
      <c r="B111" s="3" t="s">
        <v>176</v>
      </c>
      <c r="C111" s="7" t="s">
        <v>9</v>
      </c>
      <c r="D111" s="18" t="s">
        <v>177</v>
      </c>
      <c r="H111" s="7">
        <v>110.0</v>
      </c>
      <c r="I111" s="7" t="s">
        <v>175</v>
      </c>
      <c r="J111" s="7" t="s">
        <v>86</v>
      </c>
      <c r="K111" s="7" t="s">
        <v>2</v>
      </c>
      <c r="L111" s="7" t="str">
        <f>IFERROR(__xludf.DUMMYFUNCTION("""COMPUTED_VALUE"""),"Lachman")</f>
        <v>Lachman</v>
      </c>
    </row>
    <row r="112">
      <c r="A112" s="3">
        <v>56.0</v>
      </c>
      <c r="B112" s="3" t="s">
        <v>178</v>
      </c>
      <c r="C112" s="7" t="s">
        <v>2</v>
      </c>
      <c r="D112" s="18" t="s">
        <v>179</v>
      </c>
      <c r="H112" s="7">
        <v>111.0</v>
      </c>
      <c r="I112" s="7" t="s">
        <v>175</v>
      </c>
      <c r="J112" s="7" t="s">
        <v>86</v>
      </c>
      <c r="K112" s="7" t="s">
        <v>9</v>
      </c>
      <c r="L112" s="7" t="str">
        <f>IFERROR(__xludf.DUMMYFUNCTION("""COMPUTED_VALUE"""),"IKDC")</f>
        <v>IKDC</v>
      </c>
    </row>
    <row r="113">
      <c r="A113" s="3">
        <v>56.0</v>
      </c>
      <c r="B113" s="3" t="s">
        <v>178</v>
      </c>
      <c r="C113" s="7" t="s">
        <v>9</v>
      </c>
      <c r="D113" s="18" t="s">
        <v>179</v>
      </c>
      <c r="H113" s="7">
        <v>112.0</v>
      </c>
      <c r="I113" s="7" t="s">
        <v>175</v>
      </c>
      <c r="J113" s="7" t="s">
        <v>86</v>
      </c>
      <c r="K113" s="7" t="s">
        <v>9</v>
      </c>
      <c r="L113" s="7" t="str">
        <f>IFERROR(__xludf.DUMMYFUNCTION("""COMPUTED_VALUE"""),"Instrumental laxity")</f>
        <v>Instrumental laxity</v>
      </c>
    </row>
    <row r="114">
      <c r="A114" s="3">
        <v>57.0</v>
      </c>
      <c r="B114" s="3" t="s">
        <v>180</v>
      </c>
      <c r="C114" s="7" t="s">
        <v>9</v>
      </c>
      <c r="D114" s="18" t="s">
        <v>14</v>
      </c>
      <c r="H114" s="7">
        <v>113.0</v>
      </c>
      <c r="I114" s="7" t="s">
        <v>175</v>
      </c>
      <c r="J114" s="7" t="s">
        <v>86</v>
      </c>
      <c r="K114" s="7" t="s">
        <v>9</v>
      </c>
      <c r="L114" s="7" t="str">
        <f>IFERROR(__xludf.DUMMYFUNCTION("""COMPUTED_VALUE"""),"Pivot shift")</f>
        <v>Pivot shift</v>
      </c>
    </row>
    <row r="115">
      <c r="A115" s="3">
        <v>57.0</v>
      </c>
      <c r="B115" s="3" t="s">
        <v>180</v>
      </c>
      <c r="C115" s="7" t="s">
        <v>10</v>
      </c>
      <c r="D115" s="18" t="s">
        <v>14</v>
      </c>
      <c r="H115" s="7">
        <v>114.0</v>
      </c>
      <c r="I115" s="7" t="s">
        <v>175</v>
      </c>
      <c r="J115" s="7" t="s">
        <v>86</v>
      </c>
      <c r="K115" s="7" t="s">
        <v>9</v>
      </c>
      <c r="L115" s="7" t="str">
        <f>IFERROR(__xludf.DUMMYFUNCTION("""COMPUTED_VALUE"""),"Lachman")</f>
        <v>Lachman</v>
      </c>
    </row>
    <row r="116">
      <c r="A116" s="3">
        <v>58.0</v>
      </c>
      <c r="B116" s="3" t="s">
        <v>181</v>
      </c>
      <c r="C116" s="7" t="s">
        <v>2</v>
      </c>
      <c r="D116" s="18" t="s">
        <v>182</v>
      </c>
      <c r="H116" s="7">
        <v>115.0</v>
      </c>
      <c r="I116" s="7" t="s">
        <v>183</v>
      </c>
      <c r="J116" s="7" t="s">
        <v>90</v>
      </c>
      <c r="K116" s="7" t="s">
        <v>2</v>
      </c>
      <c r="L116" s="7" t="str">
        <f>IFERROR(__xludf.DUMMYFUNCTION("""COMPUTED_VALUE"""),"Instrumental laxity")</f>
        <v>Instrumental laxity</v>
      </c>
    </row>
    <row r="117">
      <c r="A117" s="3">
        <v>58.0</v>
      </c>
      <c r="B117" s="3" t="s">
        <v>181</v>
      </c>
      <c r="C117" s="7" t="s">
        <v>9</v>
      </c>
      <c r="D117" s="18" t="s">
        <v>182</v>
      </c>
      <c r="H117" s="7">
        <v>116.0</v>
      </c>
      <c r="I117" s="7" t="s">
        <v>183</v>
      </c>
      <c r="J117" s="7" t="s">
        <v>90</v>
      </c>
      <c r="K117" s="7" t="s">
        <v>9</v>
      </c>
      <c r="L117" s="7" t="str">
        <f>IFERROR(__xludf.DUMMYFUNCTION("""COMPUTED_VALUE"""),"Instrumental laxity")</f>
        <v>Instrumental laxity</v>
      </c>
    </row>
    <row r="118">
      <c r="A118" s="3">
        <v>58.0</v>
      </c>
      <c r="B118" s="3" t="s">
        <v>181</v>
      </c>
      <c r="C118" s="7" t="s">
        <v>10</v>
      </c>
      <c r="D118" s="18" t="s">
        <v>182</v>
      </c>
      <c r="H118" s="7">
        <v>117.0</v>
      </c>
      <c r="I118" s="7" t="s">
        <v>184</v>
      </c>
      <c r="J118" s="7" t="s">
        <v>91</v>
      </c>
      <c r="K118" s="7" t="s">
        <v>2</v>
      </c>
      <c r="L118" s="7" t="str">
        <f>IFERROR(__xludf.DUMMYFUNCTION("""COMPUTED_VALUE"""),"Tegner")</f>
        <v>Tegner</v>
      </c>
    </row>
    <row r="119">
      <c r="A119" s="3">
        <v>59.0</v>
      </c>
      <c r="B119" s="3" t="s">
        <v>186</v>
      </c>
      <c r="C119" s="7" t="s">
        <v>2</v>
      </c>
      <c r="D119" s="18" t="s">
        <v>187</v>
      </c>
      <c r="H119" s="7">
        <v>118.0</v>
      </c>
      <c r="I119" s="7" t="s">
        <v>184</v>
      </c>
      <c r="J119" s="7" t="s">
        <v>91</v>
      </c>
      <c r="K119" s="7" t="s">
        <v>2</v>
      </c>
      <c r="L119" s="7" t="str">
        <f>IFERROR(__xludf.DUMMYFUNCTION("""COMPUTED_VALUE"""),"Lysholm")</f>
        <v>Lysholm</v>
      </c>
    </row>
    <row r="120">
      <c r="A120" s="3">
        <v>59.0</v>
      </c>
      <c r="B120" s="3" t="s">
        <v>186</v>
      </c>
      <c r="C120" s="7" t="s">
        <v>9</v>
      </c>
      <c r="D120" s="18" t="s">
        <v>187</v>
      </c>
      <c r="H120" s="7">
        <v>119.0</v>
      </c>
      <c r="I120" s="7" t="s">
        <v>184</v>
      </c>
      <c r="J120" s="7" t="s">
        <v>91</v>
      </c>
      <c r="K120" s="7" t="s">
        <v>2</v>
      </c>
      <c r="L120" s="7" t="str">
        <f>IFERROR(__xludf.DUMMYFUNCTION("""COMPUTED_VALUE"""),"Instrumental laxity")</f>
        <v>Instrumental laxity</v>
      </c>
    </row>
    <row r="121">
      <c r="A121" s="3">
        <v>60.0</v>
      </c>
      <c r="B121" s="3" t="s">
        <v>189</v>
      </c>
      <c r="C121" s="7" t="s">
        <v>2</v>
      </c>
      <c r="D121" s="18" t="s">
        <v>143</v>
      </c>
      <c r="H121" s="7">
        <v>120.0</v>
      </c>
      <c r="I121" s="7" t="s">
        <v>184</v>
      </c>
      <c r="J121" s="7" t="s">
        <v>91</v>
      </c>
      <c r="K121" s="7" t="s">
        <v>2</v>
      </c>
      <c r="L121" s="7" t="str">
        <f>IFERROR(__xludf.DUMMYFUNCTION("""COMPUTED_VALUE"""),"Lachman")</f>
        <v>Lachman</v>
      </c>
    </row>
    <row r="122">
      <c r="A122" s="3">
        <v>60.0</v>
      </c>
      <c r="B122" s="3" t="s">
        <v>189</v>
      </c>
      <c r="C122" s="7" t="s">
        <v>9</v>
      </c>
      <c r="D122" s="18" t="s">
        <v>143</v>
      </c>
      <c r="H122" s="7">
        <v>121.0</v>
      </c>
      <c r="I122" s="7" t="s">
        <v>184</v>
      </c>
      <c r="J122" s="7" t="s">
        <v>91</v>
      </c>
      <c r="K122" s="7" t="s">
        <v>9</v>
      </c>
      <c r="L122" s="7" t="str">
        <f>IFERROR(__xludf.DUMMYFUNCTION("""COMPUTED_VALUE"""),"Tegner")</f>
        <v>Tegner</v>
      </c>
    </row>
    <row r="123">
      <c r="A123" s="3">
        <v>61.0</v>
      </c>
      <c r="B123" s="3" t="s">
        <v>190</v>
      </c>
      <c r="C123" s="7" t="s">
        <v>9</v>
      </c>
      <c r="D123" s="18" t="s">
        <v>14</v>
      </c>
      <c r="H123" s="7">
        <v>122.0</v>
      </c>
      <c r="I123" s="7" t="s">
        <v>184</v>
      </c>
      <c r="J123" s="7" t="s">
        <v>91</v>
      </c>
      <c r="K123" s="7" t="s">
        <v>9</v>
      </c>
      <c r="L123" s="7" t="str">
        <f>IFERROR(__xludf.DUMMYFUNCTION("""COMPUTED_VALUE"""),"Lysholm")</f>
        <v>Lysholm</v>
      </c>
    </row>
    <row r="124">
      <c r="A124" s="3">
        <v>61.0</v>
      </c>
      <c r="B124" s="3" t="s">
        <v>190</v>
      </c>
      <c r="C124" s="7" t="s">
        <v>10</v>
      </c>
      <c r="D124" s="18" t="s">
        <v>14</v>
      </c>
      <c r="H124" s="7">
        <v>123.0</v>
      </c>
      <c r="I124" s="7" t="s">
        <v>184</v>
      </c>
      <c r="J124" s="7" t="s">
        <v>91</v>
      </c>
      <c r="K124" s="7" t="s">
        <v>9</v>
      </c>
      <c r="L124" s="7" t="str">
        <f>IFERROR(__xludf.DUMMYFUNCTION("""COMPUTED_VALUE"""),"Instrumental laxity")</f>
        <v>Instrumental laxity</v>
      </c>
    </row>
    <row r="125">
      <c r="A125" s="3">
        <v>62.0</v>
      </c>
      <c r="B125" s="3" t="s">
        <v>192</v>
      </c>
      <c r="C125" s="7" t="s">
        <v>2</v>
      </c>
      <c r="D125" s="18" t="s">
        <v>100</v>
      </c>
      <c r="H125" s="7">
        <v>124.0</v>
      </c>
      <c r="I125" s="7" t="s">
        <v>184</v>
      </c>
      <c r="J125" s="7" t="s">
        <v>91</v>
      </c>
      <c r="K125" s="7" t="s">
        <v>9</v>
      </c>
      <c r="L125" s="7" t="str">
        <f>IFERROR(__xludf.DUMMYFUNCTION("""COMPUTED_VALUE"""),"Lachman")</f>
        <v>Lachman</v>
      </c>
    </row>
    <row r="126">
      <c r="A126" s="3">
        <v>62.0</v>
      </c>
      <c r="B126" s="3" t="s">
        <v>192</v>
      </c>
      <c r="C126" s="7" t="s">
        <v>9</v>
      </c>
      <c r="D126" s="18" t="s">
        <v>100</v>
      </c>
      <c r="H126" s="7">
        <v>125.0</v>
      </c>
      <c r="I126" s="7" t="s">
        <v>193</v>
      </c>
      <c r="J126" s="7" t="s">
        <v>93</v>
      </c>
      <c r="K126" s="7" t="s">
        <v>2</v>
      </c>
      <c r="L126" s="7" t="str">
        <f>IFERROR(__xludf.DUMMYFUNCTION("""COMPUTED_VALUE"""),"IKDC")</f>
        <v>IKDC</v>
      </c>
    </row>
    <row r="127">
      <c r="A127" s="3">
        <v>63.0</v>
      </c>
      <c r="B127" s="3" t="s">
        <v>194</v>
      </c>
      <c r="C127" s="7" t="s">
        <v>2</v>
      </c>
      <c r="D127" s="18" t="s">
        <v>94</v>
      </c>
      <c r="H127" s="7">
        <v>126.0</v>
      </c>
      <c r="I127" s="7" t="s">
        <v>193</v>
      </c>
      <c r="J127" s="7" t="s">
        <v>93</v>
      </c>
      <c r="K127" s="7" t="s">
        <v>2</v>
      </c>
      <c r="L127" s="7" t="str">
        <f>IFERROR(__xludf.DUMMYFUNCTION("""COMPUTED_VALUE"""),"Tegner")</f>
        <v>Tegner</v>
      </c>
    </row>
    <row r="128">
      <c r="A128" s="3">
        <v>63.0</v>
      </c>
      <c r="B128" s="3" t="s">
        <v>194</v>
      </c>
      <c r="C128" s="7" t="s">
        <v>10</v>
      </c>
      <c r="D128" s="18" t="s">
        <v>94</v>
      </c>
      <c r="H128" s="7">
        <v>127.0</v>
      </c>
      <c r="I128" s="7" t="s">
        <v>193</v>
      </c>
      <c r="J128" s="7" t="s">
        <v>93</v>
      </c>
      <c r="K128" s="7" t="s">
        <v>2</v>
      </c>
      <c r="L128" s="7" t="str">
        <f>IFERROR(__xludf.DUMMYFUNCTION("""COMPUTED_VALUE"""),"Lysholm")</f>
        <v>Lysholm</v>
      </c>
    </row>
    <row r="129">
      <c r="A129" s="3">
        <v>64.0</v>
      </c>
      <c r="B129" s="3" t="s">
        <v>196</v>
      </c>
      <c r="C129" s="7" t="s">
        <v>2</v>
      </c>
      <c r="D129" s="18" t="s">
        <v>76</v>
      </c>
      <c r="H129" s="7">
        <v>128.0</v>
      </c>
      <c r="I129" s="7" t="s">
        <v>193</v>
      </c>
      <c r="J129" s="7" t="s">
        <v>93</v>
      </c>
      <c r="K129" s="7" t="s">
        <v>2</v>
      </c>
      <c r="L129" s="7" t="str">
        <f>IFERROR(__xludf.DUMMYFUNCTION("""COMPUTED_VALUE"""),"Instrumental laxity")</f>
        <v>Instrumental laxity</v>
      </c>
    </row>
    <row r="130">
      <c r="A130" s="3">
        <v>64.0</v>
      </c>
      <c r="B130" s="3" t="s">
        <v>196</v>
      </c>
      <c r="C130" s="7" t="s">
        <v>9</v>
      </c>
      <c r="D130" s="18" t="s">
        <v>76</v>
      </c>
      <c r="H130" s="7">
        <v>129.0</v>
      </c>
      <c r="I130" s="7" t="s">
        <v>193</v>
      </c>
      <c r="J130" s="7" t="s">
        <v>93</v>
      </c>
      <c r="K130" s="7" t="s">
        <v>9</v>
      </c>
      <c r="L130" s="7" t="str">
        <f>IFERROR(__xludf.DUMMYFUNCTION("""COMPUTED_VALUE"""),"IKDC")</f>
        <v>IKDC</v>
      </c>
    </row>
    <row r="131">
      <c r="A131" s="3">
        <v>65.0</v>
      </c>
      <c r="B131" s="3" t="s">
        <v>197</v>
      </c>
      <c r="C131" s="7" t="s">
        <v>2</v>
      </c>
      <c r="D131" s="18" t="s">
        <v>198</v>
      </c>
      <c r="H131" s="7">
        <v>130.0</v>
      </c>
      <c r="I131" s="7" t="s">
        <v>193</v>
      </c>
      <c r="J131" s="7" t="s">
        <v>93</v>
      </c>
      <c r="K131" s="7" t="s">
        <v>9</v>
      </c>
      <c r="L131" s="7" t="str">
        <f>IFERROR(__xludf.DUMMYFUNCTION("""COMPUTED_VALUE"""),"Tegner")</f>
        <v>Tegner</v>
      </c>
    </row>
    <row r="132">
      <c r="A132" s="3">
        <v>65.0</v>
      </c>
      <c r="B132" s="3" t="s">
        <v>197</v>
      </c>
      <c r="C132" s="7" t="s">
        <v>9</v>
      </c>
      <c r="D132" s="18" t="s">
        <v>198</v>
      </c>
      <c r="H132" s="7">
        <v>131.0</v>
      </c>
      <c r="I132" s="7" t="s">
        <v>193</v>
      </c>
      <c r="J132" s="7" t="s">
        <v>93</v>
      </c>
      <c r="K132" s="7" t="s">
        <v>9</v>
      </c>
      <c r="L132" s="7" t="str">
        <f>IFERROR(__xludf.DUMMYFUNCTION("""COMPUTED_VALUE"""),"Lysholm")</f>
        <v>Lysholm</v>
      </c>
    </row>
    <row r="133">
      <c r="A133" s="3">
        <v>66.0</v>
      </c>
      <c r="B133" s="3" t="s">
        <v>200</v>
      </c>
      <c r="C133" s="7" t="s">
        <v>9</v>
      </c>
      <c r="D133" s="18" t="s">
        <v>201</v>
      </c>
      <c r="H133" s="7">
        <v>132.0</v>
      </c>
      <c r="I133" s="7" t="s">
        <v>193</v>
      </c>
      <c r="J133" s="7" t="s">
        <v>93</v>
      </c>
      <c r="K133" s="7" t="s">
        <v>9</v>
      </c>
      <c r="L133" s="7" t="str">
        <f>IFERROR(__xludf.DUMMYFUNCTION("""COMPUTED_VALUE"""),"Instrumental laxity")</f>
        <v>Instrumental laxity</v>
      </c>
    </row>
    <row r="134">
      <c r="A134" s="3">
        <v>66.0</v>
      </c>
      <c r="B134" s="3" t="s">
        <v>200</v>
      </c>
      <c r="C134" s="7" t="s">
        <v>10</v>
      </c>
      <c r="D134" s="18" t="s">
        <v>201</v>
      </c>
      <c r="H134" s="7">
        <v>133.0</v>
      </c>
      <c r="I134" s="7" t="s">
        <v>202</v>
      </c>
      <c r="J134" s="7" t="s">
        <v>97</v>
      </c>
      <c r="K134" s="7" t="s">
        <v>2</v>
      </c>
      <c r="L134" s="7" t="str">
        <f>IFERROR(__xludf.DUMMYFUNCTION("""COMPUTED_VALUE"""),"IKDC")</f>
        <v>IKDC</v>
      </c>
    </row>
    <row r="135">
      <c r="A135" s="3">
        <v>67.0</v>
      </c>
      <c r="B135" s="3" t="s">
        <v>203</v>
      </c>
      <c r="C135" s="7" t="s">
        <v>9</v>
      </c>
      <c r="D135" s="18" t="s">
        <v>204</v>
      </c>
      <c r="H135" s="7">
        <v>134.0</v>
      </c>
      <c r="I135" s="7" t="s">
        <v>202</v>
      </c>
      <c r="J135" s="7" t="s">
        <v>97</v>
      </c>
      <c r="K135" s="7" t="s">
        <v>2</v>
      </c>
      <c r="L135" s="7" t="str">
        <f>IFERROR(__xludf.DUMMYFUNCTION("""COMPUTED_VALUE"""),"Lysholm")</f>
        <v>Lysholm</v>
      </c>
    </row>
    <row r="136">
      <c r="A136" s="3">
        <v>67.0</v>
      </c>
      <c r="B136" s="3" t="s">
        <v>203</v>
      </c>
      <c r="C136" s="7" t="s">
        <v>13</v>
      </c>
      <c r="D136" s="18" t="s">
        <v>204</v>
      </c>
      <c r="H136" s="7">
        <v>135.0</v>
      </c>
      <c r="I136" s="7" t="s">
        <v>202</v>
      </c>
      <c r="J136" s="7" t="s">
        <v>97</v>
      </c>
      <c r="K136" s="7" t="s">
        <v>2</v>
      </c>
      <c r="L136" s="7" t="str">
        <f>IFERROR(__xludf.DUMMYFUNCTION("""COMPUTED_VALUE"""),"Pivot shift")</f>
        <v>Pivot shift</v>
      </c>
    </row>
    <row r="137">
      <c r="A137" s="3">
        <v>68.0</v>
      </c>
      <c r="B137" s="3" t="s">
        <v>205</v>
      </c>
      <c r="C137" s="7" t="s">
        <v>2</v>
      </c>
      <c r="D137" s="18" t="s">
        <v>76</v>
      </c>
      <c r="H137" s="7">
        <v>136.0</v>
      </c>
      <c r="I137" s="7" t="s">
        <v>202</v>
      </c>
      <c r="J137" s="7" t="s">
        <v>97</v>
      </c>
      <c r="K137" s="7" t="s">
        <v>2</v>
      </c>
      <c r="L137" s="7" t="str">
        <f>IFERROR(__xludf.DUMMYFUNCTION("""COMPUTED_VALUE"""),"Lachman")</f>
        <v>Lachman</v>
      </c>
    </row>
    <row r="138">
      <c r="A138" s="3">
        <v>68.0</v>
      </c>
      <c r="B138" s="3" t="s">
        <v>205</v>
      </c>
      <c r="C138" s="7" t="s">
        <v>9</v>
      </c>
      <c r="D138" s="18" t="s">
        <v>76</v>
      </c>
      <c r="H138" s="7">
        <v>137.0</v>
      </c>
      <c r="I138" s="7" t="s">
        <v>202</v>
      </c>
      <c r="J138" s="7" t="s">
        <v>97</v>
      </c>
      <c r="K138" s="7" t="s">
        <v>9</v>
      </c>
      <c r="L138" s="7" t="str">
        <f>IFERROR(__xludf.DUMMYFUNCTION("""COMPUTED_VALUE"""),"IKDC")</f>
        <v>IKDC</v>
      </c>
    </row>
    <row r="139">
      <c r="H139" s="7">
        <v>138.0</v>
      </c>
      <c r="I139" s="7" t="s">
        <v>202</v>
      </c>
      <c r="J139" s="7" t="s">
        <v>97</v>
      </c>
      <c r="K139" s="7" t="s">
        <v>9</v>
      </c>
      <c r="L139" s="7" t="str">
        <f>IFERROR(__xludf.DUMMYFUNCTION("""COMPUTED_VALUE"""),"Lysholm")</f>
        <v>Lysholm</v>
      </c>
    </row>
    <row r="140">
      <c r="H140" s="7">
        <v>139.0</v>
      </c>
      <c r="I140" s="7" t="s">
        <v>202</v>
      </c>
      <c r="J140" s="7" t="s">
        <v>97</v>
      </c>
      <c r="K140" s="7" t="s">
        <v>9</v>
      </c>
      <c r="L140" s="7" t="str">
        <f>IFERROR(__xludf.DUMMYFUNCTION("""COMPUTED_VALUE"""),"Pivot shift")</f>
        <v>Pivot shift</v>
      </c>
    </row>
    <row r="141">
      <c r="H141" s="7">
        <v>140.0</v>
      </c>
      <c r="I141" s="7" t="s">
        <v>202</v>
      </c>
      <c r="J141" s="7" t="s">
        <v>97</v>
      </c>
      <c r="K141" s="7" t="s">
        <v>9</v>
      </c>
      <c r="L141" s="7" t="str">
        <f>IFERROR(__xludf.DUMMYFUNCTION("""COMPUTED_VALUE"""),"Lachman")</f>
        <v>Lachman</v>
      </c>
    </row>
    <row r="142">
      <c r="H142" s="7">
        <v>141.0</v>
      </c>
      <c r="I142" s="7" t="s">
        <v>206</v>
      </c>
      <c r="J142" s="7" t="s">
        <v>99</v>
      </c>
      <c r="K142" s="7" t="s">
        <v>2</v>
      </c>
      <c r="L142" s="7" t="str">
        <f>IFERROR(__xludf.DUMMYFUNCTION("""COMPUTED_VALUE"""),"IKDC")</f>
        <v>IKDC</v>
      </c>
    </row>
    <row r="143">
      <c r="H143" s="7">
        <v>142.0</v>
      </c>
      <c r="I143" s="7" t="s">
        <v>206</v>
      </c>
      <c r="J143" s="7" t="s">
        <v>99</v>
      </c>
      <c r="K143" s="7" t="s">
        <v>2</v>
      </c>
      <c r="L143" s="7" t="str">
        <f>IFERROR(__xludf.DUMMYFUNCTION("""COMPUTED_VALUE"""),"Tegner")</f>
        <v>Tegner</v>
      </c>
    </row>
    <row r="144">
      <c r="H144" s="7">
        <v>143.0</v>
      </c>
      <c r="I144" s="7" t="s">
        <v>206</v>
      </c>
      <c r="J144" s="7" t="s">
        <v>99</v>
      </c>
      <c r="K144" s="7" t="s">
        <v>2</v>
      </c>
      <c r="L144" s="7" t="str">
        <f>IFERROR(__xludf.DUMMYFUNCTION("""COMPUTED_VALUE"""),"Lysholm")</f>
        <v>Lysholm</v>
      </c>
    </row>
    <row r="145">
      <c r="H145" s="7">
        <v>144.0</v>
      </c>
      <c r="I145" s="7" t="s">
        <v>206</v>
      </c>
      <c r="J145" s="7" t="s">
        <v>99</v>
      </c>
      <c r="K145" s="7" t="s">
        <v>2</v>
      </c>
      <c r="L145" s="7" t="str">
        <f>IFERROR(__xludf.DUMMYFUNCTION("""COMPUTED_VALUE"""),"Instrumental laxity")</f>
        <v>Instrumental laxity</v>
      </c>
    </row>
    <row r="146">
      <c r="H146" s="7">
        <v>145.0</v>
      </c>
      <c r="I146" s="7" t="s">
        <v>206</v>
      </c>
      <c r="J146" s="7" t="s">
        <v>99</v>
      </c>
      <c r="K146" s="7" t="s">
        <v>2</v>
      </c>
      <c r="L146" s="7" t="str">
        <f>IFERROR(__xludf.DUMMYFUNCTION("""COMPUTED_VALUE"""),"Pivot shift")</f>
        <v>Pivot shift</v>
      </c>
    </row>
    <row r="147">
      <c r="H147" s="7">
        <v>146.0</v>
      </c>
      <c r="I147" s="7" t="s">
        <v>206</v>
      </c>
      <c r="J147" s="7" t="s">
        <v>99</v>
      </c>
      <c r="K147" s="7" t="s">
        <v>9</v>
      </c>
      <c r="L147" s="7" t="str">
        <f>IFERROR(__xludf.DUMMYFUNCTION("""COMPUTED_VALUE"""),"IKDC")</f>
        <v>IKDC</v>
      </c>
    </row>
    <row r="148">
      <c r="H148" s="7">
        <v>147.0</v>
      </c>
      <c r="I148" s="7" t="s">
        <v>206</v>
      </c>
      <c r="J148" s="7" t="s">
        <v>99</v>
      </c>
      <c r="K148" s="7" t="s">
        <v>9</v>
      </c>
      <c r="L148" s="7" t="str">
        <f>IFERROR(__xludf.DUMMYFUNCTION("""COMPUTED_VALUE"""),"Tegner")</f>
        <v>Tegner</v>
      </c>
    </row>
    <row r="149">
      <c r="H149" s="7">
        <v>148.0</v>
      </c>
      <c r="I149" s="7" t="s">
        <v>206</v>
      </c>
      <c r="J149" s="7" t="s">
        <v>99</v>
      </c>
      <c r="K149" s="7" t="s">
        <v>9</v>
      </c>
      <c r="L149" s="7" t="str">
        <f>IFERROR(__xludf.DUMMYFUNCTION("""COMPUTED_VALUE"""),"Lysholm")</f>
        <v>Lysholm</v>
      </c>
    </row>
    <row r="150">
      <c r="H150" s="7">
        <v>149.0</v>
      </c>
      <c r="I150" s="7" t="s">
        <v>206</v>
      </c>
      <c r="J150" s="7" t="s">
        <v>99</v>
      </c>
      <c r="K150" s="7" t="s">
        <v>9</v>
      </c>
      <c r="L150" s="7" t="str">
        <f>IFERROR(__xludf.DUMMYFUNCTION("""COMPUTED_VALUE"""),"Instrumental laxity")</f>
        <v>Instrumental laxity</v>
      </c>
    </row>
    <row r="151">
      <c r="H151" s="7">
        <v>150.0</v>
      </c>
      <c r="I151" s="7" t="s">
        <v>206</v>
      </c>
      <c r="J151" s="7" t="s">
        <v>99</v>
      </c>
      <c r="K151" s="7" t="s">
        <v>9</v>
      </c>
      <c r="L151" s="7" t="str">
        <f>IFERROR(__xludf.DUMMYFUNCTION("""COMPUTED_VALUE"""),"Pivot shift")</f>
        <v>Pivot shift</v>
      </c>
    </row>
    <row r="152">
      <c r="H152" s="7">
        <v>151.0</v>
      </c>
      <c r="I152" s="7" t="s">
        <v>208</v>
      </c>
      <c r="J152" s="7" t="s">
        <v>103</v>
      </c>
      <c r="K152" s="7" t="s">
        <v>2</v>
      </c>
      <c r="L152" s="7" t="str">
        <f>IFERROR(__xludf.DUMMYFUNCTION("""COMPUTED_VALUE"""),"Tegner")</f>
        <v>Tegner</v>
      </c>
    </row>
    <row r="153">
      <c r="H153" s="7">
        <v>152.0</v>
      </c>
      <c r="I153" s="7" t="s">
        <v>208</v>
      </c>
      <c r="J153" s="7" t="s">
        <v>103</v>
      </c>
      <c r="K153" s="7" t="s">
        <v>2</v>
      </c>
      <c r="L153" s="7" t="str">
        <f>IFERROR(__xludf.DUMMYFUNCTION("""COMPUTED_VALUE"""),"Instrumental laxity")</f>
        <v>Instrumental laxity</v>
      </c>
    </row>
    <row r="154">
      <c r="H154" s="7">
        <v>153.0</v>
      </c>
      <c r="I154" s="7" t="s">
        <v>208</v>
      </c>
      <c r="J154" s="7" t="s">
        <v>103</v>
      </c>
      <c r="K154" s="7" t="s">
        <v>2</v>
      </c>
      <c r="L154" s="7" t="str">
        <f>IFERROR(__xludf.DUMMYFUNCTION("""COMPUTED_VALUE"""),"Pivot shift")</f>
        <v>Pivot shift</v>
      </c>
    </row>
    <row r="155">
      <c r="H155" s="7">
        <v>154.0</v>
      </c>
      <c r="I155" s="7" t="s">
        <v>208</v>
      </c>
      <c r="J155" s="7" t="s">
        <v>103</v>
      </c>
      <c r="K155" s="7" t="s">
        <v>9</v>
      </c>
      <c r="L155" s="7" t="str">
        <f>IFERROR(__xludf.DUMMYFUNCTION("""COMPUTED_VALUE"""),"Tegner")</f>
        <v>Tegner</v>
      </c>
    </row>
    <row r="156">
      <c r="H156" s="7">
        <v>155.0</v>
      </c>
      <c r="I156" s="7" t="s">
        <v>208</v>
      </c>
      <c r="J156" s="7" t="s">
        <v>103</v>
      </c>
      <c r="K156" s="7" t="s">
        <v>9</v>
      </c>
      <c r="L156" s="7" t="str">
        <f>IFERROR(__xludf.DUMMYFUNCTION("""COMPUTED_VALUE"""),"Instrumental laxity")</f>
        <v>Instrumental laxity</v>
      </c>
    </row>
    <row r="157">
      <c r="H157" s="7">
        <v>156.0</v>
      </c>
      <c r="I157" s="7" t="s">
        <v>208</v>
      </c>
      <c r="J157" s="7" t="s">
        <v>103</v>
      </c>
      <c r="K157" s="7" t="s">
        <v>9</v>
      </c>
      <c r="L157" s="7" t="str">
        <f>IFERROR(__xludf.DUMMYFUNCTION("""COMPUTED_VALUE"""),"Pivot shift")</f>
        <v>Pivot shift</v>
      </c>
    </row>
    <row r="158">
      <c r="H158" s="7">
        <v>157.0</v>
      </c>
      <c r="I158" s="7" t="s">
        <v>211</v>
      </c>
      <c r="J158" s="7" t="s">
        <v>105</v>
      </c>
      <c r="K158" s="7" t="s">
        <v>2</v>
      </c>
      <c r="L158" s="7" t="str">
        <f>IFERROR(__xludf.DUMMYFUNCTION("""COMPUTED_VALUE"""),"Instrumental laxity")</f>
        <v>Instrumental laxity</v>
      </c>
    </row>
    <row r="159">
      <c r="H159" s="7">
        <v>158.0</v>
      </c>
      <c r="I159" s="7" t="s">
        <v>211</v>
      </c>
      <c r="J159" s="7" t="s">
        <v>105</v>
      </c>
      <c r="K159" s="7" t="s">
        <v>2</v>
      </c>
      <c r="L159" s="7" t="str">
        <f>IFERROR(__xludf.DUMMYFUNCTION("""COMPUTED_VALUE"""),"Tegner")</f>
        <v>Tegner</v>
      </c>
    </row>
    <row r="160">
      <c r="H160" s="7">
        <v>159.0</v>
      </c>
      <c r="I160" s="7" t="s">
        <v>211</v>
      </c>
      <c r="J160" s="7" t="s">
        <v>105</v>
      </c>
      <c r="K160" s="7" t="s">
        <v>9</v>
      </c>
      <c r="L160" s="7" t="str">
        <f>IFERROR(__xludf.DUMMYFUNCTION("""COMPUTED_VALUE"""),"Instrumental laxity")</f>
        <v>Instrumental laxity</v>
      </c>
    </row>
    <row r="161">
      <c r="H161" s="7">
        <v>160.0</v>
      </c>
      <c r="I161" s="7" t="s">
        <v>211</v>
      </c>
      <c r="J161" s="7" t="s">
        <v>105</v>
      </c>
      <c r="K161" s="7" t="s">
        <v>9</v>
      </c>
      <c r="L161" s="7" t="str">
        <f>IFERROR(__xludf.DUMMYFUNCTION("""COMPUTED_VALUE"""),"Tegner")</f>
        <v>Tegner</v>
      </c>
    </row>
    <row r="162">
      <c r="H162" s="7">
        <v>161.0</v>
      </c>
      <c r="I162" s="7" t="s">
        <v>212</v>
      </c>
      <c r="J162" s="7" t="s">
        <v>107</v>
      </c>
      <c r="K162" s="7" t="s">
        <v>9</v>
      </c>
      <c r="L162" s="7" t="str">
        <f>IFERROR(__xludf.DUMMYFUNCTION("""COMPUTED_VALUE"""),"IKDC")</f>
        <v>IKDC</v>
      </c>
    </row>
    <row r="163">
      <c r="H163" s="7">
        <v>162.0</v>
      </c>
      <c r="I163" s="7" t="s">
        <v>212</v>
      </c>
      <c r="J163" s="7" t="s">
        <v>107</v>
      </c>
      <c r="K163" s="7" t="s">
        <v>9</v>
      </c>
      <c r="L163" s="7" t="str">
        <f>IFERROR(__xludf.DUMMYFUNCTION("""COMPUTED_VALUE"""),"Lysholm")</f>
        <v>Lysholm</v>
      </c>
    </row>
    <row r="164">
      <c r="H164" s="7">
        <v>163.0</v>
      </c>
      <c r="I164" s="7" t="s">
        <v>212</v>
      </c>
      <c r="J164" s="7" t="s">
        <v>107</v>
      </c>
      <c r="K164" s="7" t="s">
        <v>9</v>
      </c>
      <c r="L164" s="7" t="str">
        <f>IFERROR(__xludf.DUMMYFUNCTION("""COMPUTED_VALUE"""),"Instrumental laxity")</f>
        <v>Instrumental laxity</v>
      </c>
    </row>
    <row r="165">
      <c r="H165" s="7">
        <v>164.0</v>
      </c>
      <c r="I165" s="7" t="s">
        <v>212</v>
      </c>
      <c r="J165" s="7" t="s">
        <v>107</v>
      </c>
      <c r="K165" s="7" t="s">
        <v>10</v>
      </c>
      <c r="L165" s="7" t="str">
        <f>IFERROR(__xludf.DUMMYFUNCTION("""COMPUTED_VALUE"""),"IKDC")</f>
        <v>IKDC</v>
      </c>
    </row>
    <row r="166">
      <c r="H166" s="7">
        <v>165.0</v>
      </c>
      <c r="I166" s="7" t="s">
        <v>212</v>
      </c>
      <c r="J166" s="7" t="s">
        <v>107</v>
      </c>
      <c r="K166" s="7" t="s">
        <v>10</v>
      </c>
      <c r="L166" s="7" t="str">
        <f>IFERROR(__xludf.DUMMYFUNCTION("""COMPUTED_VALUE"""),"Lysholm")</f>
        <v>Lysholm</v>
      </c>
    </row>
    <row r="167">
      <c r="H167" s="7">
        <v>166.0</v>
      </c>
      <c r="I167" s="7" t="s">
        <v>212</v>
      </c>
      <c r="J167" s="7" t="s">
        <v>107</v>
      </c>
      <c r="K167" s="7" t="s">
        <v>10</v>
      </c>
      <c r="L167" s="7" t="str">
        <f>IFERROR(__xludf.DUMMYFUNCTION("""COMPUTED_VALUE"""),"Instrumental laxity")</f>
        <v>Instrumental laxity</v>
      </c>
    </row>
    <row r="168">
      <c r="H168" s="7">
        <v>167.0</v>
      </c>
      <c r="I168" s="7" t="s">
        <v>214</v>
      </c>
      <c r="J168" s="7" t="s">
        <v>110</v>
      </c>
      <c r="K168" s="7" t="s">
        <v>2</v>
      </c>
      <c r="L168" s="7" t="str">
        <f>IFERROR(__xludf.DUMMYFUNCTION("""COMPUTED_VALUE"""),"Lachman")</f>
        <v>Lachman</v>
      </c>
    </row>
    <row r="169">
      <c r="H169" s="7">
        <v>168.0</v>
      </c>
      <c r="I169" s="7" t="s">
        <v>214</v>
      </c>
      <c r="J169" s="7" t="s">
        <v>110</v>
      </c>
      <c r="K169" s="7" t="s">
        <v>2</v>
      </c>
      <c r="L169" s="7" t="str">
        <f>IFERROR(__xludf.DUMMYFUNCTION("""COMPUTED_VALUE"""),"Lysholm")</f>
        <v>Lysholm</v>
      </c>
    </row>
    <row r="170">
      <c r="H170" s="7">
        <v>169.0</v>
      </c>
      <c r="I170" s="7" t="s">
        <v>214</v>
      </c>
      <c r="J170" s="7" t="s">
        <v>110</v>
      </c>
      <c r="K170" s="7" t="s">
        <v>2</v>
      </c>
      <c r="L170" s="7" t="str">
        <f>IFERROR(__xludf.DUMMYFUNCTION("""COMPUTED_VALUE"""),"Instrumental laxity")</f>
        <v>Instrumental laxity</v>
      </c>
    </row>
    <row r="171">
      <c r="H171" s="7">
        <v>170.0</v>
      </c>
      <c r="I171" s="7" t="s">
        <v>214</v>
      </c>
      <c r="J171" s="7" t="s">
        <v>110</v>
      </c>
      <c r="K171" s="7" t="s">
        <v>2</v>
      </c>
      <c r="L171" s="7" t="str">
        <f>IFERROR(__xludf.DUMMYFUNCTION("""COMPUTED_VALUE"""),"Pivot shift")</f>
        <v>Pivot shift</v>
      </c>
    </row>
    <row r="172">
      <c r="H172" s="7">
        <v>171.0</v>
      </c>
      <c r="I172" s="7" t="s">
        <v>214</v>
      </c>
      <c r="J172" s="7" t="s">
        <v>110</v>
      </c>
      <c r="K172" s="7" t="s">
        <v>9</v>
      </c>
      <c r="L172" s="7" t="str">
        <f>IFERROR(__xludf.DUMMYFUNCTION("""COMPUTED_VALUE"""),"Lachman")</f>
        <v>Lachman</v>
      </c>
    </row>
    <row r="173">
      <c r="H173" s="7">
        <v>172.0</v>
      </c>
      <c r="I173" s="7" t="s">
        <v>214</v>
      </c>
      <c r="J173" s="7" t="s">
        <v>110</v>
      </c>
      <c r="K173" s="7" t="s">
        <v>9</v>
      </c>
      <c r="L173" s="7" t="str">
        <f>IFERROR(__xludf.DUMMYFUNCTION("""COMPUTED_VALUE"""),"Lysholm")</f>
        <v>Lysholm</v>
      </c>
    </row>
    <row r="174">
      <c r="H174" s="7">
        <v>173.0</v>
      </c>
      <c r="I174" s="7" t="s">
        <v>214</v>
      </c>
      <c r="J174" s="7" t="s">
        <v>110</v>
      </c>
      <c r="K174" s="7" t="s">
        <v>9</v>
      </c>
      <c r="L174" s="7" t="str">
        <f>IFERROR(__xludf.DUMMYFUNCTION("""COMPUTED_VALUE"""),"Instrumental laxity")</f>
        <v>Instrumental laxity</v>
      </c>
    </row>
    <row r="175">
      <c r="H175" s="7">
        <v>174.0</v>
      </c>
      <c r="I175" s="7" t="s">
        <v>214</v>
      </c>
      <c r="J175" s="7" t="s">
        <v>110</v>
      </c>
      <c r="K175" s="7" t="s">
        <v>9</v>
      </c>
      <c r="L175" s="7" t="str">
        <f>IFERROR(__xludf.DUMMYFUNCTION("""COMPUTED_VALUE"""),"Pivot shift")</f>
        <v>Pivot shift</v>
      </c>
    </row>
    <row r="176">
      <c r="H176" s="7">
        <v>175.0</v>
      </c>
      <c r="I176" s="7" t="s">
        <v>215</v>
      </c>
      <c r="J176" s="7" t="s">
        <v>113</v>
      </c>
      <c r="K176" s="7" t="s">
        <v>2</v>
      </c>
      <c r="L176" s="7" t="str">
        <f>IFERROR(__xludf.DUMMYFUNCTION("""COMPUTED_VALUE"""),"IKDC")</f>
        <v>IKDC</v>
      </c>
    </row>
    <row r="177">
      <c r="H177" s="7">
        <v>176.0</v>
      </c>
      <c r="I177" s="7" t="s">
        <v>215</v>
      </c>
      <c r="J177" s="7" t="s">
        <v>113</v>
      </c>
      <c r="K177" s="7" t="s">
        <v>2</v>
      </c>
      <c r="L177" s="7" t="str">
        <f>IFERROR(__xludf.DUMMYFUNCTION("""COMPUTED_VALUE"""),"Lysholm")</f>
        <v>Lysholm</v>
      </c>
    </row>
    <row r="178">
      <c r="H178" s="7">
        <v>177.0</v>
      </c>
      <c r="I178" s="7" t="s">
        <v>215</v>
      </c>
      <c r="J178" s="7" t="s">
        <v>113</v>
      </c>
      <c r="K178" s="7" t="s">
        <v>2</v>
      </c>
      <c r="L178" s="7" t="str">
        <f>IFERROR(__xludf.DUMMYFUNCTION("""COMPUTED_VALUE"""),"Pivot shift")</f>
        <v>Pivot shift</v>
      </c>
    </row>
    <row r="179">
      <c r="H179" s="7">
        <v>178.0</v>
      </c>
      <c r="I179" s="7" t="s">
        <v>215</v>
      </c>
      <c r="J179" s="7" t="s">
        <v>113</v>
      </c>
      <c r="K179" s="7" t="s">
        <v>2</v>
      </c>
      <c r="L179" s="7" t="str">
        <f>IFERROR(__xludf.DUMMYFUNCTION("""COMPUTED_VALUE"""),"Lachman")</f>
        <v>Lachman</v>
      </c>
    </row>
    <row r="180">
      <c r="H180" s="7">
        <v>179.0</v>
      </c>
      <c r="I180" s="7" t="s">
        <v>215</v>
      </c>
      <c r="J180" s="7" t="s">
        <v>113</v>
      </c>
      <c r="K180" s="7" t="s">
        <v>9</v>
      </c>
      <c r="L180" s="7" t="str">
        <f>IFERROR(__xludf.DUMMYFUNCTION("""COMPUTED_VALUE"""),"IKDC")</f>
        <v>IKDC</v>
      </c>
    </row>
    <row r="181">
      <c r="H181" s="7">
        <v>180.0</v>
      </c>
      <c r="I181" s="7" t="s">
        <v>215</v>
      </c>
      <c r="J181" s="7" t="s">
        <v>113</v>
      </c>
      <c r="K181" s="7" t="s">
        <v>9</v>
      </c>
      <c r="L181" s="7" t="str">
        <f>IFERROR(__xludf.DUMMYFUNCTION("""COMPUTED_VALUE"""),"Lysholm")</f>
        <v>Lysholm</v>
      </c>
    </row>
    <row r="182">
      <c r="H182" s="7">
        <v>181.0</v>
      </c>
      <c r="I182" s="7" t="s">
        <v>215</v>
      </c>
      <c r="J182" s="7" t="s">
        <v>113</v>
      </c>
      <c r="K182" s="7" t="s">
        <v>9</v>
      </c>
      <c r="L182" s="7" t="str">
        <f>IFERROR(__xludf.DUMMYFUNCTION("""COMPUTED_VALUE"""),"Pivot shift")</f>
        <v>Pivot shift</v>
      </c>
    </row>
    <row r="183">
      <c r="H183" s="7">
        <v>182.0</v>
      </c>
      <c r="I183" s="7" t="s">
        <v>215</v>
      </c>
      <c r="J183" s="7" t="s">
        <v>113</v>
      </c>
      <c r="K183" s="7" t="s">
        <v>9</v>
      </c>
      <c r="L183" s="7" t="str">
        <f>IFERROR(__xludf.DUMMYFUNCTION("""COMPUTED_VALUE"""),"Lachman")</f>
        <v>Lachman</v>
      </c>
    </row>
    <row r="184">
      <c r="H184" s="7">
        <v>183.0</v>
      </c>
      <c r="I184" s="7" t="s">
        <v>216</v>
      </c>
      <c r="J184" s="7" t="s">
        <v>115</v>
      </c>
      <c r="K184" s="7" t="s">
        <v>2</v>
      </c>
      <c r="L184" s="7" t="str">
        <f>IFERROR(__xludf.DUMMYFUNCTION("""COMPUTED_VALUE"""),"Lachman")</f>
        <v>Lachman</v>
      </c>
    </row>
    <row r="185">
      <c r="H185" s="7">
        <v>184.0</v>
      </c>
      <c r="I185" s="7" t="s">
        <v>216</v>
      </c>
      <c r="J185" s="7" t="s">
        <v>115</v>
      </c>
      <c r="K185" s="7" t="s">
        <v>2</v>
      </c>
      <c r="L185" s="7" t="str">
        <f>IFERROR(__xludf.DUMMYFUNCTION("""COMPUTED_VALUE"""),"Pivot shift")</f>
        <v>Pivot shift</v>
      </c>
    </row>
    <row r="186">
      <c r="H186" s="7">
        <v>185.0</v>
      </c>
      <c r="I186" s="7" t="s">
        <v>216</v>
      </c>
      <c r="J186" s="7" t="s">
        <v>115</v>
      </c>
      <c r="K186" s="7" t="s">
        <v>2</v>
      </c>
      <c r="L186" s="7" t="str">
        <f>IFERROR(__xludf.DUMMYFUNCTION("""COMPUTED_VALUE"""),"Instrumental laxity")</f>
        <v>Instrumental laxity</v>
      </c>
    </row>
    <row r="187">
      <c r="H187" s="7">
        <v>186.0</v>
      </c>
      <c r="I187" s="7" t="s">
        <v>216</v>
      </c>
      <c r="J187" s="7" t="s">
        <v>115</v>
      </c>
      <c r="K187" s="7" t="s">
        <v>2</v>
      </c>
      <c r="L187" s="7" t="str">
        <f>IFERROR(__xludf.DUMMYFUNCTION("""COMPUTED_VALUE"""),"Lysholm")</f>
        <v>Lysholm</v>
      </c>
    </row>
    <row r="188">
      <c r="H188" s="7">
        <v>187.0</v>
      </c>
      <c r="I188" s="7" t="s">
        <v>216</v>
      </c>
      <c r="J188" s="7" t="s">
        <v>115</v>
      </c>
      <c r="K188" s="7" t="s">
        <v>2</v>
      </c>
      <c r="L188" s="7" t="str">
        <f>IFERROR(__xludf.DUMMYFUNCTION("""COMPUTED_VALUE"""),"Tegner")</f>
        <v>Tegner</v>
      </c>
    </row>
    <row r="189">
      <c r="H189" s="7">
        <v>188.0</v>
      </c>
      <c r="I189" s="7" t="s">
        <v>216</v>
      </c>
      <c r="J189" s="7" t="s">
        <v>115</v>
      </c>
      <c r="K189" s="7" t="s">
        <v>9</v>
      </c>
      <c r="L189" s="7" t="str">
        <f>IFERROR(__xludf.DUMMYFUNCTION("""COMPUTED_VALUE"""),"Lachman")</f>
        <v>Lachman</v>
      </c>
    </row>
    <row r="190">
      <c r="H190" s="7">
        <v>189.0</v>
      </c>
      <c r="I190" s="7" t="s">
        <v>216</v>
      </c>
      <c r="J190" s="7" t="s">
        <v>115</v>
      </c>
      <c r="K190" s="7" t="s">
        <v>9</v>
      </c>
      <c r="L190" s="7" t="str">
        <f>IFERROR(__xludf.DUMMYFUNCTION("""COMPUTED_VALUE"""),"Pivot shift")</f>
        <v>Pivot shift</v>
      </c>
    </row>
    <row r="191">
      <c r="H191" s="7">
        <v>190.0</v>
      </c>
      <c r="I191" s="7" t="s">
        <v>216</v>
      </c>
      <c r="J191" s="7" t="s">
        <v>115</v>
      </c>
      <c r="K191" s="7" t="s">
        <v>9</v>
      </c>
      <c r="L191" s="7" t="str">
        <f>IFERROR(__xludf.DUMMYFUNCTION("""COMPUTED_VALUE"""),"Instrumental laxity")</f>
        <v>Instrumental laxity</v>
      </c>
    </row>
    <row r="192">
      <c r="H192" s="7">
        <v>191.0</v>
      </c>
      <c r="I192" s="7" t="s">
        <v>216</v>
      </c>
      <c r="J192" s="7" t="s">
        <v>115</v>
      </c>
      <c r="K192" s="7" t="s">
        <v>9</v>
      </c>
      <c r="L192" s="7" t="str">
        <f>IFERROR(__xludf.DUMMYFUNCTION("""COMPUTED_VALUE"""),"Lysholm")</f>
        <v>Lysholm</v>
      </c>
    </row>
    <row r="193">
      <c r="H193" s="7">
        <v>192.0</v>
      </c>
      <c r="I193" s="7" t="s">
        <v>216</v>
      </c>
      <c r="J193" s="7" t="s">
        <v>115</v>
      </c>
      <c r="K193" s="7" t="s">
        <v>9</v>
      </c>
      <c r="L193" s="7" t="str">
        <f>IFERROR(__xludf.DUMMYFUNCTION("""COMPUTED_VALUE"""),"Tegner")</f>
        <v>Tegner</v>
      </c>
    </row>
    <row r="194">
      <c r="H194" s="7">
        <v>193.0</v>
      </c>
      <c r="I194" s="7" t="s">
        <v>222</v>
      </c>
      <c r="J194" s="7" t="s">
        <v>117</v>
      </c>
      <c r="K194" s="7" t="s">
        <v>2</v>
      </c>
      <c r="L194" s="7" t="str">
        <f>IFERROR(__xludf.DUMMYFUNCTION("""COMPUTED_VALUE"""),"Lysholm")</f>
        <v>Lysholm</v>
      </c>
    </row>
    <row r="195">
      <c r="H195" s="7">
        <v>194.0</v>
      </c>
      <c r="I195" s="7" t="s">
        <v>222</v>
      </c>
      <c r="J195" s="7" t="s">
        <v>117</v>
      </c>
      <c r="K195" s="7" t="s">
        <v>2</v>
      </c>
      <c r="L195" s="7" t="str">
        <f>IFERROR(__xludf.DUMMYFUNCTION("""COMPUTED_VALUE"""),"Instrumental laxity")</f>
        <v>Instrumental laxity</v>
      </c>
    </row>
    <row r="196">
      <c r="H196" s="7">
        <v>195.0</v>
      </c>
      <c r="I196" s="7" t="s">
        <v>222</v>
      </c>
      <c r="J196" s="7" t="s">
        <v>117</v>
      </c>
      <c r="K196" s="7" t="s">
        <v>9</v>
      </c>
      <c r="L196" s="7" t="str">
        <f>IFERROR(__xludf.DUMMYFUNCTION("""COMPUTED_VALUE"""),"Lysholm")</f>
        <v>Lysholm</v>
      </c>
    </row>
    <row r="197">
      <c r="H197" s="7">
        <v>196.0</v>
      </c>
      <c r="I197" s="7" t="s">
        <v>222</v>
      </c>
      <c r="J197" s="7" t="s">
        <v>117</v>
      </c>
      <c r="K197" s="7" t="s">
        <v>9</v>
      </c>
      <c r="L197" s="7" t="str">
        <f>IFERROR(__xludf.DUMMYFUNCTION("""COMPUTED_VALUE"""),"Instrumental laxity")</f>
        <v>Instrumental laxity</v>
      </c>
    </row>
    <row r="198">
      <c r="H198" s="7">
        <v>197.0</v>
      </c>
      <c r="I198" s="7" t="s">
        <v>224</v>
      </c>
      <c r="J198" s="7" t="s">
        <v>119</v>
      </c>
      <c r="K198" s="7" t="s">
        <v>2</v>
      </c>
      <c r="L198" s="7" t="str">
        <f>IFERROR(__xludf.DUMMYFUNCTION("""COMPUTED_VALUE"""),"IKDC")</f>
        <v>IKDC</v>
      </c>
    </row>
    <row r="199">
      <c r="H199" s="7">
        <v>198.0</v>
      </c>
      <c r="I199" s="7" t="s">
        <v>224</v>
      </c>
      <c r="J199" s="7" t="s">
        <v>119</v>
      </c>
      <c r="K199" s="7" t="s">
        <v>2</v>
      </c>
      <c r="L199" s="7" t="str">
        <f>IFERROR(__xludf.DUMMYFUNCTION("""COMPUTED_VALUE"""),"Lysholm")</f>
        <v>Lysholm</v>
      </c>
    </row>
    <row r="200">
      <c r="H200" s="7">
        <v>199.0</v>
      </c>
      <c r="I200" s="7" t="s">
        <v>224</v>
      </c>
      <c r="J200" s="7" t="s">
        <v>119</v>
      </c>
      <c r="K200" s="7" t="s">
        <v>10</v>
      </c>
      <c r="L200" s="7" t="str">
        <f>IFERROR(__xludf.DUMMYFUNCTION("""COMPUTED_VALUE"""),"IKDC")</f>
        <v>IKDC</v>
      </c>
    </row>
    <row r="201">
      <c r="H201" s="7">
        <v>200.0</v>
      </c>
      <c r="I201" s="7" t="s">
        <v>224</v>
      </c>
      <c r="J201" s="7" t="s">
        <v>119</v>
      </c>
      <c r="K201" s="7" t="s">
        <v>10</v>
      </c>
      <c r="L201" s="7" t="str">
        <f>IFERROR(__xludf.DUMMYFUNCTION("""COMPUTED_VALUE"""),"Lysholm")</f>
        <v>Lysholm</v>
      </c>
    </row>
    <row r="202">
      <c r="H202" s="7">
        <v>201.0</v>
      </c>
      <c r="I202" s="7" t="s">
        <v>225</v>
      </c>
      <c r="J202" s="7" t="s">
        <v>121</v>
      </c>
      <c r="K202" s="7" t="s">
        <v>2</v>
      </c>
      <c r="L202" s="7" t="str">
        <f>IFERROR(__xludf.DUMMYFUNCTION("""COMPUTED_VALUE"""),"Instrumental laxity")</f>
        <v>Instrumental laxity</v>
      </c>
    </row>
    <row r="203">
      <c r="H203" s="7">
        <v>202.0</v>
      </c>
      <c r="I203" s="7" t="s">
        <v>225</v>
      </c>
      <c r="J203" s="7" t="s">
        <v>121</v>
      </c>
      <c r="K203" s="7" t="s">
        <v>2</v>
      </c>
      <c r="L203" s="7" t="str">
        <f>IFERROR(__xludf.DUMMYFUNCTION("""COMPUTED_VALUE"""),"Pivot shift")</f>
        <v>Pivot shift</v>
      </c>
    </row>
    <row r="204">
      <c r="H204" s="7">
        <v>203.0</v>
      </c>
      <c r="I204" s="7" t="s">
        <v>225</v>
      </c>
      <c r="J204" s="7" t="s">
        <v>121</v>
      </c>
      <c r="K204" s="7" t="s">
        <v>2</v>
      </c>
      <c r="L204" s="7" t="str">
        <f>IFERROR(__xludf.DUMMYFUNCTION("""COMPUTED_VALUE"""),"Lachman")</f>
        <v>Lachman</v>
      </c>
    </row>
    <row r="205">
      <c r="H205" s="7">
        <v>204.0</v>
      </c>
      <c r="I205" s="7" t="s">
        <v>225</v>
      </c>
      <c r="J205" s="7" t="s">
        <v>121</v>
      </c>
      <c r="K205" s="7" t="s">
        <v>2</v>
      </c>
      <c r="L205" s="7" t="str">
        <f>IFERROR(__xludf.DUMMYFUNCTION("""COMPUTED_VALUE"""),"IKDC")</f>
        <v>IKDC</v>
      </c>
    </row>
    <row r="206">
      <c r="H206" s="7">
        <v>205.0</v>
      </c>
      <c r="I206" s="7" t="s">
        <v>225</v>
      </c>
      <c r="J206" s="7" t="s">
        <v>121</v>
      </c>
      <c r="K206" s="7" t="s">
        <v>2</v>
      </c>
      <c r="L206" s="7" t="str">
        <f>IFERROR(__xludf.DUMMYFUNCTION("""COMPUTED_VALUE"""),"Tegner")</f>
        <v>Tegner</v>
      </c>
    </row>
    <row r="207">
      <c r="H207" s="7">
        <v>206.0</v>
      </c>
      <c r="I207" s="7" t="s">
        <v>225</v>
      </c>
      <c r="J207" s="7" t="s">
        <v>121</v>
      </c>
      <c r="K207" s="7" t="s">
        <v>2</v>
      </c>
      <c r="L207" s="7" t="str">
        <f>IFERROR(__xludf.DUMMYFUNCTION("""COMPUTED_VALUE"""),"Lysholm")</f>
        <v>Lysholm</v>
      </c>
    </row>
    <row r="208">
      <c r="H208" s="7">
        <v>207.0</v>
      </c>
      <c r="I208" s="7" t="s">
        <v>225</v>
      </c>
      <c r="J208" s="7" t="s">
        <v>121</v>
      </c>
      <c r="K208" s="7" t="s">
        <v>9</v>
      </c>
      <c r="L208" s="7" t="str">
        <f>IFERROR(__xludf.DUMMYFUNCTION("""COMPUTED_VALUE"""),"Instrumental laxity")</f>
        <v>Instrumental laxity</v>
      </c>
    </row>
    <row r="209">
      <c r="H209" s="7">
        <v>208.0</v>
      </c>
      <c r="I209" s="7" t="s">
        <v>225</v>
      </c>
      <c r="J209" s="7" t="s">
        <v>121</v>
      </c>
      <c r="K209" s="7" t="s">
        <v>9</v>
      </c>
      <c r="L209" s="7" t="str">
        <f>IFERROR(__xludf.DUMMYFUNCTION("""COMPUTED_VALUE"""),"Pivot shift")</f>
        <v>Pivot shift</v>
      </c>
    </row>
    <row r="210">
      <c r="H210" s="7">
        <v>209.0</v>
      </c>
      <c r="I210" s="7" t="s">
        <v>225</v>
      </c>
      <c r="J210" s="7" t="s">
        <v>121</v>
      </c>
      <c r="K210" s="7" t="s">
        <v>9</v>
      </c>
      <c r="L210" s="7" t="str">
        <f>IFERROR(__xludf.DUMMYFUNCTION("""COMPUTED_VALUE"""),"Lachman")</f>
        <v>Lachman</v>
      </c>
    </row>
    <row r="211">
      <c r="H211" s="7">
        <v>210.0</v>
      </c>
      <c r="I211" s="7" t="s">
        <v>225</v>
      </c>
      <c r="J211" s="7" t="s">
        <v>121</v>
      </c>
      <c r="K211" s="7" t="s">
        <v>9</v>
      </c>
      <c r="L211" s="7" t="str">
        <f>IFERROR(__xludf.DUMMYFUNCTION("""COMPUTED_VALUE"""),"IKDC")</f>
        <v>IKDC</v>
      </c>
    </row>
    <row r="212">
      <c r="H212" s="7">
        <v>211.0</v>
      </c>
      <c r="I212" s="7" t="s">
        <v>225</v>
      </c>
      <c r="J212" s="7" t="s">
        <v>121</v>
      </c>
      <c r="K212" s="7" t="s">
        <v>9</v>
      </c>
      <c r="L212" s="7" t="str">
        <f>IFERROR(__xludf.DUMMYFUNCTION("""COMPUTED_VALUE"""),"Tegner")</f>
        <v>Tegner</v>
      </c>
    </row>
    <row r="213">
      <c r="H213" s="7">
        <v>212.0</v>
      </c>
      <c r="I213" s="7" t="s">
        <v>225</v>
      </c>
      <c r="J213" s="7" t="s">
        <v>121</v>
      </c>
      <c r="K213" s="7" t="s">
        <v>9</v>
      </c>
      <c r="L213" s="7" t="str">
        <f>IFERROR(__xludf.DUMMYFUNCTION("""COMPUTED_VALUE"""),"Lysholm")</f>
        <v>Lysholm</v>
      </c>
    </row>
    <row r="214">
      <c r="H214" s="7">
        <v>213.0</v>
      </c>
      <c r="I214" s="7" t="s">
        <v>231</v>
      </c>
      <c r="J214" s="7" t="s">
        <v>124</v>
      </c>
      <c r="K214" s="7" t="s">
        <v>2</v>
      </c>
      <c r="L214" s="7" t="str">
        <f>IFERROR(__xludf.DUMMYFUNCTION("""COMPUTED_VALUE"""),"Instrumental laxity")</f>
        <v>Instrumental laxity</v>
      </c>
    </row>
    <row r="215">
      <c r="H215" s="7">
        <v>214.0</v>
      </c>
      <c r="I215" s="7" t="s">
        <v>231</v>
      </c>
      <c r="J215" s="7" t="s">
        <v>124</v>
      </c>
      <c r="K215" s="7" t="s">
        <v>2</v>
      </c>
      <c r="L215" s="7" t="str">
        <f>IFERROR(__xludf.DUMMYFUNCTION("""COMPUTED_VALUE"""),"Pivot shift")</f>
        <v>Pivot shift</v>
      </c>
    </row>
    <row r="216">
      <c r="H216" s="7">
        <v>215.0</v>
      </c>
      <c r="I216" s="7" t="s">
        <v>231</v>
      </c>
      <c r="J216" s="7" t="s">
        <v>124</v>
      </c>
      <c r="K216" s="7" t="s">
        <v>2</v>
      </c>
      <c r="L216" s="7" t="str">
        <f>IFERROR(__xludf.DUMMYFUNCTION("""COMPUTED_VALUE"""),"IKDC")</f>
        <v>IKDC</v>
      </c>
    </row>
    <row r="217">
      <c r="H217" s="7">
        <v>216.0</v>
      </c>
      <c r="I217" s="7" t="s">
        <v>231</v>
      </c>
      <c r="J217" s="7" t="s">
        <v>124</v>
      </c>
      <c r="K217" s="7" t="s">
        <v>2</v>
      </c>
      <c r="L217" s="7" t="str">
        <f>IFERROR(__xludf.DUMMYFUNCTION("""COMPUTED_VALUE"""),"Lysholm")</f>
        <v>Lysholm</v>
      </c>
    </row>
    <row r="218">
      <c r="H218" s="7">
        <v>217.0</v>
      </c>
      <c r="I218" s="7" t="s">
        <v>231</v>
      </c>
      <c r="J218" s="7" t="s">
        <v>124</v>
      </c>
      <c r="K218" s="7" t="s">
        <v>9</v>
      </c>
      <c r="L218" s="7" t="str">
        <f>IFERROR(__xludf.DUMMYFUNCTION("""COMPUTED_VALUE"""),"Instrumental laxity")</f>
        <v>Instrumental laxity</v>
      </c>
    </row>
    <row r="219">
      <c r="H219" s="7">
        <v>218.0</v>
      </c>
      <c r="I219" s="7" t="s">
        <v>231</v>
      </c>
      <c r="J219" s="7" t="s">
        <v>124</v>
      </c>
      <c r="K219" s="7" t="s">
        <v>9</v>
      </c>
      <c r="L219" s="7" t="str">
        <f>IFERROR(__xludf.DUMMYFUNCTION("""COMPUTED_VALUE"""),"Pivot shift")</f>
        <v>Pivot shift</v>
      </c>
    </row>
    <row r="220">
      <c r="H220" s="7">
        <v>219.0</v>
      </c>
      <c r="I220" s="7" t="s">
        <v>231</v>
      </c>
      <c r="J220" s="7" t="s">
        <v>124</v>
      </c>
      <c r="K220" s="7" t="s">
        <v>9</v>
      </c>
      <c r="L220" s="7" t="str">
        <f>IFERROR(__xludf.DUMMYFUNCTION("""COMPUTED_VALUE"""),"IKDC")</f>
        <v>IKDC</v>
      </c>
    </row>
    <row r="221">
      <c r="H221" s="7">
        <v>220.0</v>
      </c>
      <c r="I221" s="7" t="s">
        <v>231</v>
      </c>
      <c r="J221" s="7" t="s">
        <v>124</v>
      </c>
      <c r="K221" s="7" t="s">
        <v>9</v>
      </c>
      <c r="L221" s="7" t="str">
        <f>IFERROR(__xludf.DUMMYFUNCTION("""COMPUTED_VALUE"""),"Lysholm")</f>
        <v>Lysholm</v>
      </c>
    </row>
    <row r="222">
      <c r="H222" s="7">
        <v>221.0</v>
      </c>
      <c r="I222" s="7" t="s">
        <v>233</v>
      </c>
      <c r="J222" s="7" t="s">
        <v>127</v>
      </c>
      <c r="K222" s="7" t="s">
        <v>9</v>
      </c>
      <c r="L222" s="7" t="str">
        <f>IFERROR(__xludf.DUMMYFUNCTION("""COMPUTED_VALUE"""),"IKDC")</f>
        <v>IKDC</v>
      </c>
    </row>
    <row r="223">
      <c r="H223" s="7">
        <v>222.0</v>
      </c>
      <c r="I223" s="7" t="s">
        <v>233</v>
      </c>
      <c r="J223" s="7" t="s">
        <v>127</v>
      </c>
      <c r="K223" s="7" t="s">
        <v>9</v>
      </c>
      <c r="L223" s="7" t="str">
        <f>IFERROR(__xludf.DUMMYFUNCTION("""COMPUTED_VALUE"""),"Instrumental laxity")</f>
        <v>Instrumental laxity</v>
      </c>
    </row>
    <row r="224">
      <c r="H224" s="7">
        <v>223.0</v>
      </c>
      <c r="I224" s="7" t="s">
        <v>233</v>
      </c>
      <c r="J224" s="7" t="s">
        <v>127</v>
      </c>
      <c r="K224" s="7" t="s">
        <v>9</v>
      </c>
      <c r="L224" s="7" t="str">
        <f>IFERROR(__xludf.DUMMYFUNCTION("""COMPUTED_VALUE"""),"Pivot shift")</f>
        <v>Pivot shift</v>
      </c>
    </row>
    <row r="225">
      <c r="H225" s="7">
        <v>224.0</v>
      </c>
      <c r="I225" s="7" t="s">
        <v>233</v>
      </c>
      <c r="J225" s="7" t="s">
        <v>127</v>
      </c>
      <c r="K225" s="7" t="s">
        <v>13</v>
      </c>
      <c r="L225" s="7" t="str">
        <f>IFERROR(__xludf.DUMMYFUNCTION("""COMPUTED_VALUE"""),"IKDC")</f>
        <v>IKDC</v>
      </c>
    </row>
    <row r="226">
      <c r="H226" s="7">
        <v>225.0</v>
      </c>
      <c r="I226" s="7" t="s">
        <v>233</v>
      </c>
      <c r="J226" s="7" t="s">
        <v>127</v>
      </c>
      <c r="K226" s="7" t="s">
        <v>13</v>
      </c>
      <c r="L226" s="7" t="str">
        <f>IFERROR(__xludf.DUMMYFUNCTION("""COMPUTED_VALUE"""),"Instrumental laxity")</f>
        <v>Instrumental laxity</v>
      </c>
    </row>
    <row r="227">
      <c r="H227" s="7">
        <v>226.0</v>
      </c>
      <c r="I227" s="7" t="s">
        <v>233</v>
      </c>
      <c r="J227" s="7" t="s">
        <v>127</v>
      </c>
      <c r="K227" s="7" t="s">
        <v>13</v>
      </c>
      <c r="L227" s="7" t="str">
        <f>IFERROR(__xludf.DUMMYFUNCTION("""COMPUTED_VALUE"""),"Pivot shift")</f>
        <v>Pivot shift</v>
      </c>
    </row>
    <row r="228">
      <c r="H228" s="7">
        <v>227.0</v>
      </c>
      <c r="I228" s="7" t="s">
        <v>234</v>
      </c>
      <c r="J228" s="7" t="s">
        <v>128</v>
      </c>
      <c r="K228" s="7" t="s">
        <v>2</v>
      </c>
      <c r="L228" s="7" t="str">
        <f>IFERROR(__xludf.DUMMYFUNCTION("""COMPUTED_VALUE"""),"IKDC")</f>
        <v>IKDC</v>
      </c>
    </row>
    <row r="229">
      <c r="H229" s="7">
        <v>228.0</v>
      </c>
      <c r="I229" s="7" t="s">
        <v>234</v>
      </c>
      <c r="J229" s="7" t="s">
        <v>128</v>
      </c>
      <c r="K229" s="7" t="s">
        <v>2</v>
      </c>
      <c r="L229" s="7" t="str">
        <f>IFERROR(__xludf.DUMMYFUNCTION("""COMPUTED_VALUE"""),"Tegner")</f>
        <v>Tegner</v>
      </c>
    </row>
    <row r="230">
      <c r="H230" s="7">
        <v>229.0</v>
      </c>
      <c r="I230" s="7" t="s">
        <v>234</v>
      </c>
      <c r="J230" s="7" t="s">
        <v>128</v>
      </c>
      <c r="K230" s="7" t="s">
        <v>2</v>
      </c>
      <c r="L230" s="7" t="str">
        <f>IFERROR(__xludf.DUMMYFUNCTION("""COMPUTED_VALUE"""),"Lysholm")</f>
        <v>Lysholm</v>
      </c>
    </row>
    <row r="231">
      <c r="H231" s="7">
        <v>230.0</v>
      </c>
      <c r="I231" s="7" t="s">
        <v>234</v>
      </c>
      <c r="J231" s="7" t="s">
        <v>128</v>
      </c>
      <c r="K231" s="7" t="s">
        <v>2</v>
      </c>
      <c r="L231" s="7" t="str">
        <f>IFERROR(__xludf.DUMMYFUNCTION("""COMPUTED_VALUE"""),"Instrumental laxity")</f>
        <v>Instrumental laxity</v>
      </c>
    </row>
    <row r="232">
      <c r="H232" s="7">
        <v>231.0</v>
      </c>
      <c r="I232" s="7" t="s">
        <v>234</v>
      </c>
      <c r="J232" s="7" t="s">
        <v>128</v>
      </c>
      <c r="K232" s="7" t="s">
        <v>9</v>
      </c>
      <c r="L232" s="7" t="str">
        <f>IFERROR(__xludf.DUMMYFUNCTION("""COMPUTED_VALUE"""),"IKDC")</f>
        <v>IKDC</v>
      </c>
    </row>
    <row r="233">
      <c r="H233" s="7">
        <v>232.0</v>
      </c>
      <c r="I233" s="7" t="s">
        <v>234</v>
      </c>
      <c r="J233" s="7" t="s">
        <v>128</v>
      </c>
      <c r="K233" s="7" t="s">
        <v>9</v>
      </c>
      <c r="L233" s="7" t="str">
        <f>IFERROR(__xludf.DUMMYFUNCTION("""COMPUTED_VALUE"""),"Tegner")</f>
        <v>Tegner</v>
      </c>
    </row>
    <row r="234">
      <c r="H234" s="7">
        <v>233.0</v>
      </c>
      <c r="I234" s="7" t="s">
        <v>234</v>
      </c>
      <c r="J234" s="7" t="s">
        <v>128</v>
      </c>
      <c r="K234" s="7" t="s">
        <v>9</v>
      </c>
      <c r="L234" s="7" t="str">
        <f>IFERROR(__xludf.DUMMYFUNCTION("""COMPUTED_VALUE"""),"Lysholm")</f>
        <v>Lysholm</v>
      </c>
    </row>
    <row r="235">
      <c r="H235" s="7">
        <v>234.0</v>
      </c>
      <c r="I235" s="7" t="s">
        <v>234</v>
      </c>
      <c r="J235" s="7" t="s">
        <v>128</v>
      </c>
      <c r="K235" s="7" t="s">
        <v>9</v>
      </c>
      <c r="L235" s="7" t="str">
        <f>IFERROR(__xludf.DUMMYFUNCTION("""COMPUTED_VALUE"""),"Instrumental laxity")</f>
        <v>Instrumental laxity</v>
      </c>
    </row>
    <row r="236">
      <c r="H236" s="7">
        <v>235.0</v>
      </c>
      <c r="I236" s="7" t="s">
        <v>238</v>
      </c>
      <c r="J236" s="7" t="s">
        <v>129</v>
      </c>
      <c r="K236" s="7" t="s">
        <v>2</v>
      </c>
      <c r="L236" s="7" t="str">
        <f>IFERROR(__xludf.DUMMYFUNCTION("""COMPUTED_VALUE"""),"Lachman")</f>
        <v>Lachman</v>
      </c>
    </row>
    <row r="237">
      <c r="H237" s="7">
        <v>236.0</v>
      </c>
      <c r="I237" s="7" t="s">
        <v>238</v>
      </c>
      <c r="J237" s="7" t="s">
        <v>129</v>
      </c>
      <c r="K237" s="7" t="s">
        <v>2</v>
      </c>
      <c r="L237" s="7" t="str">
        <f>IFERROR(__xludf.DUMMYFUNCTION("""COMPUTED_VALUE"""),"Instrumental laxity")</f>
        <v>Instrumental laxity</v>
      </c>
    </row>
    <row r="238">
      <c r="H238" s="7">
        <v>237.0</v>
      </c>
      <c r="I238" s="7" t="s">
        <v>238</v>
      </c>
      <c r="J238" s="7" t="s">
        <v>129</v>
      </c>
      <c r="K238" s="7" t="s">
        <v>9</v>
      </c>
      <c r="L238" s="7" t="str">
        <f>IFERROR(__xludf.DUMMYFUNCTION("""COMPUTED_VALUE"""),"Lachman")</f>
        <v>Lachman</v>
      </c>
    </row>
    <row r="239">
      <c r="H239" s="7">
        <v>238.0</v>
      </c>
      <c r="I239" s="7" t="s">
        <v>238</v>
      </c>
      <c r="J239" s="7" t="s">
        <v>129</v>
      </c>
      <c r="K239" s="7" t="s">
        <v>9</v>
      </c>
      <c r="L239" s="7" t="str">
        <f>IFERROR(__xludf.DUMMYFUNCTION("""COMPUTED_VALUE"""),"Instrumental laxity")</f>
        <v>Instrumental laxity</v>
      </c>
    </row>
    <row r="240">
      <c r="H240" s="7">
        <v>239.0</v>
      </c>
      <c r="I240" s="7" t="s">
        <v>239</v>
      </c>
      <c r="J240" s="7" t="s">
        <v>132</v>
      </c>
      <c r="K240" s="7" t="s">
        <v>9</v>
      </c>
      <c r="L240" s="7" t="str">
        <f>IFERROR(__xludf.DUMMYFUNCTION("""COMPUTED_VALUE"""),"Instrumental laxity")</f>
        <v>Instrumental laxity</v>
      </c>
    </row>
    <row r="241">
      <c r="H241" s="7">
        <v>240.0</v>
      </c>
      <c r="I241" s="7" t="s">
        <v>239</v>
      </c>
      <c r="J241" s="7" t="s">
        <v>132</v>
      </c>
      <c r="K241" s="7" t="s">
        <v>9</v>
      </c>
      <c r="L241" s="7" t="str">
        <f>IFERROR(__xludf.DUMMYFUNCTION("""COMPUTED_VALUE"""),"Pivot shift")</f>
        <v>Pivot shift</v>
      </c>
    </row>
    <row r="242">
      <c r="H242" s="7">
        <v>241.0</v>
      </c>
      <c r="I242" s="7" t="s">
        <v>239</v>
      </c>
      <c r="J242" s="7" t="s">
        <v>132</v>
      </c>
      <c r="K242" s="7" t="s">
        <v>9</v>
      </c>
      <c r="L242" s="7" t="str">
        <f>IFERROR(__xludf.DUMMYFUNCTION("""COMPUTED_VALUE"""),"Lachman")</f>
        <v>Lachman</v>
      </c>
    </row>
    <row r="243">
      <c r="H243" s="7">
        <v>242.0</v>
      </c>
      <c r="I243" s="7" t="s">
        <v>239</v>
      </c>
      <c r="J243" s="7" t="s">
        <v>132</v>
      </c>
      <c r="K243" s="7" t="s">
        <v>9</v>
      </c>
      <c r="L243" s="7" t="str">
        <f>IFERROR(__xludf.DUMMYFUNCTION("""COMPUTED_VALUE"""),"IKDC")</f>
        <v>IKDC</v>
      </c>
    </row>
    <row r="244">
      <c r="H244" s="7">
        <v>243.0</v>
      </c>
      <c r="I244" s="7" t="s">
        <v>239</v>
      </c>
      <c r="J244" s="7" t="s">
        <v>132</v>
      </c>
      <c r="K244" s="7" t="s">
        <v>9</v>
      </c>
      <c r="L244" s="7" t="str">
        <f>IFERROR(__xludf.DUMMYFUNCTION("""COMPUTED_VALUE"""),"Tegner")</f>
        <v>Tegner</v>
      </c>
    </row>
    <row r="245">
      <c r="H245" s="7">
        <v>244.0</v>
      </c>
      <c r="I245" s="7" t="s">
        <v>239</v>
      </c>
      <c r="J245" s="7" t="s">
        <v>132</v>
      </c>
      <c r="K245" s="7" t="s">
        <v>9</v>
      </c>
      <c r="L245" s="7" t="str">
        <f>IFERROR(__xludf.DUMMYFUNCTION("""COMPUTED_VALUE"""),"Lysholm")</f>
        <v>Lysholm</v>
      </c>
    </row>
    <row r="246">
      <c r="H246" s="7">
        <v>245.0</v>
      </c>
      <c r="I246" s="7" t="s">
        <v>239</v>
      </c>
      <c r="J246" s="7" t="s">
        <v>132</v>
      </c>
      <c r="K246" s="7" t="s">
        <v>13</v>
      </c>
      <c r="L246" s="7" t="str">
        <f>IFERROR(__xludf.DUMMYFUNCTION("""COMPUTED_VALUE"""),"Instrumental laxity")</f>
        <v>Instrumental laxity</v>
      </c>
    </row>
    <row r="247">
      <c r="H247" s="7">
        <v>246.0</v>
      </c>
      <c r="I247" s="7" t="s">
        <v>239</v>
      </c>
      <c r="J247" s="7" t="s">
        <v>132</v>
      </c>
      <c r="K247" s="7" t="s">
        <v>13</v>
      </c>
      <c r="L247" s="7" t="str">
        <f>IFERROR(__xludf.DUMMYFUNCTION("""COMPUTED_VALUE"""),"Pivot shift")</f>
        <v>Pivot shift</v>
      </c>
    </row>
    <row r="248">
      <c r="H248" s="7">
        <v>247.0</v>
      </c>
      <c r="I248" s="7" t="s">
        <v>239</v>
      </c>
      <c r="J248" s="7" t="s">
        <v>132</v>
      </c>
      <c r="K248" s="7" t="s">
        <v>13</v>
      </c>
      <c r="L248" s="7" t="str">
        <f>IFERROR(__xludf.DUMMYFUNCTION("""COMPUTED_VALUE"""),"Lachman")</f>
        <v>Lachman</v>
      </c>
    </row>
    <row r="249">
      <c r="H249" s="7">
        <v>248.0</v>
      </c>
      <c r="I249" s="7" t="s">
        <v>239</v>
      </c>
      <c r="J249" s="7" t="s">
        <v>132</v>
      </c>
      <c r="K249" s="7" t="s">
        <v>13</v>
      </c>
      <c r="L249" s="7" t="str">
        <f>IFERROR(__xludf.DUMMYFUNCTION("""COMPUTED_VALUE"""),"IKDC")</f>
        <v>IKDC</v>
      </c>
    </row>
    <row r="250">
      <c r="H250" s="7">
        <v>249.0</v>
      </c>
      <c r="I250" s="7" t="s">
        <v>239</v>
      </c>
      <c r="J250" s="7" t="s">
        <v>132</v>
      </c>
      <c r="K250" s="7" t="s">
        <v>13</v>
      </c>
      <c r="L250" s="7" t="str">
        <f>IFERROR(__xludf.DUMMYFUNCTION("""COMPUTED_VALUE"""),"Tegner")</f>
        <v>Tegner</v>
      </c>
    </row>
    <row r="251">
      <c r="H251" s="7">
        <v>250.0</v>
      </c>
      <c r="I251" s="7" t="s">
        <v>239</v>
      </c>
      <c r="J251" s="7" t="s">
        <v>132</v>
      </c>
      <c r="K251" s="7" t="s">
        <v>13</v>
      </c>
      <c r="L251" s="7" t="str">
        <f>IFERROR(__xludf.DUMMYFUNCTION("""COMPUTED_VALUE"""),"Lysholm")</f>
        <v>Lysholm</v>
      </c>
    </row>
    <row r="252">
      <c r="H252" s="7">
        <v>251.0</v>
      </c>
      <c r="I252" s="7" t="s">
        <v>241</v>
      </c>
      <c r="J252" s="7" t="s">
        <v>133</v>
      </c>
      <c r="K252" s="7" t="s">
        <v>2</v>
      </c>
      <c r="L252" s="7" t="str">
        <f>IFERROR(__xludf.DUMMYFUNCTION("""COMPUTED_VALUE"""),"IKDC")</f>
        <v>IKDC</v>
      </c>
    </row>
    <row r="253">
      <c r="H253" s="7">
        <v>252.0</v>
      </c>
      <c r="I253" s="7" t="s">
        <v>241</v>
      </c>
      <c r="J253" s="7" t="s">
        <v>133</v>
      </c>
      <c r="K253" s="7" t="s">
        <v>2</v>
      </c>
      <c r="L253" s="7" t="str">
        <f>IFERROR(__xludf.DUMMYFUNCTION("""COMPUTED_VALUE"""),"Tegner")</f>
        <v>Tegner</v>
      </c>
    </row>
    <row r="254">
      <c r="H254" s="7">
        <v>253.0</v>
      </c>
      <c r="I254" s="7" t="s">
        <v>241</v>
      </c>
      <c r="J254" s="7" t="s">
        <v>133</v>
      </c>
      <c r="K254" s="7" t="s">
        <v>2</v>
      </c>
      <c r="L254" s="7" t="str">
        <f>IFERROR(__xludf.DUMMYFUNCTION("""COMPUTED_VALUE"""),"Lysholm")</f>
        <v>Lysholm</v>
      </c>
    </row>
    <row r="255">
      <c r="H255" s="7">
        <v>254.0</v>
      </c>
      <c r="I255" s="7" t="s">
        <v>241</v>
      </c>
      <c r="J255" s="7" t="s">
        <v>133</v>
      </c>
      <c r="K255" s="7" t="s">
        <v>2</v>
      </c>
      <c r="L255" s="7" t="str">
        <f>IFERROR(__xludf.DUMMYFUNCTION("""COMPUTED_VALUE"""),"Instrumental laxity")</f>
        <v>Instrumental laxity</v>
      </c>
    </row>
    <row r="256">
      <c r="H256" s="7">
        <v>255.0</v>
      </c>
      <c r="I256" s="7" t="s">
        <v>241</v>
      </c>
      <c r="J256" s="7" t="s">
        <v>133</v>
      </c>
      <c r="K256" s="7" t="s">
        <v>2</v>
      </c>
      <c r="L256" s="7" t="str">
        <f>IFERROR(__xludf.DUMMYFUNCTION("""COMPUTED_VALUE"""),"Lachman")</f>
        <v>Lachman</v>
      </c>
    </row>
    <row r="257">
      <c r="H257" s="7">
        <v>256.0</v>
      </c>
      <c r="I257" s="7" t="s">
        <v>241</v>
      </c>
      <c r="J257" s="7" t="s">
        <v>133</v>
      </c>
      <c r="K257" s="7" t="s">
        <v>9</v>
      </c>
      <c r="L257" s="7" t="str">
        <f>IFERROR(__xludf.DUMMYFUNCTION("""COMPUTED_VALUE"""),"IKDC")</f>
        <v>IKDC</v>
      </c>
    </row>
    <row r="258">
      <c r="H258" s="7">
        <v>257.0</v>
      </c>
      <c r="I258" s="7" t="s">
        <v>241</v>
      </c>
      <c r="J258" s="7" t="s">
        <v>133</v>
      </c>
      <c r="K258" s="7" t="s">
        <v>9</v>
      </c>
      <c r="L258" s="7" t="str">
        <f>IFERROR(__xludf.DUMMYFUNCTION("""COMPUTED_VALUE"""),"Tegner")</f>
        <v>Tegner</v>
      </c>
    </row>
    <row r="259">
      <c r="H259" s="7">
        <v>258.0</v>
      </c>
      <c r="I259" s="7" t="s">
        <v>241</v>
      </c>
      <c r="J259" s="7" t="s">
        <v>133</v>
      </c>
      <c r="K259" s="7" t="s">
        <v>9</v>
      </c>
      <c r="L259" s="7" t="str">
        <f>IFERROR(__xludf.DUMMYFUNCTION("""COMPUTED_VALUE"""),"Lysholm")</f>
        <v>Lysholm</v>
      </c>
    </row>
    <row r="260">
      <c r="H260" s="7">
        <v>259.0</v>
      </c>
      <c r="I260" s="7" t="s">
        <v>241</v>
      </c>
      <c r="J260" s="7" t="s">
        <v>133</v>
      </c>
      <c r="K260" s="7" t="s">
        <v>9</v>
      </c>
      <c r="L260" s="7" t="str">
        <f>IFERROR(__xludf.DUMMYFUNCTION("""COMPUTED_VALUE"""),"Instrumental laxity")</f>
        <v>Instrumental laxity</v>
      </c>
    </row>
    <row r="261">
      <c r="H261" s="7">
        <v>260.0</v>
      </c>
      <c r="I261" s="7" t="s">
        <v>241</v>
      </c>
      <c r="J261" s="7" t="s">
        <v>133</v>
      </c>
      <c r="K261" s="7" t="s">
        <v>9</v>
      </c>
      <c r="L261" s="7" t="str">
        <f>IFERROR(__xludf.DUMMYFUNCTION("""COMPUTED_VALUE"""),"Lachman")</f>
        <v>Lachman</v>
      </c>
    </row>
    <row r="262">
      <c r="H262" s="7">
        <v>261.0</v>
      </c>
      <c r="I262" s="7" t="s">
        <v>242</v>
      </c>
      <c r="J262" s="7" t="s">
        <v>138</v>
      </c>
      <c r="K262" s="7" t="s">
        <v>9</v>
      </c>
      <c r="L262" s="7" t="str">
        <f>IFERROR(__xludf.DUMMYFUNCTION("""COMPUTED_VALUE"""),"IKDC")</f>
        <v>IKDC</v>
      </c>
    </row>
    <row r="263">
      <c r="H263" s="7">
        <v>262.0</v>
      </c>
      <c r="I263" s="7" t="s">
        <v>242</v>
      </c>
      <c r="J263" s="7" t="s">
        <v>138</v>
      </c>
      <c r="K263" s="7" t="s">
        <v>9</v>
      </c>
      <c r="L263" s="7" t="str">
        <f>IFERROR(__xludf.DUMMYFUNCTION("""COMPUTED_VALUE"""),"Tegner")</f>
        <v>Tegner</v>
      </c>
    </row>
    <row r="264">
      <c r="H264" s="7">
        <v>263.0</v>
      </c>
      <c r="I264" s="7" t="s">
        <v>242</v>
      </c>
      <c r="J264" s="7" t="s">
        <v>138</v>
      </c>
      <c r="K264" s="7" t="s">
        <v>9</v>
      </c>
      <c r="L264" s="7" t="str">
        <f>IFERROR(__xludf.DUMMYFUNCTION("""COMPUTED_VALUE"""),"Instrumental laxity")</f>
        <v>Instrumental laxity</v>
      </c>
    </row>
    <row r="265">
      <c r="H265" s="7">
        <v>264.0</v>
      </c>
      <c r="I265" s="7" t="s">
        <v>242</v>
      </c>
      <c r="J265" s="7" t="s">
        <v>138</v>
      </c>
      <c r="K265" s="7" t="s">
        <v>9</v>
      </c>
      <c r="L265" s="7" t="str">
        <f>IFERROR(__xludf.DUMMYFUNCTION("""COMPUTED_VALUE"""),"Pivot shift")</f>
        <v>Pivot shift</v>
      </c>
    </row>
    <row r="266">
      <c r="H266" s="7">
        <v>265.0</v>
      </c>
      <c r="I266" s="7" t="s">
        <v>242</v>
      </c>
      <c r="J266" s="7" t="s">
        <v>138</v>
      </c>
      <c r="K266" s="7" t="s">
        <v>10</v>
      </c>
      <c r="L266" s="7" t="str">
        <f>IFERROR(__xludf.DUMMYFUNCTION("""COMPUTED_VALUE"""),"IKDC")</f>
        <v>IKDC</v>
      </c>
    </row>
    <row r="267">
      <c r="H267" s="7">
        <v>266.0</v>
      </c>
      <c r="I267" s="7" t="s">
        <v>242</v>
      </c>
      <c r="J267" s="7" t="s">
        <v>138</v>
      </c>
      <c r="K267" s="7" t="s">
        <v>10</v>
      </c>
      <c r="L267" s="7" t="str">
        <f>IFERROR(__xludf.DUMMYFUNCTION("""COMPUTED_VALUE"""),"Tegner")</f>
        <v>Tegner</v>
      </c>
    </row>
    <row r="268">
      <c r="H268" s="7">
        <v>267.0</v>
      </c>
      <c r="I268" s="7" t="s">
        <v>242</v>
      </c>
      <c r="J268" s="7" t="s">
        <v>138</v>
      </c>
      <c r="K268" s="7" t="s">
        <v>10</v>
      </c>
      <c r="L268" s="7" t="str">
        <f>IFERROR(__xludf.DUMMYFUNCTION("""COMPUTED_VALUE"""),"Instrumental laxity")</f>
        <v>Instrumental laxity</v>
      </c>
    </row>
    <row r="269">
      <c r="H269" s="7">
        <v>268.0</v>
      </c>
      <c r="I269" s="7" t="s">
        <v>242</v>
      </c>
      <c r="J269" s="7" t="s">
        <v>138</v>
      </c>
      <c r="K269" s="7" t="s">
        <v>10</v>
      </c>
      <c r="L269" s="7" t="str">
        <f>IFERROR(__xludf.DUMMYFUNCTION("""COMPUTED_VALUE"""),"Pivot shift")</f>
        <v>Pivot shift</v>
      </c>
    </row>
    <row r="270">
      <c r="H270" s="7">
        <v>269.0</v>
      </c>
      <c r="I270" s="7" t="s">
        <v>244</v>
      </c>
      <c r="J270" s="7" t="s">
        <v>141</v>
      </c>
      <c r="K270" s="7" t="s">
        <v>2</v>
      </c>
      <c r="L270" s="7" t="str">
        <f>IFERROR(__xludf.DUMMYFUNCTION("""COMPUTED_VALUE"""),"IKDC")</f>
        <v>IKDC</v>
      </c>
    </row>
    <row r="271">
      <c r="H271" s="7">
        <v>270.0</v>
      </c>
      <c r="I271" s="7" t="s">
        <v>244</v>
      </c>
      <c r="J271" s="7" t="s">
        <v>141</v>
      </c>
      <c r="K271" s="7" t="s">
        <v>2</v>
      </c>
      <c r="L271" s="7" t="str">
        <f>IFERROR(__xludf.DUMMYFUNCTION("""COMPUTED_VALUE"""),"Tegner")</f>
        <v>Tegner</v>
      </c>
    </row>
    <row r="272">
      <c r="H272" s="7">
        <v>271.0</v>
      </c>
      <c r="I272" s="7" t="s">
        <v>244</v>
      </c>
      <c r="J272" s="7" t="s">
        <v>141</v>
      </c>
      <c r="K272" s="7" t="s">
        <v>2</v>
      </c>
      <c r="L272" s="7" t="str">
        <f>IFERROR(__xludf.DUMMYFUNCTION("""COMPUTED_VALUE"""),"Lysholm")</f>
        <v>Lysholm</v>
      </c>
    </row>
    <row r="273">
      <c r="H273" s="7">
        <v>272.0</v>
      </c>
      <c r="I273" s="7" t="s">
        <v>244</v>
      </c>
      <c r="J273" s="7" t="s">
        <v>141</v>
      </c>
      <c r="K273" s="7" t="s">
        <v>2</v>
      </c>
      <c r="L273" s="7" t="str">
        <f>IFERROR(__xludf.DUMMYFUNCTION("""COMPUTED_VALUE"""),"Instrumental laxity")</f>
        <v>Instrumental laxity</v>
      </c>
    </row>
    <row r="274">
      <c r="H274" s="7">
        <v>273.0</v>
      </c>
      <c r="I274" s="7" t="s">
        <v>244</v>
      </c>
      <c r="J274" s="7" t="s">
        <v>141</v>
      </c>
      <c r="K274" s="7" t="s">
        <v>2</v>
      </c>
      <c r="L274" s="7" t="str">
        <f>IFERROR(__xludf.DUMMYFUNCTION("""COMPUTED_VALUE"""),"Pivot shift")</f>
        <v>Pivot shift</v>
      </c>
    </row>
    <row r="275">
      <c r="H275" s="7">
        <v>274.0</v>
      </c>
      <c r="I275" s="7" t="s">
        <v>244</v>
      </c>
      <c r="J275" s="7" t="s">
        <v>141</v>
      </c>
      <c r="K275" s="7" t="s">
        <v>2</v>
      </c>
      <c r="L275" s="7" t="str">
        <f>IFERROR(__xludf.DUMMYFUNCTION("""COMPUTED_VALUE"""),"Graft rupture")</f>
        <v>Graft rupture</v>
      </c>
    </row>
    <row r="276">
      <c r="H276" s="7">
        <v>275.0</v>
      </c>
      <c r="I276" s="7" t="s">
        <v>244</v>
      </c>
      <c r="J276" s="7" t="s">
        <v>141</v>
      </c>
      <c r="K276" s="7" t="s">
        <v>9</v>
      </c>
      <c r="L276" s="7" t="str">
        <f>IFERROR(__xludf.DUMMYFUNCTION("""COMPUTED_VALUE"""),"IKDC")</f>
        <v>IKDC</v>
      </c>
    </row>
    <row r="277">
      <c r="H277" s="7">
        <v>276.0</v>
      </c>
      <c r="I277" s="7" t="s">
        <v>244</v>
      </c>
      <c r="J277" s="7" t="s">
        <v>141</v>
      </c>
      <c r="K277" s="7" t="s">
        <v>9</v>
      </c>
      <c r="L277" s="7" t="str">
        <f>IFERROR(__xludf.DUMMYFUNCTION("""COMPUTED_VALUE"""),"Tegner")</f>
        <v>Tegner</v>
      </c>
    </row>
    <row r="278">
      <c r="H278" s="7">
        <v>277.0</v>
      </c>
      <c r="I278" s="7" t="s">
        <v>244</v>
      </c>
      <c r="J278" s="7" t="s">
        <v>141</v>
      </c>
      <c r="K278" s="7" t="s">
        <v>9</v>
      </c>
      <c r="L278" s="7" t="str">
        <f>IFERROR(__xludf.DUMMYFUNCTION("""COMPUTED_VALUE"""),"Lysholm")</f>
        <v>Lysholm</v>
      </c>
    </row>
    <row r="279">
      <c r="H279" s="7">
        <v>278.0</v>
      </c>
      <c r="I279" s="7" t="s">
        <v>244</v>
      </c>
      <c r="J279" s="7" t="s">
        <v>141</v>
      </c>
      <c r="K279" s="7" t="s">
        <v>9</v>
      </c>
      <c r="L279" s="7" t="str">
        <f>IFERROR(__xludf.DUMMYFUNCTION("""COMPUTED_VALUE"""),"Instrumental laxity")</f>
        <v>Instrumental laxity</v>
      </c>
    </row>
    <row r="280">
      <c r="H280" s="7">
        <v>279.0</v>
      </c>
      <c r="I280" s="7" t="s">
        <v>244</v>
      </c>
      <c r="J280" s="7" t="s">
        <v>141</v>
      </c>
      <c r="K280" s="7" t="s">
        <v>9</v>
      </c>
      <c r="L280" s="7" t="str">
        <f>IFERROR(__xludf.DUMMYFUNCTION("""COMPUTED_VALUE"""),"Pivot shift")</f>
        <v>Pivot shift</v>
      </c>
    </row>
    <row r="281">
      <c r="H281" s="7">
        <v>280.0</v>
      </c>
      <c r="I281" s="7" t="s">
        <v>244</v>
      </c>
      <c r="J281" s="7" t="s">
        <v>141</v>
      </c>
      <c r="K281" s="7" t="s">
        <v>9</v>
      </c>
      <c r="L281" s="7" t="str">
        <f>IFERROR(__xludf.DUMMYFUNCTION("""COMPUTED_VALUE"""),"Graft rupture")</f>
        <v>Graft rupture</v>
      </c>
    </row>
    <row r="282">
      <c r="H282" s="7">
        <v>281.0</v>
      </c>
      <c r="I282" s="7" t="s">
        <v>247</v>
      </c>
      <c r="J282" s="7" t="s">
        <v>145</v>
      </c>
      <c r="K282" s="7" t="s">
        <v>2</v>
      </c>
      <c r="L282" s="7" t="str">
        <f>IFERROR(__xludf.DUMMYFUNCTION("""COMPUTED_VALUE"""),"IKDC")</f>
        <v>IKDC</v>
      </c>
    </row>
    <row r="283">
      <c r="H283" s="7">
        <v>282.0</v>
      </c>
      <c r="I283" s="7" t="s">
        <v>247</v>
      </c>
      <c r="J283" s="7" t="s">
        <v>145</v>
      </c>
      <c r="K283" s="7" t="s">
        <v>2</v>
      </c>
      <c r="L283" s="7" t="str">
        <f>IFERROR(__xludf.DUMMYFUNCTION("""COMPUTED_VALUE"""),"Lysholm")</f>
        <v>Lysholm</v>
      </c>
    </row>
    <row r="284">
      <c r="H284" s="7">
        <v>283.0</v>
      </c>
      <c r="I284" s="7" t="s">
        <v>247</v>
      </c>
      <c r="J284" s="7" t="s">
        <v>145</v>
      </c>
      <c r="K284" s="7" t="s">
        <v>2</v>
      </c>
      <c r="L284" s="7" t="str">
        <f>IFERROR(__xludf.DUMMYFUNCTION("""COMPUTED_VALUE"""),"Instrumental laxity")</f>
        <v>Instrumental laxity</v>
      </c>
    </row>
    <row r="285">
      <c r="H285" s="7">
        <v>284.0</v>
      </c>
      <c r="I285" s="7" t="s">
        <v>247</v>
      </c>
      <c r="J285" s="7" t="s">
        <v>145</v>
      </c>
      <c r="K285" s="7" t="s">
        <v>2</v>
      </c>
      <c r="L285" s="7" t="str">
        <f>IFERROR(__xludf.DUMMYFUNCTION("""COMPUTED_VALUE"""),"Lachman")</f>
        <v>Lachman</v>
      </c>
    </row>
    <row r="286">
      <c r="H286" s="7">
        <v>285.0</v>
      </c>
      <c r="I286" s="7" t="s">
        <v>247</v>
      </c>
      <c r="J286" s="7" t="s">
        <v>145</v>
      </c>
      <c r="K286" s="7" t="s">
        <v>9</v>
      </c>
      <c r="L286" s="7" t="str">
        <f>IFERROR(__xludf.DUMMYFUNCTION("""COMPUTED_VALUE"""),"IKDC")</f>
        <v>IKDC</v>
      </c>
    </row>
    <row r="287">
      <c r="H287" s="7">
        <v>286.0</v>
      </c>
      <c r="I287" s="7" t="s">
        <v>247</v>
      </c>
      <c r="J287" s="7" t="s">
        <v>145</v>
      </c>
      <c r="K287" s="7" t="s">
        <v>9</v>
      </c>
      <c r="L287" s="7" t="str">
        <f>IFERROR(__xludf.DUMMYFUNCTION("""COMPUTED_VALUE"""),"Lysholm")</f>
        <v>Lysholm</v>
      </c>
    </row>
    <row r="288">
      <c r="H288" s="7">
        <v>287.0</v>
      </c>
      <c r="I288" s="7" t="s">
        <v>247</v>
      </c>
      <c r="J288" s="7" t="s">
        <v>145</v>
      </c>
      <c r="K288" s="7" t="s">
        <v>9</v>
      </c>
      <c r="L288" s="7" t="str">
        <f>IFERROR(__xludf.DUMMYFUNCTION("""COMPUTED_VALUE"""),"Instrumental laxity")</f>
        <v>Instrumental laxity</v>
      </c>
    </row>
    <row r="289">
      <c r="H289" s="7">
        <v>288.0</v>
      </c>
      <c r="I289" s="7" t="s">
        <v>247</v>
      </c>
      <c r="J289" s="7" t="s">
        <v>145</v>
      </c>
      <c r="K289" s="7" t="s">
        <v>9</v>
      </c>
      <c r="L289" s="7" t="str">
        <f>IFERROR(__xludf.DUMMYFUNCTION("""COMPUTED_VALUE"""),"Lachman")</f>
        <v>Lachman</v>
      </c>
    </row>
    <row r="290">
      <c r="H290" s="7">
        <v>289.0</v>
      </c>
      <c r="I290" s="7" t="s">
        <v>250</v>
      </c>
      <c r="J290" s="7" t="s">
        <v>147</v>
      </c>
      <c r="K290" s="7" t="s">
        <v>2</v>
      </c>
      <c r="L290" s="7" t="str">
        <f>IFERROR(__xludf.DUMMYFUNCTION("""COMPUTED_VALUE"""),"Instrumental laxity")</f>
        <v>Instrumental laxity</v>
      </c>
    </row>
    <row r="291">
      <c r="H291" s="7">
        <v>290.0</v>
      </c>
      <c r="I291" s="7" t="s">
        <v>250</v>
      </c>
      <c r="J291" s="7" t="s">
        <v>147</v>
      </c>
      <c r="K291" s="7" t="s">
        <v>2</v>
      </c>
      <c r="L291" s="7" t="str">
        <f>IFERROR(__xludf.DUMMYFUNCTION("""COMPUTED_VALUE"""),"IKDC")</f>
        <v>IKDC</v>
      </c>
    </row>
    <row r="292">
      <c r="H292" s="7">
        <v>291.0</v>
      </c>
      <c r="I292" s="7" t="s">
        <v>250</v>
      </c>
      <c r="J292" s="7" t="s">
        <v>147</v>
      </c>
      <c r="K292" s="7" t="s">
        <v>10</v>
      </c>
      <c r="L292" s="7" t="str">
        <f>IFERROR(__xludf.DUMMYFUNCTION("""COMPUTED_VALUE"""),"Instrumental laxity")</f>
        <v>Instrumental laxity</v>
      </c>
    </row>
    <row r="293">
      <c r="H293" s="7">
        <v>292.0</v>
      </c>
      <c r="I293" s="7" t="s">
        <v>250</v>
      </c>
      <c r="J293" s="7" t="s">
        <v>147</v>
      </c>
      <c r="K293" s="7" t="s">
        <v>10</v>
      </c>
      <c r="L293" s="7" t="str">
        <f>IFERROR(__xludf.DUMMYFUNCTION("""COMPUTED_VALUE"""),"IKDC")</f>
        <v>IKDC</v>
      </c>
    </row>
    <row r="294">
      <c r="H294" s="7">
        <v>293.0</v>
      </c>
      <c r="I294" s="7" t="s">
        <v>251</v>
      </c>
      <c r="J294" s="7" t="s">
        <v>150</v>
      </c>
      <c r="K294" s="7" t="s">
        <v>2</v>
      </c>
      <c r="L294" s="7" t="str">
        <f>IFERROR(__xludf.DUMMYFUNCTION("""COMPUTED_VALUE"""),"IKDC")</f>
        <v>IKDC</v>
      </c>
    </row>
    <row r="295">
      <c r="H295" s="7">
        <v>294.0</v>
      </c>
      <c r="I295" s="7" t="s">
        <v>251</v>
      </c>
      <c r="J295" s="7" t="s">
        <v>150</v>
      </c>
      <c r="K295" s="7" t="s">
        <v>2</v>
      </c>
      <c r="L295" s="7" t="str">
        <f>IFERROR(__xludf.DUMMYFUNCTION("""COMPUTED_VALUE"""),"Tegner")</f>
        <v>Tegner</v>
      </c>
    </row>
    <row r="296">
      <c r="H296" s="7">
        <v>295.0</v>
      </c>
      <c r="I296" s="7" t="s">
        <v>251</v>
      </c>
      <c r="J296" s="7" t="s">
        <v>150</v>
      </c>
      <c r="K296" s="7" t="s">
        <v>2</v>
      </c>
      <c r="L296" s="7" t="str">
        <f>IFERROR(__xludf.DUMMYFUNCTION("""COMPUTED_VALUE"""),"Lysholm")</f>
        <v>Lysholm</v>
      </c>
    </row>
    <row r="297">
      <c r="H297" s="7">
        <v>296.0</v>
      </c>
      <c r="I297" s="7" t="s">
        <v>251</v>
      </c>
      <c r="J297" s="7" t="s">
        <v>150</v>
      </c>
      <c r="K297" s="7" t="s">
        <v>2</v>
      </c>
      <c r="L297" s="7" t="str">
        <f>IFERROR(__xludf.DUMMYFUNCTION("""COMPUTED_VALUE"""),"Instrumental laxity")</f>
        <v>Instrumental laxity</v>
      </c>
    </row>
    <row r="298">
      <c r="H298" s="7">
        <v>297.0</v>
      </c>
      <c r="I298" s="7" t="s">
        <v>251</v>
      </c>
      <c r="J298" s="7" t="s">
        <v>150</v>
      </c>
      <c r="K298" s="7" t="s">
        <v>9</v>
      </c>
      <c r="L298" s="7" t="str">
        <f>IFERROR(__xludf.DUMMYFUNCTION("""COMPUTED_VALUE"""),"IKDC")</f>
        <v>IKDC</v>
      </c>
    </row>
    <row r="299">
      <c r="H299" s="7">
        <v>298.0</v>
      </c>
      <c r="I299" s="7" t="s">
        <v>251</v>
      </c>
      <c r="J299" s="7" t="s">
        <v>150</v>
      </c>
      <c r="K299" s="7" t="s">
        <v>9</v>
      </c>
      <c r="L299" s="7" t="str">
        <f>IFERROR(__xludf.DUMMYFUNCTION("""COMPUTED_VALUE"""),"Tegner")</f>
        <v>Tegner</v>
      </c>
    </row>
    <row r="300">
      <c r="H300" s="7">
        <v>299.0</v>
      </c>
      <c r="I300" s="7" t="s">
        <v>251</v>
      </c>
      <c r="J300" s="7" t="s">
        <v>150</v>
      </c>
      <c r="K300" s="7" t="s">
        <v>9</v>
      </c>
      <c r="L300" s="7" t="str">
        <f>IFERROR(__xludf.DUMMYFUNCTION("""COMPUTED_VALUE"""),"Lysholm")</f>
        <v>Lysholm</v>
      </c>
    </row>
    <row r="301">
      <c r="H301" s="7">
        <v>300.0</v>
      </c>
      <c r="I301" s="7" t="s">
        <v>251</v>
      </c>
      <c r="J301" s="7" t="s">
        <v>150</v>
      </c>
      <c r="K301" s="7" t="s">
        <v>9</v>
      </c>
      <c r="L301" s="7" t="str">
        <f>IFERROR(__xludf.DUMMYFUNCTION("""COMPUTED_VALUE"""),"Instrumental laxity")</f>
        <v>Instrumental laxity</v>
      </c>
    </row>
    <row r="302">
      <c r="H302" s="7">
        <v>301.0</v>
      </c>
      <c r="I302" s="7" t="s">
        <v>254</v>
      </c>
      <c r="J302" s="7" t="s">
        <v>153</v>
      </c>
      <c r="K302" s="7" t="s">
        <v>9</v>
      </c>
      <c r="L302" s="7" t="str">
        <f>IFERROR(__xludf.DUMMYFUNCTION("""COMPUTED_VALUE"""),"Instrumental laxity")</f>
        <v>Instrumental laxity</v>
      </c>
    </row>
    <row r="303">
      <c r="H303" s="7">
        <v>302.0</v>
      </c>
      <c r="I303" s="7" t="s">
        <v>254</v>
      </c>
      <c r="J303" s="7" t="s">
        <v>153</v>
      </c>
      <c r="K303" s="7" t="s">
        <v>9</v>
      </c>
      <c r="L303" s="7" t="str">
        <f>IFERROR(__xludf.DUMMYFUNCTION("""COMPUTED_VALUE"""),"Pivot shift")</f>
        <v>Pivot shift</v>
      </c>
    </row>
    <row r="304">
      <c r="H304" s="7">
        <v>303.0</v>
      </c>
      <c r="I304" s="7" t="s">
        <v>254</v>
      </c>
      <c r="J304" s="7" t="s">
        <v>153</v>
      </c>
      <c r="K304" s="7" t="s">
        <v>9</v>
      </c>
      <c r="L304" s="7" t="str">
        <f>IFERROR(__xludf.DUMMYFUNCTION("""COMPUTED_VALUE"""),"Lachman")</f>
        <v>Lachman</v>
      </c>
    </row>
    <row r="305">
      <c r="H305" s="7">
        <v>304.0</v>
      </c>
      <c r="I305" s="7" t="s">
        <v>254</v>
      </c>
      <c r="J305" s="7" t="s">
        <v>153</v>
      </c>
      <c r="K305" s="7" t="s">
        <v>9</v>
      </c>
      <c r="L305" s="7" t="str">
        <f>IFERROR(__xludf.DUMMYFUNCTION("""COMPUTED_VALUE"""),"IKDC")</f>
        <v>IKDC</v>
      </c>
    </row>
    <row r="306">
      <c r="H306" s="7">
        <v>305.0</v>
      </c>
      <c r="I306" s="7" t="s">
        <v>254</v>
      </c>
      <c r="J306" s="7" t="s">
        <v>153</v>
      </c>
      <c r="K306" s="7" t="s">
        <v>9</v>
      </c>
      <c r="L306" s="7" t="str">
        <f>IFERROR(__xludf.DUMMYFUNCTION("""COMPUTED_VALUE"""),"Lysholm")</f>
        <v>Lysholm</v>
      </c>
    </row>
    <row r="307">
      <c r="H307" s="7">
        <v>306.0</v>
      </c>
      <c r="I307" s="7" t="s">
        <v>254</v>
      </c>
      <c r="J307" s="7" t="s">
        <v>153</v>
      </c>
      <c r="K307" s="7" t="s">
        <v>9</v>
      </c>
      <c r="L307" s="7" t="str">
        <f>IFERROR(__xludf.DUMMYFUNCTION("""COMPUTED_VALUE"""),"Tegner")</f>
        <v>Tegner</v>
      </c>
    </row>
    <row r="308">
      <c r="H308" s="7">
        <v>307.0</v>
      </c>
      <c r="I308" s="7" t="s">
        <v>254</v>
      </c>
      <c r="J308" s="7" t="s">
        <v>153</v>
      </c>
      <c r="K308" s="7" t="s">
        <v>11</v>
      </c>
      <c r="L308" s="7" t="str">
        <f>IFERROR(__xludf.DUMMYFUNCTION("""COMPUTED_VALUE"""),"Instrumental laxity")</f>
        <v>Instrumental laxity</v>
      </c>
    </row>
    <row r="309">
      <c r="H309" s="7">
        <v>308.0</v>
      </c>
      <c r="I309" s="7" t="s">
        <v>254</v>
      </c>
      <c r="J309" s="7" t="s">
        <v>153</v>
      </c>
      <c r="K309" s="7" t="s">
        <v>11</v>
      </c>
      <c r="L309" s="7" t="str">
        <f>IFERROR(__xludf.DUMMYFUNCTION("""COMPUTED_VALUE"""),"Pivot shift")</f>
        <v>Pivot shift</v>
      </c>
    </row>
    <row r="310">
      <c r="H310" s="7">
        <v>309.0</v>
      </c>
      <c r="I310" s="7" t="s">
        <v>254</v>
      </c>
      <c r="J310" s="7" t="s">
        <v>153</v>
      </c>
      <c r="K310" s="7" t="s">
        <v>11</v>
      </c>
      <c r="L310" s="7" t="str">
        <f>IFERROR(__xludf.DUMMYFUNCTION("""COMPUTED_VALUE"""),"Lachman")</f>
        <v>Lachman</v>
      </c>
    </row>
    <row r="311">
      <c r="H311" s="7">
        <v>310.0</v>
      </c>
      <c r="I311" s="7" t="s">
        <v>254</v>
      </c>
      <c r="J311" s="7" t="s">
        <v>153</v>
      </c>
      <c r="K311" s="7" t="s">
        <v>11</v>
      </c>
      <c r="L311" s="7" t="str">
        <f>IFERROR(__xludf.DUMMYFUNCTION("""COMPUTED_VALUE"""),"IKDC")</f>
        <v>IKDC</v>
      </c>
    </row>
    <row r="312">
      <c r="H312" s="7">
        <v>311.0</v>
      </c>
      <c r="I312" s="7" t="s">
        <v>254</v>
      </c>
      <c r="J312" s="7" t="s">
        <v>153</v>
      </c>
      <c r="K312" s="7" t="s">
        <v>11</v>
      </c>
      <c r="L312" s="7" t="str">
        <f>IFERROR(__xludf.DUMMYFUNCTION("""COMPUTED_VALUE"""),"Lysholm")</f>
        <v>Lysholm</v>
      </c>
    </row>
    <row r="313">
      <c r="H313" s="7">
        <v>312.0</v>
      </c>
      <c r="I313" s="7" t="s">
        <v>254</v>
      </c>
      <c r="J313" s="7" t="s">
        <v>153</v>
      </c>
      <c r="K313" s="7" t="s">
        <v>11</v>
      </c>
      <c r="L313" s="7" t="str">
        <f>IFERROR(__xludf.DUMMYFUNCTION("""COMPUTED_VALUE"""),"Tegner")</f>
        <v>Tegner</v>
      </c>
    </row>
    <row r="314">
      <c r="H314" s="7">
        <v>313.0</v>
      </c>
      <c r="I314" s="7" t="s">
        <v>256</v>
      </c>
      <c r="J314" s="7" t="s">
        <v>155</v>
      </c>
      <c r="K314" s="7" t="s">
        <v>2</v>
      </c>
      <c r="L314" s="7" t="str">
        <f>IFERROR(__xludf.DUMMYFUNCTION("""COMPUTED_VALUE"""),"IKDC")</f>
        <v>IKDC</v>
      </c>
    </row>
    <row r="315">
      <c r="H315" s="7">
        <v>314.0</v>
      </c>
      <c r="I315" s="7" t="s">
        <v>256</v>
      </c>
      <c r="J315" s="7" t="s">
        <v>155</v>
      </c>
      <c r="K315" s="7" t="s">
        <v>2</v>
      </c>
      <c r="L315" s="7" t="str">
        <f>IFERROR(__xludf.DUMMYFUNCTION("""COMPUTED_VALUE"""),"Instrumental laxity")</f>
        <v>Instrumental laxity</v>
      </c>
    </row>
    <row r="316">
      <c r="H316" s="7">
        <v>315.0</v>
      </c>
      <c r="I316" s="7" t="s">
        <v>256</v>
      </c>
      <c r="J316" s="7" t="s">
        <v>155</v>
      </c>
      <c r="K316" s="7" t="s">
        <v>9</v>
      </c>
      <c r="L316" s="7" t="str">
        <f>IFERROR(__xludf.DUMMYFUNCTION("""COMPUTED_VALUE"""),"IKDC")</f>
        <v>IKDC</v>
      </c>
    </row>
    <row r="317">
      <c r="H317" s="7">
        <v>316.0</v>
      </c>
      <c r="I317" s="7" t="s">
        <v>256</v>
      </c>
      <c r="J317" s="7" t="s">
        <v>155</v>
      </c>
      <c r="K317" s="7" t="s">
        <v>9</v>
      </c>
      <c r="L317" s="7" t="str">
        <f>IFERROR(__xludf.DUMMYFUNCTION("""COMPUTED_VALUE"""),"Instrumental laxity")</f>
        <v>Instrumental laxity</v>
      </c>
    </row>
    <row r="318">
      <c r="H318" s="7">
        <v>317.0</v>
      </c>
      <c r="I318" s="7" t="s">
        <v>258</v>
      </c>
      <c r="J318" s="7" t="s">
        <v>157</v>
      </c>
      <c r="K318" s="7" t="s">
        <v>2</v>
      </c>
      <c r="L318" s="7" t="str">
        <f>IFERROR(__xludf.DUMMYFUNCTION("""COMPUTED_VALUE"""),"Instrumental laxity")</f>
        <v>Instrumental laxity</v>
      </c>
    </row>
    <row r="319">
      <c r="H319" s="7">
        <v>318.0</v>
      </c>
      <c r="I319" s="7" t="s">
        <v>258</v>
      </c>
      <c r="J319" s="7" t="s">
        <v>157</v>
      </c>
      <c r="K319" s="7" t="s">
        <v>2</v>
      </c>
      <c r="L319" s="7" t="str">
        <f>IFERROR(__xludf.DUMMYFUNCTION("""COMPUTED_VALUE"""),"Lachman")</f>
        <v>Lachman</v>
      </c>
    </row>
    <row r="320">
      <c r="H320" s="7">
        <v>319.0</v>
      </c>
      <c r="I320" s="7" t="s">
        <v>258</v>
      </c>
      <c r="J320" s="7" t="s">
        <v>157</v>
      </c>
      <c r="K320" s="7" t="s">
        <v>2</v>
      </c>
      <c r="L320" s="7" t="str">
        <f>IFERROR(__xludf.DUMMYFUNCTION("""COMPUTED_VALUE"""),"Graft rupture")</f>
        <v>Graft rupture</v>
      </c>
    </row>
    <row r="321">
      <c r="H321" s="7">
        <v>320.0</v>
      </c>
      <c r="I321" s="7" t="s">
        <v>258</v>
      </c>
      <c r="J321" s="7" t="s">
        <v>157</v>
      </c>
      <c r="K321" s="7" t="s">
        <v>9</v>
      </c>
      <c r="L321" s="7" t="str">
        <f>IFERROR(__xludf.DUMMYFUNCTION("""COMPUTED_VALUE"""),"Instrumental laxity")</f>
        <v>Instrumental laxity</v>
      </c>
    </row>
    <row r="322">
      <c r="H322" s="7">
        <v>321.0</v>
      </c>
      <c r="I322" s="7" t="s">
        <v>258</v>
      </c>
      <c r="J322" s="7" t="s">
        <v>157</v>
      </c>
      <c r="K322" s="7" t="s">
        <v>9</v>
      </c>
      <c r="L322" s="7" t="str">
        <f>IFERROR(__xludf.DUMMYFUNCTION("""COMPUTED_VALUE"""),"Lachman")</f>
        <v>Lachman</v>
      </c>
    </row>
    <row r="323">
      <c r="H323" s="7">
        <v>322.0</v>
      </c>
      <c r="I323" s="7" t="s">
        <v>258</v>
      </c>
      <c r="J323" s="7" t="s">
        <v>157</v>
      </c>
      <c r="K323" s="7" t="s">
        <v>9</v>
      </c>
      <c r="L323" s="7" t="str">
        <f>IFERROR(__xludf.DUMMYFUNCTION("""COMPUTED_VALUE"""),"Graft rupture")</f>
        <v>Graft rupture</v>
      </c>
    </row>
    <row r="324">
      <c r="H324" s="7">
        <v>323.0</v>
      </c>
      <c r="I324" s="7" t="s">
        <v>259</v>
      </c>
      <c r="J324" s="7" t="s">
        <v>161</v>
      </c>
      <c r="K324" s="7" t="s">
        <v>2</v>
      </c>
      <c r="L324" s="7" t="str">
        <f>IFERROR(__xludf.DUMMYFUNCTION("""COMPUTED_VALUE"""),"IKDC")</f>
        <v>IKDC</v>
      </c>
    </row>
    <row r="325">
      <c r="H325" s="7">
        <v>324.0</v>
      </c>
      <c r="I325" s="7" t="s">
        <v>259</v>
      </c>
      <c r="J325" s="7" t="s">
        <v>161</v>
      </c>
      <c r="K325" s="7" t="s">
        <v>2</v>
      </c>
      <c r="L325" s="7" t="str">
        <f>IFERROR(__xludf.DUMMYFUNCTION("""COMPUTED_VALUE"""),"Pivot shift")</f>
        <v>Pivot shift</v>
      </c>
    </row>
    <row r="326">
      <c r="H326" s="7">
        <v>325.0</v>
      </c>
      <c r="I326" s="7" t="s">
        <v>259</v>
      </c>
      <c r="J326" s="7" t="s">
        <v>161</v>
      </c>
      <c r="K326" s="7" t="s">
        <v>2</v>
      </c>
      <c r="L326" s="7" t="str">
        <f>IFERROR(__xludf.DUMMYFUNCTION("""COMPUTED_VALUE"""),"Lachman")</f>
        <v>Lachman</v>
      </c>
    </row>
    <row r="327">
      <c r="H327" s="7">
        <v>326.0</v>
      </c>
      <c r="I327" s="7" t="s">
        <v>259</v>
      </c>
      <c r="J327" s="7" t="s">
        <v>161</v>
      </c>
      <c r="K327" s="7" t="s">
        <v>2</v>
      </c>
      <c r="L327" s="7" t="str">
        <f>IFERROR(__xludf.DUMMYFUNCTION("""COMPUTED_VALUE"""),"Instrumental laxity")</f>
        <v>Instrumental laxity</v>
      </c>
    </row>
    <row r="328">
      <c r="H328" s="7">
        <v>327.0</v>
      </c>
      <c r="I328" s="7" t="s">
        <v>259</v>
      </c>
      <c r="J328" s="7" t="s">
        <v>161</v>
      </c>
      <c r="K328" s="7" t="s">
        <v>2</v>
      </c>
      <c r="L328" s="7" t="str">
        <f>IFERROR(__xludf.DUMMYFUNCTION("""COMPUTED_VALUE"""),"Graft rupture")</f>
        <v>Graft rupture</v>
      </c>
    </row>
    <row r="329">
      <c r="H329" s="7">
        <v>328.0</v>
      </c>
      <c r="I329" s="7" t="s">
        <v>259</v>
      </c>
      <c r="J329" s="7" t="s">
        <v>161</v>
      </c>
      <c r="K329" s="7" t="s">
        <v>9</v>
      </c>
      <c r="L329" s="7" t="str">
        <f>IFERROR(__xludf.DUMMYFUNCTION("""COMPUTED_VALUE"""),"IKDC")</f>
        <v>IKDC</v>
      </c>
    </row>
    <row r="330">
      <c r="H330" s="7">
        <v>329.0</v>
      </c>
      <c r="I330" s="7" t="s">
        <v>259</v>
      </c>
      <c r="J330" s="7" t="s">
        <v>161</v>
      </c>
      <c r="K330" s="7" t="s">
        <v>9</v>
      </c>
      <c r="L330" s="7" t="str">
        <f>IFERROR(__xludf.DUMMYFUNCTION("""COMPUTED_VALUE"""),"Pivot shift")</f>
        <v>Pivot shift</v>
      </c>
    </row>
    <row r="331">
      <c r="H331" s="7">
        <v>330.0</v>
      </c>
      <c r="I331" s="7" t="s">
        <v>259</v>
      </c>
      <c r="J331" s="7" t="s">
        <v>161</v>
      </c>
      <c r="K331" s="7" t="s">
        <v>9</v>
      </c>
      <c r="L331" s="7" t="str">
        <f>IFERROR(__xludf.DUMMYFUNCTION("""COMPUTED_VALUE"""),"Lachman")</f>
        <v>Lachman</v>
      </c>
    </row>
    <row r="332">
      <c r="H332" s="7">
        <v>331.0</v>
      </c>
      <c r="I332" s="7" t="s">
        <v>259</v>
      </c>
      <c r="J332" s="7" t="s">
        <v>161</v>
      </c>
      <c r="K332" s="7" t="s">
        <v>9</v>
      </c>
      <c r="L332" s="7" t="str">
        <f>IFERROR(__xludf.DUMMYFUNCTION("""COMPUTED_VALUE"""),"Instrumental laxity")</f>
        <v>Instrumental laxity</v>
      </c>
    </row>
    <row r="333">
      <c r="H333" s="7">
        <v>332.0</v>
      </c>
      <c r="I333" s="7" t="s">
        <v>259</v>
      </c>
      <c r="J333" s="7" t="s">
        <v>161</v>
      </c>
      <c r="K333" s="7" t="s">
        <v>9</v>
      </c>
      <c r="L333" s="7" t="str">
        <f>IFERROR(__xludf.DUMMYFUNCTION("""COMPUTED_VALUE"""),"Graft rupture")</f>
        <v>Graft rupture</v>
      </c>
    </row>
    <row r="334">
      <c r="H334" s="7">
        <v>333.0</v>
      </c>
      <c r="I334" s="7" t="s">
        <v>261</v>
      </c>
      <c r="J334" s="7" t="s">
        <v>164</v>
      </c>
      <c r="K334" s="7" t="s">
        <v>2</v>
      </c>
      <c r="L334" s="7" t="str">
        <f>IFERROR(__xludf.DUMMYFUNCTION("""COMPUTED_VALUE"""),"IKDC")</f>
        <v>IKDC</v>
      </c>
    </row>
    <row r="335">
      <c r="H335" s="7">
        <v>334.0</v>
      </c>
      <c r="I335" s="7" t="s">
        <v>261</v>
      </c>
      <c r="J335" s="7" t="s">
        <v>164</v>
      </c>
      <c r="K335" s="7" t="s">
        <v>2</v>
      </c>
      <c r="L335" s="7" t="str">
        <f>IFERROR(__xludf.DUMMYFUNCTION("""COMPUTED_VALUE"""),"Tegner")</f>
        <v>Tegner</v>
      </c>
    </row>
    <row r="336">
      <c r="H336" s="7">
        <v>335.0</v>
      </c>
      <c r="I336" s="7" t="s">
        <v>261</v>
      </c>
      <c r="J336" s="7" t="s">
        <v>164</v>
      </c>
      <c r="K336" s="7" t="s">
        <v>2</v>
      </c>
      <c r="L336" s="7" t="str">
        <f>IFERROR(__xludf.DUMMYFUNCTION("""COMPUTED_VALUE"""),"Lysholm")</f>
        <v>Lysholm</v>
      </c>
    </row>
    <row r="337">
      <c r="H337" s="7">
        <v>336.0</v>
      </c>
      <c r="I337" s="7" t="s">
        <v>261</v>
      </c>
      <c r="J337" s="7" t="s">
        <v>164</v>
      </c>
      <c r="K337" s="7" t="s">
        <v>2</v>
      </c>
      <c r="L337" s="7" t="str">
        <f>IFERROR(__xludf.DUMMYFUNCTION("""COMPUTED_VALUE"""),"Instrumental laxity")</f>
        <v>Instrumental laxity</v>
      </c>
    </row>
    <row r="338">
      <c r="H338" s="7">
        <v>337.0</v>
      </c>
      <c r="I338" s="7" t="s">
        <v>261</v>
      </c>
      <c r="J338" s="7" t="s">
        <v>164</v>
      </c>
      <c r="K338" s="7" t="s">
        <v>2</v>
      </c>
      <c r="L338" s="7" t="str">
        <f>IFERROR(__xludf.DUMMYFUNCTION("""COMPUTED_VALUE"""),"Lachman")</f>
        <v>Lachman</v>
      </c>
    </row>
    <row r="339">
      <c r="H339" s="7">
        <v>338.0</v>
      </c>
      <c r="I339" s="7" t="s">
        <v>261</v>
      </c>
      <c r="J339" s="7" t="s">
        <v>164</v>
      </c>
      <c r="K339" s="7" t="s">
        <v>2</v>
      </c>
      <c r="L339" s="7" t="str">
        <f>IFERROR(__xludf.DUMMYFUNCTION("""COMPUTED_VALUE"""),"Graft rupture")</f>
        <v>Graft rupture</v>
      </c>
    </row>
    <row r="340">
      <c r="H340" s="7">
        <v>339.0</v>
      </c>
      <c r="I340" s="7" t="s">
        <v>261</v>
      </c>
      <c r="J340" s="7" t="s">
        <v>164</v>
      </c>
      <c r="K340" s="7" t="s">
        <v>9</v>
      </c>
      <c r="L340" s="7" t="str">
        <f>IFERROR(__xludf.DUMMYFUNCTION("""COMPUTED_VALUE"""),"IKDC")</f>
        <v>IKDC</v>
      </c>
    </row>
    <row r="341">
      <c r="H341" s="7">
        <v>340.0</v>
      </c>
      <c r="I341" s="7" t="s">
        <v>261</v>
      </c>
      <c r="J341" s="7" t="s">
        <v>164</v>
      </c>
      <c r="K341" s="7" t="s">
        <v>9</v>
      </c>
      <c r="L341" s="7" t="str">
        <f>IFERROR(__xludf.DUMMYFUNCTION("""COMPUTED_VALUE"""),"Tegner")</f>
        <v>Tegner</v>
      </c>
    </row>
    <row r="342">
      <c r="H342" s="7">
        <v>341.0</v>
      </c>
      <c r="I342" s="7" t="s">
        <v>261</v>
      </c>
      <c r="J342" s="7" t="s">
        <v>164</v>
      </c>
      <c r="K342" s="7" t="s">
        <v>9</v>
      </c>
      <c r="L342" s="7" t="str">
        <f>IFERROR(__xludf.DUMMYFUNCTION("""COMPUTED_VALUE"""),"Lysholm")</f>
        <v>Lysholm</v>
      </c>
    </row>
    <row r="343">
      <c r="H343" s="7">
        <v>342.0</v>
      </c>
      <c r="I343" s="7" t="s">
        <v>261</v>
      </c>
      <c r="J343" s="7" t="s">
        <v>164</v>
      </c>
      <c r="K343" s="7" t="s">
        <v>9</v>
      </c>
      <c r="L343" s="7" t="str">
        <f>IFERROR(__xludf.DUMMYFUNCTION("""COMPUTED_VALUE"""),"Instrumental laxity")</f>
        <v>Instrumental laxity</v>
      </c>
    </row>
    <row r="344">
      <c r="H344" s="7">
        <v>343.0</v>
      </c>
      <c r="I344" s="7" t="s">
        <v>261</v>
      </c>
      <c r="J344" s="7" t="s">
        <v>164</v>
      </c>
      <c r="K344" s="7" t="s">
        <v>9</v>
      </c>
      <c r="L344" s="7" t="str">
        <f>IFERROR(__xludf.DUMMYFUNCTION("""COMPUTED_VALUE"""),"Lachman")</f>
        <v>Lachman</v>
      </c>
    </row>
    <row r="345">
      <c r="H345" s="7">
        <v>344.0</v>
      </c>
      <c r="I345" s="7" t="s">
        <v>261</v>
      </c>
      <c r="J345" s="7" t="s">
        <v>164</v>
      </c>
      <c r="K345" s="7" t="s">
        <v>9</v>
      </c>
      <c r="L345" s="7" t="str">
        <f>IFERROR(__xludf.DUMMYFUNCTION("""COMPUTED_VALUE"""),"Graft rupture")</f>
        <v>Graft rupture</v>
      </c>
    </row>
    <row r="346">
      <c r="H346" s="7">
        <v>345.0</v>
      </c>
      <c r="I346" s="7" t="s">
        <v>264</v>
      </c>
      <c r="J346" s="7" t="s">
        <v>166</v>
      </c>
      <c r="K346" s="7" t="s">
        <v>9</v>
      </c>
      <c r="L346" s="7" t="str">
        <f>IFERROR(__xludf.DUMMYFUNCTION("""COMPUTED_VALUE"""),"Lachman")</f>
        <v>Lachman</v>
      </c>
    </row>
    <row r="347">
      <c r="H347" s="7">
        <v>346.0</v>
      </c>
      <c r="I347" s="7" t="s">
        <v>264</v>
      </c>
      <c r="J347" s="7" t="s">
        <v>166</v>
      </c>
      <c r="K347" s="7" t="s">
        <v>9</v>
      </c>
      <c r="L347" s="7" t="str">
        <f>IFERROR(__xludf.DUMMYFUNCTION("""COMPUTED_VALUE"""),"IKDC")</f>
        <v>IKDC</v>
      </c>
    </row>
    <row r="348">
      <c r="H348" s="7">
        <v>347.0</v>
      </c>
      <c r="I348" s="7" t="s">
        <v>264</v>
      </c>
      <c r="J348" s="7" t="s">
        <v>166</v>
      </c>
      <c r="K348" s="7" t="s">
        <v>9</v>
      </c>
      <c r="L348" s="7" t="str">
        <f>IFERROR(__xludf.DUMMYFUNCTION("""COMPUTED_VALUE"""),"Tegner")</f>
        <v>Tegner</v>
      </c>
    </row>
    <row r="349">
      <c r="H349" s="7">
        <v>348.0</v>
      </c>
      <c r="I349" s="7" t="s">
        <v>264</v>
      </c>
      <c r="J349" s="7" t="s">
        <v>166</v>
      </c>
      <c r="K349" s="7" t="s">
        <v>9</v>
      </c>
      <c r="L349" s="7" t="str">
        <f>IFERROR(__xludf.DUMMYFUNCTION("""COMPUTED_VALUE"""),"Lysholm")</f>
        <v>Lysholm</v>
      </c>
    </row>
    <row r="350">
      <c r="H350" s="7">
        <v>349.0</v>
      </c>
      <c r="I350" s="7" t="s">
        <v>264</v>
      </c>
      <c r="J350" s="7" t="s">
        <v>166</v>
      </c>
      <c r="K350" s="7" t="s">
        <v>9</v>
      </c>
      <c r="L350" s="7" t="str">
        <f>IFERROR(__xludf.DUMMYFUNCTION("""COMPUTED_VALUE"""),"Instrumental laxity")</f>
        <v>Instrumental laxity</v>
      </c>
    </row>
    <row r="351">
      <c r="H351" s="7">
        <v>350.0</v>
      </c>
      <c r="I351" s="7" t="s">
        <v>264</v>
      </c>
      <c r="J351" s="7" t="s">
        <v>166</v>
      </c>
      <c r="K351" s="7" t="s">
        <v>9</v>
      </c>
      <c r="L351" s="7" t="str">
        <f>IFERROR(__xludf.DUMMYFUNCTION("""COMPUTED_VALUE"""),"Pivot shift")</f>
        <v>Pivot shift</v>
      </c>
    </row>
    <row r="352">
      <c r="H352" s="7">
        <v>351.0</v>
      </c>
      <c r="I352" s="7" t="s">
        <v>264</v>
      </c>
      <c r="J352" s="7" t="s">
        <v>166</v>
      </c>
      <c r="K352" s="7" t="s">
        <v>9</v>
      </c>
      <c r="L352" s="7" t="str">
        <f>IFERROR(__xludf.DUMMYFUNCTION("""COMPUTED_VALUE"""),"Graft rupture")</f>
        <v>Graft rupture</v>
      </c>
    </row>
    <row r="353">
      <c r="H353" s="7">
        <v>352.0</v>
      </c>
      <c r="I353" s="7" t="s">
        <v>264</v>
      </c>
      <c r="J353" s="7" t="s">
        <v>166</v>
      </c>
      <c r="K353" s="7" t="s">
        <v>12</v>
      </c>
      <c r="L353" s="7" t="str">
        <f>IFERROR(__xludf.DUMMYFUNCTION("""COMPUTED_VALUE"""),"Lachman")</f>
        <v>Lachman</v>
      </c>
    </row>
    <row r="354">
      <c r="H354" s="7">
        <v>353.0</v>
      </c>
      <c r="I354" s="7" t="s">
        <v>264</v>
      </c>
      <c r="J354" s="7" t="s">
        <v>166</v>
      </c>
      <c r="K354" s="7" t="s">
        <v>12</v>
      </c>
      <c r="L354" s="7" t="str">
        <f>IFERROR(__xludf.DUMMYFUNCTION("""COMPUTED_VALUE"""),"IKDC")</f>
        <v>IKDC</v>
      </c>
    </row>
    <row r="355">
      <c r="H355" s="7">
        <v>354.0</v>
      </c>
      <c r="I355" s="7" t="s">
        <v>264</v>
      </c>
      <c r="J355" s="7" t="s">
        <v>166</v>
      </c>
      <c r="K355" s="7" t="s">
        <v>12</v>
      </c>
      <c r="L355" s="7" t="str">
        <f>IFERROR(__xludf.DUMMYFUNCTION("""COMPUTED_VALUE"""),"Tegner")</f>
        <v>Tegner</v>
      </c>
    </row>
    <row r="356">
      <c r="H356" s="7">
        <v>355.0</v>
      </c>
      <c r="I356" s="7" t="s">
        <v>264</v>
      </c>
      <c r="J356" s="7" t="s">
        <v>166</v>
      </c>
      <c r="K356" s="7" t="s">
        <v>12</v>
      </c>
      <c r="L356" s="7" t="str">
        <f>IFERROR(__xludf.DUMMYFUNCTION("""COMPUTED_VALUE"""),"Lysholm")</f>
        <v>Lysholm</v>
      </c>
    </row>
    <row r="357">
      <c r="H357" s="7">
        <v>356.0</v>
      </c>
      <c r="I357" s="7" t="s">
        <v>264</v>
      </c>
      <c r="J357" s="7" t="s">
        <v>166</v>
      </c>
      <c r="K357" s="7" t="s">
        <v>12</v>
      </c>
      <c r="L357" s="7" t="str">
        <f>IFERROR(__xludf.DUMMYFUNCTION("""COMPUTED_VALUE"""),"Instrumental laxity")</f>
        <v>Instrumental laxity</v>
      </c>
    </row>
    <row r="358">
      <c r="H358" s="7">
        <v>357.0</v>
      </c>
      <c r="I358" s="7" t="s">
        <v>264</v>
      </c>
      <c r="J358" s="7" t="s">
        <v>166</v>
      </c>
      <c r="K358" s="7" t="s">
        <v>12</v>
      </c>
      <c r="L358" s="7" t="str">
        <f>IFERROR(__xludf.DUMMYFUNCTION("""COMPUTED_VALUE"""),"Pivot shift")</f>
        <v>Pivot shift</v>
      </c>
    </row>
    <row r="359">
      <c r="H359" s="7">
        <v>358.0</v>
      </c>
      <c r="I359" s="7" t="s">
        <v>264</v>
      </c>
      <c r="J359" s="7" t="s">
        <v>166</v>
      </c>
      <c r="K359" s="7" t="s">
        <v>12</v>
      </c>
      <c r="L359" s="7" t="str">
        <f>IFERROR(__xludf.DUMMYFUNCTION("""COMPUTED_VALUE"""),"Graft rupture")</f>
        <v>Graft rupture</v>
      </c>
    </row>
    <row r="360">
      <c r="H360" s="7">
        <v>359.0</v>
      </c>
      <c r="I360" s="7" t="s">
        <v>268</v>
      </c>
      <c r="J360" s="7" t="s">
        <v>169</v>
      </c>
      <c r="K360" s="7" t="s">
        <v>2</v>
      </c>
      <c r="L360" s="7" t="str">
        <f>IFERROR(__xludf.DUMMYFUNCTION("""COMPUTED_VALUE"""),"IKDC")</f>
        <v>IKDC</v>
      </c>
    </row>
    <row r="361">
      <c r="H361" s="7">
        <v>360.0</v>
      </c>
      <c r="I361" s="7" t="s">
        <v>268</v>
      </c>
      <c r="J361" s="7" t="s">
        <v>169</v>
      </c>
      <c r="K361" s="7" t="s">
        <v>2</v>
      </c>
      <c r="L361" s="7" t="str">
        <f>IFERROR(__xludf.DUMMYFUNCTION("""COMPUTED_VALUE"""),"Lysholm")</f>
        <v>Lysholm</v>
      </c>
    </row>
    <row r="362">
      <c r="H362" s="7">
        <v>361.0</v>
      </c>
      <c r="I362" s="7" t="s">
        <v>268</v>
      </c>
      <c r="J362" s="7" t="s">
        <v>169</v>
      </c>
      <c r="K362" s="7" t="s">
        <v>2</v>
      </c>
      <c r="L362" s="7" t="str">
        <f>IFERROR(__xludf.DUMMYFUNCTION("""COMPUTED_VALUE"""),"Instrumental laxity")</f>
        <v>Instrumental laxity</v>
      </c>
    </row>
    <row r="363">
      <c r="H363" s="7">
        <v>362.0</v>
      </c>
      <c r="I363" s="7" t="s">
        <v>268</v>
      </c>
      <c r="J363" s="7" t="s">
        <v>169</v>
      </c>
      <c r="K363" s="7" t="s">
        <v>9</v>
      </c>
      <c r="L363" s="7" t="str">
        <f>IFERROR(__xludf.DUMMYFUNCTION("""COMPUTED_VALUE"""),"IKDC")</f>
        <v>IKDC</v>
      </c>
    </row>
    <row r="364">
      <c r="H364" s="7">
        <v>363.0</v>
      </c>
      <c r="I364" s="7" t="s">
        <v>268</v>
      </c>
      <c r="J364" s="7" t="s">
        <v>169</v>
      </c>
      <c r="K364" s="7" t="s">
        <v>9</v>
      </c>
      <c r="L364" s="7" t="str">
        <f>IFERROR(__xludf.DUMMYFUNCTION("""COMPUTED_VALUE"""),"Lysholm")</f>
        <v>Lysholm</v>
      </c>
    </row>
    <row r="365">
      <c r="H365" s="7">
        <v>364.0</v>
      </c>
      <c r="I365" s="7" t="s">
        <v>268</v>
      </c>
      <c r="J365" s="7" t="s">
        <v>169</v>
      </c>
      <c r="K365" s="7" t="s">
        <v>9</v>
      </c>
      <c r="L365" s="7" t="str">
        <f>IFERROR(__xludf.DUMMYFUNCTION("""COMPUTED_VALUE"""),"Instrumental laxity")</f>
        <v>Instrumental laxity</v>
      </c>
    </row>
    <row r="366">
      <c r="H366" s="7">
        <v>365.0</v>
      </c>
      <c r="I366" s="7" t="s">
        <v>270</v>
      </c>
      <c r="J366" s="7" t="s">
        <v>171</v>
      </c>
      <c r="K366" s="7" t="s">
        <v>2</v>
      </c>
      <c r="L366" s="7" t="str">
        <f>IFERROR(__xludf.DUMMYFUNCTION("""COMPUTED_VALUE"""),"IKDC")</f>
        <v>IKDC</v>
      </c>
    </row>
    <row r="367">
      <c r="H367" s="7">
        <v>366.0</v>
      </c>
      <c r="I367" s="7" t="s">
        <v>270</v>
      </c>
      <c r="J367" s="7" t="s">
        <v>171</v>
      </c>
      <c r="K367" s="7" t="s">
        <v>2</v>
      </c>
      <c r="L367" s="7" t="str">
        <f>IFERROR(__xludf.DUMMYFUNCTION("""COMPUTED_VALUE"""),"Lysholm")</f>
        <v>Lysholm</v>
      </c>
    </row>
    <row r="368">
      <c r="H368" s="7">
        <v>367.0</v>
      </c>
      <c r="I368" s="7" t="s">
        <v>270</v>
      </c>
      <c r="J368" s="7" t="s">
        <v>171</v>
      </c>
      <c r="K368" s="7" t="s">
        <v>9</v>
      </c>
      <c r="L368" s="7" t="str">
        <f>IFERROR(__xludf.DUMMYFUNCTION("""COMPUTED_VALUE"""),"IKDC")</f>
        <v>IKDC</v>
      </c>
    </row>
    <row r="369">
      <c r="H369" s="7">
        <v>368.0</v>
      </c>
      <c r="I369" s="7" t="s">
        <v>270</v>
      </c>
      <c r="J369" s="7" t="s">
        <v>171</v>
      </c>
      <c r="K369" s="7" t="s">
        <v>9</v>
      </c>
      <c r="L369" s="7" t="str">
        <f>IFERROR(__xludf.DUMMYFUNCTION("""COMPUTED_VALUE"""),"Lysholm")</f>
        <v>Lysholm</v>
      </c>
    </row>
    <row r="370">
      <c r="H370" s="7">
        <v>369.0</v>
      </c>
      <c r="I370" s="7" t="s">
        <v>271</v>
      </c>
      <c r="J370" s="7" t="s">
        <v>174</v>
      </c>
      <c r="K370" s="7" t="s">
        <v>2</v>
      </c>
      <c r="L370" s="7" t="str">
        <f>IFERROR(__xludf.DUMMYFUNCTION("""COMPUTED_VALUE"""),"IKDC")</f>
        <v>IKDC</v>
      </c>
    </row>
    <row r="371">
      <c r="H371" s="7">
        <v>370.0</v>
      </c>
      <c r="I371" s="7" t="s">
        <v>271</v>
      </c>
      <c r="J371" s="7" t="s">
        <v>174</v>
      </c>
      <c r="K371" s="7" t="s">
        <v>2</v>
      </c>
      <c r="L371" s="7" t="str">
        <f>IFERROR(__xludf.DUMMYFUNCTION("""COMPUTED_VALUE"""),"Lysholm")</f>
        <v>Lysholm</v>
      </c>
    </row>
    <row r="372">
      <c r="H372" s="7">
        <v>371.0</v>
      </c>
      <c r="I372" s="7" t="s">
        <v>271</v>
      </c>
      <c r="J372" s="7" t="s">
        <v>174</v>
      </c>
      <c r="K372" s="7" t="s">
        <v>2</v>
      </c>
      <c r="L372" s="7" t="str">
        <f>IFERROR(__xludf.DUMMYFUNCTION("""COMPUTED_VALUE"""),"Lachman")</f>
        <v>Lachman</v>
      </c>
    </row>
    <row r="373">
      <c r="H373" s="7">
        <v>372.0</v>
      </c>
      <c r="I373" s="7" t="s">
        <v>271</v>
      </c>
      <c r="J373" s="7" t="s">
        <v>174</v>
      </c>
      <c r="K373" s="7" t="s">
        <v>2</v>
      </c>
      <c r="L373" s="7" t="str">
        <f>IFERROR(__xludf.DUMMYFUNCTION("""COMPUTED_VALUE"""),"Pivot shift")</f>
        <v>Pivot shift</v>
      </c>
    </row>
    <row r="374">
      <c r="H374" s="7">
        <v>373.0</v>
      </c>
      <c r="I374" s="7" t="s">
        <v>271</v>
      </c>
      <c r="J374" s="7" t="s">
        <v>174</v>
      </c>
      <c r="K374" s="7" t="s">
        <v>2</v>
      </c>
      <c r="L374" s="7" t="str">
        <f>IFERROR(__xludf.DUMMYFUNCTION("""COMPUTED_VALUE"""),"Instrumental laxity")</f>
        <v>Instrumental laxity</v>
      </c>
    </row>
    <row r="375">
      <c r="H375" s="7">
        <v>374.0</v>
      </c>
      <c r="I375" s="7" t="s">
        <v>271</v>
      </c>
      <c r="J375" s="7" t="s">
        <v>174</v>
      </c>
      <c r="K375" s="7" t="s">
        <v>9</v>
      </c>
      <c r="L375" s="7" t="str">
        <f>IFERROR(__xludf.DUMMYFUNCTION("""COMPUTED_VALUE"""),"IKDC")</f>
        <v>IKDC</v>
      </c>
    </row>
    <row r="376">
      <c r="H376" s="7">
        <v>375.0</v>
      </c>
      <c r="I376" s="7" t="s">
        <v>271</v>
      </c>
      <c r="J376" s="7" t="s">
        <v>174</v>
      </c>
      <c r="K376" s="7" t="s">
        <v>9</v>
      </c>
      <c r="L376" s="7" t="str">
        <f>IFERROR(__xludf.DUMMYFUNCTION("""COMPUTED_VALUE"""),"Lysholm")</f>
        <v>Lysholm</v>
      </c>
    </row>
    <row r="377">
      <c r="H377" s="7">
        <v>376.0</v>
      </c>
      <c r="I377" s="7" t="s">
        <v>271</v>
      </c>
      <c r="J377" s="7" t="s">
        <v>174</v>
      </c>
      <c r="K377" s="7" t="s">
        <v>9</v>
      </c>
      <c r="L377" s="7" t="str">
        <f>IFERROR(__xludf.DUMMYFUNCTION("""COMPUTED_VALUE"""),"Lachman")</f>
        <v>Lachman</v>
      </c>
    </row>
    <row r="378">
      <c r="H378" s="7">
        <v>377.0</v>
      </c>
      <c r="I378" s="7" t="s">
        <v>271</v>
      </c>
      <c r="J378" s="7" t="s">
        <v>174</v>
      </c>
      <c r="K378" s="7" t="s">
        <v>9</v>
      </c>
      <c r="L378" s="7" t="str">
        <f>IFERROR(__xludf.DUMMYFUNCTION("""COMPUTED_VALUE"""),"Pivot shift")</f>
        <v>Pivot shift</v>
      </c>
    </row>
    <row r="379">
      <c r="H379" s="7">
        <v>378.0</v>
      </c>
      <c r="I379" s="7" t="s">
        <v>271</v>
      </c>
      <c r="J379" s="7" t="s">
        <v>174</v>
      </c>
      <c r="K379" s="7" t="s">
        <v>9</v>
      </c>
      <c r="L379" s="7" t="str">
        <f>IFERROR(__xludf.DUMMYFUNCTION("""COMPUTED_VALUE"""),"Instrumental laxity")</f>
        <v>Instrumental laxity</v>
      </c>
    </row>
    <row r="380">
      <c r="H380" s="7">
        <v>379.0</v>
      </c>
      <c r="I380" s="7" t="s">
        <v>273</v>
      </c>
      <c r="J380" s="7" t="s">
        <v>176</v>
      </c>
      <c r="K380" s="7" t="s">
        <v>2</v>
      </c>
      <c r="L380" s="7" t="str">
        <f>IFERROR(__xludf.DUMMYFUNCTION("""COMPUTED_VALUE"""),"Lysholm")</f>
        <v>Lysholm</v>
      </c>
    </row>
    <row r="381">
      <c r="H381" s="7">
        <v>380.0</v>
      </c>
      <c r="I381" s="7" t="s">
        <v>273</v>
      </c>
      <c r="J381" s="7" t="s">
        <v>176</v>
      </c>
      <c r="K381" s="7" t="s">
        <v>2</v>
      </c>
      <c r="L381" s="7" t="str">
        <f>IFERROR(__xludf.DUMMYFUNCTION("""COMPUTED_VALUE"""),"Tegner")</f>
        <v>Tegner</v>
      </c>
    </row>
    <row r="382">
      <c r="H382" s="7">
        <v>381.0</v>
      </c>
      <c r="I382" s="7" t="s">
        <v>273</v>
      </c>
      <c r="J382" s="7" t="s">
        <v>176</v>
      </c>
      <c r="K382" s="7" t="s">
        <v>2</v>
      </c>
      <c r="L382" s="7" t="str">
        <f>IFERROR(__xludf.DUMMYFUNCTION("""COMPUTED_VALUE"""),"Instrumental laxity")</f>
        <v>Instrumental laxity</v>
      </c>
    </row>
    <row r="383">
      <c r="H383" s="7">
        <v>382.0</v>
      </c>
      <c r="I383" s="7" t="s">
        <v>273</v>
      </c>
      <c r="J383" s="7" t="s">
        <v>176</v>
      </c>
      <c r="K383" s="7" t="s">
        <v>2</v>
      </c>
      <c r="L383" s="7" t="str">
        <f>IFERROR(__xludf.DUMMYFUNCTION("""COMPUTED_VALUE"""),"Pivot shift")</f>
        <v>Pivot shift</v>
      </c>
    </row>
    <row r="384">
      <c r="H384" s="7">
        <v>383.0</v>
      </c>
      <c r="I384" s="7" t="s">
        <v>273</v>
      </c>
      <c r="J384" s="7" t="s">
        <v>176</v>
      </c>
      <c r="K384" s="7" t="s">
        <v>2</v>
      </c>
      <c r="L384" s="7" t="str">
        <f>IFERROR(__xludf.DUMMYFUNCTION("""COMPUTED_VALUE"""),"Lachman")</f>
        <v>Lachman</v>
      </c>
    </row>
    <row r="385">
      <c r="H385" s="7">
        <v>384.0</v>
      </c>
      <c r="I385" s="7" t="s">
        <v>273</v>
      </c>
      <c r="J385" s="7" t="s">
        <v>176</v>
      </c>
      <c r="K385" s="7" t="s">
        <v>9</v>
      </c>
      <c r="L385" s="7" t="str">
        <f>IFERROR(__xludf.DUMMYFUNCTION("""COMPUTED_VALUE"""),"Lysholm")</f>
        <v>Lysholm</v>
      </c>
    </row>
    <row r="386">
      <c r="H386" s="7">
        <v>385.0</v>
      </c>
      <c r="I386" s="7" t="s">
        <v>273</v>
      </c>
      <c r="J386" s="7" t="s">
        <v>176</v>
      </c>
      <c r="K386" s="7" t="s">
        <v>9</v>
      </c>
      <c r="L386" s="7" t="str">
        <f>IFERROR(__xludf.DUMMYFUNCTION("""COMPUTED_VALUE"""),"Tegner")</f>
        <v>Tegner</v>
      </c>
    </row>
    <row r="387">
      <c r="H387" s="7">
        <v>386.0</v>
      </c>
      <c r="I387" s="7" t="s">
        <v>273</v>
      </c>
      <c r="J387" s="7" t="s">
        <v>176</v>
      </c>
      <c r="K387" s="7" t="s">
        <v>9</v>
      </c>
      <c r="L387" s="7" t="str">
        <f>IFERROR(__xludf.DUMMYFUNCTION("""COMPUTED_VALUE"""),"Instrumental laxity")</f>
        <v>Instrumental laxity</v>
      </c>
    </row>
    <row r="388">
      <c r="H388" s="7">
        <v>387.0</v>
      </c>
      <c r="I388" s="7" t="s">
        <v>273</v>
      </c>
      <c r="J388" s="7" t="s">
        <v>176</v>
      </c>
      <c r="K388" s="7" t="s">
        <v>9</v>
      </c>
      <c r="L388" s="7" t="str">
        <f>IFERROR(__xludf.DUMMYFUNCTION("""COMPUTED_VALUE"""),"Pivot shift")</f>
        <v>Pivot shift</v>
      </c>
    </row>
    <row r="389">
      <c r="H389" s="7">
        <v>388.0</v>
      </c>
      <c r="I389" s="7" t="s">
        <v>273</v>
      </c>
      <c r="J389" s="7" t="s">
        <v>176</v>
      </c>
      <c r="K389" s="7" t="s">
        <v>9</v>
      </c>
      <c r="L389" s="7" t="str">
        <f>IFERROR(__xludf.DUMMYFUNCTION("""COMPUTED_VALUE"""),"Lachman")</f>
        <v>Lachman</v>
      </c>
    </row>
    <row r="390">
      <c r="H390" s="7">
        <v>389.0</v>
      </c>
      <c r="I390" s="7" t="s">
        <v>276</v>
      </c>
      <c r="J390" s="7" t="s">
        <v>178</v>
      </c>
      <c r="K390" s="7" t="s">
        <v>2</v>
      </c>
      <c r="L390" s="7" t="str">
        <f>IFERROR(__xludf.DUMMYFUNCTION("""COMPUTED_VALUE"""),"IKDC")</f>
        <v>IKDC</v>
      </c>
    </row>
    <row r="391">
      <c r="H391" s="7">
        <v>390.0</v>
      </c>
      <c r="I391" s="7" t="s">
        <v>276</v>
      </c>
      <c r="J391" s="7" t="s">
        <v>178</v>
      </c>
      <c r="K391" s="7" t="s">
        <v>2</v>
      </c>
      <c r="L391" s="7" t="str">
        <f>IFERROR(__xludf.DUMMYFUNCTION("""COMPUTED_VALUE"""),"Lysholm")</f>
        <v>Lysholm</v>
      </c>
    </row>
    <row r="392">
      <c r="H392" s="7">
        <v>391.0</v>
      </c>
      <c r="I392" s="7" t="s">
        <v>276</v>
      </c>
      <c r="J392" s="7" t="s">
        <v>178</v>
      </c>
      <c r="K392" s="7" t="s">
        <v>2</v>
      </c>
      <c r="L392" s="7" t="str">
        <f>IFERROR(__xludf.DUMMYFUNCTION("""COMPUTED_VALUE"""),"Instrumental laxity")</f>
        <v>Instrumental laxity</v>
      </c>
    </row>
    <row r="393">
      <c r="H393" s="7">
        <v>392.0</v>
      </c>
      <c r="I393" s="7" t="s">
        <v>276</v>
      </c>
      <c r="J393" s="7" t="s">
        <v>178</v>
      </c>
      <c r="K393" s="7" t="s">
        <v>2</v>
      </c>
      <c r="L393" s="7" t="str">
        <f>IFERROR(__xludf.DUMMYFUNCTION("""COMPUTED_VALUE"""),"Pivot shift")</f>
        <v>Pivot shift</v>
      </c>
    </row>
    <row r="394">
      <c r="H394" s="7">
        <v>393.0</v>
      </c>
      <c r="I394" s="7" t="s">
        <v>276</v>
      </c>
      <c r="J394" s="7" t="s">
        <v>178</v>
      </c>
      <c r="K394" s="7" t="s">
        <v>2</v>
      </c>
      <c r="L394" s="7" t="str">
        <f>IFERROR(__xludf.DUMMYFUNCTION("""COMPUTED_VALUE"""),"Lachman")</f>
        <v>Lachman</v>
      </c>
    </row>
    <row r="395">
      <c r="H395" s="7">
        <v>394.0</v>
      </c>
      <c r="I395" s="7" t="s">
        <v>276</v>
      </c>
      <c r="J395" s="7" t="s">
        <v>178</v>
      </c>
      <c r="K395" s="7" t="s">
        <v>9</v>
      </c>
      <c r="L395" s="7" t="str">
        <f>IFERROR(__xludf.DUMMYFUNCTION("""COMPUTED_VALUE"""),"IKDC")</f>
        <v>IKDC</v>
      </c>
    </row>
    <row r="396">
      <c r="H396" s="7">
        <v>395.0</v>
      </c>
      <c r="I396" s="7" t="s">
        <v>276</v>
      </c>
      <c r="J396" s="7" t="s">
        <v>178</v>
      </c>
      <c r="K396" s="7" t="s">
        <v>9</v>
      </c>
      <c r="L396" s="7" t="str">
        <f>IFERROR(__xludf.DUMMYFUNCTION("""COMPUTED_VALUE"""),"Lysholm")</f>
        <v>Lysholm</v>
      </c>
    </row>
    <row r="397">
      <c r="H397" s="7">
        <v>396.0</v>
      </c>
      <c r="I397" s="7" t="s">
        <v>276</v>
      </c>
      <c r="J397" s="7" t="s">
        <v>178</v>
      </c>
      <c r="K397" s="7" t="s">
        <v>9</v>
      </c>
      <c r="L397" s="7" t="str">
        <f>IFERROR(__xludf.DUMMYFUNCTION("""COMPUTED_VALUE"""),"Instrumental laxity")</f>
        <v>Instrumental laxity</v>
      </c>
    </row>
    <row r="398">
      <c r="H398" s="7">
        <v>397.0</v>
      </c>
      <c r="I398" s="7" t="s">
        <v>276</v>
      </c>
      <c r="J398" s="7" t="s">
        <v>178</v>
      </c>
      <c r="K398" s="7" t="s">
        <v>9</v>
      </c>
      <c r="L398" s="7" t="str">
        <f>IFERROR(__xludf.DUMMYFUNCTION("""COMPUTED_VALUE"""),"Pivot shift")</f>
        <v>Pivot shift</v>
      </c>
    </row>
    <row r="399">
      <c r="H399" s="7">
        <v>398.0</v>
      </c>
      <c r="I399" s="7" t="s">
        <v>276</v>
      </c>
      <c r="J399" s="7" t="s">
        <v>178</v>
      </c>
      <c r="K399" s="7" t="s">
        <v>9</v>
      </c>
      <c r="L399" s="7" t="str">
        <f>IFERROR(__xludf.DUMMYFUNCTION("""COMPUTED_VALUE"""),"Lachman")</f>
        <v>Lachman</v>
      </c>
    </row>
    <row r="400">
      <c r="H400" s="7">
        <v>399.0</v>
      </c>
      <c r="I400" s="7" t="s">
        <v>280</v>
      </c>
      <c r="J400" s="7" t="s">
        <v>180</v>
      </c>
      <c r="K400" s="7" t="s">
        <v>9</v>
      </c>
      <c r="L400" s="7" t="str">
        <f>IFERROR(__xludf.DUMMYFUNCTION("""COMPUTED_VALUE"""),"IKDC")</f>
        <v>IKDC</v>
      </c>
    </row>
    <row r="401">
      <c r="H401" s="7">
        <v>400.0</v>
      </c>
      <c r="I401" s="7" t="s">
        <v>280</v>
      </c>
      <c r="J401" s="7" t="s">
        <v>180</v>
      </c>
      <c r="K401" s="7" t="s">
        <v>10</v>
      </c>
      <c r="L401" s="7" t="str">
        <f>IFERROR(__xludf.DUMMYFUNCTION("""COMPUTED_VALUE"""),"IKDC")</f>
        <v>IKDC</v>
      </c>
    </row>
    <row r="402">
      <c r="H402" s="7">
        <v>401.0</v>
      </c>
      <c r="I402" s="7" t="s">
        <v>282</v>
      </c>
      <c r="J402" s="7" t="s">
        <v>181</v>
      </c>
      <c r="K402" s="7" t="s">
        <v>2</v>
      </c>
      <c r="L402" s="7" t="str">
        <f>IFERROR(__xludf.DUMMYFUNCTION("""COMPUTED_VALUE"""),"IKDC")</f>
        <v>IKDC</v>
      </c>
    </row>
    <row r="403">
      <c r="H403" s="7">
        <v>402.0</v>
      </c>
      <c r="I403" s="7" t="s">
        <v>282</v>
      </c>
      <c r="J403" s="7" t="s">
        <v>181</v>
      </c>
      <c r="K403" s="7" t="s">
        <v>2</v>
      </c>
      <c r="L403" s="7" t="str">
        <f>IFERROR(__xludf.DUMMYFUNCTION("""COMPUTED_VALUE"""),"Instrumental laxity")</f>
        <v>Instrumental laxity</v>
      </c>
    </row>
    <row r="404">
      <c r="H404" s="7">
        <v>403.0</v>
      </c>
      <c r="I404" s="7" t="s">
        <v>282</v>
      </c>
      <c r="J404" s="7" t="s">
        <v>181</v>
      </c>
      <c r="K404" s="7" t="s">
        <v>2</v>
      </c>
      <c r="L404" s="7" t="str">
        <f>IFERROR(__xludf.DUMMYFUNCTION("""COMPUTED_VALUE"""),"Graft rupture")</f>
        <v>Graft rupture</v>
      </c>
    </row>
    <row r="405">
      <c r="H405" s="7">
        <v>404.0</v>
      </c>
      <c r="I405" s="7" t="s">
        <v>282</v>
      </c>
      <c r="J405" s="7" t="s">
        <v>181</v>
      </c>
      <c r="K405" s="7" t="s">
        <v>9</v>
      </c>
      <c r="L405" s="7" t="str">
        <f>IFERROR(__xludf.DUMMYFUNCTION("""COMPUTED_VALUE"""),"IKDC")</f>
        <v>IKDC</v>
      </c>
    </row>
    <row r="406">
      <c r="H406" s="7">
        <v>405.0</v>
      </c>
      <c r="I406" s="7" t="s">
        <v>282</v>
      </c>
      <c r="J406" s="7" t="s">
        <v>181</v>
      </c>
      <c r="K406" s="7" t="s">
        <v>9</v>
      </c>
      <c r="L406" s="7" t="str">
        <f>IFERROR(__xludf.DUMMYFUNCTION("""COMPUTED_VALUE"""),"Instrumental laxity")</f>
        <v>Instrumental laxity</v>
      </c>
    </row>
    <row r="407">
      <c r="H407" s="7">
        <v>406.0</v>
      </c>
      <c r="I407" s="7" t="s">
        <v>282</v>
      </c>
      <c r="J407" s="7" t="s">
        <v>181</v>
      </c>
      <c r="K407" s="7" t="s">
        <v>9</v>
      </c>
      <c r="L407" s="7" t="str">
        <f>IFERROR(__xludf.DUMMYFUNCTION("""COMPUTED_VALUE"""),"Graft rupture")</f>
        <v>Graft rupture</v>
      </c>
    </row>
    <row r="408">
      <c r="H408" s="7">
        <v>407.0</v>
      </c>
      <c r="I408" s="7" t="s">
        <v>282</v>
      </c>
      <c r="J408" s="7" t="s">
        <v>181</v>
      </c>
      <c r="K408" s="7" t="s">
        <v>10</v>
      </c>
      <c r="L408" s="7" t="str">
        <f>IFERROR(__xludf.DUMMYFUNCTION("""COMPUTED_VALUE"""),"IKDC")</f>
        <v>IKDC</v>
      </c>
    </row>
    <row r="409">
      <c r="H409" s="7">
        <v>408.0</v>
      </c>
      <c r="I409" s="7" t="s">
        <v>282</v>
      </c>
      <c r="J409" s="7" t="s">
        <v>181</v>
      </c>
      <c r="K409" s="7" t="s">
        <v>10</v>
      </c>
      <c r="L409" s="7" t="str">
        <f>IFERROR(__xludf.DUMMYFUNCTION("""COMPUTED_VALUE"""),"Instrumental laxity")</f>
        <v>Instrumental laxity</v>
      </c>
    </row>
    <row r="410">
      <c r="H410" s="7">
        <v>409.0</v>
      </c>
      <c r="I410" s="7" t="s">
        <v>282</v>
      </c>
      <c r="J410" s="7" t="s">
        <v>181</v>
      </c>
      <c r="K410" s="7" t="s">
        <v>10</v>
      </c>
      <c r="L410" s="7" t="str">
        <f>IFERROR(__xludf.DUMMYFUNCTION("""COMPUTED_VALUE"""),"Graft rupture")</f>
        <v>Graft rupture</v>
      </c>
    </row>
    <row r="411">
      <c r="H411" s="7">
        <v>410.0</v>
      </c>
      <c r="I411" s="7" t="s">
        <v>283</v>
      </c>
      <c r="J411" s="7" t="s">
        <v>186</v>
      </c>
      <c r="K411" s="7" t="s">
        <v>2</v>
      </c>
      <c r="L411" s="7" t="str">
        <f>IFERROR(__xludf.DUMMYFUNCTION("""COMPUTED_VALUE"""),"IKDC")</f>
        <v>IKDC</v>
      </c>
    </row>
    <row r="412">
      <c r="H412" s="7">
        <v>411.0</v>
      </c>
      <c r="I412" s="7" t="s">
        <v>283</v>
      </c>
      <c r="J412" s="7" t="s">
        <v>186</v>
      </c>
      <c r="K412" s="7" t="s">
        <v>2</v>
      </c>
      <c r="L412" s="7" t="str">
        <f>IFERROR(__xludf.DUMMYFUNCTION("""COMPUTED_VALUE"""),"Tegner")</f>
        <v>Tegner</v>
      </c>
    </row>
    <row r="413">
      <c r="H413" s="7">
        <v>412.0</v>
      </c>
      <c r="I413" s="7" t="s">
        <v>283</v>
      </c>
      <c r="J413" s="7" t="s">
        <v>186</v>
      </c>
      <c r="K413" s="7" t="s">
        <v>2</v>
      </c>
      <c r="L413" s="7" t="str">
        <f>IFERROR(__xludf.DUMMYFUNCTION("""COMPUTED_VALUE"""),"Lysholm")</f>
        <v>Lysholm</v>
      </c>
    </row>
    <row r="414">
      <c r="H414" s="7">
        <v>413.0</v>
      </c>
      <c r="I414" s="7" t="s">
        <v>283</v>
      </c>
      <c r="J414" s="7" t="s">
        <v>186</v>
      </c>
      <c r="K414" s="7" t="s">
        <v>2</v>
      </c>
      <c r="L414" s="7" t="str">
        <f>IFERROR(__xludf.DUMMYFUNCTION("""COMPUTED_VALUE"""),"Instrumental laxity")</f>
        <v>Instrumental laxity</v>
      </c>
    </row>
    <row r="415">
      <c r="H415" s="7">
        <v>414.0</v>
      </c>
      <c r="I415" s="7" t="s">
        <v>283</v>
      </c>
      <c r="J415" s="7" t="s">
        <v>186</v>
      </c>
      <c r="K415" s="7" t="s">
        <v>2</v>
      </c>
      <c r="L415" s="7" t="str">
        <f>IFERROR(__xludf.DUMMYFUNCTION("""COMPUTED_VALUE"""),"Pivot shift")</f>
        <v>Pivot shift</v>
      </c>
    </row>
    <row r="416">
      <c r="H416" s="7">
        <v>415.0</v>
      </c>
      <c r="I416" s="7" t="s">
        <v>283</v>
      </c>
      <c r="J416" s="7" t="s">
        <v>186</v>
      </c>
      <c r="K416" s="7" t="s">
        <v>2</v>
      </c>
      <c r="L416" s="7" t="str">
        <f>IFERROR(__xludf.DUMMYFUNCTION("""COMPUTED_VALUE"""),"Lachman")</f>
        <v>Lachman</v>
      </c>
    </row>
    <row r="417">
      <c r="H417" s="7">
        <v>416.0</v>
      </c>
      <c r="I417" s="7" t="s">
        <v>283</v>
      </c>
      <c r="J417" s="7" t="s">
        <v>186</v>
      </c>
      <c r="K417" s="7" t="s">
        <v>9</v>
      </c>
      <c r="L417" s="7" t="str">
        <f>IFERROR(__xludf.DUMMYFUNCTION("""COMPUTED_VALUE"""),"IKDC")</f>
        <v>IKDC</v>
      </c>
    </row>
    <row r="418">
      <c r="H418" s="7">
        <v>417.0</v>
      </c>
      <c r="I418" s="7" t="s">
        <v>283</v>
      </c>
      <c r="J418" s="7" t="s">
        <v>186</v>
      </c>
      <c r="K418" s="7" t="s">
        <v>9</v>
      </c>
      <c r="L418" s="7" t="str">
        <f>IFERROR(__xludf.DUMMYFUNCTION("""COMPUTED_VALUE"""),"Tegner")</f>
        <v>Tegner</v>
      </c>
    </row>
    <row r="419">
      <c r="H419" s="7">
        <v>418.0</v>
      </c>
      <c r="I419" s="7" t="s">
        <v>283</v>
      </c>
      <c r="J419" s="7" t="s">
        <v>186</v>
      </c>
      <c r="K419" s="7" t="s">
        <v>9</v>
      </c>
      <c r="L419" s="7" t="str">
        <f>IFERROR(__xludf.DUMMYFUNCTION("""COMPUTED_VALUE"""),"Lysholm")</f>
        <v>Lysholm</v>
      </c>
    </row>
    <row r="420">
      <c r="H420" s="7">
        <v>419.0</v>
      </c>
      <c r="I420" s="7" t="s">
        <v>283</v>
      </c>
      <c r="J420" s="7" t="s">
        <v>186</v>
      </c>
      <c r="K420" s="7" t="s">
        <v>9</v>
      </c>
      <c r="L420" s="7" t="str">
        <f>IFERROR(__xludf.DUMMYFUNCTION("""COMPUTED_VALUE"""),"Instrumental laxity")</f>
        <v>Instrumental laxity</v>
      </c>
    </row>
    <row r="421">
      <c r="H421" s="7">
        <v>420.0</v>
      </c>
      <c r="I421" s="7" t="s">
        <v>283</v>
      </c>
      <c r="J421" s="7" t="s">
        <v>186</v>
      </c>
      <c r="K421" s="7" t="s">
        <v>9</v>
      </c>
      <c r="L421" s="7" t="str">
        <f>IFERROR(__xludf.DUMMYFUNCTION("""COMPUTED_VALUE"""),"Pivot shift")</f>
        <v>Pivot shift</v>
      </c>
    </row>
    <row r="422">
      <c r="H422" s="7">
        <v>421.0</v>
      </c>
      <c r="I422" s="7" t="s">
        <v>283</v>
      </c>
      <c r="J422" s="7" t="s">
        <v>186</v>
      </c>
      <c r="K422" s="7" t="s">
        <v>9</v>
      </c>
      <c r="L422" s="7" t="str">
        <f>IFERROR(__xludf.DUMMYFUNCTION("""COMPUTED_VALUE"""),"Lachman")</f>
        <v>Lachman</v>
      </c>
    </row>
    <row r="423">
      <c r="H423" s="7">
        <v>422.0</v>
      </c>
      <c r="I423" s="7" t="s">
        <v>285</v>
      </c>
      <c r="J423" s="7" t="s">
        <v>189</v>
      </c>
      <c r="K423" s="7" t="s">
        <v>2</v>
      </c>
      <c r="L423" s="7" t="str">
        <f>IFERROR(__xludf.DUMMYFUNCTION("""COMPUTED_VALUE"""),"IKDC")</f>
        <v>IKDC</v>
      </c>
    </row>
    <row r="424">
      <c r="H424" s="7">
        <v>423.0</v>
      </c>
      <c r="I424" s="7" t="s">
        <v>285</v>
      </c>
      <c r="J424" s="7" t="s">
        <v>189</v>
      </c>
      <c r="K424" s="7" t="s">
        <v>2</v>
      </c>
      <c r="L424" s="7" t="str">
        <f>IFERROR(__xludf.DUMMYFUNCTION("""COMPUTED_VALUE"""),"Tegner")</f>
        <v>Tegner</v>
      </c>
    </row>
    <row r="425">
      <c r="H425" s="7">
        <v>424.0</v>
      </c>
      <c r="I425" s="7" t="s">
        <v>285</v>
      </c>
      <c r="J425" s="7" t="s">
        <v>189</v>
      </c>
      <c r="K425" s="7" t="s">
        <v>2</v>
      </c>
      <c r="L425" s="7" t="str">
        <f>IFERROR(__xludf.DUMMYFUNCTION("""COMPUTED_VALUE"""),"Lysholm")</f>
        <v>Lysholm</v>
      </c>
    </row>
    <row r="426">
      <c r="H426" s="7">
        <v>425.0</v>
      </c>
      <c r="I426" s="7" t="s">
        <v>285</v>
      </c>
      <c r="J426" s="7" t="s">
        <v>189</v>
      </c>
      <c r="K426" s="7" t="s">
        <v>2</v>
      </c>
      <c r="L426" s="7" t="str">
        <f>IFERROR(__xludf.DUMMYFUNCTION("""COMPUTED_VALUE"""),"Instrumental laxity")</f>
        <v>Instrumental laxity</v>
      </c>
    </row>
    <row r="427">
      <c r="H427" s="7">
        <v>426.0</v>
      </c>
      <c r="I427" s="7" t="s">
        <v>285</v>
      </c>
      <c r="J427" s="7" t="s">
        <v>189</v>
      </c>
      <c r="K427" s="7" t="s">
        <v>2</v>
      </c>
      <c r="L427" s="7" t="str">
        <f>IFERROR(__xludf.DUMMYFUNCTION("""COMPUTED_VALUE"""),"Pivot shift")</f>
        <v>Pivot shift</v>
      </c>
    </row>
    <row r="428">
      <c r="H428" s="7">
        <v>427.0</v>
      </c>
      <c r="I428" s="7" t="s">
        <v>285</v>
      </c>
      <c r="J428" s="7" t="s">
        <v>189</v>
      </c>
      <c r="K428" s="7" t="s">
        <v>2</v>
      </c>
      <c r="L428" s="7" t="str">
        <f>IFERROR(__xludf.DUMMYFUNCTION("""COMPUTED_VALUE"""),"Graft rupture")</f>
        <v>Graft rupture</v>
      </c>
    </row>
    <row r="429">
      <c r="H429" s="7">
        <v>428.0</v>
      </c>
      <c r="I429" s="7" t="s">
        <v>285</v>
      </c>
      <c r="J429" s="7" t="s">
        <v>189</v>
      </c>
      <c r="K429" s="7" t="s">
        <v>9</v>
      </c>
      <c r="L429" s="7" t="str">
        <f>IFERROR(__xludf.DUMMYFUNCTION("""COMPUTED_VALUE"""),"IKDC")</f>
        <v>IKDC</v>
      </c>
    </row>
    <row r="430">
      <c r="H430" s="7">
        <v>429.0</v>
      </c>
      <c r="I430" s="7" t="s">
        <v>285</v>
      </c>
      <c r="J430" s="7" t="s">
        <v>189</v>
      </c>
      <c r="K430" s="7" t="s">
        <v>9</v>
      </c>
      <c r="L430" s="7" t="str">
        <f>IFERROR(__xludf.DUMMYFUNCTION("""COMPUTED_VALUE"""),"Tegner")</f>
        <v>Tegner</v>
      </c>
    </row>
    <row r="431">
      <c r="H431" s="7">
        <v>430.0</v>
      </c>
      <c r="I431" s="7" t="s">
        <v>285</v>
      </c>
      <c r="J431" s="7" t="s">
        <v>189</v>
      </c>
      <c r="K431" s="7" t="s">
        <v>9</v>
      </c>
      <c r="L431" s="7" t="str">
        <f>IFERROR(__xludf.DUMMYFUNCTION("""COMPUTED_VALUE"""),"Lysholm")</f>
        <v>Lysholm</v>
      </c>
    </row>
    <row r="432">
      <c r="H432" s="7">
        <v>431.0</v>
      </c>
      <c r="I432" s="7" t="s">
        <v>285</v>
      </c>
      <c r="J432" s="7" t="s">
        <v>189</v>
      </c>
      <c r="K432" s="7" t="s">
        <v>9</v>
      </c>
      <c r="L432" s="7" t="str">
        <f>IFERROR(__xludf.DUMMYFUNCTION("""COMPUTED_VALUE"""),"Instrumental laxity")</f>
        <v>Instrumental laxity</v>
      </c>
    </row>
    <row r="433">
      <c r="H433" s="7">
        <v>432.0</v>
      </c>
      <c r="I433" s="7" t="s">
        <v>285</v>
      </c>
      <c r="J433" s="7" t="s">
        <v>189</v>
      </c>
      <c r="K433" s="7" t="s">
        <v>9</v>
      </c>
      <c r="L433" s="7" t="str">
        <f>IFERROR(__xludf.DUMMYFUNCTION("""COMPUTED_VALUE"""),"Pivot shift")</f>
        <v>Pivot shift</v>
      </c>
    </row>
    <row r="434">
      <c r="H434" s="7">
        <v>433.0</v>
      </c>
      <c r="I434" s="7" t="s">
        <v>285</v>
      </c>
      <c r="J434" s="7" t="s">
        <v>189</v>
      </c>
      <c r="K434" s="7" t="s">
        <v>9</v>
      </c>
      <c r="L434" s="7" t="str">
        <f>IFERROR(__xludf.DUMMYFUNCTION("""COMPUTED_VALUE"""),"Graft rupture")</f>
        <v>Graft rupture</v>
      </c>
    </row>
    <row r="435">
      <c r="H435" s="7">
        <v>434.0</v>
      </c>
      <c r="I435" s="7" t="s">
        <v>288</v>
      </c>
      <c r="J435" s="7" t="s">
        <v>190</v>
      </c>
      <c r="K435" s="7" t="s">
        <v>9</v>
      </c>
      <c r="L435" s="7" t="str">
        <f>IFERROR(__xludf.DUMMYFUNCTION("""COMPUTED_VALUE"""),"IKDC")</f>
        <v>IKDC</v>
      </c>
    </row>
    <row r="436">
      <c r="H436" s="7">
        <v>435.0</v>
      </c>
      <c r="I436" s="7" t="s">
        <v>288</v>
      </c>
      <c r="J436" s="7" t="s">
        <v>190</v>
      </c>
      <c r="K436" s="7" t="s">
        <v>10</v>
      </c>
      <c r="L436" s="7" t="str">
        <f>IFERROR(__xludf.DUMMYFUNCTION("""COMPUTED_VALUE"""),"IKDC")</f>
        <v>IKDC</v>
      </c>
    </row>
    <row r="437">
      <c r="H437" s="7">
        <v>436.0</v>
      </c>
      <c r="I437" s="7" t="s">
        <v>291</v>
      </c>
      <c r="J437" s="7" t="s">
        <v>192</v>
      </c>
      <c r="K437" s="7" t="s">
        <v>2</v>
      </c>
      <c r="L437" s="7" t="str">
        <f>IFERROR(__xludf.DUMMYFUNCTION("""COMPUTED_VALUE"""),"IKDC")</f>
        <v>IKDC</v>
      </c>
    </row>
    <row r="438">
      <c r="H438" s="7">
        <v>437.0</v>
      </c>
      <c r="I438" s="7" t="s">
        <v>291</v>
      </c>
      <c r="J438" s="7" t="s">
        <v>192</v>
      </c>
      <c r="K438" s="7" t="s">
        <v>2</v>
      </c>
      <c r="L438" s="7" t="str">
        <f>IFERROR(__xludf.DUMMYFUNCTION("""COMPUTED_VALUE"""),"Tegner")</f>
        <v>Tegner</v>
      </c>
    </row>
    <row r="439">
      <c r="H439" s="7">
        <v>438.0</v>
      </c>
      <c r="I439" s="7" t="s">
        <v>291</v>
      </c>
      <c r="J439" s="7" t="s">
        <v>192</v>
      </c>
      <c r="K439" s="7" t="s">
        <v>2</v>
      </c>
      <c r="L439" s="7" t="str">
        <f>IFERROR(__xludf.DUMMYFUNCTION("""COMPUTED_VALUE"""),"Lysholm")</f>
        <v>Lysholm</v>
      </c>
    </row>
    <row r="440">
      <c r="H440" s="7">
        <v>439.0</v>
      </c>
      <c r="I440" s="7" t="s">
        <v>291</v>
      </c>
      <c r="J440" s="7" t="s">
        <v>192</v>
      </c>
      <c r="K440" s="7" t="s">
        <v>2</v>
      </c>
      <c r="L440" s="7" t="str">
        <f>IFERROR(__xludf.DUMMYFUNCTION("""COMPUTED_VALUE"""),"Instrumental laxity")</f>
        <v>Instrumental laxity</v>
      </c>
    </row>
    <row r="441">
      <c r="H441" s="7">
        <v>440.0</v>
      </c>
      <c r="I441" s="7" t="s">
        <v>291</v>
      </c>
      <c r="J441" s="7" t="s">
        <v>192</v>
      </c>
      <c r="K441" s="7" t="s">
        <v>2</v>
      </c>
      <c r="L441" s="7" t="str">
        <f>IFERROR(__xludf.DUMMYFUNCTION("""COMPUTED_VALUE"""),"Pivot shift")</f>
        <v>Pivot shift</v>
      </c>
    </row>
    <row r="442">
      <c r="H442" s="7">
        <v>441.0</v>
      </c>
      <c r="I442" s="7" t="s">
        <v>291</v>
      </c>
      <c r="J442" s="7" t="s">
        <v>192</v>
      </c>
      <c r="K442" s="7" t="s">
        <v>9</v>
      </c>
      <c r="L442" s="7" t="str">
        <f>IFERROR(__xludf.DUMMYFUNCTION("""COMPUTED_VALUE"""),"IKDC")</f>
        <v>IKDC</v>
      </c>
    </row>
    <row r="443">
      <c r="H443" s="7">
        <v>442.0</v>
      </c>
      <c r="I443" s="7" t="s">
        <v>291</v>
      </c>
      <c r="J443" s="7" t="s">
        <v>192</v>
      </c>
      <c r="K443" s="7" t="s">
        <v>9</v>
      </c>
      <c r="L443" s="7" t="str">
        <f>IFERROR(__xludf.DUMMYFUNCTION("""COMPUTED_VALUE"""),"Tegner")</f>
        <v>Tegner</v>
      </c>
    </row>
    <row r="444">
      <c r="H444" s="7">
        <v>443.0</v>
      </c>
      <c r="I444" s="7" t="s">
        <v>291</v>
      </c>
      <c r="J444" s="7" t="s">
        <v>192</v>
      </c>
      <c r="K444" s="7" t="s">
        <v>9</v>
      </c>
      <c r="L444" s="7" t="str">
        <f>IFERROR(__xludf.DUMMYFUNCTION("""COMPUTED_VALUE"""),"Lysholm")</f>
        <v>Lysholm</v>
      </c>
    </row>
    <row r="445">
      <c r="H445" s="7">
        <v>444.0</v>
      </c>
      <c r="I445" s="7" t="s">
        <v>291</v>
      </c>
      <c r="J445" s="7" t="s">
        <v>192</v>
      </c>
      <c r="K445" s="7" t="s">
        <v>9</v>
      </c>
      <c r="L445" s="7" t="str">
        <f>IFERROR(__xludf.DUMMYFUNCTION("""COMPUTED_VALUE"""),"Instrumental laxity")</f>
        <v>Instrumental laxity</v>
      </c>
    </row>
    <row r="446">
      <c r="H446" s="7">
        <v>445.0</v>
      </c>
      <c r="I446" s="7" t="s">
        <v>291</v>
      </c>
      <c r="J446" s="7" t="s">
        <v>192</v>
      </c>
      <c r="K446" s="7" t="s">
        <v>9</v>
      </c>
      <c r="L446" s="7" t="str">
        <f>IFERROR(__xludf.DUMMYFUNCTION("""COMPUTED_VALUE"""),"Pivot shift")</f>
        <v>Pivot shift</v>
      </c>
    </row>
    <row r="447">
      <c r="H447" s="7">
        <v>446.0</v>
      </c>
      <c r="I447" s="7" t="s">
        <v>292</v>
      </c>
      <c r="J447" s="7" t="s">
        <v>194</v>
      </c>
      <c r="K447" s="7" t="s">
        <v>2</v>
      </c>
      <c r="L447" s="7" t="str">
        <f>IFERROR(__xludf.DUMMYFUNCTION("""COMPUTED_VALUE"""),"IKDC")</f>
        <v>IKDC</v>
      </c>
    </row>
    <row r="448">
      <c r="H448" s="7">
        <v>447.0</v>
      </c>
      <c r="I448" s="7" t="s">
        <v>292</v>
      </c>
      <c r="J448" s="7" t="s">
        <v>194</v>
      </c>
      <c r="K448" s="7" t="s">
        <v>2</v>
      </c>
      <c r="L448" s="7" t="str">
        <f>IFERROR(__xludf.DUMMYFUNCTION("""COMPUTED_VALUE"""),"Tegner")</f>
        <v>Tegner</v>
      </c>
    </row>
    <row r="449">
      <c r="H449" s="7">
        <v>448.0</v>
      </c>
      <c r="I449" s="7" t="s">
        <v>292</v>
      </c>
      <c r="J449" s="7" t="s">
        <v>194</v>
      </c>
      <c r="K449" s="7" t="s">
        <v>2</v>
      </c>
      <c r="L449" s="7" t="str">
        <f>IFERROR(__xludf.DUMMYFUNCTION("""COMPUTED_VALUE"""),"Lysholm")</f>
        <v>Lysholm</v>
      </c>
    </row>
    <row r="450">
      <c r="H450" s="7">
        <v>449.0</v>
      </c>
      <c r="I450" s="7" t="s">
        <v>292</v>
      </c>
      <c r="J450" s="7" t="s">
        <v>194</v>
      </c>
      <c r="K450" s="7" t="s">
        <v>2</v>
      </c>
      <c r="L450" s="7" t="str">
        <f>IFERROR(__xludf.DUMMYFUNCTION("""COMPUTED_VALUE"""),"Instrumental laxity")</f>
        <v>Instrumental laxity</v>
      </c>
    </row>
    <row r="451">
      <c r="H451" s="7">
        <v>450.0</v>
      </c>
      <c r="I451" s="7" t="s">
        <v>292</v>
      </c>
      <c r="J451" s="7" t="s">
        <v>194</v>
      </c>
      <c r="K451" s="7" t="s">
        <v>10</v>
      </c>
      <c r="L451" s="7" t="str">
        <f>IFERROR(__xludf.DUMMYFUNCTION("""COMPUTED_VALUE"""),"IKDC")</f>
        <v>IKDC</v>
      </c>
    </row>
    <row r="452">
      <c r="H452" s="7">
        <v>451.0</v>
      </c>
      <c r="I452" s="7" t="s">
        <v>292</v>
      </c>
      <c r="J452" s="7" t="s">
        <v>194</v>
      </c>
      <c r="K452" s="7" t="s">
        <v>10</v>
      </c>
      <c r="L452" s="7" t="str">
        <f>IFERROR(__xludf.DUMMYFUNCTION("""COMPUTED_VALUE"""),"Tegner")</f>
        <v>Tegner</v>
      </c>
    </row>
    <row r="453">
      <c r="H453" s="7">
        <v>452.0</v>
      </c>
      <c r="I453" s="7" t="s">
        <v>292</v>
      </c>
      <c r="J453" s="7" t="s">
        <v>194</v>
      </c>
      <c r="K453" s="7" t="s">
        <v>10</v>
      </c>
      <c r="L453" s="7" t="str">
        <f>IFERROR(__xludf.DUMMYFUNCTION("""COMPUTED_VALUE"""),"Lysholm")</f>
        <v>Lysholm</v>
      </c>
    </row>
    <row r="454">
      <c r="H454" s="7">
        <v>453.0</v>
      </c>
      <c r="I454" s="7" t="s">
        <v>292</v>
      </c>
      <c r="J454" s="7" t="s">
        <v>194</v>
      </c>
      <c r="K454" s="7" t="s">
        <v>10</v>
      </c>
      <c r="L454" s="7" t="str">
        <f>IFERROR(__xludf.DUMMYFUNCTION("""COMPUTED_VALUE"""),"Instrumental laxity")</f>
        <v>Instrumental laxity</v>
      </c>
    </row>
    <row r="455">
      <c r="H455" s="7">
        <v>454.0</v>
      </c>
      <c r="I455" s="7" t="s">
        <v>294</v>
      </c>
      <c r="J455" s="7" t="s">
        <v>196</v>
      </c>
      <c r="K455" s="7" t="s">
        <v>2</v>
      </c>
      <c r="L455" s="7" t="str">
        <f>IFERROR(__xludf.DUMMYFUNCTION("""COMPUTED_VALUE"""),"IKDC")</f>
        <v>IKDC</v>
      </c>
    </row>
    <row r="456">
      <c r="H456" s="7">
        <v>455.0</v>
      </c>
      <c r="I456" s="7" t="s">
        <v>294</v>
      </c>
      <c r="J456" s="7" t="s">
        <v>196</v>
      </c>
      <c r="K456" s="7" t="s">
        <v>2</v>
      </c>
      <c r="L456" s="7" t="str">
        <f>IFERROR(__xludf.DUMMYFUNCTION("""COMPUTED_VALUE"""),"Instrumental laxity")</f>
        <v>Instrumental laxity</v>
      </c>
    </row>
    <row r="457">
      <c r="H457" s="7">
        <v>456.0</v>
      </c>
      <c r="I457" s="7" t="s">
        <v>294</v>
      </c>
      <c r="J457" s="7" t="s">
        <v>196</v>
      </c>
      <c r="K457" s="7" t="s">
        <v>9</v>
      </c>
      <c r="L457" s="7" t="str">
        <f>IFERROR(__xludf.DUMMYFUNCTION("""COMPUTED_VALUE"""),"IKDC")</f>
        <v>IKDC</v>
      </c>
    </row>
    <row r="458">
      <c r="H458" s="7">
        <v>457.0</v>
      </c>
      <c r="I458" s="7" t="s">
        <v>294</v>
      </c>
      <c r="J458" s="7" t="s">
        <v>196</v>
      </c>
      <c r="K458" s="7" t="s">
        <v>9</v>
      </c>
      <c r="L458" s="7" t="str">
        <f>IFERROR(__xludf.DUMMYFUNCTION("""COMPUTED_VALUE"""),"Instrumental laxity")</f>
        <v>Instrumental laxity</v>
      </c>
    </row>
    <row r="459">
      <c r="H459" s="7">
        <v>458.0</v>
      </c>
      <c r="I459" s="7" t="s">
        <v>295</v>
      </c>
      <c r="J459" s="7" t="s">
        <v>197</v>
      </c>
      <c r="K459" s="7" t="s">
        <v>2</v>
      </c>
      <c r="L459" s="7" t="str">
        <f>IFERROR(__xludf.DUMMYFUNCTION("""COMPUTED_VALUE"""),"IKDC")</f>
        <v>IKDC</v>
      </c>
    </row>
    <row r="460">
      <c r="H460" s="7">
        <v>459.0</v>
      </c>
      <c r="I460" s="7" t="s">
        <v>295</v>
      </c>
      <c r="J460" s="7" t="s">
        <v>197</v>
      </c>
      <c r="K460" s="7" t="s">
        <v>2</v>
      </c>
      <c r="L460" s="7" t="str">
        <f>IFERROR(__xludf.DUMMYFUNCTION("""COMPUTED_VALUE"""),"Tegner")</f>
        <v>Tegner</v>
      </c>
    </row>
    <row r="461">
      <c r="H461" s="7">
        <v>460.0</v>
      </c>
      <c r="I461" s="7" t="s">
        <v>295</v>
      </c>
      <c r="J461" s="7" t="s">
        <v>197</v>
      </c>
      <c r="K461" s="7" t="s">
        <v>2</v>
      </c>
      <c r="L461" s="7" t="str">
        <f>IFERROR(__xludf.DUMMYFUNCTION("""COMPUTED_VALUE"""),"Lysholm")</f>
        <v>Lysholm</v>
      </c>
    </row>
    <row r="462">
      <c r="H462" s="7">
        <v>461.0</v>
      </c>
      <c r="I462" s="7" t="s">
        <v>295</v>
      </c>
      <c r="J462" s="7" t="s">
        <v>197</v>
      </c>
      <c r="K462" s="7" t="s">
        <v>2</v>
      </c>
      <c r="L462" s="7" t="str">
        <f>IFERROR(__xludf.DUMMYFUNCTION("""COMPUTED_VALUE"""),"Instrumental laxity")</f>
        <v>Instrumental laxity</v>
      </c>
    </row>
    <row r="463">
      <c r="H463" s="7">
        <v>462.0</v>
      </c>
      <c r="I463" s="7" t="s">
        <v>295</v>
      </c>
      <c r="J463" s="7" t="s">
        <v>197</v>
      </c>
      <c r="K463" s="7" t="s">
        <v>2</v>
      </c>
      <c r="L463" s="7" t="str">
        <f>IFERROR(__xludf.DUMMYFUNCTION("""COMPUTED_VALUE"""),"Pivot shift")</f>
        <v>Pivot shift</v>
      </c>
    </row>
    <row r="464">
      <c r="H464" s="7">
        <v>463.0</v>
      </c>
      <c r="I464" s="7" t="s">
        <v>295</v>
      </c>
      <c r="J464" s="7" t="s">
        <v>197</v>
      </c>
      <c r="K464" s="7" t="s">
        <v>2</v>
      </c>
      <c r="L464" s="7" t="str">
        <f>IFERROR(__xludf.DUMMYFUNCTION("""COMPUTED_VALUE"""),"Lachman")</f>
        <v>Lachman</v>
      </c>
    </row>
    <row r="465">
      <c r="H465" s="7">
        <v>464.0</v>
      </c>
      <c r="I465" s="7" t="s">
        <v>295</v>
      </c>
      <c r="J465" s="7" t="s">
        <v>197</v>
      </c>
      <c r="K465" s="7" t="s">
        <v>2</v>
      </c>
      <c r="L465" s="7" t="str">
        <f>IFERROR(__xludf.DUMMYFUNCTION("""COMPUTED_VALUE"""),"Graft rupture")</f>
        <v>Graft rupture</v>
      </c>
    </row>
    <row r="466">
      <c r="H466" s="7">
        <v>465.0</v>
      </c>
      <c r="I466" s="7" t="s">
        <v>295</v>
      </c>
      <c r="J466" s="7" t="s">
        <v>197</v>
      </c>
      <c r="K466" s="7" t="s">
        <v>9</v>
      </c>
      <c r="L466" s="7" t="str">
        <f>IFERROR(__xludf.DUMMYFUNCTION("""COMPUTED_VALUE"""),"IKDC")</f>
        <v>IKDC</v>
      </c>
    </row>
    <row r="467">
      <c r="H467" s="7">
        <v>466.0</v>
      </c>
      <c r="I467" s="7" t="s">
        <v>295</v>
      </c>
      <c r="J467" s="7" t="s">
        <v>197</v>
      </c>
      <c r="K467" s="7" t="s">
        <v>9</v>
      </c>
      <c r="L467" s="7" t="str">
        <f>IFERROR(__xludf.DUMMYFUNCTION("""COMPUTED_VALUE"""),"Tegner")</f>
        <v>Tegner</v>
      </c>
    </row>
    <row r="468">
      <c r="H468" s="7">
        <v>467.0</v>
      </c>
      <c r="I468" s="7" t="s">
        <v>295</v>
      </c>
      <c r="J468" s="7" t="s">
        <v>197</v>
      </c>
      <c r="K468" s="7" t="s">
        <v>9</v>
      </c>
      <c r="L468" s="7" t="str">
        <f>IFERROR(__xludf.DUMMYFUNCTION("""COMPUTED_VALUE"""),"Lysholm")</f>
        <v>Lysholm</v>
      </c>
    </row>
    <row r="469">
      <c r="H469" s="7">
        <v>468.0</v>
      </c>
      <c r="I469" s="7" t="s">
        <v>295</v>
      </c>
      <c r="J469" s="7" t="s">
        <v>197</v>
      </c>
      <c r="K469" s="7" t="s">
        <v>9</v>
      </c>
      <c r="L469" s="7" t="str">
        <f>IFERROR(__xludf.DUMMYFUNCTION("""COMPUTED_VALUE"""),"Instrumental laxity")</f>
        <v>Instrumental laxity</v>
      </c>
    </row>
    <row r="470">
      <c r="H470" s="7">
        <v>469.0</v>
      </c>
      <c r="I470" s="7" t="s">
        <v>295</v>
      </c>
      <c r="J470" s="7" t="s">
        <v>197</v>
      </c>
      <c r="K470" s="7" t="s">
        <v>9</v>
      </c>
      <c r="L470" s="7" t="str">
        <f>IFERROR(__xludf.DUMMYFUNCTION("""COMPUTED_VALUE"""),"Pivot shift")</f>
        <v>Pivot shift</v>
      </c>
    </row>
    <row r="471">
      <c r="H471" s="7">
        <v>470.0</v>
      </c>
      <c r="I471" s="7" t="s">
        <v>295</v>
      </c>
      <c r="J471" s="7" t="s">
        <v>197</v>
      </c>
      <c r="K471" s="7" t="s">
        <v>9</v>
      </c>
      <c r="L471" s="7" t="str">
        <f>IFERROR(__xludf.DUMMYFUNCTION("""COMPUTED_VALUE"""),"Lachman")</f>
        <v>Lachman</v>
      </c>
    </row>
    <row r="472">
      <c r="H472" s="7">
        <v>471.0</v>
      </c>
      <c r="I472" s="7" t="s">
        <v>295</v>
      </c>
      <c r="J472" s="7" t="s">
        <v>197</v>
      </c>
      <c r="K472" s="7" t="s">
        <v>9</v>
      </c>
      <c r="L472" s="7" t="str">
        <f>IFERROR(__xludf.DUMMYFUNCTION("""COMPUTED_VALUE"""),"Graft rupture")</f>
        <v>Graft rupture</v>
      </c>
    </row>
    <row r="473">
      <c r="H473" s="7">
        <v>472.0</v>
      </c>
      <c r="I473" s="7" t="s">
        <v>298</v>
      </c>
      <c r="J473" s="7" t="s">
        <v>200</v>
      </c>
      <c r="K473" s="7" t="s">
        <v>9</v>
      </c>
      <c r="L473" s="7" t="str">
        <f>IFERROR(__xludf.DUMMYFUNCTION("""COMPUTED_VALUE"""),"Lysholm")</f>
        <v>Lysholm</v>
      </c>
    </row>
    <row r="474">
      <c r="H474" s="7">
        <v>473.0</v>
      </c>
      <c r="I474" s="7" t="s">
        <v>298</v>
      </c>
      <c r="J474" s="7" t="s">
        <v>200</v>
      </c>
      <c r="K474" s="7" t="s">
        <v>9</v>
      </c>
      <c r="L474" s="7" t="str">
        <f>IFERROR(__xludf.DUMMYFUNCTION("""COMPUTED_VALUE"""),"Instrumental laxity")</f>
        <v>Instrumental laxity</v>
      </c>
    </row>
    <row r="475">
      <c r="H475" s="7">
        <v>474.0</v>
      </c>
      <c r="I475" s="7" t="s">
        <v>298</v>
      </c>
      <c r="J475" s="7" t="s">
        <v>200</v>
      </c>
      <c r="K475" s="7" t="s">
        <v>9</v>
      </c>
      <c r="L475" s="7" t="str">
        <f>IFERROR(__xludf.DUMMYFUNCTION("""COMPUTED_VALUE"""),"Pivot shift")</f>
        <v>Pivot shift</v>
      </c>
    </row>
    <row r="476">
      <c r="H476" s="7">
        <v>475.0</v>
      </c>
      <c r="I476" s="7" t="s">
        <v>298</v>
      </c>
      <c r="J476" s="7" t="s">
        <v>200</v>
      </c>
      <c r="K476" s="7" t="s">
        <v>9</v>
      </c>
      <c r="L476" s="7" t="str">
        <f>IFERROR(__xludf.DUMMYFUNCTION("""COMPUTED_VALUE"""),"Lachman")</f>
        <v>Lachman</v>
      </c>
    </row>
    <row r="477">
      <c r="H477" s="7">
        <v>476.0</v>
      </c>
      <c r="I477" s="7" t="s">
        <v>298</v>
      </c>
      <c r="J477" s="7" t="s">
        <v>200</v>
      </c>
      <c r="K477" s="7" t="s">
        <v>10</v>
      </c>
      <c r="L477" s="7" t="str">
        <f>IFERROR(__xludf.DUMMYFUNCTION("""COMPUTED_VALUE"""),"Lysholm")</f>
        <v>Lysholm</v>
      </c>
    </row>
    <row r="478">
      <c r="H478" s="7">
        <v>477.0</v>
      </c>
      <c r="I478" s="7" t="s">
        <v>298</v>
      </c>
      <c r="J478" s="7" t="s">
        <v>200</v>
      </c>
      <c r="K478" s="7" t="s">
        <v>10</v>
      </c>
      <c r="L478" s="7" t="str">
        <f>IFERROR(__xludf.DUMMYFUNCTION("""COMPUTED_VALUE"""),"Instrumental laxity")</f>
        <v>Instrumental laxity</v>
      </c>
    </row>
    <row r="479">
      <c r="H479" s="7">
        <v>478.0</v>
      </c>
      <c r="I479" s="7" t="s">
        <v>298</v>
      </c>
      <c r="J479" s="7" t="s">
        <v>200</v>
      </c>
      <c r="K479" s="7" t="s">
        <v>10</v>
      </c>
      <c r="L479" s="7" t="str">
        <f>IFERROR(__xludf.DUMMYFUNCTION("""COMPUTED_VALUE"""),"Pivot shift")</f>
        <v>Pivot shift</v>
      </c>
    </row>
    <row r="480">
      <c r="H480" s="7">
        <v>479.0</v>
      </c>
      <c r="I480" s="7" t="s">
        <v>298</v>
      </c>
      <c r="J480" s="7" t="s">
        <v>200</v>
      </c>
      <c r="K480" s="7" t="s">
        <v>10</v>
      </c>
      <c r="L480" s="7" t="str">
        <f>IFERROR(__xludf.DUMMYFUNCTION("""COMPUTED_VALUE"""),"Lachman")</f>
        <v>Lachman</v>
      </c>
    </row>
    <row r="481">
      <c r="H481" s="7">
        <v>480.0</v>
      </c>
      <c r="I481" s="7" t="s">
        <v>299</v>
      </c>
      <c r="J481" s="7" t="s">
        <v>203</v>
      </c>
      <c r="K481" s="7" t="s">
        <v>9</v>
      </c>
      <c r="L481" s="7" t="str">
        <f>IFERROR(__xludf.DUMMYFUNCTION("""COMPUTED_VALUE"""),"Tegner")</f>
        <v>Tegner</v>
      </c>
    </row>
    <row r="482">
      <c r="H482" s="7">
        <v>481.0</v>
      </c>
      <c r="I482" s="7" t="s">
        <v>299</v>
      </c>
      <c r="J482" s="7" t="s">
        <v>203</v>
      </c>
      <c r="K482" s="7" t="s">
        <v>9</v>
      </c>
      <c r="L482" s="7" t="str">
        <f>IFERROR(__xludf.DUMMYFUNCTION("""COMPUTED_VALUE"""),"Lysholm")</f>
        <v>Lysholm</v>
      </c>
    </row>
    <row r="483">
      <c r="H483" s="7">
        <v>482.0</v>
      </c>
      <c r="I483" s="7" t="s">
        <v>299</v>
      </c>
      <c r="J483" s="7" t="s">
        <v>203</v>
      </c>
      <c r="K483" s="7" t="s">
        <v>9</v>
      </c>
      <c r="L483" s="7" t="str">
        <f>IFERROR(__xludf.DUMMYFUNCTION("""COMPUTED_VALUE"""),"Instrumental laxity")</f>
        <v>Instrumental laxity</v>
      </c>
    </row>
    <row r="484">
      <c r="H484" s="7">
        <v>483.0</v>
      </c>
      <c r="I484" s="7" t="s">
        <v>299</v>
      </c>
      <c r="J484" s="7" t="s">
        <v>203</v>
      </c>
      <c r="K484" s="7" t="s">
        <v>9</v>
      </c>
      <c r="L484" s="7" t="str">
        <f>IFERROR(__xludf.DUMMYFUNCTION("""COMPUTED_VALUE"""),"Pivot shift")</f>
        <v>Pivot shift</v>
      </c>
    </row>
    <row r="485">
      <c r="H485" s="7">
        <v>484.0</v>
      </c>
      <c r="I485" s="7" t="s">
        <v>299</v>
      </c>
      <c r="J485" s="7" t="s">
        <v>203</v>
      </c>
      <c r="K485" s="7" t="s">
        <v>9</v>
      </c>
      <c r="L485" s="7" t="str">
        <f>IFERROR(__xludf.DUMMYFUNCTION("""COMPUTED_VALUE"""),"Lachman")</f>
        <v>Lachman</v>
      </c>
    </row>
    <row r="486">
      <c r="H486" s="7">
        <v>485.0</v>
      </c>
      <c r="I486" s="7" t="s">
        <v>299</v>
      </c>
      <c r="J486" s="7" t="s">
        <v>203</v>
      </c>
      <c r="K486" s="7" t="s">
        <v>13</v>
      </c>
      <c r="L486" s="7" t="str">
        <f>IFERROR(__xludf.DUMMYFUNCTION("""COMPUTED_VALUE"""),"Tegner")</f>
        <v>Tegner</v>
      </c>
    </row>
    <row r="487">
      <c r="H487" s="7">
        <v>486.0</v>
      </c>
      <c r="I487" s="7" t="s">
        <v>299</v>
      </c>
      <c r="J487" s="7" t="s">
        <v>203</v>
      </c>
      <c r="K487" s="7" t="s">
        <v>13</v>
      </c>
      <c r="L487" s="7" t="str">
        <f>IFERROR(__xludf.DUMMYFUNCTION("""COMPUTED_VALUE"""),"Lysholm")</f>
        <v>Lysholm</v>
      </c>
    </row>
    <row r="488">
      <c r="H488" s="7">
        <v>487.0</v>
      </c>
      <c r="I488" s="7" t="s">
        <v>299</v>
      </c>
      <c r="J488" s="7" t="s">
        <v>203</v>
      </c>
      <c r="K488" s="7" t="s">
        <v>13</v>
      </c>
      <c r="L488" s="7" t="str">
        <f>IFERROR(__xludf.DUMMYFUNCTION("""COMPUTED_VALUE"""),"Instrumental laxity")</f>
        <v>Instrumental laxity</v>
      </c>
    </row>
    <row r="489">
      <c r="H489" s="7">
        <v>488.0</v>
      </c>
      <c r="I489" s="7" t="s">
        <v>299</v>
      </c>
      <c r="J489" s="7" t="s">
        <v>203</v>
      </c>
      <c r="K489" s="7" t="s">
        <v>13</v>
      </c>
      <c r="L489" s="7" t="str">
        <f>IFERROR(__xludf.DUMMYFUNCTION("""COMPUTED_VALUE"""),"Pivot shift")</f>
        <v>Pivot shift</v>
      </c>
    </row>
    <row r="490">
      <c r="H490" s="7">
        <v>489.0</v>
      </c>
      <c r="I490" s="7" t="s">
        <v>299</v>
      </c>
      <c r="J490" s="7" t="s">
        <v>203</v>
      </c>
      <c r="K490" s="7" t="s">
        <v>13</v>
      </c>
      <c r="L490" s="7" t="str">
        <f>IFERROR(__xludf.DUMMYFUNCTION("""COMPUTED_VALUE"""),"Lachman")</f>
        <v>Lachman</v>
      </c>
    </row>
    <row r="491">
      <c r="H491" s="7">
        <v>490.0</v>
      </c>
      <c r="I491" s="7" t="s">
        <v>301</v>
      </c>
      <c r="J491" s="7" t="s">
        <v>205</v>
      </c>
      <c r="K491" s="7" t="s">
        <v>2</v>
      </c>
      <c r="L491" s="7" t="str">
        <f>IFERROR(__xludf.DUMMYFUNCTION("""COMPUTED_VALUE"""),"IKDC")</f>
        <v>IKDC</v>
      </c>
    </row>
    <row r="492">
      <c r="H492" s="7">
        <v>491.0</v>
      </c>
      <c r="I492" s="7" t="s">
        <v>301</v>
      </c>
      <c r="J492" s="7" t="s">
        <v>205</v>
      </c>
      <c r="K492" s="7" t="s">
        <v>2</v>
      </c>
      <c r="L492" s="7" t="str">
        <f>IFERROR(__xludf.DUMMYFUNCTION("""COMPUTED_VALUE"""),"Instrumental laxity")</f>
        <v>Instrumental laxity</v>
      </c>
    </row>
    <row r="493">
      <c r="H493" s="7">
        <v>492.0</v>
      </c>
      <c r="I493" s="7" t="s">
        <v>301</v>
      </c>
      <c r="J493" s="7" t="s">
        <v>205</v>
      </c>
      <c r="K493" s="7" t="s">
        <v>9</v>
      </c>
      <c r="L493" s="7" t="str">
        <f>IFERROR(__xludf.DUMMYFUNCTION("""COMPUTED_VALUE"""),"IKDC")</f>
        <v>IKDC</v>
      </c>
    </row>
    <row r="494">
      <c r="H494" s="7">
        <v>493.0</v>
      </c>
      <c r="I494" s="7" t="s">
        <v>301</v>
      </c>
      <c r="J494" s="7" t="s">
        <v>205</v>
      </c>
      <c r="K494" s="7" t="s">
        <v>9</v>
      </c>
      <c r="L494" s="7" t="str">
        <f>IFERROR(__xludf.DUMMYFUNCTION("""COMPUTED_VALUE"""),"Instrumental laxity")</f>
        <v>Instrumental laxity</v>
      </c>
    </row>
    <row r="495">
      <c r="H495" s="7" t="s">
        <v>302</v>
      </c>
    </row>
    <row r="496">
      <c r="H496" s="7" t="s">
        <v>302</v>
      </c>
    </row>
    <row r="497">
      <c r="H497" s="7" t="s">
        <v>302</v>
      </c>
    </row>
    <row r="498">
      <c r="H498" s="7" t="s">
        <v>302</v>
      </c>
    </row>
    <row r="499">
      <c r="H499" s="7" t="s">
        <v>302</v>
      </c>
    </row>
    <row r="500">
      <c r="H500" s="7" t="s">
        <v>302</v>
      </c>
    </row>
    <row r="501">
      <c r="H501" s="7" t="s">
        <v>302</v>
      </c>
    </row>
    <row r="502">
      <c r="H502" s="7" t="s">
        <v>302</v>
      </c>
    </row>
    <row r="503">
      <c r="H503" s="7" t="s">
        <v>302</v>
      </c>
    </row>
    <row r="504">
      <c r="H504" s="7" t="s">
        <v>302</v>
      </c>
    </row>
    <row r="505">
      <c r="H505" s="7" t="s">
        <v>302</v>
      </c>
    </row>
    <row r="506">
      <c r="H506" s="7" t="s">
        <v>302</v>
      </c>
    </row>
    <row r="507">
      <c r="H507" s="7" t="s">
        <v>302</v>
      </c>
    </row>
    <row r="508">
      <c r="H508" s="7" t="s">
        <v>302</v>
      </c>
    </row>
    <row r="509">
      <c r="H509" s="7" t="s">
        <v>302</v>
      </c>
    </row>
    <row r="510">
      <c r="H510" s="7" t="s">
        <v>302</v>
      </c>
    </row>
    <row r="511">
      <c r="H511" s="7" t="s">
        <v>302</v>
      </c>
    </row>
    <row r="512">
      <c r="H512" s="7" t="s">
        <v>302</v>
      </c>
    </row>
    <row r="513">
      <c r="H513" s="7" t="s">
        <v>302</v>
      </c>
    </row>
    <row r="514">
      <c r="H514" s="7" t="s">
        <v>302</v>
      </c>
    </row>
    <row r="515">
      <c r="H515" s="7" t="s">
        <v>302</v>
      </c>
    </row>
    <row r="516">
      <c r="H516" s="7" t="s">
        <v>302</v>
      </c>
    </row>
    <row r="517">
      <c r="H517" s="7" t="s">
        <v>302</v>
      </c>
    </row>
    <row r="518">
      <c r="H518" s="7" t="s">
        <v>302</v>
      </c>
    </row>
    <row r="519">
      <c r="H519" s="7" t="s">
        <v>302</v>
      </c>
    </row>
    <row r="520">
      <c r="H520" s="7" t="s">
        <v>302</v>
      </c>
    </row>
    <row r="521">
      <c r="H521" s="7" t="s">
        <v>302</v>
      </c>
    </row>
    <row r="522">
      <c r="H522" s="7" t="s">
        <v>302</v>
      </c>
    </row>
    <row r="523">
      <c r="H523" s="7" t="s">
        <v>302</v>
      </c>
    </row>
    <row r="524">
      <c r="H524" s="7" t="s">
        <v>302</v>
      </c>
    </row>
    <row r="525">
      <c r="H525" s="7" t="s">
        <v>302</v>
      </c>
    </row>
    <row r="526">
      <c r="H526" s="7" t="s">
        <v>302</v>
      </c>
    </row>
    <row r="527">
      <c r="H527" s="7" t="s">
        <v>302</v>
      </c>
    </row>
    <row r="528">
      <c r="H528" s="7" t="s">
        <v>302</v>
      </c>
    </row>
    <row r="529">
      <c r="H529" s="7" t="s">
        <v>302</v>
      </c>
    </row>
    <row r="530">
      <c r="H530" s="7" t="s">
        <v>302</v>
      </c>
    </row>
    <row r="531">
      <c r="H531" s="7" t="s">
        <v>302</v>
      </c>
    </row>
    <row r="532">
      <c r="H532" s="7" t="s">
        <v>302</v>
      </c>
    </row>
    <row r="533">
      <c r="H533" s="7" t="s">
        <v>302</v>
      </c>
    </row>
    <row r="534">
      <c r="H534" s="7" t="s">
        <v>302</v>
      </c>
    </row>
    <row r="535">
      <c r="H535" s="7" t="s">
        <v>302</v>
      </c>
    </row>
    <row r="536">
      <c r="H536" s="7" t="s">
        <v>302</v>
      </c>
    </row>
    <row r="537">
      <c r="H537" s="7" t="s">
        <v>302</v>
      </c>
    </row>
    <row r="538">
      <c r="H538" s="7" t="s">
        <v>302</v>
      </c>
    </row>
    <row r="539">
      <c r="H539" s="7" t="s">
        <v>302</v>
      </c>
    </row>
    <row r="540">
      <c r="H540" s="7" t="s">
        <v>302</v>
      </c>
    </row>
    <row r="541">
      <c r="H541" s="7" t="s">
        <v>302</v>
      </c>
    </row>
    <row r="542">
      <c r="H542" s="7" t="s">
        <v>302</v>
      </c>
    </row>
    <row r="543">
      <c r="H543" s="7" t="s">
        <v>302</v>
      </c>
    </row>
    <row r="544">
      <c r="H544" s="7" t="s">
        <v>302</v>
      </c>
    </row>
    <row r="545">
      <c r="H545" s="7" t="s">
        <v>302</v>
      </c>
    </row>
    <row r="546">
      <c r="H546" s="7" t="s">
        <v>302</v>
      </c>
    </row>
    <row r="547">
      <c r="H547" s="7" t="s">
        <v>302</v>
      </c>
    </row>
    <row r="548">
      <c r="H548" s="7" t="s">
        <v>302</v>
      </c>
    </row>
    <row r="549">
      <c r="H549" s="7" t="s">
        <v>302</v>
      </c>
    </row>
    <row r="550">
      <c r="H550" s="7" t="s">
        <v>302</v>
      </c>
    </row>
    <row r="551">
      <c r="H551" s="7" t="s">
        <v>302</v>
      </c>
    </row>
    <row r="552">
      <c r="H552" s="7" t="s">
        <v>302</v>
      </c>
    </row>
    <row r="553">
      <c r="H553" s="7" t="s">
        <v>302</v>
      </c>
    </row>
    <row r="554">
      <c r="H554" s="7" t="s">
        <v>302</v>
      </c>
    </row>
    <row r="555">
      <c r="H555" s="7" t="s">
        <v>302</v>
      </c>
    </row>
    <row r="556">
      <c r="H556" s="7" t="s">
        <v>302</v>
      </c>
    </row>
    <row r="557">
      <c r="H557" s="7" t="s">
        <v>302</v>
      </c>
    </row>
    <row r="558">
      <c r="H558" s="7" t="s">
        <v>302</v>
      </c>
    </row>
    <row r="559">
      <c r="H559" s="7" t="s">
        <v>302</v>
      </c>
    </row>
    <row r="560">
      <c r="H560" s="7" t="s">
        <v>302</v>
      </c>
    </row>
    <row r="561">
      <c r="H561" s="7" t="s">
        <v>302</v>
      </c>
    </row>
    <row r="562">
      <c r="H562" s="7" t="s">
        <v>302</v>
      </c>
    </row>
    <row r="563">
      <c r="H563" s="7" t="s">
        <v>302</v>
      </c>
    </row>
    <row r="564">
      <c r="H564" s="7" t="s">
        <v>302</v>
      </c>
    </row>
    <row r="565">
      <c r="H565" s="7" t="s">
        <v>302</v>
      </c>
    </row>
    <row r="566">
      <c r="H566" s="7" t="s">
        <v>302</v>
      </c>
    </row>
    <row r="567">
      <c r="H567" s="7" t="s">
        <v>302</v>
      </c>
    </row>
    <row r="568">
      <c r="H568" s="7" t="s">
        <v>302</v>
      </c>
    </row>
    <row r="569">
      <c r="H569" s="7" t="s">
        <v>302</v>
      </c>
    </row>
    <row r="570">
      <c r="H570" s="7" t="s">
        <v>302</v>
      </c>
    </row>
    <row r="571">
      <c r="H571" s="7" t="s">
        <v>302</v>
      </c>
    </row>
    <row r="572">
      <c r="H572" s="7" t="s">
        <v>302</v>
      </c>
    </row>
    <row r="573">
      <c r="H573" s="7" t="s">
        <v>302</v>
      </c>
    </row>
    <row r="574">
      <c r="H574" s="7" t="s">
        <v>302</v>
      </c>
    </row>
    <row r="575">
      <c r="H575" s="7" t="s">
        <v>302</v>
      </c>
    </row>
    <row r="576">
      <c r="H576" s="7" t="s">
        <v>302</v>
      </c>
    </row>
    <row r="577">
      <c r="H577" s="7" t="s">
        <v>302</v>
      </c>
    </row>
    <row r="578">
      <c r="H578" s="7" t="s">
        <v>302</v>
      </c>
    </row>
    <row r="579">
      <c r="H579" s="7" t="s">
        <v>302</v>
      </c>
    </row>
    <row r="580">
      <c r="H580" s="7" t="s">
        <v>302</v>
      </c>
    </row>
    <row r="581">
      <c r="H581" s="7" t="s">
        <v>302</v>
      </c>
    </row>
    <row r="582">
      <c r="H582" s="7" t="s">
        <v>302</v>
      </c>
    </row>
    <row r="583">
      <c r="H583" s="7" t="s">
        <v>302</v>
      </c>
    </row>
    <row r="584">
      <c r="H584" s="7" t="s">
        <v>302</v>
      </c>
    </row>
    <row r="585">
      <c r="H585" s="7" t="s">
        <v>302</v>
      </c>
    </row>
    <row r="586">
      <c r="H586" s="7" t="s">
        <v>302</v>
      </c>
    </row>
    <row r="587">
      <c r="H587" s="7" t="s">
        <v>302</v>
      </c>
    </row>
    <row r="588">
      <c r="H588" s="7" t="s">
        <v>302</v>
      </c>
    </row>
    <row r="589">
      <c r="H589" s="7" t="s">
        <v>302</v>
      </c>
    </row>
    <row r="590">
      <c r="H590" s="7" t="s">
        <v>302</v>
      </c>
    </row>
    <row r="591">
      <c r="H591" s="7" t="s">
        <v>302</v>
      </c>
    </row>
    <row r="592">
      <c r="H592" s="7" t="s">
        <v>302</v>
      </c>
    </row>
    <row r="593">
      <c r="H593" s="7" t="s">
        <v>302</v>
      </c>
    </row>
    <row r="594">
      <c r="H594" s="7" t="s">
        <v>302</v>
      </c>
    </row>
    <row r="595">
      <c r="H595" s="7" t="s">
        <v>302</v>
      </c>
    </row>
    <row r="596">
      <c r="H596" s="7" t="s">
        <v>302</v>
      </c>
    </row>
    <row r="597">
      <c r="H597" s="7" t="s">
        <v>302</v>
      </c>
    </row>
    <row r="598">
      <c r="H598" s="7" t="s">
        <v>302</v>
      </c>
    </row>
    <row r="599">
      <c r="H599" s="7" t="s">
        <v>302</v>
      </c>
    </row>
    <row r="600">
      <c r="H600" s="7" t="s">
        <v>302</v>
      </c>
    </row>
    <row r="601">
      <c r="H601" s="7" t="s">
        <v>302</v>
      </c>
    </row>
    <row r="602">
      <c r="H602" s="7" t="s">
        <v>302</v>
      </c>
    </row>
    <row r="603">
      <c r="H603" s="7" t="s">
        <v>302</v>
      </c>
    </row>
    <row r="604">
      <c r="H604" s="7" t="s">
        <v>302</v>
      </c>
    </row>
    <row r="605">
      <c r="H605" s="7" t="s">
        <v>302</v>
      </c>
    </row>
    <row r="606">
      <c r="H606" s="7" t="s">
        <v>302</v>
      </c>
    </row>
    <row r="607">
      <c r="H607" s="7" t="s">
        <v>302</v>
      </c>
    </row>
    <row r="608">
      <c r="H608" s="7" t="s">
        <v>302</v>
      </c>
    </row>
    <row r="609">
      <c r="H609" s="7" t="s">
        <v>302</v>
      </c>
    </row>
    <row r="610">
      <c r="H610" s="7" t="s">
        <v>302</v>
      </c>
    </row>
    <row r="611">
      <c r="H611" s="7" t="s">
        <v>302</v>
      </c>
    </row>
    <row r="612">
      <c r="H612" s="7" t="s">
        <v>302</v>
      </c>
    </row>
    <row r="613">
      <c r="H613" s="7" t="s">
        <v>302</v>
      </c>
    </row>
    <row r="614">
      <c r="H614" s="7" t="s">
        <v>302</v>
      </c>
    </row>
    <row r="615">
      <c r="H615" s="7" t="s">
        <v>302</v>
      </c>
    </row>
    <row r="616">
      <c r="H616" s="7" t="s">
        <v>302</v>
      </c>
    </row>
    <row r="617">
      <c r="H617" s="7" t="s">
        <v>302</v>
      </c>
    </row>
    <row r="618">
      <c r="H618" s="7" t="s">
        <v>302</v>
      </c>
    </row>
    <row r="619">
      <c r="H619" s="7" t="s">
        <v>302</v>
      </c>
    </row>
    <row r="620">
      <c r="H620" s="7" t="s">
        <v>302</v>
      </c>
    </row>
    <row r="621">
      <c r="H621" s="7" t="s">
        <v>302</v>
      </c>
    </row>
    <row r="622">
      <c r="H622" s="7" t="s">
        <v>302</v>
      </c>
    </row>
    <row r="623">
      <c r="H623" s="7" t="s">
        <v>302</v>
      </c>
    </row>
    <row r="624">
      <c r="H624" s="7" t="s">
        <v>302</v>
      </c>
    </row>
    <row r="625">
      <c r="H625" s="7" t="s">
        <v>302</v>
      </c>
    </row>
    <row r="626">
      <c r="H626" s="7" t="s">
        <v>302</v>
      </c>
    </row>
    <row r="627">
      <c r="H627" s="7" t="s">
        <v>302</v>
      </c>
    </row>
    <row r="628">
      <c r="H628" s="7" t="s">
        <v>302</v>
      </c>
    </row>
    <row r="629">
      <c r="H629" s="7" t="s">
        <v>302</v>
      </c>
    </row>
    <row r="630">
      <c r="H630" s="7" t="s">
        <v>302</v>
      </c>
    </row>
    <row r="631">
      <c r="H631" s="7" t="s">
        <v>302</v>
      </c>
    </row>
    <row r="632">
      <c r="H632" s="7" t="s">
        <v>302</v>
      </c>
    </row>
    <row r="633">
      <c r="H633" s="7" t="s">
        <v>302</v>
      </c>
    </row>
    <row r="634">
      <c r="H634" s="7" t="s">
        <v>302</v>
      </c>
    </row>
    <row r="635">
      <c r="H635" s="7" t="s">
        <v>302</v>
      </c>
    </row>
    <row r="636">
      <c r="H636" s="7" t="s">
        <v>302</v>
      </c>
    </row>
    <row r="637">
      <c r="H637" s="7" t="s">
        <v>302</v>
      </c>
    </row>
    <row r="638">
      <c r="H638" s="7" t="s">
        <v>302</v>
      </c>
    </row>
    <row r="639">
      <c r="H639" s="7" t="s">
        <v>302</v>
      </c>
    </row>
    <row r="640">
      <c r="H640" s="7" t="s">
        <v>302</v>
      </c>
    </row>
    <row r="641">
      <c r="H641" s="7" t="s">
        <v>302</v>
      </c>
    </row>
    <row r="642">
      <c r="H642" s="7" t="s">
        <v>302</v>
      </c>
    </row>
    <row r="643">
      <c r="H643" s="7" t="s">
        <v>302</v>
      </c>
    </row>
    <row r="644">
      <c r="H644" s="7" t="s">
        <v>302</v>
      </c>
    </row>
    <row r="645">
      <c r="H645" s="7" t="s">
        <v>302</v>
      </c>
    </row>
    <row r="646">
      <c r="H646" s="7" t="s">
        <v>302</v>
      </c>
    </row>
    <row r="647">
      <c r="H647" s="7" t="s">
        <v>302</v>
      </c>
    </row>
    <row r="648">
      <c r="H648" s="7" t="s">
        <v>302</v>
      </c>
    </row>
    <row r="649">
      <c r="H649" s="7" t="s">
        <v>302</v>
      </c>
    </row>
    <row r="650">
      <c r="H650" s="7" t="s">
        <v>302</v>
      </c>
    </row>
    <row r="651">
      <c r="H651" s="7" t="s">
        <v>302</v>
      </c>
    </row>
    <row r="652">
      <c r="H652" s="7" t="s">
        <v>302</v>
      </c>
    </row>
    <row r="653">
      <c r="H653" s="7" t="s">
        <v>302</v>
      </c>
    </row>
    <row r="654">
      <c r="H654" s="7" t="s">
        <v>302</v>
      </c>
    </row>
    <row r="655">
      <c r="H655" s="7" t="s">
        <v>302</v>
      </c>
    </row>
    <row r="656">
      <c r="H656" s="7" t="s">
        <v>302</v>
      </c>
    </row>
    <row r="657">
      <c r="H657" s="7" t="s">
        <v>302</v>
      </c>
    </row>
    <row r="658">
      <c r="H658" s="7" t="s">
        <v>302</v>
      </c>
    </row>
    <row r="659">
      <c r="H659" s="7" t="s">
        <v>302</v>
      </c>
    </row>
    <row r="660">
      <c r="H660" s="7" t="s">
        <v>302</v>
      </c>
    </row>
    <row r="661">
      <c r="H661" s="7" t="s">
        <v>302</v>
      </c>
    </row>
    <row r="662">
      <c r="H662" s="7" t="s">
        <v>302</v>
      </c>
    </row>
    <row r="663">
      <c r="H663" s="7" t="s">
        <v>302</v>
      </c>
    </row>
    <row r="664">
      <c r="H664" s="7" t="s">
        <v>302</v>
      </c>
    </row>
    <row r="665">
      <c r="H665" s="7" t="s">
        <v>302</v>
      </c>
    </row>
    <row r="666">
      <c r="H666" s="7" t="s">
        <v>302</v>
      </c>
    </row>
    <row r="667">
      <c r="H667" s="7" t="s">
        <v>302</v>
      </c>
    </row>
    <row r="668">
      <c r="H668" s="7" t="s">
        <v>302</v>
      </c>
    </row>
    <row r="669">
      <c r="H669" s="7" t="s">
        <v>302</v>
      </c>
    </row>
    <row r="670">
      <c r="H670" s="7" t="s">
        <v>302</v>
      </c>
    </row>
    <row r="671">
      <c r="H671" s="7" t="s">
        <v>302</v>
      </c>
    </row>
    <row r="672">
      <c r="H672" s="7" t="s">
        <v>302</v>
      </c>
    </row>
    <row r="673">
      <c r="H673" s="7" t="s">
        <v>302</v>
      </c>
    </row>
    <row r="674">
      <c r="H674" s="7" t="s">
        <v>302</v>
      </c>
    </row>
    <row r="675">
      <c r="H675" s="7" t="s">
        <v>302</v>
      </c>
    </row>
    <row r="676">
      <c r="H676" s="7" t="s">
        <v>302</v>
      </c>
    </row>
    <row r="677">
      <c r="H677" s="7" t="s">
        <v>302</v>
      </c>
    </row>
    <row r="678">
      <c r="H678" s="7" t="s">
        <v>302</v>
      </c>
    </row>
    <row r="679">
      <c r="H679" s="7" t="s">
        <v>302</v>
      </c>
    </row>
    <row r="680">
      <c r="H680" s="7" t="s">
        <v>302</v>
      </c>
    </row>
    <row r="681">
      <c r="H681" s="7" t="s">
        <v>302</v>
      </c>
    </row>
    <row r="682">
      <c r="H682" s="7" t="s">
        <v>302</v>
      </c>
    </row>
    <row r="683">
      <c r="H683" s="7" t="s">
        <v>302</v>
      </c>
    </row>
    <row r="684">
      <c r="H684" s="7" t="s">
        <v>302</v>
      </c>
    </row>
    <row r="685">
      <c r="H685" s="7" t="s">
        <v>302</v>
      </c>
    </row>
    <row r="686">
      <c r="H686" s="7" t="s">
        <v>302</v>
      </c>
    </row>
    <row r="687">
      <c r="H687" s="7" t="s">
        <v>302</v>
      </c>
    </row>
    <row r="688">
      <c r="H688" s="7" t="s">
        <v>302</v>
      </c>
    </row>
    <row r="689">
      <c r="H689" s="7" t="s">
        <v>302</v>
      </c>
    </row>
    <row r="690">
      <c r="H690" s="7" t="s">
        <v>302</v>
      </c>
    </row>
    <row r="691">
      <c r="H691" s="7" t="s">
        <v>302</v>
      </c>
    </row>
    <row r="692">
      <c r="H692" s="7" t="s">
        <v>302</v>
      </c>
    </row>
    <row r="693">
      <c r="H693" s="7" t="s">
        <v>302</v>
      </c>
    </row>
    <row r="694">
      <c r="H694" s="7" t="s">
        <v>302</v>
      </c>
    </row>
    <row r="695">
      <c r="H695" s="7" t="s">
        <v>302</v>
      </c>
    </row>
    <row r="696">
      <c r="H696" s="7" t="s">
        <v>302</v>
      </c>
    </row>
    <row r="697">
      <c r="H697" s="7" t="s">
        <v>302</v>
      </c>
    </row>
    <row r="698">
      <c r="H698" s="7" t="s">
        <v>302</v>
      </c>
    </row>
    <row r="699">
      <c r="H699" s="7" t="s">
        <v>302</v>
      </c>
    </row>
    <row r="700">
      <c r="H700" s="7" t="s">
        <v>302</v>
      </c>
    </row>
    <row r="701">
      <c r="H701" s="7" t="s">
        <v>302</v>
      </c>
    </row>
    <row r="702">
      <c r="H702" s="7" t="s">
        <v>302</v>
      </c>
    </row>
    <row r="703">
      <c r="H703" s="7" t="s">
        <v>302</v>
      </c>
    </row>
    <row r="704">
      <c r="H704" s="7" t="s">
        <v>302</v>
      </c>
    </row>
    <row r="705">
      <c r="H705" s="7" t="s">
        <v>302</v>
      </c>
    </row>
    <row r="706">
      <c r="H706" s="7" t="s">
        <v>302</v>
      </c>
    </row>
    <row r="707">
      <c r="H707" s="7" t="s">
        <v>302</v>
      </c>
    </row>
    <row r="708">
      <c r="H708" s="7" t="s">
        <v>302</v>
      </c>
    </row>
    <row r="709">
      <c r="H709" s="7" t="s">
        <v>302</v>
      </c>
    </row>
    <row r="710">
      <c r="H710" s="7" t="s">
        <v>302</v>
      </c>
    </row>
    <row r="711">
      <c r="H711" s="7" t="s">
        <v>302</v>
      </c>
    </row>
    <row r="712">
      <c r="H712" s="7" t="s">
        <v>302</v>
      </c>
    </row>
    <row r="713">
      <c r="H713" s="7" t="s">
        <v>302</v>
      </c>
    </row>
    <row r="714">
      <c r="H714" s="7" t="s">
        <v>302</v>
      </c>
    </row>
    <row r="715">
      <c r="H715" s="7" t="s">
        <v>302</v>
      </c>
    </row>
    <row r="716">
      <c r="H716" s="7" t="s">
        <v>302</v>
      </c>
    </row>
    <row r="717">
      <c r="H717" s="7" t="s">
        <v>302</v>
      </c>
    </row>
    <row r="718">
      <c r="H718" s="7" t="s">
        <v>302</v>
      </c>
    </row>
    <row r="719">
      <c r="H719" s="7" t="s">
        <v>302</v>
      </c>
    </row>
    <row r="720">
      <c r="H720" s="7" t="s">
        <v>302</v>
      </c>
    </row>
    <row r="721">
      <c r="H721" s="7" t="s">
        <v>302</v>
      </c>
    </row>
    <row r="722">
      <c r="H722" s="7" t="s">
        <v>302</v>
      </c>
    </row>
    <row r="723">
      <c r="H723" s="7" t="s">
        <v>302</v>
      </c>
    </row>
    <row r="724">
      <c r="H724" s="7" t="s">
        <v>302</v>
      </c>
    </row>
    <row r="725">
      <c r="H725" s="7" t="s">
        <v>302</v>
      </c>
    </row>
    <row r="726">
      <c r="H726" s="7" t="s">
        <v>302</v>
      </c>
    </row>
    <row r="727">
      <c r="H727" s="7" t="s">
        <v>302</v>
      </c>
    </row>
    <row r="728">
      <c r="H728" s="7" t="s">
        <v>302</v>
      </c>
    </row>
    <row r="729">
      <c r="H729" s="7" t="s">
        <v>302</v>
      </c>
    </row>
    <row r="730">
      <c r="H730" s="7" t="s">
        <v>302</v>
      </c>
    </row>
    <row r="731">
      <c r="H731" s="7" t="s">
        <v>302</v>
      </c>
    </row>
    <row r="732">
      <c r="H732" s="7" t="s">
        <v>302</v>
      </c>
    </row>
    <row r="733">
      <c r="H733" s="7" t="s">
        <v>302</v>
      </c>
    </row>
    <row r="734">
      <c r="H734" s="7" t="s">
        <v>302</v>
      </c>
    </row>
    <row r="735">
      <c r="H735" s="7" t="s">
        <v>302</v>
      </c>
    </row>
    <row r="736">
      <c r="H736" s="7" t="s">
        <v>302</v>
      </c>
    </row>
    <row r="737">
      <c r="H737" s="7" t="s">
        <v>302</v>
      </c>
    </row>
    <row r="738">
      <c r="H738" s="7" t="s">
        <v>302</v>
      </c>
    </row>
    <row r="739">
      <c r="H739" s="7" t="s">
        <v>302</v>
      </c>
    </row>
    <row r="740">
      <c r="H740" s="7" t="s">
        <v>302</v>
      </c>
    </row>
    <row r="741">
      <c r="H741" s="7" t="s">
        <v>302</v>
      </c>
    </row>
    <row r="742">
      <c r="H742" s="7" t="s">
        <v>302</v>
      </c>
    </row>
    <row r="743">
      <c r="H743" s="7" t="s">
        <v>302</v>
      </c>
    </row>
    <row r="744">
      <c r="H744" s="7" t="s">
        <v>302</v>
      </c>
    </row>
    <row r="745">
      <c r="H745" s="7" t="s">
        <v>302</v>
      </c>
    </row>
    <row r="746">
      <c r="H746" s="7" t="s">
        <v>302</v>
      </c>
    </row>
    <row r="747">
      <c r="H747" s="7" t="s">
        <v>302</v>
      </c>
    </row>
    <row r="748">
      <c r="H748" s="7" t="s">
        <v>302</v>
      </c>
    </row>
    <row r="749">
      <c r="H749" s="7" t="s">
        <v>302</v>
      </c>
    </row>
    <row r="750">
      <c r="H750" s="7" t="s">
        <v>302</v>
      </c>
    </row>
    <row r="751">
      <c r="H751" s="7" t="s">
        <v>302</v>
      </c>
    </row>
    <row r="752">
      <c r="H752" s="7" t="s">
        <v>302</v>
      </c>
    </row>
    <row r="753">
      <c r="H753" s="7" t="s">
        <v>302</v>
      </c>
    </row>
    <row r="754">
      <c r="H754" s="7" t="s">
        <v>302</v>
      </c>
    </row>
    <row r="755">
      <c r="H755" s="7" t="s">
        <v>302</v>
      </c>
    </row>
    <row r="756">
      <c r="H756" s="7" t="s">
        <v>302</v>
      </c>
    </row>
    <row r="757">
      <c r="H757" s="7" t="s">
        <v>302</v>
      </c>
    </row>
    <row r="758">
      <c r="H758" s="7" t="s">
        <v>302</v>
      </c>
    </row>
    <row r="759">
      <c r="H759" s="7" t="s">
        <v>302</v>
      </c>
    </row>
    <row r="760">
      <c r="H760" s="7" t="s">
        <v>302</v>
      </c>
    </row>
    <row r="761">
      <c r="H761" s="7" t="s">
        <v>302</v>
      </c>
    </row>
    <row r="762">
      <c r="H762" s="7" t="s">
        <v>302</v>
      </c>
    </row>
    <row r="763">
      <c r="H763" s="7" t="s">
        <v>302</v>
      </c>
    </row>
    <row r="764">
      <c r="H764" s="7" t="s">
        <v>302</v>
      </c>
    </row>
    <row r="765">
      <c r="H765" s="7" t="s">
        <v>302</v>
      </c>
    </row>
    <row r="766">
      <c r="H766" s="7" t="s">
        <v>302</v>
      </c>
    </row>
    <row r="767">
      <c r="H767" s="7" t="s">
        <v>302</v>
      </c>
    </row>
    <row r="768">
      <c r="H768" s="7" t="s">
        <v>302</v>
      </c>
    </row>
    <row r="769">
      <c r="H769" s="7" t="s">
        <v>302</v>
      </c>
    </row>
    <row r="770">
      <c r="H770" s="7" t="s">
        <v>302</v>
      </c>
    </row>
    <row r="771">
      <c r="H771" s="7" t="s">
        <v>302</v>
      </c>
    </row>
    <row r="772">
      <c r="H772" s="7" t="s">
        <v>302</v>
      </c>
    </row>
    <row r="773">
      <c r="H773" s="7" t="s">
        <v>302</v>
      </c>
    </row>
    <row r="774">
      <c r="H774" s="7" t="s">
        <v>302</v>
      </c>
    </row>
    <row r="775">
      <c r="H775" s="7" t="s">
        <v>302</v>
      </c>
    </row>
    <row r="776">
      <c r="H776" s="7" t="s">
        <v>302</v>
      </c>
    </row>
    <row r="777">
      <c r="H777" s="7" t="s">
        <v>302</v>
      </c>
    </row>
    <row r="778">
      <c r="H778" s="7" t="s">
        <v>302</v>
      </c>
    </row>
    <row r="779">
      <c r="H779" s="7" t="s">
        <v>302</v>
      </c>
    </row>
    <row r="780">
      <c r="H780" s="7" t="s">
        <v>302</v>
      </c>
    </row>
    <row r="781">
      <c r="H781" s="7" t="s">
        <v>302</v>
      </c>
    </row>
    <row r="782">
      <c r="H782" s="7" t="s">
        <v>302</v>
      </c>
    </row>
    <row r="783">
      <c r="H783" s="7" t="s">
        <v>302</v>
      </c>
    </row>
    <row r="784">
      <c r="H784" s="7" t="s">
        <v>302</v>
      </c>
    </row>
    <row r="785">
      <c r="H785" s="7" t="s">
        <v>302</v>
      </c>
    </row>
    <row r="786">
      <c r="H786" s="7" t="s">
        <v>302</v>
      </c>
    </row>
    <row r="787">
      <c r="H787" s="7" t="s">
        <v>302</v>
      </c>
    </row>
    <row r="788">
      <c r="H788" s="7" t="s">
        <v>302</v>
      </c>
    </row>
    <row r="789">
      <c r="H789" s="7" t="s">
        <v>302</v>
      </c>
    </row>
    <row r="790">
      <c r="H790" s="7" t="s">
        <v>302</v>
      </c>
    </row>
    <row r="791">
      <c r="H791" s="7" t="s">
        <v>302</v>
      </c>
    </row>
    <row r="792">
      <c r="H792" s="7" t="s">
        <v>302</v>
      </c>
    </row>
    <row r="793">
      <c r="H793" s="7" t="s">
        <v>302</v>
      </c>
    </row>
    <row r="794">
      <c r="H794" s="7" t="s">
        <v>302</v>
      </c>
    </row>
    <row r="795">
      <c r="H795" s="7" t="s">
        <v>302</v>
      </c>
    </row>
    <row r="796">
      <c r="H796" s="7" t="s">
        <v>302</v>
      </c>
    </row>
    <row r="797">
      <c r="H797" s="7" t="s">
        <v>302</v>
      </c>
    </row>
    <row r="798">
      <c r="H798" s="7" t="s">
        <v>302</v>
      </c>
    </row>
    <row r="799">
      <c r="H799" s="7" t="s">
        <v>302</v>
      </c>
    </row>
    <row r="800">
      <c r="H800" s="7" t="s">
        <v>302</v>
      </c>
    </row>
    <row r="801">
      <c r="H801" s="7" t="s">
        <v>302</v>
      </c>
    </row>
    <row r="802">
      <c r="H802" s="7" t="s">
        <v>302</v>
      </c>
    </row>
    <row r="803">
      <c r="H803" s="7" t="s">
        <v>302</v>
      </c>
    </row>
    <row r="804">
      <c r="H804" s="7" t="s">
        <v>302</v>
      </c>
    </row>
    <row r="805">
      <c r="H805" s="7" t="s">
        <v>302</v>
      </c>
    </row>
    <row r="806">
      <c r="H806" s="7" t="s">
        <v>302</v>
      </c>
    </row>
    <row r="807">
      <c r="H807" s="7" t="s">
        <v>302</v>
      </c>
    </row>
    <row r="808">
      <c r="H808" s="7" t="s">
        <v>302</v>
      </c>
    </row>
    <row r="809">
      <c r="H809" s="7" t="s">
        <v>302</v>
      </c>
    </row>
    <row r="810">
      <c r="H810" s="7" t="s">
        <v>302</v>
      </c>
    </row>
    <row r="811">
      <c r="H811" s="7" t="s">
        <v>302</v>
      </c>
    </row>
    <row r="812">
      <c r="H812" s="7" t="s">
        <v>302</v>
      </c>
    </row>
    <row r="813">
      <c r="H813" s="7" t="s">
        <v>302</v>
      </c>
    </row>
    <row r="814">
      <c r="H814" s="7" t="s">
        <v>302</v>
      </c>
    </row>
    <row r="815">
      <c r="H815" s="7" t="s">
        <v>302</v>
      </c>
    </row>
    <row r="816">
      <c r="H816" s="7" t="s">
        <v>302</v>
      </c>
    </row>
    <row r="817">
      <c r="H817" s="7" t="s">
        <v>302</v>
      </c>
    </row>
    <row r="818">
      <c r="H818" s="7" t="s">
        <v>302</v>
      </c>
    </row>
    <row r="819">
      <c r="H819" s="7" t="s">
        <v>302</v>
      </c>
    </row>
    <row r="820">
      <c r="H820" s="7" t="s">
        <v>302</v>
      </c>
    </row>
    <row r="821">
      <c r="H821" s="7" t="s">
        <v>302</v>
      </c>
    </row>
    <row r="822">
      <c r="H822" s="7" t="s">
        <v>302</v>
      </c>
    </row>
    <row r="823">
      <c r="H823" s="7" t="s">
        <v>302</v>
      </c>
    </row>
    <row r="824">
      <c r="H824" s="7" t="s">
        <v>302</v>
      </c>
    </row>
    <row r="825">
      <c r="H825" s="7" t="s">
        <v>302</v>
      </c>
    </row>
    <row r="826">
      <c r="H826" s="7" t="s">
        <v>302</v>
      </c>
    </row>
    <row r="827">
      <c r="H827" s="7" t="s">
        <v>302</v>
      </c>
    </row>
    <row r="828">
      <c r="H828" s="7" t="s">
        <v>302</v>
      </c>
    </row>
    <row r="829">
      <c r="H829" s="7" t="s">
        <v>302</v>
      </c>
    </row>
    <row r="830">
      <c r="H830" s="7" t="s">
        <v>302</v>
      </c>
    </row>
    <row r="831">
      <c r="H831" s="7" t="s">
        <v>302</v>
      </c>
    </row>
    <row r="832">
      <c r="H832" s="7" t="s">
        <v>302</v>
      </c>
    </row>
    <row r="833">
      <c r="H833" s="7" t="s">
        <v>302</v>
      </c>
    </row>
    <row r="834">
      <c r="H834" s="7" t="s">
        <v>302</v>
      </c>
    </row>
    <row r="835">
      <c r="H835" s="7" t="s">
        <v>302</v>
      </c>
    </row>
    <row r="836">
      <c r="H836" s="7" t="s">
        <v>302</v>
      </c>
    </row>
    <row r="837">
      <c r="H837" s="7" t="s">
        <v>302</v>
      </c>
    </row>
    <row r="838">
      <c r="H838" s="7" t="s">
        <v>302</v>
      </c>
    </row>
    <row r="839">
      <c r="H839" s="7" t="s">
        <v>302</v>
      </c>
    </row>
    <row r="840">
      <c r="H840" s="7" t="s">
        <v>302</v>
      </c>
    </row>
    <row r="841">
      <c r="H841" s="7" t="s">
        <v>302</v>
      </c>
    </row>
    <row r="842">
      <c r="H842" s="7" t="s">
        <v>302</v>
      </c>
    </row>
    <row r="843">
      <c r="H843" s="7" t="s">
        <v>302</v>
      </c>
    </row>
    <row r="844">
      <c r="H844" s="7" t="s">
        <v>302</v>
      </c>
    </row>
    <row r="845">
      <c r="H845" s="7" t="s">
        <v>302</v>
      </c>
    </row>
    <row r="846">
      <c r="H846" s="7" t="s">
        <v>302</v>
      </c>
    </row>
    <row r="847">
      <c r="H847" s="7" t="s">
        <v>302</v>
      </c>
    </row>
    <row r="848">
      <c r="H848" s="7" t="s">
        <v>302</v>
      </c>
    </row>
    <row r="849">
      <c r="H849" s="7" t="s">
        <v>302</v>
      </c>
    </row>
    <row r="850">
      <c r="H850" s="7" t="s">
        <v>302</v>
      </c>
    </row>
    <row r="851">
      <c r="H851" s="7" t="s">
        <v>302</v>
      </c>
    </row>
    <row r="852">
      <c r="H852" s="7" t="s">
        <v>302</v>
      </c>
    </row>
    <row r="853">
      <c r="H853" s="7" t="s">
        <v>302</v>
      </c>
    </row>
    <row r="854">
      <c r="H854" s="7" t="s">
        <v>302</v>
      </c>
    </row>
    <row r="855">
      <c r="H855" s="7" t="s">
        <v>302</v>
      </c>
    </row>
    <row r="856">
      <c r="H856" s="7" t="s">
        <v>302</v>
      </c>
    </row>
    <row r="857">
      <c r="H857" s="7" t="s">
        <v>302</v>
      </c>
    </row>
    <row r="858">
      <c r="H858" s="7" t="s">
        <v>302</v>
      </c>
    </row>
    <row r="859">
      <c r="H859" s="7" t="s">
        <v>302</v>
      </c>
    </row>
    <row r="860">
      <c r="H860" s="7" t="s">
        <v>302</v>
      </c>
    </row>
    <row r="861">
      <c r="H861" s="7" t="s">
        <v>302</v>
      </c>
    </row>
    <row r="862">
      <c r="H862" s="7" t="s">
        <v>302</v>
      </c>
    </row>
    <row r="863">
      <c r="H863" s="7" t="s">
        <v>302</v>
      </c>
    </row>
    <row r="864">
      <c r="H864" s="7" t="s">
        <v>302</v>
      </c>
    </row>
    <row r="865">
      <c r="H865" s="7" t="s">
        <v>302</v>
      </c>
    </row>
    <row r="866">
      <c r="H866" s="7" t="s">
        <v>302</v>
      </c>
    </row>
    <row r="867">
      <c r="H867" s="7" t="s">
        <v>302</v>
      </c>
    </row>
    <row r="868">
      <c r="H868" s="7" t="s">
        <v>302</v>
      </c>
    </row>
    <row r="869">
      <c r="H869" s="7" t="s">
        <v>302</v>
      </c>
    </row>
    <row r="870">
      <c r="H870" s="7" t="s">
        <v>302</v>
      </c>
    </row>
    <row r="871">
      <c r="H871" s="7" t="s">
        <v>302</v>
      </c>
    </row>
    <row r="872">
      <c r="H872" s="7" t="s">
        <v>302</v>
      </c>
    </row>
    <row r="873">
      <c r="H873" s="7" t="s">
        <v>302</v>
      </c>
    </row>
    <row r="874">
      <c r="H874" s="7" t="s">
        <v>302</v>
      </c>
    </row>
    <row r="875">
      <c r="H875" s="7" t="s">
        <v>302</v>
      </c>
    </row>
    <row r="876">
      <c r="H876" s="7" t="s">
        <v>302</v>
      </c>
    </row>
    <row r="877">
      <c r="H877" s="7" t="s">
        <v>302</v>
      </c>
    </row>
    <row r="878">
      <c r="H878" s="7" t="s">
        <v>302</v>
      </c>
    </row>
    <row r="879">
      <c r="H879" s="7" t="s">
        <v>302</v>
      </c>
    </row>
    <row r="880">
      <c r="H880" s="7" t="s">
        <v>302</v>
      </c>
    </row>
    <row r="881">
      <c r="H881" s="7" t="s">
        <v>302</v>
      </c>
    </row>
    <row r="882">
      <c r="H882" s="7" t="s">
        <v>302</v>
      </c>
    </row>
    <row r="883">
      <c r="H883" s="7" t="s">
        <v>302</v>
      </c>
    </row>
    <row r="884">
      <c r="H884" s="7" t="s">
        <v>302</v>
      </c>
    </row>
    <row r="885">
      <c r="H885" s="7" t="s">
        <v>302</v>
      </c>
    </row>
    <row r="886">
      <c r="H886" s="7" t="s">
        <v>302</v>
      </c>
    </row>
    <row r="887">
      <c r="H887" s="7" t="s">
        <v>302</v>
      </c>
    </row>
    <row r="888">
      <c r="H888" s="7" t="s">
        <v>302</v>
      </c>
    </row>
    <row r="889">
      <c r="H889" s="7" t="s">
        <v>302</v>
      </c>
    </row>
    <row r="890">
      <c r="H890" s="7" t="s">
        <v>302</v>
      </c>
    </row>
    <row r="891">
      <c r="H891" s="7" t="s">
        <v>302</v>
      </c>
    </row>
    <row r="892">
      <c r="H892" s="7" t="s">
        <v>302</v>
      </c>
    </row>
    <row r="893">
      <c r="H893" s="7" t="s">
        <v>302</v>
      </c>
    </row>
    <row r="894">
      <c r="H894" s="7" t="s">
        <v>302</v>
      </c>
    </row>
    <row r="895">
      <c r="H895" s="7" t="s">
        <v>302</v>
      </c>
    </row>
    <row r="896">
      <c r="H896" s="7" t="s">
        <v>302</v>
      </c>
    </row>
    <row r="897">
      <c r="H897" s="7" t="s">
        <v>302</v>
      </c>
    </row>
    <row r="898">
      <c r="H898" s="7" t="s">
        <v>302</v>
      </c>
    </row>
    <row r="899">
      <c r="H899" s="7" t="s">
        <v>302</v>
      </c>
    </row>
    <row r="900">
      <c r="H900" s="7" t="s">
        <v>302</v>
      </c>
    </row>
    <row r="901">
      <c r="H901" s="7" t="s">
        <v>302</v>
      </c>
    </row>
    <row r="902">
      <c r="H902" s="7" t="s">
        <v>302</v>
      </c>
    </row>
    <row r="903">
      <c r="H903" s="7" t="s">
        <v>302</v>
      </c>
    </row>
    <row r="904">
      <c r="H904" s="7" t="s">
        <v>302</v>
      </c>
    </row>
    <row r="905">
      <c r="H905" s="7" t="s">
        <v>302</v>
      </c>
    </row>
    <row r="906">
      <c r="H906" s="7" t="s">
        <v>302</v>
      </c>
    </row>
    <row r="907">
      <c r="H907" s="7" t="s">
        <v>302</v>
      </c>
    </row>
    <row r="908">
      <c r="H908" s="7" t="s">
        <v>302</v>
      </c>
    </row>
    <row r="909">
      <c r="H909" s="7" t="s">
        <v>302</v>
      </c>
    </row>
    <row r="910">
      <c r="H910" s="7" t="s">
        <v>302</v>
      </c>
    </row>
    <row r="911">
      <c r="H911" s="7" t="s">
        <v>302</v>
      </c>
    </row>
    <row r="912">
      <c r="H912" s="7" t="s">
        <v>302</v>
      </c>
    </row>
    <row r="913">
      <c r="H913" s="7" t="s">
        <v>302</v>
      </c>
    </row>
    <row r="914">
      <c r="H914" s="7" t="s">
        <v>302</v>
      </c>
    </row>
    <row r="915">
      <c r="H915" s="7" t="s">
        <v>302</v>
      </c>
    </row>
    <row r="916">
      <c r="H916" s="7" t="s">
        <v>302</v>
      </c>
    </row>
    <row r="917">
      <c r="H917" s="7" t="s">
        <v>302</v>
      </c>
    </row>
    <row r="918">
      <c r="H918" s="7" t="s">
        <v>302</v>
      </c>
    </row>
    <row r="919">
      <c r="H919" s="7" t="s">
        <v>302</v>
      </c>
    </row>
    <row r="920">
      <c r="H920" s="7" t="s">
        <v>302</v>
      </c>
    </row>
    <row r="921">
      <c r="H921" s="7" t="s">
        <v>302</v>
      </c>
    </row>
    <row r="922">
      <c r="H922" s="7" t="s">
        <v>302</v>
      </c>
    </row>
    <row r="923">
      <c r="H923" s="7" t="s">
        <v>302</v>
      </c>
    </row>
    <row r="924">
      <c r="H924" s="7" t="s">
        <v>302</v>
      </c>
    </row>
    <row r="925">
      <c r="H925" s="7" t="s">
        <v>302</v>
      </c>
    </row>
    <row r="926">
      <c r="H926" s="7" t="s">
        <v>302</v>
      </c>
    </row>
    <row r="927">
      <c r="H927" s="7" t="s">
        <v>302</v>
      </c>
    </row>
    <row r="928">
      <c r="H928" s="7" t="s">
        <v>302</v>
      </c>
    </row>
    <row r="929">
      <c r="H929" s="7" t="s">
        <v>302</v>
      </c>
    </row>
    <row r="930">
      <c r="H930" s="7" t="s">
        <v>302</v>
      </c>
    </row>
    <row r="931">
      <c r="H931" s="7" t="s">
        <v>302</v>
      </c>
    </row>
    <row r="932">
      <c r="H932" s="7" t="s">
        <v>302</v>
      </c>
    </row>
    <row r="933">
      <c r="H933" s="7" t="s">
        <v>302</v>
      </c>
    </row>
    <row r="934">
      <c r="H934" s="7" t="s">
        <v>302</v>
      </c>
    </row>
    <row r="935">
      <c r="H935" s="7" t="s">
        <v>302</v>
      </c>
    </row>
    <row r="936">
      <c r="H936" s="7" t="s">
        <v>302</v>
      </c>
    </row>
    <row r="937">
      <c r="H937" s="7" t="s">
        <v>302</v>
      </c>
    </row>
    <row r="938">
      <c r="H938" s="7" t="s">
        <v>302</v>
      </c>
    </row>
    <row r="939">
      <c r="H939" s="7" t="s">
        <v>302</v>
      </c>
    </row>
    <row r="940">
      <c r="H940" s="7" t="s">
        <v>302</v>
      </c>
    </row>
    <row r="941">
      <c r="H941" s="7" t="s">
        <v>302</v>
      </c>
    </row>
    <row r="942">
      <c r="H942" s="7" t="s">
        <v>302</v>
      </c>
    </row>
    <row r="943">
      <c r="H943" s="7" t="s">
        <v>302</v>
      </c>
    </row>
    <row r="944">
      <c r="H944" s="7" t="s">
        <v>302</v>
      </c>
    </row>
    <row r="945">
      <c r="H945" s="7" t="s">
        <v>302</v>
      </c>
    </row>
    <row r="946">
      <c r="H946" s="7" t="s">
        <v>302</v>
      </c>
    </row>
    <row r="947">
      <c r="H947" s="7" t="s">
        <v>302</v>
      </c>
    </row>
    <row r="948">
      <c r="H948" s="7" t="s">
        <v>302</v>
      </c>
    </row>
    <row r="949">
      <c r="H949" s="7" t="s">
        <v>302</v>
      </c>
    </row>
    <row r="950">
      <c r="H950" s="7" t="s">
        <v>302</v>
      </c>
    </row>
    <row r="951">
      <c r="H951" s="7" t="s">
        <v>302</v>
      </c>
    </row>
    <row r="952">
      <c r="H952" s="7" t="s">
        <v>302</v>
      </c>
    </row>
    <row r="953">
      <c r="H953" s="7" t="s">
        <v>302</v>
      </c>
    </row>
    <row r="954">
      <c r="H954" s="7" t="s">
        <v>302</v>
      </c>
    </row>
    <row r="955">
      <c r="H955" s="7" t="s">
        <v>302</v>
      </c>
    </row>
    <row r="956">
      <c r="H956" s="7" t="s">
        <v>302</v>
      </c>
    </row>
    <row r="957">
      <c r="H957" s="7" t="s">
        <v>302</v>
      </c>
    </row>
    <row r="958">
      <c r="H958" s="7" t="s">
        <v>302</v>
      </c>
    </row>
    <row r="959">
      <c r="H959" s="7" t="s">
        <v>302</v>
      </c>
    </row>
    <row r="960">
      <c r="H960" s="7" t="s">
        <v>302</v>
      </c>
    </row>
    <row r="961">
      <c r="H961" s="7" t="s">
        <v>302</v>
      </c>
    </row>
    <row r="962">
      <c r="H962" s="7" t="s">
        <v>302</v>
      </c>
    </row>
    <row r="963">
      <c r="H963" s="7" t="s">
        <v>302</v>
      </c>
    </row>
    <row r="964">
      <c r="H964" s="7" t="s">
        <v>302</v>
      </c>
    </row>
    <row r="965">
      <c r="H965" s="7" t="s">
        <v>302</v>
      </c>
    </row>
    <row r="966">
      <c r="H966" s="7" t="s">
        <v>302</v>
      </c>
    </row>
    <row r="967">
      <c r="H967" s="7" t="s">
        <v>302</v>
      </c>
    </row>
    <row r="968">
      <c r="H968" s="7" t="s">
        <v>302</v>
      </c>
    </row>
    <row r="969">
      <c r="H969" s="7" t="s">
        <v>302</v>
      </c>
    </row>
    <row r="970">
      <c r="H970" s="7" t="s">
        <v>302</v>
      </c>
    </row>
    <row r="971">
      <c r="H971" s="7" t="s">
        <v>302</v>
      </c>
    </row>
    <row r="972">
      <c r="H972" s="7" t="s">
        <v>302</v>
      </c>
    </row>
    <row r="973">
      <c r="H973" s="7" t="s">
        <v>302</v>
      </c>
    </row>
    <row r="974">
      <c r="H974" s="7" t="s">
        <v>302</v>
      </c>
    </row>
    <row r="975">
      <c r="H975" s="7" t="s">
        <v>302</v>
      </c>
    </row>
    <row r="976">
      <c r="H976" s="7" t="s">
        <v>302</v>
      </c>
    </row>
    <row r="977">
      <c r="H977" s="7" t="s">
        <v>302</v>
      </c>
    </row>
    <row r="978">
      <c r="H978" s="7" t="s">
        <v>302</v>
      </c>
    </row>
    <row r="979">
      <c r="H979" s="7" t="s">
        <v>302</v>
      </c>
    </row>
    <row r="980">
      <c r="H980" s="7" t="s">
        <v>302</v>
      </c>
    </row>
    <row r="981">
      <c r="H981" s="7" t="s">
        <v>302</v>
      </c>
    </row>
    <row r="982">
      <c r="H982" s="7" t="s">
        <v>302</v>
      </c>
    </row>
    <row r="983">
      <c r="H983" s="7" t="s">
        <v>302</v>
      </c>
    </row>
    <row r="984">
      <c r="H984" s="7" t="s">
        <v>302</v>
      </c>
    </row>
    <row r="985">
      <c r="H985" s="7" t="s">
        <v>302</v>
      </c>
    </row>
    <row r="986">
      <c r="H986" s="7" t="s">
        <v>302</v>
      </c>
    </row>
    <row r="987">
      <c r="H987" s="7" t="s">
        <v>302</v>
      </c>
    </row>
    <row r="988">
      <c r="H988" s="7" t="s">
        <v>302</v>
      </c>
    </row>
    <row r="989">
      <c r="H989" s="7" t="s">
        <v>302</v>
      </c>
    </row>
    <row r="990">
      <c r="H990" s="7" t="s">
        <v>302</v>
      </c>
    </row>
    <row r="991">
      <c r="H991" s="7" t="s">
        <v>302</v>
      </c>
    </row>
    <row r="992">
      <c r="H992" s="7" t="s">
        <v>302</v>
      </c>
    </row>
    <row r="993">
      <c r="H993" s="7" t="s">
        <v>302</v>
      </c>
    </row>
    <row r="994">
      <c r="H994" s="7" t="s">
        <v>302</v>
      </c>
    </row>
    <row r="995">
      <c r="H995" s="7" t="s">
        <v>302</v>
      </c>
    </row>
    <row r="996">
      <c r="H996" s="7" t="s">
        <v>302</v>
      </c>
    </row>
    <row r="997">
      <c r="H997" s="7" t="s">
        <v>302</v>
      </c>
    </row>
    <row r="998">
      <c r="H998" s="7" t="s">
        <v>302</v>
      </c>
    </row>
    <row r="999">
      <c r="H999" s="7" t="s">
        <v>302</v>
      </c>
    </row>
    <row r="1000">
      <c r="H1000" s="7" t="s">
        <v>302</v>
      </c>
    </row>
    <row r="1001">
      <c r="H1001" s="7" t="s">
        <v>302</v>
      </c>
    </row>
  </sheetData>
  <autoFilter ref="$A$1:$D$1001">
    <sortState ref="A1:D1001">
      <sortCondition ref="A1:A1001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sheetData>
    <row r="1">
      <c r="A1" s="44" t="s">
        <v>331</v>
      </c>
      <c r="B1" s="44" t="s">
        <v>332</v>
      </c>
      <c r="C1" s="44" t="s">
        <v>333</v>
      </c>
      <c r="D1" s="44" t="s">
        <v>334</v>
      </c>
      <c r="E1" s="44" t="s">
        <v>335</v>
      </c>
      <c r="F1" s="44" t="s">
        <v>336</v>
      </c>
      <c r="G1" s="44" t="s">
        <v>337</v>
      </c>
      <c r="H1" s="44" t="s">
        <v>338</v>
      </c>
      <c r="I1" s="44" t="s">
        <v>339</v>
      </c>
      <c r="J1" s="44" t="s">
        <v>340</v>
      </c>
      <c r="K1" s="44" t="s">
        <v>341</v>
      </c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>
      <c r="A2" s="46" t="s">
        <v>1</v>
      </c>
      <c r="B2" s="46" t="str">
        <f>IFERROR(__xludf.DUMMYFUNCTION("REGEXEXTRACT(A2,""\d\d\d\d"")"),"2009")</f>
        <v>2009</v>
      </c>
      <c r="C2" s="46" t="s">
        <v>343</v>
      </c>
      <c r="D2" s="46"/>
      <c r="E2" s="46"/>
      <c r="F2" s="46"/>
      <c r="G2" s="46"/>
      <c r="H2" s="46"/>
      <c r="I2" s="47"/>
      <c r="J2" s="46"/>
      <c r="K2" s="46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>
      <c r="A3" s="46" t="s">
        <v>25</v>
      </c>
      <c r="B3" s="46" t="str">
        <f>IFERROR(__xludf.DUMMYFUNCTION("REGEXEXTRACT(A3,""\d\d\d\d"")"),"2004")</f>
        <v>2004</v>
      </c>
      <c r="C3" s="46" t="s">
        <v>343</v>
      </c>
      <c r="D3" s="47"/>
      <c r="E3" s="46"/>
      <c r="F3" s="46"/>
      <c r="G3" s="46"/>
      <c r="H3" s="46"/>
      <c r="I3" s="47"/>
      <c r="J3" s="46"/>
      <c r="K3" s="46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>
      <c r="A4" s="48" t="s">
        <v>29</v>
      </c>
      <c r="B4" s="46" t="str">
        <f>IFERROR(__xludf.DUMMYFUNCTION("REGEXEXTRACT(A4,""\d\d\d\d"")"),"2009")</f>
        <v>2009</v>
      </c>
      <c r="C4" s="46" t="s">
        <v>343</v>
      </c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>
      <c r="A5" s="48" t="s">
        <v>31</v>
      </c>
      <c r="B5" s="46" t="str">
        <f>IFERROR(__xludf.DUMMYFUNCTION("REGEXEXTRACT(A5,""\d\d\d\d"")"),"2016")</f>
        <v>2016</v>
      </c>
      <c r="C5" s="46" t="s">
        <v>343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>
      <c r="A6" s="48" t="s">
        <v>34</v>
      </c>
      <c r="B6" s="46" t="str">
        <f>IFERROR(__xludf.DUMMYFUNCTION("REGEXEXTRACT(A6,""\d\d\d\d"")"),"2001")</f>
        <v>2001</v>
      </c>
      <c r="C6" s="46" t="s">
        <v>343</v>
      </c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>
      <c r="A7" s="48" t="s">
        <v>37</v>
      </c>
      <c r="B7" s="46" t="str">
        <f>IFERROR(__xludf.DUMMYFUNCTION("REGEXEXTRACT(A7,""\d\d\d\d"")"),"2023")</f>
        <v>2023</v>
      </c>
      <c r="C7" s="46" t="s">
        <v>343</v>
      </c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>
      <c r="A8" s="48" t="s">
        <v>39</v>
      </c>
      <c r="B8" s="46" t="str">
        <f>IFERROR(__xludf.DUMMYFUNCTION("REGEXEXTRACT(A8,""\d\d\d\d"")"),"2001")</f>
        <v>2001</v>
      </c>
      <c r="C8" s="46" t="s">
        <v>343</v>
      </c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>
      <c r="A9" s="48" t="s">
        <v>40</v>
      </c>
      <c r="B9" s="46" t="str">
        <f>IFERROR(__xludf.DUMMYFUNCTION("REGEXEXTRACT(A9,""\d\d\d\d"")"),"2014")</f>
        <v>2014</v>
      </c>
      <c r="C9" s="46" t="s">
        <v>343</v>
      </c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>
      <c r="A10" s="48" t="s">
        <v>42</v>
      </c>
      <c r="B10" s="46" t="str">
        <f>IFERROR(__xludf.DUMMYFUNCTION("REGEXEXTRACT(A10,""\d\d\d\d"")"),"2020")</f>
        <v>2020</v>
      </c>
      <c r="C10" s="46" t="s">
        <v>343</v>
      </c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>
      <c r="A11" s="48" t="s">
        <v>47</v>
      </c>
      <c r="B11" s="46" t="str">
        <f>IFERROR(__xludf.DUMMYFUNCTION("REGEXEXTRACT(A11,""\d\d\d\d"")"),"2002")</f>
        <v>2002</v>
      </c>
      <c r="C11" s="46" t="s">
        <v>343</v>
      </c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>
      <c r="A12" s="48" t="s">
        <v>51</v>
      </c>
      <c r="B12" s="46" t="str">
        <f>IFERROR(__xludf.DUMMYFUNCTION("REGEXEXTRACT(A12,""\d\d\d\d"")"),"2018")</f>
        <v>2018</v>
      </c>
      <c r="C12" s="46" t="s">
        <v>343</v>
      </c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>
      <c r="A13" s="48" t="s">
        <v>57</v>
      </c>
      <c r="B13" s="46" t="str">
        <f>IFERROR(__xludf.DUMMYFUNCTION("REGEXEXTRACT(A13,""\d\d\d\d"")"),"2016")</f>
        <v>2016</v>
      </c>
      <c r="C13" s="46" t="s">
        <v>343</v>
      </c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>
      <c r="A14" s="48" t="s">
        <v>64</v>
      </c>
      <c r="B14" s="46" t="str">
        <f>IFERROR(__xludf.DUMMYFUNCTION("REGEXEXTRACT(A14,""\d\d\d\d"")"),"2015")</f>
        <v>2015</v>
      </c>
      <c r="C14" s="46" t="s">
        <v>343</v>
      </c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>
      <c r="A15" s="48" t="s">
        <v>70</v>
      </c>
      <c r="B15" s="46" t="str">
        <f>IFERROR(__xludf.DUMMYFUNCTION("REGEXEXTRACT(A15,""\d\d\d\d"")"),"2025")</f>
        <v>2025</v>
      </c>
      <c r="C15" s="46" t="s">
        <v>343</v>
      </c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>
      <c r="A16" s="48" t="s">
        <v>72</v>
      </c>
      <c r="B16" s="46" t="str">
        <f>IFERROR(__xludf.DUMMYFUNCTION("REGEXEXTRACT(A16,""\d\d\d\d"")"),"2024")</f>
        <v>2024</v>
      </c>
      <c r="C16" s="46" t="s">
        <v>343</v>
      </c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>
      <c r="A17" s="48" t="s">
        <v>75</v>
      </c>
      <c r="B17" s="46" t="str">
        <f>IFERROR(__xludf.DUMMYFUNCTION("REGEXEXTRACT(A17,""\d\d\d\d"")"),"2025")</f>
        <v>2025</v>
      </c>
      <c r="C17" s="46" t="s">
        <v>343</v>
      </c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>
      <c r="A18" s="48" t="s">
        <v>79</v>
      </c>
      <c r="B18" s="46" t="str">
        <f>IFERROR(__xludf.DUMMYFUNCTION("REGEXEXTRACT(A18,""\d\d\d\d"")"),"2022")</f>
        <v>2022</v>
      </c>
      <c r="C18" s="46" t="s">
        <v>343</v>
      </c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>
      <c r="A19" s="48" t="s">
        <v>81</v>
      </c>
      <c r="B19" s="46" t="str">
        <f>IFERROR(__xludf.DUMMYFUNCTION("REGEXEXTRACT(A19,""\d\d\d\d"")"),"2003")</f>
        <v>2003</v>
      </c>
      <c r="C19" s="46" t="s">
        <v>343</v>
      </c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>
      <c r="A20" s="48" t="s">
        <v>84</v>
      </c>
      <c r="B20" s="46" t="str">
        <f>IFERROR(__xludf.DUMMYFUNCTION("REGEXEXTRACT(A20,""\d\d\d\d"")"),"2006")</f>
        <v>2006</v>
      </c>
      <c r="C20" s="46" t="s">
        <v>343</v>
      </c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>
      <c r="A21" s="48" t="s">
        <v>86</v>
      </c>
      <c r="B21" s="46" t="str">
        <f>IFERROR(__xludf.DUMMYFUNCTION("REGEXEXTRACT(A21,""\d\d\d\d"")"),"2003")</f>
        <v>2003</v>
      </c>
      <c r="C21" s="46" t="s">
        <v>343</v>
      </c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>
      <c r="A22" s="48" t="s">
        <v>90</v>
      </c>
      <c r="B22" s="46" t="str">
        <f>IFERROR(__xludf.DUMMYFUNCTION("REGEXEXTRACT(A22,""\d\d\d\d"")"),"2007")</f>
        <v>2007</v>
      </c>
      <c r="C22" s="46" t="s">
        <v>343</v>
      </c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>
      <c r="A23" s="48" t="s">
        <v>91</v>
      </c>
      <c r="B23" s="46" t="str">
        <f>IFERROR(__xludf.DUMMYFUNCTION("REGEXEXTRACT(A23,""\d\d\d\d"")"),"2013")</f>
        <v>2013</v>
      </c>
      <c r="C23" s="46" t="s">
        <v>343</v>
      </c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>
      <c r="A24" s="48" t="s">
        <v>93</v>
      </c>
      <c r="B24" s="46" t="str">
        <f>IFERROR(__xludf.DUMMYFUNCTION("REGEXEXTRACT(A24,""\d\d\d\d"")"),"2006")</f>
        <v>2006</v>
      </c>
      <c r="C24" s="46" t="s">
        <v>343</v>
      </c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>
      <c r="A25" s="48" t="s">
        <v>97</v>
      </c>
      <c r="B25" s="46" t="str">
        <f>IFERROR(__xludf.DUMMYFUNCTION("REGEXEXTRACT(A25,""\d\d\d\d"")"),"2021")</f>
        <v>2021</v>
      </c>
      <c r="C25" s="46" t="s">
        <v>343</v>
      </c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>
      <c r="A26" s="48" t="s">
        <v>99</v>
      </c>
      <c r="B26" s="46" t="str">
        <f>IFERROR(__xludf.DUMMYFUNCTION("REGEXEXTRACT(A26,""\d\d\d\d"")"),"2006")</f>
        <v>2006</v>
      </c>
      <c r="C26" s="46" t="s">
        <v>343</v>
      </c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>
      <c r="A27" s="48" t="s">
        <v>103</v>
      </c>
      <c r="B27" s="46" t="str">
        <f>IFERROR(__xludf.DUMMYFUNCTION("REGEXEXTRACT(A27,""\d\d\d\d"")"),"2010")</f>
        <v>2010</v>
      </c>
      <c r="C27" s="46" t="s">
        <v>343</v>
      </c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>
      <c r="A28" s="48" t="s">
        <v>105</v>
      </c>
      <c r="B28" s="46" t="str">
        <f>IFERROR(__xludf.DUMMYFUNCTION("REGEXEXTRACT(A28,""\d\d\d\d"")"),"2010")</f>
        <v>2010</v>
      </c>
      <c r="C28" s="46" t="s">
        <v>343</v>
      </c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>
      <c r="A29" s="48" t="s">
        <v>107</v>
      </c>
      <c r="B29" s="46" t="str">
        <f>IFERROR(__xludf.DUMMYFUNCTION("REGEXEXTRACT(A29,""\d\d\d\d"")"),"2022")</f>
        <v>2022</v>
      </c>
      <c r="C29" s="46" t="s">
        <v>343</v>
      </c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>
      <c r="A30" s="48" t="s">
        <v>110</v>
      </c>
      <c r="B30" s="46" t="str">
        <f>IFERROR(__xludf.DUMMYFUNCTION("REGEXEXTRACT(A30,""\d\d\d\d"")"),"2005")</f>
        <v>2005</v>
      </c>
      <c r="C30" s="46" t="s">
        <v>343</v>
      </c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>
      <c r="A31" s="48" t="s">
        <v>113</v>
      </c>
      <c r="B31" s="46" t="str">
        <f>IFERROR(__xludf.DUMMYFUNCTION("REGEXEXTRACT(A31,""\d\d\d\d"")"),"2017")</f>
        <v>2017</v>
      </c>
      <c r="C31" s="46" t="s">
        <v>343</v>
      </c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>
      <c r="A32" s="48" t="s">
        <v>115</v>
      </c>
      <c r="B32" s="46" t="str">
        <f>IFERROR(__xludf.DUMMYFUNCTION("REGEXEXTRACT(A32,""\d\d\d\d"")"),"2003")</f>
        <v>2003</v>
      </c>
      <c r="C32" s="46" t="s">
        <v>343</v>
      </c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>
      <c r="A33" s="48" t="s">
        <v>117</v>
      </c>
      <c r="B33" s="46" t="str">
        <f>IFERROR(__xludf.DUMMYFUNCTION("REGEXEXTRACT(A33,""\d\d\d\d"")"),"2015")</f>
        <v>2015</v>
      </c>
      <c r="C33" s="46" t="s">
        <v>343</v>
      </c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>
      <c r="A34" s="48" t="s">
        <v>119</v>
      </c>
      <c r="B34" s="46" t="str">
        <f>IFERROR(__xludf.DUMMYFUNCTION("REGEXEXTRACT(A34,""\d\d\d\d"")"),"2022")</f>
        <v>2022</v>
      </c>
      <c r="C34" s="46" t="s">
        <v>343</v>
      </c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>
      <c r="A35" s="48" t="s">
        <v>121</v>
      </c>
      <c r="B35" s="46" t="str">
        <f>IFERROR(__xludf.DUMMYFUNCTION("REGEXEXTRACT(A35,""\d\d\d\d"")"),"2016")</f>
        <v>2016</v>
      </c>
      <c r="C35" s="46" t="s">
        <v>343</v>
      </c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>
      <c r="A36" s="48" t="s">
        <v>124</v>
      </c>
      <c r="B36" s="46" t="str">
        <f>IFERROR(__xludf.DUMMYFUNCTION("REGEXEXTRACT(A36,""\d\d\d\d"")"),"2009")</f>
        <v>2009</v>
      </c>
      <c r="C36" s="46" t="s">
        <v>343</v>
      </c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>
      <c r="A37" s="48" t="s">
        <v>127</v>
      </c>
      <c r="B37" s="46" t="str">
        <f>IFERROR(__xludf.DUMMYFUNCTION("REGEXEXTRACT(A37,""\d\d\d\d"")"),"2012")</f>
        <v>2012</v>
      </c>
      <c r="C37" s="46" t="s">
        <v>343</v>
      </c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>
      <c r="A38" s="48" t="s">
        <v>128</v>
      </c>
      <c r="B38" s="46" t="str">
        <f>IFERROR(__xludf.DUMMYFUNCTION("REGEXEXTRACT(A38,""\d\d\d\d"")"),"2005")</f>
        <v>2005</v>
      </c>
      <c r="C38" s="46" t="s">
        <v>343</v>
      </c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>
      <c r="A39" s="48" t="s">
        <v>129</v>
      </c>
      <c r="B39" s="46" t="str">
        <f>IFERROR(__xludf.DUMMYFUNCTION("REGEXEXTRACT(A39,""\d\d\d\d"")"),"2014")</f>
        <v>2014</v>
      </c>
      <c r="C39" s="46" t="s">
        <v>343</v>
      </c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>
      <c r="A40" s="48" t="s">
        <v>132</v>
      </c>
      <c r="B40" s="46" t="str">
        <f>IFERROR(__xludf.DUMMYFUNCTION("REGEXEXTRACT(A40,""\d\d\d\d"")"),"2015")</f>
        <v>2015</v>
      </c>
      <c r="C40" s="46" t="s">
        <v>343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>
      <c r="A41" s="48" t="s">
        <v>133</v>
      </c>
      <c r="B41" s="46" t="str">
        <f>IFERROR(__xludf.DUMMYFUNCTION("REGEXEXTRACT(A41,""\d\d\d\d"")"),"2007")</f>
        <v>2007</v>
      </c>
      <c r="C41" s="46" t="s">
        <v>343</v>
      </c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>
      <c r="A42" s="48" t="s">
        <v>138</v>
      </c>
      <c r="B42" s="46" t="str">
        <f>IFERROR(__xludf.DUMMYFUNCTION("REGEXEXTRACT(A42,""\d\d\d\d"")"),"2020")</f>
        <v>2020</v>
      </c>
      <c r="C42" s="46" t="s">
        <v>343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>
      <c r="A43" s="48" t="s">
        <v>141</v>
      </c>
      <c r="B43" s="46" t="str">
        <f>IFERROR(__xludf.DUMMYFUNCTION("REGEXEXTRACT(A43,""\d\d\d\d"")"),"2025")</f>
        <v>2025</v>
      </c>
      <c r="C43" s="46" t="s">
        <v>343</v>
      </c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>
      <c r="A44" s="48" t="s">
        <v>145</v>
      </c>
      <c r="B44" s="46" t="str">
        <f>IFERROR(__xludf.DUMMYFUNCTION("REGEXEXTRACT(A44,""\d\d\d\d"")"),"2012")</f>
        <v>2012</v>
      </c>
      <c r="C44" s="46" t="s">
        <v>343</v>
      </c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>
      <c r="A45" s="48" t="s">
        <v>147</v>
      </c>
      <c r="B45" s="46" t="str">
        <f>IFERROR(__xludf.DUMMYFUNCTION("REGEXEXTRACT(A45,""\d\d\d\d"")"),"2014")</f>
        <v>2014</v>
      </c>
      <c r="C45" s="46" t="s">
        <v>343</v>
      </c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>
      <c r="A46" s="48" t="s">
        <v>150</v>
      </c>
      <c r="B46" s="46" t="str">
        <f>IFERROR(__xludf.DUMMYFUNCTION("REGEXEXTRACT(A46,""\d\d\d\d"")"),"2007")</f>
        <v>2007</v>
      </c>
      <c r="C46" s="46" t="s">
        <v>343</v>
      </c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>
      <c r="A47" s="48" t="s">
        <v>153</v>
      </c>
      <c r="B47" s="46" t="str">
        <f>IFERROR(__xludf.DUMMYFUNCTION("REGEXEXTRACT(A47,""\d\d\d\d"")"),"2026")</f>
        <v>2026</v>
      </c>
      <c r="C47" s="46" t="s">
        <v>343</v>
      </c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>
      <c r="A48" s="48" t="s">
        <v>155</v>
      </c>
      <c r="B48" s="46" t="str">
        <f>IFERROR(__xludf.DUMMYFUNCTION("REGEXEXTRACT(A48,""\d\d\d\d"")"),"2006")</f>
        <v>2006</v>
      </c>
      <c r="C48" s="46" t="s">
        <v>343</v>
      </c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>
      <c r="A49" s="48" t="s">
        <v>157</v>
      </c>
      <c r="B49" s="46" t="str">
        <f>IFERROR(__xludf.DUMMYFUNCTION("REGEXEXTRACT(A49,""\d\d\d\d"")"),"2016")</f>
        <v>2016</v>
      </c>
      <c r="C49" s="46" t="s">
        <v>343</v>
      </c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>
      <c r="A50" s="48" t="s">
        <v>161</v>
      </c>
      <c r="B50" s="46" t="str">
        <f>IFERROR(__xludf.DUMMYFUNCTION("REGEXEXTRACT(A50,""\d\d\d\d"")"),"2019")</f>
        <v>2019</v>
      </c>
      <c r="C50" s="46" t="s">
        <v>343</v>
      </c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>
      <c r="A51" s="48" t="s">
        <v>164</v>
      </c>
      <c r="B51" s="46" t="str">
        <f>IFERROR(__xludf.DUMMYFUNCTION("REGEXEXTRACT(A51,""\d\d\d\d"")"),"2010")</f>
        <v>2010</v>
      </c>
      <c r="C51" s="46" t="s">
        <v>343</v>
      </c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>
      <c r="A52" s="48" t="s">
        <v>166</v>
      </c>
      <c r="B52" s="46" t="str">
        <f>IFERROR(__xludf.DUMMYFUNCTION("REGEXEXTRACT(A52,""\d\d\d\d"")"),"2011")</f>
        <v>2011</v>
      </c>
      <c r="C52" s="46" t="s">
        <v>343</v>
      </c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>
      <c r="A53" s="48" t="s">
        <v>169</v>
      </c>
      <c r="B53" s="46" t="str">
        <f>IFERROR(__xludf.DUMMYFUNCTION("REGEXEXTRACT(A53,""\d\d\d\d"")"),"1996")</f>
        <v>1996</v>
      </c>
      <c r="C53" s="46" t="s">
        <v>343</v>
      </c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>
      <c r="A54" s="48" t="s">
        <v>171</v>
      </c>
      <c r="B54" s="46" t="str">
        <f>IFERROR(__xludf.DUMMYFUNCTION("REGEXEXTRACT(A54,""\d\d\d\d"")"),"2015")</f>
        <v>2015</v>
      </c>
      <c r="C54" s="46" t="s">
        <v>343</v>
      </c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>
      <c r="A55" s="48" t="s">
        <v>174</v>
      </c>
      <c r="B55" s="46" t="str">
        <f>IFERROR(__xludf.DUMMYFUNCTION("REGEXEXTRACT(A55,""\d\d\d\d"")"),"2007")</f>
        <v>2007</v>
      </c>
      <c r="C55" s="46" t="s">
        <v>343</v>
      </c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>
      <c r="A56" s="48" t="s">
        <v>176</v>
      </c>
      <c r="B56" s="46" t="str">
        <f>IFERROR(__xludf.DUMMYFUNCTION("REGEXEXTRACT(A56,""\d\d\d\d"")"),"2024")</f>
        <v>2024</v>
      </c>
      <c r="C56" s="46" t="s">
        <v>343</v>
      </c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>
      <c r="A57" s="48" t="s">
        <v>178</v>
      </c>
      <c r="B57" s="46" t="str">
        <f>IFERROR(__xludf.DUMMYFUNCTION("REGEXEXTRACT(A57,""\d\d\d\d"")"),"2018")</f>
        <v>2018</v>
      </c>
      <c r="C57" s="46" t="s">
        <v>343</v>
      </c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>
      <c r="A58" s="48" t="s">
        <v>180</v>
      </c>
      <c r="B58" s="46" t="str">
        <f>IFERROR(__xludf.DUMMYFUNCTION("REGEXEXTRACT(A58,""\d\d\d\d"")"),"2020")</f>
        <v>2020</v>
      </c>
      <c r="C58" s="46" t="s">
        <v>343</v>
      </c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>
      <c r="A59" s="48" t="s">
        <v>181</v>
      </c>
      <c r="B59" s="46" t="str">
        <f>IFERROR(__xludf.DUMMYFUNCTION("REGEXEXTRACT(A59,""\d\d\d\d"")"),"2020")</f>
        <v>2020</v>
      </c>
      <c r="C59" s="46" t="s">
        <v>343</v>
      </c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>
      <c r="A60" s="48" t="s">
        <v>186</v>
      </c>
      <c r="B60" s="46" t="str">
        <f>IFERROR(__xludf.DUMMYFUNCTION("REGEXEXTRACT(A60,""\d\d\d\d"")"),"2020")</f>
        <v>2020</v>
      </c>
      <c r="C60" s="46" t="s">
        <v>343</v>
      </c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>
      <c r="A61" s="48" t="s">
        <v>189</v>
      </c>
      <c r="B61" s="46" t="str">
        <f>IFERROR(__xludf.DUMMYFUNCTION("REGEXEXTRACT(A61,""\d\d\d\d"")"),"2026")</f>
        <v>2026</v>
      </c>
      <c r="C61" s="46" t="s">
        <v>343</v>
      </c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>
      <c r="A62" s="48" t="s">
        <v>190</v>
      </c>
      <c r="B62" s="46" t="str">
        <f>IFERROR(__xludf.DUMMYFUNCTION("REGEXEXTRACT(A62,""\d\d\d\d"")"),"2023")</f>
        <v>2023</v>
      </c>
      <c r="C62" s="46" t="s">
        <v>343</v>
      </c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>
      <c r="A63" s="48" t="s">
        <v>192</v>
      </c>
      <c r="B63" s="46" t="str">
        <f>IFERROR(__xludf.DUMMYFUNCTION("REGEXEXTRACT(A63,""\d\d\d\d"")"),"2009")</f>
        <v>2009</v>
      </c>
      <c r="C63" s="46" t="s">
        <v>343</v>
      </c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>
      <c r="A64" s="48" t="s">
        <v>194</v>
      </c>
      <c r="B64" s="46" t="str">
        <f>IFERROR(__xludf.DUMMYFUNCTION("REGEXEXTRACT(A64,""\d\d\d\d"")"),"2020")</f>
        <v>2020</v>
      </c>
      <c r="C64" s="46" t="s">
        <v>343</v>
      </c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>
      <c r="A65" s="48" t="s">
        <v>196</v>
      </c>
      <c r="B65" s="46" t="str">
        <f>IFERROR(__xludf.DUMMYFUNCTION("REGEXEXTRACT(A65,""\d\d\d\d"")"),"2001")</f>
        <v>2001</v>
      </c>
      <c r="C65" s="46" t="s">
        <v>343</v>
      </c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>
      <c r="A66" s="48" t="s">
        <v>197</v>
      </c>
      <c r="B66" s="46" t="str">
        <f>IFERROR(__xludf.DUMMYFUNCTION("REGEXEXTRACT(A66,""\d\d\d\d"")"),"2011")</f>
        <v>2011</v>
      </c>
      <c r="C66" s="46" t="s">
        <v>343</v>
      </c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>
      <c r="A67" s="48" t="s">
        <v>200</v>
      </c>
      <c r="B67" s="46" t="str">
        <f>IFERROR(__xludf.DUMMYFUNCTION("REGEXEXTRACT(A67,""\d\d\d\d"")"),"2025")</f>
        <v>2025</v>
      </c>
      <c r="C67" s="46" t="s">
        <v>343</v>
      </c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>
      <c r="A68" s="48" t="s">
        <v>203</v>
      </c>
      <c r="B68" s="46" t="str">
        <f>IFERROR(__xludf.DUMMYFUNCTION("REGEXEXTRACT(A68,""\d\d\d\d"")"),"2017")</f>
        <v>2017</v>
      </c>
      <c r="C68" s="46" t="s">
        <v>343</v>
      </c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>
      <c r="A69" s="48" t="s">
        <v>205</v>
      </c>
      <c r="B69" s="46" t="str">
        <f>IFERROR(__xludf.DUMMYFUNCTION("REGEXEXTRACT(A69,""\d\d\d\d"")"),"2011")</f>
        <v>2011</v>
      </c>
      <c r="C69" s="46" t="s">
        <v>343</v>
      </c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5.25"/>
    <col customWidth="1" min="2" max="2" width="7.75"/>
    <col customWidth="1" min="3" max="3" width="8.13"/>
    <col customWidth="1" min="4" max="4" width="12.13"/>
    <col customWidth="1" min="5" max="5" width="4.0"/>
    <col customWidth="1" min="6" max="6" width="12.0"/>
    <col customWidth="1" min="7" max="7" width="10.13"/>
    <col customWidth="1" min="8" max="8" width="5.13"/>
    <col customWidth="1" min="9" max="9" width="3.25"/>
    <col customWidth="1" min="10" max="10" width="7.5"/>
    <col customWidth="1" min="11" max="11" width="6.5"/>
    <col customWidth="1" min="12" max="12" width="6.38"/>
    <col customWidth="1" min="13" max="13" width="5.88"/>
    <col customWidth="1" min="14" max="14" width="8.5"/>
    <col customWidth="1" min="15" max="15" width="9.75"/>
    <col customWidth="1" min="16" max="16" width="9.25"/>
    <col customWidth="1" min="17" max="17" width="4.75"/>
    <col customWidth="1" min="18" max="18" width="5.13"/>
    <col customWidth="1" min="19" max="19" width="6.5"/>
    <col customWidth="1" min="20" max="20" width="8.38"/>
  </cols>
  <sheetData>
    <row r="1">
      <c r="A1" s="3" t="s">
        <v>331</v>
      </c>
      <c r="B1" s="3" t="s">
        <v>559</v>
      </c>
      <c r="C1" s="3" t="s">
        <v>560</v>
      </c>
      <c r="D1" s="3" t="s">
        <v>561</v>
      </c>
      <c r="E1" s="3" t="s">
        <v>562</v>
      </c>
      <c r="F1" s="3" t="s">
        <v>563</v>
      </c>
      <c r="G1" s="3" t="s">
        <v>564</v>
      </c>
      <c r="H1" s="3" t="s">
        <v>565</v>
      </c>
      <c r="I1" s="3" t="s">
        <v>566</v>
      </c>
      <c r="J1" s="3" t="s">
        <v>567</v>
      </c>
      <c r="K1" s="3" t="s">
        <v>568</v>
      </c>
      <c r="L1" s="3" t="s">
        <v>569</v>
      </c>
      <c r="M1" s="3" t="s">
        <v>570</v>
      </c>
      <c r="N1" s="3" t="s">
        <v>571</v>
      </c>
      <c r="O1" s="3" t="s">
        <v>572</v>
      </c>
      <c r="P1" s="3" t="s">
        <v>573</v>
      </c>
      <c r="Q1" s="3" t="s">
        <v>574</v>
      </c>
      <c r="R1" s="3" t="s">
        <v>575</v>
      </c>
      <c r="S1" s="3" t="s">
        <v>576</v>
      </c>
      <c r="T1" s="3" t="s">
        <v>577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14.38"/>
    <col customWidth="1" min="2" max="2" width="17.0"/>
    <col customWidth="1" min="3" max="3" width="578.88"/>
  </cols>
  <sheetData>
    <row r="2">
      <c r="A2" s="7" t="str">
        <f>FUNCTION3(Sheet3!C2:C1000)</f>
        <v/>
      </c>
      <c r="C2" s="7" t="str">
        <f>FUNCTION4(Sheet3!A2:A1000,Sheet3!C2:C1000,A2:A8)</f>
        <v>#REF!</v>
      </c>
    </row>
    <row r="3">
      <c r="C3" s="7" t="e">
        <v>#REF!</v>
      </c>
    </row>
    <row r="4">
      <c r="C4" s="7" t="e">
        <v>#REF!</v>
      </c>
    </row>
    <row r="5">
      <c r="C5" s="7" t="e">
        <v>#REF!</v>
      </c>
    </row>
    <row r="6">
      <c r="C6" s="7" t="e">
        <v>#REF!</v>
      </c>
    </row>
    <row r="7">
      <c r="C7" s="7" t="e">
        <v>#REF!</v>
      </c>
    </row>
    <row r="8">
      <c r="C8" s="7" t="e">
        <v>#REF!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2.88"/>
    <col customWidth="1" min="3" max="4" width="9.13"/>
    <col customWidth="1" min="6" max="6" width="2.88"/>
  </cols>
  <sheetData>
    <row r="1">
      <c r="A1" s="58"/>
      <c r="B1" s="58"/>
      <c r="C1" s="58"/>
    </row>
    <row r="2">
      <c r="A2" s="59"/>
      <c r="B2" s="60" t="s">
        <v>578</v>
      </c>
      <c r="C2" s="61" t="s">
        <v>2</v>
      </c>
      <c r="D2" s="62"/>
      <c r="E2" s="63">
        <f>sum(F11:F15)</f>
        <v>52</v>
      </c>
    </row>
    <row r="3">
      <c r="A3" s="59"/>
      <c r="B3" s="60" t="s">
        <v>579</v>
      </c>
      <c r="C3" s="61" t="s">
        <v>9</v>
      </c>
      <c r="D3" s="62"/>
      <c r="E3" s="63">
        <f>sum(F12,F16:F19)</f>
        <v>19</v>
      </c>
    </row>
    <row r="4">
      <c r="A4" s="59"/>
      <c r="B4" s="60" t="s">
        <v>580</v>
      </c>
      <c r="C4" s="61" t="s">
        <v>10</v>
      </c>
      <c r="D4" s="62"/>
      <c r="E4" s="63">
        <f>sum(F20:F22,F16,F12)</f>
        <v>10</v>
      </c>
    </row>
    <row r="5">
      <c r="A5" s="59"/>
      <c r="B5" s="60" t="s">
        <v>581</v>
      </c>
      <c r="C5" s="61" t="s">
        <v>11</v>
      </c>
      <c r="D5" s="62"/>
      <c r="E5" s="63">
        <f>sum(F13,F17,F20,F23,F24)</f>
        <v>3</v>
      </c>
    </row>
    <row r="6">
      <c r="A6" s="59"/>
      <c r="B6" s="60" t="s">
        <v>582</v>
      </c>
      <c r="C6" s="61" t="s">
        <v>583</v>
      </c>
      <c r="D6" s="62"/>
      <c r="E6" s="63">
        <f>sum(F14,F18,F21,F23,F25)</f>
        <v>1</v>
      </c>
    </row>
    <row r="7">
      <c r="A7" s="59"/>
      <c r="B7" s="60" t="s">
        <v>584</v>
      </c>
      <c r="C7" s="61" t="s">
        <v>13</v>
      </c>
      <c r="D7" s="62"/>
      <c r="E7" s="63">
        <f>sum(F15,F19,F22,F24,F25)</f>
        <v>5</v>
      </c>
    </row>
    <row r="8">
      <c r="A8" s="59"/>
      <c r="B8" s="59"/>
      <c r="C8" s="59"/>
      <c r="D8" s="3"/>
      <c r="E8" s="58">
        <f>SUM(E2:E7)</f>
        <v>90</v>
      </c>
    </row>
    <row r="9">
      <c r="A9" s="59"/>
      <c r="B9" s="59"/>
      <c r="C9" s="59"/>
      <c r="D9" s="3"/>
    </row>
    <row r="10">
      <c r="A10" s="59"/>
      <c r="B10" s="60"/>
      <c r="C10" s="60"/>
      <c r="D10" s="64"/>
      <c r="E10" s="65"/>
      <c r="F10" s="65"/>
    </row>
    <row r="11">
      <c r="A11" s="59"/>
      <c r="B11" s="60">
        <f t="array" ref="B11:B25">row(B$1:B$15)</f>
        <v>1</v>
      </c>
      <c r="C11" s="60" t="str">
        <f t="shared" ref="C11:C25" si="1">if(F11&gt;=2,"direct", "indirect")</f>
        <v>direct</v>
      </c>
      <c r="D11" s="60" t="s">
        <v>2</v>
      </c>
      <c r="E11" s="60" t="s">
        <v>9</v>
      </c>
      <c r="F11" s="63">
        <f>IFERROR(__xludf.DUMMYFUNCTION("countif(subgroups, join("", "", D11,E11))"),48.0)</f>
        <v>48</v>
      </c>
    </row>
    <row r="12">
      <c r="A12" s="59"/>
      <c r="B12" s="60">
        <v>2.0</v>
      </c>
      <c r="C12" s="60" t="str">
        <f t="shared" si="1"/>
        <v>direct</v>
      </c>
      <c r="D12" s="60" t="s">
        <v>2</v>
      </c>
      <c r="E12" s="60" t="s">
        <v>10</v>
      </c>
      <c r="F12" s="63">
        <f>IFERROR(__xludf.DUMMYFUNCTION("countif(subgroups, join("", "", D12,E12))"),4.0)</f>
        <v>4</v>
      </c>
    </row>
    <row r="13">
      <c r="A13" s="59"/>
      <c r="B13" s="60">
        <v>3.0</v>
      </c>
      <c r="C13" s="60" t="str">
        <f t="shared" si="1"/>
        <v>indirect</v>
      </c>
      <c r="D13" s="60" t="s">
        <v>2</v>
      </c>
      <c r="E13" s="60" t="s">
        <v>11</v>
      </c>
      <c r="F13" s="63">
        <f>IFERROR(__xludf.DUMMYFUNCTION("countif(subgroups, join("", "", D13,E13))"),0.0)</f>
        <v>0</v>
      </c>
    </row>
    <row r="14">
      <c r="A14" s="59"/>
      <c r="B14" s="60">
        <v>4.0</v>
      </c>
      <c r="C14" s="60" t="str">
        <f t="shared" si="1"/>
        <v>indirect</v>
      </c>
      <c r="D14" s="60" t="s">
        <v>2</v>
      </c>
      <c r="E14" s="60" t="s">
        <v>583</v>
      </c>
      <c r="F14" s="63">
        <f>IFERROR(__xludf.DUMMYFUNCTION("countif(subgroups, join("", "", D14,E14))"),0.0)</f>
        <v>0</v>
      </c>
    </row>
    <row r="15">
      <c r="A15" s="59"/>
      <c r="B15" s="60">
        <v>5.0</v>
      </c>
      <c r="C15" s="60" t="str">
        <f t="shared" si="1"/>
        <v>indirect</v>
      </c>
      <c r="D15" s="60" t="s">
        <v>2</v>
      </c>
      <c r="E15" s="60" t="s">
        <v>13</v>
      </c>
      <c r="F15" s="63">
        <f>IFERROR(__xludf.DUMMYFUNCTION("countif(subgroups, join("", "", D15,E15))"),0.0)</f>
        <v>0</v>
      </c>
    </row>
    <row r="16">
      <c r="A16" s="59"/>
      <c r="B16" s="60">
        <v>6.0</v>
      </c>
      <c r="C16" s="60" t="str">
        <f t="shared" si="1"/>
        <v>direct</v>
      </c>
      <c r="D16" s="60" t="s">
        <v>9</v>
      </c>
      <c r="E16" s="60" t="s">
        <v>10</v>
      </c>
      <c r="F16" s="63">
        <f>IFERROR(__xludf.DUMMYFUNCTION("countif(subgroups, join("", "", D16,E16))"),6.0)</f>
        <v>6</v>
      </c>
    </row>
    <row r="17">
      <c r="A17" s="59"/>
      <c r="B17" s="60">
        <v>7.0</v>
      </c>
      <c r="C17" s="60" t="str">
        <f t="shared" si="1"/>
        <v>direct</v>
      </c>
      <c r="D17" s="60" t="s">
        <v>9</v>
      </c>
      <c r="E17" s="60" t="s">
        <v>11</v>
      </c>
      <c r="F17" s="63">
        <f>IFERROR(__xludf.DUMMYFUNCTION("countif(subgroups, join("", "", D17,E17))"),3.0)</f>
        <v>3</v>
      </c>
    </row>
    <row r="18">
      <c r="A18" s="59"/>
      <c r="B18" s="60">
        <v>8.0</v>
      </c>
      <c r="C18" s="60" t="str">
        <f t="shared" si="1"/>
        <v>indirect</v>
      </c>
      <c r="D18" s="60" t="s">
        <v>9</v>
      </c>
      <c r="E18" s="60" t="s">
        <v>583</v>
      </c>
      <c r="F18" s="63">
        <f>IFERROR(__xludf.DUMMYFUNCTION("countif(subgroups, join("", "", D18,E18))"),1.0)</f>
        <v>1</v>
      </c>
    </row>
    <row r="19">
      <c r="A19" s="59"/>
      <c r="B19" s="60">
        <v>9.0</v>
      </c>
      <c r="C19" s="60" t="str">
        <f t="shared" si="1"/>
        <v>direct</v>
      </c>
      <c r="D19" s="60" t="s">
        <v>9</v>
      </c>
      <c r="E19" s="60" t="s">
        <v>13</v>
      </c>
      <c r="F19" s="63">
        <f>IFERROR(__xludf.DUMMYFUNCTION("countif(subgroups, join("", "", D19,E19))"),5.0)</f>
        <v>5</v>
      </c>
    </row>
    <row r="20">
      <c r="A20" s="59"/>
      <c r="B20" s="60">
        <v>10.0</v>
      </c>
      <c r="C20" s="60" t="str">
        <f t="shared" si="1"/>
        <v>indirect</v>
      </c>
      <c r="D20" s="60" t="s">
        <v>10</v>
      </c>
      <c r="E20" s="60" t="s">
        <v>11</v>
      </c>
      <c r="F20" s="63">
        <f>IFERROR(__xludf.DUMMYFUNCTION("countif(subgroups, join("", "", D20,E20))"),0.0)</f>
        <v>0</v>
      </c>
    </row>
    <row r="21">
      <c r="A21" s="58"/>
      <c r="B21" s="63">
        <v>11.0</v>
      </c>
      <c r="C21" s="60" t="str">
        <f t="shared" si="1"/>
        <v>indirect</v>
      </c>
      <c r="D21" s="60" t="s">
        <v>10</v>
      </c>
      <c r="E21" s="60" t="s">
        <v>583</v>
      </c>
      <c r="F21" s="63">
        <f>IFERROR(__xludf.DUMMYFUNCTION("countif(subgroups, join("", "", D21,E21))"),0.0)</f>
        <v>0</v>
      </c>
    </row>
    <row r="22">
      <c r="A22" s="58"/>
      <c r="B22" s="63">
        <v>12.0</v>
      </c>
      <c r="C22" s="60" t="str">
        <f t="shared" si="1"/>
        <v>indirect</v>
      </c>
      <c r="D22" s="60" t="s">
        <v>10</v>
      </c>
      <c r="E22" s="60" t="s">
        <v>13</v>
      </c>
      <c r="F22" s="63">
        <f>IFERROR(__xludf.DUMMYFUNCTION("countif(subgroups, join("", "", D22,E22))"),0.0)</f>
        <v>0</v>
      </c>
    </row>
    <row r="23">
      <c r="A23" s="58"/>
      <c r="B23" s="63">
        <v>13.0</v>
      </c>
      <c r="C23" s="60" t="str">
        <f t="shared" si="1"/>
        <v>indirect</v>
      </c>
      <c r="D23" s="60" t="s">
        <v>11</v>
      </c>
      <c r="E23" s="60" t="s">
        <v>583</v>
      </c>
      <c r="F23" s="63">
        <f>IFERROR(__xludf.DUMMYFUNCTION("countif(subgroups, join("", "", D23,E23))"),0.0)</f>
        <v>0</v>
      </c>
    </row>
    <row r="24">
      <c r="A24" s="58"/>
      <c r="B24" s="63">
        <v>14.0</v>
      </c>
      <c r="C24" s="60" t="str">
        <f t="shared" si="1"/>
        <v>indirect</v>
      </c>
      <c r="D24" s="60" t="s">
        <v>11</v>
      </c>
      <c r="E24" s="60" t="s">
        <v>13</v>
      </c>
      <c r="F24" s="63">
        <f>IFERROR(__xludf.DUMMYFUNCTION("countif(subgroups, join("", "", D24,E24))"),0.0)</f>
        <v>0</v>
      </c>
    </row>
    <row r="25">
      <c r="A25" s="58"/>
      <c r="B25" s="63">
        <v>15.0</v>
      </c>
      <c r="C25" s="60" t="str">
        <f t="shared" si="1"/>
        <v>indirect</v>
      </c>
      <c r="D25" s="60" t="s">
        <v>583</v>
      </c>
      <c r="E25" s="60" t="s">
        <v>13</v>
      </c>
      <c r="F25" s="63">
        <f>IFERROR(__xludf.DUMMYFUNCTION("countif(subgroups, join("", "", D25,E25))"),0.0)</f>
        <v>0</v>
      </c>
    </row>
    <row r="26">
      <c r="A26" s="58"/>
      <c r="B26" s="58"/>
      <c r="C26" s="58"/>
      <c r="F26" s="7">
        <f>SUM(F11:F25)</f>
        <v>67</v>
      </c>
    </row>
    <row r="27">
      <c r="A27" s="58"/>
      <c r="B27" s="58"/>
      <c r="C27" s="58"/>
    </row>
    <row r="28">
      <c r="A28" s="58"/>
      <c r="B28" s="58"/>
      <c r="C28" s="58"/>
    </row>
    <row r="29">
      <c r="A29" s="58"/>
      <c r="B29" s="58"/>
      <c r="C29" s="58"/>
    </row>
    <row r="30">
      <c r="A30" s="58"/>
      <c r="B30" s="58"/>
      <c r="C30" s="58"/>
    </row>
    <row r="31">
      <c r="A31" s="58"/>
      <c r="B31" s="58"/>
      <c r="C31" s="58"/>
    </row>
    <row r="32">
      <c r="A32" s="58"/>
      <c r="B32" s="58"/>
      <c r="C32" s="58"/>
    </row>
    <row r="33">
      <c r="A33" s="58"/>
      <c r="B33" s="58"/>
      <c r="C33" s="58"/>
    </row>
    <row r="34">
      <c r="A34" s="58"/>
      <c r="B34" s="58"/>
      <c r="C34" s="58"/>
    </row>
    <row r="35">
      <c r="A35" s="58"/>
      <c r="B35" s="58"/>
      <c r="C35" s="58"/>
    </row>
    <row r="36">
      <c r="A36" s="58"/>
      <c r="B36" s="58"/>
      <c r="C36" s="58"/>
    </row>
    <row r="37">
      <c r="A37" s="58"/>
      <c r="B37" s="58"/>
      <c r="C37" s="58"/>
    </row>
    <row r="38">
      <c r="A38" s="58"/>
      <c r="B38" s="58"/>
      <c r="C38" s="58"/>
    </row>
    <row r="39">
      <c r="A39" s="58"/>
      <c r="B39" s="58"/>
      <c r="C39" s="58"/>
    </row>
    <row r="40">
      <c r="A40" s="58"/>
      <c r="B40" s="58"/>
      <c r="C40" s="58"/>
    </row>
    <row r="41">
      <c r="A41" s="58"/>
      <c r="B41" s="58"/>
      <c r="C41" s="58"/>
    </row>
    <row r="42">
      <c r="A42" s="58"/>
      <c r="B42" s="58"/>
      <c r="C42" s="58"/>
    </row>
    <row r="43">
      <c r="A43" s="58"/>
      <c r="B43" s="58"/>
      <c r="C43" s="58"/>
    </row>
    <row r="44">
      <c r="A44" s="58"/>
      <c r="B44" s="58"/>
      <c r="C44" s="58"/>
    </row>
    <row r="45">
      <c r="A45" s="58"/>
      <c r="B45" s="58"/>
      <c r="C45" s="58"/>
    </row>
    <row r="46">
      <c r="A46" s="58"/>
      <c r="B46" s="58"/>
      <c r="C46" s="58"/>
    </row>
    <row r="47">
      <c r="A47" s="58"/>
      <c r="B47" s="58"/>
      <c r="C47" s="58"/>
    </row>
    <row r="48">
      <c r="A48" s="58"/>
      <c r="B48" s="58"/>
      <c r="C48" s="58"/>
    </row>
    <row r="49">
      <c r="A49" s="58"/>
      <c r="B49" s="58"/>
      <c r="C49" s="58"/>
    </row>
    <row r="50">
      <c r="A50" s="58"/>
      <c r="B50" s="58"/>
      <c r="C50" s="58"/>
    </row>
    <row r="51">
      <c r="A51" s="58"/>
      <c r="B51" s="58"/>
      <c r="C51" s="58"/>
    </row>
    <row r="52">
      <c r="A52" s="58"/>
      <c r="B52" s="58"/>
      <c r="C52" s="58"/>
    </row>
    <row r="53">
      <c r="A53" s="58"/>
      <c r="B53" s="58"/>
      <c r="C53" s="58"/>
    </row>
    <row r="54">
      <c r="A54" s="58"/>
      <c r="B54" s="58"/>
      <c r="C54" s="58"/>
    </row>
    <row r="55">
      <c r="A55" s="58"/>
      <c r="B55" s="58"/>
      <c r="C55" s="58"/>
    </row>
    <row r="56">
      <c r="A56" s="58"/>
      <c r="B56" s="58"/>
      <c r="C56" s="58"/>
    </row>
    <row r="57">
      <c r="A57" s="58"/>
      <c r="B57" s="58"/>
      <c r="C57" s="58"/>
    </row>
    <row r="58">
      <c r="A58" s="58"/>
      <c r="B58" s="58"/>
      <c r="C58" s="58"/>
    </row>
    <row r="59">
      <c r="A59" s="58"/>
      <c r="B59" s="58"/>
      <c r="C59" s="58"/>
    </row>
    <row r="60">
      <c r="A60" s="58"/>
      <c r="B60" s="58"/>
      <c r="C60" s="58"/>
    </row>
    <row r="61">
      <c r="A61" s="58"/>
      <c r="B61" s="58"/>
      <c r="C61" s="58"/>
    </row>
    <row r="62">
      <c r="A62" s="58"/>
      <c r="B62" s="58"/>
      <c r="C62" s="58"/>
    </row>
    <row r="63">
      <c r="A63" s="58"/>
      <c r="B63" s="58"/>
      <c r="C63" s="58"/>
    </row>
    <row r="64">
      <c r="A64" s="58"/>
      <c r="B64" s="58"/>
      <c r="C64" s="58"/>
    </row>
    <row r="65">
      <c r="A65" s="58"/>
      <c r="B65" s="58"/>
      <c r="C65" s="58"/>
    </row>
    <row r="66">
      <c r="A66" s="58"/>
      <c r="B66" s="58"/>
      <c r="C66" s="58"/>
    </row>
    <row r="67">
      <c r="A67" s="58"/>
      <c r="B67" s="58"/>
      <c r="C67" s="58"/>
    </row>
    <row r="68">
      <c r="A68" s="58"/>
      <c r="B68" s="58"/>
      <c r="C68" s="58"/>
    </row>
    <row r="69">
      <c r="A69" s="58"/>
      <c r="B69" s="58"/>
      <c r="C69" s="58"/>
    </row>
    <row r="70">
      <c r="A70" s="58"/>
      <c r="B70" s="58"/>
      <c r="C70" s="58"/>
    </row>
    <row r="71">
      <c r="A71" s="58"/>
      <c r="B71" s="58"/>
      <c r="C71" s="58"/>
    </row>
    <row r="72">
      <c r="A72" s="58"/>
      <c r="B72" s="58"/>
      <c r="C72" s="58"/>
    </row>
    <row r="73">
      <c r="A73" s="58"/>
      <c r="B73" s="58"/>
      <c r="C73" s="58"/>
    </row>
    <row r="74">
      <c r="A74" s="58"/>
      <c r="B74" s="58"/>
      <c r="C74" s="58"/>
    </row>
    <row r="75">
      <c r="A75" s="58"/>
      <c r="B75" s="58"/>
      <c r="C75" s="58"/>
    </row>
    <row r="76">
      <c r="A76" s="58"/>
      <c r="B76" s="58"/>
      <c r="C76" s="58"/>
    </row>
    <row r="77">
      <c r="A77" s="58"/>
      <c r="B77" s="58"/>
      <c r="C77" s="58"/>
    </row>
    <row r="78">
      <c r="A78" s="58"/>
      <c r="B78" s="58"/>
      <c r="C78" s="58"/>
    </row>
    <row r="79">
      <c r="A79" s="58"/>
      <c r="B79" s="58"/>
      <c r="C79" s="58"/>
    </row>
    <row r="80">
      <c r="A80" s="58"/>
      <c r="B80" s="58"/>
      <c r="C80" s="58"/>
    </row>
    <row r="81">
      <c r="A81" s="58"/>
      <c r="B81" s="58"/>
      <c r="C81" s="58"/>
    </row>
    <row r="82">
      <c r="A82" s="58"/>
      <c r="B82" s="58"/>
      <c r="C82" s="58"/>
    </row>
    <row r="83">
      <c r="A83" s="58"/>
      <c r="B83" s="58"/>
      <c r="C83" s="58"/>
    </row>
    <row r="84">
      <c r="A84" s="58"/>
      <c r="B84" s="58"/>
      <c r="C84" s="58"/>
    </row>
    <row r="85">
      <c r="A85" s="58"/>
      <c r="B85" s="58"/>
      <c r="C85" s="58"/>
    </row>
    <row r="86">
      <c r="A86" s="58"/>
      <c r="B86" s="58"/>
      <c r="C86" s="58"/>
    </row>
    <row r="87">
      <c r="A87" s="58"/>
      <c r="B87" s="58"/>
      <c r="C87" s="58"/>
    </row>
    <row r="88">
      <c r="A88" s="58"/>
      <c r="B88" s="58"/>
      <c r="C88" s="58"/>
    </row>
    <row r="89">
      <c r="A89" s="58"/>
      <c r="B89" s="58"/>
      <c r="C89" s="58"/>
    </row>
    <row r="90">
      <c r="A90" s="58"/>
      <c r="B90" s="58"/>
      <c r="C90" s="58"/>
    </row>
    <row r="91">
      <c r="A91" s="58"/>
      <c r="B91" s="58"/>
      <c r="C91" s="58"/>
    </row>
    <row r="92">
      <c r="A92" s="58"/>
      <c r="B92" s="58"/>
      <c r="C92" s="58"/>
    </row>
    <row r="93">
      <c r="A93" s="58"/>
      <c r="B93" s="58"/>
      <c r="C93" s="58"/>
    </row>
    <row r="94">
      <c r="A94" s="58"/>
      <c r="B94" s="58"/>
      <c r="C94" s="58"/>
    </row>
    <row r="95">
      <c r="A95" s="58"/>
      <c r="B95" s="58"/>
      <c r="C95" s="58"/>
    </row>
    <row r="96">
      <c r="A96" s="58"/>
      <c r="B96" s="58"/>
      <c r="C96" s="58"/>
    </row>
    <row r="97">
      <c r="A97" s="58"/>
      <c r="B97" s="58"/>
      <c r="C97" s="58"/>
    </row>
    <row r="98">
      <c r="A98" s="58"/>
      <c r="B98" s="58"/>
      <c r="C98" s="58"/>
    </row>
    <row r="99">
      <c r="A99" s="58"/>
      <c r="B99" s="58"/>
      <c r="C99" s="58"/>
    </row>
    <row r="100">
      <c r="A100" s="58"/>
      <c r="B100" s="58"/>
      <c r="C100" s="58"/>
    </row>
    <row r="101">
      <c r="A101" s="58"/>
      <c r="B101" s="58"/>
      <c r="C101" s="58"/>
    </row>
    <row r="102">
      <c r="A102" s="58"/>
      <c r="B102" s="58"/>
      <c r="C102" s="58"/>
    </row>
    <row r="103">
      <c r="A103" s="58"/>
      <c r="B103" s="58"/>
      <c r="C103" s="58"/>
    </row>
    <row r="104">
      <c r="A104" s="58"/>
      <c r="B104" s="58"/>
      <c r="C104" s="58"/>
    </row>
    <row r="105">
      <c r="A105" s="58"/>
      <c r="B105" s="58"/>
      <c r="C105" s="58"/>
    </row>
    <row r="106">
      <c r="A106" s="58"/>
      <c r="B106" s="58"/>
      <c r="C106" s="58"/>
    </row>
    <row r="107">
      <c r="A107" s="58"/>
      <c r="B107" s="58"/>
      <c r="C107" s="58"/>
    </row>
    <row r="108">
      <c r="A108" s="58"/>
      <c r="B108" s="58"/>
      <c r="C108" s="58"/>
    </row>
    <row r="109">
      <c r="A109" s="58"/>
      <c r="B109" s="58"/>
      <c r="C109" s="58"/>
    </row>
    <row r="110">
      <c r="A110" s="58"/>
      <c r="B110" s="58"/>
      <c r="C110" s="58"/>
    </row>
    <row r="111">
      <c r="A111" s="58"/>
      <c r="B111" s="58"/>
      <c r="C111" s="58"/>
    </row>
    <row r="112">
      <c r="A112" s="58"/>
      <c r="B112" s="58"/>
      <c r="C112" s="58"/>
    </row>
    <row r="113">
      <c r="A113" s="58"/>
      <c r="B113" s="58"/>
      <c r="C113" s="58"/>
    </row>
    <row r="114">
      <c r="A114" s="58"/>
      <c r="B114" s="58"/>
      <c r="C114" s="58"/>
    </row>
    <row r="115">
      <c r="A115" s="58"/>
      <c r="B115" s="58"/>
      <c r="C115" s="58"/>
    </row>
    <row r="116">
      <c r="A116" s="58"/>
      <c r="B116" s="58"/>
      <c r="C116" s="58"/>
    </row>
    <row r="117">
      <c r="A117" s="58"/>
      <c r="B117" s="58"/>
      <c r="C117" s="58"/>
    </row>
    <row r="118">
      <c r="A118" s="58"/>
      <c r="B118" s="58"/>
      <c r="C118" s="58"/>
    </row>
    <row r="119">
      <c r="A119" s="58"/>
      <c r="B119" s="58"/>
      <c r="C119" s="58"/>
    </row>
    <row r="120">
      <c r="A120" s="58"/>
      <c r="B120" s="58"/>
      <c r="C120" s="58"/>
    </row>
    <row r="121">
      <c r="A121" s="58"/>
      <c r="B121" s="58"/>
      <c r="C121" s="58"/>
    </row>
    <row r="122">
      <c r="A122" s="58"/>
      <c r="B122" s="58"/>
      <c r="C122" s="58"/>
    </row>
    <row r="123">
      <c r="A123" s="58"/>
      <c r="B123" s="58"/>
      <c r="C123" s="58"/>
    </row>
    <row r="124">
      <c r="A124" s="58"/>
      <c r="B124" s="58"/>
      <c r="C124" s="58"/>
    </row>
    <row r="125">
      <c r="A125" s="58"/>
      <c r="B125" s="58"/>
      <c r="C125" s="58"/>
    </row>
    <row r="126">
      <c r="A126" s="58"/>
      <c r="B126" s="58"/>
      <c r="C126" s="58"/>
    </row>
    <row r="127">
      <c r="A127" s="58"/>
      <c r="B127" s="58"/>
      <c r="C127" s="58"/>
    </row>
    <row r="128">
      <c r="A128" s="58"/>
      <c r="B128" s="58"/>
      <c r="C128" s="58"/>
    </row>
    <row r="129">
      <c r="A129" s="58"/>
      <c r="B129" s="58"/>
      <c r="C129" s="58"/>
    </row>
    <row r="130">
      <c r="A130" s="58"/>
      <c r="B130" s="58"/>
      <c r="C130" s="58"/>
    </row>
    <row r="131">
      <c r="A131" s="58"/>
      <c r="B131" s="58"/>
      <c r="C131" s="58"/>
    </row>
    <row r="132">
      <c r="A132" s="58"/>
      <c r="B132" s="58"/>
      <c r="C132" s="58"/>
    </row>
    <row r="133">
      <c r="A133" s="58"/>
      <c r="B133" s="58"/>
      <c r="C133" s="58"/>
    </row>
    <row r="134">
      <c r="A134" s="58"/>
      <c r="B134" s="58"/>
      <c r="C134" s="58"/>
    </row>
    <row r="135">
      <c r="A135" s="58"/>
      <c r="B135" s="58"/>
      <c r="C135" s="58"/>
    </row>
    <row r="136">
      <c r="A136" s="58"/>
      <c r="B136" s="58"/>
      <c r="C136" s="58"/>
    </row>
    <row r="137">
      <c r="A137" s="58"/>
      <c r="B137" s="58"/>
      <c r="C137" s="58"/>
    </row>
    <row r="138">
      <c r="A138" s="58"/>
      <c r="B138" s="58"/>
      <c r="C138" s="58"/>
    </row>
    <row r="139">
      <c r="A139" s="58"/>
      <c r="B139" s="58"/>
      <c r="C139" s="58"/>
    </row>
    <row r="140">
      <c r="A140" s="58"/>
      <c r="B140" s="58"/>
      <c r="C140" s="58"/>
    </row>
    <row r="141">
      <c r="A141" s="58"/>
      <c r="B141" s="58"/>
      <c r="C141" s="58"/>
    </row>
    <row r="142">
      <c r="A142" s="58"/>
      <c r="B142" s="58"/>
      <c r="C142" s="58"/>
    </row>
    <row r="143">
      <c r="A143" s="58"/>
      <c r="B143" s="58"/>
      <c r="C143" s="58"/>
    </row>
    <row r="144">
      <c r="A144" s="58"/>
      <c r="B144" s="58"/>
      <c r="C144" s="58"/>
    </row>
    <row r="145">
      <c r="A145" s="58"/>
      <c r="B145" s="58"/>
      <c r="C145" s="58"/>
    </row>
    <row r="146">
      <c r="A146" s="58"/>
      <c r="B146" s="58"/>
      <c r="C146" s="58"/>
    </row>
    <row r="147">
      <c r="A147" s="58"/>
      <c r="B147" s="58"/>
      <c r="C147" s="58"/>
    </row>
    <row r="148">
      <c r="A148" s="58"/>
      <c r="B148" s="58"/>
      <c r="C148" s="58"/>
    </row>
    <row r="149">
      <c r="A149" s="58"/>
      <c r="B149" s="58"/>
      <c r="C149" s="58"/>
    </row>
    <row r="150">
      <c r="A150" s="58"/>
      <c r="B150" s="58"/>
      <c r="C150" s="58"/>
    </row>
    <row r="151">
      <c r="A151" s="58"/>
      <c r="B151" s="58"/>
      <c r="C151" s="58"/>
    </row>
    <row r="152">
      <c r="A152" s="58"/>
      <c r="B152" s="58"/>
      <c r="C152" s="58"/>
    </row>
    <row r="153">
      <c r="A153" s="58"/>
      <c r="B153" s="58"/>
      <c r="C153" s="58"/>
    </row>
    <row r="154">
      <c r="A154" s="58"/>
      <c r="B154" s="58"/>
      <c r="C154" s="58"/>
    </row>
    <row r="155">
      <c r="A155" s="58"/>
      <c r="B155" s="58"/>
      <c r="C155" s="58"/>
    </row>
    <row r="156">
      <c r="A156" s="58"/>
      <c r="B156" s="58"/>
      <c r="C156" s="58"/>
    </row>
    <row r="157">
      <c r="A157" s="58"/>
      <c r="B157" s="58"/>
      <c r="C157" s="58"/>
    </row>
    <row r="158">
      <c r="A158" s="58"/>
      <c r="B158" s="58"/>
      <c r="C158" s="58"/>
    </row>
    <row r="159">
      <c r="A159" s="58"/>
      <c r="B159" s="58"/>
      <c r="C159" s="58"/>
    </row>
    <row r="160">
      <c r="A160" s="58"/>
      <c r="B160" s="58"/>
      <c r="C160" s="58"/>
    </row>
    <row r="161">
      <c r="A161" s="58"/>
      <c r="B161" s="58"/>
      <c r="C161" s="58"/>
    </row>
    <row r="162">
      <c r="A162" s="58"/>
      <c r="B162" s="58"/>
      <c r="C162" s="58"/>
    </row>
    <row r="163">
      <c r="A163" s="58"/>
      <c r="B163" s="58"/>
      <c r="C163" s="58"/>
    </row>
    <row r="164">
      <c r="A164" s="58"/>
      <c r="B164" s="58"/>
      <c r="C164" s="58"/>
    </row>
    <row r="165">
      <c r="A165" s="58"/>
      <c r="B165" s="58"/>
      <c r="C165" s="58"/>
    </row>
    <row r="166">
      <c r="A166" s="58"/>
      <c r="B166" s="58"/>
      <c r="C166" s="58"/>
    </row>
    <row r="167">
      <c r="A167" s="58"/>
      <c r="B167" s="58"/>
      <c r="C167" s="58"/>
    </row>
    <row r="168">
      <c r="A168" s="58"/>
      <c r="B168" s="58"/>
      <c r="C168" s="58"/>
    </row>
    <row r="169">
      <c r="A169" s="58"/>
      <c r="B169" s="58"/>
      <c r="C169" s="58"/>
    </row>
    <row r="170">
      <c r="A170" s="58"/>
      <c r="B170" s="58"/>
      <c r="C170" s="58"/>
    </row>
    <row r="171">
      <c r="A171" s="58"/>
      <c r="B171" s="58"/>
      <c r="C171" s="58"/>
    </row>
    <row r="172">
      <c r="A172" s="58"/>
      <c r="B172" s="58"/>
      <c r="C172" s="58"/>
    </row>
    <row r="173">
      <c r="A173" s="58"/>
      <c r="B173" s="58"/>
      <c r="C173" s="58"/>
    </row>
    <row r="174">
      <c r="A174" s="58"/>
      <c r="B174" s="58"/>
      <c r="C174" s="58"/>
    </row>
    <row r="175">
      <c r="A175" s="58"/>
      <c r="B175" s="58"/>
      <c r="C175" s="58"/>
    </row>
    <row r="176">
      <c r="A176" s="58"/>
      <c r="B176" s="58"/>
      <c r="C176" s="58"/>
    </row>
    <row r="177">
      <c r="A177" s="58"/>
      <c r="B177" s="58"/>
      <c r="C177" s="58"/>
    </row>
    <row r="178">
      <c r="A178" s="58"/>
      <c r="B178" s="58"/>
      <c r="C178" s="58"/>
    </row>
    <row r="179">
      <c r="A179" s="58"/>
      <c r="B179" s="58"/>
      <c r="C179" s="58"/>
    </row>
    <row r="180">
      <c r="A180" s="58"/>
      <c r="B180" s="58"/>
      <c r="C180" s="58"/>
    </row>
    <row r="181">
      <c r="A181" s="58"/>
      <c r="B181" s="58"/>
      <c r="C181" s="58"/>
    </row>
    <row r="182">
      <c r="A182" s="58"/>
      <c r="B182" s="58"/>
      <c r="C182" s="58"/>
    </row>
    <row r="183">
      <c r="A183" s="58"/>
      <c r="B183" s="58"/>
      <c r="C183" s="58"/>
    </row>
    <row r="184">
      <c r="A184" s="58"/>
      <c r="B184" s="58"/>
      <c r="C184" s="58"/>
    </row>
    <row r="185">
      <c r="A185" s="58"/>
      <c r="B185" s="58"/>
      <c r="C185" s="58"/>
    </row>
    <row r="186">
      <c r="A186" s="58"/>
      <c r="B186" s="58"/>
      <c r="C186" s="58"/>
    </row>
    <row r="187">
      <c r="A187" s="58"/>
      <c r="B187" s="58"/>
      <c r="C187" s="58"/>
    </row>
    <row r="188">
      <c r="A188" s="58"/>
      <c r="B188" s="58"/>
      <c r="C188" s="58"/>
    </row>
    <row r="189">
      <c r="A189" s="58"/>
      <c r="B189" s="58"/>
      <c r="C189" s="58"/>
    </row>
    <row r="190">
      <c r="A190" s="58"/>
      <c r="B190" s="58"/>
      <c r="C190" s="58"/>
    </row>
    <row r="191">
      <c r="A191" s="58"/>
      <c r="B191" s="58"/>
      <c r="C191" s="58"/>
    </row>
    <row r="192">
      <c r="A192" s="58"/>
      <c r="B192" s="58"/>
      <c r="C192" s="58"/>
    </row>
    <row r="193">
      <c r="A193" s="58"/>
      <c r="B193" s="58"/>
      <c r="C193" s="58"/>
    </row>
    <row r="194">
      <c r="A194" s="58"/>
      <c r="B194" s="58"/>
      <c r="C194" s="58"/>
    </row>
    <row r="195">
      <c r="A195" s="58"/>
      <c r="B195" s="58"/>
      <c r="C195" s="58"/>
    </row>
    <row r="196">
      <c r="A196" s="58"/>
      <c r="B196" s="58"/>
      <c r="C196" s="58"/>
    </row>
    <row r="197">
      <c r="A197" s="58"/>
      <c r="B197" s="58"/>
      <c r="C197" s="58"/>
    </row>
    <row r="198">
      <c r="A198" s="58"/>
      <c r="B198" s="58"/>
      <c r="C198" s="58"/>
    </row>
    <row r="199">
      <c r="A199" s="58"/>
      <c r="B199" s="58"/>
      <c r="C199" s="58"/>
    </row>
    <row r="200">
      <c r="A200" s="58"/>
      <c r="B200" s="58"/>
      <c r="C200" s="58"/>
    </row>
    <row r="201">
      <c r="A201" s="58"/>
      <c r="B201" s="58"/>
      <c r="C201" s="58"/>
    </row>
    <row r="202">
      <c r="A202" s="58"/>
      <c r="B202" s="58"/>
      <c r="C202" s="58"/>
    </row>
    <row r="203">
      <c r="A203" s="58"/>
      <c r="B203" s="58"/>
      <c r="C203" s="58"/>
    </row>
    <row r="204">
      <c r="A204" s="58"/>
      <c r="B204" s="58"/>
      <c r="C204" s="58"/>
    </row>
    <row r="205">
      <c r="A205" s="58"/>
      <c r="B205" s="58"/>
      <c r="C205" s="58"/>
    </row>
    <row r="206">
      <c r="A206" s="58"/>
      <c r="B206" s="58"/>
      <c r="C206" s="58"/>
    </row>
    <row r="207">
      <c r="A207" s="58"/>
      <c r="B207" s="58"/>
      <c r="C207" s="58"/>
    </row>
    <row r="208">
      <c r="A208" s="58"/>
      <c r="B208" s="58"/>
      <c r="C208" s="58"/>
    </row>
    <row r="209">
      <c r="A209" s="58"/>
      <c r="B209" s="58"/>
      <c r="C209" s="58"/>
    </row>
    <row r="210">
      <c r="A210" s="58"/>
      <c r="B210" s="58"/>
      <c r="C210" s="58"/>
    </row>
    <row r="211">
      <c r="A211" s="58"/>
      <c r="B211" s="58"/>
      <c r="C211" s="58"/>
    </row>
    <row r="212">
      <c r="A212" s="58"/>
      <c r="B212" s="58"/>
      <c r="C212" s="58"/>
    </row>
    <row r="213">
      <c r="A213" s="58"/>
      <c r="B213" s="58"/>
      <c r="C213" s="58"/>
    </row>
    <row r="214">
      <c r="A214" s="58"/>
      <c r="B214" s="58"/>
      <c r="C214" s="58"/>
    </row>
    <row r="215">
      <c r="A215" s="58"/>
      <c r="B215" s="58"/>
      <c r="C215" s="58"/>
    </row>
    <row r="216">
      <c r="A216" s="58"/>
      <c r="B216" s="58"/>
      <c r="C216" s="58"/>
    </row>
    <row r="217">
      <c r="A217" s="58"/>
      <c r="B217" s="58"/>
      <c r="C217" s="58"/>
    </row>
    <row r="218">
      <c r="A218" s="58"/>
      <c r="B218" s="58"/>
      <c r="C218" s="58"/>
    </row>
    <row r="219">
      <c r="A219" s="58"/>
      <c r="B219" s="58"/>
      <c r="C219" s="58"/>
    </row>
    <row r="220">
      <c r="A220" s="58"/>
      <c r="B220" s="58"/>
      <c r="C220" s="58"/>
    </row>
    <row r="221">
      <c r="A221" s="58"/>
      <c r="B221" s="58"/>
      <c r="C221" s="58"/>
    </row>
    <row r="222">
      <c r="A222" s="58"/>
      <c r="B222" s="58"/>
      <c r="C222" s="58"/>
    </row>
    <row r="223">
      <c r="A223" s="58"/>
      <c r="B223" s="58"/>
      <c r="C223" s="58"/>
    </row>
    <row r="224">
      <c r="A224" s="58"/>
      <c r="B224" s="58"/>
      <c r="C224" s="58"/>
    </row>
    <row r="225">
      <c r="A225" s="58"/>
      <c r="B225" s="58"/>
      <c r="C225" s="58"/>
    </row>
    <row r="226">
      <c r="A226" s="58"/>
      <c r="B226" s="58"/>
      <c r="C226" s="58"/>
    </row>
    <row r="227">
      <c r="A227" s="58"/>
      <c r="B227" s="58"/>
      <c r="C227" s="58"/>
    </row>
    <row r="228">
      <c r="A228" s="58"/>
      <c r="B228" s="58"/>
      <c r="C228" s="58"/>
    </row>
    <row r="229">
      <c r="A229" s="58"/>
      <c r="B229" s="58"/>
      <c r="C229" s="58"/>
    </row>
    <row r="230">
      <c r="A230" s="58"/>
      <c r="B230" s="58"/>
      <c r="C230" s="58"/>
    </row>
    <row r="231">
      <c r="A231" s="58"/>
      <c r="B231" s="58"/>
      <c r="C231" s="58"/>
    </row>
    <row r="232">
      <c r="A232" s="58"/>
      <c r="B232" s="58"/>
      <c r="C232" s="58"/>
    </row>
    <row r="233">
      <c r="A233" s="58"/>
      <c r="B233" s="58"/>
      <c r="C233" s="58"/>
    </row>
    <row r="234">
      <c r="A234" s="58"/>
      <c r="B234" s="58"/>
      <c r="C234" s="58"/>
    </row>
    <row r="235">
      <c r="A235" s="58"/>
      <c r="B235" s="58"/>
      <c r="C235" s="58"/>
    </row>
    <row r="236">
      <c r="A236" s="58"/>
      <c r="B236" s="58"/>
      <c r="C236" s="58"/>
    </row>
    <row r="237">
      <c r="A237" s="58"/>
      <c r="B237" s="58"/>
      <c r="C237" s="58"/>
    </row>
    <row r="238">
      <c r="A238" s="58"/>
      <c r="B238" s="58"/>
      <c r="C238" s="58"/>
    </row>
    <row r="239">
      <c r="A239" s="58"/>
      <c r="B239" s="58"/>
      <c r="C239" s="58"/>
    </row>
    <row r="240">
      <c r="A240" s="58"/>
      <c r="B240" s="58"/>
      <c r="C240" s="58"/>
    </row>
    <row r="241">
      <c r="A241" s="58"/>
      <c r="B241" s="58"/>
      <c r="C241" s="58"/>
    </row>
    <row r="242">
      <c r="A242" s="58"/>
      <c r="B242" s="58"/>
      <c r="C242" s="58"/>
    </row>
    <row r="243">
      <c r="A243" s="58"/>
      <c r="B243" s="58"/>
      <c r="C243" s="58"/>
    </row>
    <row r="244">
      <c r="A244" s="58"/>
      <c r="B244" s="58"/>
      <c r="C244" s="58"/>
    </row>
    <row r="245">
      <c r="A245" s="58"/>
      <c r="B245" s="58"/>
      <c r="C245" s="58"/>
    </row>
    <row r="246">
      <c r="A246" s="58"/>
      <c r="B246" s="58"/>
      <c r="C246" s="58"/>
    </row>
    <row r="247">
      <c r="A247" s="58"/>
      <c r="B247" s="58"/>
      <c r="C247" s="58"/>
    </row>
    <row r="248">
      <c r="A248" s="58"/>
      <c r="B248" s="58"/>
      <c r="C248" s="58"/>
    </row>
    <row r="249">
      <c r="A249" s="58"/>
      <c r="B249" s="58"/>
      <c r="C249" s="58"/>
    </row>
    <row r="250">
      <c r="A250" s="58"/>
      <c r="B250" s="58"/>
      <c r="C250" s="58"/>
    </row>
    <row r="251">
      <c r="A251" s="58"/>
      <c r="B251" s="58"/>
      <c r="C251" s="58"/>
    </row>
    <row r="252">
      <c r="A252" s="58"/>
      <c r="B252" s="58"/>
      <c r="C252" s="58"/>
    </row>
    <row r="253">
      <c r="A253" s="58"/>
      <c r="B253" s="58"/>
      <c r="C253" s="58"/>
    </row>
    <row r="254">
      <c r="A254" s="58"/>
      <c r="B254" s="58"/>
      <c r="C254" s="58"/>
    </row>
    <row r="255">
      <c r="A255" s="58"/>
      <c r="B255" s="58"/>
      <c r="C255" s="58"/>
    </row>
    <row r="256">
      <c r="A256" s="58"/>
      <c r="B256" s="58"/>
      <c r="C256" s="58"/>
    </row>
    <row r="257">
      <c r="A257" s="58"/>
      <c r="B257" s="58"/>
      <c r="C257" s="58"/>
    </row>
    <row r="258">
      <c r="A258" s="58"/>
      <c r="B258" s="58"/>
      <c r="C258" s="58"/>
    </row>
    <row r="259">
      <c r="A259" s="58"/>
      <c r="B259" s="58"/>
      <c r="C259" s="58"/>
    </row>
    <row r="260">
      <c r="A260" s="58"/>
      <c r="B260" s="58"/>
      <c r="C260" s="58"/>
    </row>
    <row r="261">
      <c r="A261" s="58"/>
      <c r="B261" s="58"/>
      <c r="C261" s="58"/>
    </row>
    <row r="262">
      <c r="A262" s="58"/>
      <c r="B262" s="58"/>
      <c r="C262" s="58"/>
    </row>
    <row r="263">
      <c r="A263" s="58"/>
      <c r="B263" s="58"/>
      <c r="C263" s="58"/>
    </row>
    <row r="264">
      <c r="A264" s="58"/>
      <c r="B264" s="58"/>
      <c r="C264" s="58"/>
    </row>
    <row r="265">
      <c r="A265" s="58"/>
      <c r="B265" s="58"/>
      <c r="C265" s="58"/>
    </row>
    <row r="266">
      <c r="A266" s="58"/>
      <c r="B266" s="58"/>
      <c r="C266" s="58"/>
    </row>
    <row r="267">
      <c r="A267" s="58"/>
      <c r="B267" s="58"/>
      <c r="C267" s="58"/>
    </row>
    <row r="268">
      <c r="A268" s="58"/>
      <c r="B268" s="58"/>
      <c r="C268" s="58"/>
    </row>
    <row r="269">
      <c r="A269" s="58"/>
      <c r="B269" s="58"/>
      <c r="C269" s="58"/>
    </row>
    <row r="270">
      <c r="A270" s="58"/>
      <c r="B270" s="58"/>
      <c r="C270" s="58"/>
    </row>
    <row r="271">
      <c r="A271" s="58"/>
      <c r="B271" s="58"/>
      <c r="C271" s="58"/>
    </row>
    <row r="272">
      <c r="A272" s="58"/>
      <c r="B272" s="58"/>
      <c r="C272" s="58"/>
    </row>
    <row r="273">
      <c r="A273" s="58"/>
      <c r="B273" s="58"/>
      <c r="C273" s="58"/>
    </row>
    <row r="274">
      <c r="A274" s="58"/>
      <c r="B274" s="58"/>
      <c r="C274" s="58"/>
    </row>
    <row r="275">
      <c r="A275" s="58"/>
      <c r="B275" s="58"/>
      <c r="C275" s="58"/>
    </row>
    <row r="276">
      <c r="A276" s="58"/>
      <c r="B276" s="58"/>
      <c r="C276" s="58"/>
    </row>
    <row r="277">
      <c r="A277" s="58"/>
      <c r="B277" s="58"/>
      <c r="C277" s="58"/>
    </row>
    <row r="278">
      <c r="A278" s="58"/>
      <c r="B278" s="58"/>
      <c r="C278" s="58"/>
    </row>
    <row r="279">
      <c r="A279" s="58"/>
      <c r="B279" s="58"/>
      <c r="C279" s="58"/>
    </row>
    <row r="280">
      <c r="A280" s="58"/>
      <c r="B280" s="58"/>
      <c r="C280" s="58"/>
    </row>
    <row r="281">
      <c r="A281" s="58"/>
      <c r="B281" s="58"/>
      <c r="C281" s="58"/>
    </row>
    <row r="282">
      <c r="A282" s="58"/>
      <c r="B282" s="58"/>
      <c r="C282" s="58"/>
    </row>
    <row r="283">
      <c r="A283" s="58"/>
      <c r="B283" s="58"/>
      <c r="C283" s="58"/>
    </row>
    <row r="284">
      <c r="A284" s="58"/>
      <c r="B284" s="58"/>
      <c r="C284" s="58"/>
    </row>
    <row r="285">
      <c r="A285" s="58"/>
      <c r="B285" s="58"/>
      <c r="C285" s="58"/>
    </row>
    <row r="286">
      <c r="A286" s="58"/>
      <c r="B286" s="58"/>
      <c r="C286" s="58"/>
    </row>
    <row r="287">
      <c r="A287" s="58"/>
      <c r="B287" s="58"/>
      <c r="C287" s="58"/>
    </row>
    <row r="288">
      <c r="A288" s="58"/>
      <c r="B288" s="58"/>
      <c r="C288" s="58"/>
    </row>
    <row r="289">
      <c r="A289" s="58"/>
      <c r="B289" s="58"/>
      <c r="C289" s="58"/>
    </row>
    <row r="290">
      <c r="A290" s="58"/>
      <c r="B290" s="58"/>
      <c r="C290" s="58"/>
    </row>
    <row r="291">
      <c r="A291" s="58"/>
      <c r="B291" s="58"/>
      <c r="C291" s="58"/>
    </row>
    <row r="292">
      <c r="A292" s="58"/>
      <c r="B292" s="58"/>
      <c r="C292" s="58"/>
    </row>
    <row r="293">
      <c r="A293" s="58"/>
      <c r="B293" s="58"/>
      <c r="C293" s="58"/>
    </row>
    <row r="294">
      <c r="A294" s="58"/>
      <c r="B294" s="58"/>
      <c r="C294" s="58"/>
    </row>
    <row r="295">
      <c r="A295" s="58"/>
      <c r="B295" s="58"/>
      <c r="C295" s="58"/>
    </row>
    <row r="296">
      <c r="A296" s="58"/>
      <c r="B296" s="58"/>
      <c r="C296" s="58"/>
    </row>
    <row r="297">
      <c r="A297" s="58"/>
      <c r="B297" s="58"/>
      <c r="C297" s="58"/>
    </row>
    <row r="298">
      <c r="A298" s="58"/>
      <c r="B298" s="58"/>
      <c r="C298" s="58"/>
    </row>
    <row r="299">
      <c r="A299" s="58"/>
      <c r="B299" s="58"/>
      <c r="C299" s="58"/>
    </row>
    <row r="300">
      <c r="A300" s="58"/>
      <c r="B300" s="58"/>
      <c r="C300" s="58"/>
    </row>
    <row r="301">
      <c r="A301" s="58"/>
      <c r="B301" s="58"/>
      <c r="C301" s="58"/>
    </row>
    <row r="302">
      <c r="A302" s="58"/>
      <c r="B302" s="58"/>
      <c r="C302" s="58"/>
    </row>
    <row r="303">
      <c r="A303" s="58"/>
      <c r="B303" s="58"/>
      <c r="C303" s="58"/>
    </row>
    <row r="304">
      <c r="A304" s="58"/>
      <c r="B304" s="58"/>
      <c r="C304" s="58"/>
    </row>
    <row r="305">
      <c r="A305" s="58"/>
      <c r="B305" s="58"/>
      <c r="C305" s="58"/>
    </row>
    <row r="306">
      <c r="A306" s="58"/>
      <c r="B306" s="58"/>
      <c r="C306" s="58"/>
    </row>
    <row r="307">
      <c r="A307" s="58"/>
      <c r="B307" s="58"/>
      <c r="C307" s="58"/>
    </row>
    <row r="308">
      <c r="A308" s="58"/>
      <c r="B308" s="58"/>
      <c r="C308" s="58"/>
    </row>
    <row r="309">
      <c r="A309" s="58"/>
      <c r="B309" s="58"/>
      <c r="C309" s="58"/>
    </row>
    <row r="310">
      <c r="A310" s="58"/>
      <c r="B310" s="58"/>
      <c r="C310" s="58"/>
    </row>
    <row r="311">
      <c r="A311" s="58"/>
      <c r="B311" s="58"/>
      <c r="C311" s="58"/>
    </row>
    <row r="312">
      <c r="A312" s="58"/>
      <c r="B312" s="58"/>
      <c r="C312" s="58"/>
    </row>
    <row r="313">
      <c r="A313" s="58"/>
      <c r="B313" s="58"/>
      <c r="C313" s="58"/>
    </row>
    <row r="314">
      <c r="A314" s="58"/>
      <c r="B314" s="58"/>
      <c r="C314" s="58"/>
    </row>
    <row r="315">
      <c r="A315" s="58"/>
      <c r="B315" s="58"/>
      <c r="C315" s="58"/>
    </row>
    <row r="316">
      <c r="A316" s="58"/>
      <c r="B316" s="58"/>
      <c r="C316" s="58"/>
    </row>
    <row r="317">
      <c r="A317" s="58"/>
      <c r="B317" s="58"/>
      <c r="C317" s="58"/>
    </row>
    <row r="318">
      <c r="A318" s="58"/>
      <c r="B318" s="58"/>
      <c r="C318" s="58"/>
    </row>
    <row r="319">
      <c r="A319" s="58"/>
      <c r="B319" s="58"/>
      <c r="C319" s="58"/>
    </row>
    <row r="320">
      <c r="A320" s="58"/>
      <c r="B320" s="58"/>
      <c r="C320" s="58"/>
    </row>
    <row r="321">
      <c r="A321" s="58"/>
      <c r="B321" s="58"/>
      <c r="C321" s="58"/>
    </row>
    <row r="322">
      <c r="A322" s="58"/>
      <c r="B322" s="58"/>
      <c r="C322" s="58"/>
    </row>
    <row r="323">
      <c r="A323" s="58"/>
      <c r="B323" s="58"/>
      <c r="C323" s="58"/>
    </row>
    <row r="324">
      <c r="A324" s="58"/>
      <c r="B324" s="58"/>
      <c r="C324" s="58"/>
    </row>
    <row r="325">
      <c r="A325" s="58"/>
      <c r="B325" s="58"/>
      <c r="C325" s="58"/>
    </row>
    <row r="326">
      <c r="A326" s="58"/>
      <c r="B326" s="58"/>
      <c r="C326" s="58"/>
    </row>
    <row r="327">
      <c r="A327" s="58"/>
      <c r="B327" s="58"/>
      <c r="C327" s="58"/>
    </row>
    <row r="328">
      <c r="A328" s="58"/>
      <c r="B328" s="58"/>
      <c r="C328" s="58"/>
    </row>
    <row r="329">
      <c r="A329" s="58"/>
      <c r="B329" s="58"/>
      <c r="C329" s="58"/>
    </row>
    <row r="330">
      <c r="A330" s="58"/>
      <c r="B330" s="58"/>
      <c r="C330" s="58"/>
    </row>
    <row r="331">
      <c r="A331" s="58"/>
      <c r="B331" s="58"/>
      <c r="C331" s="58"/>
    </row>
    <row r="332">
      <c r="A332" s="58"/>
      <c r="B332" s="58"/>
      <c r="C332" s="58"/>
    </row>
    <row r="333">
      <c r="A333" s="58"/>
      <c r="B333" s="58"/>
      <c r="C333" s="58"/>
    </row>
    <row r="334">
      <c r="A334" s="58"/>
      <c r="B334" s="58"/>
      <c r="C334" s="58"/>
    </row>
    <row r="335">
      <c r="A335" s="58"/>
      <c r="B335" s="58"/>
      <c r="C335" s="58"/>
    </row>
    <row r="336">
      <c r="A336" s="58"/>
      <c r="B336" s="58"/>
      <c r="C336" s="58"/>
    </row>
    <row r="337">
      <c r="A337" s="58"/>
      <c r="B337" s="58"/>
      <c r="C337" s="58"/>
    </row>
    <row r="338">
      <c r="A338" s="58"/>
      <c r="B338" s="58"/>
      <c r="C338" s="58"/>
    </row>
    <row r="339">
      <c r="A339" s="58"/>
      <c r="B339" s="58"/>
      <c r="C339" s="58"/>
    </row>
    <row r="340">
      <c r="A340" s="58"/>
      <c r="B340" s="58"/>
      <c r="C340" s="58"/>
    </row>
    <row r="341">
      <c r="A341" s="58"/>
      <c r="B341" s="58"/>
      <c r="C341" s="58"/>
    </row>
    <row r="342">
      <c r="A342" s="58"/>
      <c r="B342" s="58"/>
      <c r="C342" s="58"/>
    </row>
    <row r="343">
      <c r="A343" s="58"/>
      <c r="B343" s="58"/>
      <c r="C343" s="58"/>
    </row>
    <row r="344">
      <c r="A344" s="58"/>
      <c r="B344" s="58"/>
      <c r="C344" s="58"/>
    </row>
    <row r="345">
      <c r="A345" s="58"/>
      <c r="B345" s="58"/>
      <c r="C345" s="58"/>
    </row>
    <row r="346">
      <c r="A346" s="58"/>
      <c r="B346" s="58"/>
      <c r="C346" s="58"/>
    </row>
    <row r="347">
      <c r="A347" s="58"/>
      <c r="B347" s="58"/>
      <c r="C347" s="58"/>
    </row>
    <row r="348">
      <c r="A348" s="58"/>
      <c r="B348" s="58"/>
      <c r="C348" s="58"/>
    </row>
    <row r="349">
      <c r="A349" s="58"/>
      <c r="B349" s="58"/>
      <c r="C349" s="58"/>
    </row>
    <row r="350">
      <c r="A350" s="58"/>
      <c r="B350" s="58"/>
      <c r="C350" s="58"/>
    </row>
    <row r="351">
      <c r="A351" s="58"/>
      <c r="B351" s="58"/>
      <c r="C351" s="58"/>
    </row>
    <row r="352">
      <c r="A352" s="58"/>
      <c r="B352" s="58"/>
      <c r="C352" s="58"/>
    </row>
    <row r="353">
      <c r="A353" s="58"/>
      <c r="B353" s="58"/>
      <c r="C353" s="58"/>
    </row>
    <row r="354">
      <c r="A354" s="58"/>
      <c r="B354" s="58"/>
      <c r="C354" s="58"/>
    </row>
    <row r="355">
      <c r="A355" s="58"/>
      <c r="B355" s="58"/>
      <c r="C355" s="58"/>
    </row>
    <row r="356">
      <c r="A356" s="58"/>
      <c r="B356" s="58"/>
      <c r="C356" s="58"/>
    </row>
    <row r="357">
      <c r="A357" s="58"/>
      <c r="B357" s="58"/>
      <c r="C357" s="58"/>
    </row>
    <row r="358">
      <c r="A358" s="58"/>
      <c r="B358" s="58"/>
      <c r="C358" s="58"/>
    </row>
    <row r="359">
      <c r="A359" s="58"/>
      <c r="B359" s="58"/>
      <c r="C359" s="58"/>
    </row>
    <row r="360">
      <c r="A360" s="58"/>
      <c r="B360" s="58"/>
      <c r="C360" s="58"/>
    </row>
    <row r="361">
      <c r="A361" s="58"/>
      <c r="B361" s="58"/>
      <c r="C361" s="58"/>
    </row>
    <row r="362">
      <c r="A362" s="58"/>
      <c r="B362" s="58"/>
      <c r="C362" s="58"/>
    </row>
    <row r="363">
      <c r="A363" s="58"/>
      <c r="B363" s="58"/>
      <c r="C363" s="58"/>
    </row>
    <row r="364">
      <c r="A364" s="58"/>
      <c r="B364" s="58"/>
      <c r="C364" s="58"/>
    </row>
    <row r="365">
      <c r="A365" s="58"/>
      <c r="B365" s="58"/>
      <c r="C365" s="58"/>
    </row>
    <row r="366">
      <c r="A366" s="58"/>
      <c r="B366" s="58"/>
      <c r="C366" s="58"/>
    </row>
    <row r="367">
      <c r="A367" s="58"/>
      <c r="B367" s="58"/>
      <c r="C367" s="58"/>
    </row>
    <row r="368">
      <c r="A368" s="58"/>
      <c r="B368" s="58"/>
      <c r="C368" s="58"/>
    </row>
    <row r="369">
      <c r="A369" s="58"/>
      <c r="B369" s="58"/>
      <c r="C369" s="58"/>
    </row>
    <row r="370">
      <c r="A370" s="58"/>
      <c r="B370" s="58"/>
      <c r="C370" s="58"/>
    </row>
    <row r="371">
      <c r="A371" s="58"/>
      <c r="B371" s="58"/>
      <c r="C371" s="58"/>
    </row>
    <row r="372">
      <c r="A372" s="58"/>
      <c r="B372" s="58"/>
      <c r="C372" s="58"/>
    </row>
    <row r="373">
      <c r="A373" s="58"/>
      <c r="B373" s="58"/>
      <c r="C373" s="58"/>
    </row>
    <row r="374">
      <c r="A374" s="58"/>
      <c r="B374" s="58"/>
      <c r="C374" s="58"/>
    </row>
    <row r="375">
      <c r="A375" s="58"/>
      <c r="B375" s="58"/>
      <c r="C375" s="58"/>
    </row>
    <row r="376">
      <c r="A376" s="58"/>
      <c r="B376" s="58"/>
      <c r="C376" s="58"/>
    </row>
    <row r="377">
      <c r="A377" s="58"/>
      <c r="B377" s="58"/>
      <c r="C377" s="58"/>
    </row>
    <row r="378">
      <c r="A378" s="58"/>
      <c r="B378" s="58"/>
      <c r="C378" s="58"/>
    </row>
    <row r="379">
      <c r="A379" s="58"/>
      <c r="B379" s="58"/>
      <c r="C379" s="58"/>
    </row>
    <row r="380">
      <c r="A380" s="58"/>
      <c r="B380" s="58"/>
      <c r="C380" s="58"/>
    </row>
    <row r="381">
      <c r="A381" s="58"/>
      <c r="B381" s="58"/>
      <c r="C381" s="58"/>
    </row>
    <row r="382">
      <c r="A382" s="58"/>
      <c r="B382" s="58"/>
      <c r="C382" s="58"/>
    </row>
    <row r="383">
      <c r="A383" s="58"/>
      <c r="B383" s="58"/>
      <c r="C383" s="58"/>
    </row>
    <row r="384">
      <c r="A384" s="58"/>
      <c r="B384" s="58"/>
      <c r="C384" s="58"/>
    </row>
    <row r="385">
      <c r="A385" s="58"/>
      <c r="B385" s="58"/>
      <c r="C385" s="58"/>
    </row>
    <row r="386">
      <c r="A386" s="58"/>
      <c r="B386" s="58"/>
      <c r="C386" s="58"/>
    </row>
    <row r="387">
      <c r="A387" s="58"/>
      <c r="B387" s="58"/>
      <c r="C387" s="58"/>
    </row>
    <row r="388">
      <c r="A388" s="58"/>
      <c r="B388" s="58"/>
      <c r="C388" s="58"/>
    </row>
    <row r="389">
      <c r="A389" s="58"/>
      <c r="B389" s="58"/>
      <c r="C389" s="58"/>
    </row>
    <row r="390">
      <c r="A390" s="58"/>
      <c r="B390" s="58"/>
      <c r="C390" s="58"/>
    </row>
    <row r="391">
      <c r="A391" s="58"/>
      <c r="B391" s="58"/>
      <c r="C391" s="58"/>
    </row>
    <row r="392">
      <c r="A392" s="58"/>
      <c r="B392" s="58"/>
      <c r="C392" s="58"/>
    </row>
    <row r="393">
      <c r="A393" s="58"/>
      <c r="B393" s="58"/>
      <c r="C393" s="58"/>
    </row>
    <row r="394">
      <c r="A394" s="58"/>
      <c r="B394" s="58"/>
      <c r="C394" s="58"/>
    </row>
    <row r="395">
      <c r="A395" s="58"/>
      <c r="B395" s="58"/>
      <c r="C395" s="58"/>
    </row>
    <row r="396">
      <c r="A396" s="58"/>
      <c r="B396" s="58"/>
      <c r="C396" s="58"/>
    </row>
    <row r="397">
      <c r="A397" s="58"/>
      <c r="B397" s="58"/>
      <c r="C397" s="58"/>
    </row>
    <row r="398">
      <c r="A398" s="58"/>
      <c r="B398" s="58"/>
      <c r="C398" s="58"/>
    </row>
    <row r="399">
      <c r="A399" s="58"/>
      <c r="B399" s="58"/>
      <c r="C399" s="58"/>
    </row>
    <row r="400">
      <c r="A400" s="58"/>
      <c r="B400" s="58"/>
      <c r="C400" s="58"/>
    </row>
    <row r="401">
      <c r="A401" s="58"/>
      <c r="B401" s="58"/>
      <c r="C401" s="58"/>
    </row>
    <row r="402">
      <c r="A402" s="58"/>
      <c r="B402" s="58"/>
      <c r="C402" s="58"/>
    </row>
    <row r="403">
      <c r="A403" s="58"/>
      <c r="B403" s="58"/>
      <c r="C403" s="58"/>
    </row>
    <row r="404">
      <c r="A404" s="58"/>
      <c r="B404" s="58"/>
      <c r="C404" s="58"/>
    </row>
    <row r="405">
      <c r="A405" s="58"/>
      <c r="B405" s="58"/>
      <c r="C405" s="58"/>
    </row>
    <row r="406">
      <c r="A406" s="58"/>
      <c r="B406" s="58"/>
      <c r="C406" s="58"/>
    </row>
    <row r="407">
      <c r="A407" s="58"/>
      <c r="B407" s="58"/>
      <c r="C407" s="58"/>
    </row>
    <row r="408">
      <c r="A408" s="58"/>
      <c r="B408" s="58"/>
      <c r="C408" s="58"/>
    </row>
    <row r="409">
      <c r="A409" s="58"/>
      <c r="B409" s="58"/>
      <c r="C409" s="58"/>
    </row>
    <row r="410">
      <c r="A410" s="58"/>
      <c r="B410" s="58"/>
      <c r="C410" s="58"/>
    </row>
    <row r="411">
      <c r="A411" s="58"/>
      <c r="B411" s="58"/>
      <c r="C411" s="58"/>
    </row>
    <row r="412">
      <c r="A412" s="58"/>
      <c r="B412" s="58"/>
      <c r="C412" s="58"/>
    </row>
    <row r="413">
      <c r="A413" s="58"/>
      <c r="B413" s="58"/>
      <c r="C413" s="58"/>
    </row>
    <row r="414">
      <c r="A414" s="58"/>
      <c r="B414" s="58"/>
      <c r="C414" s="58"/>
    </row>
    <row r="415">
      <c r="A415" s="58"/>
      <c r="B415" s="58"/>
      <c r="C415" s="58"/>
    </row>
    <row r="416">
      <c r="A416" s="58"/>
      <c r="B416" s="58"/>
      <c r="C416" s="58"/>
    </row>
    <row r="417">
      <c r="A417" s="58"/>
      <c r="B417" s="58"/>
      <c r="C417" s="58"/>
    </row>
    <row r="418">
      <c r="A418" s="58"/>
      <c r="B418" s="58"/>
      <c r="C418" s="58"/>
    </row>
    <row r="419">
      <c r="A419" s="58"/>
      <c r="B419" s="58"/>
      <c r="C419" s="58"/>
    </row>
    <row r="420">
      <c r="A420" s="58"/>
      <c r="B420" s="58"/>
      <c r="C420" s="58"/>
    </row>
    <row r="421">
      <c r="A421" s="58"/>
      <c r="B421" s="58"/>
      <c r="C421" s="58"/>
    </row>
    <row r="422">
      <c r="A422" s="58"/>
      <c r="B422" s="58"/>
      <c r="C422" s="58"/>
    </row>
    <row r="423">
      <c r="A423" s="58"/>
      <c r="B423" s="58"/>
      <c r="C423" s="58"/>
    </row>
    <row r="424">
      <c r="A424" s="58"/>
      <c r="B424" s="58"/>
      <c r="C424" s="58"/>
    </row>
    <row r="425">
      <c r="A425" s="58"/>
      <c r="B425" s="58"/>
      <c r="C425" s="58"/>
    </row>
    <row r="426">
      <c r="A426" s="58"/>
      <c r="B426" s="58"/>
      <c r="C426" s="58"/>
    </row>
    <row r="427">
      <c r="A427" s="58"/>
      <c r="B427" s="58"/>
      <c r="C427" s="58"/>
    </row>
    <row r="428">
      <c r="A428" s="58"/>
      <c r="B428" s="58"/>
      <c r="C428" s="58"/>
    </row>
    <row r="429">
      <c r="A429" s="58"/>
      <c r="B429" s="58"/>
      <c r="C429" s="58"/>
    </row>
    <row r="430">
      <c r="A430" s="58"/>
      <c r="B430" s="58"/>
      <c r="C430" s="58"/>
    </row>
    <row r="431">
      <c r="A431" s="58"/>
      <c r="B431" s="58"/>
      <c r="C431" s="58"/>
    </row>
    <row r="432">
      <c r="A432" s="58"/>
      <c r="B432" s="58"/>
      <c r="C432" s="58"/>
    </row>
    <row r="433">
      <c r="A433" s="58"/>
      <c r="B433" s="58"/>
      <c r="C433" s="58"/>
    </row>
    <row r="434">
      <c r="A434" s="58"/>
      <c r="B434" s="58"/>
      <c r="C434" s="58"/>
    </row>
    <row r="435">
      <c r="A435" s="58"/>
      <c r="B435" s="58"/>
      <c r="C435" s="58"/>
    </row>
    <row r="436">
      <c r="A436" s="58"/>
      <c r="B436" s="58"/>
      <c r="C436" s="58"/>
    </row>
    <row r="437">
      <c r="A437" s="58"/>
      <c r="B437" s="58"/>
      <c r="C437" s="58"/>
    </row>
    <row r="438">
      <c r="A438" s="58"/>
      <c r="B438" s="58"/>
      <c r="C438" s="58"/>
    </row>
    <row r="439">
      <c r="A439" s="58"/>
      <c r="B439" s="58"/>
      <c r="C439" s="58"/>
    </row>
    <row r="440">
      <c r="A440" s="58"/>
      <c r="B440" s="58"/>
      <c r="C440" s="58"/>
    </row>
    <row r="441">
      <c r="A441" s="58"/>
      <c r="B441" s="58"/>
      <c r="C441" s="58"/>
    </row>
    <row r="442">
      <c r="A442" s="58"/>
      <c r="B442" s="58"/>
      <c r="C442" s="58"/>
    </row>
    <row r="443">
      <c r="A443" s="58"/>
      <c r="B443" s="58"/>
      <c r="C443" s="58"/>
    </row>
    <row r="444">
      <c r="A444" s="58"/>
      <c r="B444" s="58"/>
      <c r="C444" s="58"/>
    </row>
    <row r="445">
      <c r="A445" s="58"/>
      <c r="B445" s="58"/>
      <c r="C445" s="58"/>
    </row>
    <row r="446">
      <c r="A446" s="58"/>
      <c r="B446" s="58"/>
      <c r="C446" s="58"/>
    </row>
    <row r="447">
      <c r="A447" s="58"/>
      <c r="B447" s="58"/>
      <c r="C447" s="58"/>
    </row>
    <row r="448">
      <c r="A448" s="58"/>
      <c r="B448" s="58"/>
      <c r="C448" s="58"/>
    </row>
    <row r="449">
      <c r="A449" s="58"/>
      <c r="B449" s="58"/>
      <c r="C449" s="58"/>
    </row>
    <row r="450">
      <c r="A450" s="58"/>
      <c r="B450" s="58"/>
      <c r="C450" s="58"/>
    </row>
    <row r="451">
      <c r="A451" s="58"/>
      <c r="B451" s="58"/>
      <c r="C451" s="58"/>
    </row>
    <row r="452">
      <c r="A452" s="58"/>
      <c r="B452" s="58"/>
      <c r="C452" s="58"/>
    </row>
    <row r="453">
      <c r="A453" s="58"/>
      <c r="B453" s="58"/>
      <c r="C453" s="58"/>
    </row>
    <row r="454">
      <c r="A454" s="58"/>
      <c r="B454" s="58"/>
      <c r="C454" s="58"/>
    </row>
    <row r="455">
      <c r="A455" s="58"/>
      <c r="B455" s="58"/>
      <c r="C455" s="58"/>
    </row>
    <row r="456">
      <c r="A456" s="58"/>
      <c r="B456" s="58"/>
      <c r="C456" s="58"/>
    </row>
    <row r="457">
      <c r="A457" s="58"/>
      <c r="B457" s="58"/>
      <c r="C457" s="58"/>
    </row>
    <row r="458">
      <c r="A458" s="58"/>
      <c r="B458" s="58"/>
      <c r="C458" s="58"/>
    </row>
    <row r="459">
      <c r="A459" s="58"/>
      <c r="B459" s="58"/>
      <c r="C459" s="58"/>
    </row>
    <row r="460">
      <c r="A460" s="58"/>
      <c r="B460" s="58"/>
      <c r="C460" s="58"/>
    </row>
    <row r="461">
      <c r="A461" s="58"/>
      <c r="B461" s="58"/>
      <c r="C461" s="58"/>
    </row>
    <row r="462">
      <c r="A462" s="58"/>
      <c r="B462" s="58"/>
      <c r="C462" s="58"/>
    </row>
    <row r="463">
      <c r="A463" s="58"/>
      <c r="B463" s="58"/>
      <c r="C463" s="58"/>
    </row>
    <row r="464">
      <c r="A464" s="58"/>
      <c r="B464" s="58"/>
      <c r="C464" s="58"/>
    </row>
    <row r="465">
      <c r="A465" s="58"/>
      <c r="B465" s="58"/>
      <c r="C465" s="58"/>
    </row>
    <row r="466">
      <c r="A466" s="58"/>
      <c r="B466" s="58"/>
      <c r="C466" s="58"/>
    </row>
    <row r="467">
      <c r="A467" s="58"/>
      <c r="B467" s="58"/>
      <c r="C467" s="58"/>
    </row>
    <row r="468">
      <c r="A468" s="58"/>
      <c r="B468" s="58"/>
      <c r="C468" s="58"/>
    </row>
    <row r="469">
      <c r="A469" s="58"/>
      <c r="B469" s="58"/>
      <c r="C469" s="58"/>
    </row>
    <row r="470">
      <c r="A470" s="58"/>
      <c r="B470" s="58"/>
      <c r="C470" s="58"/>
    </row>
    <row r="471">
      <c r="A471" s="58"/>
      <c r="B471" s="58"/>
      <c r="C471" s="58"/>
    </row>
    <row r="472">
      <c r="A472" s="58"/>
      <c r="B472" s="58"/>
      <c r="C472" s="58"/>
    </row>
    <row r="473">
      <c r="A473" s="58"/>
      <c r="B473" s="58"/>
      <c r="C473" s="58"/>
    </row>
    <row r="474">
      <c r="A474" s="58"/>
      <c r="B474" s="58"/>
      <c r="C474" s="58"/>
    </row>
    <row r="475">
      <c r="A475" s="58"/>
      <c r="B475" s="58"/>
      <c r="C475" s="58"/>
    </row>
    <row r="476">
      <c r="A476" s="58"/>
      <c r="B476" s="58"/>
      <c r="C476" s="58"/>
    </row>
    <row r="477">
      <c r="A477" s="58"/>
      <c r="B477" s="58"/>
      <c r="C477" s="58"/>
    </row>
    <row r="478">
      <c r="A478" s="58"/>
      <c r="B478" s="58"/>
      <c r="C478" s="58"/>
    </row>
    <row r="479">
      <c r="A479" s="58"/>
      <c r="B479" s="58"/>
      <c r="C479" s="58"/>
    </row>
    <row r="480">
      <c r="A480" s="58"/>
      <c r="B480" s="58"/>
      <c r="C480" s="58"/>
    </row>
    <row r="481">
      <c r="A481" s="58"/>
      <c r="B481" s="58"/>
      <c r="C481" s="58"/>
    </row>
    <row r="482">
      <c r="A482" s="58"/>
      <c r="B482" s="58"/>
      <c r="C482" s="58"/>
    </row>
    <row r="483">
      <c r="A483" s="58"/>
      <c r="B483" s="58"/>
      <c r="C483" s="58"/>
    </row>
    <row r="484">
      <c r="A484" s="58"/>
      <c r="B484" s="58"/>
      <c r="C484" s="58"/>
    </row>
    <row r="485">
      <c r="A485" s="58"/>
      <c r="B485" s="58"/>
      <c r="C485" s="58"/>
    </row>
    <row r="486">
      <c r="A486" s="58"/>
      <c r="B486" s="58"/>
      <c r="C486" s="58"/>
    </row>
    <row r="487">
      <c r="A487" s="58"/>
      <c r="B487" s="58"/>
      <c r="C487" s="58"/>
    </row>
    <row r="488">
      <c r="A488" s="58"/>
      <c r="B488" s="58"/>
      <c r="C488" s="58"/>
    </row>
    <row r="489">
      <c r="A489" s="58"/>
      <c r="B489" s="58"/>
      <c r="C489" s="58"/>
    </row>
    <row r="490">
      <c r="A490" s="58"/>
      <c r="B490" s="58"/>
      <c r="C490" s="58"/>
    </row>
    <row r="491">
      <c r="A491" s="58"/>
      <c r="B491" s="58"/>
      <c r="C491" s="58"/>
    </row>
    <row r="492">
      <c r="A492" s="58"/>
      <c r="B492" s="58"/>
      <c r="C492" s="58"/>
    </row>
    <row r="493">
      <c r="A493" s="58"/>
      <c r="B493" s="58"/>
      <c r="C493" s="58"/>
    </row>
    <row r="494">
      <c r="A494" s="58"/>
      <c r="B494" s="58"/>
      <c r="C494" s="58"/>
    </row>
    <row r="495">
      <c r="A495" s="58"/>
      <c r="B495" s="58"/>
      <c r="C495" s="58"/>
    </row>
    <row r="496">
      <c r="A496" s="58"/>
      <c r="B496" s="58"/>
      <c r="C496" s="58"/>
    </row>
    <row r="497">
      <c r="A497" s="58"/>
      <c r="B497" s="58"/>
      <c r="C497" s="58"/>
    </row>
    <row r="498">
      <c r="A498" s="58"/>
      <c r="B498" s="58"/>
      <c r="C498" s="58"/>
    </row>
    <row r="499">
      <c r="A499" s="58"/>
      <c r="B499" s="58"/>
      <c r="C499" s="58"/>
    </row>
    <row r="500">
      <c r="A500" s="58"/>
      <c r="B500" s="58"/>
      <c r="C500" s="58"/>
    </row>
    <row r="501">
      <c r="A501" s="58"/>
      <c r="B501" s="58"/>
      <c r="C501" s="58"/>
    </row>
    <row r="502">
      <c r="A502" s="58"/>
      <c r="B502" s="58"/>
      <c r="C502" s="58"/>
    </row>
    <row r="503">
      <c r="A503" s="58"/>
      <c r="B503" s="58"/>
      <c r="C503" s="58"/>
    </row>
    <row r="504">
      <c r="A504" s="58"/>
      <c r="B504" s="58"/>
      <c r="C504" s="58"/>
    </row>
    <row r="505">
      <c r="A505" s="58"/>
      <c r="B505" s="58"/>
      <c r="C505" s="58"/>
    </row>
    <row r="506">
      <c r="A506" s="58"/>
      <c r="B506" s="58"/>
      <c r="C506" s="58"/>
    </row>
    <row r="507">
      <c r="A507" s="58"/>
      <c r="B507" s="58"/>
      <c r="C507" s="58"/>
    </row>
    <row r="508">
      <c r="A508" s="58"/>
      <c r="B508" s="58"/>
      <c r="C508" s="58"/>
    </row>
    <row r="509">
      <c r="A509" s="58"/>
      <c r="B509" s="58"/>
      <c r="C509" s="58"/>
    </row>
    <row r="510">
      <c r="A510" s="58"/>
      <c r="B510" s="58"/>
      <c r="C510" s="58"/>
    </row>
    <row r="511">
      <c r="A511" s="58"/>
      <c r="B511" s="58"/>
      <c r="C511" s="58"/>
    </row>
    <row r="512">
      <c r="A512" s="58"/>
      <c r="B512" s="58"/>
      <c r="C512" s="58"/>
    </row>
    <row r="513">
      <c r="A513" s="58"/>
      <c r="B513" s="58"/>
      <c r="C513" s="58"/>
    </row>
    <row r="514">
      <c r="A514" s="58"/>
      <c r="B514" s="58"/>
      <c r="C514" s="58"/>
    </row>
    <row r="515">
      <c r="A515" s="58"/>
      <c r="B515" s="58"/>
      <c r="C515" s="58"/>
    </row>
    <row r="516">
      <c r="A516" s="58"/>
      <c r="B516" s="58"/>
      <c r="C516" s="58"/>
    </row>
    <row r="517">
      <c r="A517" s="58"/>
      <c r="B517" s="58"/>
      <c r="C517" s="58"/>
    </row>
    <row r="518">
      <c r="A518" s="58"/>
      <c r="B518" s="58"/>
      <c r="C518" s="58"/>
    </row>
    <row r="519">
      <c r="A519" s="58"/>
      <c r="B519" s="58"/>
      <c r="C519" s="58"/>
    </row>
    <row r="520">
      <c r="A520" s="58"/>
      <c r="B520" s="58"/>
      <c r="C520" s="58"/>
    </row>
    <row r="521">
      <c r="A521" s="58"/>
      <c r="B521" s="58"/>
      <c r="C521" s="58"/>
    </row>
    <row r="522">
      <c r="A522" s="58"/>
      <c r="B522" s="58"/>
      <c r="C522" s="58"/>
    </row>
    <row r="523">
      <c r="A523" s="58"/>
      <c r="B523" s="58"/>
      <c r="C523" s="58"/>
    </row>
    <row r="524">
      <c r="A524" s="58"/>
      <c r="B524" s="58"/>
      <c r="C524" s="58"/>
    </row>
    <row r="525">
      <c r="A525" s="58"/>
      <c r="B525" s="58"/>
      <c r="C525" s="58"/>
    </row>
    <row r="526">
      <c r="A526" s="58"/>
      <c r="B526" s="58"/>
      <c r="C526" s="58"/>
    </row>
    <row r="527">
      <c r="A527" s="58"/>
      <c r="B527" s="58"/>
      <c r="C527" s="58"/>
    </row>
    <row r="528">
      <c r="A528" s="58"/>
      <c r="B528" s="58"/>
      <c r="C528" s="58"/>
    </row>
    <row r="529">
      <c r="A529" s="58"/>
      <c r="B529" s="58"/>
      <c r="C529" s="58"/>
    </row>
    <row r="530">
      <c r="A530" s="58"/>
      <c r="B530" s="58"/>
      <c r="C530" s="58"/>
    </row>
    <row r="531">
      <c r="A531" s="58"/>
      <c r="B531" s="58"/>
      <c r="C531" s="58"/>
    </row>
    <row r="532">
      <c r="A532" s="58"/>
      <c r="B532" s="58"/>
      <c r="C532" s="58"/>
    </row>
    <row r="533">
      <c r="A533" s="58"/>
      <c r="B533" s="58"/>
      <c r="C533" s="58"/>
    </row>
    <row r="534">
      <c r="A534" s="58"/>
      <c r="B534" s="58"/>
      <c r="C534" s="58"/>
    </row>
    <row r="535">
      <c r="A535" s="58"/>
      <c r="B535" s="58"/>
      <c r="C535" s="58"/>
    </row>
    <row r="536">
      <c r="A536" s="58"/>
      <c r="B536" s="58"/>
      <c r="C536" s="58"/>
    </row>
    <row r="537">
      <c r="A537" s="58"/>
      <c r="B537" s="58"/>
      <c r="C537" s="58"/>
    </row>
    <row r="538">
      <c r="A538" s="58"/>
      <c r="B538" s="58"/>
      <c r="C538" s="58"/>
    </row>
    <row r="539">
      <c r="A539" s="58"/>
      <c r="B539" s="58"/>
      <c r="C539" s="58"/>
    </row>
    <row r="540">
      <c r="A540" s="58"/>
      <c r="B540" s="58"/>
      <c r="C540" s="58"/>
    </row>
    <row r="541">
      <c r="A541" s="58"/>
      <c r="B541" s="58"/>
      <c r="C541" s="58"/>
    </row>
    <row r="542">
      <c r="A542" s="58"/>
      <c r="B542" s="58"/>
      <c r="C542" s="58"/>
    </row>
    <row r="543">
      <c r="A543" s="58"/>
      <c r="B543" s="58"/>
      <c r="C543" s="58"/>
    </row>
    <row r="544">
      <c r="A544" s="58"/>
      <c r="B544" s="58"/>
      <c r="C544" s="58"/>
    </row>
    <row r="545">
      <c r="A545" s="58"/>
      <c r="B545" s="58"/>
      <c r="C545" s="58"/>
    </row>
    <row r="546">
      <c r="A546" s="58"/>
      <c r="B546" s="58"/>
      <c r="C546" s="58"/>
    </row>
    <row r="547">
      <c r="A547" s="58"/>
      <c r="B547" s="58"/>
      <c r="C547" s="58"/>
    </row>
    <row r="548">
      <c r="A548" s="58"/>
      <c r="B548" s="58"/>
      <c r="C548" s="58"/>
    </row>
    <row r="549">
      <c r="A549" s="58"/>
      <c r="B549" s="58"/>
      <c r="C549" s="58"/>
    </row>
    <row r="550">
      <c r="A550" s="58"/>
      <c r="B550" s="58"/>
      <c r="C550" s="58"/>
    </row>
    <row r="551">
      <c r="A551" s="58"/>
      <c r="B551" s="58"/>
      <c r="C551" s="58"/>
    </row>
    <row r="552">
      <c r="A552" s="58"/>
      <c r="B552" s="58"/>
      <c r="C552" s="58"/>
    </row>
    <row r="553">
      <c r="A553" s="58"/>
      <c r="B553" s="58"/>
      <c r="C553" s="58"/>
    </row>
    <row r="554">
      <c r="A554" s="58"/>
      <c r="B554" s="58"/>
      <c r="C554" s="58"/>
    </row>
    <row r="555">
      <c r="A555" s="58"/>
      <c r="B555" s="58"/>
      <c r="C555" s="58"/>
    </row>
    <row r="556">
      <c r="A556" s="58"/>
      <c r="B556" s="58"/>
      <c r="C556" s="58"/>
    </row>
    <row r="557">
      <c r="A557" s="58"/>
      <c r="B557" s="58"/>
      <c r="C557" s="58"/>
    </row>
    <row r="558">
      <c r="A558" s="58"/>
      <c r="B558" s="58"/>
      <c r="C558" s="58"/>
    </row>
    <row r="559">
      <c r="A559" s="58"/>
      <c r="B559" s="58"/>
      <c r="C559" s="58"/>
    </row>
    <row r="560">
      <c r="A560" s="58"/>
      <c r="B560" s="58"/>
      <c r="C560" s="58"/>
    </row>
    <row r="561">
      <c r="A561" s="58"/>
      <c r="B561" s="58"/>
      <c r="C561" s="58"/>
    </row>
    <row r="562">
      <c r="A562" s="58"/>
      <c r="B562" s="58"/>
      <c r="C562" s="58"/>
    </row>
    <row r="563">
      <c r="A563" s="58"/>
      <c r="B563" s="58"/>
      <c r="C563" s="58"/>
    </row>
    <row r="564">
      <c r="A564" s="58"/>
      <c r="B564" s="58"/>
      <c r="C564" s="58"/>
    </row>
    <row r="565">
      <c r="A565" s="58"/>
      <c r="B565" s="58"/>
      <c r="C565" s="58"/>
    </row>
    <row r="566">
      <c r="A566" s="58"/>
      <c r="B566" s="58"/>
      <c r="C566" s="58"/>
    </row>
    <row r="567">
      <c r="A567" s="58"/>
      <c r="B567" s="58"/>
      <c r="C567" s="58"/>
    </row>
    <row r="568">
      <c r="A568" s="58"/>
      <c r="B568" s="58"/>
      <c r="C568" s="58"/>
    </row>
    <row r="569">
      <c r="A569" s="58"/>
      <c r="B569" s="58"/>
      <c r="C569" s="58"/>
    </row>
    <row r="570">
      <c r="A570" s="58"/>
      <c r="B570" s="58"/>
      <c r="C570" s="58"/>
    </row>
    <row r="571">
      <c r="A571" s="58"/>
      <c r="B571" s="58"/>
      <c r="C571" s="58"/>
    </row>
    <row r="572">
      <c r="A572" s="58"/>
      <c r="B572" s="58"/>
      <c r="C572" s="58"/>
    </row>
    <row r="573">
      <c r="A573" s="58"/>
      <c r="B573" s="58"/>
      <c r="C573" s="58"/>
    </row>
    <row r="574">
      <c r="A574" s="58"/>
      <c r="B574" s="58"/>
      <c r="C574" s="58"/>
    </row>
    <row r="575">
      <c r="A575" s="58"/>
      <c r="B575" s="58"/>
      <c r="C575" s="58"/>
    </row>
    <row r="576">
      <c r="A576" s="58"/>
      <c r="B576" s="58"/>
      <c r="C576" s="58"/>
    </row>
    <row r="577">
      <c r="A577" s="58"/>
      <c r="B577" s="58"/>
      <c r="C577" s="58"/>
    </row>
    <row r="578">
      <c r="A578" s="58"/>
      <c r="B578" s="58"/>
      <c r="C578" s="58"/>
    </row>
    <row r="579">
      <c r="A579" s="58"/>
      <c r="B579" s="58"/>
      <c r="C579" s="58"/>
    </row>
    <row r="580">
      <c r="A580" s="58"/>
      <c r="B580" s="58"/>
      <c r="C580" s="58"/>
    </row>
    <row r="581">
      <c r="A581" s="58"/>
      <c r="B581" s="58"/>
      <c r="C581" s="58"/>
    </row>
    <row r="582">
      <c r="A582" s="58"/>
      <c r="B582" s="58"/>
      <c r="C582" s="58"/>
    </row>
    <row r="583">
      <c r="A583" s="58"/>
      <c r="B583" s="58"/>
      <c r="C583" s="58"/>
    </row>
    <row r="584">
      <c r="A584" s="58"/>
      <c r="B584" s="58"/>
      <c r="C584" s="58"/>
    </row>
    <row r="585">
      <c r="A585" s="58"/>
      <c r="B585" s="58"/>
      <c r="C585" s="58"/>
    </row>
    <row r="586">
      <c r="A586" s="58"/>
      <c r="B586" s="58"/>
      <c r="C586" s="58"/>
    </row>
    <row r="587">
      <c r="A587" s="58"/>
      <c r="B587" s="58"/>
      <c r="C587" s="58"/>
    </row>
    <row r="588">
      <c r="A588" s="58"/>
      <c r="B588" s="58"/>
      <c r="C588" s="58"/>
    </row>
    <row r="589">
      <c r="A589" s="58"/>
      <c r="B589" s="58"/>
      <c r="C589" s="58"/>
    </row>
    <row r="590">
      <c r="A590" s="58"/>
      <c r="B590" s="58"/>
      <c r="C590" s="58"/>
    </row>
    <row r="591">
      <c r="A591" s="58"/>
      <c r="B591" s="58"/>
      <c r="C591" s="58"/>
    </row>
    <row r="592">
      <c r="A592" s="58"/>
      <c r="B592" s="58"/>
      <c r="C592" s="58"/>
    </row>
    <row r="593">
      <c r="A593" s="58"/>
      <c r="B593" s="58"/>
      <c r="C593" s="58"/>
    </row>
    <row r="594">
      <c r="A594" s="58"/>
      <c r="B594" s="58"/>
      <c r="C594" s="58"/>
    </row>
    <row r="595">
      <c r="A595" s="58"/>
      <c r="B595" s="58"/>
      <c r="C595" s="58"/>
    </row>
    <row r="596">
      <c r="A596" s="58"/>
      <c r="B596" s="58"/>
      <c r="C596" s="58"/>
    </row>
    <row r="597">
      <c r="A597" s="58"/>
      <c r="B597" s="58"/>
      <c r="C597" s="58"/>
    </row>
    <row r="598">
      <c r="A598" s="58"/>
      <c r="B598" s="58"/>
      <c r="C598" s="58"/>
    </row>
    <row r="599">
      <c r="A599" s="58"/>
      <c r="B599" s="58"/>
      <c r="C599" s="58"/>
    </row>
    <row r="600">
      <c r="A600" s="58"/>
      <c r="B600" s="58"/>
      <c r="C600" s="58"/>
    </row>
    <row r="601">
      <c r="A601" s="58"/>
      <c r="B601" s="58"/>
      <c r="C601" s="58"/>
    </row>
    <row r="602">
      <c r="A602" s="58"/>
      <c r="B602" s="58"/>
      <c r="C602" s="58"/>
    </row>
    <row r="603">
      <c r="A603" s="58"/>
      <c r="B603" s="58"/>
      <c r="C603" s="58"/>
    </row>
    <row r="604">
      <c r="A604" s="58"/>
      <c r="B604" s="58"/>
      <c r="C604" s="58"/>
    </row>
    <row r="605">
      <c r="A605" s="58"/>
      <c r="B605" s="58"/>
      <c r="C605" s="58"/>
    </row>
    <row r="606">
      <c r="A606" s="58"/>
      <c r="B606" s="58"/>
      <c r="C606" s="58"/>
    </row>
    <row r="607">
      <c r="A607" s="58"/>
      <c r="B607" s="58"/>
      <c r="C607" s="58"/>
    </row>
    <row r="608">
      <c r="A608" s="58"/>
      <c r="B608" s="58"/>
      <c r="C608" s="58"/>
    </row>
    <row r="609">
      <c r="A609" s="58"/>
      <c r="B609" s="58"/>
      <c r="C609" s="58"/>
    </row>
    <row r="610">
      <c r="A610" s="58"/>
      <c r="B610" s="58"/>
      <c r="C610" s="58"/>
    </row>
    <row r="611">
      <c r="A611" s="58"/>
      <c r="B611" s="58"/>
      <c r="C611" s="58"/>
    </row>
    <row r="612">
      <c r="A612" s="58"/>
      <c r="B612" s="58"/>
      <c r="C612" s="58"/>
    </row>
    <row r="613">
      <c r="A613" s="58"/>
      <c r="B613" s="58"/>
      <c r="C613" s="58"/>
    </row>
    <row r="614">
      <c r="A614" s="58"/>
      <c r="B614" s="58"/>
      <c r="C614" s="58"/>
    </row>
    <row r="615">
      <c r="A615" s="58"/>
      <c r="B615" s="58"/>
      <c r="C615" s="58"/>
    </row>
    <row r="616">
      <c r="A616" s="58"/>
      <c r="B616" s="58"/>
      <c r="C616" s="58"/>
    </row>
    <row r="617">
      <c r="A617" s="58"/>
      <c r="B617" s="58"/>
      <c r="C617" s="58"/>
    </row>
    <row r="618">
      <c r="A618" s="58"/>
      <c r="B618" s="58"/>
      <c r="C618" s="58"/>
    </row>
    <row r="619">
      <c r="A619" s="58"/>
      <c r="B619" s="58"/>
      <c r="C619" s="58"/>
    </row>
    <row r="620">
      <c r="A620" s="58"/>
      <c r="B620" s="58"/>
      <c r="C620" s="58"/>
    </row>
    <row r="621">
      <c r="A621" s="58"/>
      <c r="B621" s="58"/>
      <c r="C621" s="58"/>
    </row>
    <row r="622">
      <c r="A622" s="58"/>
      <c r="B622" s="58"/>
      <c r="C622" s="58"/>
    </row>
    <row r="623">
      <c r="A623" s="58"/>
      <c r="B623" s="58"/>
      <c r="C623" s="58"/>
    </row>
    <row r="624">
      <c r="A624" s="58"/>
      <c r="B624" s="58"/>
      <c r="C624" s="58"/>
    </row>
    <row r="625">
      <c r="A625" s="58"/>
      <c r="B625" s="58"/>
      <c r="C625" s="58"/>
    </row>
    <row r="626">
      <c r="A626" s="58"/>
      <c r="B626" s="58"/>
      <c r="C626" s="58"/>
    </row>
    <row r="627">
      <c r="A627" s="58"/>
      <c r="B627" s="58"/>
      <c r="C627" s="58"/>
    </row>
    <row r="628">
      <c r="A628" s="58"/>
      <c r="B628" s="58"/>
      <c r="C628" s="58"/>
    </row>
    <row r="629">
      <c r="A629" s="58"/>
      <c r="B629" s="58"/>
      <c r="C629" s="58"/>
    </row>
    <row r="630">
      <c r="A630" s="58"/>
      <c r="B630" s="58"/>
      <c r="C630" s="58"/>
    </row>
    <row r="631">
      <c r="A631" s="58"/>
      <c r="B631" s="58"/>
      <c r="C631" s="58"/>
    </row>
    <row r="632">
      <c r="A632" s="58"/>
      <c r="B632" s="58"/>
      <c r="C632" s="58"/>
    </row>
    <row r="633">
      <c r="A633" s="58"/>
      <c r="B633" s="58"/>
      <c r="C633" s="58"/>
    </row>
    <row r="634">
      <c r="A634" s="58"/>
      <c r="B634" s="58"/>
      <c r="C634" s="58"/>
    </row>
    <row r="635">
      <c r="A635" s="58"/>
      <c r="B635" s="58"/>
      <c r="C635" s="58"/>
    </row>
    <row r="636">
      <c r="A636" s="58"/>
      <c r="B636" s="58"/>
      <c r="C636" s="58"/>
    </row>
    <row r="637">
      <c r="A637" s="58"/>
      <c r="B637" s="58"/>
      <c r="C637" s="58"/>
    </row>
    <row r="638">
      <c r="A638" s="58"/>
      <c r="B638" s="58"/>
      <c r="C638" s="58"/>
    </row>
    <row r="639">
      <c r="A639" s="58"/>
      <c r="B639" s="58"/>
      <c r="C639" s="58"/>
    </row>
    <row r="640">
      <c r="A640" s="58"/>
      <c r="B640" s="58"/>
      <c r="C640" s="58"/>
    </row>
    <row r="641">
      <c r="A641" s="58"/>
      <c r="B641" s="58"/>
      <c r="C641" s="58"/>
    </row>
    <row r="642">
      <c r="A642" s="58"/>
      <c r="B642" s="58"/>
      <c r="C642" s="58"/>
    </row>
    <row r="643">
      <c r="A643" s="58"/>
      <c r="B643" s="58"/>
      <c r="C643" s="58"/>
    </row>
    <row r="644">
      <c r="A644" s="58"/>
      <c r="B644" s="58"/>
      <c r="C644" s="58"/>
    </row>
    <row r="645">
      <c r="A645" s="58"/>
      <c r="B645" s="58"/>
      <c r="C645" s="58"/>
    </row>
    <row r="646">
      <c r="A646" s="58"/>
      <c r="B646" s="58"/>
      <c r="C646" s="58"/>
    </row>
    <row r="647">
      <c r="A647" s="58"/>
      <c r="B647" s="58"/>
      <c r="C647" s="58"/>
    </row>
    <row r="648">
      <c r="A648" s="58"/>
      <c r="B648" s="58"/>
      <c r="C648" s="58"/>
    </row>
    <row r="649">
      <c r="A649" s="58"/>
      <c r="B649" s="58"/>
      <c r="C649" s="58"/>
    </row>
    <row r="650">
      <c r="A650" s="58"/>
      <c r="B650" s="58"/>
      <c r="C650" s="58"/>
    </row>
    <row r="651">
      <c r="A651" s="58"/>
      <c r="B651" s="58"/>
      <c r="C651" s="58"/>
    </row>
    <row r="652">
      <c r="A652" s="58"/>
      <c r="B652" s="58"/>
      <c r="C652" s="58"/>
    </row>
    <row r="653">
      <c r="A653" s="58"/>
      <c r="B653" s="58"/>
      <c r="C653" s="58"/>
    </row>
    <row r="654">
      <c r="A654" s="58"/>
      <c r="B654" s="58"/>
      <c r="C654" s="58"/>
    </row>
    <row r="655">
      <c r="A655" s="58"/>
      <c r="B655" s="58"/>
      <c r="C655" s="58"/>
    </row>
    <row r="656">
      <c r="A656" s="58"/>
      <c r="B656" s="58"/>
      <c r="C656" s="58"/>
    </row>
    <row r="657">
      <c r="A657" s="58"/>
      <c r="B657" s="58"/>
      <c r="C657" s="58"/>
    </row>
    <row r="658">
      <c r="A658" s="58"/>
      <c r="B658" s="58"/>
      <c r="C658" s="58"/>
    </row>
    <row r="659">
      <c r="A659" s="58"/>
      <c r="B659" s="58"/>
      <c r="C659" s="58"/>
    </row>
    <row r="660">
      <c r="A660" s="58"/>
      <c r="B660" s="58"/>
      <c r="C660" s="58"/>
    </row>
    <row r="661">
      <c r="A661" s="58"/>
      <c r="B661" s="58"/>
      <c r="C661" s="58"/>
    </row>
    <row r="662">
      <c r="A662" s="58"/>
      <c r="B662" s="58"/>
      <c r="C662" s="58"/>
    </row>
    <row r="663">
      <c r="A663" s="58"/>
      <c r="B663" s="58"/>
      <c r="C663" s="58"/>
    </row>
    <row r="664">
      <c r="A664" s="58"/>
      <c r="B664" s="58"/>
      <c r="C664" s="58"/>
    </row>
    <row r="665">
      <c r="A665" s="58"/>
      <c r="B665" s="58"/>
      <c r="C665" s="58"/>
    </row>
    <row r="666">
      <c r="A666" s="58"/>
      <c r="B666" s="58"/>
      <c r="C666" s="58"/>
    </row>
    <row r="667">
      <c r="A667" s="58"/>
      <c r="B667" s="58"/>
      <c r="C667" s="58"/>
    </row>
    <row r="668">
      <c r="A668" s="58"/>
      <c r="B668" s="58"/>
      <c r="C668" s="58"/>
    </row>
    <row r="669">
      <c r="A669" s="58"/>
      <c r="B669" s="58"/>
      <c r="C669" s="58"/>
    </row>
    <row r="670">
      <c r="A670" s="58"/>
      <c r="B670" s="58"/>
      <c r="C670" s="58"/>
    </row>
    <row r="671">
      <c r="A671" s="58"/>
      <c r="B671" s="58"/>
      <c r="C671" s="58"/>
    </row>
    <row r="672">
      <c r="A672" s="58"/>
      <c r="B672" s="58"/>
      <c r="C672" s="58"/>
    </row>
    <row r="673">
      <c r="A673" s="58"/>
      <c r="B673" s="58"/>
      <c r="C673" s="58"/>
    </row>
    <row r="674">
      <c r="A674" s="58"/>
      <c r="B674" s="58"/>
      <c r="C674" s="58"/>
    </row>
    <row r="675">
      <c r="A675" s="58"/>
      <c r="B675" s="58"/>
      <c r="C675" s="58"/>
    </row>
    <row r="676">
      <c r="A676" s="58"/>
      <c r="B676" s="58"/>
      <c r="C676" s="58"/>
    </row>
    <row r="677">
      <c r="A677" s="58"/>
      <c r="B677" s="58"/>
      <c r="C677" s="58"/>
    </row>
    <row r="678">
      <c r="A678" s="58"/>
      <c r="B678" s="58"/>
      <c r="C678" s="58"/>
    </row>
    <row r="679">
      <c r="A679" s="58"/>
      <c r="B679" s="58"/>
      <c r="C679" s="58"/>
    </row>
    <row r="680">
      <c r="A680" s="58"/>
      <c r="B680" s="58"/>
      <c r="C680" s="58"/>
    </row>
    <row r="681">
      <c r="A681" s="58"/>
      <c r="B681" s="58"/>
      <c r="C681" s="58"/>
    </row>
    <row r="682">
      <c r="A682" s="58"/>
      <c r="B682" s="58"/>
      <c r="C682" s="58"/>
    </row>
    <row r="683">
      <c r="A683" s="58"/>
      <c r="B683" s="58"/>
      <c r="C683" s="58"/>
    </row>
    <row r="684">
      <c r="A684" s="58"/>
      <c r="B684" s="58"/>
      <c r="C684" s="58"/>
    </row>
    <row r="685">
      <c r="A685" s="58"/>
      <c r="B685" s="58"/>
      <c r="C685" s="58"/>
    </row>
    <row r="686">
      <c r="A686" s="58"/>
      <c r="B686" s="58"/>
      <c r="C686" s="58"/>
    </row>
    <row r="687">
      <c r="A687" s="58"/>
      <c r="B687" s="58"/>
      <c r="C687" s="58"/>
    </row>
    <row r="688">
      <c r="A688" s="58"/>
      <c r="B688" s="58"/>
      <c r="C688" s="58"/>
    </row>
    <row r="689">
      <c r="A689" s="58"/>
      <c r="B689" s="58"/>
      <c r="C689" s="58"/>
    </row>
    <row r="690">
      <c r="A690" s="58"/>
      <c r="B690" s="58"/>
      <c r="C690" s="58"/>
    </row>
    <row r="691">
      <c r="A691" s="58"/>
      <c r="B691" s="58"/>
      <c r="C691" s="58"/>
    </row>
    <row r="692">
      <c r="A692" s="58"/>
      <c r="B692" s="58"/>
      <c r="C692" s="58"/>
    </row>
    <row r="693">
      <c r="A693" s="58"/>
      <c r="B693" s="58"/>
      <c r="C693" s="58"/>
    </row>
    <row r="694">
      <c r="A694" s="58"/>
      <c r="B694" s="58"/>
      <c r="C694" s="58"/>
    </row>
    <row r="695">
      <c r="A695" s="58"/>
      <c r="B695" s="58"/>
      <c r="C695" s="58"/>
    </row>
    <row r="696">
      <c r="A696" s="58"/>
      <c r="B696" s="58"/>
      <c r="C696" s="58"/>
    </row>
    <row r="697">
      <c r="A697" s="58"/>
      <c r="B697" s="58"/>
      <c r="C697" s="58"/>
    </row>
    <row r="698">
      <c r="A698" s="58"/>
      <c r="B698" s="58"/>
      <c r="C698" s="58"/>
    </row>
    <row r="699">
      <c r="A699" s="58"/>
      <c r="B699" s="58"/>
      <c r="C699" s="58"/>
    </row>
    <row r="700">
      <c r="A700" s="58"/>
      <c r="B700" s="58"/>
      <c r="C700" s="58"/>
    </row>
    <row r="701">
      <c r="A701" s="58"/>
      <c r="B701" s="58"/>
      <c r="C701" s="58"/>
    </row>
    <row r="702">
      <c r="A702" s="58"/>
      <c r="B702" s="58"/>
      <c r="C702" s="58"/>
    </row>
    <row r="703">
      <c r="A703" s="58"/>
      <c r="B703" s="58"/>
      <c r="C703" s="58"/>
    </row>
    <row r="704">
      <c r="A704" s="58"/>
      <c r="B704" s="58"/>
      <c r="C704" s="58"/>
    </row>
    <row r="705">
      <c r="A705" s="58"/>
      <c r="B705" s="58"/>
      <c r="C705" s="58"/>
    </row>
    <row r="706">
      <c r="A706" s="58"/>
      <c r="B706" s="58"/>
      <c r="C706" s="58"/>
    </row>
    <row r="707">
      <c r="A707" s="58"/>
      <c r="B707" s="58"/>
      <c r="C707" s="58"/>
    </row>
    <row r="708">
      <c r="A708" s="58"/>
      <c r="B708" s="58"/>
      <c r="C708" s="58"/>
    </row>
    <row r="709">
      <c r="A709" s="58"/>
      <c r="B709" s="58"/>
      <c r="C709" s="58"/>
    </row>
    <row r="710">
      <c r="A710" s="58"/>
      <c r="B710" s="58"/>
      <c r="C710" s="58"/>
    </row>
    <row r="711">
      <c r="A711" s="58"/>
      <c r="B711" s="58"/>
      <c r="C711" s="58"/>
    </row>
    <row r="712">
      <c r="A712" s="58"/>
      <c r="B712" s="58"/>
      <c r="C712" s="58"/>
    </row>
    <row r="713">
      <c r="A713" s="58"/>
      <c r="B713" s="58"/>
      <c r="C713" s="58"/>
    </row>
    <row r="714">
      <c r="A714" s="58"/>
      <c r="B714" s="58"/>
      <c r="C714" s="58"/>
    </row>
    <row r="715">
      <c r="A715" s="58"/>
      <c r="B715" s="58"/>
      <c r="C715" s="58"/>
    </row>
    <row r="716">
      <c r="A716" s="58"/>
      <c r="B716" s="58"/>
      <c r="C716" s="58"/>
    </row>
    <row r="717">
      <c r="A717" s="58"/>
      <c r="B717" s="58"/>
      <c r="C717" s="58"/>
    </row>
    <row r="718">
      <c r="A718" s="58"/>
      <c r="B718" s="58"/>
      <c r="C718" s="58"/>
    </row>
    <row r="719">
      <c r="A719" s="58"/>
      <c r="B719" s="58"/>
      <c r="C719" s="58"/>
    </row>
    <row r="720">
      <c r="A720" s="58"/>
      <c r="B720" s="58"/>
      <c r="C720" s="58"/>
    </row>
    <row r="721">
      <c r="A721" s="58"/>
      <c r="B721" s="58"/>
      <c r="C721" s="58"/>
    </row>
    <row r="722">
      <c r="A722" s="58"/>
      <c r="B722" s="58"/>
      <c r="C722" s="58"/>
    </row>
    <row r="723">
      <c r="A723" s="58"/>
      <c r="B723" s="58"/>
      <c r="C723" s="58"/>
    </row>
    <row r="724">
      <c r="A724" s="58"/>
      <c r="B724" s="58"/>
      <c r="C724" s="58"/>
    </row>
    <row r="725">
      <c r="A725" s="58"/>
      <c r="B725" s="58"/>
      <c r="C725" s="58"/>
    </row>
    <row r="726">
      <c r="A726" s="58"/>
      <c r="B726" s="58"/>
      <c r="C726" s="58"/>
    </row>
    <row r="727">
      <c r="A727" s="58"/>
      <c r="B727" s="58"/>
      <c r="C727" s="58"/>
    </row>
    <row r="728">
      <c r="A728" s="58"/>
      <c r="B728" s="58"/>
      <c r="C728" s="58"/>
    </row>
    <row r="729">
      <c r="A729" s="58"/>
      <c r="B729" s="58"/>
      <c r="C729" s="58"/>
    </row>
    <row r="730">
      <c r="A730" s="58"/>
      <c r="B730" s="58"/>
      <c r="C730" s="58"/>
    </row>
    <row r="731">
      <c r="A731" s="58"/>
      <c r="B731" s="58"/>
      <c r="C731" s="58"/>
    </row>
    <row r="732">
      <c r="A732" s="58"/>
      <c r="B732" s="58"/>
      <c r="C732" s="58"/>
    </row>
    <row r="733">
      <c r="A733" s="58"/>
      <c r="B733" s="58"/>
      <c r="C733" s="58"/>
    </row>
    <row r="734">
      <c r="A734" s="58"/>
      <c r="B734" s="58"/>
      <c r="C734" s="58"/>
    </row>
    <row r="735">
      <c r="A735" s="58"/>
      <c r="B735" s="58"/>
      <c r="C735" s="58"/>
    </row>
    <row r="736">
      <c r="A736" s="58"/>
      <c r="B736" s="58"/>
      <c r="C736" s="58"/>
    </row>
    <row r="737">
      <c r="A737" s="58"/>
      <c r="B737" s="58"/>
      <c r="C737" s="58"/>
    </row>
    <row r="738">
      <c r="A738" s="58"/>
      <c r="B738" s="58"/>
      <c r="C738" s="58"/>
    </row>
    <row r="739">
      <c r="A739" s="58"/>
      <c r="B739" s="58"/>
      <c r="C739" s="58"/>
    </row>
    <row r="740">
      <c r="A740" s="58"/>
      <c r="B740" s="58"/>
      <c r="C740" s="58"/>
    </row>
    <row r="741">
      <c r="A741" s="58"/>
      <c r="B741" s="58"/>
      <c r="C741" s="58"/>
    </row>
    <row r="742">
      <c r="A742" s="58"/>
      <c r="B742" s="58"/>
      <c r="C742" s="58"/>
    </row>
    <row r="743">
      <c r="A743" s="58"/>
      <c r="B743" s="58"/>
      <c r="C743" s="58"/>
    </row>
    <row r="744">
      <c r="A744" s="58"/>
      <c r="B744" s="58"/>
      <c r="C744" s="58"/>
    </row>
    <row r="745">
      <c r="A745" s="58"/>
      <c r="B745" s="58"/>
      <c r="C745" s="58"/>
    </row>
    <row r="746">
      <c r="A746" s="58"/>
      <c r="B746" s="58"/>
      <c r="C746" s="58"/>
    </row>
    <row r="747">
      <c r="A747" s="58"/>
      <c r="B747" s="58"/>
      <c r="C747" s="58"/>
    </row>
    <row r="748">
      <c r="A748" s="58"/>
      <c r="B748" s="58"/>
      <c r="C748" s="58"/>
    </row>
    <row r="749">
      <c r="A749" s="58"/>
      <c r="B749" s="58"/>
      <c r="C749" s="58"/>
    </row>
    <row r="750">
      <c r="A750" s="58"/>
      <c r="B750" s="58"/>
      <c r="C750" s="58"/>
    </row>
    <row r="751">
      <c r="A751" s="58"/>
      <c r="B751" s="58"/>
      <c r="C751" s="58"/>
    </row>
    <row r="752">
      <c r="A752" s="58"/>
      <c r="B752" s="58"/>
      <c r="C752" s="58"/>
    </row>
    <row r="753">
      <c r="A753" s="58"/>
      <c r="B753" s="58"/>
      <c r="C753" s="58"/>
    </row>
    <row r="754">
      <c r="A754" s="58"/>
      <c r="B754" s="58"/>
      <c r="C754" s="58"/>
    </row>
    <row r="755">
      <c r="A755" s="58"/>
      <c r="B755" s="58"/>
      <c r="C755" s="58"/>
    </row>
    <row r="756">
      <c r="A756" s="58"/>
      <c r="B756" s="58"/>
      <c r="C756" s="58"/>
    </row>
    <row r="757">
      <c r="A757" s="58"/>
      <c r="B757" s="58"/>
      <c r="C757" s="58"/>
    </row>
    <row r="758">
      <c r="A758" s="58"/>
      <c r="B758" s="58"/>
      <c r="C758" s="58"/>
    </row>
    <row r="759">
      <c r="A759" s="58"/>
      <c r="B759" s="58"/>
      <c r="C759" s="58"/>
    </row>
    <row r="760">
      <c r="A760" s="58"/>
      <c r="B760" s="58"/>
      <c r="C760" s="58"/>
    </row>
    <row r="761">
      <c r="A761" s="58"/>
      <c r="B761" s="58"/>
      <c r="C761" s="58"/>
    </row>
    <row r="762">
      <c r="A762" s="58"/>
      <c r="B762" s="58"/>
      <c r="C762" s="58"/>
    </row>
    <row r="763">
      <c r="A763" s="58"/>
      <c r="B763" s="58"/>
      <c r="C763" s="58"/>
    </row>
    <row r="764">
      <c r="A764" s="58"/>
      <c r="B764" s="58"/>
      <c r="C764" s="58"/>
    </row>
    <row r="765">
      <c r="A765" s="58"/>
      <c r="B765" s="58"/>
      <c r="C765" s="58"/>
    </row>
    <row r="766">
      <c r="A766" s="58"/>
      <c r="B766" s="58"/>
      <c r="C766" s="58"/>
    </row>
    <row r="767">
      <c r="A767" s="58"/>
      <c r="B767" s="58"/>
      <c r="C767" s="58"/>
    </row>
    <row r="768">
      <c r="A768" s="58"/>
      <c r="B768" s="58"/>
      <c r="C768" s="58"/>
    </row>
    <row r="769">
      <c r="A769" s="58"/>
      <c r="B769" s="58"/>
      <c r="C769" s="58"/>
    </row>
    <row r="770">
      <c r="A770" s="58"/>
      <c r="B770" s="58"/>
      <c r="C770" s="58"/>
    </row>
    <row r="771">
      <c r="A771" s="58"/>
      <c r="B771" s="58"/>
      <c r="C771" s="58"/>
    </row>
    <row r="772">
      <c r="A772" s="58"/>
      <c r="B772" s="58"/>
      <c r="C772" s="58"/>
    </row>
    <row r="773">
      <c r="A773" s="58"/>
      <c r="B773" s="58"/>
      <c r="C773" s="58"/>
    </row>
    <row r="774">
      <c r="A774" s="58"/>
      <c r="B774" s="58"/>
      <c r="C774" s="58"/>
    </row>
    <row r="775">
      <c r="A775" s="58"/>
      <c r="B775" s="58"/>
      <c r="C775" s="58"/>
    </row>
    <row r="776">
      <c r="A776" s="58"/>
      <c r="B776" s="58"/>
      <c r="C776" s="58"/>
    </row>
    <row r="777">
      <c r="A777" s="58"/>
      <c r="B777" s="58"/>
      <c r="C777" s="58"/>
    </row>
    <row r="778">
      <c r="A778" s="58"/>
      <c r="B778" s="58"/>
      <c r="C778" s="58"/>
    </row>
    <row r="779">
      <c r="A779" s="58"/>
      <c r="B779" s="58"/>
      <c r="C779" s="58"/>
    </row>
    <row r="780">
      <c r="A780" s="58"/>
      <c r="B780" s="58"/>
      <c r="C780" s="58"/>
    </row>
    <row r="781">
      <c r="A781" s="58"/>
      <c r="B781" s="58"/>
      <c r="C781" s="58"/>
    </row>
    <row r="782">
      <c r="A782" s="58"/>
      <c r="B782" s="58"/>
      <c r="C782" s="58"/>
    </row>
    <row r="783">
      <c r="A783" s="58"/>
      <c r="B783" s="58"/>
      <c r="C783" s="58"/>
    </row>
    <row r="784">
      <c r="A784" s="58"/>
      <c r="B784" s="58"/>
      <c r="C784" s="58"/>
    </row>
    <row r="785">
      <c r="A785" s="58"/>
      <c r="B785" s="58"/>
      <c r="C785" s="58"/>
    </row>
    <row r="786">
      <c r="A786" s="58"/>
      <c r="B786" s="58"/>
      <c r="C786" s="58"/>
    </row>
    <row r="787">
      <c r="A787" s="58"/>
      <c r="B787" s="58"/>
      <c r="C787" s="58"/>
    </row>
    <row r="788">
      <c r="A788" s="58"/>
      <c r="B788" s="58"/>
      <c r="C788" s="58"/>
    </row>
    <row r="789">
      <c r="A789" s="58"/>
      <c r="B789" s="58"/>
      <c r="C789" s="58"/>
    </row>
    <row r="790">
      <c r="A790" s="58"/>
      <c r="B790" s="58"/>
      <c r="C790" s="58"/>
    </row>
    <row r="791">
      <c r="A791" s="58"/>
      <c r="B791" s="58"/>
      <c r="C791" s="58"/>
    </row>
    <row r="792">
      <c r="A792" s="58"/>
      <c r="B792" s="58"/>
      <c r="C792" s="58"/>
    </row>
    <row r="793">
      <c r="A793" s="58"/>
      <c r="B793" s="58"/>
      <c r="C793" s="58"/>
    </row>
    <row r="794">
      <c r="A794" s="58"/>
      <c r="B794" s="58"/>
      <c r="C794" s="58"/>
    </row>
    <row r="795">
      <c r="A795" s="58"/>
      <c r="B795" s="58"/>
      <c r="C795" s="58"/>
    </row>
    <row r="796">
      <c r="A796" s="58"/>
      <c r="B796" s="58"/>
      <c r="C796" s="58"/>
    </row>
    <row r="797">
      <c r="A797" s="58"/>
      <c r="B797" s="58"/>
      <c r="C797" s="58"/>
    </row>
    <row r="798">
      <c r="A798" s="58"/>
      <c r="B798" s="58"/>
      <c r="C798" s="58"/>
    </row>
    <row r="799">
      <c r="A799" s="58"/>
      <c r="B799" s="58"/>
      <c r="C799" s="58"/>
    </row>
    <row r="800">
      <c r="A800" s="58"/>
      <c r="B800" s="58"/>
      <c r="C800" s="58"/>
    </row>
    <row r="801">
      <c r="A801" s="58"/>
      <c r="B801" s="58"/>
      <c r="C801" s="58"/>
    </row>
    <row r="802">
      <c r="A802" s="58"/>
      <c r="B802" s="58"/>
      <c r="C802" s="58"/>
    </row>
    <row r="803">
      <c r="A803" s="58"/>
      <c r="B803" s="58"/>
      <c r="C803" s="58"/>
    </row>
    <row r="804">
      <c r="A804" s="58"/>
      <c r="B804" s="58"/>
      <c r="C804" s="58"/>
    </row>
    <row r="805">
      <c r="A805" s="58"/>
      <c r="B805" s="58"/>
      <c r="C805" s="58"/>
    </row>
    <row r="806">
      <c r="A806" s="58"/>
      <c r="B806" s="58"/>
      <c r="C806" s="58"/>
    </row>
    <row r="807">
      <c r="A807" s="58"/>
      <c r="B807" s="58"/>
      <c r="C807" s="58"/>
    </row>
    <row r="808">
      <c r="A808" s="58"/>
      <c r="B808" s="58"/>
      <c r="C808" s="58"/>
    </row>
    <row r="809">
      <c r="A809" s="58"/>
      <c r="B809" s="58"/>
      <c r="C809" s="58"/>
    </row>
    <row r="810">
      <c r="A810" s="58"/>
      <c r="B810" s="58"/>
      <c r="C810" s="58"/>
    </row>
    <row r="811">
      <c r="A811" s="58"/>
      <c r="B811" s="58"/>
      <c r="C811" s="58"/>
    </row>
    <row r="812">
      <c r="A812" s="58"/>
      <c r="B812" s="58"/>
      <c r="C812" s="58"/>
    </row>
    <row r="813">
      <c r="A813" s="58"/>
      <c r="B813" s="58"/>
      <c r="C813" s="58"/>
    </row>
    <row r="814">
      <c r="A814" s="58"/>
      <c r="B814" s="58"/>
      <c r="C814" s="58"/>
    </row>
    <row r="815">
      <c r="A815" s="58"/>
      <c r="B815" s="58"/>
      <c r="C815" s="58"/>
    </row>
    <row r="816">
      <c r="A816" s="58"/>
      <c r="B816" s="58"/>
      <c r="C816" s="58"/>
    </row>
    <row r="817">
      <c r="A817" s="58"/>
      <c r="B817" s="58"/>
      <c r="C817" s="58"/>
    </row>
    <row r="818">
      <c r="A818" s="58"/>
      <c r="B818" s="58"/>
      <c r="C818" s="58"/>
    </row>
    <row r="819">
      <c r="A819" s="58"/>
      <c r="B819" s="58"/>
      <c r="C819" s="58"/>
    </row>
    <row r="820">
      <c r="A820" s="58"/>
      <c r="B820" s="58"/>
      <c r="C820" s="58"/>
    </row>
    <row r="821">
      <c r="A821" s="58"/>
      <c r="B821" s="58"/>
      <c r="C821" s="58"/>
    </row>
    <row r="822">
      <c r="A822" s="58"/>
      <c r="B822" s="58"/>
      <c r="C822" s="58"/>
    </row>
    <row r="823">
      <c r="A823" s="58"/>
      <c r="B823" s="58"/>
      <c r="C823" s="58"/>
    </row>
    <row r="824">
      <c r="A824" s="58"/>
      <c r="B824" s="58"/>
      <c r="C824" s="58"/>
    </row>
    <row r="825">
      <c r="A825" s="58"/>
      <c r="B825" s="58"/>
      <c r="C825" s="58"/>
    </row>
    <row r="826">
      <c r="A826" s="58"/>
      <c r="B826" s="58"/>
      <c r="C826" s="58"/>
    </row>
    <row r="827">
      <c r="A827" s="58"/>
      <c r="B827" s="58"/>
      <c r="C827" s="58"/>
    </row>
    <row r="828">
      <c r="A828" s="58"/>
      <c r="B828" s="58"/>
      <c r="C828" s="58"/>
    </row>
    <row r="829">
      <c r="A829" s="58"/>
      <c r="B829" s="58"/>
      <c r="C829" s="58"/>
    </row>
    <row r="830">
      <c r="A830" s="58"/>
      <c r="B830" s="58"/>
      <c r="C830" s="58"/>
    </row>
    <row r="831">
      <c r="A831" s="58"/>
      <c r="B831" s="58"/>
      <c r="C831" s="58"/>
    </row>
    <row r="832">
      <c r="A832" s="58"/>
      <c r="B832" s="58"/>
      <c r="C832" s="58"/>
    </row>
    <row r="833">
      <c r="A833" s="58"/>
      <c r="B833" s="58"/>
      <c r="C833" s="58"/>
    </row>
    <row r="834">
      <c r="A834" s="58"/>
      <c r="B834" s="58"/>
      <c r="C834" s="58"/>
    </row>
    <row r="835">
      <c r="A835" s="58"/>
      <c r="B835" s="58"/>
      <c r="C835" s="58"/>
    </row>
    <row r="836">
      <c r="A836" s="58"/>
      <c r="B836" s="58"/>
      <c r="C836" s="58"/>
    </row>
    <row r="837">
      <c r="A837" s="58"/>
      <c r="B837" s="58"/>
      <c r="C837" s="58"/>
    </row>
    <row r="838">
      <c r="A838" s="58"/>
      <c r="B838" s="58"/>
      <c r="C838" s="58"/>
    </row>
    <row r="839">
      <c r="A839" s="58"/>
      <c r="B839" s="58"/>
      <c r="C839" s="58"/>
    </row>
    <row r="840">
      <c r="A840" s="58"/>
      <c r="B840" s="58"/>
      <c r="C840" s="58"/>
    </row>
    <row r="841">
      <c r="A841" s="58"/>
      <c r="B841" s="58"/>
      <c r="C841" s="58"/>
    </row>
    <row r="842">
      <c r="A842" s="58"/>
      <c r="B842" s="58"/>
      <c r="C842" s="58"/>
    </row>
    <row r="843">
      <c r="A843" s="58"/>
      <c r="B843" s="58"/>
      <c r="C843" s="58"/>
    </row>
    <row r="844">
      <c r="A844" s="58"/>
      <c r="B844" s="58"/>
      <c r="C844" s="58"/>
    </row>
    <row r="845">
      <c r="A845" s="58"/>
      <c r="B845" s="58"/>
      <c r="C845" s="58"/>
    </row>
    <row r="846">
      <c r="A846" s="58"/>
      <c r="B846" s="58"/>
      <c r="C846" s="58"/>
    </row>
    <row r="847">
      <c r="A847" s="58"/>
      <c r="B847" s="58"/>
      <c r="C847" s="58"/>
    </row>
    <row r="848">
      <c r="A848" s="58"/>
      <c r="B848" s="58"/>
      <c r="C848" s="58"/>
    </row>
    <row r="849">
      <c r="A849" s="58"/>
      <c r="B849" s="58"/>
      <c r="C849" s="58"/>
    </row>
    <row r="850">
      <c r="A850" s="58"/>
      <c r="B850" s="58"/>
      <c r="C850" s="58"/>
    </row>
    <row r="851">
      <c r="A851" s="58"/>
      <c r="B851" s="58"/>
      <c r="C851" s="58"/>
    </row>
    <row r="852">
      <c r="A852" s="58"/>
      <c r="B852" s="58"/>
      <c r="C852" s="58"/>
    </row>
    <row r="853">
      <c r="A853" s="58"/>
      <c r="B853" s="58"/>
      <c r="C853" s="58"/>
    </row>
    <row r="854">
      <c r="A854" s="58"/>
      <c r="B854" s="58"/>
      <c r="C854" s="58"/>
    </row>
    <row r="855">
      <c r="A855" s="58"/>
      <c r="B855" s="58"/>
      <c r="C855" s="58"/>
    </row>
    <row r="856">
      <c r="A856" s="58"/>
      <c r="B856" s="58"/>
      <c r="C856" s="58"/>
    </row>
    <row r="857">
      <c r="A857" s="58"/>
      <c r="B857" s="58"/>
      <c r="C857" s="58"/>
    </row>
    <row r="858">
      <c r="A858" s="58"/>
      <c r="B858" s="58"/>
      <c r="C858" s="58"/>
    </row>
    <row r="859">
      <c r="A859" s="58"/>
      <c r="B859" s="58"/>
      <c r="C859" s="58"/>
    </row>
    <row r="860">
      <c r="A860" s="58"/>
      <c r="B860" s="58"/>
      <c r="C860" s="58"/>
    </row>
    <row r="861">
      <c r="A861" s="58"/>
      <c r="B861" s="58"/>
      <c r="C861" s="58"/>
    </row>
    <row r="862">
      <c r="A862" s="58"/>
      <c r="B862" s="58"/>
      <c r="C862" s="58"/>
    </row>
    <row r="863">
      <c r="A863" s="58"/>
      <c r="B863" s="58"/>
      <c r="C863" s="58"/>
    </row>
    <row r="864">
      <c r="A864" s="58"/>
      <c r="B864" s="58"/>
      <c r="C864" s="58"/>
    </row>
    <row r="865">
      <c r="A865" s="58"/>
      <c r="B865" s="58"/>
      <c r="C865" s="58"/>
    </row>
    <row r="866">
      <c r="A866" s="58"/>
      <c r="B866" s="58"/>
      <c r="C866" s="58"/>
    </row>
    <row r="867">
      <c r="A867" s="58"/>
      <c r="B867" s="58"/>
      <c r="C867" s="58"/>
    </row>
    <row r="868">
      <c r="A868" s="58"/>
      <c r="B868" s="58"/>
      <c r="C868" s="58"/>
    </row>
    <row r="869">
      <c r="A869" s="58"/>
      <c r="B869" s="58"/>
      <c r="C869" s="58"/>
    </row>
    <row r="870">
      <c r="A870" s="58"/>
      <c r="B870" s="58"/>
      <c r="C870" s="58"/>
    </row>
    <row r="871">
      <c r="A871" s="58"/>
      <c r="B871" s="58"/>
      <c r="C871" s="58"/>
    </row>
    <row r="872">
      <c r="A872" s="58"/>
      <c r="B872" s="58"/>
      <c r="C872" s="58"/>
    </row>
    <row r="873">
      <c r="A873" s="58"/>
      <c r="B873" s="58"/>
      <c r="C873" s="58"/>
    </row>
    <row r="874">
      <c r="A874" s="58"/>
      <c r="B874" s="58"/>
      <c r="C874" s="58"/>
    </row>
    <row r="875">
      <c r="A875" s="58"/>
      <c r="B875" s="58"/>
      <c r="C875" s="58"/>
    </row>
    <row r="876">
      <c r="A876" s="58"/>
      <c r="B876" s="58"/>
      <c r="C876" s="58"/>
    </row>
    <row r="877">
      <c r="A877" s="58"/>
      <c r="B877" s="58"/>
      <c r="C877" s="58"/>
    </row>
    <row r="878">
      <c r="A878" s="58"/>
      <c r="B878" s="58"/>
      <c r="C878" s="58"/>
    </row>
    <row r="879">
      <c r="A879" s="58"/>
      <c r="B879" s="58"/>
      <c r="C879" s="58"/>
    </row>
    <row r="880">
      <c r="A880" s="58"/>
      <c r="B880" s="58"/>
      <c r="C880" s="58"/>
    </row>
    <row r="881">
      <c r="A881" s="58"/>
      <c r="B881" s="58"/>
      <c r="C881" s="58"/>
    </row>
    <row r="882">
      <c r="A882" s="58"/>
      <c r="B882" s="58"/>
      <c r="C882" s="58"/>
    </row>
    <row r="883">
      <c r="A883" s="58"/>
      <c r="B883" s="58"/>
      <c r="C883" s="58"/>
    </row>
    <row r="884">
      <c r="A884" s="58"/>
      <c r="B884" s="58"/>
      <c r="C884" s="58"/>
    </row>
    <row r="885">
      <c r="A885" s="58"/>
      <c r="B885" s="58"/>
      <c r="C885" s="58"/>
    </row>
    <row r="886">
      <c r="A886" s="58"/>
      <c r="B886" s="58"/>
      <c r="C886" s="58"/>
    </row>
    <row r="887">
      <c r="A887" s="58"/>
      <c r="B887" s="58"/>
      <c r="C887" s="58"/>
    </row>
    <row r="888">
      <c r="A888" s="58"/>
      <c r="B888" s="58"/>
      <c r="C888" s="58"/>
    </row>
    <row r="889">
      <c r="A889" s="58"/>
      <c r="B889" s="58"/>
      <c r="C889" s="58"/>
    </row>
    <row r="890">
      <c r="A890" s="58"/>
      <c r="B890" s="58"/>
      <c r="C890" s="58"/>
    </row>
    <row r="891">
      <c r="A891" s="58"/>
      <c r="B891" s="58"/>
      <c r="C891" s="58"/>
    </row>
    <row r="892">
      <c r="A892" s="58"/>
      <c r="B892" s="58"/>
      <c r="C892" s="58"/>
    </row>
    <row r="893">
      <c r="A893" s="58"/>
      <c r="B893" s="58"/>
      <c r="C893" s="58"/>
    </row>
    <row r="894">
      <c r="A894" s="58"/>
      <c r="B894" s="58"/>
      <c r="C894" s="58"/>
    </row>
    <row r="895">
      <c r="A895" s="58"/>
      <c r="B895" s="58"/>
      <c r="C895" s="58"/>
    </row>
    <row r="896">
      <c r="A896" s="58"/>
      <c r="B896" s="58"/>
      <c r="C896" s="58"/>
    </row>
    <row r="897">
      <c r="A897" s="58"/>
      <c r="B897" s="58"/>
      <c r="C897" s="58"/>
    </row>
    <row r="898">
      <c r="A898" s="58"/>
      <c r="B898" s="58"/>
      <c r="C898" s="58"/>
    </row>
    <row r="899">
      <c r="A899" s="58"/>
      <c r="B899" s="58"/>
      <c r="C899" s="58"/>
    </row>
    <row r="900">
      <c r="A900" s="58"/>
      <c r="B900" s="58"/>
      <c r="C900" s="58"/>
    </row>
    <row r="901">
      <c r="A901" s="58"/>
      <c r="B901" s="58"/>
      <c r="C901" s="58"/>
    </row>
    <row r="902">
      <c r="A902" s="58"/>
      <c r="B902" s="58"/>
      <c r="C902" s="58"/>
    </row>
    <row r="903">
      <c r="A903" s="58"/>
      <c r="B903" s="58"/>
      <c r="C903" s="58"/>
    </row>
    <row r="904">
      <c r="A904" s="58"/>
      <c r="B904" s="58"/>
      <c r="C904" s="58"/>
    </row>
    <row r="905">
      <c r="A905" s="58"/>
      <c r="B905" s="58"/>
      <c r="C905" s="58"/>
    </row>
    <row r="906">
      <c r="A906" s="58"/>
      <c r="B906" s="58"/>
      <c r="C906" s="58"/>
    </row>
    <row r="907">
      <c r="A907" s="58"/>
      <c r="B907" s="58"/>
      <c r="C907" s="58"/>
    </row>
    <row r="908">
      <c r="A908" s="58"/>
      <c r="B908" s="58"/>
      <c r="C908" s="58"/>
    </row>
    <row r="909">
      <c r="A909" s="58"/>
      <c r="B909" s="58"/>
      <c r="C909" s="58"/>
    </row>
    <row r="910">
      <c r="A910" s="58"/>
      <c r="B910" s="58"/>
      <c r="C910" s="58"/>
    </row>
    <row r="911">
      <c r="A911" s="58"/>
      <c r="B911" s="58"/>
      <c r="C911" s="58"/>
    </row>
    <row r="912">
      <c r="A912" s="58"/>
      <c r="B912" s="58"/>
      <c r="C912" s="58"/>
    </row>
    <row r="913">
      <c r="A913" s="58"/>
      <c r="B913" s="58"/>
      <c r="C913" s="58"/>
    </row>
    <row r="914">
      <c r="A914" s="58"/>
      <c r="B914" s="58"/>
      <c r="C914" s="58"/>
    </row>
    <row r="915">
      <c r="A915" s="58"/>
      <c r="B915" s="58"/>
      <c r="C915" s="58"/>
    </row>
    <row r="916">
      <c r="A916" s="58"/>
      <c r="B916" s="58"/>
      <c r="C916" s="58"/>
    </row>
    <row r="917">
      <c r="A917" s="58"/>
      <c r="B917" s="58"/>
      <c r="C917" s="58"/>
    </row>
    <row r="918">
      <c r="A918" s="58"/>
      <c r="B918" s="58"/>
      <c r="C918" s="58"/>
    </row>
    <row r="919">
      <c r="A919" s="58"/>
      <c r="B919" s="58"/>
      <c r="C919" s="58"/>
    </row>
    <row r="920">
      <c r="A920" s="58"/>
      <c r="B920" s="58"/>
      <c r="C920" s="58"/>
    </row>
    <row r="921">
      <c r="A921" s="58"/>
      <c r="B921" s="58"/>
      <c r="C921" s="58"/>
    </row>
    <row r="922">
      <c r="A922" s="58"/>
      <c r="B922" s="58"/>
      <c r="C922" s="58"/>
    </row>
    <row r="923">
      <c r="A923" s="58"/>
      <c r="B923" s="58"/>
      <c r="C923" s="58"/>
    </row>
    <row r="924">
      <c r="A924" s="58"/>
      <c r="B924" s="58"/>
      <c r="C924" s="58"/>
    </row>
    <row r="925">
      <c r="A925" s="58"/>
      <c r="B925" s="58"/>
      <c r="C925" s="58"/>
    </row>
    <row r="926">
      <c r="A926" s="58"/>
      <c r="B926" s="58"/>
      <c r="C926" s="58"/>
    </row>
    <row r="927">
      <c r="A927" s="58"/>
      <c r="B927" s="58"/>
      <c r="C927" s="58"/>
    </row>
    <row r="928">
      <c r="A928" s="58"/>
      <c r="B928" s="58"/>
      <c r="C928" s="58"/>
    </row>
    <row r="929">
      <c r="A929" s="58"/>
      <c r="B929" s="58"/>
      <c r="C929" s="58"/>
    </row>
    <row r="930">
      <c r="A930" s="58"/>
      <c r="B930" s="58"/>
      <c r="C930" s="58"/>
    </row>
    <row r="931">
      <c r="A931" s="58"/>
      <c r="B931" s="58"/>
      <c r="C931" s="58"/>
    </row>
    <row r="932">
      <c r="A932" s="58"/>
      <c r="B932" s="58"/>
      <c r="C932" s="58"/>
    </row>
    <row r="933">
      <c r="A933" s="58"/>
      <c r="B933" s="58"/>
      <c r="C933" s="58"/>
    </row>
    <row r="934">
      <c r="A934" s="58"/>
      <c r="B934" s="58"/>
      <c r="C934" s="58"/>
    </row>
    <row r="935">
      <c r="A935" s="58"/>
      <c r="B935" s="58"/>
      <c r="C935" s="58"/>
    </row>
    <row r="936">
      <c r="A936" s="58"/>
      <c r="B936" s="58"/>
      <c r="C936" s="58"/>
    </row>
    <row r="937">
      <c r="A937" s="58"/>
      <c r="B937" s="58"/>
      <c r="C937" s="58"/>
    </row>
    <row r="938">
      <c r="A938" s="58"/>
      <c r="B938" s="58"/>
      <c r="C938" s="58"/>
    </row>
    <row r="939">
      <c r="A939" s="58"/>
      <c r="B939" s="58"/>
      <c r="C939" s="58"/>
    </row>
    <row r="940">
      <c r="A940" s="58"/>
      <c r="B940" s="58"/>
      <c r="C940" s="58"/>
    </row>
    <row r="941">
      <c r="A941" s="58"/>
      <c r="B941" s="58"/>
      <c r="C941" s="58"/>
    </row>
    <row r="942">
      <c r="A942" s="58"/>
      <c r="B942" s="58"/>
      <c r="C942" s="58"/>
    </row>
    <row r="943">
      <c r="A943" s="58"/>
      <c r="B943" s="58"/>
      <c r="C943" s="58"/>
    </row>
    <row r="944">
      <c r="A944" s="58"/>
      <c r="B944" s="58"/>
      <c r="C944" s="58"/>
    </row>
    <row r="945">
      <c r="A945" s="58"/>
      <c r="B945" s="58"/>
      <c r="C945" s="58"/>
    </row>
    <row r="946">
      <c r="A946" s="58"/>
      <c r="B946" s="58"/>
      <c r="C946" s="58"/>
    </row>
    <row r="947">
      <c r="A947" s="58"/>
      <c r="B947" s="58"/>
      <c r="C947" s="58"/>
    </row>
    <row r="948">
      <c r="A948" s="58"/>
      <c r="B948" s="58"/>
      <c r="C948" s="58"/>
    </row>
    <row r="949">
      <c r="A949" s="58"/>
      <c r="B949" s="58"/>
      <c r="C949" s="58"/>
    </row>
    <row r="950">
      <c r="A950" s="58"/>
      <c r="B950" s="58"/>
      <c r="C950" s="58"/>
    </row>
    <row r="951">
      <c r="A951" s="58"/>
      <c r="B951" s="58"/>
      <c r="C951" s="58"/>
    </row>
    <row r="952">
      <c r="A952" s="58"/>
      <c r="B952" s="58"/>
      <c r="C952" s="58"/>
    </row>
    <row r="953">
      <c r="A953" s="58"/>
      <c r="B953" s="58"/>
      <c r="C953" s="58"/>
    </row>
    <row r="954">
      <c r="A954" s="58"/>
      <c r="B954" s="58"/>
      <c r="C954" s="58"/>
    </row>
    <row r="955">
      <c r="A955" s="58"/>
      <c r="B955" s="58"/>
      <c r="C955" s="58"/>
    </row>
    <row r="956">
      <c r="A956" s="58"/>
      <c r="B956" s="58"/>
      <c r="C956" s="58"/>
    </row>
    <row r="957">
      <c r="A957" s="58"/>
      <c r="B957" s="58"/>
      <c r="C957" s="58"/>
    </row>
    <row r="958">
      <c r="A958" s="58"/>
      <c r="B958" s="58"/>
      <c r="C958" s="58"/>
    </row>
    <row r="959">
      <c r="A959" s="58"/>
      <c r="B959" s="58"/>
      <c r="C959" s="58"/>
    </row>
    <row r="960">
      <c r="A960" s="58"/>
      <c r="B960" s="58"/>
      <c r="C960" s="58"/>
    </row>
    <row r="961">
      <c r="A961" s="58"/>
      <c r="B961" s="58"/>
      <c r="C961" s="58"/>
    </row>
    <row r="962">
      <c r="A962" s="58"/>
      <c r="B962" s="58"/>
      <c r="C962" s="58"/>
    </row>
    <row r="963">
      <c r="A963" s="58"/>
      <c r="B963" s="58"/>
      <c r="C963" s="58"/>
    </row>
    <row r="964">
      <c r="A964" s="58"/>
      <c r="B964" s="58"/>
      <c r="C964" s="58"/>
    </row>
    <row r="965">
      <c r="A965" s="58"/>
      <c r="B965" s="58"/>
      <c r="C965" s="58"/>
    </row>
    <row r="966">
      <c r="A966" s="58"/>
      <c r="B966" s="58"/>
      <c r="C966" s="58"/>
    </row>
    <row r="967">
      <c r="A967" s="58"/>
      <c r="B967" s="58"/>
      <c r="C967" s="58"/>
    </row>
    <row r="968">
      <c r="A968" s="58"/>
      <c r="B968" s="58"/>
      <c r="C968" s="58"/>
    </row>
    <row r="969">
      <c r="A969" s="58"/>
      <c r="B969" s="58"/>
      <c r="C969" s="58"/>
    </row>
    <row r="970">
      <c r="A970" s="58"/>
      <c r="B970" s="58"/>
      <c r="C970" s="58"/>
    </row>
    <row r="971">
      <c r="A971" s="58"/>
      <c r="B971" s="58"/>
      <c r="C971" s="58"/>
    </row>
    <row r="972">
      <c r="A972" s="58"/>
      <c r="B972" s="58"/>
      <c r="C972" s="58"/>
    </row>
    <row r="973">
      <c r="A973" s="58"/>
      <c r="B973" s="58"/>
      <c r="C973" s="58"/>
    </row>
    <row r="974">
      <c r="A974" s="58"/>
      <c r="B974" s="58"/>
      <c r="C974" s="58"/>
    </row>
    <row r="975">
      <c r="A975" s="58"/>
      <c r="B975" s="58"/>
      <c r="C975" s="58"/>
    </row>
    <row r="976">
      <c r="A976" s="58"/>
      <c r="B976" s="58"/>
      <c r="C976" s="58"/>
    </row>
    <row r="977">
      <c r="A977" s="58"/>
      <c r="B977" s="58"/>
      <c r="C977" s="58"/>
    </row>
    <row r="978">
      <c r="A978" s="58"/>
      <c r="B978" s="58"/>
      <c r="C978" s="58"/>
    </row>
    <row r="979">
      <c r="A979" s="58"/>
      <c r="B979" s="58"/>
      <c r="C979" s="58"/>
    </row>
    <row r="980">
      <c r="A980" s="58"/>
      <c r="B980" s="58"/>
      <c r="C980" s="58"/>
    </row>
    <row r="981">
      <c r="A981" s="58"/>
      <c r="B981" s="58"/>
      <c r="C981" s="58"/>
    </row>
    <row r="982">
      <c r="A982" s="58"/>
      <c r="B982" s="58"/>
      <c r="C982" s="58"/>
    </row>
    <row r="983">
      <c r="A983" s="58"/>
      <c r="B983" s="58"/>
      <c r="C983" s="58"/>
    </row>
    <row r="984">
      <c r="A984" s="58"/>
      <c r="B984" s="58"/>
      <c r="C984" s="58"/>
    </row>
    <row r="985">
      <c r="A985" s="58"/>
      <c r="B985" s="58"/>
      <c r="C985" s="58"/>
    </row>
    <row r="986">
      <c r="A986" s="58"/>
      <c r="B986" s="58"/>
      <c r="C986" s="58"/>
    </row>
    <row r="987">
      <c r="A987" s="58"/>
      <c r="B987" s="58"/>
      <c r="C987" s="58"/>
    </row>
    <row r="988">
      <c r="A988" s="58"/>
      <c r="B988" s="58"/>
      <c r="C988" s="58"/>
    </row>
    <row r="989">
      <c r="A989" s="58"/>
      <c r="B989" s="58"/>
      <c r="C989" s="58"/>
    </row>
    <row r="990">
      <c r="A990" s="58"/>
      <c r="B990" s="58"/>
      <c r="C990" s="58"/>
    </row>
    <row r="991">
      <c r="A991" s="58"/>
      <c r="B991" s="58"/>
      <c r="C991" s="58"/>
    </row>
    <row r="992">
      <c r="A992" s="58"/>
      <c r="B992" s="58"/>
      <c r="C992" s="58"/>
    </row>
    <row r="993">
      <c r="A993" s="58"/>
      <c r="B993" s="58"/>
      <c r="C993" s="58"/>
    </row>
    <row r="994">
      <c r="A994" s="58"/>
      <c r="B994" s="58"/>
      <c r="C994" s="58"/>
    </row>
    <row r="995">
      <c r="A995" s="58"/>
      <c r="B995" s="58"/>
      <c r="C995" s="58"/>
    </row>
    <row r="996">
      <c r="A996" s="58"/>
      <c r="B996" s="58"/>
      <c r="C996" s="58"/>
    </row>
    <row r="997">
      <c r="A997" s="58"/>
      <c r="B997" s="58"/>
      <c r="C997" s="58"/>
    </row>
    <row r="998">
      <c r="A998" s="58"/>
      <c r="B998" s="58"/>
      <c r="C998" s="58"/>
    </row>
    <row r="999">
      <c r="A999" s="58"/>
      <c r="B999" s="58"/>
      <c r="C999" s="58"/>
    </row>
    <row r="1000">
      <c r="A1000" s="58"/>
      <c r="B1000" s="58"/>
      <c r="C1000" s="58"/>
    </row>
    <row r="1001">
      <c r="A1001" s="58"/>
      <c r="B1001" s="58"/>
      <c r="C1001" s="58"/>
    </row>
    <row r="1002">
      <c r="A1002" s="58"/>
      <c r="B1002" s="58"/>
      <c r="C1002" s="58"/>
    </row>
    <row r="1003">
      <c r="A1003" s="58"/>
      <c r="B1003" s="58"/>
      <c r="C1003" s="58"/>
    </row>
    <row r="1004">
      <c r="A1004" s="58"/>
      <c r="B1004" s="58"/>
      <c r="C1004" s="58"/>
    </row>
    <row r="1005">
      <c r="A1005" s="58"/>
      <c r="B1005" s="58"/>
      <c r="C1005" s="58"/>
    </row>
    <row r="1006">
      <c r="A1006" s="58"/>
      <c r="B1006" s="58"/>
      <c r="C1006" s="58"/>
    </row>
    <row r="1007">
      <c r="A1007" s="58"/>
      <c r="B1007" s="58"/>
      <c r="C1007" s="58"/>
    </row>
    <row r="1008">
      <c r="A1008" s="58"/>
      <c r="B1008" s="58"/>
      <c r="C1008" s="58"/>
    </row>
    <row r="1009">
      <c r="A1009" s="58"/>
      <c r="B1009" s="58"/>
      <c r="C1009" s="58"/>
    </row>
  </sheetData>
  <mergeCells count="6">
    <mergeCell ref="C2:D2"/>
    <mergeCell ref="C3:D3"/>
    <mergeCell ref="C4:D4"/>
    <mergeCell ref="C5:D5"/>
    <mergeCell ref="C6:D6"/>
    <mergeCell ref="C7:D7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5" max="12" width="3.0"/>
    <col customWidth="1" min="13" max="13" width="2.88"/>
  </cols>
  <sheetData>
    <row r="1">
      <c r="A1" s="60"/>
      <c r="B1" s="60"/>
      <c r="C1" s="64"/>
      <c r="D1" s="65"/>
      <c r="E1" s="66" t="s">
        <v>585</v>
      </c>
      <c r="F1" s="13" t="s">
        <v>14</v>
      </c>
      <c r="G1" s="13" t="s">
        <v>15</v>
      </c>
      <c r="H1" s="13" t="s">
        <v>4</v>
      </c>
      <c r="I1" s="13" t="s">
        <v>16</v>
      </c>
      <c r="J1" s="13" t="s">
        <v>17</v>
      </c>
      <c r="K1" s="13" t="s">
        <v>19</v>
      </c>
      <c r="L1" s="13" t="s">
        <v>20</v>
      </c>
      <c r="M1" s="65"/>
    </row>
    <row r="2">
      <c r="A2" s="60">
        <v>1.0</v>
      </c>
      <c r="B2" s="60" t="s">
        <v>586</v>
      </c>
      <c r="C2" s="60" t="s">
        <v>2</v>
      </c>
      <c r="D2" s="60" t="s">
        <v>9</v>
      </c>
      <c r="E2" s="67">
        <v>48.0</v>
      </c>
      <c r="F2" s="67">
        <v>30.0</v>
      </c>
      <c r="G2" s="67">
        <v>29.0</v>
      </c>
      <c r="H2" s="67">
        <v>22.0</v>
      </c>
      <c r="I2" s="67">
        <v>44.0</v>
      </c>
      <c r="J2" s="67">
        <v>23.0</v>
      </c>
      <c r="K2" s="67">
        <v>23.0</v>
      </c>
      <c r="L2" s="67">
        <v>8.0</v>
      </c>
      <c r="M2" s="63"/>
    </row>
    <row r="3">
      <c r="A3" s="60">
        <v>2.0</v>
      </c>
      <c r="B3" s="60" t="s">
        <v>586</v>
      </c>
      <c r="C3" s="60" t="s">
        <v>9</v>
      </c>
      <c r="D3" s="60" t="s">
        <v>10</v>
      </c>
      <c r="E3" s="67">
        <v>7.0</v>
      </c>
      <c r="F3" s="67">
        <v>6.0</v>
      </c>
      <c r="G3" s="67">
        <v>2.0</v>
      </c>
      <c r="H3" s="67">
        <v>1.0</v>
      </c>
      <c r="I3" s="67">
        <v>5.0</v>
      </c>
      <c r="J3" s="67">
        <v>2.0</v>
      </c>
      <c r="K3" s="67">
        <v>2.0</v>
      </c>
      <c r="L3" s="23"/>
      <c r="M3" s="63"/>
    </row>
    <row r="4">
      <c r="A4" s="60">
        <v>3.0</v>
      </c>
      <c r="B4" s="60" t="s">
        <v>586</v>
      </c>
      <c r="C4" s="60" t="s">
        <v>9</v>
      </c>
      <c r="D4" s="60" t="s">
        <v>13</v>
      </c>
      <c r="E4" s="23"/>
      <c r="F4" s="23"/>
      <c r="G4" s="23"/>
      <c r="H4" s="23"/>
      <c r="I4" s="23"/>
      <c r="J4" s="23"/>
      <c r="K4" s="23"/>
      <c r="L4" s="23"/>
      <c r="M4" s="63"/>
    </row>
    <row r="5">
      <c r="A5" s="60">
        <v>4.0</v>
      </c>
      <c r="B5" s="60" t="s">
        <v>586</v>
      </c>
      <c r="C5" s="60" t="s">
        <v>2</v>
      </c>
      <c r="D5" s="60" t="s">
        <v>10</v>
      </c>
      <c r="E5" s="23"/>
      <c r="F5" s="23"/>
      <c r="G5" s="23"/>
      <c r="H5" s="23"/>
      <c r="I5" s="23"/>
      <c r="J5" s="23"/>
      <c r="K5" s="23"/>
      <c r="L5" s="23"/>
      <c r="M5" s="63"/>
    </row>
    <row r="6">
      <c r="A6" s="60">
        <v>5.0</v>
      </c>
      <c r="B6" s="60" t="s">
        <v>586</v>
      </c>
      <c r="C6" s="60" t="s">
        <v>9</v>
      </c>
      <c r="D6" s="60" t="s">
        <v>11</v>
      </c>
      <c r="E6" s="23"/>
      <c r="F6" s="23"/>
      <c r="G6" s="23"/>
      <c r="H6" s="23"/>
      <c r="I6" s="23"/>
      <c r="J6" s="23"/>
      <c r="K6" s="23"/>
      <c r="L6" s="23"/>
      <c r="M6" s="63"/>
    </row>
    <row r="7">
      <c r="A7" s="60">
        <v>6.0</v>
      </c>
      <c r="B7" s="60" t="s">
        <v>586</v>
      </c>
      <c r="C7" s="60" t="s">
        <v>9</v>
      </c>
      <c r="D7" s="60" t="s">
        <v>583</v>
      </c>
      <c r="E7" s="23"/>
      <c r="F7" s="23"/>
      <c r="G7" s="23"/>
      <c r="H7" s="23"/>
      <c r="I7" s="23"/>
      <c r="J7" s="23"/>
      <c r="K7" s="23"/>
      <c r="L7" s="23"/>
      <c r="M7" s="63"/>
    </row>
    <row r="8">
      <c r="A8" s="60">
        <v>7.0</v>
      </c>
      <c r="B8" s="60" t="s">
        <v>589</v>
      </c>
      <c r="C8" s="60" t="s">
        <v>2</v>
      </c>
      <c r="D8" s="60" t="s">
        <v>11</v>
      </c>
      <c r="E8" s="53"/>
      <c r="F8" s="53"/>
      <c r="G8" s="53"/>
      <c r="H8" s="53"/>
      <c r="I8" s="53"/>
      <c r="J8" s="53"/>
      <c r="K8" s="53"/>
      <c r="L8" s="53"/>
      <c r="M8" s="53"/>
    </row>
    <row r="9">
      <c r="A9" s="60">
        <v>8.0</v>
      </c>
      <c r="B9" s="60" t="s">
        <v>589</v>
      </c>
      <c r="C9" s="60" t="s">
        <v>2</v>
      </c>
      <c r="D9" s="60" t="s">
        <v>583</v>
      </c>
      <c r="E9" s="53"/>
      <c r="F9" s="53"/>
      <c r="G9" s="53"/>
      <c r="H9" s="53"/>
      <c r="I9" s="53"/>
      <c r="J9" s="53"/>
      <c r="K9" s="53"/>
      <c r="L9" s="53"/>
      <c r="M9" s="53"/>
    </row>
    <row r="10">
      <c r="A10" s="60">
        <v>9.0</v>
      </c>
      <c r="B10" s="60" t="s">
        <v>589</v>
      </c>
      <c r="C10" s="60" t="s">
        <v>2</v>
      </c>
      <c r="D10" s="60" t="s">
        <v>13</v>
      </c>
      <c r="E10" s="53"/>
      <c r="F10" s="53"/>
      <c r="G10" s="53"/>
      <c r="H10" s="53"/>
      <c r="I10" s="53"/>
      <c r="J10" s="53"/>
      <c r="K10" s="53"/>
      <c r="L10" s="53"/>
      <c r="M10" s="53"/>
    </row>
    <row r="11">
      <c r="A11" s="60">
        <v>10.0</v>
      </c>
      <c r="B11" s="60" t="s">
        <v>589</v>
      </c>
      <c r="C11" s="60" t="s">
        <v>10</v>
      </c>
      <c r="D11" s="60" t="s">
        <v>11</v>
      </c>
      <c r="E11" s="53"/>
      <c r="F11" s="53"/>
      <c r="G11" s="53"/>
      <c r="H11" s="53"/>
      <c r="I11" s="53"/>
      <c r="J11" s="53"/>
      <c r="K11" s="53"/>
      <c r="L11" s="53"/>
      <c r="M11" s="53"/>
    </row>
    <row r="12">
      <c r="A12" s="63">
        <v>11.0</v>
      </c>
      <c r="B12" s="60" t="s">
        <v>589</v>
      </c>
      <c r="C12" s="60" t="s">
        <v>10</v>
      </c>
      <c r="D12" s="60" t="s">
        <v>583</v>
      </c>
      <c r="E12" s="53"/>
      <c r="F12" s="53"/>
      <c r="G12" s="53"/>
      <c r="H12" s="53"/>
      <c r="I12" s="53"/>
      <c r="J12" s="53"/>
      <c r="K12" s="53"/>
      <c r="L12" s="53"/>
      <c r="M12" s="53"/>
    </row>
    <row r="13">
      <c r="A13" s="63">
        <v>12.0</v>
      </c>
      <c r="B13" s="60" t="s">
        <v>589</v>
      </c>
      <c r="C13" s="60" t="s">
        <v>10</v>
      </c>
      <c r="D13" s="60" t="s">
        <v>13</v>
      </c>
      <c r="E13" s="53"/>
      <c r="F13" s="53"/>
      <c r="G13" s="53"/>
      <c r="H13" s="53"/>
      <c r="I13" s="53"/>
      <c r="J13" s="53"/>
      <c r="K13" s="53"/>
      <c r="L13" s="53"/>
      <c r="M13" s="53"/>
    </row>
    <row r="14">
      <c r="A14" s="63">
        <v>13.0</v>
      </c>
      <c r="B14" s="60" t="s">
        <v>589</v>
      </c>
      <c r="C14" s="60" t="s">
        <v>11</v>
      </c>
      <c r="D14" s="60" t="s">
        <v>583</v>
      </c>
      <c r="E14" s="53"/>
      <c r="F14" s="53"/>
      <c r="G14" s="53"/>
      <c r="H14" s="53"/>
      <c r="I14" s="53"/>
      <c r="J14" s="53"/>
      <c r="K14" s="53"/>
      <c r="L14" s="53"/>
      <c r="M14" s="53"/>
    </row>
    <row r="15">
      <c r="A15" s="63">
        <v>14.0</v>
      </c>
      <c r="B15" s="60" t="s">
        <v>589</v>
      </c>
      <c r="C15" s="60" t="s">
        <v>11</v>
      </c>
      <c r="D15" s="60" t="s">
        <v>13</v>
      </c>
      <c r="E15" s="53"/>
      <c r="F15" s="53"/>
      <c r="G15" s="53"/>
      <c r="H15" s="53"/>
      <c r="I15" s="53"/>
      <c r="J15" s="53"/>
      <c r="K15" s="53"/>
      <c r="L15" s="53"/>
      <c r="M15" s="53"/>
    </row>
    <row r="16">
      <c r="A16" s="63">
        <v>15.0</v>
      </c>
      <c r="B16" s="60" t="s">
        <v>589</v>
      </c>
      <c r="C16" s="60" t="s">
        <v>583</v>
      </c>
      <c r="D16" s="60" t="s">
        <v>13</v>
      </c>
      <c r="E16" s="53"/>
      <c r="F16" s="53"/>
      <c r="G16" s="53"/>
      <c r="H16" s="53"/>
      <c r="I16" s="53"/>
      <c r="J16" s="53"/>
      <c r="K16" s="53"/>
      <c r="L16" s="53"/>
      <c r="M16" s="53"/>
    </row>
    <row r="17">
      <c r="E17" s="53"/>
      <c r="F17" s="53"/>
      <c r="G17" s="53"/>
      <c r="H17" s="53"/>
      <c r="I17" s="53"/>
      <c r="J17" s="53"/>
      <c r="K17" s="53"/>
      <c r="L17" s="53"/>
    </row>
    <row r="25">
      <c r="D25" s="23"/>
    </row>
  </sheetData>
  <conditionalFormatting sqref="E2:L7 D25">
    <cfRule type="cellIs" dxfId="4" priority="1" operator="equal">
      <formula>"✓"</formula>
    </cfRule>
  </conditionalFormatting>
  <conditionalFormatting sqref="E2:L7 D25">
    <cfRule type="cellIs" dxfId="3" priority="2" operator="equal">
      <formula>"✗"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16.63"/>
  </cols>
  <sheetData>
    <row r="2">
      <c r="B2" s="30" t="s">
        <v>590</v>
      </c>
      <c r="C2" s="3" t="s">
        <v>591</v>
      </c>
      <c r="D2" s="3" t="s">
        <v>592</v>
      </c>
      <c r="E2" s="3" t="s">
        <v>14</v>
      </c>
    </row>
    <row r="3">
      <c r="B3" s="30" t="s">
        <v>593</v>
      </c>
      <c r="C3" s="3" t="s">
        <v>591</v>
      </c>
      <c r="D3" s="3" t="s">
        <v>592</v>
      </c>
      <c r="E3" s="3" t="s">
        <v>14</v>
      </c>
    </row>
    <row r="4">
      <c r="B4" s="30" t="s">
        <v>594</v>
      </c>
      <c r="C4" s="3" t="s">
        <v>591</v>
      </c>
      <c r="D4" s="3" t="s">
        <v>592</v>
      </c>
      <c r="E4" s="3" t="s">
        <v>14</v>
      </c>
    </row>
    <row r="5">
      <c r="B5" s="30" t="s">
        <v>595</v>
      </c>
      <c r="C5" s="3" t="s">
        <v>591</v>
      </c>
      <c r="D5" s="3" t="s">
        <v>592</v>
      </c>
      <c r="E5" s="3" t="s">
        <v>14</v>
      </c>
    </row>
    <row r="6">
      <c r="B6" s="30" t="s">
        <v>596</v>
      </c>
      <c r="C6" s="3" t="s">
        <v>591</v>
      </c>
      <c r="D6" s="3" t="s">
        <v>592</v>
      </c>
      <c r="E6" s="3" t="s">
        <v>14</v>
      </c>
    </row>
    <row r="7">
      <c r="B7" s="30" t="s">
        <v>597</v>
      </c>
      <c r="C7" s="3" t="s">
        <v>591</v>
      </c>
      <c r="D7" s="3" t="s">
        <v>592</v>
      </c>
      <c r="E7" s="3" t="s">
        <v>14</v>
      </c>
    </row>
    <row r="8">
      <c r="B8" s="30" t="s">
        <v>598</v>
      </c>
      <c r="E8" s="3" t="s">
        <v>15</v>
      </c>
    </row>
    <row r="9">
      <c r="B9" s="30" t="s">
        <v>599</v>
      </c>
      <c r="E9" s="3" t="s">
        <v>15</v>
      </c>
    </row>
    <row r="10">
      <c r="B10" s="30" t="s">
        <v>600</v>
      </c>
      <c r="E10" s="3" t="s">
        <v>4</v>
      </c>
    </row>
  </sheetData>
  <conditionalFormatting sqref="B7 B9:B10">
    <cfRule type="expression" dxfId="3" priority="1">
      <formula>$D7="Excluded"</formula>
    </cfRule>
  </conditionalFormatting>
  <conditionalFormatting sqref="B5:B6">
    <cfRule type="expression" dxfId="3" priority="2">
      <formula>$D5="Excluded"</formula>
    </cfRule>
  </conditionalFormatting>
  <conditionalFormatting sqref="B4">
    <cfRule type="expression" dxfId="3" priority="3">
      <formula>$D4="Excluded"</formula>
    </cfRule>
  </conditionalFormatting>
  <conditionalFormatting sqref="B3">
    <cfRule type="expression" dxfId="3" priority="4">
      <formula>$D3="Excluded"</formula>
    </cfRule>
  </conditionalFormatting>
  <conditionalFormatting sqref="B2">
    <cfRule type="expression" dxfId="3" priority="5">
      <formula>$D2="Excluded"</formula>
    </cfRule>
  </conditionalFormatting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</hyperlinks>
  <drawing r:id="rId10"/>
</worksheet>
</file>