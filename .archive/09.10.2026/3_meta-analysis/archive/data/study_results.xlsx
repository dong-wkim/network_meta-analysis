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My Drive\network_meta-analysis\3_meta-analysis\data\"/>
    </mc:Choice>
  </mc:AlternateContent>
  <xr:revisionPtr revIDLastSave="0" documentId="8_{76A28E3B-6A81-4A6C-BC9C-2506D1B6D63C}" xr6:coauthVersionLast="47" xr6:coauthVersionMax="47" xr10:uidLastSave="{00000000-0000-0000-0000-000000000000}"/>
  <bookViews>
    <workbookView xWindow="-110" yWindow="-110" windowWidth="19420" windowHeight="10420" xr2:uid="{79B354D9-E8B3-4A9A-9ABB-AF433613E30D}"/>
  </bookViews>
  <sheets>
    <sheet name="outcomes" sheetId="1" r:id="rId1"/>
    <sheet name="covariates" sheetId="2" r:id="rId2"/>
  </sheets>
  <definedNames>
    <definedName name="_xlnm._FilterDatabase" localSheetId="0" hidden="1">outcomes!$A$1:$R$349</definedName>
    <definedName name="age_mean">covariates!$D$2:$D$123</definedName>
    <definedName name="age_sd">covariates!$E$2:$E$123</definedName>
    <definedName name="female">covariates!$G$2:$G$123</definedName>
    <definedName name="follow_up">covariates!$H$2:$H$123</definedName>
    <definedName name="male">covariates!$F$2:$F$123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49" i="1" l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39" i="1"/>
  <c r="L339" i="1"/>
  <c r="M338" i="1"/>
  <c r="L338" i="1"/>
  <c r="M337" i="1"/>
  <c r="L337" i="1"/>
  <c r="M336" i="1"/>
  <c r="L336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5" i="1"/>
  <c r="L325" i="1"/>
  <c r="M324" i="1"/>
  <c r="L324" i="1"/>
  <c r="M321" i="1"/>
  <c r="L321" i="1"/>
  <c r="M320" i="1"/>
  <c r="L320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7" i="1"/>
  <c r="L267" i="1"/>
  <c r="M266" i="1"/>
  <c r="L266" i="1"/>
  <c r="M265" i="1"/>
  <c r="L265" i="1"/>
  <c r="M264" i="1"/>
  <c r="L264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3" i="1"/>
  <c r="L223" i="1"/>
  <c r="M222" i="1"/>
  <c r="L222" i="1"/>
  <c r="M221" i="1"/>
  <c r="L221" i="1"/>
  <c r="M220" i="1"/>
  <c r="L220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3" i="1"/>
  <c r="L163" i="1"/>
  <c r="M162" i="1"/>
  <c r="L162" i="1"/>
  <c r="M159" i="1"/>
  <c r="L159" i="1"/>
  <c r="M158" i="1"/>
  <c r="L158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09" i="1"/>
  <c r="L109" i="1"/>
  <c r="M108" i="1"/>
  <c r="L108" i="1"/>
  <c r="M107" i="1"/>
  <c r="L107" i="1"/>
  <c r="M106" i="1"/>
  <c r="L106" i="1"/>
  <c r="M103" i="1"/>
  <c r="L103" i="1"/>
  <c r="M102" i="1"/>
  <c r="L102" i="1"/>
  <c r="M101" i="1"/>
  <c r="L101" i="1"/>
  <c r="M100" i="1"/>
  <c r="L100" i="1"/>
  <c r="M95" i="1"/>
  <c r="L95" i="1"/>
  <c r="M94" i="1"/>
  <c r="L94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3" i="1"/>
  <c r="L13" i="1"/>
  <c r="M12" i="1"/>
  <c r="L12" i="1"/>
  <c r="M11" i="1"/>
  <c r="L11" i="1"/>
  <c r="M10" i="1"/>
  <c r="L10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<sst xmlns="http://schemas.openxmlformats.org/spreadsheetml/2006/main" count="1676" uniqueCount="97">
  <si>
    <t>id</t>
  </si>
  <si>
    <t>study</t>
  </si>
  <si>
    <t>subgroup</t>
  </si>
  <si>
    <t>outcome</t>
  </si>
  <si>
    <t>data_type</t>
  </si>
  <si>
    <t>ni</t>
  </si>
  <si>
    <t>sdi</t>
  </si>
  <si>
    <t>yi</t>
  </si>
  <si>
    <t>male</t>
  </si>
  <si>
    <t>female</t>
  </si>
  <si>
    <t>Anz et al., 2023</t>
  </si>
  <si>
    <t>BPTB</t>
  </si>
  <si>
    <t>graft rupture</t>
  </si>
  <si>
    <t>dichotomous</t>
  </si>
  <si>
    <t>HT</t>
  </si>
  <si>
    <t>Bi et al., 2018</t>
  </si>
  <si>
    <t>PLT</t>
  </si>
  <si>
    <t>TA</t>
  </si>
  <si>
    <t>Kautzner et al., 2015</t>
  </si>
  <si>
    <t>Laxdal et al., 2005</t>
  </si>
  <si>
    <t>Lucidi et al., 2025</t>
  </si>
  <si>
    <t>Mohtadi et al., 2016</t>
  </si>
  <si>
    <t>Moraiti et al., 2010</t>
  </si>
  <si>
    <t>Noh et al., 2011</t>
  </si>
  <si>
    <t>AT</t>
  </si>
  <si>
    <t>Pinczewski et al., 2007</t>
  </si>
  <si>
    <t>Popovic et al., 2024</t>
  </si>
  <si>
    <t>Smith et al., 2020</t>
  </si>
  <si>
    <t>Sonnery-cottet et al., 2026</t>
  </si>
  <si>
    <t>Taylor et al., 2009</t>
  </si>
  <si>
    <t>Wipfler et al., 2011</t>
  </si>
  <si>
    <t>Yadav et al., 2025</t>
  </si>
  <si>
    <t>QT</t>
  </si>
  <si>
    <t>Ahldén et al., 2009</t>
  </si>
  <si>
    <t>Anderson et al., 2001</t>
  </si>
  <si>
    <t>Beynnon et al., 2002</t>
  </si>
  <si>
    <t>Feller &amp; Webster, 2003</t>
  </si>
  <si>
    <t>Harilainen et al., 2006</t>
  </si>
  <si>
    <t>continuous</t>
  </si>
  <si>
    <t>Konrads et al., 2016</t>
  </si>
  <si>
    <t>Laoruengthana et al., 2009</t>
  </si>
  <si>
    <t>Lawhorn et al., 2012</t>
  </si>
  <si>
    <t>Lidén et al., 2007</t>
  </si>
  <si>
    <t>Sajovic et al., 2018</t>
  </si>
  <si>
    <t>Webster et al., 2001</t>
  </si>
  <si>
    <t>Barié et al., 2020</t>
  </si>
  <si>
    <t>ikdc_subjective</t>
  </si>
  <si>
    <t>Björnsson et al., 2016</t>
  </si>
  <si>
    <t>Bottoni et al., 2015</t>
  </si>
  <si>
    <t>Butt et al., 2024</t>
  </si>
  <si>
    <t>Calvert et al., 2025</t>
  </si>
  <si>
    <t>Guglielmetti et al., 2021</t>
  </si>
  <si>
    <t>Horstmann et al., 2022</t>
  </si>
  <si>
    <t>Iliopoulos et al., 2017</t>
  </si>
  <si>
    <t>Komzak et al., 2022</t>
  </si>
  <si>
    <t>Li et al., 2015</t>
  </si>
  <si>
    <t>Lind et al., 2020</t>
  </si>
  <si>
    <t>Lui et al., 2012</t>
  </si>
  <si>
    <t>Lund et al., 2014</t>
  </si>
  <si>
    <t>Malik et al., 2026</t>
  </si>
  <si>
    <t>Matsumoto et al., 2006</t>
  </si>
  <si>
    <t>Papalia et al., 2015</t>
  </si>
  <si>
    <t>Sinding et al., 2020</t>
  </si>
  <si>
    <t>Tang et al., 2023</t>
  </si>
  <si>
    <t>Vilchez-cavazos et al., 2020</t>
  </si>
  <si>
    <t>Zaffagnini et al., 2011</t>
  </si>
  <si>
    <t>Aglietti et al., 2004</t>
  </si>
  <si>
    <t>instrumented_laxity</t>
  </si>
  <si>
    <t>Aune et al., 2001</t>
  </si>
  <si>
    <t>Barenius et al., 2010</t>
  </si>
  <si>
    <t>Ejerhed et al., 2003</t>
  </si>
  <si>
    <t>Eriksson et al., 2001</t>
  </si>
  <si>
    <t>Gifstad et al., 2013</t>
  </si>
  <si>
    <t>Heijne &amp; Werner, 2010</t>
  </si>
  <si>
    <t>Holm et al., 2010</t>
  </si>
  <si>
    <t>Ibrahim et al., 2005</t>
  </si>
  <si>
    <t>Jansson et al., 2003</t>
  </si>
  <si>
    <t>Yoo et al., 2017</t>
  </si>
  <si>
    <t>lachman</t>
  </si>
  <si>
    <t>lysholm</t>
  </si>
  <si>
    <t>pivot_shift</t>
  </si>
  <si>
    <t>Ageberg et al., 2009</t>
  </si>
  <si>
    <t>tegner</t>
  </si>
  <si>
    <t>age</t>
  </si>
  <si>
    <t>follow_up</t>
  </si>
  <si>
    <t>2-STG + LET</t>
  </si>
  <si>
    <t>2-STG</t>
  </si>
  <si>
    <t>ST</t>
  </si>
  <si>
    <t>2-ST</t>
  </si>
  <si>
    <t>4-STG</t>
  </si>
  <si>
    <t>Sonnery-Cottet et al., 2026</t>
  </si>
  <si>
    <t>Vilchez-Cavazos et al., 2020</t>
  </si>
  <si>
    <t>age_mean</t>
  </si>
  <si>
    <t>age_sd</t>
  </si>
  <si>
    <t/>
  </si>
  <si>
    <t>TE</t>
  </si>
  <si>
    <t>seTE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</si>
</sst>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F429-B25E-4DB1-8D8B-89B8C0F7E295}">
  <dimension ref="A1:N349"/>
  <sheetViews>
    <sheetView tabSelected="1" workbookViewId="0">
      <selection activeCell="I2" sqref="I2"/>
    </sheetView>
  </sheetViews>
  <sheetFormatPr defaultRowHeight="14.6" x14ac:dyDescent="0.4"/>
  <cols>
    <col min="1" max="1" width="3.84375" style="1" bestFit="1" customWidth="1"/>
    <col min="2" max="2" width="23.15234375" bestFit="1" customWidth="1"/>
    <col min="3" max="3" width="8.3046875" style="1" bestFit="1" customWidth="1"/>
    <col min="4" max="4" width="16.765625" style="1" bestFit="1" customWidth="1"/>
    <col min="5" max="5" width="11.3046875" style="1" bestFit="1" customWidth="1"/>
    <col min="6" max="6" width="3.84375" style="1" bestFit="1" customWidth="1"/>
    <col min="7" max="8" width="5.84375" style="1" bestFit="1" customWidth="1"/>
    <col min="9" max="10" width="5.84375" style="1" customWidth="1"/>
    <col min="11" max="11" width="8.69140625" style="1" bestFit="1" customWidth="1"/>
    <col min="12" max="16384" width="9.23046875" style="1"/>
  </cols>
  <sheetData>
    <row r="1" spans="1:14" s="2" customFormat="1" x14ac:dyDescent="0.4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95</v>
      </c>
      <c r="J1" s="2" t="s">
        <v>96</v>
      </c>
      <c r="K1" s="2" t="s">
        <v>83</v>
      </c>
      <c r="L1" s="2" t="s">
        <v>8</v>
      </c>
      <c r="M1" s="2" t="s">
        <v>9</v>
      </c>
      <c r="N1" s="2" t="s">
        <v>84</v>
      </c>
    </row>
    <row r="2" spans="1:14" x14ac:dyDescent="0.4">
      <c r="A2" s="1">
        <v>6</v>
      </c>
      <c r="B2" t="s">
        <v>10</v>
      </c>
      <c r="C2" s="1" t="s">
        <v>11</v>
      </c>
      <c r="D2" s="1" t="s">
        <v>12</v>
      </c>
      <c r="E2" s="1" t="s">
        <v>13</v>
      </c>
      <c r="F2" s="1">
        <v>8</v>
      </c>
      <c r="G2" s="1">
        <v>0</v>
      </c>
      <c r="H2" s="1">
        <v>0.18</v>
      </c>
      <c r="K2" s="1">
        <v>27.6</v>
      </c>
      <c r="L2" s="1">
        <f>VLOOKUP($B2,covariates!$B$2:$H$125,5)</f>
        <v>3</v>
      </c>
      <c r="M2" s="1">
        <f>VLOOKUP($B2,covariates!$B$2:$H$125,6)</f>
        <v>7</v>
      </c>
      <c r="N2" s="1">
        <v>12</v>
      </c>
    </row>
    <row r="3" spans="1:14" x14ac:dyDescent="0.4">
      <c r="A3" s="1">
        <v>6</v>
      </c>
      <c r="B3" t="s">
        <v>10</v>
      </c>
      <c r="C3" s="1" t="s">
        <v>14</v>
      </c>
      <c r="D3" s="1" t="s">
        <v>12</v>
      </c>
      <c r="E3" s="1" t="s">
        <v>13</v>
      </c>
      <c r="F3" s="1">
        <v>8</v>
      </c>
      <c r="G3" s="1">
        <v>0</v>
      </c>
      <c r="H3" s="1">
        <v>0.18</v>
      </c>
      <c r="K3" s="1">
        <v>27.6</v>
      </c>
      <c r="L3" s="1">
        <f>VLOOKUP($B3,covariates!$B$2:$H$125,5)</f>
        <v>3</v>
      </c>
      <c r="M3" s="1">
        <f>VLOOKUP($B3,covariates!$B$2:$H$125,6)</f>
        <v>7</v>
      </c>
      <c r="N3" s="1">
        <v>12</v>
      </c>
    </row>
    <row r="4" spans="1:14" x14ac:dyDescent="0.4">
      <c r="A4" s="1">
        <v>43</v>
      </c>
      <c r="B4" t="s">
        <v>18</v>
      </c>
      <c r="C4" s="1" t="s">
        <v>11</v>
      </c>
      <c r="D4" s="1" t="s">
        <v>12</v>
      </c>
      <c r="E4" s="1" t="s">
        <v>13</v>
      </c>
      <c r="F4" s="1">
        <v>74</v>
      </c>
      <c r="G4" s="1">
        <v>0</v>
      </c>
      <c r="H4" s="1">
        <v>0.06</v>
      </c>
      <c r="K4" s="1">
        <v>26</v>
      </c>
      <c r="L4" s="1">
        <f>VLOOKUP($B4,covariates!$B$2:$H$125,5)</f>
        <v>0</v>
      </c>
      <c r="M4" s="1">
        <f>VLOOKUP($B4,covariates!$B$2:$H$125,6)</f>
        <v>73</v>
      </c>
      <c r="N4" s="1">
        <v>24</v>
      </c>
    </row>
    <row r="5" spans="1:14" x14ac:dyDescent="0.4">
      <c r="A5" s="1">
        <v>43</v>
      </c>
      <c r="B5" t="s">
        <v>18</v>
      </c>
      <c r="C5" s="1" t="s">
        <v>14</v>
      </c>
      <c r="D5" s="1" t="s">
        <v>12</v>
      </c>
      <c r="E5" s="1" t="s">
        <v>13</v>
      </c>
      <c r="F5" s="1">
        <v>73</v>
      </c>
      <c r="G5" s="1">
        <v>2</v>
      </c>
      <c r="H5" s="1">
        <v>0.3</v>
      </c>
      <c r="K5" s="1">
        <v>26</v>
      </c>
      <c r="L5" s="1">
        <f>VLOOKUP($B5,covariates!$B$2:$H$125,5)</f>
        <v>0</v>
      </c>
      <c r="M5" s="1">
        <f>VLOOKUP($B5,covariates!$B$2:$H$125,6)</f>
        <v>73</v>
      </c>
      <c r="N5" s="1">
        <v>24</v>
      </c>
    </row>
    <row r="6" spans="1:14" x14ac:dyDescent="0.4">
      <c r="A6" s="1">
        <v>49</v>
      </c>
      <c r="B6" t="s">
        <v>19</v>
      </c>
      <c r="C6" s="1" t="s">
        <v>11</v>
      </c>
      <c r="D6" s="1" t="s">
        <v>12</v>
      </c>
      <c r="E6" s="1" t="s">
        <v>13</v>
      </c>
      <c r="F6" s="1">
        <v>40</v>
      </c>
      <c r="G6" s="1">
        <v>1</v>
      </c>
      <c r="H6" s="1">
        <v>0.24</v>
      </c>
      <c r="K6" s="1">
        <v>25</v>
      </c>
      <c r="N6" s="1">
        <v>26</v>
      </c>
    </row>
    <row r="7" spans="1:14" x14ac:dyDescent="0.4">
      <c r="A7" s="1">
        <v>49</v>
      </c>
      <c r="B7" t="s">
        <v>19</v>
      </c>
      <c r="C7" s="1" t="s">
        <v>14</v>
      </c>
      <c r="D7" s="1" t="s">
        <v>12</v>
      </c>
      <c r="E7" s="1" t="s">
        <v>13</v>
      </c>
      <c r="F7" s="1">
        <v>78</v>
      </c>
      <c r="G7" s="1">
        <v>2</v>
      </c>
      <c r="H7" s="1">
        <v>0.42</v>
      </c>
      <c r="K7" s="1">
        <v>25</v>
      </c>
      <c r="N7" s="1">
        <v>26</v>
      </c>
    </row>
    <row r="8" spans="1:14" x14ac:dyDescent="0.4">
      <c r="A8" s="1">
        <v>54</v>
      </c>
      <c r="B8" t="s">
        <v>20</v>
      </c>
      <c r="C8" s="1" t="s">
        <v>11</v>
      </c>
      <c r="D8" s="1" t="s">
        <v>12</v>
      </c>
      <c r="E8" s="1" t="s">
        <v>13</v>
      </c>
      <c r="F8" s="1">
        <v>19</v>
      </c>
      <c r="G8" s="1">
        <v>7</v>
      </c>
      <c r="H8" s="1">
        <v>2.72</v>
      </c>
      <c r="K8" s="1">
        <v>54.5</v>
      </c>
      <c r="N8" s="1">
        <v>240</v>
      </c>
    </row>
    <row r="9" spans="1:14" x14ac:dyDescent="0.4">
      <c r="A9" s="1">
        <v>54</v>
      </c>
      <c r="B9" t="s">
        <v>20</v>
      </c>
      <c r="C9" s="1" t="s">
        <v>14</v>
      </c>
      <c r="D9" s="1" t="s">
        <v>12</v>
      </c>
      <c r="E9" s="1" t="s">
        <v>13</v>
      </c>
      <c r="F9" s="1">
        <v>20</v>
      </c>
      <c r="G9" s="1">
        <v>3</v>
      </c>
      <c r="H9" s="1">
        <v>0.92</v>
      </c>
      <c r="K9" s="1">
        <v>54.5</v>
      </c>
      <c r="N9" s="1">
        <v>240</v>
      </c>
    </row>
    <row r="10" spans="1:14" x14ac:dyDescent="0.4">
      <c r="A10" s="1">
        <v>66</v>
      </c>
      <c r="B10" t="s">
        <v>21</v>
      </c>
      <c r="C10" s="1" t="s">
        <v>11</v>
      </c>
      <c r="D10" s="1" t="s">
        <v>12</v>
      </c>
      <c r="E10" s="1" t="s">
        <v>13</v>
      </c>
      <c r="F10" s="1">
        <v>110</v>
      </c>
      <c r="G10" s="1">
        <v>19</v>
      </c>
      <c r="H10" s="1">
        <v>2.25</v>
      </c>
      <c r="K10" s="1">
        <v>28.4</v>
      </c>
      <c r="L10" s="1">
        <f>VLOOKUP($B10,covariates!$B$2:$H$125,5)</f>
        <v>120</v>
      </c>
      <c r="M10" s="1">
        <f>VLOOKUP($B10,covariates!$B$2:$H$125,6)</f>
        <v>100</v>
      </c>
      <c r="N10" s="1">
        <v>24</v>
      </c>
    </row>
    <row r="11" spans="1:14" x14ac:dyDescent="0.4">
      <c r="A11" s="1">
        <v>66</v>
      </c>
      <c r="B11" t="s">
        <v>21</v>
      </c>
      <c r="C11" s="1" t="s">
        <v>14</v>
      </c>
      <c r="D11" s="1" t="s">
        <v>12</v>
      </c>
      <c r="E11" s="1" t="s">
        <v>13</v>
      </c>
      <c r="F11" s="1">
        <v>110</v>
      </c>
      <c r="G11" s="1">
        <v>24</v>
      </c>
      <c r="H11" s="1">
        <v>2.99</v>
      </c>
      <c r="K11" s="1">
        <v>28.4</v>
      </c>
      <c r="L11" s="1">
        <f>VLOOKUP($B11,covariates!$B$2:$H$125,5)</f>
        <v>120</v>
      </c>
      <c r="M11" s="1">
        <f>VLOOKUP($B11,covariates!$B$2:$H$125,6)</f>
        <v>100</v>
      </c>
      <c r="N11" s="1">
        <v>24</v>
      </c>
    </row>
    <row r="12" spans="1:14" x14ac:dyDescent="0.4">
      <c r="A12" s="1">
        <v>76</v>
      </c>
      <c r="B12" t="s">
        <v>25</v>
      </c>
      <c r="C12" s="1" t="s">
        <v>11</v>
      </c>
      <c r="D12" s="1" t="s">
        <v>12</v>
      </c>
      <c r="E12" s="1" t="s">
        <v>13</v>
      </c>
      <c r="F12" s="1">
        <v>90</v>
      </c>
      <c r="G12" s="1">
        <v>7</v>
      </c>
      <c r="H12" s="1">
        <v>0.86</v>
      </c>
      <c r="K12" s="1">
        <v>24</v>
      </c>
      <c r="L12" s="1">
        <f>VLOOKUP($B12,covariates!$B$2:$H$125,5)</f>
        <v>47</v>
      </c>
      <c r="M12" s="1">
        <f>VLOOKUP($B12,covariates!$B$2:$H$125,6)</f>
        <v>43</v>
      </c>
      <c r="N12" s="1">
        <v>120</v>
      </c>
    </row>
    <row r="13" spans="1:14" x14ac:dyDescent="0.4">
      <c r="A13" s="1">
        <v>76</v>
      </c>
      <c r="B13" t="s">
        <v>25</v>
      </c>
      <c r="C13" s="1" t="s">
        <v>14</v>
      </c>
      <c r="D13" s="1" t="s">
        <v>12</v>
      </c>
      <c r="E13" s="1" t="s">
        <v>13</v>
      </c>
      <c r="F13" s="1">
        <v>90</v>
      </c>
      <c r="G13" s="1">
        <v>12</v>
      </c>
      <c r="H13" s="1">
        <v>1.52</v>
      </c>
      <c r="K13" s="1">
        <v>24</v>
      </c>
      <c r="L13" s="1">
        <f>VLOOKUP($B13,covariates!$B$2:$H$125,5)</f>
        <v>47</v>
      </c>
      <c r="M13" s="1">
        <f>VLOOKUP($B13,covariates!$B$2:$H$125,6)</f>
        <v>43</v>
      </c>
      <c r="N13" s="1">
        <v>120</v>
      </c>
    </row>
    <row r="14" spans="1:14" x14ac:dyDescent="0.4">
      <c r="A14" s="1">
        <v>77</v>
      </c>
      <c r="B14" t="s">
        <v>26</v>
      </c>
      <c r="C14" s="1" t="s">
        <v>11</v>
      </c>
      <c r="D14" s="1" t="s">
        <v>12</v>
      </c>
      <c r="E14" s="1" t="s">
        <v>13</v>
      </c>
      <c r="F14" s="1">
        <v>38</v>
      </c>
      <c r="G14" s="1">
        <v>3</v>
      </c>
      <c r="H14" s="1">
        <v>0.62</v>
      </c>
      <c r="K14" s="1">
        <v>27</v>
      </c>
      <c r="N14" s="1">
        <v>228</v>
      </c>
    </row>
    <row r="15" spans="1:14" x14ac:dyDescent="0.4">
      <c r="A15" s="1">
        <v>77</v>
      </c>
      <c r="B15" t="s">
        <v>26</v>
      </c>
      <c r="C15" s="1" t="s">
        <v>14</v>
      </c>
      <c r="D15" s="1" t="s">
        <v>12</v>
      </c>
      <c r="E15" s="1" t="s">
        <v>13</v>
      </c>
      <c r="F15" s="1">
        <v>33</v>
      </c>
      <c r="G15" s="1">
        <v>4</v>
      </c>
      <c r="H15" s="1">
        <v>0.89</v>
      </c>
      <c r="K15" s="1">
        <v>27</v>
      </c>
      <c r="N15" s="1">
        <v>228</v>
      </c>
    </row>
    <row r="16" spans="1:14" x14ac:dyDescent="0.4">
      <c r="A16" s="1">
        <v>85</v>
      </c>
      <c r="B16" t="s">
        <v>27</v>
      </c>
      <c r="C16" s="1" t="s">
        <v>11</v>
      </c>
      <c r="D16" s="1" t="s">
        <v>12</v>
      </c>
      <c r="E16" s="1" t="s">
        <v>13</v>
      </c>
      <c r="F16" s="1">
        <v>32</v>
      </c>
      <c r="G16" s="1">
        <v>0</v>
      </c>
      <c r="H16" s="1">
        <v>0.09</v>
      </c>
      <c r="K16" s="1">
        <v>17.7</v>
      </c>
      <c r="L16" s="1">
        <f>VLOOKUP($B16,covariates!$B$2:$H$125,5)</f>
        <v>13</v>
      </c>
      <c r="M16" s="1">
        <f>VLOOKUP($B16,covariates!$B$2:$H$125,6)</f>
        <v>19</v>
      </c>
      <c r="N16" s="1">
        <v>24</v>
      </c>
    </row>
    <row r="17" spans="1:14" x14ac:dyDescent="0.4">
      <c r="A17" s="1">
        <v>85</v>
      </c>
      <c r="B17" t="s">
        <v>27</v>
      </c>
      <c r="C17" s="1" t="s">
        <v>14</v>
      </c>
      <c r="D17" s="1" t="s">
        <v>12</v>
      </c>
      <c r="E17" s="1" t="s">
        <v>13</v>
      </c>
      <c r="F17" s="1">
        <v>32</v>
      </c>
      <c r="G17" s="1">
        <v>2</v>
      </c>
      <c r="H17" s="1">
        <v>0.47</v>
      </c>
      <c r="K17" s="1">
        <v>17.7</v>
      </c>
      <c r="L17" s="1">
        <f>VLOOKUP($B17,covariates!$B$2:$H$125,5)</f>
        <v>13</v>
      </c>
      <c r="M17" s="1">
        <f>VLOOKUP($B17,covariates!$B$2:$H$125,6)</f>
        <v>19</v>
      </c>
      <c r="N17" s="1">
        <v>24</v>
      </c>
    </row>
    <row r="18" spans="1:14" x14ac:dyDescent="0.4">
      <c r="A18" s="1">
        <v>87</v>
      </c>
      <c r="B18" t="s">
        <v>28</v>
      </c>
      <c r="C18" s="1" t="s">
        <v>11</v>
      </c>
      <c r="D18" s="1" t="s">
        <v>12</v>
      </c>
      <c r="E18" s="1" t="s">
        <v>13</v>
      </c>
      <c r="F18" s="1">
        <v>273</v>
      </c>
      <c r="G18" s="1">
        <v>12</v>
      </c>
      <c r="H18" s="1">
        <v>0.79</v>
      </c>
      <c r="K18" s="1">
        <v>25.2</v>
      </c>
      <c r="L18" s="1">
        <f>VLOOKUP($B18,covariates!$B$2:$H$125,5)</f>
        <v>233</v>
      </c>
      <c r="M18" s="1">
        <f>VLOOKUP($B18,covariates!$B$2:$H$125,6)</f>
        <v>40</v>
      </c>
      <c r="N18" s="1">
        <v>63.9</v>
      </c>
    </row>
    <row r="19" spans="1:14" x14ac:dyDescent="0.4">
      <c r="A19" s="1">
        <v>87</v>
      </c>
      <c r="B19" t="s">
        <v>28</v>
      </c>
      <c r="C19" s="1" t="s">
        <v>14</v>
      </c>
      <c r="D19" s="1" t="s">
        <v>12</v>
      </c>
      <c r="E19" s="1" t="s">
        <v>13</v>
      </c>
      <c r="F19" s="1">
        <v>283</v>
      </c>
      <c r="G19" s="1">
        <v>12</v>
      </c>
      <c r="H19" s="1">
        <v>0.78</v>
      </c>
      <c r="K19" s="1">
        <v>25.2</v>
      </c>
      <c r="L19" s="1">
        <f>VLOOKUP($B19,covariates!$B$2:$H$125,5)</f>
        <v>233</v>
      </c>
      <c r="M19" s="1">
        <f>VLOOKUP($B19,covariates!$B$2:$H$125,6)</f>
        <v>40</v>
      </c>
      <c r="N19" s="1">
        <v>63.9</v>
      </c>
    </row>
    <row r="20" spans="1:14" x14ac:dyDescent="0.4">
      <c r="A20" s="1">
        <v>90</v>
      </c>
      <c r="B20" t="s">
        <v>29</v>
      </c>
      <c r="C20" s="1" t="s">
        <v>11</v>
      </c>
      <c r="D20" s="1" t="s">
        <v>12</v>
      </c>
      <c r="E20" s="1" t="s">
        <v>13</v>
      </c>
      <c r="F20" s="1">
        <v>32</v>
      </c>
      <c r="G20" s="1">
        <v>3</v>
      </c>
      <c r="H20" s="1">
        <v>0.68</v>
      </c>
      <c r="K20" s="1">
        <v>22.1</v>
      </c>
      <c r="L20" s="1">
        <f>VLOOKUP($B20,covariates!$B$2:$H$125,5)</f>
        <v>28</v>
      </c>
      <c r="M20" s="1">
        <f>VLOOKUP($B20,covariates!$B$2:$H$125,6)</f>
        <v>4</v>
      </c>
      <c r="N20" s="1">
        <v>38.4</v>
      </c>
    </row>
    <row r="21" spans="1:14" x14ac:dyDescent="0.4">
      <c r="A21" s="1">
        <v>90</v>
      </c>
      <c r="B21" t="s">
        <v>29</v>
      </c>
      <c r="C21" s="1" t="s">
        <v>14</v>
      </c>
      <c r="D21" s="1" t="s">
        <v>12</v>
      </c>
      <c r="E21" s="1" t="s">
        <v>13</v>
      </c>
      <c r="F21" s="1">
        <v>32</v>
      </c>
      <c r="G21" s="1">
        <v>4</v>
      </c>
      <c r="H21" s="1">
        <v>0.91</v>
      </c>
      <c r="K21" s="1">
        <v>22.1</v>
      </c>
      <c r="L21" s="1">
        <f>VLOOKUP($B21,covariates!$B$2:$H$125,5)</f>
        <v>28</v>
      </c>
      <c r="M21" s="1">
        <f>VLOOKUP($B21,covariates!$B$2:$H$125,6)</f>
        <v>4</v>
      </c>
      <c r="N21" s="1">
        <v>38.4</v>
      </c>
    </row>
    <row r="22" spans="1:14" x14ac:dyDescent="0.4">
      <c r="A22" s="1">
        <v>96</v>
      </c>
      <c r="B22" t="s">
        <v>30</v>
      </c>
      <c r="C22" s="1" t="s">
        <v>11</v>
      </c>
      <c r="D22" s="1" t="s">
        <v>12</v>
      </c>
      <c r="E22" s="1" t="s">
        <v>13</v>
      </c>
      <c r="F22" s="1">
        <v>29</v>
      </c>
      <c r="G22" s="1">
        <v>3</v>
      </c>
      <c r="H22" s="1">
        <v>0.72</v>
      </c>
      <c r="K22" s="1">
        <v>34.200000000000003</v>
      </c>
      <c r="L22" s="1">
        <f>VLOOKUP($B22,covariates!$B$2:$H$125,5)</f>
        <v>18</v>
      </c>
      <c r="M22" s="1">
        <f>VLOOKUP($B22,covariates!$B$2:$H$125,6)</f>
        <v>13</v>
      </c>
      <c r="N22" s="1">
        <v>108</v>
      </c>
    </row>
    <row r="23" spans="1:14" x14ac:dyDescent="0.4">
      <c r="A23" s="1">
        <v>96</v>
      </c>
      <c r="B23" t="s">
        <v>30</v>
      </c>
      <c r="C23" s="1" t="s">
        <v>14</v>
      </c>
      <c r="D23" s="1" t="s">
        <v>12</v>
      </c>
      <c r="E23" s="1" t="s">
        <v>13</v>
      </c>
      <c r="F23" s="1">
        <v>25</v>
      </c>
      <c r="G23" s="1">
        <v>3</v>
      </c>
      <c r="H23" s="1">
        <v>0.8</v>
      </c>
      <c r="K23" s="1">
        <v>34.200000000000003</v>
      </c>
      <c r="L23" s="1">
        <f>VLOOKUP($B23,covariates!$B$2:$H$125,5)</f>
        <v>18</v>
      </c>
      <c r="M23" s="1">
        <f>VLOOKUP($B23,covariates!$B$2:$H$125,6)</f>
        <v>13</v>
      </c>
      <c r="N23" s="1">
        <v>108</v>
      </c>
    </row>
    <row r="24" spans="1:14" x14ac:dyDescent="0.4">
      <c r="A24" s="1">
        <v>97</v>
      </c>
      <c r="B24" t="s">
        <v>31</v>
      </c>
      <c r="C24" s="1" t="s">
        <v>14</v>
      </c>
      <c r="D24" s="1" t="s">
        <v>12</v>
      </c>
      <c r="E24" s="1" t="s">
        <v>13</v>
      </c>
      <c r="F24" s="1">
        <v>36</v>
      </c>
      <c r="G24" s="1">
        <v>1</v>
      </c>
      <c r="H24" s="1">
        <v>0.26</v>
      </c>
      <c r="K24" s="1">
        <v>28.7</v>
      </c>
      <c r="L24" s="1">
        <f>VLOOKUP($B24,covariates!$B$2:$H$125,5)</f>
        <v>30</v>
      </c>
      <c r="M24" s="1">
        <f>VLOOKUP($B24,covariates!$B$2:$H$125,6)</f>
        <v>3</v>
      </c>
      <c r="N24" s="1">
        <v>12</v>
      </c>
    </row>
    <row r="25" spans="1:14" x14ac:dyDescent="0.4">
      <c r="A25" s="1">
        <v>97</v>
      </c>
      <c r="B25" t="s">
        <v>31</v>
      </c>
      <c r="C25" s="1" t="s">
        <v>32</v>
      </c>
      <c r="D25" s="1" t="s">
        <v>12</v>
      </c>
      <c r="E25" s="1" t="s">
        <v>13</v>
      </c>
      <c r="F25" s="1">
        <v>33</v>
      </c>
      <c r="G25" s="1">
        <v>0</v>
      </c>
      <c r="H25" s="1">
        <v>0.09</v>
      </c>
      <c r="K25" s="1">
        <v>28.7</v>
      </c>
      <c r="L25" s="1">
        <f>VLOOKUP($B25,covariates!$B$2:$H$125,5)</f>
        <v>30</v>
      </c>
      <c r="M25" s="1">
        <f>VLOOKUP($B25,covariates!$B$2:$H$125,6)</f>
        <v>3</v>
      </c>
      <c r="N25" s="1">
        <v>12</v>
      </c>
    </row>
    <row r="26" spans="1:14" x14ac:dyDescent="0.4">
      <c r="A26" s="1">
        <v>10</v>
      </c>
      <c r="B26" t="s">
        <v>45</v>
      </c>
      <c r="C26" s="1" t="s">
        <v>11</v>
      </c>
      <c r="D26" s="1" t="s">
        <v>46</v>
      </c>
      <c r="E26" s="1" t="s">
        <v>38</v>
      </c>
      <c r="F26" s="1">
        <v>43</v>
      </c>
      <c r="G26" s="1">
        <v>91</v>
      </c>
      <c r="H26" s="1">
        <v>7.3</v>
      </c>
      <c r="K26" s="1">
        <v>30.5</v>
      </c>
      <c r="L26" s="1">
        <f>VLOOKUP($B26,covariates!$B$2:$H$125,5)</f>
        <v>17</v>
      </c>
      <c r="M26" s="1">
        <f>VLOOKUP($B26,covariates!$B$2:$H$125,6)</f>
        <v>13</v>
      </c>
      <c r="N26" s="1">
        <v>123.6</v>
      </c>
    </row>
    <row r="27" spans="1:14" x14ac:dyDescent="0.4">
      <c r="A27" s="1">
        <v>10</v>
      </c>
      <c r="B27" t="s">
        <v>45</v>
      </c>
      <c r="C27" s="1" t="s">
        <v>32</v>
      </c>
      <c r="D27" s="1" t="s">
        <v>46</v>
      </c>
      <c r="E27" s="1" t="s">
        <v>38</v>
      </c>
      <c r="F27" s="1">
        <v>43</v>
      </c>
      <c r="G27" s="1">
        <v>92</v>
      </c>
      <c r="H27" s="1">
        <v>11.5</v>
      </c>
      <c r="K27" s="1">
        <v>30.5</v>
      </c>
      <c r="L27" s="1">
        <f>VLOOKUP($B27,covariates!$B$2:$H$125,5)</f>
        <v>17</v>
      </c>
      <c r="M27" s="1">
        <f>VLOOKUP($B27,covariates!$B$2:$H$125,6)</f>
        <v>13</v>
      </c>
      <c r="N27" s="1">
        <v>123.6</v>
      </c>
    </row>
    <row r="28" spans="1:14" x14ac:dyDescent="0.4">
      <c r="A28" s="1">
        <v>12</v>
      </c>
      <c r="B28" t="s">
        <v>15</v>
      </c>
      <c r="C28" s="1" t="s">
        <v>14</v>
      </c>
      <c r="D28" s="1" t="s">
        <v>46</v>
      </c>
      <c r="E28" s="1" t="s">
        <v>38</v>
      </c>
      <c r="F28" s="1">
        <v>62</v>
      </c>
      <c r="G28" s="1">
        <v>90.4</v>
      </c>
      <c r="H28" s="1">
        <v>7.1</v>
      </c>
      <c r="K28" s="1">
        <v>29.1</v>
      </c>
      <c r="L28" s="1">
        <f>VLOOKUP($B28,covariates!$B$2:$H$125,5)</f>
        <v>34</v>
      </c>
      <c r="M28" s="1">
        <f>VLOOKUP($B28,covariates!$B$2:$H$125,6)</f>
        <v>28</v>
      </c>
      <c r="N28" s="1">
        <v>29.7</v>
      </c>
    </row>
    <row r="29" spans="1:14" x14ac:dyDescent="0.4">
      <c r="A29" s="1">
        <v>12</v>
      </c>
      <c r="B29" t="s">
        <v>15</v>
      </c>
      <c r="C29" s="1" t="s">
        <v>16</v>
      </c>
      <c r="D29" s="1" t="s">
        <v>46</v>
      </c>
      <c r="E29" s="1" t="s">
        <v>38</v>
      </c>
      <c r="F29" s="1">
        <v>62</v>
      </c>
      <c r="G29" s="1">
        <v>89.3</v>
      </c>
      <c r="H29" s="1">
        <v>8.4</v>
      </c>
      <c r="K29" s="1">
        <v>29.1</v>
      </c>
      <c r="L29" s="1">
        <f>VLOOKUP($B29,covariates!$B$2:$H$125,5)</f>
        <v>34</v>
      </c>
      <c r="M29" s="1">
        <f>VLOOKUP($B29,covariates!$B$2:$H$125,6)</f>
        <v>28</v>
      </c>
      <c r="N29" s="1">
        <v>29.7</v>
      </c>
    </row>
    <row r="30" spans="1:14" x14ac:dyDescent="0.4">
      <c r="A30" s="1">
        <v>13</v>
      </c>
      <c r="B30" t="s">
        <v>47</v>
      </c>
      <c r="C30" s="1" t="s">
        <v>11</v>
      </c>
      <c r="D30" s="1" t="s">
        <v>46</v>
      </c>
      <c r="E30" s="1" t="s">
        <v>38</v>
      </c>
      <c r="F30" s="1">
        <v>61</v>
      </c>
      <c r="G30" s="1">
        <v>67.3</v>
      </c>
      <c r="H30" s="1">
        <v>20.8</v>
      </c>
      <c r="K30" s="1">
        <v>26.8</v>
      </c>
      <c r="L30" s="1">
        <f>VLOOKUP($B30,covariates!$B$2:$H$125,5)</f>
        <v>53</v>
      </c>
      <c r="M30" s="1">
        <f>VLOOKUP($B30,covariates!$B$2:$H$125,6)</f>
        <v>33</v>
      </c>
      <c r="N30" s="1">
        <v>191.9</v>
      </c>
    </row>
    <row r="31" spans="1:14" x14ac:dyDescent="0.4">
      <c r="A31" s="1">
        <v>13</v>
      </c>
      <c r="B31" t="s">
        <v>47</v>
      </c>
      <c r="C31" s="1" t="s">
        <v>14</v>
      </c>
      <c r="D31" s="1" t="s">
        <v>46</v>
      </c>
      <c r="E31" s="1" t="s">
        <v>38</v>
      </c>
      <c r="F31" s="1">
        <v>86</v>
      </c>
      <c r="G31" s="1">
        <v>74</v>
      </c>
      <c r="H31" s="1">
        <v>18.8</v>
      </c>
      <c r="K31" s="1">
        <v>26.8</v>
      </c>
      <c r="L31" s="1">
        <f>VLOOKUP($B31,covariates!$B$2:$H$125,5)</f>
        <v>53</v>
      </c>
      <c r="M31" s="1">
        <f>VLOOKUP($B31,covariates!$B$2:$H$125,6)</f>
        <v>33</v>
      </c>
      <c r="N31" s="1">
        <v>191.9</v>
      </c>
    </row>
    <row r="32" spans="1:14" x14ac:dyDescent="0.4">
      <c r="A32" s="1">
        <v>14</v>
      </c>
      <c r="B32" t="s">
        <v>48</v>
      </c>
      <c r="C32" s="1" t="s">
        <v>14</v>
      </c>
      <c r="D32" s="1" t="s">
        <v>46</v>
      </c>
      <c r="E32" s="1" t="s">
        <v>38</v>
      </c>
      <c r="F32" s="1">
        <v>44</v>
      </c>
      <c r="G32" s="1">
        <v>79.5</v>
      </c>
      <c r="H32" s="1">
        <v>24.7</v>
      </c>
      <c r="K32" s="1">
        <v>29.2</v>
      </c>
      <c r="L32" s="1">
        <f>VLOOKUP($B32,covariates!$B$2:$H$125,5)</f>
        <v>43</v>
      </c>
      <c r="M32" s="1">
        <f>VLOOKUP($B32,covariates!$B$2:$H$125,6)</f>
        <v>6</v>
      </c>
      <c r="N32" s="1">
        <v>120</v>
      </c>
    </row>
    <row r="33" spans="1:14" x14ac:dyDescent="0.4">
      <c r="A33" s="1">
        <v>14</v>
      </c>
      <c r="B33" t="s">
        <v>48</v>
      </c>
      <c r="C33" s="1" t="s">
        <v>17</v>
      </c>
      <c r="D33" s="1" t="s">
        <v>46</v>
      </c>
      <c r="E33" s="1" t="s">
        <v>38</v>
      </c>
      <c r="F33" s="1">
        <v>36</v>
      </c>
      <c r="G33" s="1">
        <v>81.099999999999994</v>
      </c>
      <c r="H33" s="1">
        <v>23.1</v>
      </c>
      <c r="K33" s="1">
        <v>29.2</v>
      </c>
      <c r="L33" s="1">
        <f>VLOOKUP($B33,covariates!$B$2:$H$125,5)</f>
        <v>43</v>
      </c>
      <c r="M33" s="1">
        <f>VLOOKUP($B33,covariates!$B$2:$H$125,6)</f>
        <v>6</v>
      </c>
      <c r="N33" s="1">
        <v>120</v>
      </c>
    </row>
    <row r="34" spans="1:14" x14ac:dyDescent="0.4">
      <c r="A34" s="1">
        <v>18</v>
      </c>
      <c r="B34" t="s">
        <v>49</v>
      </c>
      <c r="C34" s="1" t="s">
        <v>14</v>
      </c>
      <c r="D34" s="1" t="s">
        <v>46</v>
      </c>
      <c r="E34" s="1" t="s">
        <v>38</v>
      </c>
      <c r="F34" s="1">
        <v>30</v>
      </c>
      <c r="G34" s="1">
        <v>89.7</v>
      </c>
      <c r="H34" s="1">
        <v>5.7</v>
      </c>
      <c r="K34" s="1">
        <v>27.7</v>
      </c>
      <c r="L34" s="1">
        <f>VLOOKUP($B34,covariates!$B$2:$H$125,5)</f>
        <v>30</v>
      </c>
      <c r="M34" s="1">
        <f>VLOOKUP($B34,covariates!$B$2:$H$125,6)</f>
        <v>0</v>
      </c>
      <c r="N34" s="1">
        <v>60</v>
      </c>
    </row>
    <row r="35" spans="1:14" x14ac:dyDescent="0.4">
      <c r="A35" s="1">
        <v>18</v>
      </c>
      <c r="B35" t="s">
        <v>49</v>
      </c>
      <c r="C35" s="1" t="s">
        <v>16</v>
      </c>
      <c r="D35" s="1" t="s">
        <v>46</v>
      </c>
      <c r="E35" s="1" t="s">
        <v>38</v>
      </c>
      <c r="F35" s="1">
        <v>30</v>
      </c>
      <c r="G35" s="1">
        <v>89.9</v>
      </c>
      <c r="H35" s="1">
        <v>9.8000000000000007</v>
      </c>
      <c r="K35" s="1">
        <v>27.7</v>
      </c>
      <c r="L35" s="1">
        <f>VLOOKUP($B35,covariates!$B$2:$H$125,5)</f>
        <v>30</v>
      </c>
      <c r="M35" s="1">
        <f>VLOOKUP($B35,covariates!$B$2:$H$125,6)</f>
        <v>0</v>
      </c>
      <c r="N35" s="1">
        <v>60</v>
      </c>
    </row>
    <row r="36" spans="1:14" x14ac:dyDescent="0.4">
      <c r="A36" s="1">
        <v>19</v>
      </c>
      <c r="B36" t="s">
        <v>50</v>
      </c>
      <c r="C36" s="1" t="s">
        <v>14</v>
      </c>
      <c r="D36" s="1" t="s">
        <v>46</v>
      </c>
      <c r="E36" s="1" t="s">
        <v>38</v>
      </c>
      <c r="F36" s="1">
        <v>92</v>
      </c>
      <c r="G36" s="1">
        <v>92</v>
      </c>
      <c r="H36" s="1">
        <v>8</v>
      </c>
      <c r="K36" s="1">
        <v>28.1</v>
      </c>
      <c r="L36" s="1">
        <f>VLOOKUP($B36,covariates!$B$2:$H$125,5)</f>
        <v>28</v>
      </c>
      <c r="M36" s="1">
        <f>VLOOKUP($B36,covariates!$B$2:$H$125,6)</f>
        <v>29</v>
      </c>
      <c r="N36" s="1">
        <v>24</v>
      </c>
    </row>
    <row r="37" spans="1:14" x14ac:dyDescent="0.4">
      <c r="A37" s="1">
        <v>19</v>
      </c>
      <c r="B37" t="s">
        <v>50</v>
      </c>
      <c r="C37" s="1" t="s">
        <v>32</v>
      </c>
      <c r="D37" s="1" t="s">
        <v>46</v>
      </c>
      <c r="E37" s="1" t="s">
        <v>38</v>
      </c>
      <c r="F37" s="1">
        <v>89</v>
      </c>
      <c r="G37" s="1">
        <v>89</v>
      </c>
      <c r="H37" s="1">
        <v>10</v>
      </c>
      <c r="K37" s="1">
        <v>28.1</v>
      </c>
      <c r="L37" s="1">
        <f>VLOOKUP($B37,covariates!$B$2:$H$125,5)</f>
        <v>28</v>
      </c>
      <c r="M37" s="1">
        <f>VLOOKUP($B37,covariates!$B$2:$H$125,6)</f>
        <v>29</v>
      </c>
      <c r="N37" s="1">
        <v>24</v>
      </c>
    </row>
    <row r="38" spans="1:14" x14ac:dyDescent="0.4">
      <c r="A38" s="1">
        <v>32</v>
      </c>
      <c r="B38" t="s">
        <v>51</v>
      </c>
      <c r="C38" s="1" t="s">
        <v>11</v>
      </c>
      <c r="D38" s="1" t="s">
        <v>46</v>
      </c>
      <c r="E38" s="1" t="s">
        <v>38</v>
      </c>
      <c r="F38" s="1">
        <v>31</v>
      </c>
      <c r="G38" s="1">
        <v>88.75</v>
      </c>
      <c r="H38" s="1">
        <v>9.27</v>
      </c>
      <c r="K38" s="1">
        <v>24.6</v>
      </c>
      <c r="L38" s="1">
        <f>VLOOKUP($B38,covariates!$B$2:$H$125,5)</f>
        <v>19</v>
      </c>
      <c r="M38" s="1">
        <f>VLOOKUP($B38,covariates!$B$2:$H$125,6)</f>
        <v>12</v>
      </c>
      <c r="N38" s="1">
        <v>24</v>
      </c>
    </row>
    <row r="39" spans="1:14" x14ac:dyDescent="0.4">
      <c r="A39" s="1">
        <v>32</v>
      </c>
      <c r="B39" t="s">
        <v>51</v>
      </c>
      <c r="C39" s="1" t="s">
        <v>14</v>
      </c>
      <c r="D39" s="1" t="s">
        <v>46</v>
      </c>
      <c r="E39" s="1" t="s">
        <v>38</v>
      </c>
      <c r="F39" s="1">
        <v>31</v>
      </c>
      <c r="G39" s="1">
        <v>91</v>
      </c>
      <c r="H39" s="1">
        <v>9.07</v>
      </c>
      <c r="K39" s="1">
        <v>24.6</v>
      </c>
      <c r="L39" s="1">
        <f>VLOOKUP($B39,covariates!$B$2:$H$125,5)</f>
        <v>19</v>
      </c>
      <c r="M39" s="1">
        <f>VLOOKUP($B39,covariates!$B$2:$H$125,6)</f>
        <v>12</v>
      </c>
      <c r="N39" s="1">
        <v>24</v>
      </c>
    </row>
    <row r="40" spans="1:14" x14ac:dyDescent="0.4">
      <c r="A40" s="1">
        <v>36</v>
      </c>
      <c r="B40" t="s">
        <v>52</v>
      </c>
      <c r="C40" s="1" t="s">
        <v>14</v>
      </c>
      <c r="D40" s="1" t="s">
        <v>46</v>
      </c>
      <c r="E40" s="1" t="s">
        <v>38</v>
      </c>
      <c r="F40" s="1">
        <v>26</v>
      </c>
      <c r="G40" s="1">
        <v>83.7</v>
      </c>
      <c r="H40" s="1">
        <v>12.7</v>
      </c>
      <c r="K40" s="1">
        <v>24.1</v>
      </c>
      <c r="L40" s="1">
        <f>VLOOKUP($B40,covariates!$B$2:$H$125,5)</f>
        <v>21</v>
      </c>
      <c r="M40" s="1">
        <f>VLOOKUP($B40,covariates!$B$2:$H$125,6)</f>
        <v>3</v>
      </c>
      <c r="N40" s="1">
        <v>24</v>
      </c>
    </row>
    <row r="41" spans="1:14" x14ac:dyDescent="0.4">
      <c r="A41" s="1">
        <v>36</v>
      </c>
      <c r="B41" t="s">
        <v>52</v>
      </c>
      <c r="C41" s="1" t="s">
        <v>32</v>
      </c>
      <c r="D41" s="1" t="s">
        <v>46</v>
      </c>
      <c r="E41" s="1" t="s">
        <v>38</v>
      </c>
      <c r="F41" s="1">
        <v>23</v>
      </c>
      <c r="G41" s="1">
        <v>89.3</v>
      </c>
      <c r="H41" s="1">
        <v>12.2</v>
      </c>
      <c r="K41" s="1">
        <v>24.1</v>
      </c>
      <c r="L41" s="1">
        <f>VLOOKUP($B41,covariates!$B$2:$H$125,5)</f>
        <v>21</v>
      </c>
      <c r="M41" s="1">
        <f>VLOOKUP($B41,covariates!$B$2:$H$125,6)</f>
        <v>3</v>
      </c>
      <c r="N41" s="1">
        <v>24</v>
      </c>
    </row>
    <row r="42" spans="1:14" x14ac:dyDescent="0.4">
      <c r="A42" s="1">
        <v>38</v>
      </c>
      <c r="B42" t="s">
        <v>53</v>
      </c>
      <c r="C42" s="1" t="s">
        <v>11</v>
      </c>
      <c r="D42" s="1" t="s">
        <v>46</v>
      </c>
      <c r="E42" s="1" t="s">
        <v>38</v>
      </c>
      <c r="F42" s="1">
        <v>45</v>
      </c>
      <c r="G42" s="1">
        <v>83.2</v>
      </c>
      <c r="H42" s="1">
        <v>2.8</v>
      </c>
      <c r="K42" s="1">
        <v>26.7</v>
      </c>
      <c r="L42" s="1">
        <f>VLOOKUP($B42,covariates!$B$2:$H$125,5)</f>
        <v>10</v>
      </c>
      <c r="M42" s="1">
        <f>VLOOKUP($B42,covariates!$B$2:$H$125,6)</f>
        <v>0</v>
      </c>
      <c r="N42" s="1">
        <v>9</v>
      </c>
    </row>
    <row r="43" spans="1:14" x14ac:dyDescent="0.4">
      <c r="A43" s="1">
        <v>38</v>
      </c>
      <c r="B43" t="s">
        <v>53</v>
      </c>
      <c r="C43" s="1" t="s">
        <v>14</v>
      </c>
      <c r="D43" s="1" t="s">
        <v>46</v>
      </c>
      <c r="E43" s="1" t="s">
        <v>38</v>
      </c>
      <c r="F43" s="1">
        <v>45</v>
      </c>
      <c r="G43" s="1">
        <v>82.78</v>
      </c>
      <c r="H43" s="1">
        <v>2.8</v>
      </c>
      <c r="K43" s="1">
        <v>26.7</v>
      </c>
      <c r="L43" s="1">
        <f>VLOOKUP($B43,covariates!$B$2:$H$125,5)</f>
        <v>10</v>
      </c>
      <c r="M43" s="1">
        <f>VLOOKUP($B43,covariates!$B$2:$H$125,6)</f>
        <v>0</v>
      </c>
      <c r="N43" s="1">
        <v>9</v>
      </c>
    </row>
    <row r="44" spans="1:14" x14ac:dyDescent="0.4">
      <c r="A44" s="1">
        <v>44</v>
      </c>
      <c r="B44" t="s">
        <v>54</v>
      </c>
      <c r="C44" s="1" t="s">
        <v>11</v>
      </c>
      <c r="D44" s="1" t="s">
        <v>46</v>
      </c>
      <c r="E44" s="1" t="s">
        <v>38</v>
      </c>
      <c r="F44" s="1">
        <v>36</v>
      </c>
      <c r="G44" s="1">
        <v>74.2</v>
      </c>
      <c r="H44" s="1">
        <v>10.199999999999999</v>
      </c>
      <c r="K44" s="1">
        <v>29.8</v>
      </c>
      <c r="L44" s="1">
        <f>VLOOKUP($B44,covariates!$B$2:$H$125,5)</f>
        <v>21</v>
      </c>
      <c r="M44" s="1">
        <f>VLOOKUP($B44,covariates!$B$2:$H$125,6)</f>
        <v>19</v>
      </c>
      <c r="N44" s="1">
        <v>28</v>
      </c>
    </row>
    <row r="45" spans="1:14" x14ac:dyDescent="0.4">
      <c r="A45" s="1">
        <v>44</v>
      </c>
      <c r="B45" t="s">
        <v>54</v>
      </c>
      <c r="C45" s="1" t="s">
        <v>32</v>
      </c>
      <c r="D45" s="1" t="s">
        <v>46</v>
      </c>
      <c r="E45" s="1" t="s">
        <v>38</v>
      </c>
      <c r="F45" s="1">
        <v>36</v>
      </c>
      <c r="G45" s="1">
        <v>78.3</v>
      </c>
      <c r="H45" s="1">
        <v>10.5</v>
      </c>
      <c r="K45" s="1">
        <v>29.8</v>
      </c>
      <c r="L45" s="1">
        <f>VLOOKUP($B45,covariates!$B$2:$H$125,5)</f>
        <v>21</v>
      </c>
      <c r="M45" s="1">
        <f>VLOOKUP($B45,covariates!$B$2:$H$125,6)</f>
        <v>19</v>
      </c>
      <c r="N45" s="1">
        <v>28</v>
      </c>
    </row>
    <row r="46" spans="1:14" x14ac:dyDescent="0.4">
      <c r="A46" s="1">
        <v>51</v>
      </c>
      <c r="B46" t="s">
        <v>55</v>
      </c>
      <c r="C46" s="1" t="s">
        <v>14</v>
      </c>
      <c r="D46" s="1" t="s">
        <v>46</v>
      </c>
      <c r="E46" s="1" t="s">
        <v>38</v>
      </c>
      <c r="F46" s="1">
        <v>32</v>
      </c>
      <c r="G46" s="1">
        <v>87.5</v>
      </c>
      <c r="H46" s="1">
        <v>3.2</v>
      </c>
      <c r="K46" s="1">
        <v>30.5</v>
      </c>
      <c r="L46" s="1">
        <f>VLOOKUP($B46,covariates!$B$2:$H$125,5)</f>
        <v>15</v>
      </c>
      <c r="M46" s="1">
        <f>VLOOKUP($B46,covariates!$B$2:$H$125,6)</f>
        <v>17</v>
      </c>
      <c r="N46" s="1">
        <v>73.2</v>
      </c>
    </row>
    <row r="47" spans="1:14" x14ac:dyDescent="0.4">
      <c r="A47" s="1">
        <v>51</v>
      </c>
      <c r="B47" t="s">
        <v>55</v>
      </c>
      <c r="C47" s="1" t="s">
        <v>17</v>
      </c>
      <c r="D47" s="1" t="s">
        <v>46</v>
      </c>
      <c r="E47" s="1" t="s">
        <v>38</v>
      </c>
      <c r="F47" s="1">
        <v>32</v>
      </c>
      <c r="G47" s="1">
        <v>83.8</v>
      </c>
      <c r="H47" s="1">
        <v>6.9</v>
      </c>
      <c r="K47" s="1">
        <v>30.5</v>
      </c>
      <c r="L47" s="1">
        <f>VLOOKUP($B47,covariates!$B$2:$H$125,5)</f>
        <v>15</v>
      </c>
      <c r="M47" s="1">
        <f>VLOOKUP($B47,covariates!$B$2:$H$125,6)</f>
        <v>17</v>
      </c>
      <c r="N47" s="1">
        <v>73.2</v>
      </c>
    </row>
    <row r="48" spans="1:14" x14ac:dyDescent="0.4">
      <c r="A48" s="1">
        <v>53</v>
      </c>
      <c r="B48" t="s">
        <v>56</v>
      </c>
      <c r="C48" s="1" t="s">
        <v>14</v>
      </c>
      <c r="D48" s="1" t="s">
        <v>46</v>
      </c>
      <c r="E48" s="1" t="s">
        <v>38</v>
      </c>
      <c r="F48" s="1">
        <v>49</v>
      </c>
      <c r="G48" s="1">
        <v>78</v>
      </c>
      <c r="H48" s="1">
        <v>18</v>
      </c>
      <c r="K48" s="1">
        <v>27.2</v>
      </c>
      <c r="L48" s="1">
        <f>VLOOKUP($B48,covariates!$B$2:$H$125,5)</f>
        <v>29</v>
      </c>
      <c r="M48" s="1">
        <f>VLOOKUP($B48,covariates!$B$2:$H$125,6)</f>
        <v>21</v>
      </c>
      <c r="N48" s="1">
        <v>24</v>
      </c>
    </row>
    <row r="49" spans="1:14" x14ac:dyDescent="0.4">
      <c r="A49" s="1">
        <v>53</v>
      </c>
      <c r="B49" t="s">
        <v>56</v>
      </c>
      <c r="C49" s="1" t="s">
        <v>32</v>
      </c>
      <c r="D49" s="1" t="s">
        <v>46</v>
      </c>
      <c r="E49" s="1" t="s">
        <v>38</v>
      </c>
      <c r="F49" s="1">
        <v>47</v>
      </c>
      <c r="G49" s="1">
        <v>82</v>
      </c>
      <c r="H49" s="1">
        <v>14</v>
      </c>
      <c r="K49" s="1">
        <v>27.2</v>
      </c>
      <c r="L49" s="1">
        <f>VLOOKUP($B49,covariates!$B$2:$H$125,5)</f>
        <v>29</v>
      </c>
      <c r="M49" s="1">
        <f>VLOOKUP($B49,covariates!$B$2:$H$125,6)</f>
        <v>21</v>
      </c>
      <c r="N49" s="1">
        <v>24</v>
      </c>
    </row>
    <row r="50" spans="1:14" x14ac:dyDescent="0.4">
      <c r="A50" s="1">
        <v>54</v>
      </c>
      <c r="B50" t="s">
        <v>20</v>
      </c>
      <c r="C50" s="1" t="s">
        <v>11</v>
      </c>
      <c r="D50" s="1" t="s">
        <v>46</v>
      </c>
      <c r="E50" s="1" t="s">
        <v>38</v>
      </c>
      <c r="F50" s="1">
        <v>19</v>
      </c>
      <c r="G50" s="1">
        <v>78.400000000000006</v>
      </c>
      <c r="H50" s="1">
        <v>13.7</v>
      </c>
      <c r="K50" s="1">
        <v>54.5</v>
      </c>
      <c r="N50" s="1">
        <v>240</v>
      </c>
    </row>
    <row r="51" spans="1:14" x14ac:dyDescent="0.4">
      <c r="A51" s="1">
        <v>54</v>
      </c>
      <c r="B51" t="s">
        <v>20</v>
      </c>
      <c r="C51" s="1" t="s">
        <v>14</v>
      </c>
      <c r="D51" s="1" t="s">
        <v>46</v>
      </c>
      <c r="E51" s="1" t="s">
        <v>38</v>
      </c>
      <c r="F51" s="1">
        <v>20</v>
      </c>
      <c r="G51" s="1">
        <v>81.599999999999994</v>
      </c>
      <c r="H51" s="1">
        <v>11.9</v>
      </c>
      <c r="K51" s="1">
        <v>54.5</v>
      </c>
      <c r="N51" s="1">
        <v>240</v>
      </c>
    </row>
    <row r="52" spans="1:14" x14ac:dyDescent="0.4">
      <c r="A52" s="1">
        <v>55</v>
      </c>
      <c r="B52" t="s">
        <v>57</v>
      </c>
      <c r="C52" s="1" t="s">
        <v>11</v>
      </c>
      <c r="D52" s="1" t="s">
        <v>46</v>
      </c>
      <c r="E52" s="1" t="s">
        <v>38</v>
      </c>
      <c r="F52" s="1">
        <v>14</v>
      </c>
      <c r="G52" s="1">
        <v>71.900000000000006</v>
      </c>
      <c r="H52" s="1">
        <v>15.2</v>
      </c>
      <c r="K52" s="1">
        <v>24.6</v>
      </c>
      <c r="L52" s="1">
        <f>VLOOKUP($B52,covariates!$B$2:$H$125,5)</f>
        <v>38</v>
      </c>
      <c r="M52" s="1">
        <f>VLOOKUP($B52,covariates!$B$2:$H$125,6)</f>
        <v>0</v>
      </c>
      <c r="N52" s="1">
        <v>12</v>
      </c>
    </row>
    <row r="53" spans="1:14" x14ac:dyDescent="0.4">
      <c r="A53" s="1">
        <v>55</v>
      </c>
      <c r="B53" t="s">
        <v>57</v>
      </c>
      <c r="C53" s="1" t="s">
        <v>14</v>
      </c>
      <c r="D53" s="1" t="s">
        <v>46</v>
      </c>
      <c r="E53" s="1" t="s">
        <v>38</v>
      </c>
      <c r="F53" s="1">
        <v>17</v>
      </c>
      <c r="G53" s="1">
        <v>73.099999999999994</v>
      </c>
      <c r="H53" s="1">
        <v>12.3</v>
      </c>
      <c r="K53" s="1">
        <v>24.6</v>
      </c>
      <c r="L53" s="1">
        <f>VLOOKUP($B53,covariates!$B$2:$H$125,5)</f>
        <v>38</v>
      </c>
      <c r="M53" s="1">
        <f>VLOOKUP($B53,covariates!$B$2:$H$125,6)</f>
        <v>0</v>
      </c>
      <c r="N53" s="1">
        <v>12</v>
      </c>
    </row>
    <row r="54" spans="1:14" x14ac:dyDescent="0.4">
      <c r="A54" s="1">
        <v>56</v>
      </c>
      <c r="B54" t="s">
        <v>58</v>
      </c>
      <c r="C54" s="1" t="s">
        <v>11</v>
      </c>
      <c r="D54" s="1" t="s">
        <v>46</v>
      </c>
      <c r="E54" s="1" t="s">
        <v>38</v>
      </c>
      <c r="F54" s="1">
        <v>18</v>
      </c>
      <c r="G54" s="1">
        <v>75</v>
      </c>
      <c r="H54" s="1">
        <v>13</v>
      </c>
      <c r="K54" s="1">
        <v>30</v>
      </c>
      <c r="L54" s="1">
        <f>VLOOKUP($B54,covariates!$B$2:$H$125,5)</f>
        <v>17</v>
      </c>
      <c r="M54" s="1">
        <f>VLOOKUP($B54,covariates!$B$2:$H$125,6)</f>
        <v>4</v>
      </c>
      <c r="N54" s="1">
        <v>24</v>
      </c>
    </row>
    <row r="55" spans="1:14" x14ac:dyDescent="0.4">
      <c r="A55" s="1">
        <v>56</v>
      </c>
      <c r="B55" t="s">
        <v>58</v>
      </c>
      <c r="C55" s="1" t="s">
        <v>32</v>
      </c>
      <c r="D55" s="1" t="s">
        <v>46</v>
      </c>
      <c r="E55" s="1" t="s">
        <v>38</v>
      </c>
      <c r="F55" s="1">
        <v>21</v>
      </c>
      <c r="G55" s="1">
        <v>76</v>
      </c>
      <c r="H55" s="1">
        <v>16</v>
      </c>
      <c r="K55" s="1">
        <v>30</v>
      </c>
      <c r="L55" s="1">
        <f>VLOOKUP($B55,covariates!$B$2:$H$125,5)</f>
        <v>17</v>
      </c>
      <c r="M55" s="1">
        <f>VLOOKUP($B55,covariates!$B$2:$H$125,6)</f>
        <v>4</v>
      </c>
      <c r="N55" s="1">
        <v>24</v>
      </c>
    </row>
    <row r="56" spans="1:14" x14ac:dyDescent="0.4">
      <c r="A56" s="1">
        <v>58</v>
      </c>
      <c r="B56" t="s">
        <v>59</v>
      </c>
      <c r="C56" s="1" t="s">
        <v>14</v>
      </c>
      <c r="D56" s="1" t="s">
        <v>46</v>
      </c>
      <c r="E56" s="1" t="s">
        <v>38</v>
      </c>
      <c r="F56" s="1">
        <v>25</v>
      </c>
      <c r="G56" s="1">
        <v>78.900000000000006</v>
      </c>
      <c r="H56" s="1">
        <v>7.4</v>
      </c>
      <c r="K56" s="1">
        <v>27.8</v>
      </c>
      <c r="L56" s="1">
        <f>VLOOKUP($B56,covariates!$B$2:$H$125,5)</f>
        <v>17</v>
      </c>
      <c r="M56" s="1">
        <f>VLOOKUP($B56,covariates!$B$2:$H$125,6)</f>
        <v>8</v>
      </c>
      <c r="N56" s="1">
        <v>6</v>
      </c>
    </row>
    <row r="57" spans="1:14" x14ac:dyDescent="0.4">
      <c r="A57" s="1">
        <v>58</v>
      </c>
      <c r="B57" t="s">
        <v>59</v>
      </c>
      <c r="C57" s="1" t="s">
        <v>16</v>
      </c>
      <c r="D57" s="1" t="s">
        <v>46</v>
      </c>
      <c r="E57" s="1" t="s">
        <v>38</v>
      </c>
      <c r="F57" s="1">
        <v>25</v>
      </c>
      <c r="G57" s="1">
        <v>82.6</v>
      </c>
      <c r="H57" s="1">
        <v>6.3</v>
      </c>
      <c r="K57" s="1">
        <v>27.8</v>
      </c>
      <c r="L57" s="1">
        <f>VLOOKUP($B57,covariates!$B$2:$H$125,5)</f>
        <v>17</v>
      </c>
      <c r="M57" s="1">
        <f>VLOOKUP($B57,covariates!$B$2:$H$125,6)</f>
        <v>8</v>
      </c>
      <c r="N57" s="1">
        <v>6</v>
      </c>
    </row>
    <row r="58" spans="1:14" x14ac:dyDescent="0.4">
      <c r="A58" s="1">
        <v>62</v>
      </c>
      <c r="B58" t="s">
        <v>60</v>
      </c>
      <c r="C58" s="1" t="s">
        <v>11</v>
      </c>
      <c r="D58" s="1" t="s">
        <v>46</v>
      </c>
      <c r="E58" s="1" t="s">
        <v>38</v>
      </c>
      <c r="F58" s="1">
        <v>37</v>
      </c>
      <c r="G58" s="1">
        <v>84.3</v>
      </c>
      <c r="H58" s="1">
        <v>11</v>
      </c>
      <c r="K58" s="1">
        <v>24.4</v>
      </c>
      <c r="L58" s="1">
        <f>VLOOKUP($B58,covariates!$B$2:$H$125,5)</f>
        <v>20</v>
      </c>
      <c r="M58" s="1">
        <f>VLOOKUP($B58,covariates!$B$2:$H$125,6)</f>
        <v>15</v>
      </c>
      <c r="N58" s="1">
        <v>80.7</v>
      </c>
    </row>
    <row r="59" spans="1:14" x14ac:dyDescent="0.4">
      <c r="A59" s="1">
        <v>62</v>
      </c>
      <c r="B59" t="s">
        <v>60</v>
      </c>
      <c r="C59" s="1" t="s">
        <v>14</v>
      </c>
      <c r="D59" s="1" t="s">
        <v>46</v>
      </c>
      <c r="E59" s="1" t="s">
        <v>38</v>
      </c>
      <c r="F59" s="1">
        <v>35</v>
      </c>
      <c r="G59" s="1">
        <v>86.8</v>
      </c>
      <c r="H59" s="1">
        <v>8.3000000000000007</v>
      </c>
      <c r="K59" s="1">
        <v>24.4</v>
      </c>
      <c r="L59" s="1">
        <f>VLOOKUP($B59,covariates!$B$2:$H$125,5)</f>
        <v>20</v>
      </c>
      <c r="M59" s="1">
        <f>VLOOKUP($B59,covariates!$B$2:$H$125,6)</f>
        <v>15</v>
      </c>
      <c r="N59" s="1">
        <v>80.7</v>
      </c>
    </row>
    <row r="60" spans="1:14" x14ac:dyDescent="0.4">
      <c r="A60" s="1">
        <v>68</v>
      </c>
      <c r="B60" t="s">
        <v>22</v>
      </c>
      <c r="C60" s="1" t="s">
        <v>11</v>
      </c>
      <c r="D60" s="1" t="s">
        <v>46</v>
      </c>
      <c r="E60" s="1" t="s">
        <v>38</v>
      </c>
      <c r="F60" s="1">
        <v>6</v>
      </c>
      <c r="G60" s="1">
        <v>92</v>
      </c>
      <c r="H60" s="1">
        <v>7</v>
      </c>
      <c r="K60" s="1">
        <v>24</v>
      </c>
      <c r="L60" s="1">
        <f>VLOOKUP($B60,covariates!$B$2:$H$125,5)</f>
        <v>6</v>
      </c>
      <c r="M60" s="1">
        <f>VLOOKUP($B60,covariates!$B$2:$H$125,6)</f>
        <v>0</v>
      </c>
      <c r="N60" s="1">
        <v>25</v>
      </c>
    </row>
    <row r="61" spans="1:14" x14ac:dyDescent="0.4">
      <c r="A61" s="1">
        <v>68</v>
      </c>
      <c r="B61" t="s">
        <v>22</v>
      </c>
      <c r="C61" s="1" t="s">
        <v>14</v>
      </c>
      <c r="D61" s="1" t="s">
        <v>46</v>
      </c>
      <c r="E61" s="1" t="s">
        <v>38</v>
      </c>
      <c r="F61" s="1">
        <v>6</v>
      </c>
      <c r="G61" s="1">
        <v>90</v>
      </c>
      <c r="H61" s="1">
        <v>10</v>
      </c>
      <c r="K61" s="1">
        <v>24</v>
      </c>
      <c r="L61" s="1">
        <f>VLOOKUP($B61,covariates!$B$2:$H$125,5)</f>
        <v>6</v>
      </c>
      <c r="M61" s="1">
        <f>VLOOKUP($B61,covariates!$B$2:$H$125,6)</f>
        <v>0</v>
      </c>
      <c r="N61" s="1">
        <v>25</v>
      </c>
    </row>
    <row r="62" spans="1:14" x14ac:dyDescent="0.4">
      <c r="A62" s="1">
        <v>73</v>
      </c>
      <c r="B62" t="s">
        <v>61</v>
      </c>
      <c r="C62" s="1" t="s">
        <v>11</v>
      </c>
      <c r="D62" s="1" t="s">
        <v>46</v>
      </c>
      <c r="E62" s="1" t="s">
        <v>38</v>
      </c>
      <c r="F62" s="1">
        <v>20</v>
      </c>
      <c r="G62" s="1">
        <v>86.9</v>
      </c>
      <c r="H62" s="1">
        <v>11.7</v>
      </c>
      <c r="K62" s="1">
        <v>25.4</v>
      </c>
      <c r="L62" s="1">
        <f>VLOOKUP($B62,covariates!$B$2:$H$125,5)</f>
        <v>0</v>
      </c>
      <c r="M62" s="1">
        <f>VLOOKUP($B62,covariates!$B$2:$H$125,6)</f>
        <v>20</v>
      </c>
      <c r="N62" s="1">
        <v>6</v>
      </c>
    </row>
    <row r="63" spans="1:14" x14ac:dyDescent="0.4">
      <c r="A63" s="1">
        <v>73</v>
      </c>
      <c r="B63" t="s">
        <v>61</v>
      </c>
      <c r="C63" s="1" t="s">
        <v>14</v>
      </c>
      <c r="D63" s="1" t="s">
        <v>46</v>
      </c>
      <c r="E63" s="1" t="s">
        <v>38</v>
      </c>
      <c r="F63" s="1">
        <v>20</v>
      </c>
      <c r="G63" s="1">
        <v>90.97</v>
      </c>
      <c r="H63" s="1">
        <v>5.0999999999999996</v>
      </c>
      <c r="K63" s="1">
        <v>25.4</v>
      </c>
      <c r="L63" s="1">
        <f>VLOOKUP($B63,covariates!$B$2:$H$125,5)</f>
        <v>0</v>
      </c>
      <c r="M63" s="1">
        <f>VLOOKUP($B63,covariates!$B$2:$H$125,6)</f>
        <v>20</v>
      </c>
      <c r="N63" s="1">
        <v>6</v>
      </c>
    </row>
    <row r="64" spans="1:14" x14ac:dyDescent="0.4">
      <c r="A64" s="1">
        <v>84</v>
      </c>
      <c r="B64" t="s">
        <v>62</v>
      </c>
      <c r="C64" s="1" t="s">
        <v>14</v>
      </c>
      <c r="D64" s="1" t="s">
        <v>46</v>
      </c>
      <c r="E64" s="1" t="s">
        <v>38</v>
      </c>
      <c r="F64" s="1">
        <v>43</v>
      </c>
      <c r="G64" s="1">
        <v>76</v>
      </c>
      <c r="H64" s="1">
        <v>15</v>
      </c>
      <c r="K64" s="1">
        <v>28.7</v>
      </c>
      <c r="L64" s="1">
        <f>VLOOKUP($B64,covariates!$B$2:$H$125,5)</f>
        <v>25</v>
      </c>
      <c r="M64" s="1">
        <f>VLOOKUP($B64,covariates!$B$2:$H$125,6)</f>
        <v>17</v>
      </c>
      <c r="N64" s="1">
        <v>12.4</v>
      </c>
    </row>
    <row r="65" spans="1:14" x14ac:dyDescent="0.4">
      <c r="A65" s="1">
        <v>84</v>
      </c>
      <c r="B65" t="s">
        <v>62</v>
      </c>
      <c r="C65" s="1" t="s">
        <v>32</v>
      </c>
      <c r="D65" s="1" t="s">
        <v>46</v>
      </c>
      <c r="E65" s="1" t="s">
        <v>38</v>
      </c>
      <c r="F65" s="1">
        <v>42</v>
      </c>
      <c r="G65" s="1">
        <v>76</v>
      </c>
      <c r="H65" s="1">
        <v>17</v>
      </c>
      <c r="K65" s="1">
        <v>28.7</v>
      </c>
      <c r="L65" s="1">
        <f>VLOOKUP($B65,covariates!$B$2:$H$125,5)</f>
        <v>25</v>
      </c>
      <c r="M65" s="1">
        <f>VLOOKUP($B65,covariates!$B$2:$H$125,6)</f>
        <v>17</v>
      </c>
      <c r="N65" s="1">
        <v>12.4</v>
      </c>
    </row>
    <row r="66" spans="1:14" x14ac:dyDescent="0.4">
      <c r="A66" s="1">
        <v>85</v>
      </c>
      <c r="B66" t="s">
        <v>27</v>
      </c>
      <c r="C66" s="1" t="s">
        <v>11</v>
      </c>
      <c r="D66" s="1" t="s">
        <v>46</v>
      </c>
      <c r="E66" s="1" t="s">
        <v>38</v>
      </c>
      <c r="F66" s="1">
        <v>32</v>
      </c>
      <c r="G66" s="1">
        <v>89.4</v>
      </c>
      <c r="H66" s="1">
        <v>9.1999999999999993</v>
      </c>
      <c r="K66" s="1">
        <v>17.7</v>
      </c>
      <c r="L66" s="1">
        <f>VLOOKUP($B66,covariates!$B$2:$H$125,5)</f>
        <v>13</v>
      </c>
      <c r="M66" s="1">
        <f>VLOOKUP($B66,covariates!$B$2:$H$125,6)</f>
        <v>19</v>
      </c>
      <c r="N66" s="1">
        <v>24</v>
      </c>
    </row>
    <row r="67" spans="1:14" x14ac:dyDescent="0.4">
      <c r="A67" s="1">
        <v>85</v>
      </c>
      <c r="B67" t="s">
        <v>27</v>
      </c>
      <c r="C67" s="1" t="s">
        <v>14</v>
      </c>
      <c r="D67" s="1" t="s">
        <v>46</v>
      </c>
      <c r="E67" s="1" t="s">
        <v>38</v>
      </c>
      <c r="F67" s="1">
        <v>32</v>
      </c>
      <c r="G67" s="1">
        <v>94.8</v>
      </c>
      <c r="H67" s="1">
        <v>6.4</v>
      </c>
      <c r="K67" s="1">
        <v>17.7</v>
      </c>
      <c r="L67" s="1">
        <f>VLOOKUP($B67,covariates!$B$2:$H$125,5)</f>
        <v>13</v>
      </c>
      <c r="M67" s="1">
        <f>VLOOKUP($B67,covariates!$B$2:$H$125,6)</f>
        <v>19</v>
      </c>
      <c r="N67" s="1">
        <v>24</v>
      </c>
    </row>
    <row r="68" spans="1:14" x14ac:dyDescent="0.4">
      <c r="A68" s="1">
        <v>87</v>
      </c>
      <c r="B68" t="s">
        <v>28</v>
      </c>
      <c r="C68" s="1" t="s">
        <v>11</v>
      </c>
      <c r="D68" s="1" t="s">
        <v>46</v>
      </c>
      <c r="E68" s="1" t="s">
        <v>38</v>
      </c>
      <c r="F68" s="1">
        <v>296</v>
      </c>
      <c r="G68" s="1">
        <v>89.4</v>
      </c>
      <c r="H68" s="1">
        <v>10.9</v>
      </c>
      <c r="K68" s="1">
        <v>25.2</v>
      </c>
      <c r="L68" s="1">
        <f>VLOOKUP($B68,covariates!$B$2:$H$125,5)</f>
        <v>233</v>
      </c>
      <c r="M68" s="1">
        <f>VLOOKUP($B68,covariates!$B$2:$H$125,6)</f>
        <v>40</v>
      </c>
      <c r="N68" s="1">
        <v>63.9</v>
      </c>
    </row>
    <row r="69" spans="1:14" x14ac:dyDescent="0.4">
      <c r="A69" s="1">
        <v>87</v>
      </c>
      <c r="B69" t="s">
        <v>28</v>
      </c>
      <c r="C69" s="1" t="s">
        <v>14</v>
      </c>
      <c r="D69" s="1" t="s">
        <v>46</v>
      </c>
      <c r="E69" s="1" t="s">
        <v>38</v>
      </c>
      <c r="F69" s="1">
        <v>297</v>
      </c>
      <c r="G69" s="1">
        <v>91</v>
      </c>
      <c r="H69" s="1">
        <v>10.3</v>
      </c>
      <c r="K69" s="1">
        <v>25.2</v>
      </c>
      <c r="L69" s="1">
        <f>VLOOKUP($B69,covariates!$B$2:$H$125,5)</f>
        <v>233</v>
      </c>
      <c r="M69" s="1">
        <f>VLOOKUP($B69,covariates!$B$2:$H$125,6)</f>
        <v>40</v>
      </c>
      <c r="N69" s="1">
        <v>63.9</v>
      </c>
    </row>
    <row r="70" spans="1:14" x14ac:dyDescent="0.4">
      <c r="A70" s="1">
        <v>89</v>
      </c>
      <c r="B70" t="s">
        <v>63</v>
      </c>
      <c r="C70" s="1" t="s">
        <v>14</v>
      </c>
      <c r="D70" s="1" t="s">
        <v>46</v>
      </c>
      <c r="E70" s="1" t="s">
        <v>38</v>
      </c>
      <c r="F70" s="1">
        <v>16</v>
      </c>
      <c r="G70" s="1">
        <v>90.13</v>
      </c>
      <c r="H70" s="1">
        <v>6.99</v>
      </c>
      <c r="K70" s="1">
        <v>28.1</v>
      </c>
      <c r="L70" s="1">
        <f>VLOOKUP($B70,covariates!$B$2:$H$125,5)</f>
        <v>17</v>
      </c>
      <c r="M70" s="1">
        <f>VLOOKUP($B70,covariates!$B$2:$H$125,6)</f>
        <v>0</v>
      </c>
      <c r="N70" s="1">
        <v>24</v>
      </c>
    </row>
    <row r="71" spans="1:14" x14ac:dyDescent="0.4">
      <c r="A71" s="1">
        <v>89</v>
      </c>
      <c r="B71" t="s">
        <v>63</v>
      </c>
      <c r="C71" s="1" t="s">
        <v>32</v>
      </c>
      <c r="D71" s="1" t="s">
        <v>46</v>
      </c>
      <c r="E71" s="1" t="s">
        <v>38</v>
      </c>
      <c r="F71" s="1">
        <v>17</v>
      </c>
      <c r="G71" s="1">
        <v>87.12</v>
      </c>
      <c r="H71" s="1">
        <v>6.61</v>
      </c>
      <c r="K71" s="1">
        <v>28.1</v>
      </c>
      <c r="L71" s="1">
        <f>VLOOKUP($B71,covariates!$B$2:$H$125,5)</f>
        <v>17</v>
      </c>
      <c r="M71" s="1">
        <f>VLOOKUP($B71,covariates!$B$2:$H$125,6)</f>
        <v>0</v>
      </c>
      <c r="N71" s="1">
        <v>24</v>
      </c>
    </row>
    <row r="72" spans="1:14" x14ac:dyDescent="0.4">
      <c r="A72" s="1">
        <v>93</v>
      </c>
      <c r="B72" t="s">
        <v>64</v>
      </c>
      <c r="C72" s="1" t="s">
        <v>11</v>
      </c>
      <c r="D72" s="1" t="s">
        <v>46</v>
      </c>
      <c r="E72" s="1" t="s">
        <v>38</v>
      </c>
      <c r="F72" s="1">
        <v>14</v>
      </c>
      <c r="G72" s="1">
        <v>90</v>
      </c>
      <c r="H72" s="1">
        <v>1.76</v>
      </c>
      <c r="K72" s="1">
        <v>24.5</v>
      </c>
      <c r="L72" s="1">
        <f>VLOOKUP($B72,covariates!$B$2:$H$125,5)</f>
        <v>11</v>
      </c>
      <c r="M72" s="1">
        <f>VLOOKUP($B72,covariates!$B$2:$H$125,6)</f>
        <v>3</v>
      </c>
      <c r="N72" s="1">
        <v>12</v>
      </c>
    </row>
    <row r="73" spans="1:14" x14ac:dyDescent="0.4">
      <c r="A73" s="1">
        <v>93</v>
      </c>
      <c r="B73" t="s">
        <v>64</v>
      </c>
      <c r="C73" s="1" t="s">
        <v>32</v>
      </c>
      <c r="D73" s="1" t="s">
        <v>46</v>
      </c>
      <c r="E73" s="1" t="s">
        <v>38</v>
      </c>
      <c r="F73" s="1">
        <v>14</v>
      </c>
      <c r="G73" s="1">
        <v>88.17</v>
      </c>
      <c r="H73" s="1">
        <v>2.4900000000000002</v>
      </c>
      <c r="K73" s="1">
        <v>24.5</v>
      </c>
      <c r="L73" s="1">
        <f>VLOOKUP($B73,covariates!$B$2:$H$125,5)</f>
        <v>11</v>
      </c>
      <c r="M73" s="1">
        <f>VLOOKUP($B73,covariates!$B$2:$H$125,6)</f>
        <v>3</v>
      </c>
      <c r="N73" s="1">
        <v>12</v>
      </c>
    </row>
    <row r="74" spans="1:14" x14ac:dyDescent="0.4">
      <c r="A74" s="1">
        <v>96</v>
      </c>
      <c r="B74" t="s">
        <v>30</v>
      </c>
      <c r="C74" s="1" t="s">
        <v>11</v>
      </c>
      <c r="D74" s="1" t="s">
        <v>46</v>
      </c>
      <c r="E74" s="1" t="s">
        <v>38</v>
      </c>
      <c r="F74" s="1">
        <v>29</v>
      </c>
      <c r="G74" s="1">
        <v>86.72</v>
      </c>
      <c r="H74" s="1">
        <v>2.27</v>
      </c>
      <c r="K74" s="1">
        <v>34.200000000000003</v>
      </c>
      <c r="L74" s="1">
        <f>VLOOKUP($B74,covariates!$B$2:$H$125,5)</f>
        <v>18</v>
      </c>
      <c r="M74" s="1">
        <f>VLOOKUP($B74,covariates!$B$2:$H$125,6)</f>
        <v>13</v>
      </c>
      <c r="N74" s="1">
        <v>108</v>
      </c>
    </row>
    <row r="75" spans="1:14" x14ac:dyDescent="0.4">
      <c r="A75" s="1">
        <v>96</v>
      </c>
      <c r="B75" t="s">
        <v>30</v>
      </c>
      <c r="C75" s="1" t="s">
        <v>14</v>
      </c>
      <c r="D75" s="1" t="s">
        <v>46</v>
      </c>
      <c r="E75" s="1" t="s">
        <v>38</v>
      </c>
      <c r="F75" s="1">
        <v>25</v>
      </c>
      <c r="G75" s="1">
        <v>92.95</v>
      </c>
      <c r="H75" s="1">
        <v>1.99</v>
      </c>
      <c r="K75" s="1">
        <v>34.200000000000003</v>
      </c>
      <c r="L75" s="1">
        <f>VLOOKUP($B75,covariates!$B$2:$H$125,5)</f>
        <v>18</v>
      </c>
      <c r="M75" s="1">
        <f>VLOOKUP($B75,covariates!$B$2:$H$125,6)</f>
        <v>13</v>
      </c>
      <c r="N75" s="1">
        <v>108</v>
      </c>
    </row>
    <row r="76" spans="1:14" x14ac:dyDescent="0.4">
      <c r="A76" s="1">
        <v>100</v>
      </c>
      <c r="B76" t="s">
        <v>65</v>
      </c>
      <c r="C76" s="1" t="s">
        <v>11</v>
      </c>
      <c r="D76" s="1" t="s">
        <v>46</v>
      </c>
      <c r="E76" s="1" t="s">
        <v>38</v>
      </c>
      <c r="F76" s="1">
        <v>40</v>
      </c>
      <c r="G76" s="1">
        <v>82</v>
      </c>
      <c r="H76" s="1">
        <v>20</v>
      </c>
      <c r="K76" s="1">
        <v>27</v>
      </c>
      <c r="L76" s="1">
        <f>VLOOKUP($B76,covariates!$B$2:$H$125,5)</f>
        <v>22</v>
      </c>
      <c r="M76" s="1">
        <f>VLOOKUP($B76,covariates!$B$2:$H$125,6)</f>
        <v>18</v>
      </c>
      <c r="N76" s="1">
        <v>103.2</v>
      </c>
    </row>
    <row r="77" spans="1:14" x14ac:dyDescent="0.4">
      <c r="A77" s="1">
        <v>100</v>
      </c>
      <c r="B77" t="s">
        <v>65</v>
      </c>
      <c r="C77" s="1" t="s">
        <v>14</v>
      </c>
      <c r="D77" s="1" t="s">
        <v>46</v>
      </c>
      <c r="E77" s="1" t="s">
        <v>38</v>
      </c>
      <c r="F77" s="1">
        <v>39</v>
      </c>
      <c r="G77" s="1">
        <v>88</v>
      </c>
      <c r="H77" s="1">
        <v>9</v>
      </c>
      <c r="K77" s="1">
        <v>27</v>
      </c>
      <c r="L77" s="1">
        <f>VLOOKUP($B77,covariates!$B$2:$H$125,5)</f>
        <v>22</v>
      </c>
      <c r="M77" s="1">
        <f>VLOOKUP($B77,covariates!$B$2:$H$125,6)</f>
        <v>18</v>
      </c>
      <c r="N77" s="1">
        <v>103.2</v>
      </c>
    </row>
    <row r="78" spans="1:14" x14ac:dyDescent="0.4">
      <c r="A78" s="1">
        <v>2</v>
      </c>
      <c r="B78" t="s">
        <v>66</v>
      </c>
      <c r="C78" s="1" t="s">
        <v>11</v>
      </c>
      <c r="D78" s="1" t="s">
        <v>67</v>
      </c>
      <c r="E78" s="1" t="s">
        <v>38</v>
      </c>
      <c r="F78" s="1">
        <v>60</v>
      </c>
      <c r="G78" s="1">
        <v>2.2000000000000002</v>
      </c>
      <c r="H78" s="1">
        <v>1.08</v>
      </c>
      <c r="K78" s="1">
        <v>25</v>
      </c>
      <c r="L78" s="1">
        <f>VLOOKUP($B78,covariates!$B$2:$H$125,5)</f>
        <v>46</v>
      </c>
      <c r="M78" s="1">
        <f>VLOOKUP($B78,covariates!$B$2:$H$125,6)</f>
        <v>14</v>
      </c>
      <c r="N78" s="1">
        <v>24</v>
      </c>
    </row>
    <row r="79" spans="1:14" x14ac:dyDescent="0.4">
      <c r="A79" s="1">
        <v>2</v>
      </c>
      <c r="B79" t="s">
        <v>66</v>
      </c>
      <c r="C79" s="1" t="s">
        <v>14</v>
      </c>
      <c r="D79" s="1" t="s">
        <v>67</v>
      </c>
      <c r="E79" s="1" t="s">
        <v>38</v>
      </c>
      <c r="F79" s="1">
        <v>60</v>
      </c>
      <c r="G79" s="1">
        <v>1.95</v>
      </c>
      <c r="H79" s="1">
        <v>1.3</v>
      </c>
      <c r="K79" s="1">
        <v>25</v>
      </c>
      <c r="L79" s="1">
        <f>VLOOKUP($B79,covariates!$B$2:$H$125,5)</f>
        <v>46</v>
      </c>
      <c r="M79" s="1">
        <f>VLOOKUP($B79,covariates!$B$2:$H$125,6)</f>
        <v>14</v>
      </c>
      <c r="N79" s="1">
        <v>24</v>
      </c>
    </row>
    <row r="80" spans="1:14" x14ac:dyDescent="0.4">
      <c r="A80" s="1">
        <v>3</v>
      </c>
      <c r="B80" t="s">
        <v>33</v>
      </c>
      <c r="C80" s="1" t="s">
        <v>11</v>
      </c>
      <c r="D80" s="1" t="s">
        <v>67</v>
      </c>
      <c r="E80" s="1" t="s">
        <v>38</v>
      </c>
      <c r="F80" s="1">
        <v>25</v>
      </c>
      <c r="G80" s="1">
        <v>2.6</v>
      </c>
      <c r="H80" s="1">
        <v>3.3</v>
      </c>
      <c r="K80" s="1">
        <v>28.6</v>
      </c>
      <c r="L80" s="1">
        <f>VLOOKUP($B80,covariates!$B$2:$H$125,5)</f>
        <v>18</v>
      </c>
      <c r="M80" s="1">
        <f>VLOOKUP($B80,covariates!$B$2:$H$125,6)</f>
        <v>7</v>
      </c>
      <c r="N80" s="1">
        <v>86.8</v>
      </c>
    </row>
    <row r="81" spans="1:14" x14ac:dyDescent="0.4">
      <c r="A81" s="1">
        <v>3</v>
      </c>
      <c r="B81" t="s">
        <v>33</v>
      </c>
      <c r="C81" s="1" t="s">
        <v>14</v>
      </c>
      <c r="D81" s="1" t="s">
        <v>67</v>
      </c>
      <c r="E81" s="1" t="s">
        <v>38</v>
      </c>
      <c r="F81" s="1">
        <v>22</v>
      </c>
      <c r="G81" s="1">
        <v>1.4</v>
      </c>
      <c r="H81" s="1">
        <v>2.6</v>
      </c>
      <c r="K81" s="1">
        <v>28.6</v>
      </c>
      <c r="L81" s="1">
        <f>VLOOKUP($B81,covariates!$B$2:$H$125,5)</f>
        <v>18</v>
      </c>
      <c r="M81" s="1">
        <f>VLOOKUP($B81,covariates!$B$2:$H$125,6)</f>
        <v>7</v>
      </c>
      <c r="N81" s="1">
        <v>86.8</v>
      </c>
    </row>
    <row r="82" spans="1:14" x14ac:dyDescent="0.4">
      <c r="A82" s="1">
        <v>5</v>
      </c>
      <c r="B82" t="s">
        <v>34</v>
      </c>
      <c r="C82" s="1" t="s">
        <v>11</v>
      </c>
      <c r="D82" s="1" t="s">
        <v>67</v>
      </c>
      <c r="E82" s="1" t="s">
        <v>38</v>
      </c>
      <c r="F82" s="1">
        <v>35</v>
      </c>
      <c r="G82" s="1">
        <v>2.1</v>
      </c>
      <c r="H82" s="1">
        <v>2</v>
      </c>
      <c r="K82" s="1">
        <v>21</v>
      </c>
      <c r="L82" s="1">
        <f>VLOOKUP($B82,covariates!$B$2:$H$125,5)</f>
        <v>45</v>
      </c>
      <c r="M82" s="1">
        <f>VLOOKUP($B82,covariates!$B$2:$H$125,6)</f>
        <v>23</v>
      </c>
      <c r="N82" s="1">
        <v>35.799999999999997</v>
      </c>
    </row>
    <row r="83" spans="1:14" x14ac:dyDescent="0.4">
      <c r="A83" s="1">
        <v>5</v>
      </c>
      <c r="B83" t="s">
        <v>34</v>
      </c>
      <c r="C83" s="1" t="s">
        <v>14</v>
      </c>
      <c r="D83" s="1" t="s">
        <v>67</v>
      </c>
      <c r="E83" s="1" t="s">
        <v>38</v>
      </c>
      <c r="F83" s="1">
        <v>33</v>
      </c>
      <c r="G83" s="1">
        <v>3.1</v>
      </c>
      <c r="H83" s="1">
        <v>2.2999999999999998</v>
      </c>
      <c r="K83" s="1">
        <v>21</v>
      </c>
      <c r="L83" s="1">
        <f>VLOOKUP($B83,covariates!$B$2:$H$125,5)</f>
        <v>45</v>
      </c>
      <c r="M83" s="1">
        <f>VLOOKUP($B83,covariates!$B$2:$H$125,6)</f>
        <v>23</v>
      </c>
      <c r="N83" s="1">
        <v>35.799999999999997</v>
      </c>
    </row>
    <row r="84" spans="1:14" x14ac:dyDescent="0.4">
      <c r="A84" s="1">
        <v>7</v>
      </c>
      <c r="B84" t="s">
        <v>68</v>
      </c>
      <c r="C84" s="1" t="s">
        <v>11</v>
      </c>
      <c r="D84" s="1" t="s">
        <v>67</v>
      </c>
      <c r="E84" s="1" t="s">
        <v>38</v>
      </c>
      <c r="F84" s="1">
        <v>32</v>
      </c>
      <c r="G84" s="1">
        <v>3.3</v>
      </c>
      <c r="H84" s="1">
        <v>2.6</v>
      </c>
      <c r="K84" s="1">
        <v>27</v>
      </c>
      <c r="L84" s="1">
        <f>VLOOKUP($B84,covariates!$B$2:$H$125,5)</f>
        <v>21</v>
      </c>
      <c r="M84" s="1">
        <f>VLOOKUP($B84,covariates!$B$2:$H$125,6)</f>
        <v>16</v>
      </c>
      <c r="N84" s="1">
        <v>24</v>
      </c>
    </row>
    <row r="85" spans="1:14" x14ac:dyDescent="0.4">
      <c r="A85" s="1">
        <v>7</v>
      </c>
      <c r="B85" t="s">
        <v>68</v>
      </c>
      <c r="C85" s="1" t="s">
        <v>14</v>
      </c>
      <c r="D85" s="1" t="s">
        <v>67</v>
      </c>
      <c r="E85" s="1" t="s">
        <v>38</v>
      </c>
      <c r="F85" s="1">
        <v>29</v>
      </c>
      <c r="G85" s="1">
        <v>2.9</v>
      </c>
      <c r="H85" s="1">
        <v>2.4</v>
      </c>
      <c r="K85" s="1">
        <v>27</v>
      </c>
      <c r="L85" s="1">
        <f>VLOOKUP($B85,covariates!$B$2:$H$125,5)</f>
        <v>21</v>
      </c>
      <c r="M85" s="1">
        <f>VLOOKUP($B85,covariates!$B$2:$H$125,6)</f>
        <v>16</v>
      </c>
      <c r="N85" s="1">
        <v>24</v>
      </c>
    </row>
    <row r="86" spans="1:14" x14ac:dyDescent="0.4">
      <c r="A86" s="1">
        <v>10</v>
      </c>
      <c r="B86" t="s">
        <v>45</v>
      </c>
      <c r="C86" s="1" t="s">
        <v>11</v>
      </c>
      <c r="D86" s="1" t="s">
        <v>67</v>
      </c>
      <c r="E86" s="1" t="s">
        <v>38</v>
      </c>
      <c r="F86" s="1">
        <v>43</v>
      </c>
      <c r="G86" s="1">
        <v>1.05</v>
      </c>
      <c r="H86" s="1">
        <v>1.36</v>
      </c>
      <c r="K86" s="1">
        <v>30.5</v>
      </c>
      <c r="L86" s="1">
        <f>VLOOKUP($B86,covariates!$B$2:$H$125,5)</f>
        <v>17</v>
      </c>
      <c r="M86" s="1">
        <f>VLOOKUP($B86,covariates!$B$2:$H$125,6)</f>
        <v>13</v>
      </c>
      <c r="N86" s="1">
        <v>123.6</v>
      </c>
    </row>
    <row r="87" spans="1:14" x14ac:dyDescent="0.4">
      <c r="A87" s="1">
        <v>10</v>
      </c>
      <c r="B87" t="s">
        <v>45</v>
      </c>
      <c r="C87" s="1" t="s">
        <v>32</v>
      </c>
      <c r="D87" s="1" t="s">
        <v>67</v>
      </c>
      <c r="E87" s="1" t="s">
        <v>38</v>
      </c>
      <c r="F87" s="1">
        <v>43</v>
      </c>
      <c r="G87" s="1">
        <v>1</v>
      </c>
      <c r="H87" s="1">
        <v>1.1000000000000001</v>
      </c>
      <c r="K87" s="1">
        <v>30.5</v>
      </c>
      <c r="L87" s="1">
        <f>VLOOKUP($B87,covariates!$B$2:$H$125,5)</f>
        <v>17</v>
      </c>
      <c r="M87" s="1">
        <f>VLOOKUP($B87,covariates!$B$2:$H$125,6)</f>
        <v>13</v>
      </c>
      <c r="N87" s="1">
        <v>123.6</v>
      </c>
    </row>
    <row r="88" spans="1:14" x14ac:dyDescent="0.4">
      <c r="A88" s="1">
        <v>12</v>
      </c>
      <c r="B88" t="s">
        <v>15</v>
      </c>
      <c r="C88" s="1" t="s">
        <v>14</v>
      </c>
      <c r="D88" s="1" t="s">
        <v>67</v>
      </c>
      <c r="E88" s="1" t="s">
        <v>38</v>
      </c>
      <c r="F88" s="1">
        <v>62</v>
      </c>
      <c r="G88" s="1">
        <v>1.71</v>
      </c>
      <c r="H88" s="1">
        <v>0.56999999999999995</v>
      </c>
      <c r="K88" s="1">
        <v>29.1</v>
      </c>
      <c r="L88" s="1">
        <f>VLOOKUP($B88,covariates!$B$2:$H$125,5)</f>
        <v>34</v>
      </c>
      <c r="M88" s="1">
        <f>VLOOKUP($B88,covariates!$B$2:$H$125,6)</f>
        <v>28</v>
      </c>
      <c r="N88" s="1">
        <v>29.7</v>
      </c>
    </row>
    <row r="89" spans="1:14" x14ac:dyDescent="0.4">
      <c r="A89" s="1">
        <v>12</v>
      </c>
      <c r="B89" t="s">
        <v>15</v>
      </c>
      <c r="C89" s="1" t="s">
        <v>16</v>
      </c>
      <c r="D89" s="1" t="s">
        <v>67</v>
      </c>
      <c r="E89" s="1" t="s">
        <v>38</v>
      </c>
      <c r="F89" s="1">
        <v>62</v>
      </c>
      <c r="G89" s="1">
        <v>1.85</v>
      </c>
      <c r="H89" s="1">
        <v>0.77</v>
      </c>
      <c r="K89" s="1">
        <v>29.1</v>
      </c>
      <c r="L89" s="1">
        <f>VLOOKUP($B89,covariates!$B$2:$H$125,5)</f>
        <v>34</v>
      </c>
      <c r="M89" s="1">
        <f>VLOOKUP($B89,covariates!$B$2:$H$125,6)</f>
        <v>28</v>
      </c>
      <c r="N89" s="1">
        <v>29.7</v>
      </c>
    </row>
    <row r="90" spans="1:14" x14ac:dyDescent="0.4">
      <c r="A90" s="1">
        <v>23</v>
      </c>
      <c r="B90" t="s">
        <v>70</v>
      </c>
      <c r="C90" s="1" t="s">
        <v>11</v>
      </c>
      <c r="D90" s="1" t="s">
        <v>67</v>
      </c>
      <c r="E90" s="1" t="s">
        <v>38</v>
      </c>
      <c r="F90" s="1">
        <v>32</v>
      </c>
      <c r="G90" s="1">
        <v>2.29</v>
      </c>
      <c r="H90" s="1">
        <v>3.99</v>
      </c>
      <c r="K90" s="1">
        <v>30.8</v>
      </c>
      <c r="L90" s="1">
        <f>VLOOKUP($B90,covariates!$B$2:$H$125,5)</f>
        <v>25</v>
      </c>
      <c r="M90" s="1">
        <f>VLOOKUP($B90,covariates!$B$2:$H$125,6)</f>
        <v>9</v>
      </c>
      <c r="N90" s="1">
        <v>24</v>
      </c>
    </row>
    <row r="91" spans="1:14" x14ac:dyDescent="0.4">
      <c r="A91" s="1">
        <v>23</v>
      </c>
      <c r="B91" t="s">
        <v>70</v>
      </c>
      <c r="C91" s="1" t="s">
        <v>14</v>
      </c>
      <c r="D91" s="1" t="s">
        <v>67</v>
      </c>
      <c r="E91" s="1" t="s">
        <v>38</v>
      </c>
      <c r="F91" s="1">
        <v>34</v>
      </c>
      <c r="G91" s="1">
        <v>2.4700000000000002</v>
      </c>
      <c r="H91" s="1">
        <v>3.47</v>
      </c>
      <c r="K91" s="1">
        <v>30.8</v>
      </c>
      <c r="L91" s="1">
        <f>VLOOKUP($B91,covariates!$B$2:$H$125,5)</f>
        <v>25</v>
      </c>
      <c r="M91" s="1">
        <f>VLOOKUP($B91,covariates!$B$2:$H$125,6)</f>
        <v>9</v>
      </c>
      <c r="N91" s="1">
        <v>24</v>
      </c>
    </row>
    <row r="92" spans="1:14" x14ac:dyDescent="0.4">
      <c r="A92" s="1">
        <v>25</v>
      </c>
      <c r="B92" t="s">
        <v>71</v>
      </c>
      <c r="C92" s="1" t="s">
        <v>11</v>
      </c>
      <c r="D92" s="1" t="s">
        <v>67</v>
      </c>
      <c r="E92" s="1" t="s">
        <v>38</v>
      </c>
      <c r="F92" s="1">
        <v>42</v>
      </c>
      <c r="G92" s="1">
        <v>0.95</v>
      </c>
      <c r="H92" s="1">
        <v>0.91</v>
      </c>
      <c r="K92" s="1">
        <v>27</v>
      </c>
      <c r="N92" s="1">
        <v>6.7</v>
      </c>
    </row>
    <row r="93" spans="1:14" x14ac:dyDescent="0.4">
      <c r="A93" s="1">
        <v>25</v>
      </c>
      <c r="B93" t="s">
        <v>71</v>
      </c>
      <c r="C93" s="1" t="s">
        <v>14</v>
      </c>
      <c r="D93" s="1" t="s">
        <v>67</v>
      </c>
      <c r="E93" s="1" t="s">
        <v>38</v>
      </c>
      <c r="F93" s="1">
        <v>47</v>
      </c>
      <c r="G93" s="1">
        <v>1.1000000000000001</v>
      </c>
      <c r="H93" s="1">
        <v>0.95</v>
      </c>
      <c r="K93" s="1">
        <v>27</v>
      </c>
      <c r="N93" s="1">
        <v>6.7</v>
      </c>
    </row>
    <row r="94" spans="1:14" x14ac:dyDescent="0.4">
      <c r="A94" s="1">
        <v>26</v>
      </c>
      <c r="B94" t="s">
        <v>36</v>
      </c>
      <c r="C94" s="1" t="s">
        <v>11</v>
      </c>
      <c r="D94" s="1" t="s">
        <v>67</v>
      </c>
      <c r="E94" s="1" t="s">
        <v>38</v>
      </c>
      <c r="F94" s="1">
        <v>27</v>
      </c>
      <c r="G94" s="1">
        <v>0.5</v>
      </c>
      <c r="H94" s="1">
        <v>1</v>
      </c>
      <c r="K94" s="1">
        <v>26.3</v>
      </c>
      <c r="L94" s="1">
        <f>VLOOKUP($B94,covariates!$B$2:$H$125,5)</f>
        <v>24</v>
      </c>
      <c r="M94" s="1">
        <f>VLOOKUP($B94,covariates!$B$2:$H$125,6)</f>
        <v>10</v>
      </c>
      <c r="N94" s="1">
        <v>36</v>
      </c>
    </row>
    <row r="95" spans="1:14" x14ac:dyDescent="0.4">
      <c r="A95" s="1">
        <v>26</v>
      </c>
      <c r="B95" t="s">
        <v>36</v>
      </c>
      <c r="C95" s="1" t="s">
        <v>14</v>
      </c>
      <c r="D95" s="1" t="s">
        <v>67</v>
      </c>
      <c r="E95" s="1" t="s">
        <v>38</v>
      </c>
      <c r="F95" s="1">
        <v>21</v>
      </c>
      <c r="G95" s="1">
        <v>1.1000000000000001</v>
      </c>
      <c r="H95" s="1">
        <v>1.2</v>
      </c>
      <c r="K95" s="1">
        <v>26.3</v>
      </c>
      <c r="L95" s="1">
        <f>VLOOKUP($B95,covariates!$B$2:$H$125,5)</f>
        <v>24</v>
      </c>
      <c r="M95" s="1">
        <f>VLOOKUP($B95,covariates!$B$2:$H$125,6)</f>
        <v>10</v>
      </c>
      <c r="N95" s="1">
        <v>36</v>
      </c>
    </row>
    <row r="96" spans="1:14" x14ac:dyDescent="0.4">
      <c r="A96" s="1">
        <v>30</v>
      </c>
      <c r="B96" t="s">
        <v>72</v>
      </c>
      <c r="C96" s="1" t="s">
        <v>11</v>
      </c>
      <c r="D96" s="1" t="s">
        <v>67</v>
      </c>
      <c r="E96" s="1" t="s">
        <v>38</v>
      </c>
      <c r="F96" s="1">
        <v>41</v>
      </c>
      <c r="G96" s="1">
        <v>1.4</v>
      </c>
      <c r="H96" s="1">
        <v>1.8</v>
      </c>
      <c r="K96" s="1">
        <v>27</v>
      </c>
      <c r="N96" s="1">
        <v>84</v>
      </c>
    </row>
    <row r="97" spans="1:14" x14ac:dyDescent="0.4">
      <c r="A97" s="1">
        <v>30</v>
      </c>
      <c r="B97" t="s">
        <v>72</v>
      </c>
      <c r="C97" s="1" t="s">
        <v>14</v>
      </c>
      <c r="D97" s="1" t="s">
        <v>67</v>
      </c>
      <c r="E97" s="1" t="s">
        <v>38</v>
      </c>
      <c r="F97" s="1">
        <v>36</v>
      </c>
      <c r="G97" s="1">
        <v>1.4</v>
      </c>
      <c r="H97" s="1">
        <v>1.4</v>
      </c>
      <c r="K97" s="1">
        <v>27</v>
      </c>
      <c r="N97" s="1">
        <v>84</v>
      </c>
    </row>
    <row r="98" spans="1:14" x14ac:dyDescent="0.4">
      <c r="A98" s="1">
        <v>33</v>
      </c>
      <c r="B98" t="s">
        <v>37</v>
      </c>
      <c r="C98" s="1" t="s">
        <v>11</v>
      </c>
      <c r="D98" s="1" t="s">
        <v>67</v>
      </c>
      <c r="E98" s="1" t="s">
        <v>38</v>
      </c>
      <c r="F98" s="1">
        <v>37</v>
      </c>
      <c r="G98" s="1">
        <v>1.5</v>
      </c>
      <c r="H98" s="1">
        <v>3</v>
      </c>
      <c r="K98" s="1" t="s">
        <v>94</v>
      </c>
      <c r="N98" s="1">
        <v>60.6</v>
      </c>
    </row>
    <row r="99" spans="1:14" x14ac:dyDescent="0.4">
      <c r="A99" s="1">
        <v>33</v>
      </c>
      <c r="B99" t="s">
        <v>37</v>
      </c>
      <c r="C99" s="1" t="s">
        <v>14</v>
      </c>
      <c r="D99" s="1" t="s">
        <v>67</v>
      </c>
      <c r="E99" s="1" t="s">
        <v>38</v>
      </c>
      <c r="F99" s="1">
        <v>37</v>
      </c>
      <c r="G99" s="1">
        <v>1.2</v>
      </c>
      <c r="H99" s="1">
        <v>3.9</v>
      </c>
      <c r="K99" s="1" t="s">
        <v>94</v>
      </c>
      <c r="N99" s="1">
        <v>60.6</v>
      </c>
    </row>
    <row r="100" spans="1:14" x14ac:dyDescent="0.4">
      <c r="A100" s="1">
        <v>35</v>
      </c>
      <c r="B100" t="s">
        <v>74</v>
      </c>
      <c r="C100" s="1" t="s">
        <v>11</v>
      </c>
      <c r="D100" s="1" t="s">
        <v>67</v>
      </c>
      <c r="E100" s="1" t="s">
        <v>38</v>
      </c>
      <c r="F100" s="1">
        <v>28</v>
      </c>
      <c r="G100" s="1">
        <v>3</v>
      </c>
      <c r="H100" s="1">
        <v>3.2</v>
      </c>
      <c r="K100" s="1">
        <v>37.9</v>
      </c>
      <c r="L100" s="1">
        <f>VLOOKUP($B100,covariates!$B$2:$H$125,5)</f>
        <v>15</v>
      </c>
      <c r="M100" s="1">
        <f>VLOOKUP($B100,covariates!$B$2:$H$125,6)</f>
        <v>14</v>
      </c>
      <c r="N100" s="1">
        <v>10.7</v>
      </c>
    </row>
    <row r="101" spans="1:14" x14ac:dyDescent="0.4">
      <c r="A101" s="1">
        <v>35</v>
      </c>
      <c r="B101" t="s">
        <v>74</v>
      </c>
      <c r="C101" s="1" t="s">
        <v>14</v>
      </c>
      <c r="D101" s="1" t="s">
        <v>67</v>
      </c>
      <c r="E101" s="1" t="s">
        <v>38</v>
      </c>
      <c r="F101" s="1">
        <v>29</v>
      </c>
      <c r="G101" s="1">
        <v>2</v>
      </c>
      <c r="H101" s="1">
        <v>3.5</v>
      </c>
      <c r="K101" s="1">
        <v>37.9</v>
      </c>
      <c r="L101" s="1">
        <f>VLOOKUP($B101,covariates!$B$2:$H$125,5)</f>
        <v>15</v>
      </c>
      <c r="M101" s="1">
        <f>VLOOKUP($B101,covariates!$B$2:$H$125,6)</f>
        <v>14</v>
      </c>
      <c r="N101" s="1">
        <v>10.7</v>
      </c>
    </row>
    <row r="102" spans="1:14" x14ac:dyDescent="0.4">
      <c r="A102" s="1">
        <v>36</v>
      </c>
      <c r="B102" t="s">
        <v>52</v>
      </c>
      <c r="C102" s="1" t="s">
        <v>14</v>
      </c>
      <c r="D102" s="1" t="s">
        <v>67</v>
      </c>
      <c r="E102" s="1" t="s">
        <v>38</v>
      </c>
      <c r="F102" s="1">
        <v>26</v>
      </c>
      <c r="G102" s="1">
        <v>0.2</v>
      </c>
      <c r="H102" s="1">
        <v>2.2000000000000002</v>
      </c>
      <c r="K102" s="1">
        <v>24.1</v>
      </c>
      <c r="L102" s="1">
        <f>VLOOKUP($B102,covariates!$B$2:$H$125,5)</f>
        <v>21</v>
      </c>
      <c r="M102" s="1">
        <f>VLOOKUP($B102,covariates!$B$2:$H$125,6)</f>
        <v>3</v>
      </c>
      <c r="N102" s="1">
        <v>24</v>
      </c>
    </row>
    <row r="103" spans="1:14" x14ac:dyDescent="0.4">
      <c r="A103" s="1">
        <v>36</v>
      </c>
      <c r="B103" t="s">
        <v>52</v>
      </c>
      <c r="C103" s="1" t="s">
        <v>32</v>
      </c>
      <c r="D103" s="1" t="s">
        <v>67</v>
      </c>
      <c r="E103" s="1" t="s">
        <v>38</v>
      </c>
      <c r="F103" s="1">
        <v>23</v>
      </c>
      <c r="G103" s="1">
        <v>0.7</v>
      </c>
      <c r="H103" s="1">
        <v>1.1000000000000001</v>
      </c>
      <c r="K103" s="1">
        <v>24.1</v>
      </c>
      <c r="L103" s="1">
        <f>VLOOKUP($B103,covariates!$B$2:$H$125,5)</f>
        <v>21</v>
      </c>
      <c r="M103" s="1">
        <f>VLOOKUP($B103,covariates!$B$2:$H$125,6)</f>
        <v>3</v>
      </c>
      <c r="N103" s="1">
        <v>24</v>
      </c>
    </row>
    <row r="104" spans="1:14" x14ac:dyDescent="0.4">
      <c r="A104" s="1">
        <v>41</v>
      </c>
      <c r="B104" t="s">
        <v>76</v>
      </c>
      <c r="C104" s="1" t="s">
        <v>11</v>
      </c>
      <c r="D104" s="1" t="s">
        <v>67</v>
      </c>
      <c r="E104" s="1" t="s">
        <v>38</v>
      </c>
      <c r="F104" s="1">
        <v>43</v>
      </c>
      <c r="G104" s="1">
        <v>1.7</v>
      </c>
      <c r="H104" s="1">
        <v>2.63</v>
      </c>
      <c r="K104" s="1" t="s">
        <v>94</v>
      </c>
      <c r="N104" s="1">
        <v>24</v>
      </c>
    </row>
    <row r="105" spans="1:14" x14ac:dyDescent="0.4">
      <c r="A105" s="1">
        <v>41</v>
      </c>
      <c r="B105" t="s">
        <v>76</v>
      </c>
      <c r="C105" s="1" t="s">
        <v>14</v>
      </c>
      <c r="D105" s="1" t="s">
        <v>67</v>
      </c>
      <c r="E105" s="1" t="s">
        <v>38</v>
      </c>
      <c r="F105" s="1">
        <v>46</v>
      </c>
      <c r="G105" s="1">
        <v>1.2</v>
      </c>
      <c r="H105" s="1">
        <v>2.65</v>
      </c>
      <c r="K105" s="1" t="s">
        <v>94</v>
      </c>
      <c r="N105" s="1">
        <v>24</v>
      </c>
    </row>
    <row r="106" spans="1:14" x14ac:dyDescent="0.4">
      <c r="A106" s="1">
        <v>43</v>
      </c>
      <c r="B106" t="s">
        <v>18</v>
      </c>
      <c r="C106" s="1" t="s">
        <v>11</v>
      </c>
      <c r="D106" s="1" t="s">
        <v>67</v>
      </c>
      <c r="E106" s="1" t="s">
        <v>38</v>
      </c>
      <c r="F106" s="1">
        <v>74</v>
      </c>
      <c r="G106" s="1">
        <v>0.6</v>
      </c>
      <c r="H106" s="1">
        <v>0.21</v>
      </c>
      <c r="K106" s="1">
        <v>26</v>
      </c>
      <c r="L106" s="1">
        <f>VLOOKUP($B106,covariates!$B$2:$H$125,5)</f>
        <v>0</v>
      </c>
      <c r="M106" s="1">
        <f>VLOOKUP($B106,covariates!$B$2:$H$125,6)</f>
        <v>73</v>
      </c>
      <c r="N106" s="1">
        <v>24</v>
      </c>
    </row>
    <row r="107" spans="1:14" x14ac:dyDescent="0.4">
      <c r="A107" s="1">
        <v>43</v>
      </c>
      <c r="B107" t="s">
        <v>18</v>
      </c>
      <c r="C107" s="1" t="s">
        <v>14</v>
      </c>
      <c r="D107" s="1" t="s">
        <v>67</v>
      </c>
      <c r="E107" s="1" t="s">
        <v>38</v>
      </c>
      <c r="F107" s="1">
        <v>73</v>
      </c>
      <c r="G107" s="1">
        <v>0.5</v>
      </c>
      <c r="H107" s="1">
        <v>0.42</v>
      </c>
      <c r="K107" s="1">
        <v>26</v>
      </c>
      <c r="L107" s="1">
        <f>VLOOKUP($B107,covariates!$B$2:$H$125,5)</f>
        <v>0</v>
      </c>
      <c r="M107" s="1">
        <f>VLOOKUP($B107,covariates!$B$2:$H$125,6)</f>
        <v>73</v>
      </c>
      <c r="N107" s="1">
        <v>24</v>
      </c>
    </row>
    <row r="108" spans="1:14" x14ac:dyDescent="0.4">
      <c r="A108" s="1">
        <v>45</v>
      </c>
      <c r="B108" t="s">
        <v>39</v>
      </c>
      <c r="C108" s="1" t="s">
        <v>11</v>
      </c>
      <c r="D108" s="1" t="s">
        <v>67</v>
      </c>
      <c r="E108" s="1" t="s">
        <v>38</v>
      </c>
      <c r="F108" s="1">
        <v>24</v>
      </c>
      <c r="G108" s="1">
        <v>1.8</v>
      </c>
      <c r="H108" s="1">
        <v>0.51</v>
      </c>
      <c r="K108" s="1">
        <v>29.8</v>
      </c>
      <c r="L108" s="1">
        <f>VLOOKUP($B108,covariates!$B$2:$H$125,5)</f>
        <v>23</v>
      </c>
      <c r="M108" s="1">
        <f>VLOOKUP($B108,covariates!$B$2:$H$125,6)</f>
        <v>8</v>
      </c>
      <c r="N108" s="1">
        <v>120</v>
      </c>
    </row>
    <row r="109" spans="1:14" x14ac:dyDescent="0.4">
      <c r="A109" s="1">
        <v>45</v>
      </c>
      <c r="B109" t="s">
        <v>39</v>
      </c>
      <c r="C109" s="1" t="s">
        <v>14</v>
      </c>
      <c r="D109" s="1" t="s">
        <v>67</v>
      </c>
      <c r="E109" s="1" t="s">
        <v>38</v>
      </c>
      <c r="F109" s="1">
        <v>23</v>
      </c>
      <c r="G109" s="1">
        <v>2.2000000000000002</v>
      </c>
      <c r="H109" s="1">
        <v>0.78</v>
      </c>
      <c r="K109" s="1">
        <v>29.8</v>
      </c>
      <c r="L109" s="1">
        <f>VLOOKUP($B109,covariates!$B$2:$H$125,5)</f>
        <v>23</v>
      </c>
      <c r="M109" s="1">
        <f>VLOOKUP($B109,covariates!$B$2:$H$125,6)</f>
        <v>8</v>
      </c>
      <c r="N109" s="1">
        <v>120</v>
      </c>
    </row>
    <row r="110" spans="1:14" x14ac:dyDescent="0.4">
      <c r="A110" s="1">
        <v>46</v>
      </c>
      <c r="B110" t="s">
        <v>40</v>
      </c>
      <c r="C110" s="1" t="s">
        <v>11</v>
      </c>
      <c r="D110" s="1" t="s">
        <v>67</v>
      </c>
      <c r="E110" s="1" t="s">
        <v>38</v>
      </c>
      <c r="F110" s="1">
        <v>15</v>
      </c>
      <c r="G110" s="1">
        <v>1.22</v>
      </c>
      <c r="H110" s="1">
        <v>0.69</v>
      </c>
      <c r="K110" s="1">
        <v>28.7</v>
      </c>
      <c r="N110" s="1">
        <v>19</v>
      </c>
    </row>
    <row r="111" spans="1:14" x14ac:dyDescent="0.4">
      <c r="A111" s="1">
        <v>46</v>
      </c>
      <c r="B111" t="s">
        <v>40</v>
      </c>
      <c r="C111" s="1" t="s">
        <v>14</v>
      </c>
      <c r="D111" s="1" t="s">
        <v>67</v>
      </c>
      <c r="E111" s="1" t="s">
        <v>38</v>
      </c>
      <c r="F111" s="1">
        <v>13</v>
      </c>
      <c r="G111" s="1">
        <v>0.96</v>
      </c>
      <c r="H111" s="1">
        <v>0.42</v>
      </c>
      <c r="K111" s="1">
        <v>28.7</v>
      </c>
      <c r="N111" s="1">
        <v>19</v>
      </c>
    </row>
    <row r="112" spans="1:14" x14ac:dyDescent="0.4">
      <c r="A112" s="1">
        <v>49</v>
      </c>
      <c r="B112" t="s">
        <v>19</v>
      </c>
      <c r="C112" s="1" t="s">
        <v>11</v>
      </c>
      <c r="D112" s="1" t="s">
        <v>67</v>
      </c>
      <c r="E112" s="1" t="s">
        <v>38</v>
      </c>
      <c r="F112" s="1">
        <v>40</v>
      </c>
      <c r="G112" s="1">
        <v>1</v>
      </c>
      <c r="H112" s="1">
        <v>3.01</v>
      </c>
      <c r="K112" s="1">
        <v>25</v>
      </c>
      <c r="N112" s="1">
        <v>26</v>
      </c>
    </row>
    <row r="113" spans="1:14" x14ac:dyDescent="0.4">
      <c r="A113" s="1">
        <v>49</v>
      </c>
      <c r="B113" t="s">
        <v>19</v>
      </c>
      <c r="C113" s="1" t="s">
        <v>14</v>
      </c>
      <c r="D113" s="1" t="s">
        <v>67</v>
      </c>
      <c r="E113" s="1" t="s">
        <v>38</v>
      </c>
      <c r="F113" s="1">
        <v>78</v>
      </c>
      <c r="G113" s="1">
        <v>1.5</v>
      </c>
      <c r="H113" s="1">
        <v>3.12</v>
      </c>
      <c r="K113" s="1">
        <v>25</v>
      </c>
      <c r="N113" s="1">
        <v>26</v>
      </c>
    </row>
    <row r="114" spans="1:14" x14ac:dyDescent="0.4">
      <c r="A114" s="1">
        <v>51</v>
      </c>
      <c r="B114" t="s">
        <v>55</v>
      </c>
      <c r="C114" s="1" t="s">
        <v>14</v>
      </c>
      <c r="D114" s="1" t="s">
        <v>67</v>
      </c>
      <c r="E114" s="1" t="s">
        <v>38</v>
      </c>
      <c r="F114" s="1">
        <v>32</v>
      </c>
      <c r="G114" s="1">
        <v>2.1</v>
      </c>
      <c r="H114" s="1">
        <v>1.6</v>
      </c>
      <c r="K114" s="1">
        <v>30.5</v>
      </c>
      <c r="L114" s="1">
        <f>VLOOKUP($B114,covariates!$B$2:$H$125,5)</f>
        <v>15</v>
      </c>
      <c r="M114" s="1">
        <f>VLOOKUP($B114,covariates!$B$2:$H$125,6)</f>
        <v>17</v>
      </c>
      <c r="N114" s="1">
        <v>73.2</v>
      </c>
    </row>
    <row r="115" spans="1:14" x14ac:dyDescent="0.4">
      <c r="A115" s="1">
        <v>51</v>
      </c>
      <c r="B115" t="s">
        <v>55</v>
      </c>
      <c r="C115" s="1" t="s">
        <v>17</v>
      </c>
      <c r="D115" s="1" t="s">
        <v>67</v>
      </c>
      <c r="E115" s="1" t="s">
        <v>38</v>
      </c>
      <c r="F115" s="1">
        <v>32</v>
      </c>
      <c r="G115" s="1">
        <v>3.5</v>
      </c>
      <c r="H115" s="1">
        <v>1.2</v>
      </c>
      <c r="K115" s="1">
        <v>30.5</v>
      </c>
      <c r="L115" s="1">
        <f>VLOOKUP($B115,covariates!$B$2:$H$125,5)</f>
        <v>15</v>
      </c>
      <c r="M115" s="1">
        <f>VLOOKUP($B115,covariates!$B$2:$H$125,6)</f>
        <v>17</v>
      </c>
      <c r="N115" s="1">
        <v>73.2</v>
      </c>
    </row>
    <row r="116" spans="1:14" x14ac:dyDescent="0.4">
      <c r="A116" s="1">
        <v>52</v>
      </c>
      <c r="B116" t="s">
        <v>42</v>
      </c>
      <c r="C116" s="1" t="s">
        <v>11</v>
      </c>
      <c r="D116" s="1" t="s">
        <v>67</v>
      </c>
      <c r="E116" s="1" t="s">
        <v>38</v>
      </c>
      <c r="F116" s="1">
        <v>30</v>
      </c>
      <c r="G116" s="1">
        <v>2.2999999999999998</v>
      </c>
      <c r="H116" s="1">
        <v>3.06</v>
      </c>
      <c r="K116" s="1">
        <v>29</v>
      </c>
      <c r="L116" s="1">
        <f>VLOOKUP($B116,covariates!$B$2:$H$125,5)</f>
        <v>26</v>
      </c>
      <c r="M116" s="1">
        <f>VLOOKUP($B116,covariates!$B$2:$H$125,6)</f>
        <v>11</v>
      </c>
      <c r="N116" s="1">
        <v>87.1</v>
      </c>
    </row>
    <row r="117" spans="1:14" x14ac:dyDescent="0.4">
      <c r="A117" s="1">
        <v>52</v>
      </c>
      <c r="B117" t="s">
        <v>42</v>
      </c>
      <c r="C117" s="1" t="s">
        <v>14</v>
      </c>
      <c r="D117" s="1" t="s">
        <v>67</v>
      </c>
      <c r="E117" s="1" t="s">
        <v>38</v>
      </c>
      <c r="F117" s="1">
        <v>32</v>
      </c>
      <c r="G117" s="1">
        <v>2.7</v>
      </c>
      <c r="H117" s="1">
        <v>3.39</v>
      </c>
      <c r="K117" s="1">
        <v>29</v>
      </c>
      <c r="L117" s="1">
        <f>VLOOKUP($B117,covariates!$B$2:$H$125,5)</f>
        <v>26</v>
      </c>
      <c r="M117" s="1">
        <f>VLOOKUP($B117,covariates!$B$2:$H$125,6)</f>
        <v>11</v>
      </c>
      <c r="N117" s="1">
        <v>87.1</v>
      </c>
    </row>
    <row r="118" spans="1:14" x14ac:dyDescent="0.4">
      <c r="A118" s="1">
        <v>53</v>
      </c>
      <c r="B118" t="s">
        <v>56</v>
      </c>
      <c r="C118" s="1" t="s">
        <v>14</v>
      </c>
      <c r="D118" s="1" t="s">
        <v>67</v>
      </c>
      <c r="E118" s="1" t="s">
        <v>38</v>
      </c>
      <c r="F118" s="1">
        <v>49</v>
      </c>
      <c r="G118" s="1">
        <v>1.9</v>
      </c>
      <c r="H118" s="1">
        <v>1.7</v>
      </c>
      <c r="K118" s="1">
        <v>27.2</v>
      </c>
      <c r="L118" s="1">
        <f>VLOOKUP($B118,covariates!$B$2:$H$125,5)</f>
        <v>29</v>
      </c>
      <c r="M118" s="1">
        <f>VLOOKUP($B118,covariates!$B$2:$H$125,6)</f>
        <v>21</v>
      </c>
      <c r="N118" s="1">
        <v>24</v>
      </c>
    </row>
    <row r="119" spans="1:14" x14ac:dyDescent="0.4">
      <c r="A119" s="1">
        <v>53</v>
      </c>
      <c r="B119" t="s">
        <v>56</v>
      </c>
      <c r="C119" s="1" t="s">
        <v>32</v>
      </c>
      <c r="D119" s="1" t="s">
        <v>67</v>
      </c>
      <c r="E119" s="1" t="s">
        <v>38</v>
      </c>
      <c r="F119" s="1">
        <v>47</v>
      </c>
      <c r="G119" s="1">
        <v>1.8</v>
      </c>
      <c r="H119" s="1">
        <v>1</v>
      </c>
      <c r="K119" s="1">
        <v>27.2</v>
      </c>
      <c r="L119" s="1">
        <f>VLOOKUP($B119,covariates!$B$2:$H$125,5)</f>
        <v>29</v>
      </c>
      <c r="M119" s="1">
        <f>VLOOKUP($B119,covariates!$B$2:$H$125,6)</f>
        <v>21</v>
      </c>
      <c r="N119" s="1">
        <v>24</v>
      </c>
    </row>
    <row r="120" spans="1:14" x14ac:dyDescent="0.4">
      <c r="A120" s="1">
        <v>54</v>
      </c>
      <c r="B120" t="s">
        <v>20</v>
      </c>
      <c r="C120" s="1" t="s">
        <v>11</v>
      </c>
      <c r="D120" s="1" t="s">
        <v>67</v>
      </c>
      <c r="E120" s="1" t="s">
        <v>38</v>
      </c>
      <c r="F120" s="1">
        <v>19</v>
      </c>
      <c r="G120" s="1">
        <v>-0.1</v>
      </c>
      <c r="H120" s="1">
        <v>1.6</v>
      </c>
      <c r="K120" s="1">
        <v>54.5</v>
      </c>
      <c r="N120" s="1">
        <v>240</v>
      </c>
    </row>
    <row r="121" spans="1:14" x14ac:dyDescent="0.4">
      <c r="A121" s="1">
        <v>54</v>
      </c>
      <c r="B121" t="s">
        <v>20</v>
      </c>
      <c r="C121" s="1" t="s">
        <v>14</v>
      </c>
      <c r="D121" s="1" t="s">
        <v>67</v>
      </c>
      <c r="E121" s="1" t="s">
        <v>38</v>
      </c>
      <c r="F121" s="1">
        <v>20</v>
      </c>
      <c r="G121" s="1">
        <v>1.5</v>
      </c>
      <c r="H121" s="1">
        <v>1.2</v>
      </c>
      <c r="K121" s="1">
        <v>54.5</v>
      </c>
      <c r="N121" s="1">
        <v>240</v>
      </c>
    </row>
    <row r="122" spans="1:14" x14ac:dyDescent="0.4">
      <c r="A122" s="1">
        <v>55</v>
      </c>
      <c r="B122" t="s">
        <v>57</v>
      </c>
      <c r="C122" s="1" t="s">
        <v>11</v>
      </c>
      <c r="D122" s="1" t="s">
        <v>67</v>
      </c>
      <c r="E122" s="1" t="s">
        <v>38</v>
      </c>
      <c r="F122" s="1">
        <v>14</v>
      </c>
      <c r="G122" s="1">
        <v>3.7</v>
      </c>
      <c r="H122" s="1">
        <v>1.4</v>
      </c>
      <c r="K122" s="1">
        <v>24.6</v>
      </c>
      <c r="L122" s="1">
        <f>VLOOKUP($B122,covariates!$B$2:$H$125,5)</f>
        <v>38</v>
      </c>
      <c r="M122" s="1">
        <f>VLOOKUP($B122,covariates!$B$2:$H$125,6)</f>
        <v>0</v>
      </c>
      <c r="N122" s="1">
        <v>12</v>
      </c>
    </row>
    <row r="123" spans="1:14" x14ac:dyDescent="0.4">
      <c r="A123" s="1">
        <v>55</v>
      </c>
      <c r="B123" t="s">
        <v>57</v>
      </c>
      <c r="C123" s="1" t="s">
        <v>14</v>
      </c>
      <c r="D123" s="1" t="s">
        <v>67</v>
      </c>
      <c r="E123" s="1" t="s">
        <v>38</v>
      </c>
      <c r="F123" s="1">
        <v>17</v>
      </c>
      <c r="G123" s="1">
        <v>3.1</v>
      </c>
      <c r="H123" s="1">
        <v>1.6</v>
      </c>
      <c r="K123" s="1">
        <v>24.6</v>
      </c>
      <c r="L123" s="1">
        <f>VLOOKUP($B123,covariates!$B$2:$H$125,5)</f>
        <v>38</v>
      </c>
      <c r="M123" s="1">
        <f>VLOOKUP($B123,covariates!$B$2:$H$125,6)</f>
        <v>0</v>
      </c>
      <c r="N123" s="1">
        <v>12</v>
      </c>
    </row>
    <row r="124" spans="1:14" x14ac:dyDescent="0.4">
      <c r="A124" s="1">
        <v>56</v>
      </c>
      <c r="B124" t="s">
        <v>58</v>
      </c>
      <c r="C124" s="1" t="s">
        <v>11</v>
      </c>
      <c r="D124" s="1" t="s">
        <v>67</v>
      </c>
      <c r="E124" s="1" t="s">
        <v>38</v>
      </c>
      <c r="F124" s="1">
        <v>18</v>
      </c>
      <c r="G124" s="1">
        <v>1.1000000000000001</v>
      </c>
      <c r="H124" s="1">
        <v>1.4</v>
      </c>
      <c r="K124" s="1">
        <v>30</v>
      </c>
      <c r="L124" s="1">
        <f>VLOOKUP($B124,covariates!$B$2:$H$125,5)</f>
        <v>17</v>
      </c>
      <c r="M124" s="1">
        <f>VLOOKUP($B124,covariates!$B$2:$H$125,6)</f>
        <v>4</v>
      </c>
      <c r="N124" s="1">
        <v>24</v>
      </c>
    </row>
    <row r="125" spans="1:14" x14ac:dyDescent="0.4">
      <c r="A125" s="1">
        <v>56</v>
      </c>
      <c r="B125" t="s">
        <v>58</v>
      </c>
      <c r="C125" s="1" t="s">
        <v>32</v>
      </c>
      <c r="D125" s="1" t="s">
        <v>67</v>
      </c>
      <c r="E125" s="1" t="s">
        <v>38</v>
      </c>
      <c r="F125" s="1">
        <v>21</v>
      </c>
      <c r="G125" s="1">
        <v>0.8</v>
      </c>
      <c r="H125" s="1">
        <v>1.7</v>
      </c>
      <c r="K125" s="1">
        <v>30</v>
      </c>
      <c r="L125" s="1">
        <f>VLOOKUP($B125,covariates!$B$2:$H$125,5)</f>
        <v>17</v>
      </c>
      <c r="M125" s="1">
        <f>VLOOKUP($B125,covariates!$B$2:$H$125,6)</f>
        <v>4</v>
      </c>
      <c r="N125" s="1">
        <v>24</v>
      </c>
    </row>
    <row r="126" spans="1:14" x14ac:dyDescent="0.4">
      <c r="A126" s="1">
        <v>58</v>
      </c>
      <c r="B126" t="s">
        <v>59</v>
      </c>
      <c r="C126" s="1" t="s">
        <v>14</v>
      </c>
      <c r="D126" s="1" t="s">
        <v>67</v>
      </c>
      <c r="E126" s="1" t="s">
        <v>38</v>
      </c>
      <c r="F126" s="1">
        <v>25</v>
      </c>
      <c r="G126" s="1">
        <v>2.1</v>
      </c>
      <c r="H126" s="1">
        <v>1</v>
      </c>
      <c r="K126" s="1">
        <v>27.8</v>
      </c>
      <c r="L126" s="1">
        <f>VLOOKUP($B126,covariates!$B$2:$H$125,5)</f>
        <v>17</v>
      </c>
      <c r="M126" s="1">
        <f>VLOOKUP($B126,covariates!$B$2:$H$125,6)</f>
        <v>8</v>
      </c>
      <c r="N126" s="1">
        <v>6</v>
      </c>
    </row>
    <row r="127" spans="1:14" x14ac:dyDescent="0.4">
      <c r="A127" s="1">
        <v>58</v>
      </c>
      <c r="B127" t="s">
        <v>59</v>
      </c>
      <c r="C127" s="1" t="s">
        <v>16</v>
      </c>
      <c r="D127" s="1" t="s">
        <v>67</v>
      </c>
      <c r="E127" s="1" t="s">
        <v>38</v>
      </c>
      <c r="F127" s="1">
        <v>25</v>
      </c>
      <c r="G127" s="1">
        <v>1.8</v>
      </c>
      <c r="H127" s="1">
        <v>0.9</v>
      </c>
      <c r="K127" s="1">
        <v>27.8</v>
      </c>
      <c r="L127" s="1">
        <f>VLOOKUP($B127,covariates!$B$2:$H$125,5)</f>
        <v>17</v>
      </c>
      <c r="M127" s="1">
        <f>VLOOKUP($B127,covariates!$B$2:$H$125,6)</f>
        <v>8</v>
      </c>
      <c r="N127" s="1">
        <v>6</v>
      </c>
    </row>
    <row r="128" spans="1:14" x14ac:dyDescent="0.4">
      <c r="A128" s="1">
        <v>62</v>
      </c>
      <c r="B128" t="s">
        <v>60</v>
      </c>
      <c r="C128" s="1" t="s">
        <v>11</v>
      </c>
      <c r="D128" s="1" t="s">
        <v>67</v>
      </c>
      <c r="E128" s="1" t="s">
        <v>38</v>
      </c>
      <c r="F128" s="1">
        <v>37</v>
      </c>
      <c r="G128" s="1">
        <v>1.2</v>
      </c>
      <c r="H128" s="1">
        <v>2.1</v>
      </c>
      <c r="K128" s="1">
        <v>24.4</v>
      </c>
      <c r="L128" s="1">
        <f>VLOOKUP($B128,covariates!$B$2:$H$125,5)</f>
        <v>20</v>
      </c>
      <c r="M128" s="1">
        <f>VLOOKUP($B128,covariates!$B$2:$H$125,6)</f>
        <v>15</v>
      </c>
      <c r="N128" s="1">
        <v>80.7</v>
      </c>
    </row>
    <row r="129" spans="1:14" x14ac:dyDescent="0.4">
      <c r="A129" s="1">
        <v>62</v>
      </c>
      <c r="B129" t="s">
        <v>60</v>
      </c>
      <c r="C129" s="1" t="s">
        <v>14</v>
      </c>
      <c r="D129" s="1" t="s">
        <v>67</v>
      </c>
      <c r="E129" s="1" t="s">
        <v>38</v>
      </c>
      <c r="F129" s="1">
        <v>35</v>
      </c>
      <c r="G129" s="1">
        <v>1.7</v>
      </c>
      <c r="H129" s="1">
        <v>1.4</v>
      </c>
      <c r="K129" s="1">
        <v>24.4</v>
      </c>
      <c r="L129" s="1">
        <f>VLOOKUP($B129,covariates!$B$2:$H$125,5)</f>
        <v>20</v>
      </c>
      <c r="M129" s="1">
        <f>VLOOKUP($B129,covariates!$B$2:$H$125,6)</f>
        <v>15</v>
      </c>
      <c r="N129" s="1">
        <v>80.7</v>
      </c>
    </row>
    <row r="130" spans="1:14" x14ac:dyDescent="0.4">
      <c r="A130" s="1">
        <v>76</v>
      </c>
      <c r="B130" t="s">
        <v>25</v>
      </c>
      <c r="C130" s="1" t="s">
        <v>11</v>
      </c>
      <c r="D130" s="1" t="s">
        <v>67</v>
      </c>
      <c r="E130" s="1" t="s">
        <v>38</v>
      </c>
      <c r="F130" s="1">
        <v>54</v>
      </c>
      <c r="G130" s="1">
        <v>1.2</v>
      </c>
      <c r="H130" s="1">
        <v>1.69</v>
      </c>
      <c r="K130" s="1">
        <v>24</v>
      </c>
      <c r="L130" s="1">
        <f>VLOOKUP($B130,covariates!$B$2:$H$125,5)</f>
        <v>47</v>
      </c>
      <c r="M130" s="1">
        <f>VLOOKUP($B130,covariates!$B$2:$H$125,6)</f>
        <v>43</v>
      </c>
      <c r="N130" s="1">
        <v>120</v>
      </c>
    </row>
    <row r="131" spans="1:14" x14ac:dyDescent="0.4">
      <c r="A131" s="1">
        <v>76</v>
      </c>
      <c r="B131" t="s">
        <v>25</v>
      </c>
      <c r="C131" s="1" t="s">
        <v>14</v>
      </c>
      <c r="D131" s="1" t="s">
        <v>67</v>
      </c>
      <c r="E131" s="1" t="s">
        <v>38</v>
      </c>
      <c r="F131" s="1">
        <v>58</v>
      </c>
      <c r="G131" s="1">
        <v>1.6</v>
      </c>
      <c r="H131" s="1">
        <v>1.55</v>
      </c>
      <c r="K131" s="1">
        <v>24</v>
      </c>
      <c r="L131" s="1">
        <f>VLOOKUP($B131,covariates!$B$2:$H$125,5)</f>
        <v>47</v>
      </c>
      <c r="M131" s="1">
        <f>VLOOKUP($B131,covariates!$B$2:$H$125,6)</f>
        <v>43</v>
      </c>
      <c r="N131" s="1">
        <v>120</v>
      </c>
    </row>
    <row r="132" spans="1:14" x14ac:dyDescent="0.4">
      <c r="A132" s="1">
        <v>77</v>
      </c>
      <c r="B132" t="s">
        <v>26</v>
      </c>
      <c r="C132" s="1" t="s">
        <v>11</v>
      </c>
      <c r="D132" s="1" t="s">
        <v>67</v>
      </c>
      <c r="E132" s="1" t="s">
        <v>38</v>
      </c>
      <c r="F132" s="1">
        <v>38</v>
      </c>
      <c r="G132" s="1">
        <v>1.3</v>
      </c>
      <c r="H132" s="1">
        <v>2.2000000000000002</v>
      </c>
      <c r="K132" s="1">
        <v>27</v>
      </c>
      <c r="N132" s="1">
        <v>228</v>
      </c>
    </row>
    <row r="133" spans="1:14" x14ac:dyDescent="0.4">
      <c r="A133" s="1">
        <v>77</v>
      </c>
      <c r="B133" t="s">
        <v>26</v>
      </c>
      <c r="C133" s="1" t="s">
        <v>14</v>
      </c>
      <c r="D133" s="1" t="s">
        <v>67</v>
      </c>
      <c r="E133" s="1" t="s">
        <v>38</v>
      </c>
      <c r="F133" s="1">
        <v>33</v>
      </c>
      <c r="G133" s="1">
        <v>1.5</v>
      </c>
      <c r="H133" s="1">
        <v>3.3</v>
      </c>
      <c r="K133" s="1">
        <v>27</v>
      </c>
      <c r="N133" s="1">
        <v>228</v>
      </c>
    </row>
    <row r="134" spans="1:14" x14ac:dyDescent="0.4">
      <c r="A134" s="1">
        <v>85</v>
      </c>
      <c r="B134" t="s">
        <v>27</v>
      </c>
      <c r="C134" s="1" t="s">
        <v>11</v>
      </c>
      <c r="D134" s="1" t="s">
        <v>67</v>
      </c>
      <c r="E134" s="1" t="s">
        <v>38</v>
      </c>
      <c r="F134" s="1">
        <v>32</v>
      </c>
      <c r="G134" s="1">
        <v>0</v>
      </c>
      <c r="H134" s="1">
        <v>0.8</v>
      </c>
      <c r="K134" s="1">
        <v>17.7</v>
      </c>
      <c r="L134" s="1">
        <f>VLOOKUP($B134,covariates!$B$2:$H$125,5)</f>
        <v>13</v>
      </c>
      <c r="M134" s="1">
        <f>VLOOKUP($B134,covariates!$B$2:$H$125,6)</f>
        <v>19</v>
      </c>
      <c r="N134" s="1">
        <v>24</v>
      </c>
    </row>
    <row r="135" spans="1:14" x14ac:dyDescent="0.4">
      <c r="A135" s="1">
        <v>85</v>
      </c>
      <c r="B135" t="s">
        <v>27</v>
      </c>
      <c r="C135" s="1" t="s">
        <v>14</v>
      </c>
      <c r="D135" s="1" t="s">
        <v>67</v>
      </c>
      <c r="E135" s="1" t="s">
        <v>38</v>
      </c>
      <c r="F135" s="1">
        <v>32</v>
      </c>
      <c r="G135" s="1">
        <v>0.3</v>
      </c>
      <c r="H135" s="1">
        <v>0.7</v>
      </c>
      <c r="K135" s="1">
        <v>17.7</v>
      </c>
      <c r="L135" s="1">
        <f>VLOOKUP($B135,covariates!$B$2:$H$125,5)</f>
        <v>13</v>
      </c>
      <c r="M135" s="1">
        <f>VLOOKUP($B135,covariates!$B$2:$H$125,6)</f>
        <v>19</v>
      </c>
      <c r="N135" s="1">
        <v>24</v>
      </c>
    </row>
    <row r="136" spans="1:14" x14ac:dyDescent="0.4">
      <c r="A136" s="1">
        <v>87</v>
      </c>
      <c r="B136" t="s">
        <v>28</v>
      </c>
      <c r="C136" s="1" t="s">
        <v>11</v>
      </c>
      <c r="D136" s="1" t="s">
        <v>67</v>
      </c>
      <c r="E136" s="1" t="s">
        <v>38</v>
      </c>
      <c r="F136" s="1">
        <v>296</v>
      </c>
      <c r="G136" s="1">
        <v>1.2</v>
      </c>
      <c r="H136" s="1">
        <v>1.4</v>
      </c>
      <c r="K136" s="1">
        <v>25.2</v>
      </c>
      <c r="L136" s="1">
        <f>VLOOKUP($B136,covariates!$B$2:$H$125,5)</f>
        <v>233</v>
      </c>
      <c r="M136" s="1">
        <f>VLOOKUP($B136,covariates!$B$2:$H$125,6)</f>
        <v>40</v>
      </c>
      <c r="N136" s="1">
        <v>63.9</v>
      </c>
    </row>
    <row r="137" spans="1:14" x14ac:dyDescent="0.4">
      <c r="A137" s="1">
        <v>87</v>
      </c>
      <c r="B137" t="s">
        <v>28</v>
      </c>
      <c r="C137" s="1" t="s">
        <v>14</v>
      </c>
      <c r="D137" s="1" t="s">
        <v>67</v>
      </c>
      <c r="E137" s="1" t="s">
        <v>38</v>
      </c>
      <c r="F137" s="1">
        <v>297</v>
      </c>
      <c r="G137" s="1">
        <v>0.9</v>
      </c>
      <c r="H137" s="1">
        <v>1</v>
      </c>
      <c r="K137" s="1">
        <v>25.2</v>
      </c>
      <c r="L137" s="1">
        <f>VLOOKUP($B137,covariates!$B$2:$H$125,5)</f>
        <v>233</v>
      </c>
      <c r="M137" s="1">
        <f>VLOOKUP($B137,covariates!$B$2:$H$125,6)</f>
        <v>40</v>
      </c>
      <c r="N137" s="1">
        <v>63.9</v>
      </c>
    </row>
    <row r="138" spans="1:14" x14ac:dyDescent="0.4">
      <c r="A138" s="1">
        <v>95</v>
      </c>
      <c r="B138" t="s">
        <v>44</v>
      </c>
      <c r="C138" s="1" t="s">
        <v>11</v>
      </c>
      <c r="D138" s="1" t="s">
        <v>67</v>
      </c>
      <c r="E138" s="1" t="s">
        <v>38</v>
      </c>
      <c r="F138" s="1">
        <v>23</v>
      </c>
      <c r="G138" s="1">
        <v>1.1000000000000001</v>
      </c>
      <c r="H138" s="1">
        <v>0.65</v>
      </c>
      <c r="K138" s="1">
        <v>27</v>
      </c>
      <c r="L138" s="1">
        <f>VLOOKUP($B138,covariates!$B$2:$H$125,5)</f>
        <v>23</v>
      </c>
      <c r="M138" s="1">
        <f>VLOOKUP($B138,covariates!$B$2:$H$125,6)</f>
        <v>10</v>
      </c>
      <c r="N138" s="1">
        <v>24</v>
      </c>
    </row>
    <row r="139" spans="1:14" x14ac:dyDescent="0.4">
      <c r="A139" s="1">
        <v>95</v>
      </c>
      <c r="B139" t="s">
        <v>44</v>
      </c>
      <c r="C139" s="1" t="s">
        <v>14</v>
      </c>
      <c r="D139" s="1" t="s">
        <v>67</v>
      </c>
      <c r="E139" s="1" t="s">
        <v>38</v>
      </c>
      <c r="F139" s="1">
        <v>31</v>
      </c>
      <c r="G139" s="1">
        <v>1.7</v>
      </c>
      <c r="H139" s="1">
        <v>0.97</v>
      </c>
      <c r="K139" s="1">
        <v>27</v>
      </c>
      <c r="L139" s="1">
        <f>VLOOKUP($B139,covariates!$B$2:$H$125,5)</f>
        <v>23</v>
      </c>
      <c r="M139" s="1">
        <f>VLOOKUP($B139,covariates!$B$2:$H$125,6)</f>
        <v>10</v>
      </c>
      <c r="N139" s="1">
        <v>24</v>
      </c>
    </row>
    <row r="140" spans="1:14" x14ac:dyDescent="0.4">
      <c r="A140" s="1">
        <v>96</v>
      </c>
      <c r="B140" t="s">
        <v>30</v>
      </c>
      <c r="C140" s="1" t="s">
        <v>11</v>
      </c>
      <c r="D140" s="1" t="s">
        <v>67</v>
      </c>
      <c r="E140" s="1" t="s">
        <v>38</v>
      </c>
      <c r="F140" s="1">
        <v>29</v>
      </c>
      <c r="G140" s="1">
        <v>0.9</v>
      </c>
      <c r="H140" s="1">
        <v>0.27</v>
      </c>
      <c r="K140" s="1">
        <v>34.200000000000003</v>
      </c>
      <c r="L140" s="1">
        <f>VLOOKUP($B140,covariates!$B$2:$H$125,5)</f>
        <v>18</v>
      </c>
      <c r="M140" s="1">
        <f>VLOOKUP($B140,covariates!$B$2:$H$125,6)</f>
        <v>13</v>
      </c>
      <c r="N140" s="1">
        <v>108</v>
      </c>
    </row>
    <row r="141" spans="1:14" x14ac:dyDescent="0.4">
      <c r="A141" s="1">
        <v>96</v>
      </c>
      <c r="B141" t="s">
        <v>30</v>
      </c>
      <c r="C141" s="1" t="s">
        <v>14</v>
      </c>
      <c r="D141" s="1" t="s">
        <v>67</v>
      </c>
      <c r="E141" s="1" t="s">
        <v>38</v>
      </c>
      <c r="F141" s="1">
        <v>25</v>
      </c>
      <c r="G141" s="1">
        <v>0.64</v>
      </c>
      <c r="H141" s="1">
        <v>0.36</v>
      </c>
      <c r="K141" s="1">
        <v>34.200000000000003</v>
      </c>
      <c r="L141" s="1">
        <f>VLOOKUP($B141,covariates!$B$2:$H$125,5)</f>
        <v>18</v>
      </c>
      <c r="M141" s="1">
        <f>VLOOKUP($B141,covariates!$B$2:$H$125,6)</f>
        <v>13</v>
      </c>
      <c r="N141" s="1">
        <v>108</v>
      </c>
    </row>
    <row r="142" spans="1:14" x14ac:dyDescent="0.4">
      <c r="A142" s="1">
        <v>97</v>
      </c>
      <c r="B142" t="s">
        <v>31</v>
      </c>
      <c r="C142" s="1" t="s">
        <v>14</v>
      </c>
      <c r="D142" s="1" t="s">
        <v>67</v>
      </c>
      <c r="E142" s="1" t="s">
        <v>38</v>
      </c>
      <c r="F142" s="1">
        <v>36</v>
      </c>
      <c r="G142" s="1">
        <v>3.77</v>
      </c>
      <c r="H142" s="1">
        <v>2.0099999999999998</v>
      </c>
      <c r="K142" s="1">
        <v>28.7</v>
      </c>
      <c r="L142" s="1">
        <f>VLOOKUP($B142,covariates!$B$2:$H$125,5)</f>
        <v>30</v>
      </c>
      <c r="M142" s="1">
        <f>VLOOKUP($B142,covariates!$B$2:$H$125,6)</f>
        <v>3</v>
      </c>
      <c r="N142" s="1">
        <v>12</v>
      </c>
    </row>
    <row r="143" spans="1:14" x14ac:dyDescent="0.4">
      <c r="A143" s="1">
        <v>97</v>
      </c>
      <c r="B143" t="s">
        <v>31</v>
      </c>
      <c r="C143" s="1" t="s">
        <v>32</v>
      </c>
      <c r="D143" s="1" t="s">
        <v>67</v>
      </c>
      <c r="E143" s="1" t="s">
        <v>38</v>
      </c>
      <c r="F143" s="1">
        <v>33</v>
      </c>
      <c r="G143" s="1">
        <v>2.73</v>
      </c>
      <c r="H143" s="1">
        <v>1.64</v>
      </c>
      <c r="K143" s="1">
        <v>28.7</v>
      </c>
      <c r="L143" s="1">
        <f>VLOOKUP($B143,covariates!$B$2:$H$125,5)</f>
        <v>30</v>
      </c>
      <c r="M143" s="1">
        <f>VLOOKUP($B143,covariates!$B$2:$H$125,6)</f>
        <v>3</v>
      </c>
      <c r="N143" s="1">
        <v>12</v>
      </c>
    </row>
    <row r="144" spans="1:14" x14ac:dyDescent="0.4">
      <c r="A144" s="1">
        <v>100</v>
      </c>
      <c r="B144" t="s">
        <v>65</v>
      </c>
      <c r="C144" s="1" t="s">
        <v>11</v>
      </c>
      <c r="D144" s="1" t="s">
        <v>67</v>
      </c>
      <c r="E144" s="1" t="s">
        <v>38</v>
      </c>
      <c r="F144" s="1">
        <v>40</v>
      </c>
      <c r="G144" s="1">
        <v>0.4</v>
      </c>
      <c r="H144" s="1">
        <v>0.6</v>
      </c>
      <c r="K144" s="1">
        <v>27</v>
      </c>
      <c r="L144" s="1">
        <f>VLOOKUP($B144,covariates!$B$2:$H$125,5)</f>
        <v>22</v>
      </c>
      <c r="M144" s="1">
        <f>VLOOKUP($B144,covariates!$B$2:$H$125,6)</f>
        <v>18</v>
      </c>
      <c r="N144" s="1">
        <v>103.2</v>
      </c>
    </row>
    <row r="145" spans="1:14" x14ac:dyDescent="0.4">
      <c r="A145" s="1">
        <v>100</v>
      </c>
      <c r="B145" t="s">
        <v>65</v>
      </c>
      <c r="C145" s="1" t="s">
        <v>14</v>
      </c>
      <c r="D145" s="1" t="s">
        <v>67</v>
      </c>
      <c r="E145" s="1" t="s">
        <v>38</v>
      </c>
      <c r="F145" s="1">
        <v>39</v>
      </c>
      <c r="G145" s="1">
        <v>1.1000000000000001</v>
      </c>
      <c r="H145" s="1">
        <v>1.9</v>
      </c>
      <c r="K145" s="1">
        <v>27</v>
      </c>
      <c r="L145" s="1">
        <f>VLOOKUP($B145,covariates!$B$2:$H$125,5)</f>
        <v>22</v>
      </c>
      <c r="M145" s="1">
        <f>VLOOKUP($B145,covariates!$B$2:$H$125,6)</f>
        <v>18</v>
      </c>
      <c r="N145" s="1">
        <v>103.2</v>
      </c>
    </row>
    <row r="146" spans="1:14" x14ac:dyDescent="0.4">
      <c r="A146" s="1">
        <v>2</v>
      </c>
      <c r="B146" t="s">
        <v>66</v>
      </c>
      <c r="C146" s="1" t="s">
        <v>11</v>
      </c>
      <c r="D146" s="1" t="s">
        <v>78</v>
      </c>
      <c r="E146" s="1" t="s">
        <v>13</v>
      </c>
      <c r="F146" s="1">
        <v>60</v>
      </c>
      <c r="G146" s="1">
        <v>0</v>
      </c>
      <c r="H146" s="1">
        <v>0.06</v>
      </c>
      <c r="K146" s="1">
        <v>25</v>
      </c>
      <c r="L146" s="1">
        <f>VLOOKUP($B146,covariates!$B$2:$H$125,5)</f>
        <v>46</v>
      </c>
      <c r="M146" s="1">
        <f>VLOOKUP($B146,covariates!$B$2:$H$125,6)</f>
        <v>14</v>
      </c>
      <c r="N146" s="1">
        <v>24</v>
      </c>
    </row>
    <row r="147" spans="1:14" x14ac:dyDescent="0.4">
      <c r="A147" s="1">
        <v>2</v>
      </c>
      <c r="B147" t="s">
        <v>66</v>
      </c>
      <c r="C147" s="1" t="s">
        <v>14</v>
      </c>
      <c r="D147" s="1" t="s">
        <v>78</v>
      </c>
      <c r="E147" s="1" t="s">
        <v>13</v>
      </c>
      <c r="F147" s="1">
        <v>60</v>
      </c>
      <c r="G147" s="1">
        <v>0</v>
      </c>
      <c r="H147" s="1">
        <v>0.06</v>
      </c>
      <c r="K147" s="1">
        <v>25</v>
      </c>
      <c r="L147" s="1">
        <f>VLOOKUP($B147,covariates!$B$2:$H$125,5)</f>
        <v>46</v>
      </c>
      <c r="M147" s="1">
        <f>VLOOKUP($B147,covariates!$B$2:$H$125,6)</f>
        <v>14</v>
      </c>
      <c r="N147" s="1">
        <v>24</v>
      </c>
    </row>
    <row r="148" spans="1:14" x14ac:dyDescent="0.4">
      <c r="A148" s="1">
        <v>11</v>
      </c>
      <c r="B148" t="s">
        <v>35</v>
      </c>
      <c r="C148" s="1" t="s">
        <v>11</v>
      </c>
      <c r="D148" s="1" t="s">
        <v>78</v>
      </c>
      <c r="E148" s="1" t="s">
        <v>13</v>
      </c>
      <c r="F148" s="1">
        <v>22</v>
      </c>
      <c r="G148" s="1">
        <v>2</v>
      </c>
      <c r="H148" s="1">
        <v>0.59</v>
      </c>
      <c r="K148" s="1">
        <v>29.9</v>
      </c>
      <c r="L148" s="1">
        <f>VLOOKUP($B148,covariates!$B$2:$H$125,5)</f>
        <v>13</v>
      </c>
      <c r="M148" s="1">
        <f>VLOOKUP($B148,covariates!$B$2:$H$125,6)</f>
        <v>15</v>
      </c>
      <c r="N148" s="1">
        <v>36</v>
      </c>
    </row>
    <row r="149" spans="1:14" x14ac:dyDescent="0.4">
      <c r="A149" s="1">
        <v>11</v>
      </c>
      <c r="B149" t="s">
        <v>35</v>
      </c>
      <c r="C149" s="1" t="s">
        <v>14</v>
      </c>
      <c r="D149" s="1" t="s">
        <v>78</v>
      </c>
      <c r="E149" s="1" t="s">
        <v>13</v>
      </c>
      <c r="F149" s="1">
        <v>22</v>
      </c>
      <c r="G149" s="1">
        <v>13</v>
      </c>
      <c r="H149" s="1">
        <v>7.04</v>
      </c>
      <c r="K149" s="1">
        <v>29.9</v>
      </c>
      <c r="L149" s="1">
        <f>VLOOKUP($B149,covariates!$B$2:$H$125,5)</f>
        <v>13</v>
      </c>
      <c r="M149" s="1">
        <f>VLOOKUP($B149,covariates!$B$2:$H$125,6)</f>
        <v>15</v>
      </c>
      <c r="N149" s="1">
        <v>36</v>
      </c>
    </row>
    <row r="150" spans="1:14" x14ac:dyDescent="0.4">
      <c r="A150" s="1">
        <v>13</v>
      </c>
      <c r="B150" t="s">
        <v>47</v>
      </c>
      <c r="C150" s="1" t="s">
        <v>11</v>
      </c>
      <c r="D150" s="1" t="s">
        <v>78</v>
      </c>
      <c r="E150" s="1" t="s">
        <v>13</v>
      </c>
      <c r="F150" s="1">
        <v>61</v>
      </c>
      <c r="G150" s="1">
        <v>7</v>
      </c>
      <c r="H150" s="1">
        <v>1.08</v>
      </c>
      <c r="K150" s="1">
        <v>26.8</v>
      </c>
      <c r="L150" s="1">
        <f>VLOOKUP($B150,covariates!$B$2:$H$125,5)</f>
        <v>53</v>
      </c>
      <c r="M150" s="1">
        <f>VLOOKUP($B150,covariates!$B$2:$H$125,6)</f>
        <v>33</v>
      </c>
      <c r="N150" s="1">
        <v>191.9</v>
      </c>
    </row>
    <row r="151" spans="1:14" x14ac:dyDescent="0.4">
      <c r="A151" s="1">
        <v>13</v>
      </c>
      <c r="B151" t="s">
        <v>47</v>
      </c>
      <c r="C151" s="1" t="s">
        <v>14</v>
      </c>
      <c r="D151" s="1" t="s">
        <v>78</v>
      </c>
      <c r="E151" s="1" t="s">
        <v>13</v>
      </c>
      <c r="F151" s="1">
        <v>86</v>
      </c>
      <c r="G151" s="1">
        <v>20</v>
      </c>
      <c r="H151" s="1">
        <v>2.88</v>
      </c>
      <c r="K151" s="1">
        <v>26.8</v>
      </c>
      <c r="L151" s="1">
        <f>VLOOKUP($B151,covariates!$B$2:$H$125,5)</f>
        <v>53</v>
      </c>
      <c r="M151" s="1">
        <f>VLOOKUP($B151,covariates!$B$2:$H$125,6)</f>
        <v>33</v>
      </c>
      <c r="N151" s="1">
        <v>191.9</v>
      </c>
    </row>
    <row r="152" spans="1:14" x14ac:dyDescent="0.4">
      <c r="A152" s="1">
        <v>23</v>
      </c>
      <c r="B152" t="s">
        <v>70</v>
      </c>
      <c r="C152" s="1" t="s">
        <v>11</v>
      </c>
      <c r="D152" s="1" t="s">
        <v>78</v>
      </c>
      <c r="E152" s="1" t="s">
        <v>13</v>
      </c>
      <c r="F152" s="1">
        <v>32</v>
      </c>
      <c r="G152" s="1">
        <v>15</v>
      </c>
      <c r="H152" s="1">
        <v>5.16</v>
      </c>
      <c r="K152" s="1">
        <v>30.8</v>
      </c>
      <c r="L152" s="1">
        <f>VLOOKUP($B152,covariates!$B$2:$H$125,5)</f>
        <v>25</v>
      </c>
      <c r="M152" s="1">
        <f>VLOOKUP($B152,covariates!$B$2:$H$125,6)</f>
        <v>9</v>
      </c>
      <c r="N152" s="1">
        <v>24</v>
      </c>
    </row>
    <row r="153" spans="1:14" x14ac:dyDescent="0.4">
      <c r="A153" s="1">
        <v>23</v>
      </c>
      <c r="B153" t="s">
        <v>70</v>
      </c>
      <c r="C153" s="1" t="s">
        <v>14</v>
      </c>
      <c r="D153" s="1" t="s">
        <v>78</v>
      </c>
      <c r="E153" s="1" t="s">
        <v>13</v>
      </c>
      <c r="F153" s="1">
        <v>34</v>
      </c>
      <c r="G153" s="1">
        <v>14</v>
      </c>
      <c r="H153" s="1">
        <v>4.2300000000000004</v>
      </c>
      <c r="K153" s="1">
        <v>30.8</v>
      </c>
      <c r="L153" s="1">
        <f>VLOOKUP($B153,covariates!$B$2:$H$125,5)</f>
        <v>25</v>
      </c>
      <c r="M153" s="1">
        <f>VLOOKUP($B153,covariates!$B$2:$H$125,6)</f>
        <v>9</v>
      </c>
      <c r="N153" s="1">
        <v>24</v>
      </c>
    </row>
    <row r="154" spans="1:14" x14ac:dyDescent="0.4">
      <c r="A154" s="1">
        <v>26</v>
      </c>
      <c r="B154" t="s">
        <v>36</v>
      </c>
      <c r="C154" s="1" t="s">
        <v>11</v>
      </c>
      <c r="D154" s="1" t="s">
        <v>78</v>
      </c>
      <c r="E154" s="1" t="s">
        <v>13</v>
      </c>
      <c r="F154" s="1">
        <v>27</v>
      </c>
      <c r="G154" s="1">
        <v>1</v>
      </c>
      <c r="H154" s="1">
        <v>0.3</v>
      </c>
      <c r="K154" s="1">
        <v>26.3</v>
      </c>
      <c r="L154" s="1">
        <f>VLOOKUP($B154,covariates!$B$2:$H$125,5)</f>
        <v>24</v>
      </c>
      <c r="M154" s="1">
        <f>VLOOKUP($B154,covariates!$B$2:$H$125,6)</f>
        <v>10</v>
      </c>
      <c r="N154" s="1">
        <v>36</v>
      </c>
    </row>
    <row r="155" spans="1:14" x14ac:dyDescent="0.4">
      <c r="A155" s="1">
        <v>26</v>
      </c>
      <c r="B155" t="s">
        <v>36</v>
      </c>
      <c r="C155" s="1" t="s">
        <v>14</v>
      </c>
      <c r="D155" s="1" t="s">
        <v>78</v>
      </c>
      <c r="E155" s="1" t="s">
        <v>13</v>
      </c>
      <c r="F155" s="1">
        <v>21</v>
      </c>
      <c r="G155" s="1">
        <v>0</v>
      </c>
      <c r="H155" s="1">
        <v>0.11</v>
      </c>
      <c r="K155" s="1">
        <v>26.3</v>
      </c>
      <c r="L155" s="1">
        <f>VLOOKUP($B155,covariates!$B$2:$H$125,5)</f>
        <v>24</v>
      </c>
      <c r="M155" s="1">
        <f>VLOOKUP($B155,covariates!$B$2:$H$125,6)</f>
        <v>10</v>
      </c>
      <c r="N155" s="1">
        <v>36</v>
      </c>
    </row>
    <row r="156" spans="1:14" x14ac:dyDescent="0.4">
      <c r="A156" s="1">
        <v>30</v>
      </c>
      <c r="B156" t="s">
        <v>72</v>
      </c>
      <c r="C156" s="1" t="s">
        <v>11</v>
      </c>
      <c r="D156" s="1" t="s">
        <v>78</v>
      </c>
      <c r="E156" s="1" t="s">
        <v>13</v>
      </c>
      <c r="F156" s="1">
        <v>41</v>
      </c>
      <c r="G156" s="1">
        <v>1</v>
      </c>
      <c r="H156" s="1">
        <v>0.24</v>
      </c>
      <c r="K156" s="1">
        <v>27</v>
      </c>
      <c r="N156" s="1">
        <v>84</v>
      </c>
    </row>
    <row r="157" spans="1:14" x14ac:dyDescent="0.4">
      <c r="A157" s="1">
        <v>30</v>
      </c>
      <c r="B157" t="s">
        <v>72</v>
      </c>
      <c r="C157" s="1" t="s">
        <v>14</v>
      </c>
      <c r="D157" s="1" t="s">
        <v>78</v>
      </c>
      <c r="E157" s="1" t="s">
        <v>13</v>
      </c>
      <c r="F157" s="1">
        <v>36</v>
      </c>
      <c r="G157" s="1">
        <v>1</v>
      </c>
      <c r="H157" s="1">
        <v>0.26</v>
      </c>
      <c r="K157" s="1">
        <v>27</v>
      </c>
      <c r="N157" s="1">
        <v>84</v>
      </c>
    </row>
    <row r="158" spans="1:14" x14ac:dyDescent="0.4">
      <c r="A158" s="1">
        <v>32</v>
      </c>
      <c r="B158" t="s">
        <v>51</v>
      </c>
      <c r="C158" s="1" t="s">
        <v>11</v>
      </c>
      <c r="D158" s="1" t="s">
        <v>78</v>
      </c>
      <c r="E158" s="1" t="s">
        <v>13</v>
      </c>
      <c r="F158" s="1">
        <v>31</v>
      </c>
      <c r="G158" s="1">
        <v>2</v>
      </c>
      <c r="H158" s="1">
        <v>0.48</v>
      </c>
      <c r="K158" s="1">
        <v>24.6</v>
      </c>
      <c r="L158" s="1">
        <f>VLOOKUP($B158,covariates!$B$2:$H$125,5)</f>
        <v>19</v>
      </c>
      <c r="M158" s="1">
        <f>VLOOKUP($B158,covariates!$B$2:$H$125,6)</f>
        <v>12</v>
      </c>
      <c r="N158" s="1">
        <v>24</v>
      </c>
    </row>
    <row r="159" spans="1:14" x14ac:dyDescent="0.4">
      <c r="A159" s="1">
        <v>32</v>
      </c>
      <c r="B159" t="s">
        <v>51</v>
      </c>
      <c r="C159" s="1" t="s">
        <v>14</v>
      </c>
      <c r="D159" s="1" t="s">
        <v>78</v>
      </c>
      <c r="E159" s="1" t="s">
        <v>13</v>
      </c>
      <c r="F159" s="1">
        <v>31</v>
      </c>
      <c r="G159" s="1">
        <v>3</v>
      </c>
      <c r="H159" s="1">
        <v>0.7</v>
      </c>
      <c r="K159" s="1">
        <v>24.6</v>
      </c>
      <c r="L159" s="1">
        <f>VLOOKUP($B159,covariates!$B$2:$H$125,5)</f>
        <v>19</v>
      </c>
      <c r="M159" s="1">
        <f>VLOOKUP($B159,covariates!$B$2:$H$125,6)</f>
        <v>12</v>
      </c>
      <c r="N159" s="1">
        <v>24</v>
      </c>
    </row>
    <row r="160" spans="1:14" x14ac:dyDescent="0.4">
      <c r="A160" s="1">
        <v>33</v>
      </c>
      <c r="B160" t="s">
        <v>37</v>
      </c>
      <c r="C160" s="1" t="s">
        <v>11</v>
      </c>
      <c r="D160" s="1" t="s">
        <v>78</v>
      </c>
      <c r="E160" s="1" t="s">
        <v>13</v>
      </c>
      <c r="F160" s="1">
        <v>37</v>
      </c>
      <c r="G160" s="1">
        <v>0</v>
      </c>
      <c r="H160" s="1">
        <v>0.08</v>
      </c>
      <c r="K160" s="1" t="s">
        <v>94</v>
      </c>
      <c r="N160" s="1">
        <v>60.6</v>
      </c>
    </row>
    <row r="161" spans="1:14" x14ac:dyDescent="0.4">
      <c r="A161" s="1">
        <v>33</v>
      </c>
      <c r="B161" t="s">
        <v>37</v>
      </c>
      <c r="C161" s="1" t="s">
        <v>14</v>
      </c>
      <c r="D161" s="1" t="s">
        <v>78</v>
      </c>
      <c r="E161" s="1" t="s">
        <v>13</v>
      </c>
      <c r="F161" s="1">
        <v>37</v>
      </c>
      <c r="G161" s="1">
        <v>1</v>
      </c>
      <c r="H161" s="1">
        <v>0.25</v>
      </c>
      <c r="K161" s="1" t="s">
        <v>94</v>
      </c>
      <c r="N161" s="1">
        <v>60.6</v>
      </c>
    </row>
    <row r="162" spans="1:14" x14ac:dyDescent="0.4">
      <c r="A162" s="1">
        <v>37</v>
      </c>
      <c r="B162" t="s">
        <v>75</v>
      </c>
      <c r="C162" s="1" t="s">
        <v>11</v>
      </c>
      <c r="D162" s="1" t="s">
        <v>78</v>
      </c>
      <c r="E162" s="1" t="s">
        <v>13</v>
      </c>
      <c r="F162" s="1">
        <v>40</v>
      </c>
      <c r="G162" s="1">
        <v>5</v>
      </c>
      <c r="H162" s="1">
        <v>0.99</v>
      </c>
      <c r="K162" s="1">
        <v>22.3</v>
      </c>
      <c r="L162" s="1">
        <f>VLOOKUP($B162,covariates!$B$2:$H$125,5)</f>
        <v>46</v>
      </c>
      <c r="M162" s="1">
        <f>VLOOKUP($B162,covariates!$B$2:$H$125,6)</f>
        <v>0</v>
      </c>
      <c r="N162" s="1">
        <v>81</v>
      </c>
    </row>
    <row r="163" spans="1:14" x14ac:dyDescent="0.4">
      <c r="A163" s="1">
        <v>37</v>
      </c>
      <c r="B163" t="s">
        <v>75</v>
      </c>
      <c r="C163" s="1" t="s">
        <v>14</v>
      </c>
      <c r="D163" s="1" t="s">
        <v>78</v>
      </c>
      <c r="E163" s="1" t="s">
        <v>13</v>
      </c>
      <c r="F163" s="1">
        <v>46</v>
      </c>
      <c r="G163" s="1">
        <v>7</v>
      </c>
      <c r="H163" s="1">
        <v>1.3</v>
      </c>
      <c r="K163" s="1">
        <v>22.3</v>
      </c>
      <c r="L163" s="1">
        <f>VLOOKUP($B163,covariates!$B$2:$H$125,5)</f>
        <v>46</v>
      </c>
      <c r="M163" s="1">
        <f>VLOOKUP($B163,covariates!$B$2:$H$125,6)</f>
        <v>0</v>
      </c>
      <c r="N163" s="1">
        <v>81</v>
      </c>
    </row>
    <row r="164" spans="1:14" x14ac:dyDescent="0.4">
      <c r="A164" s="1">
        <v>41</v>
      </c>
      <c r="B164" t="s">
        <v>76</v>
      </c>
      <c r="C164" s="1" t="s">
        <v>11</v>
      </c>
      <c r="D164" s="1" t="s">
        <v>78</v>
      </c>
      <c r="E164" s="1" t="s">
        <v>13</v>
      </c>
      <c r="F164" s="1">
        <v>43</v>
      </c>
      <c r="G164" s="1">
        <v>8</v>
      </c>
      <c r="H164" s="1">
        <v>1.59</v>
      </c>
      <c r="K164" s="1" t="s">
        <v>94</v>
      </c>
      <c r="N164" s="1">
        <v>24</v>
      </c>
    </row>
    <row r="165" spans="1:14" x14ac:dyDescent="0.4">
      <c r="A165" s="1">
        <v>41</v>
      </c>
      <c r="B165" t="s">
        <v>76</v>
      </c>
      <c r="C165" s="1" t="s">
        <v>14</v>
      </c>
      <c r="D165" s="1" t="s">
        <v>78</v>
      </c>
      <c r="E165" s="1" t="s">
        <v>13</v>
      </c>
      <c r="F165" s="1">
        <v>46</v>
      </c>
      <c r="G165" s="1">
        <v>8</v>
      </c>
      <c r="H165" s="1">
        <v>1.52</v>
      </c>
      <c r="K165" s="1" t="s">
        <v>94</v>
      </c>
      <c r="N165" s="1">
        <v>24</v>
      </c>
    </row>
    <row r="166" spans="1:14" x14ac:dyDescent="0.4">
      <c r="A166" s="1">
        <v>45</v>
      </c>
      <c r="B166" t="s">
        <v>39</v>
      </c>
      <c r="C166" s="1" t="s">
        <v>11</v>
      </c>
      <c r="D166" s="1" t="s">
        <v>78</v>
      </c>
      <c r="E166" s="1" t="s">
        <v>13</v>
      </c>
      <c r="F166" s="1">
        <v>24</v>
      </c>
      <c r="G166" s="1">
        <v>8</v>
      </c>
      <c r="H166" s="1">
        <v>2.6</v>
      </c>
      <c r="K166" s="1">
        <v>29.8</v>
      </c>
      <c r="L166" s="1">
        <f>VLOOKUP($B166,covariates!$B$2:$H$125,5)</f>
        <v>23</v>
      </c>
      <c r="M166" s="1">
        <f>VLOOKUP($B166,covariates!$B$2:$H$125,6)</f>
        <v>8</v>
      </c>
      <c r="N166" s="1">
        <v>120</v>
      </c>
    </row>
    <row r="167" spans="1:14" x14ac:dyDescent="0.4">
      <c r="A167" s="1">
        <v>45</v>
      </c>
      <c r="B167" t="s">
        <v>39</v>
      </c>
      <c r="C167" s="1" t="s">
        <v>14</v>
      </c>
      <c r="D167" s="1" t="s">
        <v>78</v>
      </c>
      <c r="E167" s="1" t="s">
        <v>13</v>
      </c>
      <c r="F167" s="1">
        <v>23</v>
      </c>
      <c r="G167" s="1">
        <v>11</v>
      </c>
      <c r="H167" s="1">
        <v>4.5999999999999996</v>
      </c>
      <c r="K167" s="1">
        <v>29.8</v>
      </c>
      <c r="L167" s="1">
        <f>VLOOKUP($B167,covariates!$B$2:$H$125,5)</f>
        <v>23</v>
      </c>
      <c r="M167" s="1">
        <f>VLOOKUP($B167,covariates!$B$2:$H$125,6)</f>
        <v>8</v>
      </c>
      <c r="N167" s="1">
        <v>120</v>
      </c>
    </row>
    <row r="168" spans="1:14" x14ac:dyDescent="0.4">
      <c r="A168" s="1">
        <v>51</v>
      </c>
      <c r="B168" t="s">
        <v>55</v>
      </c>
      <c r="C168" s="1" t="s">
        <v>14</v>
      </c>
      <c r="D168" s="1" t="s">
        <v>78</v>
      </c>
      <c r="E168" s="1" t="s">
        <v>13</v>
      </c>
      <c r="F168" s="1">
        <v>32</v>
      </c>
      <c r="G168" s="1">
        <v>6</v>
      </c>
      <c r="H168" s="1">
        <v>1.41</v>
      </c>
      <c r="K168" s="1">
        <v>30.5</v>
      </c>
      <c r="L168" s="1">
        <f>VLOOKUP($B168,covariates!$B$2:$H$125,5)</f>
        <v>15</v>
      </c>
      <c r="M168" s="1">
        <f>VLOOKUP($B168,covariates!$B$2:$H$125,6)</f>
        <v>17</v>
      </c>
      <c r="N168" s="1">
        <v>73.2</v>
      </c>
    </row>
    <row r="169" spans="1:14" x14ac:dyDescent="0.4">
      <c r="A169" s="1">
        <v>51</v>
      </c>
      <c r="B169" t="s">
        <v>55</v>
      </c>
      <c r="C169" s="1" t="s">
        <v>17</v>
      </c>
      <c r="D169" s="1" t="s">
        <v>78</v>
      </c>
      <c r="E169" s="1" t="s">
        <v>13</v>
      </c>
      <c r="F169" s="1">
        <v>32</v>
      </c>
      <c r="G169" s="1">
        <v>13</v>
      </c>
      <c r="H169" s="1">
        <v>4.0199999999999996</v>
      </c>
      <c r="K169" s="1">
        <v>30.5</v>
      </c>
      <c r="L169" s="1">
        <f>VLOOKUP($B169,covariates!$B$2:$H$125,5)</f>
        <v>15</v>
      </c>
      <c r="M169" s="1">
        <f>VLOOKUP($B169,covariates!$B$2:$H$125,6)</f>
        <v>17</v>
      </c>
      <c r="N169" s="1">
        <v>73.2</v>
      </c>
    </row>
    <row r="170" spans="1:14" x14ac:dyDescent="0.4">
      <c r="A170" s="1">
        <v>52</v>
      </c>
      <c r="B170" t="s">
        <v>42</v>
      </c>
      <c r="C170" s="1" t="s">
        <v>11</v>
      </c>
      <c r="D170" s="1" t="s">
        <v>78</v>
      </c>
      <c r="E170" s="1" t="s">
        <v>13</v>
      </c>
      <c r="F170" s="1">
        <v>30</v>
      </c>
      <c r="G170" s="1">
        <v>22</v>
      </c>
      <c r="H170" s="1">
        <v>15.4</v>
      </c>
      <c r="K170" s="1">
        <v>29</v>
      </c>
      <c r="L170" s="1">
        <f>VLOOKUP($B170,covariates!$B$2:$H$125,5)</f>
        <v>26</v>
      </c>
      <c r="M170" s="1">
        <f>VLOOKUP($B170,covariates!$B$2:$H$125,6)</f>
        <v>11</v>
      </c>
      <c r="N170" s="1">
        <v>87.1</v>
      </c>
    </row>
    <row r="171" spans="1:14" x14ac:dyDescent="0.4">
      <c r="A171" s="1">
        <v>52</v>
      </c>
      <c r="B171" t="s">
        <v>42</v>
      </c>
      <c r="C171" s="1" t="s">
        <v>14</v>
      </c>
      <c r="D171" s="1" t="s">
        <v>78</v>
      </c>
      <c r="E171" s="1" t="s">
        <v>13</v>
      </c>
      <c r="F171" s="1">
        <v>32</v>
      </c>
      <c r="G171" s="1">
        <v>25</v>
      </c>
      <c r="H171" s="1">
        <v>20.61</v>
      </c>
      <c r="K171" s="1">
        <v>29</v>
      </c>
      <c r="L171" s="1">
        <f>VLOOKUP($B171,covariates!$B$2:$H$125,5)</f>
        <v>26</v>
      </c>
      <c r="M171" s="1">
        <f>VLOOKUP($B171,covariates!$B$2:$H$125,6)</f>
        <v>11</v>
      </c>
      <c r="N171" s="1">
        <v>87.1</v>
      </c>
    </row>
    <row r="172" spans="1:14" x14ac:dyDescent="0.4">
      <c r="A172" s="1">
        <v>55</v>
      </c>
      <c r="B172" t="s">
        <v>57</v>
      </c>
      <c r="C172" s="1" t="s">
        <v>11</v>
      </c>
      <c r="D172" s="1" t="s">
        <v>78</v>
      </c>
      <c r="E172" s="1" t="s">
        <v>13</v>
      </c>
      <c r="F172" s="1">
        <v>14</v>
      </c>
      <c r="G172" s="1">
        <v>4</v>
      </c>
      <c r="H172" s="1">
        <v>1.68</v>
      </c>
      <c r="K172" s="1">
        <v>24.6</v>
      </c>
      <c r="L172" s="1">
        <f>VLOOKUP($B172,covariates!$B$2:$H$125,5)</f>
        <v>38</v>
      </c>
      <c r="M172" s="1">
        <f>VLOOKUP($B172,covariates!$B$2:$H$125,6)</f>
        <v>0</v>
      </c>
      <c r="N172" s="1">
        <v>12</v>
      </c>
    </row>
    <row r="173" spans="1:14" x14ac:dyDescent="0.4">
      <c r="A173" s="1">
        <v>55</v>
      </c>
      <c r="B173" t="s">
        <v>57</v>
      </c>
      <c r="C173" s="1" t="s">
        <v>14</v>
      </c>
      <c r="D173" s="1" t="s">
        <v>78</v>
      </c>
      <c r="E173" s="1" t="s">
        <v>13</v>
      </c>
      <c r="F173" s="1">
        <v>17</v>
      </c>
      <c r="G173" s="1">
        <v>3</v>
      </c>
      <c r="H173" s="1">
        <v>1.03</v>
      </c>
      <c r="K173" s="1">
        <v>24.6</v>
      </c>
      <c r="L173" s="1">
        <f>VLOOKUP($B173,covariates!$B$2:$H$125,5)</f>
        <v>38</v>
      </c>
      <c r="M173" s="1">
        <f>VLOOKUP($B173,covariates!$B$2:$H$125,6)</f>
        <v>0</v>
      </c>
      <c r="N173" s="1">
        <v>12</v>
      </c>
    </row>
    <row r="174" spans="1:14" x14ac:dyDescent="0.4">
      <c r="A174" s="1">
        <v>58</v>
      </c>
      <c r="B174" t="s">
        <v>59</v>
      </c>
      <c r="C174" s="1" t="s">
        <v>14</v>
      </c>
      <c r="D174" s="1" t="s">
        <v>78</v>
      </c>
      <c r="E174" s="1" t="s">
        <v>13</v>
      </c>
      <c r="F174" s="1">
        <v>25</v>
      </c>
      <c r="G174" s="1">
        <v>3</v>
      </c>
      <c r="H174" s="1">
        <v>0.8</v>
      </c>
      <c r="K174" s="1">
        <v>27.8</v>
      </c>
      <c r="L174" s="1">
        <f>VLOOKUP($B174,covariates!$B$2:$H$125,5)</f>
        <v>17</v>
      </c>
      <c r="M174" s="1">
        <f>VLOOKUP($B174,covariates!$B$2:$H$125,6)</f>
        <v>8</v>
      </c>
      <c r="N174" s="1">
        <v>6</v>
      </c>
    </row>
    <row r="175" spans="1:14" x14ac:dyDescent="0.4">
      <c r="A175" s="1">
        <v>58</v>
      </c>
      <c r="B175" t="s">
        <v>59</v>
      </c>
      <c r="C175" s="1" t="s">
        <v>16</v>
      </c>
      <c r="D175" s="1" t="s">
        <v>78</v>
      </c>
      <c r="E175" s="1" t="s">
        <v>13</v>
      </c>
      <c r="F175" s="1">
        <v>25</v>
      </c>
      <c r="G175" s="1">
        <v>2</v>
      </c>
      <c r="H175" s="1">
        <v>0.54</v>
      </c>
      <c r="K175" s="1">
        <v>27.8</v>
      </c>
      <c r="L175" s="1">
        <f>VLOOKUP($B175,covariates!$B$2:$H$125,5)</f>
        <v>17</v>
      </c>
      <c r="M175" s="1">
        <f>VLOOKUP($B175,covariates!$B$2:$H$125,6)</f>
        <v>8</v>
      </c>
      <c r="N175" s="1">
        <v>6</v>
      </c>
    </row>
    <row r="176" spans="1:14" x14ac:dyDescent="0.4">
      <c r="A176" s="1">
        <v>70</v>
      </c>
      <c r="B176" t="s">
        <v>23</v>
      </c>
      <c r="C176" s="1" t="s">
        <v>14</v>
      </c>
      <c r="D176" s="1" t="s">
        <v>78</v>
      </c>
      <c r="E176" s="1" t="s">
        <v>13</v>
      </c>
      <c r="F176" s="1">
        <v>33</v>
      </c>
      <c r="G176" s="1">
        <v>6</v>
      </c>
      <c r="H176" s="1">
        <v>1.38</v>
      </c>
      <c r="K176" s="1">
        <v>25.6</v>
      </c>
      <c r="L176" s="1">
        <f>VLOOKUP($B176,covariates!$B$2:$H$125,5)</f>
        <v>26</v>
      </c>
      <c r="M176" s="1">
        <f>VLOOKUP($B176,covariates!$B$2:$H$125,6)</f>
        <v>6</v>
      </c>
      <c r="N176" s="1">
        <v>31.6</v>
      </c>
    </row>
    <row r="177" spans="1:14" x14ac:dyDescent="0.4">
      <c r="A177" s="1">
        <v>70</v>
      </c>
      <c r="B177" t="s">
        <v>23</v>
      </c>
      <c r="C177" s="1" t="s">
        <v>24</v>
      </c>
      <c r="D177" s="1" t="s">
        <v>78</v>
      </c>
      <c r="E177" s="1" t="s">
        <v>13</v>
      </c>
      <c r="F177" s="1">
        <v>32</v>
      </c>
      <c r="G177" s="1">
        <v>11</v>
      </c>
      <c r="H177" s="1">
        <v>3.1</v>
      </c>
      <c r="K177" s="1">
        <v>25.6</v>
      </c>
      <c r="L177" s="1">
        <f>VLOOKUP($B177,covariates!$B$2:$H$125,5)</f>
        <v>26</v>
      </c>
      <c r="M177" s="1">
        <f>VLOOKUP($B177,covariates!$B$2:$H$125,6)</f>
        <v>6</v>
      </c>
      <c r="N177" s="1">
        <v>31.6</v>
      </c>
    </row>
    <row r="178" spans="1:14" x14ac:dyDescent="0.4">
      <c r="A178" s="1">
        <v>76</v>
      </c>
      <c r="B178" t="s">
        <v>25</v>
      </c>
      <c r="C178" s="1" t="s">
        <v>11</v>
      </c>
      <c r="D178" s="1" t="s">
        <v>78</v>
      </c>
      <c r="E178" s="1" t="s">
        <v>13</v>
      </c>
      <c r="F178" s="1">
        <v>53</v>
      </c>
      <c r="G178" s="1">
        <v>10</v>
      </c>
      <c r="H178" s="1">
        <v>1.78</v>
      </c>
      <c r="K178" s="1">
        <v>24</v>
      </c>
      <c r="L178" s="1">
        <f>VLOOKUP($B178,covariates!$B$2:$H$125,5)</f>
        <v>47</v>
      </c>
      <c r="M178" s="1">
        <f>VLOOKUP($B178,covariates!$B$2:$H$125,6)</f>
        <v>43</v>
      </c>
      <c r="N178" s="1">
        <v>120</v>
      </c>
    </row>
    <row r="179" spans="1:14" x14ac:dyDescent="0.4">
      <c r="A179" s="1">
        <v>76</v>
      </c>
      <c r="B179" t="s">
        <v>25</v>
      </c>
      <c r="C179" s="1" t="s">
        <v>14</v>
      </c>
      <c r="D179" s="1" t="s">
        <v>78</v>
      </c>
      <c r="E179" s="1" t="s">
        <v>13</v>
      </c>
      <c r="F179" s="1">
        <v>58</v>
      </c>
      <c r="G179" s="1">
        <v>12</v>
      </c>
      <c r="H179" s="1">
        <v>2.0699999999999998</v>
      </c>
      <c r="K179" s="1">
        <v>24</v>
      </c>
      <c r="L179" s="1">
        <f>VLOOKUP($B179,covariates!$B$2:$H$125,5)</f>
        <v>47</v>
      </c>
      <c r="M179" s="1">
        <f>VLOOKUP($B179,covariates!$B$2:$H$125,6)</f>
        <v>43</v>
      </c>
      <c r="N179" s="1">
        <v>120</v>
      </c>
    </row>
    <row r="180" spans="1:14" x14ac:dyDescent="0.4">
      <c r="A180" s="1">
        <v>77</v>
      </c>
      <c r="B180" t="s">
        <v>26</v>
      </c>
      <c r="C180" s="1" t="s">
        <v>11</v>
      </c>
      <c r="D180" s="1" t="s">
        <v>78</v>
      </c>
      <c r="E180" s="1" t="s">
        <v>13</v>
      </c>
      <c r="F180" s="1">
        <v>38</v>
      </c>
      <c r="G180" s="1">
        <v>0</v>
      </c>
      <c r="H180" s="1">
        <v>0.08</v>
      </c>
      <c r="K180" s="1">
        <v>27</v>
      </c>
      <c r="N180" s="1">
        <v>228</v>
      </c>
    </row>
    <row r="181" spans="1:14" x14ac:dyDescent="0.4">
      <c r="A181" s="1">
        <v>77</v>
      </c>
      <c r="B181" t="s">
        <v>26</v>
      </c>
      <c r="C181" s="1" t="s">
        <v>14</v>
      </c>
      <c r="D181" s="1" t="s">
        <v>78</v>
      </c>
      <c r="E181" s="1" t="s">
        <v>13</v>
      </c>
      <c r="F181" s="1">
        <v>33</v>
      </c>
      <c r="G181" s="1">
        <v>5</v>
      </c>
      <c r="H181" s="1">
        <v>1.1299999999999999</v>
      </c>
      <c r="K181" s="1">
        <v>27</v>
      </c>
      <c r="N181" s="1">
        <v>228</v>
      </c>
    </row>
    <row r="182" spans="1:14" x14ac:dyDescent="0.4">
      <c r="A182" s="1">
        <v>82</v>
      </c>
      <c r="B182" t="s">
        <v>43</v>
      </c>
      <c r="C182" s="1" t="s">
        <v>11</v>
      </c>
      <c r="D182" s="1" t="s">
        <v>78</v>
      </c>
      <c r="E182" s="1" t="s">
        <v>13</v>
      </c>
      <c r="F182" s="1">
        <v>24</v>
      </c>
      <c r="G182" s="1">
        <v>5</v>
      </c>
      <c r="H182" s="1">
        <v>1.42</v>
      </c>
      <c r="K182" s="1">
        <v>42.5</v>
      </c>
      <c r="L182" s="1">
        <f>VLOOKUP($B182,covariates!$B$2:$H$125,5)</f>
        <v>13</v>
      </c>
      <c r="M182" s="1">
        <f>VLOOKUP($B182,covariates!$B$2:$H$125,6)</f>
        <v>11</v>
      </c>
      <c r="N182" s="1">
        <v>204</v>
      </c>
    </row>
    <row r="183" spans="1:14" x14ac:dyDescent="0.4">
      <c r="A183" s="1">
        <v>82</v>
      </c>
      <c r="B183" t="s">
        <v>43</v>
      </c>
      <c r="C183" s="1" t="s">
        <v>14</v>
      </c>
      <c r="D183" s="1" t="s">
        <v>78</v>
      </c>
      <c r="E183" s="1" t="s">
        <v>13</v>
      </c>
      <c r="F183" s="1">
        <v>24</v>
      </c>
      <c r="G183" s="1">
        <v>5</v>
      </c>
      <c r="H183" s="1">
        <v>1.42</v>
      </c>
      <c r="K183" s="1">
        <v>42.5</v>
      </c>
      <c r="L183" s="1">
        <f>VLOOKUP($B183,covariates!$B$2:$H$125,5)</f>
        <v>13</v>
      </c>
      <c r="M183" s="1">
        <f>VLOOKUP($B183,covariates!$B$2:$H$125,6)</f>
        <v>11</v>
      </c>
      <c r="N183" s="1">
        <v>204</v>
      </c>
    </row>
    <row r="184" spans="1:14" x14ac:dyDescent="0.4">
      <c r="A184" s="1">
        <v>98</v>
      </c>
      <c r="B184" t="s">
        <v>77</v>
      </c>
      <c r="C184" s="1" t="s">
        <v>14</v>
      </c>
      <c r="D184" s="1" t="s">
        <v>78</v>
      </c>
      <c r="E184" s="1" t="s">
        <v>13</v>
      </c>
      <c r="F184" s="1">
        <v>68</v>
      </c>
      <c r="G184" s="1">
        <v>4</v>
      </c>
      <c r="H184" s="1">
        <v>0.57999999999999996</v>
      </c>
      <c r="K184" s="1">
        <v>24</v>
      </c>
      <c r="L184" s="1">
        <f>VLOOKUP($B184,covariates!$B$2:$H$125,5)</f>
        <v>59</v>
      </c>
      <c r="M184" s="1">
        <f>VLOOKUP($B184,covariates!$B$2:$H$125,6)</f>
        <v>5</v>
      </c>
      <c r="N184" s="1">
        <v>34.5</v>
      </c>
    </row>
    <row r="185" spans="1:14" x14ac:dyDescent="0.4">
      <c r="A185" s="1">
        <v>98</v>
      </c>
      <c r="B185" t="s">
        <v>77</v>
      </c>
      <c r="C185" s="1" t="s">
        <v>17</v>
      </c>
      <c r="D185" s="1" t="s">
        <v>78</v>
      </c>
      <c r="E185" s="1" t="s">
        <v>13</v>
      </c>
      <c r="F185" s="1">
        <v>64</v>
      </c>
      <c r="G185" s="1">
        <v>6</v>
      </c>
      <c r="H185" s="1">
        <v>0.9</v>
      </c>
      <c r="K185" s="1">
        <v>24</v>
      </c>
      <c r="L185" s="1">
        <f>VLOOKUP($B185,covariates!$B$2:$H$125,5)</f>
        <v>59</v>
      </c>
      <c r="M185" s="1">
        <f>VLOOKUP($B185,covariates!$B$2:$H$125,6)</f>
        <v>5</v>
      </c>
      <c r="N185" s="1">
        <v>34.5</v>
      </c>
    </row>
    <row r="186" spans="1:14" x14ac:dyDescent="0.4">
      <c r="A186" s="1">
        <v>3</v>
      </c>
      <c r="B186" t="s">
        <v>33</v>
      </c>
      <c r="C186" s="1" t="s">
        <v>11</v>
      </c>
      <c r="D186" s="1" t="s">
        <v>79</v>
      </c>
      <c r="E186" s="1" t="s">
        <v>38</v>
      </c>
      <c r="F186" s="1">
        <v>25</v>
      </c>
      <c r="G186" s="1">
        <v>80.7</v>
      </c>
      <c r="H186" s="1">
        <v>21.64</v>
      </c>
      <c r="K186" s="1">
        <v>28.6</v>
      </c>
      <c r="L186" s="1">
        <f>VLOOKUP($B186,covariates!$B$2:$H$125,5)</f>
        <v>18</v>
      </c>
      <c r="M186" s="1">
        <f>VLOOKUP($B186,covariates!$B$2:$H$125,6)</f>
        <v>7</v>
      </c>
      <c r="N186" s="1">
        <v>86.8</v>
      </c>
    </row>
    <row r="187" spans="1:14" x14ac:dyDescent="0.4">
      <c r="A187" s="1">
        <v>3</v>
      </c>
      <c r="B187" t="s">
        <v>33</v>
      </c>
      <c r="C187" s="1" t="s">
        <v>14</v>
      </c>
      <c r="D187" s="1" t="s">
        <v>79</v>
      </c>
      <c r="E187" s="1" t="s">
        <v>38</v>
      </c>
      <c r="F187" s="1">
        <v>22</v>
      </c>
      <c r="G187" s="1">
        <v>79.16</v>
      </c>
      <c r="H187" s="1">
        <v>13.35</v>
      </c>
      <c r="K187" s="1">
        <v>28.6</v>
      </c>
      <c r="L187" s="1">
        <f>VLOOKUP($B187,covariates!$B$2:$H$125,5)</f>
        <v>18</v>
      </c>
      <c r="M187" s="1">
        <f>VLOOKUP($B187,covariates!$B$2:$H$125,6)</f>
        <v>7</v>
      </c>
      <c r="N187" s="1">
        <v>86.8</v>
      </c>
    </row>
    <row r="188" spans="1:14" x14ac:dyDescent="0.4">
      <c r="A188" s="1">
        <v>9</v>
      </c>
      <c r="B188" t="s">
        <v>69</v>
      </c>
      <c r="C188" s="1" t="s">
        <v>11</v>
      </c>
      <c r="D188" s="1" t="s">
        <v>79</v>
      </c>
      <c r="E188" s="1" t="s">
        <v>38</v>
      </c>
      <c r="F188" s="1">
        <v>78</v>
      </c>
      <c r="G188" s="1">
        <v>85.82</v>
      </c>
      <c r="H188" s="1">
        <v>11.83</v>
      </c>
      <c r="K188" s="1">
        <v>35</v>
      </c>
      <c r="L188" s="1">
        <f>VLOOKUP($B188,covariates!$B$2:$H$125,5)</f>
        <v>51</v>
      </c>
      <c r="M188" s="1">
        <f>VLOOKUP($B188,covariates!$B$2:$H$125,6)</f>
        <v>24</v>
      </c>
      <c r="N188" s="1">
        <v>96</v>
      </c>
    </row>
    <row r="189" spans="1:14" x14ac:dyDescent="0.4">
      <c r="A189" s="1">
        <v>9</v>
      </c>
      <c r="B189" t="s">
        <v>69</v>
      </c>
      <c r="C189" s="1" t="s">
        <v>14</v>
      </c>
      <c r="D189" s="1" t="s">
        <v>79</v>
      </c>
      <c r="E189" s="1" t="s">
        <v>38</v>
      </c>
      <c r="F189" s="1">
        <v>75</v>
      </c>
      <c r="G189" s="1">
        <v>86.42</v>
      </c>
      <c r="H189" s="1">
        <v>12.53</v>
      </c>
      <c r="K189" s="1">
        <v>35</v>
      </c>
      <c r="L189" s="1">
        <f>VLOOKUP($B189,covariates!$B$2:$H$125,5)</f>
        <v>51</v>
      </c>
      <c r="M189" s="1">
        <f>VLOOKUP($B189,covariates!$B$2:$H$125,6)</f>
        <v>24</v>
      </c>
      <c r="N189" s="1">
        <v>96</v>
      </c>
    </row>
    <row r="190" spans="1:14" x14ac:dyDescent="0.4">
      <c r="A190" s="1">
        <v>10</v>
      </c>
      <c r="B190" t="s">
        <v>45</v>
      </c>
      <c r="C190" s="1" t="s">
        <v>11</v>
      </c>
      <c r="D190" s="1" t="s">
        <v>79</v>
      </c>
      <c r="E190" s="1" t="s">
        <v>38</v>
      </c>
      <c r="F190" s="1">
        <v>43</v>
      </c>
      <c r="G190" s="1">
        <v>95.2</v>
      </c>
      <c r="H190" s="1">
        <v>6.6</v>
      </c>
      <c r="K190" s="1">
        <v>30.5</v>
      </c>
      <c r="L190" s="1">
        <f>VLOOKUP($B190,covariates!$B$2:$H$125,5)</f>
        <v>17</v>
      </c>
      <c r="M190" s="1">
        <f>VLOOKUP($B190,covariates!$B$2:$H$125,6)</f>
        <v>13</v>
      </c>
      <c r="N190" s="1">
        <v>123.6</v>
      </c>
    </row>
    <row r="191" spans="1:14" x14ac:dyDescent="0.4">
      <c r="A191" s="1">
        <v>10</v>
      </c>
      <c r="B191" t="s">
        <v>45</v>
      </c>
      <c r="C191" s="1" t="s">
        <v>32</v>
      </c>
      <c r="D191" s="1" t="s">
        <v>79</v>
      </c>
      <c r="E191" s="1" t="s">
        <v>38</v>
      </c>
      <c r="F191" s="1">
        <v>43</v>
      </c>
      <c r="G191" s="1">
        <v>95.6</v>
      </c>
      <c r="H191" s="1">
        <v>7.8</v>
      </c>
      <c r="K191" s="1">
        <v>30.5</v>
      </c>
      <c r="L191" s="1">
        <f>VLOOKUP($B191,covariates!$B$2:$H$125,5)</f>
        <v>17</v>
      </c>
      <c r="M191" s="1">
        <f>VLOOKUP($B191,covariates!$B$2:$H$125,6)</f>
        <v>13</v>
      </c>
      <c r="N191" s="1">
        <v>123.6</v>
      </c>
    </row>
    <row r="192" spans="1:14" x14ac:dyDescent="0.4">
      <c r="A192" s="1">
        <v>13</v>
      </c>
      <c r="B192" t="s">
        <v>47</v>
      </c>
      <c r="C192" s="1" t="s">
        <v>11</v>
      </c>
      <c r="D192" s="1" t="s">
        <v>79</v>
      </c>
      <c r="E192" s="1" t="s">
        <v>38</v>
      </c>
      <c r="F192" s="1">
        <v>61</v>
      </c>
      <c r="G192" s="1">
        <v>79.400000000000006</v>
      </c>
      <c r="H192" s="1">
        <v>16.899999999999999</v>
      </c>
      <c r="K192" s="1">
        <v>26.8</v>
      </c>
      <c r="L192" s="1">
        <f>VLOOKUP($B192,covariates!$B$2:$H$125,5)</f>
        <v>53</v>
      </c>
      <c r="M192" s="1">
        <f>VLOOKUP($B192,covariates!$B$2:$H$125,6)</f>
        <v>33</v>
      </c>
      <c r="N192" s="1">
        <v>191.9</v>
      </c>
    </row>
    <row r="193" spans="1:14" x14ac:dyDescent="0.4">
      <c r="A193" s="1">
        <v>13</v>
      </c>
      <c r="B193" t="s">
        <v>47</v>
      </c>
      <c r="C193" s="1" t="s">
        <v>14</v>
      </c>
      <c r="D193" s="1" t="s">
        <v>79</v>
      </c>
      <c r="E193" s="1" t="s">
        <v>38</v>
      </c>
      <c r="F193" s="1">
        <v>86</v>
      </c>
      <c r="G193" s="1">
        <v>80.7</v>
      </c>
      <c r="H193" s="1">
        <v>15.3</v>
      </c>
      <c r="K193" s="1">
        <v>26.8</v>
      </c>
      <c r="L193" s="1">
        <f>VLOOKUP($B193,covariates!$B$2:$H$125,5)</f>
        <v>53</v>
      </c>
      <c r="M193" s="1">
        <f>VLOOKUP($B193,covariates!$B$2:$H$125,6)</f>
        <v>33</v>
      </c>
      <c r="N193" s="1">
        <v>191.9</v>
      </c>
    </row>
    <row r="194" spans="1:14" x14ac:dyDescent="0.4">
      <c r="A194" s="1">
        <v>18</v>
      </c>
      <c r="B194" t="s">
        <v>49</v>
      </c>
      <c r="C194" s="1" t="s">
        <v>14</v>
      </c>
      <c r="D194" s="1" t="s">
        <v>79</v>
      </c>
      <c r="E194" s="1" t="s">
        <v>38</v>
      </c>
      <c r="F194" s="1">
        <v>30</v>
      </c>
      <c r="G194" s="1">
        <v>95.1</v>
      </c>
      <c r="H194" s="1">
        <v>5.2</v>
      </c>
      <c r="K194" s="1">
        <v>27.7</v>
      </c>
      <c r="L194" s="1">
        <f>VLOOKUP($B194,covariates!$B$2:$H$125,5)</f>
        <v>30</v>
      </c>
      <c r="M194" s="1">
        <f>VLOOKUP($B194,covariates!$B$2:$H$125,6)</f>
        <v>0</v>
      </c>
      <c r="N194" s="1">
        <v>60</v>
      </c>
    </row>
    <row r="195" spans="1:14" x14ac:dyDescent="0.4">
      <c r="A195" s="1">
        <v>18</v>
      </c>
      <c r="B195" t="s">
        <v>49</v>
      </c>
      <c r="C195" s="1" t="s">
        <v>16</v>
      </c>
      <c r="D195" s="1" t="s">
        <v>79</v>
      </c>
      <c r="E195" s="1" t="s">
        <v>38</v>
      </c>
      <c r="F195" s="1">
        <v>30</v>
      </c>
      <c r="G195" s="1">
        <v>94.5</v>
      </c>
      <c r="H195" s="1">
        <v>6.4</v>
      </c>
      <c r="K195" s="1">
        <v>27.7</v>
      </c>
      <c r="L195" s="1">
        <f>VLOOKUP($B195,covariates!$B$2:$H$125,5)</f>
        <v>30</v>
      </c>
      <c r="M195" s="1">
        <f>VLOOKUP($B195,covariates!$B$2:$H$125,6)</f>
        <v>0</v>
      </c>
      <c r="N195" s="1">
        <v>60</v>
      </c>
    </row>
    <row r="196" spans="1:14" x14ac:dyDescent="0.4">
      <c r="A196" s="1">
        <v>19</v>
      </c>
      <c r="B196" t="s">
        <v>50</v>
      </c>
      <c r="C196" s="1" t="s">
        <v>14</v>
      </c>
      <c r="D196" s="1" t="s">
        <v>79</v>
      </c>
      <c r="E196" s="1" t="s">
        <v>38</v>
      </c>
      <c r="F196" s="1">
        <v>92</v>
      </c>
      <c r="G196" s="1">
        <v>94</v>
      </c>
      <c r="H196" s="1">
        <v>7</v>
      </c>
      <c r="K196" s="1">
        <v>28.1</v>
      </c>
      <c r="L196" s="1">
        <f>VLOOKUP($B196,covariates!$B$2:$H$125,5)</f>
        <v>28</v>
      </c>
      <c r="M196" s="1">
        <f>VLOOKUP($B196,covariates!$B$2:$H$125,6)</f>
        <v>29</v>
      </c>
      <c r="N196" s="1">
        <v>24</v>
      </c>
    </row>
    <row r="197" spans="1:14" x14ac:dyDescent="0.4">
      <c r="A197" s="1">
        <v>19</v>
      </c>
      <c r="B197" t="s">
        <v>50</v>
      </c>
      <c r="C197" s="1" t="s">
        <v>32</v>
      </c>
      <c r="D197" s="1" t="s">
        <v>79</v>
      </c>
      <c r="E197" s="1" t="s">
        <v>38</v>
      </c>
      <c r="F197" s="1">
        <v>89</v>
      </c>
      <c r="G197" s="1">
        <v>93</v>
      </c>
      <c r="H197" s="1">
        <v>8</v>
      </c>
      <c r="K197" s="1">
        <v>28.1</v>
      </c>
      <c r="L197" s="1">
        <f>VLOOKUP($B197,covariates!$B$2:$H$125,5)</f>
        <v>28</v>
      </c>
      <c r="M197" s="1">
        <f>VLOOKUP($B197,covariates!$B$2:$H$125,6)</f>
        <v>29</v>
      </c>
      <c r="N197" s="1">
        <v>24</v>
      </c>
    </row>
    <row r="198" spans="1:14" x14ac:dyDescent="0.4">
      <c r="A198" s="1">
        <v>23</v>
      </c>
      <c r="B198" t="s">
        <v>70</v>
      </c>
      <c r="C198" s="1" t="s">
        <v>11</v>
      </c>
      <c r="D198" s="1" t="s">
        <v>79</v>
      </c>
      <c r="E198" s="1" t="s">
        <v>38</v>
      </c>
      <c r="F198" s="1">
        <v>32</v>
      </c>
      <c r="G198" s="1">
        <v>89.96</v>
      </c>
      <c r="H198" s="1">
        <v>13.06</v>
      </c>
      <c r="K198" s="1">
        <v>30.8</v>
      </c>
      <c r="L198" s="1">
        <f>VLOOKUP($B198,covariates!$B$2:$H$125,5)</f>
        <v>25</v>
      </c>
      <c r="M198" s="1">
        <f>VLOOKUP($B198,covariates!$B$2:$H$125,6)</f>
        <v>9</v>
      </c>
      <c r="N198" s="1">
        <v>24</v>
      </c>
    </row>
    <row r="199" spans="1:14" x14ac:dyDescent="0.4">
      <c r="A199" s="1">
        <v>23</v>
      </c>
      <c r="B199" t="s">
        <v>70</v>
      </c>
      <c r="C199" s="1" t="s">
        <v>14</v>
      </c>
      <c r="D199" s="1" t="s">
        <v>79</v>
      </c>
      <c r="E199" s="1" t="s">
        <v>38</v>
      </c>
      <c r="F199" s="1">
        <v>34</v>
      </c>
      <c r="G199" s="1">
        <v>86.79</v>
      </c>
      <c r="H199" s="1">
        <v>11.72</v>
      </c>
      <c r="K199" s="1">
        <v>30.8</v>
      </c>
      <c r="L199" s="1">
        <f>VLOOKUP($B199,covariates!$B$2:$H$125,5)</f>
        <v>25</v>
      </c>
      <c r="M199" s="1">
        <f>VLOOKUP($B199,covariates!$B$2:$H$125,6)</f>
        <v>9</v>
      </c>
      <c r="N199" s="1">
        <v>24</v>
      </c>
    </row>
    <row r="200" spans="1:14" x14ac:dyDescent="0.4">
      <c r="A200" s="1">
        <v>32</v>
      </c>
      <c r="B200" t="s">
        <v>51</v>
      </c>
      <c r="C200" s="1" t="s">
        <v>11</v>
      </c>
      <c r="D200" s="1" t="s">
        <v>79</v>
      </c>
      <c r="E200" s="1" t="s">
        <v>38</v>
      </c>
      <c r="F200" s="1">
        <v>31</v>
      </c>
      <c r="G200" s="1">
        <v>89.87</v>
      </c>
      <c r="H200" s="1">
        <v>9.17</v>
      </c>
      <c r="K200" s="1">
        <v>24.6</v>
      </c>
      <c r="L200" s="1">
        <f>VLOOKUP($B200,covariates!$B$2:$H$125,5)</f>
        <v>19</v>
      </c>
      <c r="M200" s="1">
        <f>VLOOKUP($B200,covariates!$B$2:$H$125,6)</f>
        <v>12</v>
      </c>
      <c r="N200" s="1">
        <v>24</v>
      </c>
    </row>
    <row r="201" spans="1:14" x14ac:dyDescent="0.4">
      <c r="A201" s="1">
        <v>32</v>
      </c>
      <c r="B201" t="s">
        <v>51</v>
      </c>
      <c r="C201" s="1" t="s">
        <v>14</v>
      </c>
      <c r="D201" s="1" t="s">
        <v>79</v>
      </c>
      <c r="E201" s="1" t="s">
        <v>38</v>
      </c>
      <c r="F201" s="1">
        <v>31</v>
      </c>
      <c r="G201" s="1">
        <v>91.26</v>
      </c>
      <c r="H201" s="1">
        <v>9.36</v>
      </c>
      <c r="K201" s="1">
        <v>24.6</v>
      </c>
      <c r="L201" s="1">
        <f>VLOOKUP($B201,covariates!$B$2:$H$125,5)</f>
        <v>19</v>
      </c>
      <c r="M201" s="1">
        <f>VLOOKUP($B201,covariates!$B$2:$H$125,6)</f>
        <v>12</v>
      </c>
      <c r="N201" s="1">
        <v>24</v>
      </c>
    </row>
    <row r="202" spans="1:14" x14ac:dyDescent="0.4">
      <c r="A202" s="1">
        <v>33</v>
      </c>
      <c r="B202" t="s">
        <v>37</v>
      </c>
      <c r="C202" s="1" t="s">
        <v>11</v>
      </c>
      <c r="D202" s="1" t="s">
        <v>79</v>
      </c>
      <c r="E202" s="1" t="s">
        <v>38</v>
      </c>
      <c r="F202" s="1">
        <v>37</v>
      </c>
      <c r="G202" s="1">
        <v>89.11</v>
      </c>
      <c r="H202" s="1">
        <v>15.53</v>
      </c>
      <c r="K202" s="1" t="s">
        <v>94</v>
      </c>
      <c r="N202" s="1">
        <v>60.6</v>
      </c>
    </row>
    <row r="203" spans="1:14" x14ac:dyDescent="0.4">
      <c r="A203" s="1">
        <v>33</v>
      </c>
      <c r="B203" t="s">
        <v>37</v>
      </c>
      <c r="C203" s="1" t="s">
        <v>14</v>
      </c>
      <c r="D203" s="1" t="s">
        <v>79</v>
      </c>
      <c r="E203" s="1" t="s">
        <v>38</v>
      </c>
      <c r="F203" s="1">
        <v>37</v>
      </c>
      <c r="G203" s="1">
        <v>95</v>
      </c>
      <c r="H203" s="1">
        <v>15.53</v>
      </c>
      <c r="K203" s="1" t="s">
        <v>94</v>
      </c>
      <c r="N203" s="1">
        <v>60.6</v>
      </c>
    </row>
    <row r="204" spans="1:14" x14ac:dyDescent="0.4">
      <c r="A204" s="1">
        <v>35</v>
      </c>
      <c r="B204" t="s">
        <v>74</v>
      </c>
      <c r="C204" s="1" t="s">
        <v>11</v>
      </c>
      <c r="D204" s="1" t="s">
        <v>79</v>
      </c>
      <c r="E204" s="1" t="s">
        <v>38</v>
      </c>
      <c r="F204" s="1">
        <v>28</v>
      </c>
      <c r="G204" s="1">
        <v>84.2</v>
      </c>
      <c r="H204" s="1">
        <v>15.4</v>
      </c>
      <c r="K204" s="1">
        <v>37.9</v>
      </c>
      <c r="L204" s="1">
        <f>VLOOKUP($B204,covariates!$B$2:$H$125,5)</f>
        <v>15</v>
      </c>
      <c r="M204" s="1">
        <f>VLOOKUP($B204,covariates!$B$2:$H$125,6)</f>
        <v>14</v>
      </c>
      <c r="N204" s="1">
        <v>10.7</v>
      </c>
    </row>
    <row r="205" spans="1:14" x14ac:dyDescent="0.4">
      <c r="A205" s="1">
        <v>35</v>
      </c>
      <c r="B205" t="s">
        <v>74</v>
      </c>
      <c r="C205" s="1" t="s">
        <v>14</v>
      </c>
      <c r="D205" s="1" t="s">
        <v>79</v>
      </c>
      <c r="E205" s="1" t="s">
        <v>38</v>
      </c>
      <c r="F205" s="1">
        <v>29</v>
      </c>
      <c r="G205" s="1">
        <v>86.1</v>
      </c>
      <c r="H205" s="1">
        <v>15.1</v>
      </c>
      <c r="K205" s="1">
        <v>37.9</v>
      </c>
      <c r="L205" s="1">
        <f>VLOOKUP($B205,covariates!$B$2:$H$125,5)</f>
        <v>15</v>
      </c>
      <c r="M205" s="1">
        <f>VLOOKUP($B205,covariates!$B$2:$H$125,6)</f>
        <v>14</v>
      </c>
      <c r="N205" s="1">
        <v>10.7</v>
      </c>
    </row>
    <row r="206" spans="1:14" x14ac:dyDescent="0.4">
      <c r="A206" s="1">
        <v>36</v>
      </c>
      <c r="B206" t="s">
        <v>52</v>
      </c>
      <c r="C206" s="1" t="s">
        <v>14</v>
      </c>
      <c r="D206" s="1" t="s">
        <v>79</v>
      </c>
      <c r="E206" s="1" t="s">
        <v>38</v>
      </c>
      <c r="F206" s="1">
        <v>26</v>
      </c>
      <c r="G206" s="1">
        <v>83.5</v>
      </c>
      <c r="H206" s="1">
        <v>17.399999999999999</v>
      </c>
      <c r="K206" s="1">
        <v>24.1</v>
      </c>
      <c r="L206" s="1">
        <f>VLOOKUP($B206,covariates!$B$2:$H$125,5)</f>
        <v>21</v>
      </c>
      <c r="M206" s="1">
        <f>VLOOKUP($B206,covariates!$B$2:$H$125,6)</f>
        <v>3</v>
      </c>
      <c r="N206" s="1">
        <v>24</v>
      </c>
    </row>
    <row r="207" spans="1:14" x14ac:dyDescent="0.4">
      <c r="A207" s="1">
        <v>36</v>
      </c>
      <c r="B207" t="s">
        <v>52</v>
      </c>
      <c r="C207" s="1" t="s">
        <v>32</v>
      </c>
      <c r="D207" s="1" t="s">
        <v>79</v>
      </c>
      <c r="E207" s="1" t="s">
        <v>38</v>
      </c>
      <c r="F207" s="1">
        <v>23</v>
      </c>
      <c r="G207" s="1">
        <v>90.4</v>
      </c>
      <c r="H207" s="1">
        <v>11.9</v>
      </c>
      <c r="K207" s="1">
        <v>24.1</v>
      </c>
      <c r="L207" s="1">
        <f>VLOOKUP($B207,covariates!$B$2:$H$125,5)</f>
        <v>21</v>
      </c>
      <c r="M207" s="1">
        <f>VLOOKUP($B207,covariates!$B$2:$H$125,6)</f>
        <v>3</v>
      </c>
      <c r="N207" s="1">
        <v>24</v>
      </c>
    </row>
    <row r="208" spans="1:14" x14ac:dyDescent="0.4">
      <c r="A208" s="1">
        <v>37</v>
      </c>
      <c r="B208" t="s">
        <v>75</v>
      </c>
      <c r="C208" s="1" t="s">
        <v>11</v>
      </c>
      <c r="D208" s="1" t="s">
        <v>79</v>
      </c>
      <c r="E208" s="1" t="s">
        <v>38</v>
      </c>
      <c r="F208" s="1">
        <v>40</v>
      </c>
      <c r="G208" s="1">
        <v>91.6</v>
      </c>
      <c r="H208" s="1">
        <v>3.94</v>
      </c>
      <c r="K208" s="1">
        <v>22.3</v>
      </c>
      <c r="L208" s="1">
        <f>VLOOKUP($B208,covariates!$B$2:$H$125,5)</f>
        <v>46</v>
      </c>
      <c r="M208" s="1">
        <f>VLOOKUP($B208,covariates!$B$2:$H$125,6)</f>
        <v>0</v>
      </c>
      <c r="N208" s="1">
        <v>81</v>
      </c>
    </row>
    <row r="209" spans="1:14" x14ac:dyDescent="0.4">
      <c r="A209" s="1">
        <v>37</v>
      </c>
      <c r="B209" t="s">
        <v>75</v>
      </c>
      <c r="C209" s="1" t="s">
        <v>14</v>
      </c>
      <c r="D209" s="1" t="s">
        <v>79</v>
      </c>
      <c r="E209" s="1" t="s">
        <v>38</v>
      </c>
      <c r="F209" s="1">
        <v>46</v>
      </c>
      <c r="G209" s="1">
        <v>92.7</v>
      </c>
      <c r="H209" s="1">
        <v>3.62</v>
      </c>
      <c r="K209" s="1">
        <v>22.3</v>
      </c>
      <c r="L209" s="1">
        <f>VLOOKUP($B209,covariates!$B$2:$H$125,5)</f>
        <v>46</v>
      </c>
      <c r="M209" s="1">
        <f>VLOOKUP($B209,covariates!$B$2:$H$125,6)</f>
        <v>0</v>
      </c>
      <c r="N209" s="1">
        <v>81</v>
      </c>
    </row>
    <row r="210" spans="1:14" x14ac:dyDescent="0.4">
      <c r="A210" s="1">
        <v>38</v>
      </c>
      <c r="B210" t="s">
        <v>53</v>
      </c>
      <c r="C210" s="1" t="s">
        <v>11</v>
      </c>
      <c r="D210" s="1" t="s">
        <v>79</v>
      </c>
      <c r="E210" s="1" t="s">
        <v>38</v>
      </c>
      <c r="F210" s="1">
        <v>45</v>
      </c>
      <c r="G210" s="1">
        <v>95.8</v>
      </c>
      <c r="H210" s="1">
        <v>2.4</v>
      </c>
      <c r="K210" s="1">
        <v>26.7</v>
      </c>
      <c r="L210" s="1">
        <f>VLOOKUP($B210,covariates!$B$2:$H$125,5)</f>
        <v>10</v>
      </c>
      <c r="M210" s="1">
        <f>VLOOKUP($B210,covariates!$B$2:$H$125,6)</f>
        <v>0</v>
      </c>
      <c r="N210" s="1">
        <v>9</v>
      </c>
    </row>
    <row r="211" spans="1:14" x14ac:dyDescent="0.4">
      <c r="A211" s="1">
        <v>38</v>
      </c>
      <c r="B211" t="s">
        <v>53</v>
      </c>
      <c r="C211" s="1" t="s">
        <v>14</v>
      </c>
      <c r="D211" s="1" t="s">
        <v>79</v>
      </c>
      <c r="E211" s="1" t="s">
        <v>38</v>
      </c>
      <c r="F211" s="1">
        <v>45</v>
      </c>
      <c r="G211" s="1">
        <v>94</v>
      </c>
      <c r="H211" s="1">
        <v>3.6</v>
      </c>
      <c r="K211" s="1">
        <v>26.7</v>
      </c>
      <c r="L211" s="1">
        <f>VLOOKUP($B211,covariates!$B$2:$H$125,5)</f>
        <v>10</v>
      </c>
      <c r="M211" s="1">
        <f>VLOOKUP($B211,covariates!$B$2:$H$125,6)</f>
        <v>0</v>
      </c>
      <c r="N211" s="1">
        <v>9</v>
      </c>
    </row>
    <row r="212" spans="1:14" x14ac:dyDescent="0.4">
      <c r="A212" s="1">
        <v>43</v>
      </c>
      <c r="B212" t="s">
        <v>18</v>
      </c>
      <c r="C212" s="1" t="s">
        <v>11</v>
      </c>
      <c r="D212" s="1" t="s">
        <v>79</v>
      </c>
      <c r="E212" s="1" t="s">
        <v>38</v>
      </c>
      <c r="F212" s="1">
        <v>74</v>
      </c>
      <c r="G212" s="1">
        <v>88</v>
      </c>
      <c r="H212" s="1">
        <v>7.5</v>
      </c>
      <c r="K212" s="1">
        <v>26</v>
      </c>
      <c r="L212" s="1">
        <f>VLOOKUP($B212,covariates!$B$2:$H$125,5)</f>
        <v>0</v>
      </c>
      <c r="M212" s="1">
        <f>VLOOKUP($B212,covariates!$B$2:$H$125,6)</f>
        <v>73</v>
      </c>
      <c r="N212" s="1">
        <v>24</v>
      </c>
    </row>
    <row r="213" spans="1:14" x14ac:dyDescent="0.4">
      <c r="A213" s="1">
        <v>43</v>
      </c>
      <c r="B213" t="s">
        <v>18</v>
      </c>
      <c r="C213" s="1" t="s">
        <v>14</v>
      </c>
      <c r="D213" s="1" t="s">
        <v>79</v>
      </c>
      <c r="E213" s="1" t="s">
        <v>38</v>
      </c>
      <c r="F213" s="1">
        <v>73</v>
      </c>
      <c r="G213" s="1">
        <v>90</v>
      </c>
      <c r="H213" s="1">
        <v>7.6</v>
      </c>
      <c r="K213" s="1">
        <v>26</v>
      </c>
      <c r="L213" s="1">
        <f>VLOOKUP($B213,covariates!$B$2:$H$125,5)</f>
        <v>0</v>
      </c>
      <c r="M213" s="1">
        <f>VLOOKUP($B213,covariates!$B$2:$H$125,6)</f>
        <v>73</v>
      </c>
      <c r="N213" s="1">
        <v>24</v>
      </c>
    </row>
    <row r="214" spans="1:14" x14ac:dyDescent="0.4">
      <c r="A214" s="1">
        <v>44</v>
      </c>
      <c r="B214" t="s">
        <v>54</v>
      </c>
      <c r="C214" s="1" t="s">
        <v>11</v>
      </c>
      <c r="D214" s="1" t="s">
        <v>79</v>
      </c>
      <c r="E214" s="1" t="s">
        <v>38</v>
      </c>
      <c r="F214" s="1">
        <v>36</v>
      </c>
      <c r="G214" s="1">
        <v>93.4</v>
      </c>
      <c r="H214" s="1">
        <v>9.6</v>
      </c>
      <c r="K214" s="1">
        <v>29.8</v>
      </c>
      <c r="L214" s="1">
        <f>VLOOKUP($B214,covariates!$B$2:$H$125,5)</f>
        <v>21</v>
      </c>
      <c r="M214" s="1">
        <f>VLOOKUP($B214,covariates!$B$2:$H$125,6)</f>
        <v>19</v>
      </c>
      <c r="N214" s="1">
        <v>28</v>
      </c>
    </row>
    <row r="215" spans="1:14" x14ac:dyDescent="0.4">
      <c r="A215" s="1">
        <v>44</v>
      </c>
      <c r="B215" t="s">
        <v>54</v>
      </c>
      <c r="C215" s="1" t="s">
        <v>32</v>
      </c>
      <c r="D215" s="1" t="s">
        <v>79</v>
      </c>
      <c r="E215" s="1" t="s">
        <v>38</v>
      </c>
      <c r="F215" s="1">
        <v>36</v>
      </c>
      <c r="G215" s="1">
        <v>90.1</v>
      </c>
      <c r="H215" s="1">
        <v>6.7</v>
      </c>
      <c r="K215" s="1">
        <v>29.8</v>
      </c>
      <c r="L215" s="1">
        <f>VLOOKUP($B215,covariates!$B$2:$H$125,5)</f>
        <v>21</v>
      </c>
      <c r="M215" s="1">
        <f>VLOOKUP($B215,covariates!$B$2:$H$125,6)</f>
        <v>19</v>
      </c>
      <c r="N215" s="1">
        <v>28</v>
      </c>
    </row>
    <row r="216" spans="1:14" x14ac:dyDescent="0.4">
      <c r="A216" s="1">
        <v>45</v>
      </c>
      <c r="B216" t="s">
        <v>39</v>
      </c>
      <c r="C216" s="1" t="s">
        <v>11</v>
      </c>
      <c r="D216" s="1" t="s">
        <v>79</v>
      </c>
      <c r="E216" s="1" t="s">
        <v>38</v>
      </c>
      <c r="F216" s="1">
        <v>24</v>
      </c>
      <c r="G216" s="1">
        <v>92</v>
      </c>
      <c r="H216" s="1">
        <v>8.99</v>
      </c>
      <c r="K216" s="1">
        <v>29.8</v>
      </c>
      <c r="L216" s="1">
        <f>VLOOKUP($B216,covariates!$B$2:$H$125,5)</f>
        <v>23</v>
      </c>
      <c r="M216" s="1">
        <f>VLOOKUP($B216,covariates!$B$2:$H$125,6)</f>
        <v>8</v>
      </c>
      <c r="N216" s="1">
        <v>120</v>
      </c>
    </row>
    <row r="217" spans="1:14" x14ac:dyDescent="0.4">
      <c r="A217" s="1">
        <v>45</v>
      </c>
      <c r="B217" t="s">
        <v>39</v>
      </c>
      <c r="C217" s="1" t="s">
        <v>14</v>
      </c>
      <c r="D217" s="1" t="s">
        <v>79</v>
      </c>
      <c r="E217" s="1" t="s">
        <v>38</v>
      </c>
      <c r="F217" s="1">
        <v>23</v>
      </c>
      <c r="G217" s="1">
        <v>91.8</v>
      </c>
      <c r="H217" s="1">
        <v>9.33</v>
      </c>
      <c r="K217" s="1">
        <v>29.8</v>
      </c>
      <c r="L217" s="1">
        <f>VLOOKUP($B217,covariates!$B$2:$H$125,5)</f>
        <v>23</v>
      </c>
      <c r="M217" s="1">
        <f>VLOOKUP($B217,covariates!$B$2:$H$125,6)</f>
        <v>8</v>
      </c>
      <c r="N217" s="1">
        <v>120</v>
      </c>
    </row>
    <row r="218" spans="1:14" x14ac:dyDescent="0.4">
      <c r="A218" s="1">
        <v>49</v>
      </c>
      <c r="B218" t="s">
        <v>19</v>
      </c>
      <c r="C218" s="1" t="s">
        <v>11</v>
      </c>
      <c r="D218" s="1" t="s">
        <v>79</v>
      </c>
      <c r="E218" s="1" t="s">
        <v>38</v>
      </c>
      <c r="F218" s="1">
        <v>40</v>
      </c>
      <c r="G218" s="1">
        <v>94</v>
      </c>
      <c r="H218" s="1">
        <v>18.09</v>
      </c>
      <c r="K218" s="1">
        <v>25</v>
      </c>
      <c r="N218" s="1">
        <v>26</v>
      </c>
    </row>
    <row r="219" spans="1:14" x14ac:dyDescent="0.4">
      <c r="A219" s="1">
        <v>49</v>
      </c>
      <c r="B219" t="s">
        <v>19</v>
      </c>
      <c r="C219" s="1" t="s">
        <v>14</v>
      </c>
      <c r="D219" s="1" t="s">
        <v>79</v>
      </c>
      <c r="E219" s="1" t="s">
        <v>38</v>
      </c>
      <c r="F219" s="1">
        <v>78</v>
      </c>
      <c r="G219" s="1">
        <v>92</v>
      </c>
      <c r="H219" s="1">
        <v>13.4</v>
      </c>
      <c r="K219" s="1">
        <v>25</v>
      </c>
      <c r="N219" s="1">
        <v>26</v>
      </c>
    </row>
    <row r="220" spans="1:14" x14ac:dyDescent="0.4">
      <c r="A220" s="1">
        <v>51</v>
      </c>
      <c r="B220" t="s">
        <v>55</v>
      </c>
      <c r="C220" s="1" t="s">
        <v>14</v>
      </c>
      <c r="D220" s="1" t="s">
        <v>79</v>
      </c>
      <c r="E220" s="1" t="s">
        <v>38</v>
      </c>
      <c r="F220" s="1">
        <v>32</v>
      </c>
      <c r="G220" s="1">
        <v>91.3</v>
      </c>
      <c r="H220" s="1">
        <v>11.5</v>
      </c>
      <c r="K220" s="1">
        <v>30.5</v>
      </c>
      <c r="L220" s="1">
        <f>VLOOKUP($B220,covariates!$B$2:$H$125,5)</f>
        <v>15</v>
      </c>
      <c r="M220" s="1">
        <f>VLOOKUP($B220,covariates!$B$2:$H$125,6)</f>
        <v>17</v>
      </c>
      <c r="N220" s="1">
        <v>73.2</v>
      </c>
    </row>
    <row r="221" spans="1:14" x14ac:dyDescent="0.4">
      <c r="A221" s="1">
        <v>51</v>
      </c>
      <c r="B221" t="s">
        <v>55</v>
      </c>
      <c r="C221" s="1" t="s">
        <v>17</v>
      </c>
      <c r="D221" s="1" t="s">
        <v>79</v>
      </c>
      <c r="E221" s="1" t="s">
        <v>38</v>
      </c>
      <c r="F221" s="1">
        <v>32</v>
      </c>
      <c r="G221" s="1">
        <v>88.7</v>
      </c>
      <c r="H221" s="1">
        <v>8.6</v>
      </c>
      <c r="K221" s="1">
        <v>30.5</v>
      </c>
      <c r="L221" s="1">
        <f>VLOOKUP($B221,covariates!$B$2:$H$125,5)</f>
        <v>15</v>
      </c>
      <c r="M221" s="1">
        <f>VLOOKUP($B221,covariates!$B$2:$H$125,6)</f>
        <v>17</v>
      </c>
      <c r="N221" s="1">
        <v>73.2</v>
      </c>
    </row>
    <row r="222" spans="1:14" x14ac:dyDescent="0.4">
      <c r="A222" s="1">
        <v>52</v>
      </c>
      <c r="B222" t="s">
        <v>42</v>
      </c>
      <c r="C222" s="1" t="s">
        <v>11</v>
      </c>
      <c r="D222" s="1" t="s">
        <v>79</v>
      </c>
      <c r="E222" s="1" t="s">
        <v>38</v>
      </c>
      <c r="F222" s="1">
        <v>30</v>
      </c>
      <c r="G222" s="1">
        <v>81</v>
      </c>
      <c r="H222" s="1">
        <v>18.38</v>
      </c>
      <c r="K222" s="1">
        <v>29</v>
      </c>
      <c r="L222" s="1">
        <f>VLOOKUP($B222,covariates!$B$2:$H$125,5)</f>
        <v>26</v>
      </c>
      <c r="M222" s="1">
        <f>VLOOKUP($B222,covariates!$B$2:$H$125,6)</f>
        <v>11</v>
      </c>
      <c r="N222" s="1">
        <v>87.1</v>
      </c>
    </row>
    <row r="223" spans="1:14" x14ac:dyDescent="0.4">
      <c r="A223" s="1">
        <v>52</v>
      </c>
      <c r="B223" t="s">
        <v>42</v>
      </c>
      <c r="C223" s="1" t="s">
        <v>14</v>
      </c>
      <c r="D223" s="1" t="s">
        <v>79</v>
      </c>
      <c r="E223" s="1" t="s">
        <v>38</v>
      </c>
      <c r="F223" s="1">
        <v>32</v>
      </c>
      <c r="G223" s="1">
        <v>90</v>
      </c>
      <c r="H223" s="1">
        <v>12.1</v>
      </c>
      <c r="K223" s="1">
        <v>29</v>
      </c>
      <c r="L223" s="1">
        <f>VLOOKUP($B223,covariates!$B$2:$H$125,5)</f>
        <v>26</v>
      </c>
      <c r="M223" s="1">
        <f>VLOOKUP($B223,covariates!$B$2:$H$125,6)</f>
        <v>11</v>
      </c>
      <c r="N223" s="1">
        <v>87.1</v>
      </c>
    </row>
    <row r="224" spans="1:14" x14ac:dyDescent="0.4">
      <c r="A224" s="1">
        <v>54</v>
      </c>
      <c r="B224" t="s">
        <v>20</v>
      </c>
      <c r="C224" s="1" t="s">
        <v>11</v>
      </c>
      <c r="D224" s="1" t="s">
        <v>79</v>
      </c>
      <c r="E224" s="1" t="s">
        <v>38</v>
      </c>
      <c r="F224" s="1">
        <v>19</v>
      </c>
      <c r="G224" s="1">
        <v>84.8</v>
      </c>
      <c r="H224" s="1">
        <v>10.3</v>
      </c>
      <c r="K224" s="1">
        <v>54.5</v>
      </c>
      <c r="N224" s="1">
        <v>240</v>
      </c>
    </row>
    <row r="225" spans="1:14" x14ac:dyDescent="0.4">
      <c r="A225" s="1">
        <v>54</v>
      </c>
      <c r="B225" t="s">
        <v>20</v>
      </c>
      <c r="C225" s="1" t="s">
        <v>14</v>
      </c>
      <c r="D225" s="1" t="s">
        <v>79</v>
      </c>
      <c r="E225" s="1" t="s">
        <v>38</v>
      </c>
      <c r="F225" s="1">
        <v>20</v>
      </c>
      <c r="G225" s="1">
        <v>88.6</v>
      </c>
      <c r="H225" s="1">
        <v>8.3000000000000007</v>
      </c>
      <c r="K225" s="1">
        <v>54.5</v>
      </c>
      <c r="N225" s="1">
        <v>240</v>
      </c>
    </row>
    <row r="226" spans="1:14" x14ac:dyDescent="0.4">
      <c r="A226" s="1">
        <v>55</v>
      </c>
      <c r="B226" t="s">
        <v>57</v>
      </c>
      <c r="C226" s="1" t="s">
        <v>11</v>
      </c>
      <c r="D226" s="1" t="s">
        <v>79</v>
      </c>
      <c r="E226" s="1" t="s">
        <v>38</v>
      </c>
      <c r="F226" s="1">
        <v>14</v>
      </c>
      <c r="G226" s="1">
        <v>84</v>
      </c>
      <c r="H226" s="1">
        <v>13.47</v>
      </c>
      <c r="K226" s="1">
        <v>24.6</v>
      </c>
      <c r="L226" s="1">
        <f>VLOOKUP($B226,covariates!$B$2:$H$125,5)</f>
        <v>38</v>
      </c>
      <c r="M226" s="1">
        <f>VLOOKUP($B226,covariates!$B$2:$H$125,6)</f>
        <v>0</v>
      </c>
      <c r="N226" s="1">
        <v>12</v>
      </c>
    </row>
    <row r="227" spans="1:14" x14ac:dyDescent="0.4">
      <c r="A227" s="1">
        <v>55</v>
      </c>
      <c r="B227" t="s">
        <v>57</v>
      </c>
      <c r="C227" s="1" t="s">
        <v>14</v>
      </c>
      <c r="D227" s="1" t="s">
        <v>79</v>
      </c>
      <c r="E227" s="1" t="s">
        <v>38</v>
      </c>
      <c r="F227" s="1">
        <v>17</v>
      </c>
      <c r="G227" s="1">
        <v>80</v>
      </c>
      <c r="H227" s="1">
        <v>15.59</v>
      </c>
      <c r="K227" s="1">
        <v>24.6</v>
      </c>
      <c r="L227" s="1">
        <f>VLOOKUP($B227,covariates!$B$2:$H$125,5)</f>
        <v>38</v>
      </c>
      <c r="M227" s="1">
        <f>VLOOKUP($B227,covariates!$B$2:$H$125,6)</f>
        <v>0</v>
      </c>
      <c r="N227" s="1">
        <v>12</v>
      </c>
    </row>
    <row r="228" spans="1:14" x14ac:dyDescent="0.4">
      <c r="A228" s="1">
        <v>58</v>
      </c>
      <c r="B228" t="s">
        <v>59</v>
      </c>
      <c r="C228" s="1" t="s">
        <v>14</v>
      </c>
      <c r="D228" s="1" t="s">
        <v>79</v>
      </c>
      <c r="E228" s="1" t="s">
        <v>38</v>
      </c>
      <c r="F228" s="1">
        <v>25</v>
      </c>
      <c r="G228" s="1">
        <v>85.1</v>
      </c>
      <c r="H228" s="1">
        <v>6.4</v>
      </c>
      <c r="K228" s="1">
        <v>27.8</v>
      </c>
      <c r="L228" s="1">
        <f>VLOOKUP($B228,covariates!$B$2:$H$125,5)</f>
        <v>17</v>
      </c>
      <c r="M228" s="1">
        <f>VLOOKUP($B228,covariates!$B$2:$H$125,6)</f>
        <v>8</v>
      </c>
      <c r="N228" s="1">
        <v>6</v>
      </c>
    </row>
    <row r="229" spans="1:14" x14ac:dyDescent="0.4">
      <c r="A229" s="1">
        <v>58</v>
      </c>
      <c r="B229" t="s">
        <v>59</v>
      </c>
      <c r="C229" s="1" t="s">
        <v>16</v>
      </c>
      <c r="D229" s="1" t="s">
        <v>79</v>
      </c>
      <c r="E229" s="1" t="s">
        <v>38</v>
      </c>
      <c r="F229" s="1">
        <v>25</v>
      </c>
      <c r="G229" s="1">
        <v>89.4</v>
      </c>
      <c r="H229" s="1">
        <v>5.8</v>
      </c>
      <c r="K229" s="1">
        <v>27.8</v>
      </c>
      <c r="L229" s="1">
        <f>VLOOKUP($B229,covariates!$B$2:$H$125,5)</f>
        <v>17</v>
      </c>
      <c r="M229" s="1">
        <f>VLOOKUP($B229,covariates!$B$2:$H$125,6)</f>
        <v>8</v>
      </c>
      <c r="N229" s="1">
        <v>6</v>
      </c>
    </row>
    <row r="230" spans="1:14" x14ac:dyDescent="0.4">
      <c r="A230" s="1">
        <v>68</v>
      </c>
      <c r="B230" t="s">
        <v>22</v>
      </c>
      <c r="C230" s="1" t="s">
        <v>11</v>
      </c>
      <c r="D230" s="1" t="s">
        <v>79</v>
      </c>
      <c r="E230" s="1" t="s">
        <v>38</v>
      </c>
      <c r="F230" s="1">
        <v>6</v>
      </c>
      <c r="G230" s="1">
        <v>96</v>
      </c>
      <c r="H230" s="1">
        <v>3</v>
      </c>
      <c r="K230" s="1">
        <v>24</v>
      </c>
      <c r="L230" s="1">
        <f>VLOOKUP($B230,covariates!$B$2:$H$125,5)</f>
        <v>6</v>
      </c>
      <c r="M230" s="1">
        <f>VLOOKUP($B230,covariates!$B$2:$H$125,6)</f>
        <v>0</v>
      </c>
      <c r="N230" s="1">
        <v>25</v>
      </c>
    </row>
    <row r="231" spans="1:14" x14ac:dyDescent="0.4">
      <c r="A231" s="1">
        <v>68</v>
      </c>
      <c r="B231" t="s">
        <v>22</v>
      </c>
      <c r="C231" s="1" t="s">
        <v>14</v>
      </c>
      <c r="D231" s="1" t="s">
        <v>79</v>
      </c>
      <c r="E231" s="1" t="s">
        <v>38</v>
      </c>
      <c r="F231" s="1">
        <v>6</v>
      </c>
      <c r="G231" s="1">
        <v>95</v>
      </c>
      <c r="H231" s="1">
        <v>5</v>
      </c>
      <c r="K231" s="1">
        <v>24</v>
      </c>
      <c r="L231" s="1">
        <f>VLOOKUP($B231,covariates!$B$2:$H$125,5)</f>
        <v>6</v>
      </c>
      <c r="M231" s="1">
        <f>VLOOKUP($B231,covariates!$B$2:$H$125,6)</f>
        <v>0</v>
      </c>
      <c r="N231" s="1">
        <v>25</v>
      </c>
    </row>
    <row r="232" spans="1:14" x14ac:dyDescent="0.4">
      <c r="A232" s="1">
        <v>70</v>
      </c>
      <c r="B232" t="s">
        <v>23</v>
      </c>
      <c r="C232" s="1" t="s">
        <v>14</v>
      </c>
      <c r="D232" s="1" t="s">
        <v>79</v>
      </c>
      <c r="E232" s="1" t="s">
        <v>38</v>
      </c>
      <c r="F232" s="1">
        <v>33</v>
      </c>
      <c r="G232" s="1">
        <v>98</v>
      </c>
      <c r="H232" s="1">
        <v>3.61</v>
      </c>
      <c r="K232" s="1">
        <v>25.6</v>
      </c>
      <c r="L232" s="1">
        <f>VLOOKUP($B232,covariates!$B$2:$H$125,5)</f>
        <v>26</v>
      </c>
      <c r="M232" s="1">
        <f>VLOOKUP($B232,covariates!$B$2:$H$125,6)</f>
        <v>6</v>
      </c>
      <c r="N232" s="1">
        <v>31.6</v>
      </c>
    </row>
    <row r="233" spans="1:14" x14ac:dyDescent="0.4">
      <c r="A233" s="1">
        <v>70</v>
      </c>
      <c r="B233" t="s">
        <v>23</v>
      </c>
      <c r="C233" s="1" t="s">
        <v>24</v>
      </c>
      <c r="D233" s="1" t="s">
        <v>79</v>
      </c>
      <c r="E233" s="1" t="s">
        <v>38</v>
      </c>
      <c r="F233" s="1">
        <v>32</v>
      </c>
      <c r="G233" s="1">
        <v>99</v>
      </c>
      <c r="H233" s="1">
        <v>3.63</v>
      </c>
      <c r="K233" s="1">
        <v>25.6</v>
      </c>
      <c r="L233" s="1">
        <f>VLOOKUP($B233,covariates!$B$2:$H$125,5)</f>
        <v>26</v>
      </c>
      <c r="M233" s="1">
        <f>VLOOKUP($B233,covariates!$B$2:$H$125,6)</f>
        <v>6</v>
      </c>
      <c r="N233" s="1">
        <v>31.6</v>
      </c>
    </row>
    <row r="234" spans="1:14" x14ac:dyDescent="0.4">
      <c r="A234" s="1">
        <v>73</v>
      </c>
      <c r="B234" t="s">
        <v>61</v>
      </c>
      <c r="C234" s="1" t="s">
        <v>11</v>
      </c>
      <c r="D234" s="1" t="s">
        <v>79</v>
      </c>
      <c r="E234" s="1" t="s">
        <v>38</v>
      </c>
      <c r="F234" s="1">
        <v>20</v>
      </c>
      <c r="G234" s="1">
        <v>87.4</v>
      </c>
      <c r="H234" s="1">
        <v>13.8</v>
      </c>
      <c r="K234" s="1">
        <v>25.4</v>
      </c>
      <c r="L234" s="1">
        <f>VLOOKUP($B234,covariates!$B$2:$H$125,5)</f>
        <v>0</v>
      </c>
      <c r="M234" s="1">
        <f>VLOOKUP($B234,covariates!$B$2:$H$125,6)</f>
        <v>20</v>
      </c>
      <c r="N234" s="1">
        <v>6</v>
      </c>
    </row>
    <row r="235" spans="1:14" x14ac:dyDescent="0.4">
      <c r="A235" s="1">
        <v>73</v>
      </c>
      <c r="B235" t="s">
        <v>61</v>
      </c>
      <c r="C235" s="1" t="s">
        <v>14</v>
      </c>
      <c r="D235" s="1" t="s">
        <v>79</v>
      </c>
      <c r="E235" s="1" t="s">
        <v>38</v>
      </c>
      <c r="F235" s="1">
        <v>20</v>
      </c>
      <c r="G235" s="1">
        <v>93.17</v>
      </c>
      <c r="H235" s="1">
        <v>10.3</v>
      </c>
      <c r="K235" s="1">
        <v>25.4</v>
      </c>
      <c r="L235" s="1">
        <f>VLOOKUP($B235,covariates!$B$2:$H$125,5)</f>
        <v>0</v>
      </c>
      <c r="M235" s="1">
        <f>VLOOKUP($B235,covariates!$B$2:$H$125,6)</f>
        <v>20</v>
      </c>
      <c r="N235" s="1">
        <v>6</v>
      </c>
    </row>
    <row r="236" spans="1:14" x14ac:dyDescent="0.4">
      <c r="A236" s="1">
        <v>77</v>
      </c>
      <c r="B236" t="s">
        <v>26</v>
      </c>
      <c r="C236" s="1" t="s">
        <v>11</v>
      </c>
      <c r="D236" s="1" t="s">
        <v>79</v>
      </c>
      <c r="E236" s="1" t="s">
        <v>38</v>
      </c>
      <c r="F236" s="1">
        <v>38</v>
      </c>
      <c r="G236" s="1">
        <v>82</v>
      </c>
      <c r="H236" s="1">
        <v>15.45</v>
      </c>
      <c r="K236" s="1">
        <v>27</v>
      </c>
      <c r="N236" s="1">
        <v>228</v>
      </c>
    </row>
    <row r="237" spans="1:14" x14ac:dyDescent="0.4">
      <c r="A237" s="1">
        <v>77</v>
      </c>
      <c r="B237" t="s">
        <v>26</v>
      </c>
      <c r="C237" s="1" t="s">
        <v>14</v>
      </c>
      <c r="D237" s="1" t="s">
        <v>79</v>
      </c>
      <c r="E237" s="1" t="s">
        <v>38</v>
      </c>
      <c r="F237" s="1">
        <v>33</v>
      </c>
      <c r="G237" s="1">
        <v>85</v>
      </c>
      <c r="H237" s="1">
        <v>14.67</v>
      </c>
      <c r="K237" s="1">
        <v>27</v>
      </c>
      <c r="N237" s="1">
        <v>228</v>
      </c>
    </row>
    <row r="238" spans="1:14" x14ac:dyDescent="0.4">
      <c r="A238" s="1">
        <v>87</v>
      </c>
      <c r="B238" t="s">
        <v>28</v>
      </c>
      <c r="C238" s="1" t="s">
        <v>11</v>
      </c>
      <c r="D238" s="1" t="s">
        <v>79</v>
      </c>
      <c r="E238" s="1" t="s">
        <v>38</v>
      </c>
      <c r="F238" s="1">
        <v>296</v>
      </c>
      <c r="G238" s="1">
        <v>89</v>
      </c>
      <c r="H238" s="1">
        <v>12.4</v>
      </c>
      <c r="K238" s="1">
        <v>25.2</v>
      </c>
      <c r="L238" s="1">
        <f>VLOOKUP($B238,covariates!$B$2:$H$125,5)</f>
        <v>233</v>
      </c>
      <c r="M238" s="1">
        <f>VLOOKUP($B238,covariates!$B$2:$H$125,6)</f>
        <v>40</v>
      </c>
      <c r="N238" s="1">
        <v>63.9</v>
      </c>
    </row>
    <row r="239" spans="1:14" x14ac:dyDescent="0.4">
      <c r="A239" s="1">
        <v>87</v>
      </c>
      <c r="B239" t="s">
        <v>28</v>
      </c>
      <c r="C239" s="1" t="s">
        <v>14</v>
      </c>
      <c r="D239" s="1" t="s">
        <v>79</v>
      </c>
      <c r="E239" s="1" t="s">
        <v>38</v>
      </c>
      <c r="F239" s="1">
        <v>297</v>
      </c>
      <c r="G239" s="1">
        <v>91.1</v>
      </c>
      <c r="H239" s="1">
        <v>11.9</v>
      </c>
      <c r="K239" s="1">
        <v>25.2</v>
      </c>
      <c r="L239" s="1">
        <f>VLOOKUP($B239,covariates!$B$2:$H$125,5)</f>
        <v>233</v>
      </c>
      <c r="M239" s="1">
        <f>VLOOKUP($B239,covariates!$B$2:$H$125,6)</f>
        <v>40</v>
      </c>
      <c r="N239" s="1">
        <v>63.9</v>
      </c>
    </row>
    <row r="240" spans="1:14" x14ac:dyDescent="0.4">
      <c r="A240" s="1">
        <v>89</v>
      </c>
      <c r="B240" t="s">
        <v>63</v>
      </c>
      <c r="C240" s="1" t="s">
        <v>14</v>
      </c>
      <c r="D240" s="1" t="s">
        <v>79</v>
      </c>
      <c r="E240" s="1" t="s">
        <v>38</v>
      </c>
      <c r="F240" s="1">
        <v>16</v>
      </c>
      <c r="G240" s="1">
        <v>90.06</v>
      </c>
      <c r="H240" s="1">
        <v>7.33</v>
      </c>
      <c r="K240" s="1">
        <v>28.1</v>
      </c>
      <c r="L240" s="1">
        <f>VLOOKUP($B240,covariates!$B$2:$H$125,5)</f>
        <v>17</v>
      </c>
      <c r="M240" s="1">
        <f>VLOOKUP($B240,covariates!$B$2:$H$125,6)</f>
        <v>0</v>
      </c>
      <c r="N240" s="1">
        <v>24</v>
      </c>
    </row>
    <row r="241" spans="1:14" x14ac:dyDescent="0.4">
      <c r="A241" s="1">
        <v>89</v>
      </c>
      <c r="B241" t="s">
        <v>63</v>
      </c>
      <c r="C241" s="1" t="s">
        <v>32</v>
      </c>
      <c r="D241" s="1" t="s">
        <v>79</v>
      </c>
      <c r="E241" s="1" t="s">
        <v>38</v>
      </c>
      <c r="F241" s="1">
        <v>17</v>
      </c>
      <c r="G241" s="1">
        <v>90</v>
      </c>
      <c r="H241" s="1">
        <v>4.26</v>
      </c>
      <c r="K241" s="1">
        <v>28.1</v>
      </c>
      <c r="L241" s="1">
        <f>VLOOKUP($B241,covariates!$B$2:$H$125,5)</f>
        <v>17</v>
      </c>
      <c r="M241" s="1">
        <f>VLOOKUP($B241,covariates!$B$2:$H$125,6)</f>
        <v>0</v>
      </c>
      <c r="N241" s="1">
        <v>24</v>
      </c>
    </row>
    <row r="242" spans="1:14" x14ac:dyDescent="0.4">
      <c r="A242" s="1">
        <v>90</v>
      </c>
      <c r="B242" t="s">
        <v>29</v>
      </c>
      <c r="C242" s="1" t="s">
        <v>11</v>
      </c>
      <c r="D242" s="1" t="s">
        <v>79</v>
      </c>
      <c r="E242" s="1" t="s">
        <v>38</v>
      </c>
      <c r="F242" s="1">
        <v>21</v>
      </c>
      <c r="G242" s="1">
        <v>90.3</v>
      </c>
      <c r="H242" s="1">
        <v>12.19</v>
      </c>
      <c r="K242" s="1">
        <v>22.1</v>
      </c>
      <c r="L242" s="1">
        <f>VLOOKUP($B242,covariates!$B$2:$H$125,5)</f>
        <v>28</v>
      </c>
      <c r="M242" s="1">
        <f>VLOOKUP($B242,covariates!$B$2:$H$125,6)</f>
        <v>4</v>
      </c>
      <c r="N242" s="1">
        <v>38.4</v>
      </c>
    </row>
    <row r="243" spans="1:14" x14ac:dyDescent="0.4">
      <c r="A243" s="1">
        <v>90</v>
      </c>
      <c r="B243" t="s">
        <v>29</v>
      </c>
      <c r="C243" s="1" t="s">
        <v>14</v>
      </c>
      <c r="D243" s="1" t="s">
        <v>79</v>
      </c>
      <c r="E243" s="1" t="s">
        <v>38</v>
      </c>
      <c r="F243" s="1">
        <v>23</v>
      </c>
      <c r="G243" s="1">
        <v>90.4</v>
      </c>
      <c r="H243" s="1">
        <v>12.75</v>
      </c>
      <c r="K243" s="1">
        <v>22.1</v>
      </c>
      <c r="L243" s="1">
        <f>VLOOKUP($B243,covariates!$B$2:$H$125,5)</f>
        <v>28</v>
      </c>
      <c r="M243" s="1">
        <f>VLOOKUP($B243,covariates!$B$2:$H$125,6)</f>
        <v>4</v>
      </c>
      <c r="N243" s="1">
        <v>38.4</v>
      </c>
    </row>
    <row r="244" spans="1:14" x14ac:dyDescent="0.4">
      <c r="A244" s="1">
        <v>93</v>
      </c>
      <c r="B244" t="s">
        <v>64</v>
      </c>
      <c r="C244" s="1" t="s">
        <v>11</v>
      </c>
      <c r="D244" s="1" t="s">
        <v>79</v>
      </c>
      <c r="E244" s="1" t="s">
        <v>38</v>
      </c>
      <c r="F244" s="1">
        <v>14</v>
      </c>
      <c r="G244" s="1">
        <v>96</v>
      </c>
      <c r="H244" s="1">
        <v>2.93</v>
      </c>
      <c r="K244" s="1">
        <v>24.5</v>
      </c>
      <c r="L244" s="1">
        <f>VLOOKUP($B244,covariates!$B$2:$H$125,5)</f>
        <v>11</v>
      </c>
      <c r="M244" s="1">
        <f>VLOOKUP($B244,covariates!$B$2:$H$125,6)</f>
        <v>3</v>
      </c>
      <c r="N244" s="1">
        <v>12</v>
      </c>
    </row>
    <row r="245" spans="1:14" x14ac:dyDescent="0.4">
      <c r="A245" s="1">
        <v>93</v>
      </c>
      <c r="B245" t="s">
        <v>64</v>
      </c>
      <c r="C245" s="1" t="s">
        <v>32</v>
      </c>
      <c r="D245" s="1" t="s">
        <v>79</v>
      </c>
      <c r="E245" s="1" t="s">
        <v>38</v>
      </c>
      <c r="F245" s="1">
        <v>14</v>
      </c>
      <c r="G245" s="1">
        <v>95.33</v>
      </c>
      <c r="H245" s="1">
        <v>2.64</v>
      </c>
      <c r="K245" s="1">
        <v>24.5</v>
      </c>
      <c r="L245" s="1">
        <f>VLOOKUP($B245,covariates!$B$2:$H$125,5)</f>
        <v>11</v>
      </c>
      <c r="M245" s="1">
        <f>VLOOKUP($B245,covariates!$B$2:$H$125,6)</f>
        <v>3</v>
      </c>
      <c r="N245" s="1">
        <v>12</v>
      </c>
    </row>
    <row r="246" spans="1:14" x14ac:dyDescent="0.4">
      <c r="A246" s="1">
        <v>96</v>
      </c>
      <c r="B246" t="s">
        <v>30</v>
      </c>
      <c r="C246" s="1" t="s">
        <v>11</v>
      </c>
      <c r="D246" s="1" t="s">
        <v>79</v>
      </c>
      <c r="E246" s="1" t="s">
        <v>38</v>
      </c>
      <c r="F246" s="1">
        <v>29</v>
      </c>
      <c r="G246" s="1">
        <v>87.28</v>
      </c>
      <c r="H246" s="1">
        <v>1.76</v>
      </c>
      <c r="K246" s="1">
        <v>34.200000000000003</v>
      </c>
      <c r="L246" s="1">
        <f>VLOOKUP($B246,covariates!$B$2:$H$125,5)</f>
        <v>18</v>
      </c>
      <c r="M246" s="1">
        <f>VLOOKUP($B246,covariates!$B$2:$H$125,6)</f>
        <v>13</v>
      </c>
      <c r="N246" s="1">
        <v>108</v>
      </c>
    </row>
    <row r="247" spans="1:14" x14ac:dyDescent="0.4">
      <c r="A247" s="1">
        <v>96</v>
      </c>
      <c r="B247" t="s">
        <v>30</v>
      </c>
      <c r="C247" s="1" t="s">
        <v>14</v>
      </c>
      <c r="D247" s="1" t="s">
        <v>79</v>
      </c>
      <c r="E247" s="1" t="s">
        <v>38</v>
      </c>
      <c r="F247" s="1">
        <v>25</v>
      </c>
      <c r="G247" s="1">
        <v>91.82</v>
      </c>
      <c r="H247" s="1">
        <v>1.71</v>
      </c>
      <c r="K247" s="1">
        <v>34.200000000000003</v>
      </c>
      <c r="L247" s="1">
        <f>VLOOKUP($B247,covariates!$B$2:$H$125,5)</f>
        <v>18</v>
      </c>
      <c r="M247" s="1">
        <f>VLOOKUP($B247,covariates!$B$2:$H$125,6)</f>
        <v>13</v>
      </c>
      <c r="N247" s="1">
        <v>108</v>
      </c>
    </row>
    <row r="248" spans="1:14" x14ac:dyDescent="0.4">
      <c r="A248" s="1">
        <v>97</v>
      </c>
      <c r="B248" t="s">
        <v>31</v>
      </c>
      <c r="C248" s="1" t="s">
        <v>14</v>
      </c>
      <c r="D248" s="1" t="s">
        <v>79</v>
      </c>
      <c r="E248" s="1" t="s">
        <v>38</v>
      </c>
      <c r="F248" s="1">
        <v>36</v>
      </c>
      <c r="G248" s="1">
        <v>92.4</v>
      </c>
      <c r="H248" s="1">
        <v>0</v>
      </c>
      <c r="K248" s="1">
        <v>28.7</v>
      </c>
      <c r="L248" s="1">
        <f>VLOOKUP($B248,covariates!$B$2:$H$125,5)</f>
        <v>30</v>
      </c>
      <c r="M248" s="1">
        <f>VLOOKUP($B248,covariates!$B$2:$H$125,6)</f>
        <v>3</v>
      </c>
      <c r="N248" s="1">
        <v>12</v>
      </c>
    </row>
    <row r="249" spans="1:14" x14ac:dyDescent="0.4">
      <c r="A249" s="1">
        <v>97</v>
      </c>
      <c r="B249" t="s">
        <v>31</v>
      </c>
      <c r="C249" s="1" t="s">
        <v>32</v>
      </c>
      <c r="D249" s="1" t="s">
        <v>79</v>
      </c>
      <c r="E249" s="1" t="s">
        <v>38</v>
      </c>
      <c r="F249" s="1">
        <v>33</v>
      </c>
      <c r="G249" s="1">
        <v>88.2</v>
      </c>
      <c r="H249" s="1">
        <v>0</v>
      </c>
      <c r="K249" s="1">
        <v>28.7</v>
      </c>
      <c r="L249" s="1">
        <f>VLOOKUP($B249,covariates!$B$2:$H$125,5)</f>
        <v>30</v>
      </c>
      <c r="M249" s="1">
        <f>VLOOKUP($B249,covariates!$B$2:$H$125,6)</f>
        <v>3</v>
      </c>
      <c r="N249" s="1">
        <v>12</v>
      </c>
    </row>
    <row r="250" spans="1:14" x14ac:dyDescent="0.4">
      <c r="A250" s="1">
        <v>98</v>
      </c>
      <c r="B250" t="s">
        <v>77</v>
      </c>
      <c r="C250" s="1" t="s">
        <v>14</v>
      </c>
      <c r="D250" s="1" t="s">
        <v>79</v>
      </c>
      <c r="E250" s="1" t="s">
        <v>38</v>
      </c>
      <c r="F250" s="1">
        <v>68</v>
      </c>
      <c r="G250" s="1">
        <v>96</v>
      </c>
      <c r="H250" s="1">
        <v>6.99</v>
      </c>
      <c r="K250" s="1">
        <v>24</v>
      </c>
      <c r="L250" s="1">
        <f>VLOOKUP($B250,covariates!$B$2:$H$125,5)</f>
        <v>59</v>
      </c>
      <c r="M250" s="1">
        <f>VLOOKUP($B250,covariates!$B$2:$H$125,6)</f>
        <v>5</v>
      </c>
      <c r="N250" s="1">
        <v>34.5</v>
      </c>
    </row>
    <row r="251" spans="1:14" x14ac:dyDescent="0.4">
      <c r="A251" s="1">
        <v>98</v>
      </c>
      <c r="B251" t="s">
        <v>77</v>
      </c>
      <c r="C251" s="1" t="s">
        <v>17</v>
      </c>
      <c r="D251" s="1" t="s">
        <v>79</v>
      </c>
      <c r="E251" s="1" t="s">
        <v>38</v>
      </c>
      <c r="F251" s="1">
        <v>64</v>
      </c>
      <c r="G251" s="1">
        <v>93</v>
      </c>
      <c r="H251" s="1">
        <v>5.78</v>
      </c>
      <c r="K251" s="1">
        <v>24</v>
      </c>
      <c r="L251" s="1">
        <f>VLOOKUP($B251,covariates!$B$2:$H$125,5)</f>
        <v>59</v>
      </c>
      <c r="M251" s="1">
        <f>VLOOKUP($B251,covariates!$B$2:$H$125,6)</f>
        <v>5</v>
      </c>
      <c r="N251" s="1">
        <v>34.5</v>
      </c>
    </row>
    <row r="252" spans="1:14" x14ac:dyDescent="0.4">
      <c r="A252" s="1">
        <v>2</v>
      </c>
      <c r="B252" t="s">
        <v>66</v>
      </c>
      <c r="C252" s="1" t="s">
        <v>11</v>
      </c>
      <c r="D252" s="1" t="s">
        <v>80</v>
      </c>
      <c r="E252" s="1" t="s">
        <v>13</v>
      </c>
      <c r="F252" s="1">
        <v>60</v>
      </c>
      <c r="G252" s="1">
        <v>0</v>
      </c>
      <c r="H252" s="1">
        <v>0.06</v>
      </c>
      <c r="K252" s="1">
        <v>25</v>
      </c>
      <c r="L252" s="1">
        <f>VLOOKUP($B252,covariates!$B$2:$H$125,5)</f>
        <v>46</v>
      </c>
      <c r="M252" s="1">
        <f>VLOOKUP($B252,covariates!$B$2:$H$125,6)</f>
        <v>14</v>
      </c>
      <c r="N252" s="1">
        <v>24</v>
      </c>
    </row>
    <row r="253" spans="1:14" x14ac:dyDescent="0.4">
      <c r="A253" s="1">
        <v>2</v>
      </c>
      <c r="B253" t="s">
        <v>66</v>
      </c>
      <c r="C253" s="1" t="s">
        <v>14</v>
      </c>
      <c r="D253" s="1" t="s">
        <v>80</v>
      </c>
      <c r="E253" s="1" t="s">
        <v>13</v>
      </c>
      <c r="F253" s="1">
        <v>60</v>
      </c>
      <c r="G253" s="1">
        <v>0</v>
      </c>
      <c r="H253" s="1">
        <v>0.06</v>
      </c>
      <c r="K253" s="1">
        <v>25</v>
      </c>
      <c r="L253" s="1">
        <f>VLOOKUP($B253,covariates!$B$2:$H$125,5)</f>
        <v>46</v>
      </c>
      <c r="M253" s="1">
        <f>VLOOKUP($B253,covariates!$B$2:$H$125,6)</f>
        <v>14</v>
      </c>
      <c r="N253" s="1">
        <v>24</v>
      </c>
    </row>
    <row r="254" spans="1:14" x14ac:dyDescent="0.4">
      <c r="A254" s="1">
        <v>5</v>
      </c>
      <c r="B254" t="s">
        <v>34</v>
      </c>
      <c r="C254" s="1" t="s">
        <v>11</v>
      </c>
      <c r="D254" s="1" t="s">
        <v>80</v>
      </c>
      <c r="E254" s="1" t="s">
        <v>13</v>
      </c>
      <c r="F254" s="1">
        <v>35</v>
      </c>
      <c r="G254" s="1">
        <v>7</v>
      </c>
      <c r="H254" s="1">
        <v>1.58</v>
      </c>
      <c r="K254" s="1">
        <v>21</v>
      </c>
      <c r="L254" s="1">
        <f>VLOOKUP($B254,covariates!$B$2:$H$125,5)</f>
        <v>45</v>
      </c>
      <c r="M254" s="1">
        <f>VLOOKUP($B254,covariates!$B$2:$H$125,6)</f>
        <v>23</v>
      </c>
      <c r="N254" s="1">
        <v>35.799999999999997</v>
      </c>
    </row>
    <row r="255" spans="1:14" x14ac:dyDescent="0.4">
      <c r="A255" s="1">
        <v>5</v>
      </c>
      <c r="B255" t="s">
        <v>34</v>
      </c>
      <c r="C255" s="1" t="s">
        <v>14</v>
      </c>
      <c r="D255" s="1" t="s">
        <v>80</v>
      </c>
      <c r="E255" s="1" t="s">
        <v>13</v>
      </c>
      <c r="F255" s="1">
        <v>33</v>
      </c>
      <c r="G255" s="1">
        <v>8</v>
      </c>
      <c r="H255" s="1">
        <v>1.95</v>
      </c>
      <c r="K255" s="1">
        <v>21</v>
      </c>
      <c r="L255" s="1">
        <f>VLOOKUP($B255,covariates!$B$2:$H$125,5)</f>
        <v>45</v>
      </c>
      <c r="M255" s="1">
        <f>VLOOKUP($B255,covariates!$B$2:$H$125,6)</f>
        <v>23</v>
      </c>
      <c r="N255" s="1">
        <v>35.799999999999997</v>
      </c>
    </row>
    <row r="256" spans="1:14" x14ac:dyDescent="0.4">
      <c r="A256" s="1">
        <v>11</v>
      </c>
      <c r="B256" t="s">
        <v>35</v>
      </c>
      <c r="C256" s="1" t="s">
        <v>11</v>
      </c>
      <c r="D256" s="1" t="s">
        <v>80</v>
      </c>
      <c r="E256" s="1" t="s">
        <v>13</v>
      </c>
      <c r="F256" s="1">
        <v>22</v>
      </c>
      <c r="G256" s="1">
        <v>3</v>
      </c>
      <c r="H256" s="1">
        <v>0.86</v>
      </c>
      <c r="K256" s="1">
        <v>29.9</v>
      </c>
      <c r="L256" s="1">
        <f>VLOOKUP($B256,covariates!$B$2:$H$125,5)</f>
        <v>13</v>
      </c>
      <c r="M256" s="1">
        <f>VLOOKUP($B256,covariates!$B$2:$H$125,6)</f>
        <v>15</v>
      </c>
      <c r="N256" s="1">
        <v>36</v>
      </c>
    </row>
    <row r="257" spans="1:14" x14ac:dyDescent="0.4">
      <c r="A257" s="1">
        <v>11</v>
      </c>
      <c r="B257" t="s">
        <v>35</v>
      </c>
      <c r="C257" s="1" t="s">
        <v>14</v>
      </c>
      <c r="D257" s="1" t="s">
        <v>80</v>
      </c>
      <c r="E257" s="1" t="s">
        <v>13</v>
      </c>
      <c r="F257" s="1">
        <v>22</v>
      </c>
      <c r="G257" s="1">
        <v>9</v>
      </c>
      <c r="H257" s="1">
        <v>3.43</v>
      </c>
      <c r="K257" s="1">
        <v>29.9</v>
      </c>
      <c r="L257" s="1">
        <f>VLOOKUP($B257,covariates!$B$2:$H$125,5)</f>
        <v>13</v>
      </c>
      <c r="M257" s="1">
        <f>VLOOKUP($B257,covariates!$B$2:$H$125,6)</f>
        <v>15</v>
      </c>
      <c r="N257" s="1">
        <v>36</v>
      </c>
    </row>
    <row r="258" spans="1:14" x14ac:dyDescent="0.4">
      <c r="A258" s="1">
        <v>12</v>
      </c>
      <c r="B258" t="s">
        <v>15</v>
      </c>
      <c r="C258" s="1" t="s">
        <v>14</v>
      </c>
      <c r="D258" s="1" t="s">
        <v>80</v>
      </c>
      <c r="E258" s="1" t="s">
        <v>13</v>
      </c>
      <c r="F258" s="1">
        <v>62</v>
      </c>
      <c r="G258" s="1">
        <v>0</v>
      </c>
      <c r="H258" s="1">
        <v>0.06</v>
      </c>
      <c r="K258" s="1">
        <v>29.1</v>
      </c>
      <c r="L258" s="1">
        <f>VLOOKUP($B258,covariates!$B$2:$H$125,5)</f>
        <v>34</v>
      </c>
      <c r="M258" s="1">
        <f>VLOOKUP($B258,covariates!$B$2:$H$125,6)</f>
        <v>28</v>
      </c>
      <c r="N258" s="1">
        <v>29.7</v>
      </c>
    </row>
    <row r="259" spans="1:14" x14ac:dyDescent="0.4">
      <c r="A259" s="1">
        <v>12</v>
      </c>
      <c r="B259" t="s">
        <v>15</v>
      </c>
      <c r="C259" s="1" t="s">
        <v>16</v>
      </c>
      <c r="D259" s="1" t="s">
        <v>80</v>
      </c>
      <c r="E259" s="1" t="s">
        <v>13</v>
      </c>
      <c r="F259" s="1">
        <v>62</v>
      </c>
      <c r="G259" s="1">
        <v>0</v>
      </c>
      <c r="H259" s="1">
        <v>0.06</v>
      </c>
      <c r="K259" s="1">
        <v>29.1</v>
      </c>
      <c r="L259" s="1">
        <f>VLOOKUP($B259,covariates!$B$2:$H$125,5)</f>
        <v>34</v>
      </c>
      <c r="M259" s="1">
        <f>VLOOKUP($B259,covariates!$B$2:$H$125,6)</f>
        <v>28</v>
      </c>
      <c r="N259" s="1">
        <v>29.7</v>
      </c>
    </row>
    <row r="260" spans="1:14" x14ac:dyDescent="0.4">
      <c r="A260" s="1">
        <v>13</v>
      </c>
      <c r="B260" t="s">
        <v>47</v>
      </c>
      <c r="C260" s="1" t="s">
        <v>11</v>
      </c>
      <c r="D260" s="1" t="s">
        <v>80</v>
      </c>
      <c r="E260" s="1" t="s">
        <v>13</v>
      </c>
      <c r="F260" s="1">
        <v>61</v>
      </c>
      <c r="G260" s="1">
        <v>12</v>
      </c>
      <c r="H260" s="1">
        <v>1.99</v>
      </c>
      <c r="K260" s="1">
        <v>26.8</v>
      </c>
      <c r="L260" s="1">
        <f>VLOOKUP($B260,covariates!$B$2:$H$125,5)</f>
        <v>53</v>
      </c>
      <c r="M260" s="1">
        <f>VLOOKUP($B260,covariates!$B$2:$H$125,6)</f>
        <v>33</v>
      </c>
      <c r="N260" s="1">
        <v>191.9</v>
      </c>
    </row>
    <row r="261" spans="1:14" x14ac:dyDescent="0.4">
      <c r="A261" s="1">
        <v>13</v>
      </c>
      <c r="B261" t="s">
        <v>47</v>
      </c>
      <c r="C261" s="1" t="s">
        <v>14</v>
      </c>
      <c r="D261" s="1" t="s">
        <v>80</v>
      </c>
      <c r="E261" s="1" t="s">
        <v>13</v>
      </c>
      <c r="F261" s="1">
        <v>86</v>
      </c>
      <c r="G261" s="1">
        <v>13</v>
      </c>
      <c r="H261" s="1">
        <v>1.71</v>
      </c>
      <c r="K261" s="1">
        <v>26.8</v>
      </c>
      <c r="L261" s="1">
        <f>VLOOKUP($B261,covariates!$B$2:$H$125,5)</f>
        <v>53</v>
      </c>
      <c r="M261" s="1">
        <f>VLOOKUP($B261,covariates!$B$2:$H$125,6)</f>
        <v>33</v>
      </c>
      <c r="N261" s="1">
        <v>191.9</v>
      </c>
    </row>
    <row r="262" spans="1:14" x14ac:dyDescent="0.4">
      <c r="A262" s="1">
        <v>25</v>
      </c>
      <c r="B262" t="s">
        <v>71</v>
      </c>
      <c r="C262" s="1" t="s">
        <v>11</v>
      </c>
      <c r="D262" s="1" t="s">
        <v>80</v>
      </c>
      <c r="E262" s="1" t="s">
        <v>13</v>
      </c>
      <c r="F262" s="1">
        <v>42</v>
      </c>
      <c r="G262" s="1">
        <v>2</v>
      </c>
      <c r="H262" s="1">
        <v>0.41</v>
      </c>
      <c r="K262" s="1">
        <v>27</v>
      </c>
      <c r="N262" s="1">
        <v>6.7</v>
      </c>
    </row>
    <row r="263" spans="1:14" x14ac:dyDescent="0.4">
      <c r="A263" s="1">
        <v>25</v>
      </c>
      <c r="B263" t="s">
        <v>71</v>
      </c>
      <c r="C263" s="1" t="s">
        <v>14</v>
      </c>
      <c r="D263" s="1" t="s">
        <v>80</v>
      </c>
      <c r="E263" s="1" t="s">
        <v>13</v>
      </c>
      <c r="F263" s="1">
        <v>47</v>
      </c>
      <c r="G263" s="1">
        <v>9</v>
      </c>
      <c r="H263" s="1">
        <v>1.71</v>
      </c>
      <c r="K263" s="1">
        <v>27</v>
      </c>
      <c r="N263" s="1">
        <v>6.7</v>
      </c>
    </row>
    <row r="264" spans="1:14" x14ac:dyDescent="0.4">
      <c r="A264" s="1">
        <v>26</v>
      </c>
      <c r="B264" t="s">
        <v>36</v>
      </c>
      <c r="C264" s="1" t="s">
        <v>11</v>
      </c>
      <c r="D264" s="1" t="s">
        <v>80</v>
      </c>
      <c r="E264" s="1" t="s">
        <v>13</v>
      </c>
      <c r="F264" s="1">
        <v>27</v>
      </c>
      <c r="G264" s="1">
        <v>0</v>
      </c>
      <c r="H264" s="1">
        <v>0.1</v>
      </c>
      <c r="K264" s="1">
        <v>26.3</v>
      </c>
      <c r="L264" s="1">
        <f>VLOOKUP($B264,covariates!$B$2:$H$125,5)</f>
        <v>24</v>
      </c>
      <c r="M264" s="1">
        <f>VLOOKUP($B264,covariates!$B$2:$H$125,6)</f>
        <v>10</v>
      </c>
      <c r="N264" s="1">
        <v>36</v>
      </c>
    </row>
    <row r="265" spans="1:14" x14ac:dyDescent="0.4">
      <c r="A265" s="1">
        <v>26</v>
      </c>
      <c r="B265" t="s">
        <v>36</v>
      </c>
      <c r="C265" s="1" t="s">
        <v>14</v>
      </c>
      <c r="D265" s="1" t="s">
        <v>80</v>
      </c>
      <c r="E265" s="1" t="s">
        <v>13</v>
      </c>
      <c r="F265" s="1">
        <v>21</v>
      </c>
      <c r="G265" s="1">
        <v>5</v>
      </c>
      <c r="H265" s="1">
        <v>1.58</v>
      </c>
      <c r="K265" s="1">
        <v>26.3</v>
      </c>
      <c r="L265" s="1">
        <f>VLOOKUP($B265,covariates!$B$2:$H$125,5)</f>
        <v>24</v>
      </c>
      <c r="M265" s="1">
        <f>VLOOKUP($B265,covariates!$B$2:$H$125,6)</f>
        <v>10</v>
      </c>
      <c r="N265" s="1">
        <v>36</v>
      </c>
    </row>
    <row r="266" spans="1:14" x14ac:dyDescent="0.4">
      <c r="A266" s="1">
        <v>32</v>
      </c>
      <c r="B266" t="s">
        <v>51</v>
      </c>
      <c r="C266" s="1" t="s">
        <v>11</v>
      </c>
      <c r="D266" s="1" t="s">
        <v>80</v>
      </c>
      <c r="E266" s="1" t="s">
        <v>13</v>
      </c>
      <c r="F266" s="1">
        <v>31</v>
      </c>
      <c r="G266" s="1">
        <v>2</v>
      </c>
      <c r="H266" s="1">
        <v>0.48</v>
      </c>
      <c r="K266" s="1">
        <v>24.6</v>
      </c>
      <c r="L266" s="1">
        <f>VLOOKUP($B266,covariates!$B$2:$H$125,5)</f>
        <v>19</v>
      </c>
      <c r="M266" s="1">
        <f>VLOOKUP($B266,covariates!$B$2:$H$125,6)</f>
        <v>12</v>
      </c>
      <c r="N266" s="1">
        <v>24</v>
      </c>
    </row>
    <row r="267" spans="1:14" x14ac:dyDescent="0.4">
      <c r="A267" s="1">
        <v>32</v>
      </c>
      <c r="B267" t="s">
        <v>51</v>
      </c>
      <c r="C267" s="1" t="s">
        <v>14</v>
      </c>
      <c r="D267" s="1" t="s">
        <v>80</v>
      </c>
      <c r="E267" s="1" t="s">
        <v>13</v>
      </c>
      <c r="F267" s="1">
        <v>31</v>
      </c>
      <c r="G267" s="1">
        <v>3</v>
      </c>
      <c r="H267" s="1">
        <v>0.7</v>
      </c>
      <c r="K267" s="1">
        <v>24.6</v>
      </c>
      <c r="L267" s="1">
        <f>VLOOKUP($B267,covariates!$B$2:$H$125,5)</f>
        <v>19</v>
      </c>
      <c r="M267" s="1">
        <f>VLOOKUP($B267,covariates!$B$2:$H$125,6)</f>
        <v>12</v>
      </c>
      <c r="N267" s="1">
        <v>24</v>
      </c>
    </row>
    <row r="268" spans="1:14" x14ac:dyDescent="0.4">
      <c r="A268" s="1">
        <v>33</v>
      </c>
      <c r="B268" t="s">
        <v>37</v>
      </c>
      <c r="C268" s="1" t="s">
        <v>11</v>
      </c>
      <c r="D268" s="1" t="s">
        <v>80</v>
      </c>
      <c r="E268" s="1" t="s">
        <v>13</v>
      </c>
      <c r="F268" s="1">
        <v>37</v>
      </c>
      <c r="G268" s="1">
        <v>0</v>
      </c>
      <c r="H268" s="1">
        <v>0.08</v>
      </c>
      <c r="K268" s="1" t="s">
        <v>94</v>
      </c>
      <c r="N268" s="1">
        <v>60.6</v>
      </c>
    </row>
    <row r="269" spans="1:14" x14ac:dyDescent="0.4">
      <c r="A269" s="1">
        <v>33</v>
      </c>
      <c r="B269" t="s">
        <v>37</v>
      </c>
      <c r="C269" s="1" t="s">
        <v>14</v>
      </c>
      <c r="D269" s="1" t="s">
        <v>80</v>
      </c>
      <c r="E269" s="1" t="s">
        <v>13</v>
      </c>
      <c r="F269" s="1">
        <v>37</v>
      </c>
      <c r="G269" s="1">
        <v>1</v>
      </c>
      <c r="H269" s="1">
        <v>0.25</v>
      </c>
      <c r="K269" s="1" t="s">
        <v>94</v>
      </c>
      <c r="N269" s="1">
        <v>60.6</v>
      </c>
    </row>
    <row r="270" spans="1:14" x14ac:dyDescent="0.4">
      <c r="A270" s="1">
        <v>34</v>
      </c>
      <c r="B270" t="s">
        <v>73</v>
      </c>
      <c r="C270" s="1" t="s">
        <v>11</v>
      </c>
      <c r="D270" s="1" t="s">
        <v>80</v>
      </c>
      <c r="E270" s="1" t="s">
        <v>13</v>
      </c>
      <c r="F270" s="1">
        <v>30</v>
      </c>
      <c r="G270" s="1">
        <v>3</v>
      </c>
      <c r="H270" s="1">
        <v>0.71</v>
      </c>
      <c r="K270" s="1">
        <v>30</v>
      </c>
      <c r="L270" s="1">
        <f>VLOOKUP($B270,covariates!$B$2:$H$125,5)</f>
        <v>14</v>
      </c>
      <c r="M270" s="1">
        <f>VLOOKUP($B270,covariates!$B$2:$H$125,6)</f>
        <v>20</v>
      </c>
      <c r="N270" s="1">
        <v>24.7</v>
      </c>
    </row>
    <row r="271" spans="1:14" x14ac:dyDescent="0.4">
      <c r="A271" s="1">
        <v>34</v>
      </c>
      <c r="B271" t="s">
        <v>73</v>
      </c>
      <c r="C271" s="1" t="s">
        <v>14</v>
      </c>
      <c r="D271" s="1" t="s">
        <v>80</v>
      </c>
      <c r="E271" s="1" t="s">
        <v>13</v>
      </c>
      <c r="F271" s="1">
        <v>29</v>
      </c>
      <c r="G271" s="1">
        <v>8</v>
      </c>
      <c r="H271" s="1">
        <v>2.1800000000000002</v>
      </c>
      <c r="K271" s="1">
        <v>30</v>
      </c>
      <c r="L271" s="1">
        <f>VLOOKUP($B271,covariates!$B$2:$H$125,5)</f>
        <v>14</v>
      </c>
      <c r="M271" s="1">
        <f>VLOOKUP($B271,covariates!$B$2:$H$125,6)</f>
        <v>20</v>
      </c>
      <c r="N271" s="1">
        <v>24.7</v>
      </c>
    </row>
    <row r="272" spans="1:14" x14ac:dyDescent="0.4">
      <c r="A272" s="1">
        <v>36</v>
      </c>
      <c r="B272" t="s">
        <v>52</v>
      </c>
      <c r="C272" s="1" t="s">
        <v>14</v>
      </c>
      <c r="D272" s="1" t="s">
        <v>80</v>
      </c>
      <c r="E272" s="1" t="s">
        <v>13</v>
      </c>
      <c r="F272" s="1">
        <v>26</v>
      </c>
      <c r="G272" s="1">
        <v>0</v>
      </c>
      <c r="H272" s="1">
        <v>0.1</v>
      </c>
      <c r="K272" s="1">
        <v>24.1</v>
      </c>
      <c r="L272" s="1">
        <f>VLOOKUP($B272,covariates!$B$2:$H$125,5)</f>
        <v>21</v>
      </c>
      <c r="M272" s="1">
        <f>VLOOKUP($B272,covariates!$B$2:$H$125,6)</f>
        <v>3</v>
      </c>
      <c r="N272" s="1">
        <v>24</v>
      </c>
    </row>
    <row r="273" spans="1:14" x14ac:dyDescent="0.4">
      <c r="A273" s="1">
        <v>36</v>
      </c>
      <c r="B273" t="s">
        <v>52</v>
      </c>
      <c r="C273" s="1" t="s">
        <v>32</v>
      </c>
      <c r="D273" s="1" t="s">
        <v>80</v>
      </c>
      <c r="E273" s="1" t="s">
        <v>13</v>
      </c>
      <c r="F273" s="1">
        <v>23</v>
      </c>
      <c r="G273" s="1">
        <v>0</v>
      </c>
      <c r="H273" s="1">
        <v>0.1</v>
      </c>
      <c r="K273" s="1">
        <v>24.1</v>
      </c>
      <c r="L273" s="1">
        <f>VLOOKUP($B273,covariates!$B$2:$H$125,5)</f>
        <v>21</v>
      </c>
      <c r="M273" s="1">
        <f>VLOOKUP($B273,covariates!$B$2:$H$125,6)</f>
        <v>3</v>
      </c>
      <c r="N273" s="1">
        <v>24</v>
      </c>
    </row>
    <row r="274" spans="1:14" x14ac:dyDescent="0.4">
      <c r="A274" s="1">
        <v>37</v>
      </c>
      <c r="B274" t="s">
        <v>75</v>
      </c>
      <c r="C274" s="1" t="s">
        <v>11</v>
      </c>
      <c r="D274" s="1" t="s">
        <v>80</v>
      </c>
      <c r="E274" s="1" t="s">
        <v>13</v>
      </c>
      <c r="F274" s="1">
        <v>40</v>
      </c>
      <c r="G274" s="1">
        <v>5</v>
      </c>
      <c r="H274" s="1">
        <v>0.99</v>
      </c>
      <c r="K274" s="1">
        <v>22.3</v>
      </c>
      <c r="L274" s="1">
        <f>VLOOKUP($B274,covariates!$B$2:$H$125,5)</f>
        <v>46</v>
      </c>
      <c r="M274" s="1">
        <f>VLOOKUP($B274,covariates!$B$2:$H$125,6)</f>
        <v>0</v>
      </c>
      <c r="N274" s="1">
        <v>81</v>
      </c>
    </row>
    <row r="275" spans="1:14" x14ac:dyDescent="0.4">
      <c r="A275" s="1">
        <v>37</v>
      </c>
      <c r="B275" t="s">
        <v>75</v>
      </c>
      <c r="C275" s="1" t="s">
        <v>14</v>
      </c>
      <c r="D275" s="1" t="s">
        <v>80</v>
      </c>
      <c r="E275" s="1" t="s">
        <v>13</v>
      </c>
      <c r="F275" s="1">
        <v>45</v>
      </c>
      <c r="G275" s="1">
        <v>8</v>
      </c>
      <c r="H275" s="1">
        <v>1.54</v>
      </c>
      <c r="K275" s="1">
        <v>22.3</v>
      </c>
      <c r="L275" s="1">
        <f>VLOOKUP($B275,covariates!$B$2:$H$125,5)</f>
        <v>46</v>
      </c>
      <c r="M275" s="1">
        <f>VLOOKUP($B275,covariates!$B$2:$H$125,6)</f>
        <v>0</v>
      </c>
      <c r="N275" s="1">
        <v>81</v>
      </c>
    </row>
    <row r="276" spans="1:14" x14ac:dyDescent="0.4">
      <c r="A276" s="1">
        <v>41</v>
      </c>
      <c r="B276" t="s">
        <v>76</v>
      </c>
      <c r="C276" s="1" t="s">
        <v>11</v>
      </c>
      <c r="D276" s="1" t="s">
        <v>80</v>
      </c>
      <c r="E276" s="1" t="s">
        <v>13</v>
      </c>
      <c r="F276" s="1">
        <v>43</v>
      </c>
      <c r="G276" s="1">
        <v>3</v>
      </c>
      <c r="H276" s="1">
        <v>0.56999999999999995</v>
      </c>
      <c r="K276" s="1" t="s">
        <v>94</v>
      </c>
      <c r="N276" s="1">
        <v>24</v>
      </c>
    </row>
    <row r="277" spans="1:14" x14ac:dyDescent="0.4">
      <c r="A277" s="1">
        <v>41</v>
      </c>
      <c r="B277" t="s">
        <v>76</v>
      </c>
      <c r="C277" s="1" t="s">
        <v>14</v>
      </c>
      <c r="D277" s="1" t="s">
        <v>80</v>
      </c>
      <c r="E277" s="1" t="s">
        <v>13</v>
      </c>
      <c r="F277" s="1">
        <v>46</v>
      </c>
      <c r="G277" s="1">
        <v>3</v>
      </c>
      <c r="H277" s="1">
        <v>0.55000000000000004</v>
      </c>
      <c r="K277" s="1" t="s">
        <v>94</v>
      </c>
      <c r="N277" s="1">
        <v>24</v>
      </c>
    </row>
    <row r="278" spans="1:14" x14ac:dyDescent="0.4">
      <c r="A278" s="1">
        <v>46</v>
      </c>
      <c r="B278" t="s">
        <v>40</v>
      </c>
      <c r="C278" s="1" t="s">
        <v>11</v>
      </c>
      <c r="D278" s="1" t="s">
        <v>80</v>
      </c>
      <c r="E278" s="1" t="s">
        <v>13</v>
      </c>
      <c r="F278" s="1">
        <v>15</v>
      </c>
      <c r="G278" s="1">
        <v>2</v>
      </c>
      <c r="H278" s="1">
        <v>0.74</v>
      </c>
      <c r="K278" s="1">
        <v>28.7</v>
      </c>
      <c r="N278" s="1">
        <v>19</v>
      </c>
    </row>
    <row r="279" spans="1:14" x14ac:dyDescent="0.4">
      <c r="A279" s="1">
        <v>46</v>
      </c>
      <c r="B279" t="s">
        <v>40</v>
      </c>
      <c r="C279" s="1" t="s">
        <v>14</v>
      </c>
      <c r="D279" s="1" t="s">
        <v>80</v>
      </c>
      <c r="E279" s="1" t="s">
        <v>13</v>
      </c>
      <c r="F279" s="1">
        <v>13</v>
      </c>
      <c r="G279" s="1">
        <v>2</v>
      </c>
      <c r="H279" s="1">
        <v>0.82</v>
      </c>
      <c r="K279" s="1">
        <v>28.7</v>
      </c>
      <c r="N279" s="1">
        <v>19</v>
      </c>
    </row>
    <row r="280" spans="1:14" x14ac:dyDescent="0.4">
      <c r="A280" s="1">
        <v>47</v>
      </c>
      <c r="B280" t="s">
        <v>41</v>
      </c>
      <c r="C280" s="1" t="s">
        <v>14</v>
      </c>
      <c r="D280" s="1" t="s">
        <v>80</v>
      </c>
      <c r="E280" s="1" t="s">
        <v>13</v>
      </c>
      <c r="F280" s="1">
        <v>44</v>
      </c>
      <c r="G280" s="1">
        <v>6</v>
      </c>
      <c r="H280" s="1">
        <v>1.1299999999999999</v>
      </c>
      <c r="K280" s="1">
        <v>33</v>
      </c>
      <c r="L280" s="1">
        <f>VLOOKUP($B280,covariates!$B$2:$H$125,5)</f>
        <v>38</v>
      </c>
      <c r="M280" s="1">
        <f>VLOOKUP($B280,covariates!$B$2:$H$125,6)</f>
        <v>10</v>
      </c>
      <c r="N280" s="1">
        <v>24</v>
      </c>
    </row>
    <row r="281" spans="1:14" x14ac:dyDescent="0.4">
      <c r="A281" s="1">
        <v>47</v>
      </c>
      <c r="B281" t="s">
        <v>41</v>
      </c>
      <c r="C281" s="1" t="s">
        <v>17</v>
      </c>
      <c r="D281" s="1" t="s">
        <v>80</v>
      </c>
      <c r="E281" s="1" t="s">
        <v>13</v>
      </c>
      <c r="F281" s="1">
        <v>48</v>
      </c>
      <c r="G281" s="1">
        <v>4</v>
      </c>
      <c r="H281" s="1">
        <v>0.71</v>
      </c>
      <c r="K281" s="1">
        <v>33</v>
      </c>
      <c r="L281" s="1">
        <f>VLOOKUP($B281,covariates!$B$2:$H$125,5)</f>
        <v>38</v>
      </c>
      <c r="M281" s="1">
        <f>VLOOKUP($B281,covariates!$B$2:$H$125,6)</f>
        <v>10</v>
      </c>
      <c r="N281" s="1">
        <v>24</v>
      </c>
    </row>
    <row r="282" spans="1:14" x14ac:dyDescent="0.4">
      <c r="A282" s="1">
        <v>51</v>
      </c>
      <c r="B282" t="s">
        <v>55</v>
      </c>
      <c r="C282" s="1" t="s">
        <v>14</v>
      </c>
      <c r="D282" s="1" t="s">
        <v>80</v>
      </c>
      <c r="E282" s="1" t="s">
        <v>13</v>
      </c>
      <c r="F282" s="1">
        <v>32</v>
      </c>
      <c r="G282" s="1">
        <v>4</v>
      </c>
      <c r="H282" s="1">
        <v>0.91</v>
      </c>
      <c r="K282" s="1">
        <v>30.5</v>
      </c>
      <c r="L282" s="1">
        <f>VLOOKUP($B282,covariates!$B$2:$H$125,5)</f>
        <v>15</v>
      </c>
      <c r="M282" s="1">
        <f>VLOOKUP($B282,covariates!$B$2:$H$125,6)</f>
        <v>17</v>
      </c>
      <c r="N282" s="1">
        <v>73.2</v>
      </c>
    </row>
    <row r="283" spans="1:14" x14ac:dyDescent="0.4">
      <c r="A283" s="1">
        <v>51</v>
      </c>
      <c r="B283" t="s">
        <v>55</v>
      </c>
      <c r="C283" s="1" t="s">
        <v>17</v>
      </c>
      <c r="D283" s="1" t="s">
        <v>80</v>
      </c>
      <c r="E283" s="1" t="s">
        <v>13</v>
      </c>
      <c r="F283" s="1">
        <v>32</v>
      </c>
      <c r="G283" s="1">
        <v>9</v>
      </c>
      <c r="H283" s="1">
        <v>2.34</v>
      </c>
      <c r="K283" s="1">
        <v>30.5</v>
      </c>
      <c r="L283" s="1">
        <f>VLOOKUP($B283,covariates!$B$2:$H$125,5)</f>
        <v>15</v>
      </c>
      <c r="M283" s="1">
        <f>VLOOKUP($B283,covariates!$B$2:$H$125,6)</f>
        <v>17</v>
      </c>
      <c r="N283" s="1">
        <v>73.2</v>
      </c>
    </row>
    <row r="284" spans="1:14" x14ac:dyDescent="0.4">
      <c r="A284" s="1">
        <v>53</v>
      </c>
      <c r="B284" t="s">
        <v>56</v>
      </c>
      <c r="C284" s="1" t="s">
        <v>14</v>
      </c>
      <c r="D284" s="1" t="s">
        <v>80</v>
      </c>
      <c r="E284" s="1" t="s">
        <v>13</v>
      </c>
      <c r="F284" s="1">
        <v>49</v>
      </c>
      <c r="G284" s="1">
        <v>11</v>
      </c>
      <c r="H284" s="1">
        <v>2.12</v>
      </c>
      <c r="K284" s="1">
        <v>27.2</v>
      </c>
      <c r="L284" s="1">
        <f>VLOOKUP($B284,covariates!$B$2:$H$125,5)</f>
        <v>29</v>
      </c>
      <c r="M284" s="1">
        <f>VLOOKUP($B284,covariates!$B$2:$H$125,6)</f>
        <v>21</v>
      </c>
      <c r="N284" s="1">
        <v>24</v>
      </c>
    </row>
    <row r="285" spans="1:14" x14ac:dyDescent="0.4">
      <c r="A285" s="1">
        <v>53</v>
      </c>
      <c r="B285" t="s">
        <v>56</v>
      </c>
      <c r="C285" s="1" t="s">
        <v>32</v>
      </c>
      <c r="D285" s="1" t="s">
        <v>80</v>
      </c>
      <c r="E285" s="1" t="s">
        <v>13</v>
      </c>
      <c r="F285" s="1">
        <v>47</v>
      </c>
      <c r="G285" s="1">
        <v>8</v>
      </c>
      <c r="H285" s="1">
        <v>1.49</v>
      </c>
      <c r="K285" s="1">
        <v>27.2</v>
      </c>
      <c r="L285" s="1">
        <f>VLOOKUP($B285,covariates!$B$2:$H$125,5)</f>
        <v>29</v>
      </c>
      <c r="M285" s="1">
        <f>VLOOKUP($B285,covariates!$B$2:$H$125,6)</f>
        <v>21</v>
      </c>
      <c r="N285" s="1">
        <v>24</v>
      </c>
    </row>
    <row r="286" spans="1:14" x14ac:dyDescent="0.4">
      <c r="A286" s="1">
        <v>54</v>
      </c>
      <c r="B286" t="s">
        <v>20</v>
      </c>
      <c r="C286" s="1" t="s">
        <v>11</v>
      </c>
      <c r="D286" s="1" t="s">
        <v>80</v>
      </c>
      <c r="E286" s="1" t="s">
        <v>13</v>
      </c>
      <c r="F286" s="1">
        <v>19</v>
      </c>
      <c r="G286" s="1">
        <v>7</v>
      </c>
      <c r="H286" s="1">
        <v>2.72</v>
      </c>
      <c r="K286" s="1">
        <v>54.5</v>
      </c>
      <c r="N286" s="1">
        <v>240</v>
      </c>
    </row>
    <row r="287" spans="1:14" x14ac:dyDescent="0.4">
      <c r="A287" s="1">
        <v>54</v>
      </c>
      <c r="B287" t="s">
        <v>20</v>
      </c>
      <c r="C287" s="1" t="s">
        <v>14</v>
      </c>
      <c r="D287" s="1" t="s">
        <v>80</v>
      </c>
      <c r="E287" s="1" t="s">
        <v>13</v>
      </c>
      <c r="F287" s="1">
        <v>20</v>
      </c>
      <c r="G287" s="1">
        <v>5</v>
      </c>
      <c r="H287" s="1">
        <v>1.64</v>
      </c>
      <c r="K287" s="1">
        <v>54.5</v>
      </c>
      <c r="N287" s="1">
        <v>240</v>
      </c>
    </row>
    <row r="288" spans="1:14" x14ac:dyDescent="0.4">
      <c r="A288" s="1">
        <v>56</v>
      </c>
      <c r="B288" t="s">
        <v>58</v>
      </c>
      <c r="C288" s="1" t="s">
        <v>11</v>
      </c>
      <c r="D288" s="1" t="s">
        <v>80</v>
      </c>
      <c r="E288" s="1" t="s">
        <v>13</v>
      </c>
      <c r="F288" s="1">
        <v>18</v>
      </c>
      <c r="G288" s="1">
        <v>3</v>
      </c>
      <c r="H288" s="1">
        <v>0.99</v>
      </c>
      <c r="K288" s="1">
        <v>30</v>
      </c>
      <c r="L288" s="1">
        <f>VLOOKUP($B288,covariates!$B$2:$H$125,5)</f>
        <v>17</v>
      </c>
      <c r="M288" s="1">
        <f>VLOOKUP($B288,covariates!$B$2:$H$125,6)</f>
        <v>4</v>
      </c>
      <c r="N288" s="1">
        <v>24</v>
      </c>
    </row>
    <row r="289" spans="1:14" x14ac:dyDescent="0.4">
      <c r="A289" s="1">
        <v>56</v>
      </c>
      <c r="B289" t="s">
        <v>58</v>
      </c>
      <c r="C289" s="1" t="s">
        <v>32</v>
      </c>
      <c r="D289" s="1" t="s">
        <v>80</v>
      </c>
      <c r="E289" s="1" t="s">
        <v>13</v>
      </c>
      <c r="F289" s="1">
        <v>21</v>
      </c>
      <c r="G289" s="1">
        <v>8</v>
      </c>
      <c r="H289" s="1">
        <v>3</v>
      </c>
      <c r="K289" s="1">
        <v>30</v>
      </c>
      <c r="L289" s="1">
        <f>VLOOKUP($B289,covariates!$B$2:$H$125,5)</f>
        <v>17</v>
      </c>
      <c r="M289" s="1">
        <f>VLOOKUP($B289,covariates!$B$2:$H$125,6)</f>
        <v>4</v>
      </c>
      <c r="N289" s="1">
        <v>24</v>
      </c>
    </row>
    <row r="290" spans="1:14" x14ac:dyDescent="0.4">
      <c r="A290" s="1">
        <v>58</v>
      </c>
      <c r="B290" t="s">
        <v>59</v>
      </c>
      <c r="C290" s="1" t="s">
        <v>14</v>
      </c>
      <c r="D290" s="1" t="s">
        <v>80</v>
      </c>
      <c r="E290" s="1" t="s">
        <v>13</v>
      </c>
      <c r="F290" s="1">
        <v>25</v>
      </c>
      <c r="G290" s="1">
        <v>4</v>
      </c>
      <c r="H290" s="1">
        <v>1.07</v>
      </c>
      <c r="K290" s="1">
        <v>27.8</v>
      </c>
      <c r="L290" s="1">
        <f>VLOOKUP($B290,covariates!$B$2:$H$125,5)</f>
        <v>17</v>
      </c>
      <c r="M290" s="1">
        <f>VLOOKUP($B290,covariates!$B$2:$H$125,6)</f>
        <v>8</v>
      </c>
      <c r="N290" s="1">
        <v>6</v>
      </c>
    </row>
    <row r="291" spans="1:14" x14ac:dyDescent="0.4">
      <c r="A291" s="1">
        <v>58</v>
      </c>
      <c r="B291" t="s">
        <v>59</v>
      </c>
      <c r="C291" s="1" t="s">
        <v>16</v>
      </c>
      <c r="D291" s="1" t="s">
        <v>80</v>
      </c>
      <c r="E291" s="1" t="s">
        <v>13</v>
      </c>
      <c r="F291" s="1">
        <v>25</v>
      </c>
      <c r="G291" s="1">
        <v>3</v>
      </c>
      <c r="H291" s="1">
        <v>0.8</v>
      </c>
      <c r="K291" s="1">
        <v>27.8</v>
      </c>
      <c r="L291" s="1">
        <f>VLOOKUP($B291,covariates!$B$2:$H$125,5)</f>
        <v>17</v>
      </c>
      <c r="M291" s="1">
        <f>VLOOKUP($B291,covariates!$B$2:$H$125,6)</f>
        <v>8</v>
      </c>
      <c r="N291" s="1">
        <v>6</v>
      </c>
    </row>
    <row r="292" spans="1:14" x14ac:dyDescent="0.4">
      <c r="A292" s="1">
        <v>70</v>
      </c>
      <c r="B292" t="s">
        <v>23</v>
      </c>
      <c r="C292" s="1" t="s">
        <v>14</v>
      </c>
      <c r="D292" s="1" t="s">
        <v>80</v>
      </c>
      <c r="E292" s="1" t="s">
        <v>13</v>
      </c>
      <c r="F292" s="1">
        <v>33</v>
      </c>
      <c r="G292" s="1">
        <v>6</v>
      </c>
      <c r="H292" s="1">
        <v>1.38</v>
      </c>
      <c r="K292" s="1">
        <v>25.6</v>
      </c>
      <c r="L292" s="1">
        <f>VLOOKUP($B292,covariates!$B$2:$H$125,5)</f>
        <v>26</v>
      </c>
      <c r="M292" s="1">
        <f>VLOOKUP($B292,covariates!$B$2:$H$125,6)</f>
        <v>6</v>
      </c>
      <c r="N292" s="1">
        <v>31.6</v>
      </c>
    </row>
    <row r="293" spans="1:14" x14ac:dyDescent="0.4">
      <c r="A293" s="1">
        <v>70</v>
      </c>
      <c r="B293" t="s">
        <v>23</v>
      </c>
      <c r="C293" s="1" t="s">
        <v>24</v>
      </c>
      <c r="D293" s="1" t="s">
        <v>80</v>
      </c>
      <c r="E293" s="1" t="s">
        <v>13</v>
      </c>
      <c r="F293" s="1">
        <v>32</v>
      </c>
      <c r="G293" s="1">
        <v>6</v>
      </c>
      <c r="H293" s="1">
        <v>1.41</v>
      </c>
      <c r="K293" s="1">
        <v>25.6</v>
      </c>
      <c r="L293" s="1">
        <f>VLOOKUP($B293,covariates!$B$2:$H$125,5)</f>
        <v>26</v>
      </c>
      <c r="M293" s="1">
        <f>VLOOKUP($B293,covariates!$B$2:$H$125,6)</f>
        <v>6</v>
      </c>
      <c r="N293" s="1">
        <v>31.6</v>
      </c>
    </row>
    <row r="294" spans="1:14" x14ac:dyDescent="0.4">
      <c r="A294" s="1">
        <v>76</v>
      </c>
      <c r="B294" t="s">
        <v>25</v>
      </c>
      <c r="C294" s="1" t="s">
        <v>11</v>
      </c>
      <c r="D294" s="1" t="s">
        <v>80</v>
      </c>
      <c r="E294" s="1" t="s">
        <v>13</v>
      </c>
      <c r="F294" s="1">
        <v>53</v>
      </c>
      <c r="G294" s="1">
        <v>5</v>
      </c>
      <c r="H294" s="1">
        <v>0.83</v>
      </c>
      <c r="K294" s="1">
        <v>24</v>
      </c>
      <c r="L294" s="1">
        <f>VLOOKUP($B294,covariates!$B$2:$H$125,5)</f>
        <v>47</v>
      </c>
      <c r="M294" s="1">
        <f>VLOOKUP($B294,covariates!$B$2:$H$125,6)</f>
        <v>43</v>
      </c>
      <c r="N294" s="1">
        <v>120</v>
      </c>
    </row>
    <row r="295" spans="1:14" x14ac:dyDescent="0.4">
      <c r="A295" s="1">
        <v>76</v>
      </c>
      <c r="B295" t="s">
        <v>25</v>
      </c>
      <c r="C295" s="1" t="s">
        <v>14</v>
      </c>
      <c r="D295" s="1" t="s">
        <v>80</v>
      </c>
      <c r="E295" s="1" t="s">
        <v>13</v>
      </c>
      <c r="F295" s="1">
        <v>58</v>
      </c>
      <c r="G295" s="1">
        <v>8</v>
      </c>
      <c r="H295" s="1">
        <v>1.29</v>
      </c>
      <c r="K295" s="1">
        <v>24</v>
      </c>
      <c r="L295" s="1">
        <f>VLOOKUP($B295,covariates!$B$2:$H$125,5)</f>
        <v>47</v>
      </c>
      <c r="M295" s="1">
        <f>VLOOKUP($B295,covariates!$B$2:$H$125,6)</f>
        <v>43</v>
      </c>
      <c r="N295" s="1">
        <v>120</v>
      </c>
    </row>
    <row r="296" spans="1:14" x14ac:dyDescent="0.4">
      <c r="A296" s="1">
        <v>77</v>
      </c>
      <c r="B296" t="s">
        <v>26</v>
      </c>
      <c r="C296" s="1" t="s">
        <v>11</v>
      </c>
      <c r="D296" s="1" t="s">
        <v>80</v>
      </c>
      <c r="E296" s="1" t="s">
        <v>13</v>
      </c>
      <c r="F296" s="1">
        <v>38</v>
      </c>
      <c r="G296" s="1">
        <v>1</v>
      </c>
      <c r="H296" s="1">
        <v>0.25</v>
      </c>
      <c r="K296" s="1">
        <v>27</v>
      </c>
      <c r="N296" s="1">
        <v>228</v>
      </c>
    </row>
    <row r="297" spans="1:14" x14ac:dyDescent="0.4">
      <c r="A297" s="1">
        <v>77</v>
      </c>
      <c r="B297" t="s">
        <v>26</v>
      </c>
      <c r="C297" s="1" t="s">
        <v>14</v>
      </c>
      <c r="D297" s="1" t="s">
        <v>80</v>
      </c>
      <c r="E297" s="1" t="s">
        <v>13</v>
      </c>
      <c r="F297" s="1">
        <v>33</v>
      </c>
      <c r="G297" s="1">
        <v>3</v>
      </c>
      <c r="H297" s="1">
        <v>0.67</v>
      </c>
      <c r="K297" s="1">
        <v>27</v>
      </c>
      <c r="N297" s="1">
        <v>228</v>
      </c>
    </row>
    <row r="298" spans="1:14" x14ac:dyDescent="0.4">
      <c r="A298" s="1">
        <v>82</v>
      </c>
      <c r="B298" t="s">
        <v>43</v>
      </c>
      <c r="C298" s="1" t="s">
        <v>11</v>
      </c>
      <c r="D298" s="1" t="s">
        <v>80</v>
      </c>
      <c r="E298" s="1" t="s">
        <v>13</v>
      </c>
      <c r="F298" s="1">
        <v>24</v>
      </c>
      <c r="G298" s="1">
        <v>6</v>
      </c>
      <c r="H298" s="1">
        <v>1.77</v>
      </c>
      <c r="K298" s="1">
        <v>42.5</v>
      </c>
      <c r="L298" s="1">
        <f>VLOOKUP($B298,covariates!$B$2:$H$125,5)</f>
        <v>13</v>
      </c>
      <c r="M298" s="1">
        <f>VLOOKUP($B298,covariates!$B$2:$H$125,6)</f>
        <v>11</v>
      </c>
      <c r="N298" s="1">
        <v>204</v>
      </c>
    </row>
    <row r="299" spans="1:14" x14ac:dyDescent="0.4">
      <c r="A299" s="1">
        <v>82</v>
      </c>
      <c r="B299" t="s">
        <v>43</v>
      </c>
      <c r="C299" s="1" t="s">
        <v>14</v>
      </c>
      <c r="D299" s="1" t="s">
        <v>80</v>
      </c>
      <c r="E299" s="1" t="s">
        <v>13</v>
      </c>
      <c r="F299" s="1">
        <v>24</v>
      </c>
      <c r="G299" s="1">
        <v>5</v>
      </c>
      <c r="H299" s="1">
        <v>1.42</v>
      </c>
      <c r="K299" s="1">
        <v>42.5</v>
      </c>
      <c r="L299" s="1">
        <f>VLOOKUP($B299,covariates!$B$2:$H$125,5)</f>
        <v>13</v>
      </c>
      <c r="M299" s="1">
        <f>VLOOKUP($B299,covariates!$B$2:$H$125,6)</f>
        <v>11</v>
      </c>
      <c r="N299" s="1">
        <v>204</v>
      </c>
    </row>
    <row r="300" spans="1:14" x14ac:dyDescent="0.4">
      <c r="A300" s="1">
        <v>97</v>
      </c>
      <c r="B300" t="s">
        <v>31</v>
      </c>
      <c r="C300" s="1" t="s">
        <v>14</v>
      </c>
      <c r="D300" s="1" t="s">
        <v>80</v>
      </c>
      <c r="E300" s="1" t="s">
        <v>13</v>
      </c>
      <c r="F300" s="1">
        <v>36</v>
      </c>
      <c r="G300" s="1">
        <v>5</v>
      </c>
      <c r="H300" s="1">
        <v>1.06</v>
      </c>
      <c r="K300" s="1">
        <v>28.7</v>
      </c>
      <c r="L300" s="1">
        <f>VLOOKUP($B300,covariates!$B$2:$H$125,5)</f>
        <v>30</v>
      </c>
      <c r="M300" s="1">
        <f>VLOOKUP($B300,covariates!$B$2:$H$125,6)</f>
        <v>3</v>
      </c>
      <c r="N300" s="1">
        <v>12</v>
      </c>
    </row>
    <row r="301" spans="1:14" x14ac:dyDescent="0.4">
      <c r="A301" s="1">
        <v>97</v>
      </c>
      <c r="B301" t="s">
        <v>31</v>
      </c>
      <c r="C301" s="1" t="s">
        <v>32</v>
      </c>
      <c r="D301" s="1" t="s">
        <v>80</v>
      </c>
      <c r="E301" s="1" t="s">
        <v>13</v>
      </c>
      <c r="F301" s="1">
        <v>33</v>
      </c>
      <c r="G301" s="1">
        <v>0</v>
      </c>
      <c r="H301" s="1">
        <v>0.09</v>
      </c>
      <c r="K301" s="1">
        <v>28.7</v>
      </c>
      <c r="L301" s="1">
        <f>VLOOKUP($B301,covariates!$B$2:$H$125,5)</f>
        <v>30</v>
      </c>
      <c r="M301" s="1">
        <f>VLOOKUP($B301,covariates!$B$2:$H$125,6)</f>
        <v>3</v>
      </c>
      <c r="N301" s="1">
        <v>12</v>
      </c>
    </row>
    <row r="302" spans="1:14" x14ac:dyDescent="0.4">
      <c r="A302" s="1">
        <v>98</v>
      </c>
      <c r="B302" t="s">
        <v>77</v>
      </c>
      <c r="C302" s="1" t="s">
        <v>14</v>
      </c>
      <c r="D302" s="1" t="s">
        <v>80</v>
      </c>
      <c r="E302" s="1" t="s">
        <v>13</v>
      </c>
      <c r="F302" s="1">
        <v>68</v>
      </c>
      <c r="G302" s="1">
        <v>2</v>
      </c>
      <c r="H302" s="1">
        <v>0.31</v>
      </c>
      <c r="K302" s="1">
        <v>24</v>
      </c>
      <c r="L302" s="1">
        <f>VLOOKUP($B302,covariates!$B$2:$H$125,5)</f>
        <v>59</v>
      </c>
      <c r="M302" s="1">
        <f>VLOOKUP($B302,covariates!$B$2:$H$125,6)</f>
        <v>5</v>
      </c>
      <c r="N302" s="1">
        <v>34.5</v>
      </c>
    </row>
    <row r="303" spans="1:14" x14ac:dyDescent="0.4">
      <c r="A303" s="1">
        <v>98</v>
      </c>
      <c r="B303" t="s">
        <v>77</v>
      </c>
      <c r="C303" s="1" t="s">
        <v>17</v>
      </c>
      <c r="D303" s="1" t="s">
        <v>80</v>
      </c>
      <c r="E303" s="1" t="s">
        <v>13</v>
      </c>
      <c r="F303" s="1">
        <v>64</v>
      </c>
      <c r="G303" s="1">
        <v>3</v>
      </c>
      <c r="H303" s="1">
        <v>0.46</v>
      </c>
      <c r="K303" s="1">
        <v>24</v>
      </c>
      <c r="L303" s="1">
        <f>VLOOKUP($B303,covariates!$B$2:$H$125,5)</f>
        <v>59</v>
      </c>
      <c r="M303" s="1">
        <f>VLOOKUP($B303,covariates!$B$2:$H$125,6)</f>
        <v>5</v>
      </c>
      <c r="N303" s="1">
        <v>34.5</v>
      </c>
    </row>
    <row r="304" spans="1:14" x14ac:dyDescent="0.4">
      <c r="A304" s="1">
        <v>1</v>
      </c>
      <c r="B304" t="s">
        <v>81</v>
      </c>
      <c r="C304" s="1" t="s">
        <v>11</v>
      </c>
      <c r="D304" s="1" t="s">
        <v>82</v>
      </c>
      <c r="E304" s="1" t="s">
        <v>38</v>
      </c>
      <c r="F304" s="1">
        <v>16</v>
      </c>
      <c r="G304" s="1">
        <v>4.17</v>
      </c>
      <c r="H304" s="1">
        <v>1.41</v>
      </c>
      <c r="K304" s="1">
        <v>28</v>
      </c>
      <c r="L304" s="1">
        <f>VLOOKUP($B304,covariates!$B$2:$H$125,5)</f>
        <v>12</v>
      </c>
      <c r="M304" s="1">
        <f>VLOOKUP($B304,covariates!$B$2:$H$125,6)</f>
        <v>4</v>
      </c>
      <c r="N304" s="1">
        <v>36</v>
      </c>
    </row>
    <row r="305" spans="1:14" x14ac:dyDescent="0.4">
      <c r="A305" s="1">
        <v>1</v>
      </c>
      <c r="B305" t="s">
        <v>81</v>
      </c>
      <c r="C305" s="1" t="s">
        <v>14</v>
      </c>
      <c r="D305" s="1" t="s">
        <v>82</v>
      </c>
      <c r="E305" s="1" t="s">
        <v>38</v>
      </c>
      <c r="F305" s="1">
        <v>20</v>
      </c>
      <c r="G305" s="1">
        <v>3.15</v>
      </c>
      <c r="H305" s="1">
        <v>1.34</v>
      </c>
      <c r="K305" s="1">
        <v>28</v>
      </c>
      <c r="L305" s="1">
        <f>VLOOKUP($B305,covariates!$B$2:$H$125,5)</f>
        <v>12</v>
      </c>
      <c r="M305" s="1">
        <f>VLOOKUP($B305,covariates!$B$2:$H$125,6)</f>
        <v>4</v>
      </c>
      <c r="N305" s="1">
        <v>36</v>
      </c>
    </row>
    <row r="306" spans="1:14" x14ac:dyDescent="0.4">
      <c r="A306" s="1">
        <v>3</v>
      </c>
      <c r="B306" t="s">
        <v>33</v>
      </c>
      <c r="C306" s="1" t="s">
        <v>11</v>
      </c>
      <c r="D306" s="1" t="s">
        <v>82</v>
      </c>
      <c r="E306" s="1" t="s">
        <v>38</v>
      </c>
      <c r="F306" s="1">
        <v>25</v>
      </c>
      <c r="G306" s="1">
        <v>4.87</v>
      </c>
      <c r="H306" s="1">
        <v>2.29</v>
      </c>
      <c r="K306" s="1">
        <v>28.6</v>
      </c>
      <c r="L306" s="1">
        <f>VLOOKUP($B306,covariates!$B$2:$H$125,5)</f>
        <v>18</v>
      </c>
      <c r="M306" s="1">
        <f>VLOOKUP($B306,covariates!$B$2:$H$125,6)</f>
        <v>7</v>
      </c>
      <c r="N306" s="1">
        <v>86.8</v>
      </c>
    </row>
    <row r="307" spans="1:14" x14ac:dyDescent="0.4">
      <c r="A307" s="1">
        <v>3</v>
      </c>
      <c r="B307" t="s">
        <v>33</v>
      </c>
      <c r="C307" s="1" t="s">
        <v>14</v>
      </c>
      <c r="D307" s="1" t="s">
        <v>82</v>
      </c>
      <c r="E307" s="1" t="s">
        <v>38</v>
      </c>
      <c r="F307" s="1">
        <v>22</v>
      </c>
      <c r="G307" s="1">
        <v>4.8600000000000003</v>
      </c>
      <c r="H307" s="1">
        <v>1.31</v>
      </c>
      <c r="K307" s="1">
        <v>28.6</v>
      </c>
      <c r="L307" s="1">
        <f>VLOOKUP($B307,covariates!$B$2:$H$125,5)</f>
        <v>18</v>
      </c>
      <c r="M307" s="1">
        <f>VLOOKUP($B307,covariates!$B$2:$H$125,6)</f>
        <v>7</v>
      </c>
      <c r="N307" s="1">
        <v>86.8</v>
      </c>
    </row>
    <row r="308" spans="1:14" x14ac:dyDescent="0.4">
      <c r="A308" s="1">
        <v>9</v>
      </c>
      <c r="B308" t="s">
        <v>69</v>
      </c>
      <c r="C308" s="1" t="s">
        <v>11</v>
      </c>
      <c r="D308" s="1" t="s">
        <v>82</v>
      </c>
      <c r="E308" s="1" t="s">
        <v>38</v>
      </c>
      <c r="F308" s="1">
        <v>78</v>
      </c>
      <c r="G308" s="1">
        <v>5.8</v>
      </c>
      <c r="H308" s="1">
        <v>1.87</v>
      </c>
      <c r="K308" s="1">
        <v>35</v>
      </c>
      <c r="L308" s="1">
        <f>VLOOKUP($B308,covariates!$B$2:$H$125,5)</f>
        <v>51</v>
      </c>
      <c r="M308" s="1">
        <f>VLOOKUP($B308,covariates!$B$2:$H$125,6)</f>
        <v>24</v>
      </c>
      <c r="N308" s="1">
        <v>96</v>
      </c>
    </row>
    <row r="309" spans="1:14" x14ac:dyDescent="0.4">
      <c r="A309" s="1">
        <v>9</v>
      </c>
      <c r="B309" t="s">
        <v>69</v>
      </c>
      <c r="C309" s="1" t="s">
        <v>14</v>
      </c>
      <c r="D309" s="1" t="s">
        <v>82</v>
      </c>
      <c r="E309" s="1" t="s">
        <v>38</v>
      </c>
      <c r="F309" s="1">
        <v>75</v>
      </c>
      <c r="G309" s="1">
        <v>4.07</v>
      </c>
      <c r="H309" s="1">
        <v>1.88</v>
      </c>
      <c r="K309" s="1">
        <v>35</v>
      </c>
      <c r="L309" s="1">
        <f>VLOOKUP($B309,covariates!$B$2:$H$125,5)</f>
        <v>51</v>
      </c>
      <c r="M309" s="1">
        <f>VLOOKUP($B309,covariates!$B$2:$H$125,6)</f>
        <v>24</v>
      </c>
      <c r="N309" s="1">
        <v>96</v>
      </c>
    </row>
    <row r="310" spans="1:14" x14ac:dyDescent="0.4">
      <c r="A310" s="1">
        <v>10</v>
      </c>
      <c r="B310" t="s">
        <v>45</v>
      </c>
      <c r="C310" s="1" t="s">
        <v>11</v>
      </c>
      <c r="D310" s="1" t="s">
        <v>82</v>
      </c>
      <c r="E310" s="1" t="s">
        <v>38</v>
      </c>
      <c r="F310" s="1">
        <v>43</v>
      </c>
      <c r="G310" s="1">
        <v>6.1</v>
      </c>
      <c r="H310" s="1">
        <v>1.1399999999999999</v>
      </c>
      <c r="K310" s="1">
        <v>30.5</v>
      </c>
      <c r="L310" s="1">
        <f>VLOOKUP($B310,covariates!$B$2:$H$125,5)</f>
        <v>17</v>
      </c>
      <c r="M310" s="1">
        <f>VLOOKUP($B310,covariates!$B$2:$H$125,6)</f>
        <v>13</v>
      </c>
      <c r="N310" s="1">
        <v>123.6</v>
      </c>
    </row>
    <row r="311" spans="1:14" x14ac:dyDescent="0.4">
      <c r="A311" s="1">
        <v>10</v>
      </c>
      <c r="B311" t="s">
        <v>45</v>
      </c>
      <c r="C311" s="1" t="s">
        <v>32</v>
      </c>
      <c r="D311" s="1" t="s">
        <v>82</v>
      </c>
      <c r="E311" s="1" t="s">
        <v>38</v>
      </c>
      <c r="F311" s="1">
        <v>43</v>
      </c>
      <c r="G311" s="1">
        <v>6.1</v>
      </c>
      <c r="H311" s="1">
        <v>1.1399999999999999</v>
      </c>
      <c r="K311" s="1">
        <v>30.5</v>
      </c>
      <c r="L311" s="1">
        <f>VLOOKUP($B311,covariates!$B$2:$H$125,5)</f>
        <v>17</v>
      </c>
      <c r="M311" s="1">
        <f>VLOOKUP($B311,covariates!$B$2:$H$125,6)</f>
        <v>13</v>
      </c>
      <c r="N311" s="1">
        <v>123.6</v>
      </c>
    </row>
    <row r="312" spans="1:14" x14ac:dyDescent="0.4">
      <c r="A312" s="1">
        <v>13</v>
      </c>
      <c r="B312" t="s">
        <v>47</v>
      </c>
      <c r="C312" s="1" t="s">
        <v>11</v>
      </c>
      <c r="D312" s="1" t="s">
        <v>82</v>
      </c>
      <c r="E312" s="1" t="s">
        <v>38</v>
      </c>
      <c r="F312" s="1">
        <v>61</v>
      </c>
      <c r="G312" s="1">
        <v>4.0999999999999996</v>
      </c>
      <c r="H312" s="1">
        <v>1.7</v>
      </c>
      <c r="K312" s="1">
        <v>26.8</v>
      </c>
      <c r="L312" s="1">
        <f>VLOOKUP($B312,covariates!$B$2:$H$125,5)</f>
        <v>53</v>
      </c>
      <c r="M312" s="1">
        <f>VLOOKUP($B312,covariates!$B$2:$H$125,6)</f>
        <v>33</v>
      </c>
      <c r="N312" s="1">
        <v>191.9</v>
      </c>
    </row>
    <row r="313" spans="1:14" x14ac:dyDescent="0.4">
      <c r="A313" s="1">
        <v>13</v>
      </c>
      <c r="B313" t="s">
        <v>47</v>
      </c>
      <c r="C313" s="1" t="s">
        <v>14</v>
      </c>
      <c r="D313" s="1" t="s">
        <v>82</v>
      </c>
      <c r="E313" s="1" t="s">
        <v>38</v>
      </c>
      <c r="F313" s="1">
        <v>86</v>
      </c>
      <c r="G313" s="1">
        <v>4</v>
      </c>
      <c r="H313" s="1">
        <v>1.7</v>
      </c>
      <c r="K313" s="1">
        <v>26.8</v>
      </c>
      <c r="L313" s="1">
        <f>VLOOKUP($B313,covariates!$B$2:$H$125,5)</f>
        <v>53</v>
      </c>
      <c r="M313" s="1">
        <f>VLOOKUP($B313,covariates!$B$2:$H$125,6)</f>
        <v>33</v>
      </c>
      <c r="N313" s="1">
        <v>191.9</v>
      </c>
    </row>
    <row r="314" spans="1:14" x14ac:dyDescent="0.4">
      <c r="A314" s="1">
        <v>14</v>
      </c>
      <c r="B314" t="s">
        <v>48</v>
      </c>
      <c r="C314" s="1" t="s">
        <v>14</v>
      </c>
      <c r="D314" s="1" t="s">
        <v>82</v>
      </c>
      <c r="E314" s="1" t="s">
        <v>38</v>
      </c>
      <c r="F314" s="1">
        <v>44</v>
      </c>
      <c r="G314" s="1">
        <v>5.0999999999999996</v>
      </c>
      <c r="H314" s="1">
        <v>2.2000000000000002</v>
      </c>
      <c r="K314" s="1">
        <v>29.2</v>
      </c>
      <c r="L314" s="1">
        <f>VLOOKUP($B314,covariates!$B$2:$H$125,5)</f>
        <v>43</v>
      </c>
      <c r="M314" s="1">
        <f>VLOOKUP($B314,covariates!$B$2:$H$125,6)</f>
        <v>6</v>
      </c>
      <c r="N314" s="1">
        <v>120</v>
      </c>
    </row>
    <row r="315" spans="1:14" x14ac:dyDescent="0.4">
      <c r="A315" s="1">
        <v>14</v>
      </c>
      <c r="B315" t="s">
        <v>48</v>
      </c>
      <c r="C315" s="1" t="s">
        <v>17</v>
      </c>
      <c r="D315" s="1" t="s">
        <v>82</v>
      </c>
      <c r="E315" s="1" t="s">
        <v>38</v>
      </c>
      <c r="F315" s="1">
        <v>36</v>
      </c>
      <c r="G315" s="1">
        <v>5.0999999999999996</v>
      </c>
      <c r="H315" s="1">
        <v>2</v>
      </c>
      <c r="K315" s="1">
        <v>29.2</v>
      </c>
      <c r="L315" s="1">
        <f>VLOOKUP($B315,covariates!$B$2:$H$125,5)</f>
        <v>43</v>
      </c>
      <c r="M315" s="1">
        <f>VLOOKUP($B315,covariates!$B$2:$H$125,6)</f>
        <v>6</v>
      </c>
      <c r="N315" s="1">
        <v>120</v>
      </c>
    </row>
    <row r="316" spans="1:14" x14ac:dyDescent="0.4">
      <c r="A316" s="1">
        <v>23</v>
      </c>
      <c r="B316" t="s">
        <v>70</v>
      </c>
      <c r="C316" s="1" t="s">
        <v>11</v>
      </c>
      <c r="D316" s="1" t="s">
        <v>82</v>
      </c>
      <c r="E316" s="1" t="s">
        <v>38</v>
      </c>
      <c r="F316" s="1">
        <v>32</v>
      </c>
      <c r="G316" s="1">
        <v>5.77</v>
      </c>
      <c r="H316" s="1">
        <v>1.94</v>
      </c>
      <c r="K316" s="1">
        <v>30.8</v>
      </c>
      <c r="L316" s="1">
        <f>VLOOKUP($B316,covariates!$B$2:$H$125,5)</f>
        <v>25</v>
      </c>
      <c r="M316" s="1">
        <f>VLOOKUP($B316,covariates!$B$2:$H$125,6)</f>
        <v>9</v>
      </c>
      <c r="N316" s="1">
        <v>24</v>
      </c>
    </row>
    <row r="317" spans="1:14" x14ac:dyDescent="0.4">
      <c r="A317" s="1">
        <v>23</v>
      </c>
      <c r="B317" t="s">
        <v>70</v>
      </c>
      <c r="C317" s="1" t="s">
        <v>14</v>
      </c>
      <c r="D317" s="1" t="s">
        <v>82</v>
      </c>
      <c r="E317" s="1" t="s">
        <v>38</v>
      </c>
      <c r="F317" s="1">
        <v>34</v>
      </c>
      <c r="G317" s="1">
        <v>6.39</v>
      </c>
      <c r="H317" s="1">
        <v>1.43</v>
      </c>
      <c r="K317" s="1">
        <v>30.8</v>
      </c>
      <c r="L317" s="1">
        <f>VLOOKUP($B317,covariates!$B$2:$H$125,5)</f>
        <v>25</v>
      </c>
      <c r="M317" s="1">
        <f>VLOOKUP($B317,covariates!$B$2:$H$125,6)</f>
        <v>9</v>
      </c>
      <c r="N317" s="1">
        <v>24</v>
      </c>
    </row>
    <row r="318" spans="1:14" x14ac:dyDescent="0.4">
      <c r="A318" s="1">
        <v>33</v>
      </c>
      <c r="B318" t="s">
        <v>37</v>
      </c>
      <c r="C318" s="1" t="s">
        <v>11</v>
      </c>
      <c r="D318" s="1" t="s">
        <v>82</v>
      </c>
      <c r="E318" s="1" t="s">
        <v>38</v>
      </c>
      <c r="F318" s="1">
        <v>37</v>
      </c>
      <c r="G318" s="1">
        <v>5.89</v>
      </c>
      <c r="H318" s="1">
        <v>2.12</v>
      </c>
      <c r="K318" s="1" t="s">
        <v>94</v>
      </c>
      <c r="N318" s="1">
        <v>60.6</v>
      </c>
    </row>
    <row r="319" spans="1:14" x14ac:dyDescent="0.4">
      <c r="A319" s="1">
        <v>33</v>
      </c>
      <c r="B319" t="s">
        <v>37</v>
      </c>
      <c r="C319" s="1" t="s">
        <v>14</v>
      </c>
      <c r="D319" s="1" t="s">
        <v>82</v>
      </c>
      <c r="E319" s="1" t="s">
        <v>38</v>
      </c>
      <c r="F319" s="1">
        <v>37</v>
      </c>
      <c r="G319" s="1">
        <v>6</v>
      </c>
      <c r="H319" s="1">
        <v>1.41</v>
      </c>
      <c r="K319" s="1" t="s">
        <v>94</v>
      </c>
      <c r="N319" s="1">
        <v>60.6</v>
      </c>
    </row>
    <row r="320" spans="1:14" x14ac:dyDescent="0.4">
      <c r="A320" s="1">
        <v>34</v>
      </c>
      <c r="B320" t="s">
        <v>73</v>
      </c>
      <c r="C320" s="1" t="s">
        <v>11</v>
      </c>
      <c r="D320" s="1" t="s">
        <v>82</v>
      </c>
      <c r="E320" s="1" t="s">
        <v>38</v>
      </c>
      <c r="F320" s="1">
        <v>30</v>
      </c>
      <c r="G320" s="1">
        <v>6.64</v>
      </c>
      <c r="H320" s="1">
        <v>2.21</v>
      </c>
      <c r="K320" s="1">
        <v>30</v>
      </c>
      <c r="L320" s="1">
        <f>VLOOKUP($B320,covariates!$B$2:$H$125,5)</f>
        <v>14</v>
      </c>
      <c r="M320" s="1">
        <f>VLOOKUP($B320,covariates!$B$2:$H$125,6)</f>
        <v>20</v>
      </c>
      <c r="N320" s="1">
        <v>24.7</v>
      </c>
    </row>
    <row r="321" spans="1:14" x14ac:dyDescent="0.4">
      <c r="A321" s="1">
        <v>34</v>
      </c>
      <c r="B321" t="s">
        <v>73</v>
      </c>
      <c r="C321" s="1" t="s">
        <v>14</v>
      </c>
      <c r="D321" s="1" t="s">
        <v>82</v>
      </c>
      <c r="E321" s="1" t="s">
        <v>38</v>
      </c>
      <c r="F321" s="1">
        <v>29</v>
      </c>
      <c r="G321" s="1">
        <v>5</v>
      </c>
      <c r="H321" s="1">
        <v>1.48</v>
      </c>
      <c r="K321" s="1">
        <v>30</v>
      </c>
      <c r="L321" s="1">
        <f>VLOOKUP($B321,covariates!$B$2:$H$125,5)</f>
        <v>14</v>
      </c>
      <c r="M321" s="1">
        <f>VLOOKUP($B321,covariates!$B$2:$H$125,6)</f>
        <v>20</v>
      </c>
      <c r="N321" s="1">
        <v>24.7</v>
      </c>
    </row>
    <row r="322" spans="1:14" x14ac:dyDescent="0.4">
      <c r="A322" s="1">
        <v>41</v>
      </c>
      <c r="B322" t="s">
        <v>76</v>
      </c>
      <c r="C322" s="1" t="s">
        <v>11</v>
      </c>
      <c r="D322" s="1" t="s">
        <v>82</v>
      </c>
      <c r="E322" s="1" t="s">
        <v>38</v>
      </c>
      <c r="F322" s="1">
        <v>43</v>
      </c>
      <c r="G322" s="1">
        <v>5.98</v>
      </c>
      <c r="H322" s="1">
        <v>1.6</v>
      </c>
      <c r="K322" s="1" t="s">
        <v>94</v>
      </c>
      <c r="N322" s="1">
        <v>24</v>
      </c>
    </row>
    <row r="323" spans="1:14" x14ac:dyDescent="0.4">
      <c r="A323" s="1">
        <v>41</v>
      </c>
      <c r="B323" t="s">
        <v>76</v>
      </c>
      <c r="C323" s="1" t="s">
        <v>14</v>
      </c>
      <c r="D323" s="1" t="s">
        <v>82</v>
      </c>
      <c r="E323" s="1" t="s">
        <v>38</v>
      </c>
      <c r="F323" s="1">
        <v>46</v>
      </c>
      <c r="G323" s="1">
        <v>5.82</v>
      </c>
      <c r="H323" s="1">
        <v>2.2599999999999998</v>
      </c>
      <c r="K323" s="1" t="s">
        <v>94</v>
      </c>
      <c r="N323" s="1">
        <v>24</v>
      </c>
    </row>
    <row r="324" spans="1:14" x14ac:dyDescent="0.4">
      <c r="A324" s="1">
        <v>45</v>
      </c>
      <c r="B324" t="s">
        <v>39</v>
      </c>
      <c r="C324" s="1" t="s">
        <v>11</v>
      </c>
      <c r="D324" s="1" t="s">
        <v>82</v>
      </c>
      <c r="E324" s="1" t="s">
        <v>38</v>
      </c>
      <c r="F324" s="1">
        <v>24</v>
      </c>
      <c r="G324" s="1">
        <v>5.9</v>
      </c>
      <c r="H324" s="1">
        <v>1.28</v>
      </c>
      <c r="K324" s="1">
        <v>29.8</v>
      </c>
      <c r="L324" s="1">
        <f>VLOOKUP($B324,covariates!$B$2:$H$125,5)</f>
        <v>23</v>
      </c>
      <c r="M324" s="1">
        <f>VLOOKUP($B324,covariates!$B$2:$H$125,6)</f>
        <v>8</v>
      </c>
      <c r="N324" s="1">
        <v>120</v>
      </c>
    </row>
    <row r="325" spans="1:14" x14ac:dyDescent="0.4">
      <c r="A325" s="1">
        <v>45</v>
      </c>
      <c r="B325" t="s">
        <v>39</v>
      </c>
      <c r="C325" s="1" t="s">
        <v>14</v>
      </c>
      <c r="D325" s="1" t="s">
        <v>82</v>
      </c>
      <c r="E325" s="1" t="s">
        <v>38</v>
      </c>
      <c r="F325" s="1">
        <v>23</v>
      </c>
      <c r="G325" s="1">
        <v>5.0999999999999996</v>
      </c>
      <c r="H325" s="1">
        <v>1.04</v>
      </c>
      <c r="K325" s="1">
        <v>29.8</v>
      </c>
      <c r="L325" s="1">
        <f>VLOOKUP($B325,covariates!$B$2:$H$125,5)</f>
        <v>23</v>
      </c>
      <c r="M325" s="1">
        <f>VLOOKUP($B325,covariates!$B$2:$H$125,6)</f>
        <v>8</v>
      </c>
      <c r="N325" s="1">
        <v>120</v>
      </c>
    </row>
    <row r="326" spans="1:14" x14ac:dyDescent="0.4">
      <c r="A326" s="1">
        <v>49</v>
      </c>
      <c r="B326" t="s">
        <v>19</v>
      </c>
      <c r="C326" s="1" t="s">
        <v>11</v>
      </c>
      <c r="D326" s="1" t="s">
        <v>82</v>
      </c>
      <c r="E326" s="1" t="s">
        <v>38</v>
      </c>
      <c r="F326" s="1">
        <v>40</v>
      </c>
      <c r="G326" s="1">
        <v>6</v>
      </c>
      <c r="H326" s="1">
        <v>1.86</v>
      </c>
      <c r="K326" s="1">
        <v>25</v>
      </c>
      <c r="N326" s="1">
        <v>26</v>
      </c>
    </row>
    <row r="327" spans="1:14" x14ac:dyDescent="0.4">
      <c r="A327" s="1">
        <v>49</v>
      </c>
      <c r="B327" t="s">
        <v>19</v>
      </c>
      <c r="C327" s="1" t="s">
        <v>14</v>
      </c>
      <c r="D327" s="1" t="s">
        <v>82</v>
      </c>
      <c r="E327" s="1" t="s">
        <v>38</v>
      </c>
      <c r="F327" s="1">
        <v>78</v>
      </c>
      <c r="G327" s="1">
        <v>4</v>
      </c>
      <c r="H327" s="1">
        <v>1.64</v>
      </c>
      <c r="K327" s="1">
        <v>25</v>
      </c>
      <c r="N327" s="1">
        <v>26</v>
      </c>
    </row>
    <row r="328" spans="1:14" x14ac:dyDescent="0.4">
      <c r="A328" s="1">
        <v>51</v>
      </c>
      <c r="B328" t="s">
        <v>55</v>
      </c>
      <c r="C328" s="1" t="s">
        <v>14</v>
      </c>
      <c r="D328" s="1" t="s">
        <v>82</v>
      </c>
      <c r="E328" s="1" t="s">
        <v>38</v>
      </c>
      <c r="F328" s="1">
        <v>32</v>
      </c>
      <c r="G328" s="1">
        <v>7.3</v>
      </c>
      <c r="H328" s="1">
        <v>1.3</v>
      </c>
      <c r="K328" s="1">
        <v>30.5</v>
      </c>
      <c r="L328" s="1">
        <f>VLOOKUP($B328,covariates!$B$2:$H$125,5)</f>
        <v>15</v>
      </c>
      <c r="M328" s="1">
        <f>VLOOKUP($B328,covariates!$B$2:$H$125,6)</f>
        <v>17</v>
      </c>
      <c r="N328" s="1">
        <v>73.2</v>
      </c>
    </row>
    <row r="329" spans="1:14" x14ac:dyDescent="0.4">
      <c r="A329" s="1">
        <v>51</v>
      </c>
      <c r="B329" t="s">
        <v>55</v>
      </c>
      <c r="C329" s="1" t="s">
        <v>17</v>
      </c>
      <c r="D329" s="1" t="s">
        <v>82</v>
      </c>
      <c r="E329" s="1" t="s">
        <v>38</v>
      </c>
      <c r="F329" s="1">
        <v>32</v>
      </c>
      <c r="G329" s="1">
        <v>7</v>
      </c>
      <c r="H329" s="1">
        <v>2.1</v>
      </c>
      <c r="K329" s="1">
        <v>30.5</v>
      </c>
      <c r="L329" s="1">
        <f>VLOOKUP($B329,covariates!$B$2:$H$125,5)</f>
        <v>15</v>
      </c>
      <c r="M329" s="1">
        <f>VLOOKUP($B329,covariates!$B$2:$H$125,6)</f>
        <v>17</v>
      </c>
      <c r="N329" s="1">
        <v>73.2</v>
      </c>
    </row>
    <row r="330" spans="1:14" x14ac:dyDescent="0.4">
      <c r="A330" s="1">
        <v>52</v>
      </c>
      <c r="B330" t="s">
        <v>42</v>
      </c>
      <c r="C330" s="1" t="s">
        <v>11</v>
      </c>
      <c r="D330" s="1" t="s">
        <v>82</v>
      </c>
      <c r="E330" s="1" t="s">
        <v>38</v>
      </c>
      <c r="F330" s="1">
        <v>30</v>
      </c>
      <c r="G330" s="1">
        <v>5</v>
      </c>
      <c r="H330" s="1">
        <v>1.72</v>
      </c>
      <c r="K330" s="1">
        <v>29</v>
      </c>
      <c r="L330" s="1">
        <f>VLOOKUP($B330,covariates!$B$2:$H$125,5)</f>
        <v>26</v>
      </c>
      <c r="M330" s="1">
        <f>VLOOKUP($B330,covariates!$B$2:$H$125,6)</f>
        <v>11</v>
      </c>
      <c r="N330" s="1">
        <v>87.1</v>
      </c>
    </row>
    <row r="331" spans="1:14" x14ac:dyDescent="0.4">
      <c r="A331" s="1">
        <v>52</v>
      </c>
      <c r="B331" t="s">
        <v>42</v>
      </c>
      <c r="C331" s="1" t="s">
        <v>14</v>
      </c>
      <c r="D331" s="1" t="s">
        <v>82</v>
      </c>
      <c r="E331" s="1" t="s">
        <v>38</v>
      </c>
      <c r="F331" s="1">
        <v>32</v>
      </c>
      <c r="G331" s="1">
        <v>6</v>
      </c>
      <c r="H331" s="1">
        <v>1.69</v>
      </c>
      <c r="K331" s="1">
        <v>29</v>
      </c>
      <c r="L331" s="1">
        <f>VLOOKUP($B331,covariates!$B$2:$H$125,5)</f>
        <v>26</v>
      </c>
      <c r="M331" s="1">
        <f>VLOOKUP($B331,covariates!$B$2:$H$125,6)</f>
        <v>11</v>
      </c>
      <c r="N331" s="1">
        <v>87.1</v>
      </c>
    </row>
    <row r="332" spans="1:14" x14ac:dyDescent="0.4">
      <c r="A332" s="1">
        <v>53</v>
      </c>
      <c r="B332" t="s">
        <v>56</v>
      </c>
      <c r="C332" s="1" t="s">
        <v>14</v>
      </c>
      <c r="D332" s="1" t="s">
        <v>82</v>
      </c>
      <c r="E332" s="1" t="s">
        <v>38</v>
      </c>
      <c r="F332" s="1">
        <v>49</v>
      </c>
      <c r="G332" s="1">
        <v>5.9</v>
      </c>
      <c r="H332" s="1">
        <v>1.3</v>
      </c>
      <c r="K332" s="1">
        <v>27.2</v>
      </c>
      <c r="L332" s="1">
        <f>VLOOKUP($B332,covariates!$B$2:$H$125,5)</f>
        <v>29</v>
      </c>
      <c r="M332" s="1">
        <f>VLOOKUP($B332,covariates!$B$2:$H$125,6)</f>
        <v>21</v>
      </c>
      <c r="N332" s="1">
        <v>24</v>
      </c>
    </row>
    <row r="333" spans="1:14" x14ac:dyDescent="0.4">
      <c r="A333" s="1">
        <v>53</v>
      </c>
      <c r="B333" t="s">
        <v>56</v>
      </c>
      <c r="C333" s="1" t="s">
        <v>32</v>
      </c>
      <c r="D333" s="1" t="s">
        <v>82</v>
      </c>
      <c r="E333" s="1" t="s">
        <v>38</v>
      </c>
      <c r="F333" s="1">
        <v>47</v>
      </c>
      <c r="G333" s="1">
        <v>6</v>
      </c>
      <c r="H333" s="1">
        <v>1.5</v>
      </c>
      <c r="K333" s="1">
        <v>27.2</v>
      </c>
      <c r="L333" s="1">
        <f>VLOOKUP($B333,covariates!$B$2:$H$125,5)</f>
        <v>29</v>
      </c>
      <c r="M333" s="1">
        <f>VLOOKUP($B333,covariates!$B$2:$H$125,6)</f>
        <v>21</v>
      </c>
      <c r="N333" s="1">
        <v>24</v>
      </c>
    </row>
    <row r="334" spans="1:14" x14ac:dyDescent="0.4">
      <c r="A334" s="1">
        <v>54</v>
      </c>
      <c r="B334" t="s">
        <v>20</v>
      </c>
      <c r="C334" s="1" t="s">
        <v>11</v>
      </c>
      <c r="D334" s="1" t="s">
        <v>82</v>
      </c>
      <c r="E334" s="1" t="s">
        <v>38</v>
      </c>
      <c r="F334" s="1">
        <v>19</v>
      </c>
      <c r="G334" s="1">
        <v>3</v>
      </c>
      <c r="H334" s="1">
        <v>1.08</v>
      </c>
      <c r="K334" s="1">
        <v>54.5</v>
      </c>
      <c r="N334" s="1">
        <v>240</v>
      </c>
    </row>
    <row r="335" spans="1:14" x14ac:dyDescent="0.4">
      <c r="A335" s="1">
        <v>54</v>
      </c>
      <c r="B335" t="s">
        <v>20</v>
      </c>
      <c r="C335" s="1" t="s">
        <v>14</v>
      </c>
      <c r="D335" s="1" t="s">
        <v>82</v>
      </c>
      <c r="E335" s="1" t="s">
        <v>38</v>
      </c>
      <c r="F335" s="1">
        <v>20</v>
      </c>
      <c r="G335" s="1">
        <v>4</v>
      </c>
      <c r="H335" s="1">
        <v>0.8</v>
      </c>
      <c r="K335" s="1">
        <v>54.5</v>
      </c>
      <c r="N335" s="1">
        <v>240</v>
      </c>
    </row>
    <row r="336" spans="1:14" x14ac:dyDescent="0.4">
      <c r="A336" s="1">
        <v>58</v>
      </c>
      <c r="B336" t="s">
        <v>59</v>
      </c>
      <c r="C336" s="1" t="s">
        <v>14</v>
      </c>
      <c r="D336" s="1" t="s">
        <v>82</v>
      </c>
      <c r="E336" s="1" t="s">
        <v>38</v>
      </c>
      <c r="F336" s="1">
        <v>25</v>
      </c>
      <c r="G336" s="1">
        <v>5.0999999999999996</v>
      </c>
      <c r="H336" s="1">
        <v>1</v>
      </c>
      <c r="K336" s="1">
        <v>27.8</v>
      </c>
      <c r="L336" s="1">
        <f>VLOOKUP($B336,covariates!$B$2:$H$125,5)</f>
        <v>17</v>
      </c>
      <c r="M336" s="1">
        <f>VLOOKUP($B336,covariates!$B$2:$H$125,6)</f>
        <v>8</v>
      </c>
      <c r="N336" s="1">
        <v>6</v>
      </c>
    </row>
    <row r="337" spans="1:14" x14ac:dyDescent="0.4">
      <c r="A337" s="1">
        <v>58</v>
      </c>
      <c r="B337" t="s">
        <v>59</v>
      </c>
      <c r="C337" s="1" t="s">
        <v>16</v>
      </c>
      <c r="D337" s="1" t="s">
        <v>82</v>
      </c>
      <c r="E337" s="1" t="s">
        <v>38</v>
      </c>
      <c r="F337" s="1">
        <v>25</v>
      </c>
      <c r="G337" s="1">
        <v>5.6</v>
      </c>
      <c r="H337" s="1">
        <v>0.9</v>
      </c>
      <c r="K337" s="1">
        <v>27.8</v>
      </c>
      <c r="L337" s="1">
        <f>VLOOKUP($B337,covariates!$B$2:$H$125,5)</f>
        <v>17</v>
      </c>
      <c r="M337" s="1">
        <f>VLOOKUP($B337,covariates!$B$2:$H$125,6)</f>
        <v>8</v>
      </c>
      <c r="N337" s="1">
        <v>6</v>
      </c>
    </row>
    <row r="338" spans="1:14" x14ac:dyDescent="0.4">
      <c r="A338" s="1">
        <v>70</v>
      </c>
      <c r="B338" t="s">
        <v>23</v>
      </c>
      <c r="C338" s="1" t="s">
        <v>14</v>
      </c>
      <c r="D338" s="1" t="s">
        <v>82</v>
      </c>
      <c r="E338" s="1" t="s">
        <v>38</v>
      </c>
      <c r="F338" s="1">
        <v>33</v>
      </c>
      <c r="G338" s="1">
        <v>6</v>
      </c>
      <c r="H338" s="1">
        <v>0.96</v>
      </c>
      <c r="K338" s="1">
        <v>25.6</v>
      </c>
      <c r="L338" s="1">
        <f>VLOOKUP($B338,covariates!$B$2:$H$125,5)</f>
        <v>26</v>
      </c>
      <c r="M338" s="1">
        <f>VLOOKUP($B338,covariates!$B$2:$H$125,6)</f>
        <v>6</v>
      </c>
      <c r="N338" s="1">
        <v>31.6</v>
      </c>
    </row>
    <row r="339" spans="1:14" x14ac:dyDescent="0.4">
      <c r="A339" s="1">
        <v>70</v>
      </c>
      <c r="B339" t="s">
        <v>23</v>
      </c>
      <c r="C339" s="1" t="s">
        <v>24</v>
      </c>
      <c r="D339" s="1" t="s">
        <v>82</v>
      </c>
      <c r="E339" s="1" t="s">
        <v>38</v>
      </c>
      <c r="F339" s="1">
        <v>32</v>
      </c>
      <c r="G339" s="1">
        <v>6</v>
      </c>
      <c r="H339" s="1">
        <v>1.21</v>
      </c>
      <c r="K339" s="1">
        <v>25.6</v>
      </c>
      <c r="L339" s="1">
        <f>VLOOKUP($B339,covariates!$B$2:$H$125,5)</f>
        <v>26</v>
      </c>
      <c r="M339" s="1">
        <f>VLOOKUP($B339,covariates!$B$2:$H$125,6)</f>
        <v>6</v>
      </c>
      <c r="N339" s="1">
        <v>31.6</v>
      </c>
    </row>
    <row r="340" spans="1:14" x14ac:dyDescent="0.4">
      <c r="A340" s="1">
        <v>77</v>
      </c>
      <c r="B340" t="s">
        <v>26</v>
      </c>
      <c r="C340" s="1" t="s">
        <v>11</v>
      </c>
      <c r="D340" s="1" t="s">
        <v>82</v>
      </c>
      <c r="E340" s="1" t="s">
        <v>38</v>
      </c>
      <c r="F340" s="1">
        <v>38</v>
      </c>
      <c r="G340" s="1">
        <v>4</v>
      </c>
      <c r="H340" s="1">
        <v>1.64</v>
      </c>
      <c r="K340" s="1">
        <v>27</v>
      </c>
      <c r="N340" s="1">
        <v>228</v>
      </c>
    </row>
    <row r="341" spans="1:14" x14ac:dyDescent="0.4">
      <c r="A341" s="1">
        <v>77</v>
      </c>
      <c r="B341" t="s">
        <v>26</v>
      </c>
      <c r="C341" s="1" t="s">
        <v>14</v>
      </c>
      <c r="D341" s="1" t="s">
        <v>82</v>
      </c>
      <c r="E341" s="1" t="s">
        <v>38</v>
      </c>
      <c r="F341" s="1">
        <v>33</v>
      </c>
      <c r="G341" s="1">
        <v>5</v>
      </c>
      <c r="H341" s="1">
        <v>2.16</v>
      </c>
      <c r="K341" s="1">
        <v>27</v>
      </c>
      <c r="N341" s="1">
        <v>228</v>
      </c>
    </row>
    <row r="342" spans="1:14" x14ac:dyDescent="0.4">
      <c r="A342" s="1">
        <v>87</v>
      </c>
      <c r="B342" t="s">
        <v>28</v>
      </c>
      <c r="C342" s="1" t="s">
        <v>11</v>
      </c>
      <c r="D342" s="1" t="s">
        <v>82</v>
      </c>
      <c r="E342" s="1" t="s">
        <v>38</v>
      </c>
      <c r="F342" s="1">
        <v>296</v>
      </c>
      <c r="G342" s="1">
        <v>6.6</v>
      </c>
      <c r="H342" s="1">
        <v>1.6</v>
      </c>
      <c r="K342" s="1">
        <v>25.2</v>
      </c>
      <c r="L342" s="1">
        <f>VLOOKUP($B342,covariates!$B$2:$H$125,5)</f>
        <v>233</v>
      </c>
      <c r="M342" s="1">
        <f>VLOOKUP($B342,covariates!$B$2:$H$125,6)</f>
        <v>40</v>
      </c>
      <c r="N342" s="1">
        <v>63.9</v>
      </c>
    </row>
    <row r="343" spans="1:14" x14ac:dyDescent="0.4">
      <c r="A343" s="1">
        <v>87</v>
      </c>
      <c r="B343" t="s">
        <v>28</v>
      </c>
      <c r="C343" s="1" t="s">
        <v>14</v>
      </c>
      <c r="D343" s="1" t="s">
        <v>82</v>
      </c>
      <c r="E343" s="1" t="s">
        <v>38</v>
      </c>
      <c r="F343" s="1">
        <v>297</v>
      </c>
      <c r="G343" s="1">
        <v>6.7</v>
      </c>
      <c r="H343" s="1">
        <v>1.7</v>
      </c>
      <c r="K343" s="1">
        <v>25.2</v>
      </c>
      <c r="L343" s="1">
        <f>VLOOKUP($B343,covariates!$B$2:$H$125,5)</f>
        <v>233</v>
      </c>
      <c r="M343" s="1">
        <f>VLOOKUP($B343,covariates!$B$2:$H$125,6)</f>
        <v>40</v>
      </c>
      <c r="N343" s="1">
        <v>63.9</v>
      </c>
    </row>
    <row r="344" spans="1:14" x14ac:dyDescent="0.4">
      <c r="A344" s="1">
        <v>90</v>
      </c>
      <c r="B344" t="s">
        <v>29</v>
      </c>
      <c r="C344" s="1" t="s">
        <v>11</v>
      </c>
      <c r="D344" s="1" t="s">
        <v>82</v>
      </c>
      <c r="E344" s="1" t="s">
        <v>38</v>
      </c>
      <c r="F344" s="1">
        <v>20</v>
      </c>
      <c r="G344" s="1">
        <v>6.8</v>
      </c>
      <c r="H344" s="1">
        <v>3.27</v>
      </c>
      <c r="K344" s="1">
        <v>22.1</v>
      </c>
      <c r="L344" s="1">
        <f>VLOOKUP($B344,covariates!$B$2:$H$125,5)</f>
        <v>28</v>
      </c>
      <c r="M344" s="1">
        <f>VLOOKUP($B344,covariates!$B$2:$H$125,6)</f>
        <v>4</v>
      </c>
      <c r="N344" s="1">
        <v>38.4</v>
      </c>
    </row>
    <row r="345" spans="1:14" x14ac:dyDescent="0.4">
      <c r="A345" s="1">
        <v>90</v>
      </c>
      <c r="B345" t="s">
        <v>29</v>
      </c>
      <c r="C345" s="1" t="s">
        <v>14</v>
      </c>
      <c r="D345" s="1" t="s">
        <v>82</v>
      </c>
      <c r="E345" s="1" t="s">
        <v>38</v>
      </c>
      <c r="F345" s="1">
        <v>24</v>
      </c>
      <c r="G345" s="1">
        <v>5.3</v>
      </c>
      <c r="H345" s="1">
        <v>3.58</v>
      </c>
      <c r="K345" s="1">
        <v>22.1</v>
      </c>
      <c r="L345" s="1">
        <f>VLOOKUP($B345,covariates!$B$2:$H$125,5)</f>
        <v>28</v>
      </c>
      <c r="M345" s="1">
        <f>VLOOKUP($B345,covariates!$B$2:$H$125,6)</f>
        <v>4</v>
      </c>
      <c r="N345" s="1">
        <v>38.4</v>
      </c>
    </row>
    <row r="346" spans="1:14" x14ac:dyDescent="0.4">
      <c r="A346" s="1">
        <v>96</v>
      </c>
      <c r="B346" t="s">
        <v>30</v>
      </c>
      <c r="C346" s="1" t="s">
        <v>11</v>
      </c>
      <c r="D346" s="1" t="s">
        <v>82</v>
      </c>
      <c r="E346" s="1" t="s">
        <v>38</v>
      </c>
      <c r="F346" s="1">
        <v>29</v>
      </c>
      <c r="G346" s="1">
        <v>6.2</v>
      </c>
      <c r="H346" s="1">
        <v>0.35</v>
      </c>
      <c r="K346" s="1">
        <v>34.200000000000003</v>
      </c>
      <c r="L346" s="1">
        <f>VLOOKUP($B346,covariates!$B$2:$H$125,5)</f>
        <v>18</v>
      </c>
      <c r="M346" s="1">
        <f>VLOOKUP($B346,covariates!$B$2:$H$125,6)</f>
        <v>13</v>
      </c>
      <c r="N346" s="1">
        <v>108</v>
      </c>
    </row>
    <row r="347" spans="1:14" x14ac:dyDescent="0.4">
      <c r="A347" s="1">
        <v>96</v>
      </c>
      <c r="B347" t="s">
        <v>30</v>
      </c>
      <c r="C347" s="1" t="s">
        <v>14</v>
      </c>
      <c r="D347" s="1" t="s">
        <v>82</v>
      </c>
      <c r="E347" s="1" t="s">
        <v>38</v>
      </c>
      <c r="F347" s="1">
        <v>25</v>
      </c>
      <c r="G347" s="1">
        <v>6.14</v>
      </c>
      <c r="H347" s="1">
        <v>0.37</v>
      </c>
      <c r="K347" s="1">
        <v>34.200000000000003</v>
      </c>
      <c r="L347" s="1">
        <f>VLOOKUP($B347,covariates!$B$2:$H$125,5)</f>
        <v>18</v>
      </c>
      <c r="M347" s="1">
        <f>VLOOKUP($B347,covariates!$B$2:$H$125,6)</f>
        <v>13</v>
      </c>
      <c r="N347" s="1">
        <v>108</v>
      </c>
    </row>
    <row r="348" spans="1:14" x14ac:dyDescent="0.4">
      <c r="A348" s="1">
        <v>98</v>
      </c>
      <c r="B348" t="s">
        <v>77</v>
      </c>
      <c r="C348" s="1" t="s">
        <v>14</v>
      </c>
      <c r="D348" s="1" t="s">
        <v>82</v>
      </c>
      <c r="E348" s="1" t="s">
        <v>38</v>
      </c>
      <c r="F348" s="1">
        <v>68</v>
      </c>
      <c r="G348" s="1">
        <v>5</v>
      </c>
      <c r="H348" s="1">
        <v>1.48</v>
      </c>
      <c r="K348" s="1">
        <v>24</v>
      </c>
      <c r="L348" s="1">
        <f>VLOOKUP($B348,covariates!$B$2:$H$125,5)</f>
        <v>59</v>
      </c>
      <c r="M348" s="1">
        <f>VLOOKUP($B348,covariates!$B$2:$H$125,6)</f>
        <v>5</v>
      </c>
      <c r="N348" s="1">
        <v>34.5</v>
      </c>
    </row>
    <row r="349" spans="1:14" x14ac:dyDescent="0.4">
      <c r="A349" s="1">
        <v>98</v>
      </c>
      <c r="B349" t="s">
        <v>77</v>
      </c>
      <c r="C349" s="1" t="s">
        <v>17</v>
      </c>
      <c r="D349" s="1" t="s">
        <v>82</v>
      </c>
      <c r="E349" s="1" t="s">
        <v>38</v>
      </c>
      <c r="F349" s="1">
        <v>64</v>
      </c>
      <c r="G349" s="1">
        <v>5</v>
      </c>
      <c r="H349" s="1">
        <v>1.07</v>
      </c>
      <c r="K349" s="1">
        <v>24</v>
      </c>
      <c r="L349" s="1">
        <f>VLOOKUP($B349,covariates!$B$2:$H$125,5)</f>
        <v>59</v>
      </c>
      <c r="M349" s="1">
        <f>VLOOKUP($B349,covariates!$B$2:$H$125,6)</f>
        <v>5</v>
      </c>
      <c r="N349" s="1">
        <v>34.5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664F-EE9C-4DC9-937B-7ACBACD5FF84}">
  <dimension ref="A1:H123"/>
  <sheetViews>
    <sheetView workbookViewId="0">
      <selection activeCell="H8" sqref="H8"/>
    </sheetView>
  </sheetViews>
  <sheetFormatPr defaultRowHeight="14.6" x14ac:dyDescent="0.4"/>
  <cols>
    <col min="1" max="1" width="3.84375" bestFit="1" customWidth="1"/>
    <col min="2" max="2" width="23.4609375" bestFit="1" customWidth="1"/>
    <col min="3" max="3" width="10.23046875" bestFit="1" customWidth="1"/>
    <col min="4" max="4" width="9.15234375" style="1" bestFit="1" customWidth="1"/>
    <col min="5" max="5" width="6.53515625" style="1" bestFit="1" customWidth="1"/>
    <col min="6" max="6" width="4.84375" style="1" bestFit="1" customWidth="1"/>
    <col min="7" max="7" width="6.3828125" style="1" bestFit="1" customWidth="1"/>
    <col min="8" max="8" width="8.4609375" style="1" bestFit="1" customWidth="1"/>
  </cols>
  <sheetData>
    <row r="1" spans="1:8" x14ac:dyDescent="0.4">
      <c r="A1" t="s">
        <v>0</v>
      </c>
      <c r="B1" t="s">
        <v>1</v>
      </c>
      <c r="C1" t="s">
        <v>2</v>
      </c>
      <c r="D1" s="1" t="s">
        <v>92</v>
      </c>
      <c r="E1" s="1" t="s">
        <v>93</v>
      </c>
      <c r="F1" s="1" t="s">
        <v>8</v>
      </c>
      <c r="G1" s="1" t="s">
        <v>9</v>
      </c>
      <c r="H1" s="1" t="s">
        <v>84</v>
      </c>
    </row>
    <row r="2" spans="1:8" x14ac:dyDescent="0.4">
      <c r="A2">
        <v>1</v>
      </c>
      <c r="B2" t="s">
        <v>81</v>
      </c>
      <c r="C2" t="s">
        <v>11</v>
      </c>
      <c r="D2" s="1">
        <v>32</v>
      </c>
      <c r="E2" s="1">
        <v>5</v>
      </c>
      <c r="F2" s="1">
        <v>15</v>
      </c>
      <c r="G2" s="1">
        <v>5</v>
      </c>
      <c r="H2" s="1">
        <v>36</v>
      </c>
    </row>
    <row r="3" spans="1:8" x14ac:dyDescent="0.4">
      <c r="A3">
        <v>1</v>
      </c>
      <c r="B3" t="s">
        <v>81</v>
      </c>
      <c r="C3" t="s">
        <v>14</v>
      </c>
      <c r="D3" s="1">
        <v>28</v>
      </c>
      <c r="E3" s="1">
        <v>4.4000000000000004</v>
      </c>
      <c r="F3" s="1">
        <v>12</v>
      </c>
      <c r="G3" s="1">
        <v>4</v>
      </c>
      <c r="H3" s="1">
        <v>36</v>
      </c>
    </row>
    <row r="4" spans="1:8" x14ac:dyDescent="0.4">
      <c r="A4">
        <v>2</v>
      </c>
      <c r="B4" t="s">
        <v>66</v>
      </c>
      <c r="C4" t="s">
        <v>11</v>
      </c>
      <c r="D4" s="1">
        <v>25</v>
      </c>
      <c r="E4" s="1">
        <v>5</v>
      </c>
      <c r="F4" s="1">
        <v>46</v>
      </c>
      <c r="G4" s="1">
        <v>14</v>
      </c>
      <c r="H4" s="1">
        <v>24</v>
      </c>
    </row>
    <row r="5" spans="1:8" x14ac:dyDescent="0.4">
      <c r="A5">
        <v>2</v>
      </c>
      <c r="B5" t="s">
        <v>66</v>
      </c>
      <c r="C5" t="s">
        <v>14</v>
      </c>
      <c r="D5" s="1">
        <v>25</v>
      </c>
      <c r="E5" s="1">
        <v>5.2</v>
      </c>
      <c r="F5" s="1">
        <v>46</v>
      </c>
      <c r="G5" s="1">
        <v>14</v>
      </c>
      <c r="H5" s="1">
        <v>24</v>
      </c>
    </row>
    <row r="6" spans="1:8" x14ac:dyDescent="0.4">
      <c r="A6">
        <v>3</v>
      </c>
      <c r="B6" t="s">
        <v>33</v>
      </c>
      <c r="C6" t="s">
        <v>11</v>
      </c>
      <c r="D6" s="1">
        <v>27.4</v>
      </c>
      <c r="E6" s="1">
        <v>8.9</v>
      </c>
      <c r="F6" s="1">
        <v>14</v>
      </c>
      <c r="G6" s="1">
        <v>8</v>
      </c>
      <c r="H6" s="1">
        <v>90.3</v>
      </c>
    </row>
    <row r="7" spans="1:8" x14ac:dyDescent="0.4">
      <c r="A7">
        <v>3</v>
      </c>
      <c r="B7" t="s">
        <v>33</v>
      </c>
      <c r="C7" t="s">
        <v>14</v>
      </c>
      <c r="D7" s="1">
        <v>28.6</v>
      </c>
      <c r="E7" s="1">
        <v>6.4</v>
      </c>
      <c r="F7" s="1">
        <v>18</v>
      </c>
      <c r="G7" s="1">
        <v>7</v>
      </c>
      <c r="H7" s="1">
        <v>86.8</v>
      </c>
    </row>
    <row r="8" spans="1:8" x14ac:dyDescent="0.4">
      <c r="A8">
        <v>5</v>
      </c>
      <c r="B8" t="s">
        <v>34</v>
      </c>
      <c r="C8" t="s">
        <v>11</v>
      </c>
      <c r="D8" s="1">
        <v>23.6</v>
      </c>
      <c r="E8" s="1">
        <v>7.1</v>
      </c>
      <c r="F8" s="1">
        <v>23</v>
      </c>
      <c r="G8" s="1">
        <v>12</v>
      </c>
      <c r="H8" s="1">
        <v>34.6</v>
      </c>
    </row>
    <row r="9" spans="1:8" x14ac:dyDescent="0.4">
      <c r="A9">
        <v>5</v>
      </c>
      <c r="B9" t="s">
        <v>34</v>
      </c>
      <c r="C9" t="s">
        <v>85</v>
      </c>
      <c r="D9" s="1">
        <v>22</v>
      </c>
      <c r="E9" s="1">
        <v>5.8</v>
      </c>
      <c r="F9" s="1">
        <v>22</v>
      </c>
      <c r="G9" s="1">
        <v>11</v>
      </c>
      <c r="H9" s="1">
        <v>35.700000000000003</v>
      </c>
    </row>
    <row r="10" spans="1:8" x14ac:dyDescent="0.4">
      <c r="A10">
        <v>5</v>
      </c>
      <c r="B10" t="s">
        <v>34</v>
      </c>
      <c r="C10" t="s">
        <v>86</v>
      </c>
      <c r="D10" s="1">
        <v>20.100000000000001</v>
      </c>
      <c r="E10" s="1">
        <v>5.8</v>
      </c>
      <c r="F10" s="1">
        <v>23</v>
      </c>
      <c r="G10" s="1">
        <v>12</v>
      </c>
      <c r="H10" s="1">
        <v>35.9</v>
      </c>
    </row>
    <row r="11" spans="1:8" x14ac:dyDescent="0.4">
      <c r="A11">
        <v>5</v>
      </c>
      <c r="B11" t="s">
        <v>34</v>
      </c>
      <c r="C11" t="s">
        <v>14</v>
      </c>
      <c r="D11" s="1">
        <v>21</v>
      </c>
      <c r="E11" s="1">
        <v>5.8</v>
      </c>
      <c r="F11" s="1">
        <v>45</v>
      </c>
      <c r="G11" s="1">
        <v>23</v>
      </c>
      <c r="H11" s="1">
        <v>35.799999999999997</v>
      </c>
    </row>
    <row r="12" spans="1:8" x14ac:dyDescent="0.4">
      <c r="A12">
        <v>6</v>
      </c>
      <c r="B12" t="s">
        <v>10</v>
      </c>
      <c r="C12" t="s">
        <v>11</v>
      </c>
      <c r="D12" s="1">
        <v>29.4</v>
      </c>
      <c r="E12" s="1">
        <v>7.3</v>
      </c>
      <c r="F12" s="1">
        <v>4</v>
      </c>
      <c r="G12" s="1">
        <v>6</v>
      </c>
      <c r="H12" s="1">
        <v>12</v>
      </c>
    </row>
    <row r="13" spans="1:8" x14ac:dyDescent="0.4">
      <c r="A13">
        <v>6</v>
      </c>
      <c r="B13" t="s">
        <v>10</v>
      </c>
      <c r="C13" t="s">
        <v>14</v>
      </c>
      <c r="D13" s="1">
        <v>27.6</v>
      </c>
      <c r="E13" s="1">
        <v>8.6</v>
      </c>
      <c r="F13" s="1">
        <v>3</v>
      </c>
      <c r="G13" s="1">
        <v>7</v>
      </c>
      <c r="H13" s="1">
        <v>12</v>
      </c>
    </row>
    <row r="14" spans="1:8" x14ac:dyDescent="0.4">
      <c r="A14">
        <v>7</v>
      </c>
      <c r="B14" t="s">
        <v>68</v>
      </c>
      <c r="C14" t="s">
        <v>11</v>
      </c>
      <c r="D14" s="1">
        <v>25</v>
      </c>
      <c r="E14" s="1">
        <v>7</v>
      </c>
      <c r="F14" s="1">
        <v>19</v>
      </c>
      <c r="G14" s="1">
        <v>16</v>
      </c>
      <c r="H14" s="1">
        <v>24</v>
      </c>
    </row>
    <row r="15" spans="1:8" x14ac:dyDescent="0.4">
      <c r="A15">
        <v>7</v>
      </c>
      <c r="B15" t="s">
        <v>68</v>
      </c>
      <c r="C15" t="s">
        <v>14</v>
      </c>
      <c r="D15" s="1">
        <v>27</v>
      </c>
      <c r="E15" s="1">
        <v>9</v>
      </c>
      <c r="F15" s="1">
        <v>21</v>
      </c>
      <c r="G15" s="1">
        <v>16</v>
      </c>
      <c r="H15" s="1">
        <v>24</v>
      </c>
    </row>
    <row r="16" spans="1:8" x14ac:dyDescent="0.4">
      <c r="A16">
        <v>9</v>
      </c>
      <c r="B16" t="s">
        <v>69</v>
      </c>
      <c r="C16" t="s">
        <v>11</v>
      </c>
      <c r="D16" s="1">
        <v>33</v>
      </c>
      <c r="E16" s="1">
        <v>6.3</v>
      </c>
      <c r="F16" s="1">
        <v>38</v>
      </c>
      <c r="G16" s="1">
        <v>40</v>
      </c>
      <c r="H16" s="1">
        <v>96</v>
      </c>
    </row>
    <row r="17" spans="1:8" x14ac:dyDescent="0.4">
      <c r="A17">
        <v>9</v>
      </c>
      <c r="B17" t="s">
        <v>69</v>
      </c>
      <c r="C17" t="s">
        <v>14</v>
      </c>
      <c r="D17" s="1">
        <v>35</v>
      </c>
      <c r="E17" s="1">
        <v>7.5</v>
      </c>
      <c r="F17" s="1">
        <v>51</v>
      </c>
      <c r="G17" s="1">
        <v>24</v>
      </c>
      <c r="H17" s="1">
        <v>96</v>
      </c>
    </row>
    <row r="18" spans="1:8" x14ac:dyDescent="0.4">
      <c r="A18">
        <v>10</v>
      </c>
      <c r="B18" t="s">
        <v>45</v>
      </c>
      <c r="C18" t="s">
        <v>11</v>
      </c>
      <c r="D18" s="1">
        <v>30.6</v>
      </c>
      <c r="E18" s="1">
        <v>7.5</v>
      </c>
      <c r="F18" s="1">
        <v>17</v>
      </c>
      <c r="G18" s="1">
        <v>13</v>
      </c>
      <c r="H18" s="1">
        <v>122.4</v>
      </c>
    </row>
    <row r="19" spans="1:8" x14ac:dyDescent="0.4">
      <c r="A19">
        <v>10</v>
      </c>
      <c r="B19" t="s">
        <v>45</v>
      </c>
      <c r="C19" t="s">
        <v>32</v>
      </c>
      <c r="D19" s="1">
        <v>30.5</v>
      </c>
      <c r="E19" s="1">
        <v>7.8</v>
      </c>
      <c r="F19" s="1">
        <v>17</v>
      </c>
      <c r="G19" s="1">
        <v>13</v>
      </c>
      <c r="H19" s="1">
        <v>123.6</v>
      </c>
    </row>
    <row r="20" spans="1:8" x14ac:dyDescent="0.4">
      <c r="A20">
        <v>11</v>
      </c>
      <c r="B20" t="s">
        <v>35</v>
      </c>
      <c r="C20" t="s">
        <v>11</v>
      </c>
      <c r="D20" s="1">
        <v>28.5</v>
      </c>
      <c r="E20" s="1">
        <v>7</v>
      </c>
      <c r="F20" s="1">
        <v>18</v>
      </c>
      <c r="G20" s="1">
        <v>10</v>
      </c>
      <c r="H20" s="1">
        <v>36</v>
      </c>
    </row>
    <row r="21" spans="1:8" x14ac:dyDescent="0.4">
      <c r="A21">
        <v>11</v>
      </c>
      <c r="B21" t="s">
        <v>35</v>
      </c>
      <c r="C21" t="s">
        <v>14</v>
      </c>
      <c r="D21" s="1">
        <v>29.9</v>
      </c>
      <c r="E21" s="1">
        <v>5.7</v>
      </c>
      <c r="F21" s="1">
        <v>13</v>
      </c>
      <c r="G21" s="1">
        <v>15</v>
      </c>
      <c r="H21" s="1">
        <v>36</v>
      </c>
    </row>
    <row r="22" spans="1:8" x14ac:dyDescent="0.4">
      <c r="A22">
        <v>12</v>
      </c>
      <c r="B22" t="s">
        <v>15</v>
      </c>
      <c r="C22" t="s">
        <v>14</v>
      </c>
      <c r="D22" s="1">
        <v>27.9</v>
      </c>
      <c r="E22" s="1">
        <v>6.7</v>
      </c>
      <c r="F22" s="1">
        <v>31</v>
      </c>
      <c r="G22" s="1">
        <v>31</v>
      </c>
      <c r="H22" s="1">
        <v>30.3</v>
      </c>
    </row>
    <row r="23" spans="1:8" x14ac:dyDescent="0.4">
      <c r="A23">
        <v>12</v>
      </c>
      <c r="B23" t="s">
        <v>15</v>
      </c>
      <c r="C23" t="s">
        <v>16</v>
      </c>
      <c r="D23" s="1">
        <v>29.1</v>
      </c>
      <c r="E23" s="1">
        <v>6.5</v>
      </c>
      <c r="F23" s="1">
        <v>34</v>
      </c>
      <c r="G23" s="1">
        <v>28</v>
      </c>
      <c r="H23" s="1">
        <v>29.7</v>
      </c>
    </row>
    <row r="24" spans="1:8" x14ac:dyDescent="0.4">
      <c r="A24">
        <v>13</v>
      </c>
      <c r="B24" t="s">
        <v>47</v>
      </c>
      <c r="C24" t="s">
        <v>11</v>
      </c>
      <c r="D24" s="1">
        <v>28.2</v>
      </c>
      <c r="E24" s="1">
        <v>9.1</v>
      </c>
      <c r="F24" s="1">
        <v>42</v>
      </c>
      <c r="G24" s="1">
        <v>19</v>
      </c>
      <c r="H24" s="1">
        <v>202.6</v>
      </c>
    </row>
    <row r="25" spans="1:8" x14ac:dyDescent="0.4">
      <c r="A25">
        <v>13</v>
      </c>
      <c r="B25" t="s">
        <v>47</v>
      </c>
      <c r="C25" t="s">
        <v>14</v>
      </c>
      <c r="D25" s="1">
        <v>26.8</v>
      </c>
      <c r="E25" s="1">
        <v>7.6</v>
      </c>
      <c r="F25" s="1">
        <v>53</v>
      </c>
      <c r="G25" s="1">
        <v>33</v>
      </c>
      <c r="H25" s="1">
        <v>191.9</v>
      </c>
    </row>
    <row r="26" spans="1:8" x14ac:dyDescent="0.4">
      <c r="A26">
        <v>14</v>
      </c>
      <c r="B26" t="s">
        <v>48</v>
      </c>
      <c r="C26" t="s">
        <v>14</v>
      </c>
      <c r="D26" s="1">
        <v>28.9</v>
      </c>
      <c r="E26" s="1">
        <v>5.8</v>
      </c>
      <c r="F26" s="1">
        <v>41</v>
      </c>
      <c r="G26" s="1">
        <v>7</v>
      </c>
      <c r="H26" s="1">
        <v>120</v>
      </c>
    </row>
    <row r="27" spans="1:8" x14ac:dyDescent="0.4">
      <c r="A27">
        <v>14</v>
      </c>
      <c r="B27" t="s">
        <v>48</v>
      </c>
      <c r="C27" t="s">
        <v>17</v>
      </c>
      <c r="D27" s="1">
        <v>29.2</v>
      </c>
      <c r="E27" s="1">
        <v>5.5</v>
      </c>
      <c r="F27" s="1">
        <v>43</v>
      </c>
      <c r="G27" s="1">
        <v>6</v>
      </c>
      <c r="H27" s="1">
        <v>120</v>
      </c>
    </row>
    <row r="28" spans="1:8" x14ac:dyDescent="0.4">
      <c r="A28">
        <v>18</v>
      </c>
      <c r="B28" t="s">
        <v>49</v>
      </c>
      <c r="C28" t="s">
        <v>14</v>
      </c>
      <c r="D28" s="1">
        <v>29.2</v>
      </c>
      <c r="E28" s="1">
        <v>5</v>
      </c>
      <c r="F28" s="1">
        <v>29</v>
      </c>
      <c r="G28" s="1">
        <v>1</v>
      </c>
      <c r="H28" s="1">
        <v>60</v>
      </c>
    </row>
    <row r="29" spans="1:8" x14ac:dyDescent="0.4">
      <c r="A29">
        <v>18</v>
      </c>
      <c r="B29" t="s">
        <v>49</v>
      </c>
      <c r="C29" t="s">
        <v>16</v>
      </c>
      <c r="D29" s="1">
        <v>27.7</v>
      </c>
      <c r="E29" s="1">
        <v>4.0999999999999996</v>
      </c>
      <c r="F29" s="1">
        <v>30</v>
      </c>
      <c r="G29" s="1">
        <v>0</v>
      </c>
      <c r="H29" s="1">
        <v>60</v>
      </c>
    </row>
    <row r="30" spans="1:8" x14ac:dyDescent="0.4">
      <c r="A30">
        <v>19</v>
      </c>
      <c r="B30" t="s">
        <v>50</v>
      </c>
      <c r="C30" t="s">
        <v>14</v>
      </c>
      <c r="D30" s="1">
        <v>29.4</v>
      </c>
      <c r="E30" s="1">
        <v>7.7</v>
      </c>
      <c r="F30" s="1">
        <v>28</v>
      </c>
      <c r="G30" s="1">
        <v>27</v>
      </c>
      <c r="H30" s="1">
        <v>24</v>
      </c>
    </row>
    <row r="31" spans="1:8" x14ac:dyDescent="0.4">
      <c r="A31">
        <v>19</v>
      </c>
      <c r="B31" t="s">
        <v>50</v>
      </c>
      <c r="C31" t="s">
        <v>32</v>
      </c>
      <c r="D31" s="1">
        <v>28.1</v>
      </c>
      <c r="E31" s="1">
        <v>8.1999999999999993</v>
      </c>
      <c r="F31" s="1">
        <v>28</v>
      </c>
      <c r="G31" s="1">
        <v>29</v>
      </c>
      <c r="H31" s="1">
        <v>24</v>
      </c>
    </row>
    <row r="32" spans="1:8" x14ac:dyDescent="0.4">
      <c r="A32">
        <v>23</v>
      </c>
      <c r="B32" t="s">
        <v>70</v>
      </c>
      <c r="C32" t="s">
        <v>11</v>
      </c>
      <c r="D32" s="1">
        <v>27.3</v>
      </c>
      <c r="E32" s="1">
        <v>8.5</v>
      </c>
      <c r="F32" s="1">
        <v>21</v>
      </c>
      <c r="G32" s="1">
        <v>11</v>
      </c>
      <c r="H32" s="1">
        <v>24</v>
      </c>
    </row>
    <row r="33" spans="1:8" x14ac:dyDescent="0.4">
      <c r="A33">
        <v>23</v>
      </c>
      <c r="B33" t="s">
        <v>70</v>
      </c>
      <c r="C33" t="s">
        <v>14</v>
      </c>
      <c r="D33" s="1">
        <v>30.8</v>
      </c>
      <c r="E33" s="1">
        <v>10.5</v>
      </c>
      <c r="F33" s="1">
        <v>25</v>
      </c>
      <c r="G33" s="1">
        <v>9</v>
      </c>
      <c r="H33" s="1">
        <v>24</v>
      </c>
    </row>
    <row r="34" spans="1:8" x14ac:dyDescent="0.4">
      <c r="A34">
        <v>25</v>
      </c>
      <c r="B34" t="s">
        <v>71</v>
      </c>
      <c r="C34" t="s">
        <v>11</v>
      </c>
      <c r="D34" s="1">
        <v>27</v>
      </c>
      <c r="E34" s="1">
        <v>6</v>
      </c>
      <c r="H34" s="1">
        <v>6.7</v>
      </c>
    </row>
    <row r="35" spans="1:8" x14ac:dyDescent="0.4">
      <c r="A35">
        <v>25</v>
      </c>
      <c r="B35" t="s">
        <v>71</v>
      </c>
      <c r="C35" t="s">
        <v>14</v>
      </c>
      <c r="D35" s="1">
        <v>27</v>
      </c>
      <c r="E35" s="1">
        <v>6</v>
      </c>
      <c r="H35" s="1">
        <v>6.7</v>
      </c>
    </row>
    <row r="36" spans="1:8" x14ac:dyDescent="0.4">
      <c r="A36">
        <v>26</v>
      </c>
      <c r="B36" t="s">
        <v>36</v>
      </c>
      <c r="C36" t="s">
        <v>11</v>
      </c>
      <c r="D36" s="1">
        <v>25.8</v>
      </c>
      <c r="E36" s="1">
        <v>6</v>
      </c>
      <c r="F36" s="1">
        <v>23</v>
      </c>
      <c r="G36" s="1">
        <v>8</v>
      </c>
      <c r="H36" s="1">
        <v>36</v>
      </c>
    </row>
    <row r="37" spans="1:8" x14ac:dyDescent="0.4">
      <c r="A37">
        <v>26</v>
      </c>
      <c r="B37" t="s">
        <v>36</v>
      </c>
      <c r="C37" t="s">
        <v>14</v>
      </c>
      <c r="D37" s="1">
        <v>26.3</v>
      </c>
      <c r="E37" s="1">
        <v>6</v>
      </c>
      <c r="F37" s="1">
        <v>24</v>
      </c>
      <c r="G37" s="1">
        <v>10</v>
      </c>
      <c r="H37" s="1">
        <v>36</v>
      </c>
    </row>
    <row r="38" spans="1:8" x14ac:dyDescent="0.4">
      <c r="A38">
        <v>30</v>
      </c>
      <c r="B38" t="s">
        <v>72</v>
      </c>
      <c r="C38" t="s">
        <v>11</v>
      </c>
      <c r="D38" s="1">
        <v>27</v>
      </c>
      <c r="E38" s="1">
        <v>6.7</v>
      </c>
      <c r="H38" s="1">
        <v>84</v>
      </c>
    </row>
    <row r="39" spans="1:8" x14ac:dyDescent="0.4">
      <c r="A39">
        <v>30</v>
      </c>
      <c r="B39" t="s">
        <v>72</v>
      </c>
      <c r="C39" t="s">
        <v>14</v>
      </c>
      <c r="D39" s="1">
        <v>27</v>
      </c>
      <c r="E39" s="1">
        <v>6.8</v>
      </c>
      <c r="H39" s="1">
        <v>84</v>
      </c>
    </row>
    <row r="40" spans="1:8" x14ac:dyDescent="0.4">
      <c r="A40">
        <v>32</v>
      </c>
      <c r="B40" t="s">
        <v>51</v>
      </c>
      <c r="C40" t="s">
        <v>11</v>
      </c>
      <c r="D40" s="1">
        <v>25.2</v>
      </c>
      <c r="E40" s="1">
        <v>5.5</v>
      </c>
      <c r="F40" s="1">
        <v>23</v>
      </c>
      <c r="G40" s="1">
        <v>8</v>
      </c>
      <c r="H40" s="1">
        <v>24</v>
      </c>
    </row>
    <row r="41" spans="1:8" x14ac:dyDescent="0.4">
      <c r="A41">
        <v>32</v>
      </c>
      <c r="B41" t="s">
        <v>51</v>
      </c>
      <c r="C41" t="s">
        <v>14</v>
      </c>
      <c r="D41" s="1">
        <v>24.6</v>
      </c>
      <c r="E41" s="1">
        <v>5.3</v>
      </c>
      <c r="F41" s="1">
        <v>19</v>
      </c>
      <c r="G41" s="1">
        <v>12</v>
      </c>
      <c r="H41" s="1">
        <v>24</v>
      </c>
    </row>
    <row r="42" spans="1:8" x14ac:dyDescent="0.4">
      <c r="A42">
        <v>33</v>
      </c>
      <c r="B42" t="s">
        <v>37</v>
      </c>
      <c r="C42" t="s">
        <v>11</v>
      </c>
      <c r="H42" s="1">
        <v>60.6</v>
      </c>
    </row>
    <row r="43" spans="1:8" x14ac:dyDescent="0.4">
      <c r="A43">
        <v>33</v>
      </c>
      <c r="B43" t="s">
        <v>37</v>
      </c>
      <c r="C43" t="s">
        <v>14</v>
      </c>
      <c r="H43" s="1">
        <v>60.6</v>
      </c>
    </row>
    <row r="44" spans="1:8" x14ac:dyDescent="0.4">
      <c r="A44">
        <v>34</v>
      </c>
      <c r="B44" t="s">
        <v>73</v>
      </c>
      <c r="C44" t="s">
        <v>11</v>
      </c>
      <c r="D44" s="1">
        <v>29</v>
      </c>
      <c r="E44" s="1">
        <v>7</v>
      </c>
      <c r="F44" s="1">
        <v>22</v>
      </c>
      <c r="G44" s="1">
        <v>12</v>
      </c>
      <c r="H44" s="1">
        <v>24.7</v>
      </c>
    </row>
    <row r="45" spans="1:8" x14ac:dyDescent="0.4">
      <c r="A45">
        <v>34</v>
      </c>
      <c r="B45" t="s">
        <v>73</v>
      </c>
      <c r="C45" t="s">
        <v>14</v>
      </c>
      <c r="D45" s="1">
        <v>30</v>
      </c>
      <c r="E45" s="1">
        <v>9</v>
      </c>
      <c r="F45" s="1">
        <v>14</v>
      </c>
      <c r="G45" s="1">
        <v>20</v>
      </c>
      <c r="H45" s="1">
        <v>24.7</v>
      </c>
    </row>
    <row r="46" spans="1:8" x14ac:dyDescent="0.4">
      <c r="A46">
        <v>35</v>
      </c>
      <c r="B46" t="s">
        <v>74</v>
      </c>
      <c r="C46" t="s">
        <v>11</v>
      </c>
      <c r="D46" s="1">
        <v>33.9</v>
      </c>
      <c r="E46" s="1">
        <v>6.2</v>
      </c>
      <c r="F46" s="1">
        <v>18</v>
      </c>
      <c r="G46" s="1">
        <v>10</v>
      </c>
      <c r="H46" s="1">
        <v>10.199999999999999</v>
      </c>
    </row>
    <row r="47" spans="1:8" x14ac:dyDescent="0.4">
      <c r="A47">
        <v>35</v>
      </c>
      <c r="B47" t="s">
        <v>74</v>
      </c>
      <c r="C47" t="s">
        <v>14</v>
      </c>
      <c r="D47" s="1">
        <v>37.9</v>
      </c>
      <c r="E47" s="1">
        <v>9.1</v>
      </c>
      <c r="F47" s="1">
        <v>15</v>
      </c>
      <c r="G47" s="1">
        <v>14</v>
      </c>
      <c r="H47" s="1">
        <v>10.7</v>
      </c>
    </row>
    <row r="48" spans="1:8" x14ac:dyDescent="0.4">
      <c r="A48">
        <v>36</v>
      </c>
      <c r="B48" t="s">
        <v>52</v>
      </c>
      <c r="C48" t="s">
        <v>14</v>
      </c>
      <c r="D48" s="1">
        <v>32.700000000000003</v>
      </c>
      <c r="E48" s="1">
        <v>11.4</v>
      </c>
      <c r="F48" s="1">
        <v>12</v>
      </c>
      <c r="G48" s="1">
        <v>15</v>
      </c>
      <c r="H48" s="1">
        <v>24</v>
      </c>
    </row>
    <row r="49" spans="1:8" x14ac:dyDescent="0.4">
      <c r="A49">
        <v>36</v>
      </c>
      <c r="B49" t="s">
        <v>52</v>
      </c>
      <c r="C49" t="s">
        <v>32</v>
      </c>
      <c r="D49" s="1">
        <v>24.1</v>
      </c>
      <c r="E49" s="1">
        <v>3.6</v>
      </c>
      <c r="F49" s="1">
        <v>21</v>
      </c>
      <c r="G49" s="1">
        <v>3</v>
      </c>
      <c r="H49" s="1">
        <v>24</v>
      </c>
    </row>
    <row r="50" spans="1:8" x14ac:dyDescent="0.4">
      <c r="A50">
        <v>37</v>
      </c>
      <c r="B50" t="s">
        <v>75</v>
      </c>
      <c r="C50" t="s">
        <v>11</v>
      </c>
      <c r="D50" s="1">
        <v>22.3</v>
      </c>
      <c r="E50" s="1">
        <v>3.9</v>
      </c>
      <c r="F50" s="1">
        <v>40</v>
      </c>
      <c r="G50" s="1">
        <v>0</v>
      </c>
      <c r="H50" s="1">
        <v>81</v>
      </c>
    </row>
    <row r="51" spans="1:8" x14ac:dyDescent="0.4">
      <c r="A51">
        <v>37</v>
      </c>
      <c r="B51" t="s">
        <v>75</v>
      </c>
      <c r="C51" t="s">
        <v>14</v>
      </c>
      <c r="D51" s="1">
        <v>22.3</v>
      </c>
      <c r="E51" s="1">
        <v>3.8</v>
      </c>
      <c r="F51" s="1">
        <v>46</v>
      </c>
      <c r="G51" s="1">
        <v>0</v>
      </c>
      <c r="H51" s="1">
        <v>81</v>
      </c>
    </row>
    <row r="52" spans="1:8" x14ac:dyDescent="0.4">
      <c r="A52">
        <v>38</v>
      </c>
      <c r="B52" t="s">
        <v>53</v>
      </c>
      <c r="C52" t="s">
        <v>11</v>
      </c>
      <c r="D52" s="1">
        <v>24.8</v>
      </c>
      <c r="E52" s="1">
        <v>5</v>
      </c>
      <c r="F52" s="1">
        <v>10</v>
      </c>
      <c r="G52" s="1">
        <v>0</v>
      </c>
      <c r="H52" s="1">
        <v>9</v>
      </c>
    </row>
    <row r="53" spans="1:8" x14ac:dyDescent="0.4">
      <c r="A53">
        <v>38</v>
      </c>
      <c r="B53" t="s">
        <v>53</v>
      </c>
      <c r="C53" t="s">
        <v>14</v>
      </c>
      <c r="D53" s="1">
        <v>26.7</v>
      </c>
      <c r="E53" s="1">
        <v>7.2</v>
      </c>
      <c r="F53" s="1">
        <v>10</v>
      </c>
      <c r="G53" s="1">
        <v>0</v>
      </c>
      <c r="H53" s="1">
        <v>9</v>
      </c>
    </row>
    <row r="54" spans="1:8" x14ac:dyDescent="0.4">
      <c r="A54">
        <v>41</v>
      </c>
      <c r="B54" t="s">
        <v>76</v>
      </c>
      <c r="C54" t="s">
        <v>11</v>
      </c>
      <c r="H54" s="1">
        <v>24</v>
      </c>
    </row>
    <row r="55" spans="1:8" x14ac:dyDescent="0.4">
      <c r="A55">
        <v>41</v>
      </c>
      <c r="B55" t="s">
        <v>76</v>
      </c>
      <c r="C55" t="s">
        <v>14</v>
      </c>
      <c r="H55" s="1">
        <v>24</v>
      </c>
    </row>
    <row r="56" spans="1:8" x14ac:dyDescent="0.4">
      <c r="A56">
        <v>43</v>
      </c>
      <c r="B56" t="s">
        <v>18</v>
      </c>
      <c r="C56" t="s">
        <v>11</v>
      </c>
      <c r="D56" s="1">
        <v>26</v>
      </c>
      <c r="E56" s="1">
        <v>6.3</v>
      </c>
      <c r="F56" s="1">
        <v>0</v>
      </c>
      <c r="G56" s="1">
        <v>74</v>
      </c>
      <c r="H56" s="1">
        <v>24</v>
      </c>
    </row>
    <row r="57" spans="1:8" x14ac:dyDescent="0.4">
      <c r="A57">
        <v>43</v>
      </c>
      <c r="B57" t="s">
        <v>18</v>
      </c>
      <c r="C57" t="s">
        <v>14</v>
      </c>
      <c r="D57" s="1">
        <v>26</v>
      </c>
      <c r="E57" s="1">
        <v>6.3</v>
      </c>
      <c r="F57" s="1">
        <v>0</v>
      </c>
      <c r="G57" s="1">
        <v>73</v>
      </c>
      <c r="H57" s="1">
        <v>24</v>
      </c>
    </row>
    <row r="58" spans="1:8" x14ac:dyDescent="0.4">
      <c r="A58">
        <v>44</v>
      </c>
      <c r="B58" t="s">
        <v>54</v>
      </c>
      <c r="C58" t="s">
        <v>11</v>
      </c>
      <c r="D58" s="1">
        <v>31</v>
      </c>
      <c r="E58" s="1">
        <v>9.5</v>
      </c>
      <c r="F58" s="1">
        <v>23</v>
      </c>
      <c r="G58" s="1">
        <v>17</v>
      </c>
      <c r="H58" s="1">
        <v>28</v>
      </c>
    </row>
    <row r="59" spans="1:8" x14ac:dyDescent="0.4">
      <c r="A59">
        <v>44</v>
      </c>
      <c r="B59" t="s">
        <v>54</v>
      </c>
      <c r="C59" t="s">
        <v>32</v>
      </c>
      <c r="D59" s="1">
        <v>29.8</v>
      </c>
      <c r="E59" s="1">
        <v>9.5</v>
      </c>
      <c r="F59" s="1">
        <v>21</v>
      </c>
      <c r="G59" s="1">
        <v>19</v>
      </c>
      <c r="H59" s="1">
        <v>28</v>
      </c>
    </row>
    <row r="60" spans="1:8" x14ac:dyDescent="0.4">
      <c r="A60">
        <v>45</v>
      </c>
      <c r="B60" t="s">
        <v>39</v>
      </c>
      <c r="C60" t="s">
        <v>11</v>
      </c>
      <c r="D60" s="1">
        <v>29.8</v>
      </c>
      <c r="E60" s="1">
        <v>6.3</v>
      </c>
      <c r="F60" s="1">
        <v>22</v>
      </c>
      <c r="G60" s="1">
        <v>9</v>
      </c>
      <c r="H60" s="1">
        <v>120</v>
      </c>
    </row>
    <row r="61" spans="1:8" x14ac:dyDescent="0.4">
      <c r="A61">
        <v>45</v>
      </c>
      <c r="B61" t="s">
        <v>39</v>
      </c>
      <c r="C61" t="s">
        <v>14</v>
      </c>
      <c r="D61" s="1">
        <v>29.8</v>
      </c>
      <c r="E61" s="1">
        <v>6.3</v>
      </c>
      <c r="F61" s="1">
        <v>23</v>
      </c>
      <c r="G61" s="1">
        <v>8</v>
      </c>
      <c r="H61" s="1">
        <v>120</v>
      </c>
    </row>
    <row r="62" spans="1:8" x14ac:dyDescent="0.4">
      <c r="A62">
        <v>46</v>
      </c>
      <c r="B62" t="s">
        <v>40</v>
      </c>
      <c r="C62" t="s">
        <v>11</v>
      </c>
      <c r="D62" s="1">
        <v>29.9</v>
      </c>
      <c r="E62" s="1">
        <v>8.9</v>
      </c>
      <c r="H62" s="1">
        <v>19</v>
      </c>
    </row>
    <row r="63" spans="1:8" x14ac:dyDescent="0.4">
      <c r="A63">
        <v>46</v>
      </c>
      <c r="B63" t="s">
        <v>40</v>
      </c>
      <c r="C63" t="s">
        <v>14</v>
      </c>
      <c r="D63" s="1">
        <v>28.7</v>
      </c>
      <c r="E63" s="1">
        <v>9.3000000000000007</v>
      </c>
      <c r="H63" s="1">
        <v>19</v>
      </c>
    </row>
    <row r="64" spans="1:8" x14ac:dyDescent="0.4">
      <c r="A64">
        <v>47</v>
      </c>
      <c r="B64" t="s">
        <v>41</v>
      </c>
      <c r="C64" t="s">
        <v>14</v>
      </c>
      <c r="D64" s="1">
        <v>32</v>
      </c>
      <c r="E64" s="1">
        <v>8.4</v>
      </c>
      <c r="F64" s="1">
        <v>32</v>
      </c>
      <c r="G64" s="1">
        <v>22</v>
      </c>
      <c r="H64" s="1">
        <v>24</v>
      </c>
    </row>
    <row r="65" spans="1:8" x14ac:dyDescent="0.4">
      <c r="A65">
        <v>47</v>
      </c>
      <c r="B65" t="s">
        <v>41</v>
      </c>
      <c r="C65" t="s">
        <v>17</v>
      </c>
      <c r="D65" s="1">
        <v>33</v>
      </c>
      <c r="E65" s="1">
        <v>8.3000000000000007</v>
      </c>
      <c r="F65" s="1">
        <v>38</v>
      </c>
      <c r="G65" s="1">
        <v>10</v>
      </c>
      <c r="H65" s="1">
        <v>24</v>
      </c>
    </row>
    <row r="66" spans="1:8" x14ac:dyDescent="0.4">
      <c r="A66">
        <v>49</v>
      </c>
      <c r="B66" t="s">
        <v>19</v>
      </c>
      <c r="C66" t="s">
        <v>11</v>
      </c>
      <c r="D66" s="1">
        <v>28</v>
      </c>
      <c r="E66" s="1">
        <v>8.3000000000000007</v>
      </c>
      <c r="H66" s="1">
        <v>26</v>
      </c>
    </row>
    <row r="67" spans="1:8" x14ac:dyDescent="0.4">
      <c r="A67">
        <v>49</v>
      </c>
      <c r="B67" t="s">
        <v>19</v>
      </c>
      <c r="C67" t="s">
        <v>14</v>
      </c>
      <c r="D67" s="1">
        <v>25</v>
      </c>
      <c r="E67" s="1">
        <v>5.6</v>
      </c>
      <c r="H67" s="1">
        <v>26</v>
      </c>
    </row>
    <row r="68" spans="1:8" x14ac:dyDescent="0.4">
      <c r="A68">
        <v>51</v>
      </c>
      <c r="B68" t="s">
        <v>55</v>
      </c>
      <c r="C68" t="s">
        <v>14</v>
      </c>
      <c r="D68" s="1">
        <v>29.8</v>
      </c>
      <c r="E68" s="1">
        <v>7.9</v>
      </c>
      <c r="F68" s="1">
        <v>17</v>
      </c>
      <c r="G68" s="1">
        <v>15</v>
      </c>
      <c r="H68" s="1">
        <v>69.599999999999994</v>
      </c>
    </row>
    <row r="69" spans="1:8" x14ac:dyDescent="0.4">
      <c r="A69">
        <v>51</v>
      </c>
      <c r="B69" t="s">
        <v>55</v>
      </c>
      <c r="C69" t="s">
        <v>17</v>
      </c>
      <c r="D69" s="1">
        <v>30.5</v>
      </c>
      <c r="E69" s="1">
        <v>6.1</v>
      </c>
      <c r="F69" s="1">
        <v>15</v>
      </c>
      <c r="G69" s="1">
        <v>17</v>
      </c>
      <c r="H69" s="1">
        <v>73.2</v>
      </c>
    </row>
    <row r="70" spans="1:8" x14ac:dyDescent="0.4">
      <c r="A70">
        <v>52</v>
      </c>
      <c r="B70" t="s">
        <v>42</v>
      </c>
      <c r="C70" t="s">
        <v>11</v>
      </c>
      <c r="D70" s="1">
        <v>28</v>
      </c>
      <c r="E70" s="1">
        <v>8.4</v>
      </c>
      <c r="F70" s="1">
        <v>23</v>
      </c>
      <c r="G70" s="1">
        <v>11</v>
      </c>
      <c r="H70" s="1">
        <v>87.1</v>
      </c>
    </row>
    <row r="71" spans="1:8" x14ac:dyDescent="0.4">
      <c r="A71">
        <v>52</v>
      </c>
      <c r="B71" t="s">
        <v>42</v>
      </c>
      <c r="C71" t="s">
        <v>14</v>
      </c>
      <c r="D71" s="1">
        <v>29</v>
      </c>
      <c r="E71" s="1">
        <v>10.4</v>
      </c>
      <c r="F71" s="1">
        <v>26</v>
      </c>
      <c r="G71" s="1">
        <v>11</v>
      </c>
      <c r="H71" s="1">
        <v>87.1</v>
      </c>
    </row>
    <row r="72" spans="1:8" x14ac:dyDescent="0.4">
      <c r="A72">
        <v>53</v>
      </c>
      <c r="B72" t="s">
        <v>56</v>
      </c>
      <c r="C72" t="s">
        <v>14</v>
      </c>
      <c r="D72" s="1">
        <v>27.1</v>
      </c>
      <c r="E72" s="1">
        <v>6.1</v>
      </c>
      <c r="F72" s="1">
        <v>25</v>
      </c>
      <c r="G72" s="1">
        <v>24</v>
      </c>
      <c r="H72" s="1">
        <v>24</v>
      </c>
    </row>
    <row r="73" spans="1:8" x14ac:dyDescent="0.4">
      <c r="A73">
        <v>53</v>
      </c>
      <c r="B73" t="s">
        <v>56</v>
      </c>
      <c r="C73" t="s">
        <v>32</v>
      </c>
      <c r="D73" s="1">
        <v>27.2</v>
      </c>
      <c r="E73" s="1">
        <v>6.2</v>
      </c>
      <c r="F73" s="1">
        <v>29</v>
      </c>
      <c r="G73" s="1">
        <v>21</v>
      </c>
      <c r="H73" s="1">
        <v>24</v>
      </c>
    </row>
    <row r="74" spans="1:8" x14ac:dyDescent="0.4">
      <c r="A74">
        <v>54</v>
      </c>
      <c r="B74" t="s">
        <v>20</v>
      </c>
      <c r="C74" t="s">
        <v>11</v>
      </c>
      <c r="D74" s="1">
        <v>52.8</v>
      </c>
      <c r="E74" s="1">
        <v>7.3</v>
      </c>
      <c r="H74" s="1">
        <v>240</v>
      </c>
    </row>
    <row r="75" spans="1:8" x14ac:dyDescent="0.4">
      <c r="A75">
        <v>54</v>
      </c>
      <c r="B75" t="s">
        <v>20</v>
      </c>
      <c r="C75" t="s">
        <v>14</v>
      </c>
      <c r="D75" s="1">
        <v>54.5</v>
      </c>
      <c r="E75" s="1">
        <v>7.5</v>
      </c>
      <c r="H75" s="1">
        <v>240</v>
      </c>
    </row>
    <row r="76" spans="1:8" x14ac:dyDescent="0.4">
      <c r="A76">
        <v>55</v>
      </c>
      <c r="B76" t="s">
        <v>57</v>
      </c>
      <c r="C76" t="s">
        <v>11</v>
      </c>
      <c r="D76" s="1">
        <v>26.5</v>
      </c>
      <c r="E76" s="1">
        <v>5</v>
      </c>
      <c r="F76" s="1">
        <v>14</v>
      </c>
      <c r="G76" s="1">
        <v>0</v>
      </c>
      <c r="H76" s="1">
        <v>12</v>
      </c>
    </row>
    <row r="77" spans="1:8" x14ac:dyDescent="0.4">
      <c r="A77">
        <v>55</v>
      </c>
      <c r="B77" t="s">
        <v>57</v>
      </c>
      <c r="C77" t="s">
        <v>87</v>
      </c>
      <c r="D77" s="1">
        <v>23.2</v>
      </c>
      <c r="E77" s="1">
        <v>3.9</v>
      </c>
      <c r="F77" s="1">
        <v>21</v>
      </c>
      <c r="G77" s="1">
        <v>0</v>
      </c>
      <c r="H77" s="1">
        <v>12</v>
      </c>
    </row>
    <row r="78" spans="1:8" x14ac:dyDescent="0.4">
      <c r="A78">
        <v>55</v>
      </c>
      <c r="B78" t="s">
        <v>57</v>
      </c>
      <c r="C78" t="s">
        <v>88</v>
      </c>
      <c r="D78" s="1">
        <v>26.4</v>
      </c>
      <c r="E78" s="1">
        <v>4.9000000000000004</v>
      </c>
      <c r="F78" s="1">
        <v>17</v>
      </c>
      <c r="G78" s="1">
        <v>0</v>
      </c>
      <c r="H78" s="1">
        <v>12</v>
      </c>
    </row>
    <row r="79" spans="1:8" x14ac:dyDescent="0.4">
      <c r="A79">
        <v>55</v>
      </c>
      <c r="B79" t="s">
        <v>57</v>
      </c>
      <c r="C79" t="s">
        <v>14</v>
      </c>
      <c r="D79" s="1">
        <v>24.6</v>
      </c>
      <c r="E79" s="1">
        <v>4.5999999999999996</v>
      </c>
      <c r="F79" s="1">
        <v>38</v>
      </c>
      <c r="G79" s="1">
        <v>0</v>
      </c>
      <c r="H79" s="1">
        <v>12</v>
      </c>
    </row>
    <row r="80" spans="1:8" x14ac:dyDescent="0.4">
      <c r="A80">
        <v>56</v>
      </c>
      <c r="B80" t="s">
        <v>58</v>
      </c>
      <c r="C80" t="s">
        <v>11</v>
      </c>
      <c r="D80" s="1">
        <v>31</v>
      </c>
      <c r="E80" s="1">
        <v>8</v>
      </c>
      <c r="F80" s="1">
        <v>15</v>
      </c>
      <c r="G80" s="1">
        <v>3</v>
      </c>
      <c r="H80" s="1">
        <v>24</v>
      </c>
    </row>
    <row r="81" spans="1:8" x14ac:dyDescent="0.4">
      <c r="A81">
        <v>56</v>
      </c>
      <c r="B81" t="s">
        <v>58</v>
      </c>
      <c r="C81" t="s">
        <v>32</v>
      </c>
      <c r="D81" s="1">
        <v>30</v>
      </c>
      <c r="E81" s="1">
        <v>9</v>
      </c>
      <c r="F81" s="1">
        <v>17</v>
      </c>
      <c r="G81" s="1">
        <v>4</v>
      </c>
      <c r="H81" s="1">
        <v>24</v>
      </c>
    </row>
    <row r="82" spans="1:8" x14ac:dyDescent="0.4">
      <c r="A82">
        <v>58</v>
      </c>
      <c r="B82" t="s">
        <v>59</v>
      </c>
      <c r="C82" t="s">
        <v>14</v>
      </c>
      <c r="D82" s="1">
        <v>28.1</v>
      </c>
      <c r="E82" s="1">
        <v>5.2</v>
      </c>
      <c r="F82" s="1">
        <v>18</v>
      </c>
      <c r="G82" s="1">
        <v>7</v>
      </c>
      <c r="H82" s="1">
        <v>6</v>
      </c>
    </row>
    <row r="83" spans="1:8" x14ac:dyDescent="0.4">
      <c r="A83">
        <v>58</v>
      </c>
      <c r="B83" t="s">
        <v>59</v>
      </c>
      <c r="C83" t="s">
        <v>16</v>
      </c>
      <c r="D83" s="1">
        <v>27.8</v>
      </c>
      <c r="E83" s="1">
        <v>4.9000000000000004</v>
      </c>
      <c r="F83" s="1">
        <v>17</v>
      </c>
      <c r="G83" s="1">
        <v>8</v>
      </c>
      <c r="H83" s="1">
        <v>6</v>
      </c>
    </row>
    <row r="84" spans="1:8" x14ac:dyDescent="0.4">
      <c r="A84">
        <v>62</v>
      </c>
      <c r="B84" t="s">
        <v>60</v>
      </c>
      <c r="C84" t="s">
        <v>11</v>
      </c>
      <c r="D84" s="1">
        <v>23.7</v>
      </c>
      <c r="E84" s="1">
        <v>7.7</v>
      </c>
      <c r="F84" s="1">
        <v>21</v>
      </c>
      <c r="G84" s="1">
        <v>16</v>
      </c>
      <c r="H84" s="1">
        <v>87</v>
      </c>
    </row>
    <row r="85" spans="1:8" x14ac:dyDescent="0.4">
      <c r="A85">
        <v>62</v>
      </c>
      <c r="B85" t="s">
        <v>60</v>
      </c>
      <c r="C85" t="s">
        <v>14</v>
      </c>
      <c r="D85" s="1">
        <v>24.4</v>
      </c>
      <c r="E85" s="1">
        <v>9.6999999999999993</v>
      </c>
      <c r="F85" s="1">
        <v>20</v>
      </c>
      <c r="G85" s="1">
        <v>15</v>
      </c>
      <c r="H85" s="1">
        <v>80.7</v>
      </c>
    </row>
    <row r="86" spans="1:8" x14ac:dyDescent="0.4">
      <c r="A86">
        <v>66</v>
      </c>
      <c r="B86" t="s">
        <v>21</v>
      </c>
      <c r="C86" t="s">
        <v>11</v>
      </c>
      <c r="D86" s="1">
        <v>28.7</v>
      </c>
      <c r="E86" s="1">
        <v>9.9</v>
      </c>
      <c r="F86" s="1">
        <v>63</v>
      </c>
      <c r="G86" s="1">
        <v>47</v>
      </c>
      <c r="H86" s="1">
        <v>24</v>
      </c>
    </row>
    <row r="87" spans="1:8" x14ac:dyDescent="0.4">
      <c r="A87">
        <v>66</v>
      </c>
      <c r="B87" t="s">
        <v>21</v>
      </c>
      <c r="C87" t="s">
        <v>89</v>
      </c>
      <c r="D87" s="1">
        <v>28.3</v>
      </c>
      <c r="E87" s="1">
        <v>9.8000000000000007</v>
      </c>
      <c r="F87" s="1">
        <v>61</v>
      </c>
      <c r="G87" s="1">
        <v>49</v>
      </c>
      <c r="H87" s="1">
        <v>24</v>
      </c>
    </row>
    <row r="88" spans="1:8" x14ac:dyDescent="0.4">
      <c r="A88">
        <v>66</v>
      </c>
      <c r="B88" t="s">
        <v>21</v>
      </c>
      <c r="C88" t="s">
        <v>88</v>
      </c>
      <c r="D88" s="1">
        <v>28.5</v>
      </c>
      <c r="E88" s="1">
        <v>9.9</v>
      </c>
      <c r="F88" s="1">
        <v>59</v>
      </c>
      <c r="G88" s="1">
        <v>51</v>
      </c>
      <c r="H88" s="1">
        <v>24</v>
      </c>
    </row>
    <row r="89" spans="1:8" x14ac:dyDescent="0.4">
      <c r="A89">
        <v>66</v>
      </c>
      <c r="B89" t="s">
        <v>21</v>
      </c>
      <c r="C89" t="s">
        <v>14</v>
      </c>
      <c r="D89" s="1">
        <v>28.4</v>
      </c>
      <c r="E89" s="1">
        <v>9.8000000000000007</v>
      </c>
      <c r="F89" s="1">
        <v>120</v>
      </c>
      <c r="G89" s="1">
        <v>100</v>
      </c>
      <c r="H89" s="1">
        <v>24</v>
      </c>
    </row>
    <row r="90" spans="1:8" x14ac:dyDescent="0.4">
      <c r="A90">
        <v>68</v>
      </c>
      <c r="B90" t="s">
        <v>22</v>
      </c>
      <c r="C90" t="s">
        <v>11</v>
      </c>
      <c r="D90" s="1">
        <v>23</v>
      </c>
      <c r="E90" s="1">
        <v>2</v>
      </c>
      <c r="F90" s="1">
        <v>6</v>
      </c>
      <c r="G90" s="1">
        <v>0</v>
      </c>
      <c r="H90" s="1">
        <v>21</v>
      </c>
    </row>
    <row r="91" spans="1:8" x14ac:dyDescent="0.4">
      <c r="A91">
        <v>68</v>
      </c>
      <c r="B91" t="s">
        <v>22</v>
      </c>
      <c r="C91" t="s">
        <v>14</v>
      </c>
      <c r="D91" s="1">
        <v>24</v>
      </c>
      <c r="E91" s="1">
        <v>3</v>
      </c>
      <c r="F91" s="1">
        <v>6</v>
      </c>
      <c r="G91" s="1">
        <v>0</v>
      </c>
      <c r="H91" s="1">
        <v>25</v>
      </c>
    </row>
    <row r="92" spans="1:8" x14ac:dyDescent="0.4">
      <c r="A92">
        <v>70</v>
      </c>
      <c r="B92" t="s">
        <v>23</v>
      </c>
      <c r="C92" t="s">
        <v>14</v>
      </c>
      <c r="D92" s="1">
        <v>25.8</v>
      </c>
      <c r="E92" s="1">
        <v>7.5</v>
      </c>
      <c r="F92" s="1">
        <v>30</v>
      </c>
      <c r="G92" s="1">
        <v>3</v>
      </c>
      <c r="H92" s="1">
        <v>28.1</v>
      </c>
    </row>
    <row r="93" spans="1:8" x14ac:dyDescent="0.4">
      <c r="A93">
        <v>70</v>
      </c>
      <c r="B93" t="s">
        <v>23</v>
      </c>
      <c r="C93" t="s">
        <v>24</v>
      </c>
      <c r="D93" s="1">
        <v>25.6</v>
      </c>
      <c r="E93" s="1">
        <v>8.5</v>
      </c>
      <c r="F93" s="1">
        <v>26</v>
      </c>
      <c r="G93" s="1">
        <v>6</v>
      </c>
      <c r="H93" s="1">
        <v>31.6</v>
      </c>
    </row>
    <row r="94" spans="1:8" x14ac:dyDescent="0.4">
      <c r="A94">
        <v>73</v>
      </c>
      <c r="B94" t="s">
        <v>61</v>
      </c>
      <c r="C94" t="s">
        <v>11</v>
      </c>
      <c r="D94" s="1">
        <v>24.7</v>
      </c>
      <c r="F94" s="1">
        <v>0</v>
      </c>
      <c r="G94" s="1">
        <v>20</v>
      </c>
      <c r="H94" s="1">
        <v>6</v>
      </c>
    </row>
    <row r="95" spans="1:8" x14ac:dyDescent="0.4">
      <c r="A95">
        <v>73</v>
      </c>
      <c r="B95" t="s">
        <v>61</v>
      </c>
      <c r="C95" t="s">
        <v>14</v>
      </c>
      <c r="D95" s="1">
        <v>25.4</v>
      </c>
      <c r="F95" s="1">
        <v>0</v>
      </c>
      <c r="G95" s="1">
        <v>20</v>
      </c>
      <c r="H95" s="1">
        <v>6</v>
      </c>
    </row>
    <row r="96" spans="1:8" x14ac:dyDescent="0.4">
      <c r="A96">
        <v>76</v>
      </c>
      <c r="B96" t="s">
        <v>25</v>
      </c>
      <c r="C96" t="s">
        <v>11</v>
      </c>
      <c r="D96" s="1">
        <v>25</v>
      </c>
      <c r="E96" s="1">
        <v>5.5</v>
      </c>
      <c r="F96" s="1">
        <v>48</v>
      </c>
      <c r="G96" s="1">
        <v>42</v>
      </c>
      <c r="H96" s="1">
        <v>120</v>
      </c>
    </row>
    <row r="97" spans="1:8" x14ac:dyDescent="0.4">
      <c r="A97">
        <v>76</v>
      </c>
      <c r="B97" t="s">
        <v>25</v>
      </c>
      <c r="C97" t="s">
        <v>14</v>
      </c>
      <c r="D97" s="1">
        <v>24</v>
      </c>
      <c r="E97" s="1">
        <v>7.9</v>
      </c>
      <c r="F97" s="1">
        <v>47</v>
      </c>
      <c r="G97" s="1">
        <v>43</v>
      </c>
      <c r="H97" s="1">
        <v>120</v>
      </c>
    </row>
    <row r="98" spans="1:8" x14ac:dyDescent="0.4">
      <c r="A98">
        <v>77</v>
      </c>
      <c r="B98" t="s">
        <v>26</v>
      </c>
      <c r="C98" t="s">
        <v>11</v>
      </c>
      <c r="D98" s="1">
        <v>27</v>
      </c>
      <c r="E98" s="1">
        <v>6.8</v>
      </c>
      <c r="H98" s="1">
        <v>228</v>
      </c>
    </row>
    <row r="99" spans="1:8" x14ac:dyDescent="0.4">
      <c r="A99">
        <v>77</v>
      </c>
      <c r="B99" t="s">
        <v>26</v>
      </c>
      <c r="C99" t="s">
        <v>14</v>
      </c>
      <c r="D99" s="1">
        <v>27</v>
      </c>
      <c r="E99" s="1">
        <v>6.3</v>
      </c>
      <c r="H99" s="1">
        <v>228</v>
      </c>
    </row>
    <row r="100" spans="1:8" x14ac:dyDescent="0.4">
      <c r="A100">
        <v>82</v>
      </c>
      <c r="B100" t="s">
        <v>43</v>
      </c>
      <c r="C100" t="s">
        <v>11</v>
      </c>
      <c r="D100" s="1">
        <v>45.5</v>
      </c>
      <c r="E100" s="1">
        <v>8.6999999999999993</v>
      </c>
      <c r="F100" s="1">
        <v>15</v>
      </c>
      <c r="G100" s="1">
        <v>9</v>
      </c>
      <c r="H100" s="1">
        <v>204</v>
      </c>
    </row>
    <row r="101" spans="1:8" x14ac:dyDescent="0.4">
      <c r="A101">
        <v>82</v>
      </c>
      <c r="B101" t="s">
        <v>43</v>
      </c>
      <c r="C101" t="s">
        <v>14</v>
      </c>
      <c r="D101" s="1">
        <v>42.5</v>
      </c>
      <c r="E101" s="1">
        <v>7.5</v>
      </c>
      <c r="F101" s="1">
        <v>13</v>
      </c>
      <c r="G101" s="1">
        <v>11</v>
      </c>
      <c r="H101" s="1">
        <v>204</v>
      </c>
    </row>
    <row r="102" spans="1:8" x14ac:dyDescent="0.4">
      <c r="A102">
        <v>84</v>
      </c>
      <c r="B102" t="s">
        <v>62</v>
      </c>
      <c r="C102" t="s">
        <v>14</v>
      </c>
      <c r="D102" s="1">
        <v>28.3</v>
      </c>
      <c r="E102" s="1">
        <v>6.2</v>
      </c>
      <c r="F102" s="1">
        <v>23</v>
      </c>
      <c r="G102" s="1">
        <v>20</v>
      </c>
      <c r="H102" s="1">
        <v>12.5</v>
      </c>
    </row>
    <row r="103" spans="1:8" x14ac:dyDescent="0.4">
      <c r="A103">
        <v>84</v>
      </c>
      <c r="B103" t="s">
        <v>62</v>
      </c>
      <c r="C103" t="s">
        <v>32</v>
      </c>
      <c r="D103" s="1">
        <v>28.7</v>
      </c>
      <c r="E103" s="1">
        <v>6.4</v>
      </c>
      <c r="F103" s="1">
        <v>25</v>
      </c>
      <c r="G103" s="1">
        <v>17</v>
      </c>
      <c r="H103" s="1">
        <v>12.4</v>
      </c>
    </row>
    <row r="104" spans="1:8" x14ac:dyDescent="0.4">
      <c r="A104">
        <v>85</v>
      </c>
      <c r="B104" t="s">
        <v>27</v>
      </c>
      <c r="C104" t="s">
        <v>11</v>
      </c>
      <c r="D104" s="1">
        <v>17.7</v>
      </c>
      <c r="E104" s="1">
        <v>2.4</v>
      </c>
      <c r="F104" s="1">
        <v>15</v>
      </c>
      <c r="G104" s="1">
        <v>17</v>
      </c>
      <c r="H104" s="1">
        <v>24</v>
      </c>
    </row>
    <row r="105" spans="1:8" x14ac:dyDescent="0.4">
      <c r="A105">
        <v>85</v>
      </c>
      <c r="B105" t="s">
        <v>27</v>
      </c>
      <c r="C105" t="s">
        <v>14</v>
      </c>
      <c r="D105" s="1">
        <v>17.7</v>
      </c>
      <c r="E105" s="1">
        <v>2.4</v>
      </c>
      <c r="F105" s="1">
        <v>13</v>
      </c>
      <c r="G105" s="1">
        <v>19</v>
      </c>
      <c r="H105" s="1">
        <v>24</v>
      </c>
    </row>
    <row r="106" spans="1:8" x14ac:dyDescent="0.4">
      <c r="A106">
        <v>87</v>
      </c>
      <c r="B106" t="s">
        <v>90</v>
      </c>
      <c r="C106" t="s">
        <v>11</v>
      </c>
      <c r="D106" s="1">
        <v>24.8</v>
      </c>
      <c r="E106" s="1">
        <v>4.4000000000000004</v>
      </c>
      <c r="F106" s="1">
        <v>214</v>
      </c>
      <c r="G106" s="1">
        <v>69</v>
      </c>
      <c r="H106" s="1">
        <v>61.5</v>
      </c>
    </row>
    <row r="107" spans="1:8" x14ac:dyDescent="0.4">
      <c r="A107">
        <v>87</v>
      </c>
      <c r="B107" t="s">
        <v>90</v>
      </c>
      <c r="C107" t="s">
        <v>14</v>
      </c>
      <c r="D107" s="1">
        <v>25.2</v>
      </c>
      <c r="E107" s="1">
        <v>4.5999999999999996</v>
      </c>
      <c r="F107" s="1">
        <v>233</v>
      </c>
      <c r="G107" s="1">
        <v>40</v>
      </c>
      <c r="H107" s="1">
        <v>63.9</v>
      </c>
    </row>
    <row r="108" spans="1:8" x14ac:dyDescent="0.4">
      <c r="A108">
        <v>89</v>
      </c>
      <c r="B108" t="s">
        <v>63</v>
      </c>
      <c r="C108" t="s">
        <v>14</v>
      </c>
      <c r="D108" s="1">
        <v>28.3</v>
      </c>
      <c r="E108" s="1">
        <v>8.6</v>
      </c>
      <c r="F108" s="1">
        <v>13</v>
      </c>
      <c r="G108" s="1">
        <v>3</v>
      </c>
      <c r="H108" s="1">
        <v>24</v>
      </c>
    </row>
    <row r="109" spans="1:8" x14ac:dyDescent="0.4">
      <c r="A109">
        <v>89</v>
      </c>
      <c r="B109" t="s">
        <v>63</v>
      </c>
      <c r="C109" t="s">
        <v>32</v>
      </c>
      <c r="D109" s="1">
        <v>28.1</v>
      </c>
      <c r="E109" s="1">
        <v>6.2</v>
      </c>
      <c r="F109" s="1">
        <v>17</v>
      </c>
      <c r="G109" s="1">
        <v>0</v>
      </c>
      <c r="H109" s="1">
        <v>24</v>
      </c>
    </row>
    <row r="110" spans="1:8" x14ac:dyDescent="0.4">
      <c r="A110">
        <v>90</v>
      </c>
      <c r="B110" t="s">
        <v>29</v>
      </c>
      <c r="C110" t="s">
        <v>11</v>
      </c>
      <c r="D110" s="1">
        <v>21.7</v>
      </c>
      <c r="E110" s="1">
        <v>4.5999999999999996</v>
      </c>
      <c r="F110" s="1">
        <v>25</v>
      </c>
      <c r="G110" s="1">
        <v>7</v>
      </c>
      <c r="H110" s="1">
        <v>32.4</v>
      </c>
    </row>
    <row r="111" spans="1:8" x14ac:dyDescent="0.4">
      <c r="A111">
        <v>90</v>
      </c>
      <c r="B111" t="s">
        <v>29</v>
      </c>
      <c r="C111" t="s">
        <v>14</v>
      </c>
      <c r="D111" s="1">
        <v>22.1</v>
      </c>
      <c r="E111" s="1">
        <v>6.5</v>
      </c>
      <c r="F111" s="1">
        <v>28</v>
      </c>
      <c r="G111" s="1">
        <v>4</v>
      </c>
      <c r="H111" s="1">
        <v>38.4</v>
      </c>
    </row>
    <row r="112" spans="1:8" x14ac:dyDescent="0.4">
      <c r="A112">
        <v>93</v>
      </c>
      <c r="B112" t="s">
        <v>91</v>
      </c>
      <c r="C112" t="s">
        <v>14</v>
      </c>
      <c r="D112" s="1">
        <v>24.5</v>
      </c>
      <c r="E112" s="1">
        <v>8.1999999999999993</v>
      </c>
      <c r="F112" s="1">
        <v>12</v>
      </c>
      <c r="G112" s="1">
        <v>3</v>
      </c>
      <c r="H112" s="1">
        <v>12</v>
      </c>
    </row>
    <row r="113" spans="1:8" x14ac:dyDescent="0.4">
      <c r="A113">
        <v>93</v>
      </c>
      <c r="B113" t="s">
        <v>91</v>
      </c>
      <c r="C113" t="s">
        <v>32</v>
      </c>
      <c r="D113" s="1">
        <v>24.5</v>
      </c>
      <c r="E113" s="1">
        <v>9.1</v>
      </c>
      <c r="F113" s="1">
        <v>11</v>
      </c>
      <c r="G113" s="1">
        <v>3</v>
      </c>
      <c r="H113" s="1">
        <v>12</v>
      </c>
    </row>
    <row r="114" spans="1:8" x14ac:dyDescent="0.4">
      <c r="A114">
        <v>95</v>
      </c>
      <c r="B114" t="s">
        <v>44</v>
      </c>
      <c r="C114" t="s">
        <v>11</v>
      </c>
      <c r="D114" s="1">
        <v>26</v>
      </c>
      <c r="E114" s="1">
        <v>6.3</v>
      </c>
      <c r="F114" s="1">
        <v>20</v>
      </c>
      <c r="G114" s="1">
        <v>8</v>
      </c>
      <c r="H114" s="1">
        <v>24</v>
      </c>
    </row>
    <row r="115" spans="1:8" x14ac:dyDescent="0.4">
      <c r="A115">
        <v>95</v>
      </c>
      <c r="B115" t="s">
        <v>44</v>
      </c>
      <c r="C115" t="s">
        <v>14</v>
      </c>
      <c r="D115" s="1">
        <v>27</v>
      </c>
      <c r="E115" s="1">
        <v>6.1</v>
      </c>
      <c r="F115" s="1">
        <v>23</v>
      </c>
      <c r="G115" s="1">
        <v>10</v>
      </c>
      <c r="H115" s="1">
        <v>24</v>
      </c>
    </row>
    <row r="116" spans="1:8" x14ac:dyDescent="0.4">
      <c r="A116">
        <v>96</v>
      </c>
      <c r="B116" t="s">
        <v>30</v>
      </c>
      <c r="C116" t="s">
        <v>11</v>
      </c>
      <c r="D116" s="1">
        <v>29.9</v>
      </c>
      <c r="E116" s="1">
        <v>7.3</v>
      </c>
      <c r="F116" s="1">
        <v>19</v>
      </c>
      <c r="G116" s="1">
        <v>12</v>
      </c>
      <c r="H116" s="1">
        <v>108</v>
      </c>
    </row>
    <row r="117" spans="1:8" x14ac:dyDescent="0.4">
      <c r="A117">
        <v>96</v>
      </c>
      <c r="B117" t="s">
        <v>30</v>
      </c>
      <c r="C117" t="s">
        <v>14</v>
      </c>
      <c r="D117" s="1">
        <v>34.200000000000003</v>
      </c>
      <c r="E117" s="1">
        <v>9.3000000000000007</v>
      </c>
      <c r="F117" s="1">
        <v>18</v>
      </c>
      <c r="G117" s="1">
        <v>13</v>
      </c>
      <c r="H117" s="1">
        <v>108</v>
      </c>
    </row>
    <row r="118" spans="1:8" x14ac:dyDescent="0.4">
      <c r="A118">
        <v>97</v>
      </c>
      <c r="B118" t="s">
        <v>31</v>
      </c>
      <c r="C118" t="s">
        <v>14</v>
      </c>
      <c r="D118" s="1">
        <v>30.1</v>
      </c>
      <c r="E118" s="1">
        <v>8.9</v>
      </c>
      <c r="F118" s="1">
        <v>32</v>
      </c>
      <c r="G118" s="1">
        <v>4</v>
      </c>
      <c r="H118" s="1">
        <v>12</v>
      </c>
    </row>
    <row r="119" spans="1:8" x14ac:dyDescent="0.4">
      <c r="A119">
        <v>97</v>
      </c>
      <c r="B119" t="s">
        <v>31</v>
      </c>
      <c r="C119" t="s">
        <v>32</v>
      </c>
      <c r="D119" s="1">
        <v>28.7</v>
      </c>
      <c r="E119" s="1">
        <v>8.8000000000000007</v>
      </c>
      <c r="F119" s="1">
        <v>30</v>
      </c>
      <c r="G119" s="1">
        <v>3</v>
      </c>
      <c r="H119" s="1">
        <v>12</v>
      </c>
    </row>
    <row r="120" spans="1:8" x14ac:dyDescent="0.4">
      <c r="A120">
        <v>98</v>
      </c>
      <c r="B120" t="s">
        <v>77</v>
      </c>
      <c r="C120" t="s">
        <v>14</v>
      </c>
      <c r="D120" s="1">
        <v>30</v>
      </c>
      <c r="E120" s="1">
        <v>10</v>
      </c>
      <c r="F120" s="1">
        <v>61</v>
      </c>
      <c r="G120" s="1">
        <v>7</v>
      </c>
      <c r="H120" s="1">
        <v>32.799999999999997</v>
      </c>
    </row>
    <row r="121" spans="1:8" x14ac:dyDescent="0.4">
      <c r="A121">
        <v>98</v>
      </c>
      <c r="B121" t="s">
        <v>77</v>
      </c>
      <c r="C121" t="s">
        <v>17</v>
      </c>
      <c r="D121" s="1">
        <v>24</v>
      </c>
      <c r="E121" s="1">
        <v>8.3000000000000007</v>
      </c>
      <c r="F121" s="1">
        <v>59</v>
      </c>
      <c r="G121" s="1">
        <v>5</v>
      </c>
      <c r="H121" s="1">
        <v>34.5</v>
      </c>
    </row>
    <row r="122" spans="1:8" x14ac:dyDescent="0.4">
      <c r="A122">
        <v>100</v>
      </c>
      <c r="B122" t="s">
        <v>65</v>
      </c>
      <c r="C122" t="s">
        <v>11</v>
      </c>
      <c r="D122" s="1">
        <v>26</v>
      </c>
      <c r="E122" s="1">
        <v>9.5</v>
      </c>
      <c r="F122" s="1">
        <v>20</v>
      </c>
      <c r="G122" s="1">
        <v>19</v>
      </c>
      <c r="H122" s="1">
        <v>103.2</v>
      </c>
    </row>
    <row r="123" spans="1:8" x14ac:dyDescent="0.4">
      <c r="A123">
        <v>100</v>
      </c>
      <c r="B123" t="s">
        <v>65</v>
      </c>
      <c r="C123" t="s">
        <v>14</v>
      </c>
      <c r="D123" s="1">
        <v>27</v>
      </c>
      <c r="E123" s="1">
        <v>9</v>
      </c>
      <c r="F123" s="1">
        <v>22</v>
      </c>
      <c r="G123" s="1">
        <v>18</v>
      </c>
      <c r="H123" s="1">
        <v>103.2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outcomes</vt:lpstr>
      <vt:lpstr>covariates</vt:lpstr>
      <vt:lpstr>age_mean</vt:lpstr>
      <vt:lpstr>age_sd</vt:lpstr>
      <vt:lpstr>female</vt:lpstr>
      <vt:lpstr>follow_up</vt:lpstr>
      <vt:lpstr>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2026-09-21T11:15:54Z</dcterms:created>
  <dcterms:modified xsi:type="dcterms:W3CDTF">2026-09-21T12:48:45Z</dcterms:modified>
</cp:coreProperties>
</file>