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3_meta-analysis\data\tables\xlsx\"/>
    </mc:Choice>
  </mc:AlternateContent>
  <xr:revisionPtr revIDLastSave="0" documentId="13_ncr:1_{D832E880-9094-407E-BCE6-922BCDACBCB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bptb vs. h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2" i="2" l="1"/>
  <c r="H162" i="2"/>
  <c r="I161" i="2"/>
  <c r="H161" i="2"/>
  <c r="I160" i="2"/>
  <c r="H160" i="2"/>
  <c r="J160" i="2" s="1"/>
  <c r="I159" i="2"/>
  <c r="H159" i="2"/>
  <c r="I158" i="2"/>
  <c r="H158" i="2"/>
  <c r="I157" i="2"/>
  <c r="H157" i="2"/>
  <c r="J157" i="2" s="1"/>
  <c r="I156" i="2"/>
  <c r="H156" i="2"/>
  <c r="J156" i="2" s="1"/>
  <c r="I155" i="2"/>
  <c r="H155" i="2"/>
  <c r="I154" i="2"/>
  <c r="H154" i="2"/>
  <c r="I153" i="2"/>
  <c r="H153" i="2"/>
  <c r="J153" i="2" s="1"/>
  <c r="I152" i="2"/>
  <c r="H152" i="2"/>
  <c r="J152" i="2" s="1"/>
  <c r="I151" i="2"/>
  <c r="H151" i="2"/>
  <c r="I150" i="2"/>
  <c r="H150" i="2"/>
  <c r="I149" i="2"/>
  <c r="H149" i="2"/>
  <c r="J149" i="2" s="1"/>
  <c r="I148" i="2"/>
  <c r="H148" i="2"/>
  <c r="J148" i="2" s="1"/>
  <c r="I147" i="2"/>
  <c r="H147" i="2"/>
  <c r="I146" i="2"/>
  <c r="H146" i="2"/>
  <c r="I145" i="2"/>
  <c r="H145" i="2"/>
  <c r="J145" i="2" s="1"/>
  <c r="I144" i="2"/>
  <c r="H144" i="2"/>
  <c r="J144" i="2" s="1"/>
  <c r="I143" i="2"/>
  <c r="H143" i="2"/>
  <c r="I142" i="2"/>
  <c r="H142" i="2"/>
  <c r="I141" i="2"/>
  <c r="H141" i="2"/>
  <c r="J141" i="2" s="1"/>
  <c r="I140" i="2"/>
  <c r="H140" i="2"/>
  <c r="J140" i="2" s="1"/>
  <c r="I139" i="2"/>
  <c r="H139" i="2"/>
  <c r="I138" i="2"/>
  <c r="H138" i="2"/>
  <c r="I137" i="2"/>
  <c r="H137" i="2"/>
  <c r="J137" i="2" s="1"/>
  <c r="I136" i="2"/>
  <c r="H136" i="2"/>
  <c r="J136" i="2" s="1"/>
  <c r="I135" i="2"/>
  <c r="H135" i="2"/>
  <c r="I134" i="2"/>
  <c r="H134" i="2"/>
  <c r="I133" i="2"/>
  <c r="H133" i="2"/>
  <c r="J133" i="2" s="1"/>
  <c r="I132" i="2"/>
  <c r="H132" i="2"/>
  <c r="J132" i="2" s="1"/>
  <c r="I131" i="2"/>
  <c r="H131" i="2"/>
  <c r="I130" i="2"/>
  <c r="H130" i="2"/>
  <c r="I129" i="2"/>
  <c r="H129" i="2"/>
  <c r="J129" i="2" s="1"/>
  <c r="I128" i="2"/>
  <c r="H128" i="2"/>
  <c r="J128" i="2" s="1"/>
  <c r="I127" i="2"/>
  <c r="H127" i="2"/>
  <c r="I126" i="2"/>
  <c r="H126" i="2"/>
  <c r="I125" i="2"/>
  <c r="H125" i="2"/>
  <c r="J125" i="2" s="1"/>
  <c r="I124" i="2"/>
  <c r="H124" i="2"/>
  <c r="J124" i="2" s="1"/>
  <c r="I123" i="2"/>
  <c r="H123" i="2"/>
  <c r="I122" i="2"/>
  <c r="H122" i="2"/>
  <c r="I121" i="2"/>
  <c r="H121" i="2"/>
  <c r="J121" i="2" s="1"/>
  <c r="I120" i="2"/>
  <c r="H120" i="2"/>
  <c r="J120" i="2" s="1"/>
  <c r="I119" i="2"/>
  <c r="H119" i="2"/>
  <c r="I118" i="2"/>
  <c r="H118" i="2"/>
  <c r="I117" i="2"/>
  <c r="H117" i="2"/>
  <c r="J117" i="2" s="1"/>
  <c r="I116" i="2"/>
  <c r="H116" i="2"/>
  <c r="J116" i="2" s="1"/>
  <c r="I115" i="2"/>
  <c r="H115" i="2"/>
  <c r="I114" i="2"/>
  <c r="H114" i="2"/>
  <c r="I113" i="2"/>
  <c r="H113" i="2"/>
  <c r="J113" i="2" s="1"/>
  <c r="I112" i="2"/>
  <c r="H112" i="2"/>
  <c r="J112" i="2" s="1"/>
  <c r="I111" i="2"/>
  <c r="H111" i="2"/>
  <c r="I110" i="2"/>
  <c r="H110" i="2"/>
  <c r="I109" i="2"/>
  <c r="H109" i="2"/>
  <c r="J109" i="2" s="1"/>
  <c r="I108" i="2"/>
  <c r="H108" i="2"/>
  <c r="J108" i="2" s="1"/>
  <c r="I107" i="2"/>
  <c r="H107" i="2"/>
  <c r="I106" i="2"/>
  <c r="H106" i="2"/>
  <c r="I105" i="2"/>
  <c r="H105" i="2"/>
  <c r="J105" i="2" s="1"/>
  <c r="I104" i="2"/>
  <c r="H104" i="2"/>
  <c r="J104" i="2" s="1"/>
  <c r="I103" i="2"/>
  <c r="H103" i="2"/>
  <c r="I102" i="2"/>
  <c r="H102" i="2"/>
  <c r="I101" i="2"/>
  <c r="H101" i="2"/>
  <c r="J101" i="2" s="1"/>
  <c r="I100" i="2"/>
  <c r="H100" i="2"/>
  <c r="J100" i="2" s="1"/>
  <c r="I99" i="2"/>
  <c r="H99" i="2"/>
  <c r="I98" i="2"/>
  <c r="H98" i="2"/>
  <c r="I97" i="2"/>
  <c r="H97" i="2"/>
  <c r="J97" i="2" s="1"/>
  <c r="I96" i="2"/>
  <c r="H96" i="2"/>
  <c r="J96" i="2" s="1"/>
  <c r="I95" i="2"/>
  <c r="H95" i="2"/>
  <c r="I94" i="2"/>
  <c r="H94" i="2"/>
  <c r="I93" i="2"/>
  <c r="H93" i="2"/>
  <c r="J93" i="2" s="1"/>
  <c r="I92" i="2"/>
  <c r="H92" i="2"/>
  <c r="J92" i="2" s="1"/>
  <c r="I91" i="2"/>
  <c r="H91" i="2"/>
  <c r="I90" i="2"/>
  <c r="H90" i="2"/>
  <c r="I89" i="2"/>
  <c r="H89" i="2"/>
  <c r="J89" i="2" s="1"/>
  <c r="I88" i="2"/>
  <c r="H88" i="2"/>
  <c r="J88" i="2" s="1"/>
  <c r="I87" i="2"/>
  <c r="H87" i="2"/>
  <c r="I86" i="2"/>
  <c r="H86" i="2"/>
  <c r="I85" i="2"/>
  <c r="H85" i="2"/>
  <c r="J85" i="2" s="1"/>
  <c r="I84" i="2"/>
  <c r="H84" i="2"/>
  <c r="J84" i="2" s="1"/>
  <c r="I83" i="2"/>
  <c r="H83" i="2"/>
  <c r="I82" i="2"/>
  <c r="H82" i="2"/>
  <c r="I81" i="2"/>
  <c r="H81" i="2"/>
  <c r="J81" i="2" s="1"/>
  <c r="I80" i="2"/>
  <c r="H80" i="2"/>
  <c r="J80" i="2" s="1"/>
  <c r="I79" i="2"/>
  <c r="H79" i="2"/>
  <c r="I78" i="2"/>
  <c r="H78" i="2"/>
  <c r="I77" i="2"/>
  <c r="H77" i="2"/>
  <c r="J77" i="2" s="1"/>
  <c r="I76" i="2"/>
  <c r="H76" i="2"/>
  <c r="J76" i="2" s="1"/>
  <c r="I75" i="2"/>
  <c r="H75" i="2"/>
  <c r="I74" i="2"/>
  <c r="H74" i="2"/>
  <c r="I73" i="2"/>
  <c r="H73" i="2"/>
  <c r="J73" i="2" s="1"/>
  <c r="I72" i="2"/>
  <c r="H72" i="2"/>
  <c r="J72" i="2" s="1"/>
  <c r="I71" i="2"/>
  <c r="H71" i="2"/>
  <c r="I70" i="2"/>
  <c r="H70" i="2"/>
  <c r="I69" i="2"/>
  <c r="H69" i="2"/>
  <c r="J69" i="2" s="1"/>
  <c r="I68" i="2"/>
  <c r="H68" i="2"/>
  <c r="J68" i="2" s="1"/>
  <c r="I67" i="2"/>
  <c r="H67" i="2"/>
  <c r="I66" i="2"/>
  <c r="H66" i="2"/>
  <c r="I65" i="2"/>
  <c r="H65" i="2"/>
  <c r="J65" i="2" s="1"/>
  <c r="I64" i="2"/>
  <c r="H64" i="2"/>
  <c r="J64" i="2" s="1"/>
  <c r="I63" i="2"/>
  <c r="H63" i="2"/>
  <c r="I62" i="2"/>
  <c r="H62" i="2"/>
  <c r="I61" i="2"/>
  <c r="H61" i="2"/>
  <c r="J61" i="2" s="1"/>
  <c r="I60" i="2"/>
  <c r="H60" i="2"/>
  <c r="J60" i="2" s="1"/>
  <c r="I59" i="2"/>
  <c r="H59" i="2"/>
  <c r="I58" i="2"/>
  <c r="H58" i="2"/>
  <c r="I57" i="2"/>
  <c r="H57" i="2"/>
  <c r="J57" i="2" s="1"/>
  <c r="I56" i="2"/>
  <c r="H56" i="2"/>
  <c r="J56" i="2" s="1"/>
  <c r="I55" i="2"/>
  <c r="H55" i="2"/>
  <c r="I54" i="2"/>
  <c r="H54" i="2"/>
  <c r="I53" i="2"/>
  <c r="H53" i="2"/>
  <c r="J53" i="2" s="1"/>
  <c r="I52" i="2"/>
  <c r="H52" i="2"/>
  <c r="J52" i="2" s="1"/>
  <c r="I51" i="2"/>
  <c r="H51" i="2"/>
  <c r="I50" i="2"/>
  <c r="H50" i="2"/>
  <c r="I49" i="2"/>
  <c r="H49" i="2"/>
  <c r="J49" i="2" s="1"/>
  <c r="I48" i="2"/>
  <c r="H48" i="2"/>
  <c r="J48" i="2" s="1"/>
  <c r="I47" i="2"/>
  <c r="H47" i="2"/>
  <c r="I46" i="2"/>
  <c r="H46" i="2"/>
  <c r="I45" i="2"/>
  <c r="H45" i="2"/>
  <c r="J45" i="2" s="1"/>
  <c r="I44" i="2"/>
  <c r="H44" i="2"/>
  <c r="J44" i="2" s="1"/>
  <c r="I43" i="2"/>
  <c r="H43" i="2"/>
  <c r="I42" i="2"/>
  <c r="H42" i="2"/>
  <c r="I41" i="2"/>
  <c r="H41" i="2"/>
  <c r="J41" i="2" s="1"/>
  <c r="I40" i="2"/>
  <c r="H40" i="2"/>
  <c r="J40" i="2" s="1"/>
  <c r="I39" i="2"/>
  <c r="H39" i="2"/>
  <c r="I38" i="2"/>
  <c r="H38" i="2"/>
  <c r="I37" i="2"/>
  <c r="H37" i="2"/>
  <c r="J37" i="2" s="1"/>
  <c r="I36" i="2"/>
  <c r="H36" i="2"/>
  <c r="J36" i="2" s="1"/>
  <c r="I35" i="2"/>
  <c r="H35" i="2"/>
  <c r="I34" i="2"/>
  <c r="H34" i="2"/>
  <c r="I33" i="2"/>
  <c r="H33" i="2"/>
  <c r="J33" i="2" s="1"/>
  <c r="I32" i="2"/>
  <c r="H32" i="2"/>
  <c r="J32" i="2" s="1"/>
  <c r="I31" i="2"/>
  <c r="H31" i="2"/>
  <c r="I30" i="2"/>
  <c r="H30" i="2"/>
  <c r="I29" i="2"/>
  <c r="H29" i="2"/>
  <c r="J29" i="2" s="1"/>
  <c r="I28" i="2"/>
  <c r="H28" i="2"/>
  <c r="J28" i="2" s="1"/>
  <c r="I27" i="2"/>
  <c r="H27" i="2"/>
  <c r="I26" i="2"/>
  <c r="H26" i="2"/>
  <c r="I25" i="2"/>
  <c r="H25" i="2"/>
  <c r="J25" i="2" s="1"/>
  <c r="I24" i="2"/>
  <c r="H24" i="2"/>
  <c r="J24" i="2" s="1"/>
  <c r="I23" i="2"/>
  <c r="H23" i="2"/>
  <c r="I22" i="2"/>
  <c r="H22" i="2"/>
  <c r="I21" i="2"/>
  <c r="H21" i="2"/>
  <c r="J21" i="2" s="1"/>
  <c r="I20" i="2"/>
  <c r="H20" i="2"/>
  <c r="J20" i="2" s="1"/>
  <c r="I19" i="2"/>
  <c r="H19" i="2"/>
  <c r="I18" i="2"/>
  <c r="H18" i="2"/>
  <c r="I17" i="2"/>
  <c r="H17" i="2"/>
  <c r="J17" i="2" s="1"/>
  <c r="I16" i="2"/>
  <c r="H16" i="2"/>
  <c r="J16" i="2" s="1"/>
  <c r="I15" i="2"/>
  <c r="H15" i="2"/>
  <c r="I14" i="2"/>
  <c r="H14" i="2"/>
  <c r="I13" i="2"/>
  <c r="H13" i="2"/>
  <c r="J13" i="2" s="1"/>
  <c r="I12" i="2"/>
  <c r="H12" i="2"/>
  <c r="J12" i="2" s="1"/>
  <c r="I11" i="2"/>
  <c r="H11" i="2"/>
  <c r="I10" i="2"/>
  <c r="H10" i="2"/>
  <c r="I9" i="2"/>
  <c r="H9" i="2"/>
  <c r="J9" i="2" s="1"/>
  <c r="I8" i="2"/>
  <c r="H8" i="2"/>
  <c r="J8" i="2" s="1"/>
  <c r="I7" i="2"/>
  <c r="H7" i="2"/>
  <c r="I6" i="2"/>
  <c r="H6" i="2"/>
  <c r="I5" i="2"/>
  <c r="H5" i="2"/>
  <c r="I4" i="2"/>
  <c r="H4" i="2"/>
  <c r="I3" i="2"/>
  <c r="H3" i="2"/>
  <c r="H2" i="2"/>
  <c r="I2" i="2"/>
  <c r="G3" i="2"/>
  <c r="G4" i="2"/>
  <c r="G5" i="2"/>
  <c r="G6" i="2"/>
  <c r="G7" i="2"/>
  <c r="G8" i="2"/>
  <c r="J162" i="2"/>
  <c r="G162" i="2"/>
  <c r="G161" i="2"/>
  <c r="G160" i="2"/>
  <c r="J159" i="2"/>
  <c r="G159" i="2"/>
  <c r="J158" i="2"/>
  <c r="G158" i="2"/>
  <c r="G157" i="2"/>
  <c r="G156" i="2"/>
  <c r="J155" i="2"/>
  <c r="G155" i="2"/>
  <c r="J154" i="2"/>
  <c r="G154" i="2"/>
  <c r="G153" i="2"/>
  <c r="G152" i="2"/>
  <c r="J151" i="2"/>
  <c r="G151" i="2"/>
  <c r="J150" i="2"/>
  <c r="G150" i="2"/>
  <c r="G149" i="2"/>
  <c r="G148" i="2"/>
  <c r="J147" i="2"/>
  <c r="G147" i="2"/>
  <c r="J146" i="2"/>
  <c r="G146" i="2"/>
  <c r="G145" i="2"/>
  <c r="G144" i="2"/>
  <c r="J143" i="2"/>
  <c r="G143" i="2"/>
  <c r="J142" i="2"/>
  <c r="G142" i="2"/>
  <c r="G141" i="2"/>
  <c r="G140" i="2"/>
  <c r="J139" i="2"/>
  <c r="G139" i="2"/>
  <c r="J138" i="2"/>
  <c r="G138" i="2"/>
  <c r="G137" i="2"/>
  <c r="G136" i="2"/>
  <c r="J135" i="2"/>
  <c r="G135" i="2"/>
  <c r="J134" i="2"/>
  <c r="G134" i="2"/>
  <c r="G133" i="2"/>
  <c r="G132" i="2"/>
  <c r="J131" i="2"/>
  <c r="G131" i="2"/>
  <c r="J130" i="2"/>
  <c r="G130" i="2"/>
  <c r="G129" i="2"/>
  <c r="G128" i="2"/>
  <c r="J127" i="2"/>
  <c r="G127" i="2"/>
  <c r="J126" i="2"/>
  <c r="G126" i="2"/>
  <c r="G125" i="2"/>
  <c r="G124" i="2"/>
  <c r="J123" i="2"/>
  <c r="G123" i="2"/>
  <c r="J122" i="2"/>
  <c r="G122" i="2"/>
  <c r="G121" i="2"/>
  <c r="G120" i="2"/>
  <c r="J119" i="2"/>
  <c r="G119" i="2"/>
  <c r="J118" i="2"/>
  <c r="G118" i="2"/>
  <c r="G117" i="2"/>
  <c r="G116" i="2"/>
  <c r="J115" i="2"/>
  <c r="G115" i="2"/>
  <c r="J114" i="2"/>
  <c r="G114" i="2"/>
  <c r="G113" i="2"/>
  <c r="G112" i="2"/>
  <c r="J111" i="2"/>
  <c r="G111" i="2"/>
  <c r="J110" i="2"/>
  <c r="G110" i="2"/>
  <c r="G109" i="2"/>
  <c r="G108" i="2"/>
  <c r="J107" i="2"/>
  <c r="G107" i="2"/>
  <c r="J106" i="2"/>
  <c r="G106" i="2"/>
  <c r="G105" i="2"/>
  <c r="G104" i="2"/>
  <c r="J103" i="2"/>
  <c r="G103" i="2"/>
  <c r="J102" i="2"/>
  <c r="G102" i="2"/>
  <c r="G101" i="2"/>
  <c r="G100" i="2"/>
  <c r="J99" i="2"/>
  <c r="G99" i="2"/>
  <c r="J98" i="2"/>
  <c r="G98" i="2"/>
  <c r="G97" i="2"/>
  <c r="G96" i="2"/>
  <c r="J95" i="2"/>
  <c r="G95" i="2"/>
  <c r="J94" i="2"/>
  <c r="G94" i="2"/>
  <c r="G93" i="2"/>
  <c r="G92" i="2"/>
  <c r="J91" i="2"/>
  <c r="G91" i="2"/>
  <c r="J90" i="2"/>
  <c r="G90" i="2"/>
  <c r="G89" i="2"/>
  <c r="G88" i="2"/>
  <c r="J87" i="2"/>
  <c r="G87" i="2"/>
  <c r="J86" i="2"/>
  <c r="G86" i="2"/>
  <c r="G85" i="2"/>
  <c r="G84" i="2"/>
  <c r="J83" i="2"/>
  <c r="G83" i="2"/>
  <c r="J82" i="2"/>
  <c r="G82" i="2"/>
  <c r="G81" i="2"/>
  <c r="G80" i="2"/>
  <c r="J79" i="2"/>
  <c r="G79" i="2"/>
  <c r="J78" i="2"/>
  <c r="G78" i="2"/>
  <c r="G77" i="2"/>
  <c r="G76" i="2"/>
  <c r="J75" i="2"/>
  <c r="G75" i="2"/>
  <c r="J74" i="2"/>
  <c r="G74" i="2"/>
  <c r="G73" i="2"/>
  <c r="G72" i="2"/>
  <c r="J71" i="2"/>
  <c r="G71" i="2"/>
  <c r="J70" i="2"/>
  <c r="G70" i="2"/>
  <c r="G69" i="2"/>
  <c r="G68" i="2"/>
  <c r="J67" i="2"/>
  <c r="G67" i="2"/>
  <c r="J66" i="2"/>
  <c r="G66" i="2"/>
  <c r="G65" i="2"/>
  <c r="G64" i="2"/>
  <c r="J63" i="2"/>
  <c r="G63" i="2"/>
  <c r="J62" i="2"/>
  <c r="G62" i="2"/>
  <c r="G61" i="2"/>
  <c r="G60" i="2"/>
  <c r="J59" i="2"/>
  <c r="G59" i="2"/>
  <c r="J58" i="2"/>
  <c r="G58" i="2"/>
  <c r="G57" i="2"/>
  <c r="G56" i="2"/>
  <c r="J55" i="2"/>
  <c r="G55" i="2"/>
  <c r="J54" i="2"/>
  <c r="G54" i="2"/>
  <c r="G53" i="2"/>
  <c r="G52" i="2"/>
  <c r="J51" i="2"/>
  <c r="G51" i="2"/>
  <c r="J50" i="2"/>
  <c r="G50" i="2"/>
  <c r="G49" i="2"/>
  <c r="G48" i="2"/>
  <c r="J47" i="2"/>
  <c r="G47" i="2"/>
  <c r="J46" i="2"/>
  <c r="G46" i="2"/>
  <c r="G45" i="2"/>
  <c r="G44" i="2"/>
  <c r="J43" i="2"/>
  <c r="G43" i="2"/>
  <c r="J42" i="2"/>
  <c r="G42" i="2"/>
  <c r="G41" i="2"/>
  <c r="G40" i="2"/>
  <c r="J39" i="2"/>
  <c r="G39" i="2"/>
  <c r="J38" i="2"/>
  <c r="G38" i="2"/>
  <c r="G37" i="2"/>
  <c r="G36" i="2"/>
  <c r="J35" i="2"/>
  <c r="G35" i="2"/>
  <c r="J34" i="2"/>
  <c r="G34" i="2"/>
  <c r="G33" i="2"/>
  <c r="G32" i="2"/>
  <c r="J31" i="2"/>
  <c r="G31" i="2"/>
  <c r="J30" i="2"/>
  <c r="G30" i="2"/>
  <c r="G29" i="2"/>
  <c r="G28" i="2"/>
  <c r="J27" i="2"/>
  <c r="G27" i="2"/>
  <c r="J26" i="2"/>
  <c r="G26" i="2"/>
  <c r="G25" i="2"/>
  <c r="G24" i="2"/>
  <c r="J23" i="2"/>
  <c r="G23" i="2"/>
  <c r="J22" i="2"/>
  <c r="G22" i="2"/>
  <c r="G21" i="2"/>
  <c r="G20" i="2"/>
  <c r="J19" i="2"/>
  <c r="G19" i="2"/>
  <c r="J18" i="2"/>
  <c r="G18" i="2"/>
  <c r="G17" i="2"/>
  <c r="G16" i="2"/>
  <c r="J15" i="2"/>
  <c r="G15" i="2"/>
  <c r="J14" i="2"/>
  <c r="G14" i="2"/>
  <c r="G13" i="2"/>
  <c r="G12" i="2"/>
  <c r="J11" i="2"/>
  <c r="G11" i="2"/>
  <c r="J10" i="2"/>
  <c r="G10" i="2"/>
  <c r="G9" i="2"/>
  <c r="G2" i="2"/>
  <c r="J2" i="2" l="1"/>
  <c r="J7" i="2"/>
  <c r="J3" i="2"/>
  <c r="J6" i="2"/>
  <c r="J4" i="2"/>
  <c r="J5" i="2"/>
  <c r="J161" i="2"/>
</calcChain>
</file>

<file path=xl/sharedStrings.xml><?xml version="1.0" encoding="utf-8"?>
<sst xmlns="http://schemas.openxmlformats.org/spreadsheetml/2006/main" count="2208" uniqueCount="94">
  <si>
    <t>id</t>
  </si>
  <si>
    <t>study</t>
  </si>
  <si>
    <t>subgroup</t>
  </si>
  <si>
    <t>outcome</t>
  </si>
  <si>
    <t>ni</t>
  </si>
  <si>
    <t>TE</t>
  </si>
  <si>
    <t>seTE</t>
  </si>
  <si>
    <t>Ageberg et al., 2009</t>
  </si>
  <si>
    <t>BPTB</t>
  </si>
  <si>
    <t>tegner</t>
  </si>
  <si>
    <t>HT</t>
  </si>
  <si>
    <t>BPTB vs. HT</t>
  </si>
  <si>
    <t>Aglietti et al., 2004</t>
  </si>
  <si>
    <t>instrumented_laxity</t>
  </si>
  <si>
    <t>pivot_shift_2</t>
  </si>
  <si>
    <t>lachman_2</t>
  </si>
  <si>
    <t>pivot_shift_1</t>
  </si>
  <si>
    <t>lachman_1</t>
  </si>
  <si>
    <t>Ahldén et al., 2009</t>
  </si>
  <si>
    <t>lysholm</t>
  </si>
  <si>
    <t>Anderson et al., 2001</t>
  </si>
  <si>
    <t>Anz et al., 2023</t>
  </si>
  <si>
    <t>graft_failure</t>
  </si>
  <si>
    <t>Aune et al., 2001</t>
  </si>
  <si>
    <t>Barenius et al., 2010</t>
  </si>
  <si>
    <t>Barié et al., 2020</t>
  </si>
  <si>
    <t>BPTB vs. QT</t>
  </si>
  <si>
    <t>ikdc_subjective</t>
  </si>
  <si>
    <t>QT</t>
  </si>
  <si>
    <t>Beynnon et al., 2002</t>
  </si>
  <si>
    <t>Bi et al., 2018</t>
  </si>
  <si>
    <t>HT vs. PLT</t>
  </si>
  <si>
    <t>PLT</t>
  </si>
  <si>
    <t>Björnsson et al., 2016</t>
  </si>
  <si>
    <t>Bottoni et al., 2015</t>
  </si>
  <si>
    <t>TA</t>
  </si>
  <si>
    <t>HT vs. TA</t>
  </si>
  <si>
    <t>Butt et al., 2024</t>
  </si>
  <si>
    <t>Calvert et al., 2025</t>
  </si>
  <si>
    <t>HT vs. QT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</si>
  <si>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</si>
  <si>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</si>
  <si>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</si>
  <si>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</si>
  <si>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</si>
  <si>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</si>
  <si>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</si>
  <si>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</si>
  <si>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</si>
  <si>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</si>
  <si>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</si>
  <si>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</si>
  <si>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</si>
  <si>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</si>
  <si>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</si>
  <si>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</si>
  <si>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</si>
  <si>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</si>
  <si>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</si>
  <si>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</si>
  <si>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</si>
  <si>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</si>
  <si>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</si>
  <si>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</si>
  <si>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</si>
  <si>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</si>
  <si>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</si>
  <si>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</si>
  <si>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</si>
  <si>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HT vs. AT</t>
  </si>
  <si>
    <t>AT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</si>
  <si>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</si>
  <si>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</si>
  <si>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</si>
  <si>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</si>
  <si>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</si>
  <si>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</si>
  <si>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</si>
  <si>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</si>
  <si>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</si>
  <si>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</si>
  <si>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Vilchez-Cavazos et al., 2020</t>
  </si>
  <si>
    <t>Webster et al., 2001</t>
  </si>
  <si>
    <t>Wipfler et al., 2011</t>
  </si>
  <si>
    <t>Yadav et al., 2025</t>
  </si>
  <si>
    <t>inf</t>
  </si>
  <si>
    <t>Yoo et al., 2017</t>
  </si>
  <si>
    <t>Zaffagnini et al., 2011</t>
  </si>
  <si>
    <t>ID</t>
  </si>
  <si>
    <t>Study</t>
  </si>
  <si>
    <t>Outcome</t>
  </si>
  <si>
    <t>Sample size</t>
  </si>
  <si>
    <t>Effect size estimate</t>
  </si>
  <si>
    <t>Standard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</si>
</sst>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1"/>
  <sheetViews>
    <sheetView workbookViewId="0"/>
  </sheetViews>
  <sheetFormatPr defaultRowHeight="14.5" x14ac:dyDescent="0.35"/>
  <sheetData>
    <row r="1" spans="1:8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434</v>
      </c>
      <c r="B2">
        <v>1</v>
      </c>
      <c r="C2" t="s">
        <v>7</v>
      </c>
      <c r="D2" t="s">
        <v>8</v>
      </c>
      <c r="E2" t="s">
        <v>9</v>
      </c>
      <c r="F2">
        <v>16</v>
      </c>
      <c r="G2">
        <v>4.17</v>
      </c>
      <c r="H2">
        <v>1.41</v>
      </c>
    </row>
    <row r="3" spans="1:8" x14ac:dyDescent="0.35">
      <c r="A3">
        <v>435</v>
      </c>
      <c r="B3">
        <v>1</v>
      </c>
      <c r="C3" t="s">
        <v>7</v>
      </c>
      <c r="D3" t="s">
        <v>10</v>
      </c>
      <c r="E3" t="s">
        <v>9</v>
      </c>
      <c r="F3">
        <v>20</v>
      </c>
      <c r="G3">
        <v>3.15</v>
      </c>
      <c r="H3">
        <v>1.34</v>
      </c>
    </row>
    <row r="4" spans="1:8" x14ac:dyDescent="0.35">
      <c r="A4">
        <v>0</v>
      </c>
      <c r="B4">
        <v>1</v>
      </c>
      <c r="C4" t="s">
        <v>7</v>
      </c>
      <c r="D4" t="s">
        <v>11</v>
      </c>
      <c r="E4" t="s">
        <v>9</v>
      </c>
      <c r="F4">
        <v>36</v>
      </c>
      <c r="G4">
        <v>0.74399999999999999</v>
      </c>
      <c r="H4">
        <v>0.34699999999999998</v>
      </c>
    </row>
    <row r="5" spans="1:8" x14ac:dyDescent="0.35">
      <c r="A5">
        <v>124</v>
      </c>
      <c r="B5">
        <v>2</v>
      </c>
      <c r="C5" t="s">
        <v>12</v>
      </c>
      <c r="D5" t="s">
        <v>8</v>
      </c>
      <c r="E5" t="s">
        <v>13</v>
      </c>
      <c r="F5">
        <v>60</v>
      </c>
      <c r="G5">
        <v>2.2000000000000002</v>
      </c>
      <c r="H5">
        <v>1.08</v>
      </c>
    </row>
    <row r="6" spans="1:8" x14ac:dyDescent="0.35">
      <c r="A6">
        <v>548</v>
      </c>
      <c r="B6">
        <v>2</v>
      </c>
      <c r="C6" t="s">
        <v>12</v>
      </c>
      <c r="D6" t="s">
        <v>8</v>
      </c>
      <c r="E6" t="s">
        <v>14</v>
      </c>
      <c r="F6">
        <v>60</v>
      </c>
      <c r="G6">
        <v>0</v>
      </c>
      <c r="H6">
        <v>7.0000000000000007E-2</v>
      </c>
    </row>
    <row r="7" spans="1:8" x14ac:dyDescent="0.35">
      <c r="A7">
        <v>492</v>
      </c>
      <c r="B7">
        <v>2</v>
      </c>
      <c r="C7" t="s">
        <v>12</v>
      </c>
      <c r="D7" t="s">
        <v>8</v>
      </c>
      <c r="E7" t="s">
        <v>15</v>
      </c>
      <c r="F7">
        <v>60</v>
      </c>
      <c r="G7">
        <v>0</v>
      </c>
      <c r="H7">
        <v>0.06</v>
      </c>
    </row>
    <row r="8" spans="1:8" x14ac:dyDescent="0.35">
      <c r="A8">
        <v>0</v>
      </c>
      <c r="B8">
        <v>2</v>
      </c>
      <c r="C8" t="s">
        <v>12</v>
      </c>
      <c r="D8" t="s">
        <v>11</v>
      </c>
      <c r="E8" t="s">
        <v>13</v>
      </c>
      <c r="F8">
        <v>120</v>
      </c>
      <c r="G8">
        <v>0.20899999999999999</v>
      </c>
      <c r="H8">
        <v>0.183</v>
      </c>
    </row>
    <row r="9" spans="1:8" x14ac:dyDescent="0.35">
      <c r="A9">
        <v>370</v>
      </c>
      <c r="B9">
        <v>2</v>
      </c>
      <c r="C9" t="s">
        <v>12</v>
      </c>
      <c r="D9" t="s">
        <v>8</v>
      </c>
      <c r="E9" t="s">
        <v>16</v>
      </c>
      <c r="F9">
        <v>60</v>
      </c>
      <c r="G9">
        <v>10</v>
      </c>
      <c r="H9">
        <v>7.0000000000000007E-2</v>
      </c>
    </row>
    <row r="10" spans="1:8" x14ac:dyDescent="0.35">
      <c r="A10">
        <v>234</v>
      </c>
      <c r="B10">
        <v>2</v>
      </c>
      <c r="C10" t="s">
        <v>12</v>
      </c>
      <c r="D10" t="s">
        <v>8</v>
      </c>
      <c r="E10" t="s">
        <v>17</v>
      </c>
      <c r="F10">
        <v>60</v>
      </c>
      <c r="G10">
        <v>0</v>
      </c>
      <c r="H10">
        <v>0.06</v>
      </c>
    </row>
    <row r="11" spans="1:8" x14ac:dyDescent="0.35">
      <c r="A11">
        <v>0</v>
      </c>
      <c r="B11">
        <v>2</v>
      </c>
      <c r="C11" t="s">
        <v>12</v>
      </c>
      <c r="D11" t="s">
        <v>11</v>
      </c>
      <c r="E11" t="s">
        <v>16</v>
      </c>
      <c r="F11">
        <v>121</v>
      </c>
      <c r="G11">
        <v>0.89500000000000002</v>
      </c>
      <c r="H11">
        <v>0.47180799086337211</v>
      </c>
    </row>
    <row r="12" spans="1:8" x14ac:dyDescent="0.35">
      <c r="A12">
        <v>0</v>
      </c>
      <c r="B12">
        <v>2</v>
      </c>
      <c r="C12" t="s">
        <v>12</v>
      </c>
      <c r="D12" t="s">
        <v>11</v>
      </c>
      <c r="E12" t="s">
        <v>15</v>
      </c>
      <c r="F12">
        <v>121</v>
      </c>
      <c r="G12">
        <v>1</v>
      </c>
      <c r="H12">
        <v>2.0083160441856092</v>
      </c>
    </row>
    <row r="13" spans="1:8" x14ac:dyDescent="0.35">
      <c r="A13">
        <v>493</v>
      </c>
      <c r="B13">
        <v>2</v>
      </c>
      <c r="C13" t="s">
        <v>12</v>
      </c>
      <c r="D13" t="s">
        <v>10</v>
      </c>
      <c r="E13" t="s">
        <v>15</v>
      </c>
      <c r="F13">
        <v>60</v>
      </c>
      <c r="G13">
        <v>0</v>
      </c>
      <c r="H13">
        <v>0.06</v>
      </c>
    </row>
    <row r="14" spans="1:8" x14ac:dyDescent="0.35">
      <c r="A14">
        <v>235</v>
      </c>
      <c r="B14">
        <v>2</v>
      </c>
      <c r="C14" t="s">
        <v>12</v>
      </c>
      <c r="D14" t="s">
        <v>10</v>
      </c>
      <c r="E14" t="s">
        <v>17</v>
      </c>
      <c r="F14">
        <v>60</v>
      </c>
      <c r="G14">
        <v>0</v>
      </c>
      <c r="H14">
        <v>0.06</v>
      </c>
    </row>
    <row r="15" spans="1:8" x14ac:dyDescent="0.35">
      <c r="A15">
        <v>549</v>
      </c>
      <c r="B15">
        <v>2</v>
      </c>
      <c r="C15" t="s">
        <v>12</v>
      </c>
      <c r="D15" t="s">
        <v>10</v>
      </c>
      <c r="E15" t="s">
        <v>14</v>
      </c>
      <c r="F15">
        <v>60</v>
      </c>
      <c r="G15">
        <v>0</v>
      </c>
      <c r="H15">
        <v>7.0000000000000007E-2</v>
      </c>
    </row>
    <row r="16" spans="1:8" x14ac:dyDescent="0.35">
      <c r="A16">
        <v>371</v>
      </c>
      <c r="B16">
        <v>2</v>
      </c>
      <c r="C16" t="s">
        <v>12</v>
      </c>
      <c r="D16" t="s">
        <v>10</v>
      </c>
      <c r="E16" t="s">
        <v>16</v>
      </c>
      <c r="F16">
        <v>60</v>
      </c>
      <c r="G16">
        <v>11</v>
      </c>
      <c r="H16">
        <v>7.0000000000000007E-2</v>
      </c>
    </row>
    <row r="17" spans="1:8" x14ac:dyDescent="0.35">
      <c r="A17">
        <v>125</v>
      </c>
      <c r="B17">
        <v>2</v>
      </c>
      <c r="C17" t="s">
        <v>12</v>
      </c>
      <c r="D17" t="s">
        <v>10</v>
      </c>
      <c r="E17" t="s">
        <v>13</v>
      </c>
      <c r="F17">
        <v>60</v>
      </c>
      <c r="G17">
        <v>1.95</v>
      </c>
      <c r="H17">
        <v>1.3</v>
      </c>
    </row>
    <row r="18" spans="1:8" x14ac:dyDescent="0.35">
      <c r="A18">
        <v>0</v>
      </c>
      <c r="B18">
        <v>2</v>
      </c>
      <c r="C18" t="s">
        <v>12</v>
      </c>
      <c r="D18" t="s">
        <v>11</v>
      </c>
      <c r="E18" t="s">
        <v>14</v>
      </c>
      <c r="F18">
        <v>121</v>
      </c>
      <c r="G18">
        <v>1</v>
      </c>
      <c r="H18">
        <v>2.0083160441856092</v>
      </c>
    </row>
    <row r="19" spans="1:8" x14ac:dyDescent="0.35">
      <c r="A19">
        <v>0</v>
      </c>
      <c r="B19">
        <v>2</v>
      </c>
      <c r="C19" t="s">
        <v>12</v>
      </c>
      <c r="D19" t="s">
        <v>11</v>
      </c>
      <c r="E19" t="s">
        <v>17</v>
      </c>
      <c r="F19">
        <v>121</v>
      </c>
      <c r="G19">
        <v>1</v>
      </c>
      <c r="H19">
        <v>2.0083160441856092</v>
      </c>
    </row>
    <row r="20" spans="1:8" x14ac:dyDescent="0.35">
      <c r="A20">
        <v>436</v>
      </c>
      <c r="B20">
        <v>3</v>
      </c>
      <c r="C20" t="s">
        <v>18</v>
      </c>
      <c r="D20" t="s">
        <v>8</v>
      </c>
      <c r="E20" t="s">
        <v>9</v>
      </c>
      <c r="F20">
        <v>25</v>
      </c>
      <c r="G20">
        <v>4.87</v>
      </c>
      <c r="H20">
        <v>2.29</v>
      </c>
    </row>
    <row r="21" spans="1:8" x14ac:dyDescent="0.35">
      <c r="A21">
        <v>437</v>
      </c>
      <c r="B21">
        <v>3</v>
      </c>
      <c r="C21" t="s">
        <v>18</v>
      </c>
      <c r="D21" t="s">
        <v>10</v>
      </c>
      <c r="E21" t="s">
        <v>9</v>
      </c>
      <c r="F21">
        <v>22</v>
      </c>
      <c r="G21">
        <v>4.8600000000000003</v>
      </c>
      <c r="H21">
        <v>1.31</v>
      </c>
    </row>
    <row r="22" spans="1:8" x14ac:dyDescent="0.35">
      <c r="A22">
        <v>127</v>
      </c>
      <c r="B22">
        <v>3</v>
      </c>
      <c r="C22" t="s">
        <v>18</v>
      </c>
      <c r="D22" t="s">
        <v>10</v>
      </c>
      <c r="E22" t="s">
        <v>13</v>
      </c>
      <c r="F22">
        <v>22</v>
      </c>
      <c r="G22">
        <v>1.4</v>
      </c>
      <c r="H22">
        <v>2.6</v>
      </c>
    </row>
    <row r="23" spans="1:8" x14ac:dyDescent="0.35">
      <c r="A23">
        <v>291</v>
      </c>
      <c r="B23">
        <v>3</v>
      </c>
      <c r="C23" t="s">
        <v>18</v>
      </c>
      <c r="D23" t="s">
        <v>10</v>
      </c>
      <c r="E23" t="s">
        <v>19</v>
      </c>
      <c r="F23">
        <v>22</v>
      </c>
      <c r="G23">
        <v>79.16</v>
      </c>
      <c r="H23">
        <v>13.35</v>
      </c>
    </row>
    <row r="24" spans="1:8" x14ac:dyDescent="0.35">
      <c r="A24">
        <v>290</v>
      </c>
      <c r="B24">
        <v>3</v>
      </c>
      <c r="C24" t="s">
        <v>18</v>
      </c>
      <c r="D24" t="s">
        <v>8</v>
      </c>
      <c r="E24" t="s">
        <v>19</v>
      </c>
      <c r="F24">
        <v>25</v>
      </c>
      <c r="G24">
        <v>80.7</v>
      </c>
      <c r="H24">
        <v>21.64</v>
      </c>
    </row>
    <row r="25" spans="1:8" x14ac:dyDescent="0.35">
      <c r="A25">
        <v>0</v>
      </c>
      <c r="B25">
        <v>3</v>
      </c>
      <c r="C25" t="s">
        <v>18</v>
      </c>
      <c r="D25" t="s">
        <v>11</v>
      </c>
      <c r="E25" t="s">
        <v>19</v>
      </c>
      <c r="F25">
        <v>47</v>
      </c>
      <c r="G25">
        <v>8.4000000000000005E-2</v>
      </c>
      <c r="H25">
        <v>0.29199999999999998</v>
      </c>
    </row>
    <row r="26" spans="1:8" x14ac:dyDescent="0.35">
      <c r="A26">
        <v>126</v>
      </c>
      <c r="B26">
        <v>3</v>
      </c>
      <c r="C26" t="s">
        <v>18</v>
      </c>
      <c r="D26" t="s">
        <v>8</v>
      </c>
      <c r="E26" t="s">
        <v>13</v>
      </c>
      <c r="F26">
        <v>25</v>
      </c>
      <c r="G26">
        <v>2.6</v>
      </c>
      <c r="H26">
        <v>3.3</v>
      </c>
    </row>
    <row r="27" spans="1:8" x14ac:dyDescent="0.35">
      <c r="A27">
        <v>1</v>
      </c>
      <c r="B27">
        <v>3</v>
      </c>
      <c r="C27" t="s">
        <v>18</v>
      </c>
      <c r="D27" t="s">
        <v>11</v>
      </c>
      <c r="E27" t="s">
        <v>9</v>
      </c>
      <c r="F27">
        <v>47</v>
      </c>
      <c r="G27">
        <v>5.0000000000000001E-3</v>
      </c>
      <c r="H27">
        <v>0.29199999999999998</v>
      </c>
    </row>
    <row r="28" spans="1:8" x14ac:dyDescent="0.35">
      <c r="A28">
        <v>1</v>
      </c>
      <c r="B28">
        <v>3</v>
      </c>
      <c r="C28" t="s">
        <v>18</v>
      </c>
      <c r="D28" t="s">
        <v>11</v>
      </c>
      <c r="E28" t="s">
        <v>13</v>
      </c>
      <c r="F28">
        <v>47</v>
      </c>
      <c r="G28">
        <v>0.40100000000000002</v>
      </c>
      <c r="H28">
        <v>0.29499999999999998</v>
      </c>
    </row>
    <row r="29" spans="1:8" x14ac:dyDescent="0.35">
      <c r="A29">
        <v>550</v>
      </c>
      <c r="B29">
        <v>5</v>
      </c>
      <c r="C29" t="s">
        <v>20</v>
      </c>
      <c r="D29" t="s">
        <v>8</v>
      </c>
      <c r="E29" t="s">
        <v>14</v>
      </c>
      <c r="F29">
        <v>35</v>
      </c>
      <c r="G29">
        <v>15</v>
      </c>
      <c r="H29">
        <v>1.59</v>
      </c>
    </row>
    <row r="30" spans="1:8" x14ac:dyDescent="0.35">
      <c r="A30">
        <v>2</v>
      </c>
      <c r="B30">
        <v>5</v>
      </c>
      <c r="C30" t="s">
        <v>20</v>
      </c>
      <c r="D30" t="s">
        <v>11</v>
      </c>
      <c r="E30" t="s">
        <v>13</v>
      </c>
      <c r="F30">
        <v>68</v>
      </c>
      <c r="G30">
        <v>0.46500000000000002</v>
      </c>
      <c r="H30">
        <v>0.246</v>
      </c>
    </row>
    <row r="31" spans="1:8" x14ac:dyDescent="0.35">
      <c r="A31">
        <v>1</v>
      </c>
      <c r="B31">
        <v>5</v>
      </c>
      <c r="C31" t="s">
        <v>20</v>
      </c>
      <c r="D31" t="s">
        <v>11</v>
      </c>
      <c r="E31" t="s">
        <v>14</v>
      </c>
      <c r="F31">
        <v>69</v>
      </c>
      <c r="G31">
        <v>0.16900000000000001</v>
      </c>
      <c r="H31">
        <v>0.56351258376593605</v>
      </c>
    </row>
    <row r="32" spans="1:8" x14ac:dyDescent="0.35">
      <c r="A32">
        <v>1</v>
      </c>
      <c r="B32">
        <v>5</v>
      </c>
      <c r="C32" t="s">
        <v>20</v>
      </c>
      <c r="D32" t="s">
        <v>11</v>
      </c>
      <c r="E32" t="s">
        <v>16</v>
      </c>
      <c r="F32">
        <v>69</v>
      </c>
      <c r="G32">
        <v>-8.8999999999999996E-2</v>
      </c>
    </row>
    <row r="33" spans="1:8" x14ac:dyDescent="0.35">
      <c r="A33">
        <v>373</v>
      </c>
      <c r="B33">
        <v>5</v>
      </c>
      <c r="C33" t="s">
        <v>20</v>
      </c>
      <c r="D33" t="s">
        <v>10</v>
      </c>
      <c r="E33" t="s">
        <v>16</v>
      </c>
      <c r="F33">
        <v>33</v>
      </c>
      <c r="G33">
        <v>36</v>
      </c>
      <c r="H33">
        <v>1.95</v>
      </c>
    </row>
    <row r="34" spans="1:8" x14ac:dyDescent="0.35">
      <c r="A34">
        <v>551</v>
      </c>
      <c r="B34">
        <v>5</v>
      </c>
      <c r="C34" t="s">
        <v>20</v>
      </c>
      <c r="D34" t="s">
        <v>10</v>
      </c>
      <c r="E34" t="s">
        <v>14</v>
      </c>
      <c r="F34">
        <v>33</v>
      </c>
      <c r="G34">
        <v>27</v>
      </c>
      <c r="H34">
        <v>1.95</v>
      </c>
    </row>
    <row r="35" spans="1:8" x14ac:dyDescent="0.35">
      <c r="A35">
        <v>372</v>
      </c>
      <c r="B35">
        <v>5</v>
      </c>
      <c r="C35" t="s">
        <v>20</v>
      </c>
      <c r="D35" t="s">
        <v>8</v>
      </c>
      <c r="E35" t="s">
        <v>16</v>
      </c>
      <c r="F35">
        <v>35</v>
      </c>
      <c r="G35">
        <v>18</v>
      </c>
      <c r="H35">
        <v>1.59</v>
      </c>
    </row>
    <row r="36" spans="1:8" x14ac:dyDescent="0.35">
      <c r="A36">
        <v>131</v>
      </c>
      <c r="B36">
        <v>5</v>
      </c>
      <c r="C36" t="s">
        <v>20</v>
      </c>
      <c r="D36" t="s">
        <v>10</v>
      </c>
      <c r="E36" t="s">
        <v>13</v>
      </c>
      <c r="F36">
        <v>33</v>
      </c>
      <c r="G36">
        <v>3.1</v>
      </c>
      <c r="H36">
        <v>2.2999999999999998</v>
      </c>
    </row>
    <row r="37" spans="1:8" x14ac:dyDescent="0.35">
      <c r="A37">
        <v>130</v>
      </c>
      <c r="B37">
        <v>5</v>
      </c>
      <c r="C37" t="s">
        <v>20</v>
      </c>
      <c r="D37" t="s">
        <v>8</v>
      </c>
      <c r="E37" t="s">
        <v>13</v>
      </c>
      <c r="F37">
        <v>35</v>
      </c>
      <c r="G37">
        <v>2.1</v>
      </c>
      <c r="H37">
        <v>2</v>
      </c>
    </row>
    <row r="38" spans="1:8" x14ac:dyDescent="0.35">
      <c r="A38">
        <v>0</v>
      </c>
      <c r="B38">
        <v>6</v>
      </c>
      <c r="C38" t="s">
        <v>21</v>
      </c>
      <c r="D38" t="s">
        <v>11</v>
      </c>
      <c r="E38" t="s">
        <v>22</v>
      </c>
      <c r="F38">
        <v>17</v>
      </c>
      <c r="G38">
        <v>1</v>
      </c>
      <c r="H38">
        <v>2.0615528128088298</v>
      </c>
    </row>
    <row r="39" spans="1:8" x14ac:dyDescent="0.35">
      <c r="A39">
        <v>0</v>
      </c>
      <c r="B39">
        <v>6</v>
      </c>
      <c r="C39" t="s">
        <v>21</v>
      </c>
      <c r="D39" t="s">
        <v>8</v>
      </c>
      <c r="E39" t="s">
        <v>22</v>
      </c>
      <c r="F39">
        <v>8</v>
      </c>
      <c r="G39">
        <v>0</v>
      </c>
      <c r="H39">
        <v>0.18</v>
      </c>
    </row>
    <row r="40" spans="1:8" x14ac:dyDescent="0.35">
      <c r="A40">
        <v>1</v>
      </c>
      <c r="B40">
        <v>6</v>
      </c>
      <c r="C40" t="s">
        <v>21</v>
      </c>
      <c r="D40" t="s">
        <v>10</v>
      </c>
      <c r="E40" t="s">
        <v>22</v>
      </c>
      <c r="F40">
        <v>8</v>
      </c>
      <c r="G40">
        <v>0</v>
      </c>
      <c r="H40">
        <v>0.18</v>
      </c>
    </row>
    <row r="41" spans="1:8" x14ac:dyDescent="0.35">
      <c r="A41">
        <v>3</v>
      </c>
      <c r="B41">
        <v>7</v>
      </c>
      <c r="C41" t="s">
        <v>23</v>
      </c>
      <c r="D41" t="s">
        <v>11</v>
      </c>
      <c r="E41" t="s">
        <v>13</v>
      </c>
      <c r="F41">
        <v>61</v>
      </c>
      <c r="G41">
        <v>0.16</v>
      </c>
      <c r="H41">
        <v>0.25700000000000001</v>
      </c>
    </row>
    <row r="42" spans="1:8" x14ac:dyDescent="0.35">
      <c r="A42">
        <v>133</v>
      </c>
      <c r="B42">
        <v>7</v>
      </c>
      <c r="C42" t="s">
        <v>23</v>
      </c>
      <c r="D42" t="s">
        <v>10</v>
      </c>
      <c r="E42" t="s">
        <v>13</v>
      </c>
      <c r="F42">
        <v>29</v>
      </c>
      <c r="G42">
        <v>2.9</v>
      </c>
      <c r="H42">
        <v>2.4</v>
      </c>
    </row>
    <row r="43" spans="1:8" x14ac:dyDescent="0.35">
      <c r="A43">
        <v>132</v>
      </c>
      <c r="B43">
        <v>7</v>
      </c>
      <c r="C43" t="s">
        <v>23</v>
      </c>
      <c r="D43" t="s">
        <v>8</v>
      </c>
      <c r="E43" t="s">
        <v>13</v>
      </c>
      <c r="F43">
        <v>32</v>
      </c>
      <c r="G43">
        <v>3.3</v>
      </c>
      <c r="H43">
        <v>2.6</v>
      </c>
    </row>
    <row r="44" spans="1:8" x14ac:dyDescent="0.35">
      <c r="A44">
        <v>292</v>
      </c>
      <c r="B44">
        <v>9</v>
      </c>
      <c r="C44" t="s">
        <v>24</v>
      </c>
      <c r="D44" t="s">
        <v>8</v>
      </c>
      <c r="E44" t="s">
        <v>19</v>
      </c>
      <c r="F44">
        <v>78</v>
      </c>
      <c r="G44">
        <v>85.82</v>
      </c>
      <c r="H44">
        <v>11.83</v>
      </c>
    </row>
    <row r="45" spans="1:8" x14ac:dyDescent="0.35">
      <c r="A45">
        <v>439</v>
      </c>
      <c r="B45">
        <v>9</v>
      </c>
      <c r="C45" t="s">
        <v>24</v>
      </c>
      <c r="D45" t="s">
        <v>10</v>
      </c>
      <c r="E45" t="s">
        <v>9</v>
      </c>
      <c r="F45">
        <v>75</v>
      </c>
      <c r="G45">
        <v>4.07</v>
      </c>
      <c r="H45">
        <v>1.88</v>
      </c>
    </row>
    <row r="46" spans="1:8" x14ac:dyDescent="0.35">
      <c r="A46">
        <v>2</v>
      </c>
      <c r="B46">
        <v>9</v>
      </c>
      <c r="C46" t="s">
        <v>24</v>
      </c>
      <c r="D46" t="s">
        <v>11</v>
      </c>
      <c r="E46" t="s">
        <v>9</v>
      </c>
      <c r="F46">
        <v>153</v>
      </c>
      <c r="G46">
        <v>0.92300000000000004</v>
      </c>
      <c r="H46">
        <v>0.17</v>
      </c>
    </row>
    <row r="47" spans="1:8" x14ac:dyDescent="0.35">
      <c r="A47">
        <v>1</v>
      </c>
      <c r="B47">
        <v>9</v>
      </c>
      <c r="C47" t="s">
        <v>24</v>
      </c>
      <c r="D47" t="s">
        <v>11</v>
      </c>
      <c r="E47" t="s">
        <v>19</v>
      </c>
      <c r="F47">
        <v>153</v>
      </c>
      <c r="G47">
        <v>4.9000000000000002E-2</v>
      </c>
      <c r="H47">
        <v>0.16200000000000001</v>
      </c>
    </row>
    <row r="48" spans="1:8" x14ac:dyDescent="0.35">
      <c r="A48">
        <v>293</v>
      </c>
      <c r="B48">
        <v>9</v>
      </c>
      <c r="C48" t="s">
        <v>24</v>
      </c>
      <c r="D48" t="s">
        <v>10</v>
      </c>
      <c r="E48" t="s">
        <v>19</v>
      </c>
      <c r="F48">
        <v>75</v>
      </c>
      <c r="G48">
        <v>86.42</v>
      </c>
      <c r="H48">
        <v>12.53</v>
      </c>
    </row>
    <row r="49" spans="1:8" x14ac:dyDescent="0.35">
      <c r="A49">
        <v>438</v>
      </c>
      <c r="B49">
        <v>9</v>
      </c>
      <c r="C49" t="s">
        <v>24</v>
      </c>
      <c r="D49" t="s">
        <v>8</v>
      </c>
      <c r="E49" t="s">
        <v>9</v>
      </c>
      <c r="F49">
        <v>78</v>
      </c>
      <c r="G49">
        <v>5.8</v>
      </c>
      <c r="H49">
        <v>1.87</v>
      </c>
    </row>
    <row r="50" spans="1:8" x14ac:dyDescent="0.35">
      <c r="A50">
        <v>2</v>
      </c>
      <c r="B50">
        <v>10</v>
      </c>
      <c r="C50" t="s">
        <v>25</v>
      </c>
      <c r="D50" t="s">
        <v>26</v>
      </c>
      <c r="E50" t="s">
        <v>19</v>
      </c>
      <c r="F50">
        <v>86</v>
      </c>
      <c r="G50">
        <v>5.5E-2</v>
      </c>
      <c r="H50">
        <v>0.216</v>
      </c>
    </row>
    <row r="51" spans="1:8" x14ac:dyDescent="0.35">
      <c r="A51">
        <v>0</v>
      </c>
      <c r="B51">
        <v>10</v>
      </c>
      <c r="C51" t="s">
        <v>25</v>
      </c>
      <c r="D51" t="s">
        <v>26</v>
      </c>
      <c r="E51" t="s">
        <v>27</v>
      </c>
      <c r="F51">
        <v>86</v>
      </c>
      <c r="G51">
        <v>0.104</v>
      </c>
      <c r="H51">
        <v>0.216</v>
      </c>
    </row>
    <row r="52" spans="1:8" x14ac:dyDescent="0.35">
      <c r="A52">
        <v>137</v>
      </c>
      <c r="B52">
        <v>10</v>
      </c>
      <c r="C52" t="s">
        <v>25</v>
      </c>
      <c r="D52" t="s">
        <v>28</v>
      </c>
      <c r="E52" t="s">
        <v>13</v>
      </c>
      <c r="F52">
        <v>43</v>
      </c>
      <c r="G52">
        <v>1</v>
      </c>
      <c r="H52">
        <v>1.1000000000000001</v>
      </c>
    </row>
    <row r="53" spans="1:8" x14ac:dyDescent="0.35">
      <c r="A53">
        <v>4</v>
      </c>
      <c r="B53">
        <v>10</v>
      </c>
      <c r="C53" t="s">
        <v>25</v>
      </c>
      <c r="D53" t="s">
        <v>26</v>
      </c>
      <c r="E53" t="s">
        <v>13</v>
      </c>
      <c r="F53">
        <v>86</v>
      </c>
      <c r="G53">
        <v>0.04</v>
      </c>
      <c r="H53">
        <v>0.216</v>
      </c>
    </row>
    <row r="54" spans="1:8" x14ac:dyDescent="0.35">
      <c r="A54">
        <v>3</v>
      </c>
      <c r="B54">
        <v>10</v>
      </c>
      <c r="C54" t="s">
        <v>25</v>
      </c>
      <c r="D54" t="s">
        <v>26</v>
      </c>
      <c r="E54" t="s">
        <v>9</v>
      </c>
      <c r="F54">
        <v>86</v>
      </c>
      <c r="G54">
        <v>0</v>
      </c>
      <c r="H54">
        <v>0.216</v>
      </c>
    </row>
    <row r="55" spans="1:8" x14ac:dyDescent="0.35">
      <c r="A55">
        <v>295</v>
      </c>
      <c r="B55">
        <v>10</v>
      </c>
      <c r="C55" t="s">
        <v>25</v>
      </c>
      <c r="D55" t="s">
        <v>28</v>
      </c>
      <c r="E55" t="s">
        <v>19</v>
      </c>
      <c r="F55">
        <v>43</v>
      </c>
      <c r="G55">
        <v>95.6</v>
      </c>
      <c r="H55">
        <v>7.8</v>
      </c>
    </row>
    <row r="56" spans="1:8" x14ac:dyDescent="0.35">
      <c r="A56">
        <v>294</v>
      </c>
      <c r="B56">
        <v>10</v>
      </c>
      <c r="C56" t="s">
        <v>25</v>
      </c>
      <c r="D56" t="s">
        <v>8</v>
      </c>
      <c r="E56" t="s">
        <v>19</v>
      </c>
      <c r="F56">
        <v>43</v>
      </c>
      <c r="G56">
        <v>95.2</v>
      </c>
      <c r="H56">
        <v>6.6</v>
      </c>
    </row>
    <row r="57" spans="1:8" x14ac:dyDescent="0.35">
      <c r="A57">
        <v>72</v>
      </c>
      <c r="B57">
        <v>10</v>
      </c>
      <c r="C57" t="s">
        <v>25</v>
      </c>
      <c r="D57" t="s">
        <v>8</v>
      </c>
      <c r="E57" t="s">
        <v>27</v>
      </c>
      <c r="F57">
        <v>43</v>
      </c>
      <c r="G57">
        <v>91</v>
      </c>
      <c r="H57">
        <v>7.3</v>
      </c>
    </row>
    <row r="58" spans="1:8" x14ac:dyDescent="0.35">
      <c r="A58">
        <v>73</v>
      </c>
      <c r="B58">
        <v>10</v>
      </c>
      <c r="C58" t="s">
        <v>25</v>
      </c>
      <c r="D58" t="s">
        <v>28</v>
      </c>
      <c r="E58" t="s">
        <v>27</v>
      </c>
      <c r="F58">
        <v>43</v>
      </c>
      <c r="G58">
        <v>92</v>
      </c>
      <c r="H58">
        <v>11.5</v>
      </c>
    </row>
    <row r="59" spans="1:8" x14ac:dyDescent="0.35">
      <c r="A59">
        <v>440</v>
      </c>
      <c r="B59">
        <v>10</v>
      </c>
      <c r="C59" t="s">
        <v>25</v>
      </c>
      <c r="D59" t="s">
        <v>8</v>
      </c>
      <c r="E59" t="s">
        <v>9</v>
      </c>
      <c r="F59">
        <v>43</v>
      </c>
      <c r="G59">
        <v>6.1</v>
      </c>
      <c r="H59">
        <v>1.1399999999999999</v>
      </c>
    </row>
    <row r="60" spans="1:8" x14ac:dyDescent="0.35">
      <c r="A60">
        <v>136</v>
      </c>
      <c r="B60">
        <v>10</v>
      </c>
      <c r="C60" t="s">
        <v>25</v>
      </c>
      <c r="D60" t="s">
        <v>8</v>
      </c>
      <c r="E60" t="s">
        <v>13</v>
      </c>
      <c r="F60">
        <v>43</v>
      </c>
      <c r="G60">
        <v>1.05</v>
      </c>
      <c r="H60">
        <v>1.36</v>
      </c>
    </row>
    <row r="61" spans="1:8" x14ac:dyDescent="0.35">
      <c r="A61">
        <v>441</v>
      </c>
      <c r="B61">
        <v>10</v>
      </c>
      <c r="C61" t="s">
        <v>25</v>
      </c>
      <c r="D61" t="s">
        <v>28</v>
      </c>
      <c r="E61" t="s">
        <v>9</v>
      </c>
      <c r="F61">
        <v>43</v>
      </c>
      <c r="G61">
        <v>6.1</v>
      </c>
      <c r="H61">
        <v>1.1399999999999999</v>
      </c>
    </row>
    <row r="62" spans="1:8" x14ac:dyDescent="0.35">
      <c r="A62">
        <v>238</v>
      </c>
      <c r="B62">
        <v>11</v>
      </c>
      <c r="C62" t="s">
        <v>29</v>
      </c>
      <c r="D62" t="s">
        <v>8</v>
      </c>
      <c r="E62" t="s">
        <v>17</v>
      </c>
      <c r="F62">
        <v>22</v>
      </c>
      <c r="G62">
        <v>13</v>
      </c>
      <c r="H62">
        <v>0.59</v>
      </c>
    </row>
    <row r="63" spans="1:8" x14ac:dyDescent="0.35">
      <c r="A63">
        <v>377</v>
      </c>
      <c r="B63">
        <v>11</v>
      </c>
      <c r="C63" t="s">
        <v>29</v>
      </c>
      <c r="D63" t="s">
        <v>10</v>
      </c>
      <c r="E63" t="s">
        <v>16</v>
      </c>
      <c r="F63">
        <v>22</v>
      </c>
      <c r="G63">
        <v>9</v>
      </c>
      <c r="H63">
        <v>1.91</v>
      </c>
    </row>
    <row r="64" spans="1:8" x14ac:dyDescent="0.35">
      <c r="A64">
        <v>497</v>
      </c>
      <c r="B64">
        <v>11</v>
      </c>
      <c r="C64" t="s">
        <v>29</v>
      </c>
      <c r="D64" t="s">
        <v>10</v>
      </c>
      <c r="E64" t="s">
        <v>15</v>
      </c>
      <c r="F64">
        <v>22</v>
      </c>
      <c r="G64">
        <v>7</v>
      </c>
      <c r="H64">
        <v>7.04</v>
      </c>
    </row>
    <row r="65" spans="1:8" x14ac:dyDescent="0.35">
      <c r="A65">
        <v>496</v>
      </c>
      <c r="B65">
        <v>11</v>
      </c>
      <c r="C65" t="s">
        <v>29</v>
      </c>
      <c r="D65" t="s">
        <v>8</v>
      </c>
      <c r="E65" t="s">
        <v>15</v>
      </c>
      <c r="F65">
        <v>22</v>
      </c>
      <c r="G65">
        <v>13</v>
      </c>
      <c r="H65">
        <v>0.59</v>
      </c>
    </row>
    <row r="66" spans="1:8" x14ac:dyDescent="0.35">
      <c r="A66">
        <v>1</v>
      </c>
      <c r="B66">
        <v>11</v>
      </c>
      <c r="C66" t="s">
        <v>29</v>
      </c>
      <c r="D66" t="s">
        <v>11</v>
      </c>
      <c r="E66" t="s">
        <v>17</v>
      </c>
      <c r="F66">
        <v>45</v>
      </c>
      <c r="G66">
        <v>0.14599999999999999</v>
      </c>
      <c r="H66">
        <v>0.85671796583826998</v>
      </c>
    </row>
    <row r="67" spans="1:8" x14ac:dyDescent="0.35">
      <c r="A67">
        <v>555</v>
      </c>
      <c r="B67">
        <v>11</v>
      </c>
      <c r="C67" t="s">
        <v>29</v>
      </c>
      <c r="D67" t="s">
        <v>10</v>
      </c>
      <c r="E67" t="s">
        <v>14</v>
      </c>
      <c r="F67">
        <v>22</v>
      </c>
      <c r="G67">
        <v>1</v>
      </c>
      <c r="H67">
        <v>1.91</v>
      </c>
    </row>
    <row r="68" spans="1:8" x14ac:dyDescent="0.35">
      <c r="A68">
        <v>376</v>
      </c>
      <c r="B68">
        <v>11</v>
      </c>
      <c r="C68" t="s">
        <v>29</v>
      </c>
      <c r="D68" t="s">
        <v>8</v>
      </c>
      <c r="E68" t="s">
        <v>16</v>
      </c>
      <c r="F68">
        <v>22</v>
      </c>
      <c r="G68">
        <v>3</v>
      </c>
      <c r="H68">
        <v>0.11</v>
      </c>
    </row>
    <row r="69" spans="1:8" x14ac:dyDescent="0.35">
      <c r="A69">
        <v>554</v>
      </c>
      <c r="B69">
        <v>11</v>
      </c>
      <c r="C69" t="s">
        <v>29</v>
      </c>
      <c r="D69" t="s">
        <v>8</v>
      </c>
      <c r="E69" t="s">
        <v>14</v>
      </c>
      <c r="F69">
        <v>22</v>
      </c>
      <c r="G69">
        <v>6</v>
      </c>
      <c r="H69">
        <v>0.11</v>
      </c>
    </row>
    <row r="70" spans="1:8" x14ac:dyDescent="0.35">
      <c r="A70">
        <v>2</v>
      </c>
      <c r="B70">
        <v>11</v>
      </c>
      <c r="C70" t="s">
        <v>29</v>
      </c>
      <c r="D70" t="s">
        <v>11</v>
      </c>
      <c r="E70" t="s">
        <v>16</v>
      </c>
      <c r="F70">
        <v>45</v>
      </c>
      <c r="G70">
        <v>0.252</v>
      </c>
      <c r="H70">
        <v>0.72147910536582271</v>
      </c>
    </row>
    <row r="71" spans="1:8" x14ac:dyDescent="0.35">
      <c r="A71">
        <v>239</v>
      </c>
      <c r="B71">
        <v>11</v>
      </c>
      <c r="C71" t="s">
        <v>29</v>
      </c>
      <c r="D71" t="s">
        <v>10</v>
      </c>
      <c r="E71" t="s">
        <v>17</v>
      </c>
      <c r="F71">
        <v>22</v>
      </c>
      <c r="G71">
        <v>20</v>
      </c>
      <c r="H71">
        <v>7.04</v>
      </c>
    </row>
    <row r="72" spans="1:8" x14ac:dyDescent="0.35">
      <c r="A72">
        <v>2</v>
      </c>
      <c r="B72">
        <v>11</v>
      </c>
      <c r="C72" t="s">
        <v>29</v>
      </c>
      <c r="D72" t="s">
        <v>11</v>
      </c>
      <c r="E72" t="s">
        <v>14</v>
      </c>
      <c r="F72">
        <v>45</v>
      </c>
      <c r="G72">
        <v>5.6879999999999997</v>
      </c>
      <c r="H72">
        <v>0.9646926288367027</v>
      </c>
    </row>
    <row r="73" spans="1:8" x14ac:dyDescent="0.35">
      <c r="A73">
        <v>1</v>
      </c>
      <c r="B73">
        <v>11</v>
      </c>
      <c r="C73" t="s">
        <v>29</v>
      </c>
      <c r="D73" t="s">
        <v>11</v>
      </c>
      <c r="E73" t="s">
        <v>15</v>
      </c>
      <c r="F73">
        <v>45</v>
      </c>
      <c r="G73">
        <v>3</v>
      </c>
      <c r="H73">
        <v>0.62063289083417517</v>
      </c>
    </row>
    <row r="74" spans="1:8" x14ac:dyDescent="0.35">
      <c r="A74">
        <v>556</v>
      </c>
      <c r="B74">
        <v>12</v>
      </c>
      <c r="C74" t="s">
        <v>30</v>
      </c>
      <c r="D74" t="s">
        <v>10</v>
      </c>
      <c r="E74" t="s">
        <v>14</v>
      </c>
      <c r="F74">
        <v>62</v>
      </c>
      <c r="G74">
        <v>1</v>
      </c>
      <c r="H74">
        <v>0.06</v>
      </c>
    </row>
    <row r="75" spans="1:8" x14ac:dyDescent="0.35">
      <c r="A75">
        <v>3</v>
      </c>
      <c r="B75">
        <v>12</v>
      </c>
      <c r="C75" t="s">
        <v>30</v>
      </c>
      <c r="D75" t="s">
        <v>31</v>
      </c>
      <c r="E75" t="s">
        <v>16</v>
      </c>
      <c r="F75">
        <v>125</v>
      </c>
      <c r="G75">
        <v>0.80400000000000005</v>
      </c>
      <c r="H75">
        <v>0.66243916173477524</v>
      </c>
    </row>
    <row r="76" spans="1:8" x14ac:dyDescent="0.35">
      <c r="A76">
        <v>5</v>
      </c>
      <c r="B76">
        <v>12</v>
      </c>
      <c r="C76" t="s">
        <v>30</v>
      </c>
      <c r="D76" t="s">
        <v>31</v>
      </c>
      <c r="E76" t="s">
        <v>13</v>
      </c>
      <c r="F76">
        <v>124</v>
      </c>
      <c r="G76">
        <v>0.20699999999999999</v>
      </c>
      <c r="H76">
        <v>0.18</v>
      </c>
    </row>
    <row r="77" spans="1:8" x14ac:dyDescent="0.35">
      <c r="A77">
        <v>378</v>
      </c>
      <c r="B77">
        <v>12</v>
      </c>
      <c r="C77" t="s">
        <v>30</v>
      </c>
      <c r="D77" t="s">
        <v>10</v>
      </c>
      <c r="E77" t="s">
        <v>16</v>
      </c>
      <c r="F77">
        <v>62</v>
      </c>
      <c r="G77">
        <v>4</v>
      </c>
      <c r="H77">
        <v>0.06</v>
      </c>
    </row>
    <row r="78" spans="1:8" x14ac:dyDescent="0.35">
      <c r="A78">
        <v>75</v>
      </c>
      <c r="B78">
        <v>12</v>
      </c>
      <c r="C78" t="s">
        <v>30</v>
      </c>
      <c r="D78" t="s">
        <v>32</v>
      </c>
      <c r="E78" t="s">
        <v>27</v>
      </c>
      <c r="F78">
        <v>62</v>
      </c>
      <c r="G78">
        <v>89.3</v>
      </c>
      <c r="H78">
        <v>8.4</v>
      </c>
    </row>
    <row r="79" spans="1:8" x14ac:dyDescent="0.35">
      <c r="A79">
        <v>141</v>
      </c>
      <c r="B79">
        <v>12</v>
      </c>
      <c r="C79" t="s">
        <v>30</v>
      </c>
      <c r="D79" t="s">
        <v>32</v>
      </c>
      <c r="E79" t="s">
        <v>13</v>
      </c>
      <c r="F79">
        <v>62</v>
      </c>
      <c r="G79">
        <v>1.85</v>
      </c>
      <c r="H79">
        <v>0.77</v>
      </c>
    </row>
    <row r="80" spans="1:8" x14ac:dyDescent="0.35">
      <c r="A80">
        <v>140</v>
      </c>
      <c r="B80">
        <v>12</v>
      </c>
      <c r="C80" t="s">
        <v>30</v>
      </c>
      <c r="D80" t="s">
        <v>10</v>
      </c>
      <c r="E80" t="s">
        <v>13</v>
      </c>
      <c r="F80">
        <v>62</v>
      </c>
      <c r="G80">
        <v>1.71</v>
      </c>
      <c r="H80">
        <v>0.56999999999999995</v>
      </c>
    </row>
    <row r="81" spans="1:8" x14ac:dyDescent="0.35">
      <c r="A81">
        <v>74</v>
      </c>
      <c r="B81">
        <v>12</v>
      </c>
      <c r="C81" t="s">
        <v>30</v>
      </c>
      <c r="D81" t="s">
        <v>10</v>
      </c>
      <c r="E81" t="s">
        <v>27</v>
      </c>
      <c r="F81">
        <v>62</v>
      </c>
      <c r="G81">
        <v>90.4</v>
      </c>
      <c r="H81">
        <v>7.1</v>
      </c>
    </row>
    <row r="82" spans="1:8" x14ac:dyDescent="0.35">
      <c r="A82">
        <v>379</v>
      </c>
      <c r="B82">
        <v>12</v>
      </c>
      <c r="C82" t="s">
        <v>30</v>
      </c>
      <c r="D82" t="s">
        <v>32</v>
      </c>
      <c r="E82" t="s">
        <v>16</v>
      </c>
      <c r="F82">
        <v>62</v>
      </c>
      <c r="G82">
        <v>5</v>
      </c>
      <c r="H82">
        <v>0.06</v>
      </c>
    </row>
    <row r="83" spans="1:8" x14ac:dyDescent="0.35">
      <c r="A83">
        <v>557</v>
      </c>
      <c r="B83">
        <v>12</v>
      </c>
      <c r="C83" t="s">
        <v>30</v>
      </c>
      <c r="D83" t="s">
        <v>32</v>
      </c>
      <c r="E83" t="s">
        <v>14</v>
      </c>
      <c r="F83">
        <v>62</v>
      </c>
      <c r="G83">
        <v>0</v>
      </c>
      <c r="H83">
        <v>0.06</v>
      </c>
    </row>
    <row r="84" spans="1:8" x14ac:dyDescent="0.35">
      <c r="A84">
        <v>1</v>
      </c>
      <c r="B84">
        <v>12</v>
      </c>
      <c r="C84" t="s">
        <v>30</v>
      </c>
      <c r="D84" t="s">
        <v>31</v>
      </c>
      <c r="E84" t="s">
        <v>27</v>
      </c>
      <c r="F84">
        <v>124</v>
      </c>
      <c r="G84">
        <v>0.14099999999999999</v>
      </c>
      <c r="H84">
        <v>0.18</v>
      </c>
    </row>
    <row r="85" spans="1:8" x14ac:dyDescent="0.35">
      <c r="A85">
        <v>3</v>
      </c>
      <c r="B85">
        <v>12</v>
      </c>
      <c r="C85" t="s">
        <v>30</v>
      </c>
      <c r="D85" t="s">
        <v>31</v>
      </c>
      <c r="E85" t="s">
        <v>14</v>
      </c>
      <c r="F85">
        <v>125</v>
      </c>
      <c r="G85">
        <v>3.0489999999999999</v>
      </c>
      <c r="H85">
        <v>1.6429209176182771</v>
      </c>
    </row>
    <row r="86" spans="1:8" x14ac:dyDescent="0.35">
      <c r="A86">
        <v>558</v>
      </c>
      <c r="B86">
        <v>13</v>
      </c>
      <c r="C86" t="s">
        <v>33</v>
      </c>
      <c r="D86" t="s">
        <v>8</v>
      </c>
      <c r="E86" t="s">
        <v>14</v>
      </c>
      <c r="F86">
        <v>61</v>
      </c>
      <c r="G86">
        <v>12</v>
      </c>
      <c r="H86">
        <v>1.99</v>
      </c>
    </row>
    <row r="87" spans="1:8" x14ac:dyDescent="0.35">
      <c r="A87">
        <v>240</v>
      </c>
      <c r="B87">
        <v>13</v>
      </c>
      <c r="C87" t="s">
        <v>33</v>
      </c>
      <c r="D87" t="s">
        <v>8</v>
      </c>
      <c r="E87" t="s">
        <v>17</v>
      </c>
      <c r="F87">
        <v>61</v>
      </c>
      <c r="G87">
        <v>31</v>
      </c>
      <c r="H87">
        <v>1.0900000000000001</v>
      </c>
    </row>
    <row r="88" spans="1:8" x14ac:dyDescent="0.35">
      <c r="A88">
        <v>498</v>
      </c>
      <c r="B88">
        <v>13</v>
      </c>
      <c r="C88" t="s">
        <v>33</v>
      </c>
      <c r="D88" t="s">
        <v>8</v>
      </c>
      <c r="E88" t="s">
        <v>15</v>
      </c>
      <c r="F88">
        <v>61</v>
      </c>
      <c r="G88">
        <v>7</v>
      </c>
      <c r="H88">
        <v>1.0900000000000001</v>
      </c>
    </row>
    <row r="89" spans="1:8" x14ac:dyDescent="0.35">
      <c r="A89">
        <v>77</v>
      </c>
      <c r="B89">
        <v>13</v>
      </c>
      <c r="C89" t="s">
        <v>33</v>
      </c>
      <c r="D89" t="s">
        <v>10</v>
      </c>
      <c r="E89" t="s">
        <v>27</v>
      </c>
      <c r="F89">
        <v>86</v>
      </c>
      <c r="G89">
        <v>74</v>
      </c>
      <c r="H89">
        <v>18.8</v>
      </c>
    </row>
    <row r="90" spans="1:8" x14ac:dyDescent="0.35">
      <c r="A90">
        <v>380</v>
      </c>
      <c r="B90">
        <v>13</v>
      </c>
      <c r="C90" t="s">
        <v>33</v>
      </c>
      <c r="D90" t="s">
        <v>8</v>
      </c>
      <c r="E90" t="s">
        <v>16</v>
      </c>
      <c r="F90">
        <v>61</v>
      </c>
      <c r="G90">
        <v>26</v>
      </c>
      <c r="H90">
        <v>1.99</v>
      </c>
    </row>
    <row r="91" spans="1:8" x14ac:dyDescent="0.35">
      <c r="A91">
        <v>444</v>
      </c>
      <c r="B91">
        <v>13</v>
      </c>
      <c r="C91" t="s">
        <v>33</v>
      </c>
      <c r="D91" t="s">
        <v>8</v>
      </c>
      <c r="E91" t="s">
        <v>9</v>
      </c>
      <c r="F91">
        <v>61</v>
      </c>
      <c r="G91">
        <v>4.0999999999999996</v>
      </c>
      <c r="H91">
        <v>1.7</v>
      </c>
    </row>
    <row r="92" spans="1:8" x14ac:dyDescent="0.35">
      <c r="A92">
        <v>2</v>
      </c>
      <c r="B92">
        <v>13</v>
      </c>
      <c r="C92" t="s">
        <v>33</v>
      </c>
      <c r="D92" t="s">
        <v>11</v>
      </c>
      <c r="E92" t="s">
        <v>15</v>
      </c>
      <c r="F92">
        <v>148</v>
      </c>
      <c r="G92">
        <v>0.42</v>
      </c>
      <c r="H92">
        <v>0.46232899016116652</v>
      </c>
    </row>
    <row r="93" spans="1:8" x14ac:dyDescent="0.35">
      <c r="A93">
        <v>4</v>
      </c>
      <c r="B93">
        <v>13</v>
      </c>
      <c r="C93" t="s">
        <v>33</v>
      </c>
      <c r="D93" t="s">
        <v>11</v>
      </c>
      <c r="E93" t="s">
        <v>14</v>
      </c>
      <c r="F93">
        <v>148</v>
      </c>
      <c r="G93">
        <v>1.379</v>
      </c>
      <c r="H93">
        <v>0.43379818749778848</v>
      </c>
    </row>
    <row r="94" spans="1:8" x14ac:dyDescent="0.35">
      <c r="A94">
        <v>2</v>
      </c>
      <c r="B94">
        <v>13</v>
      </c>
      <c r="C94" t="s">
        <v>33</v>
      </c>
      <c r="D94" t="s">
        <v>11</v>
      </c>
      <c r="E94" t="s">
        <v>17</v>
      </c>
      <c r="F94">
        <v>148</v>
      </c>
      <c r="G94">
        <v>0.27600000000000002</v>
      </c>
      <c r="H94">
        <v>0.36774102406572212</v>
      </c>
    </row>
    <row r="95" spans="1:8" x14ac:dyDescent="0.35">
      <c r="A95">
        <v>2</v>
      </c>
      <c r="B95">
        <v>13</v>
      </c>
      <c r="C95" t="s">
        <v>33</v>
      </c>
      <c r="D95" t="s">
        <v>11</v>
      </c>
      <c r="E95" t="s">
        <v>27</v>
      </c>
      <c r="F95">
        <v>147</v>
      </c>
      <c r="G95">
        <v>0.34100000000000003</v>
      </c>
      <c r="H95">
        <v>0.16900000000000001</v>
      </c>
    </row>
    <row r="96" spans="1:8" x14ac:dyDescent="0.35">
      <c r="A96">
        <v>3</v>
      </c>
      <c r="B96">
        <v>13</v>
      </c>
      <c r="C96" t="s">
        <v>33</v>
      </c>
      <c r="D96" t="s">
        <v>11</v>
      </c>
      <c r="E96" t="s">
        <v>19</v>
      </c>
      <c r="F96">
        <v>147</v>
      </c>
      <c r="G96">
        <v>8.1000000000000003E-2</v>
      </c>
      <c r="H96">
        <v>0.16700000000000001</v>
      </c>
    </row>
    <row r="97" spans="1:8" x14ac:dyDescent="0.35">
      <c r="A97">
        <v>76</v>
      </c>
      <c r="B97">
        <v>13</v>
      </c>
      <c r="C97" t="s">
        <v>33</v>
      </c>
      <c r="D97" t="s">
        <v>8</v>
      </c>
      <c r="E97" t="s">
        <v>27</v>
      </c>
      <c r="F97">
        <v>61</v>
      </c>
      <c r="G97">
        <v>67.3</v>
      </c>
      <c r="H97">
        <v>20.8</v>
      </c>
    </row>
    <row r="98" spans="1:8" x14ac:dyDescent="0.35">
      <c r="A98">
        <v>297</v>
      </c>
      <c r="B98">
        <v>13</v>
      </c>
      <c r="C98" t="s">
        <v>33</v>
      </c>
      <c r="D98" t="s">
        <v>10</v>
      </c>
      <c r="E98" t="s">
        <v>19</v>
      </c>
      <c r="F98">
        <v>86</v>
      </c>
      <c r="G98">
        <v>80.7</v>
      </c>
      <c r="H98">
        <v>15.3</v>
      </c>
    </row>
    <row r="99" spans="1:8" x14ac:dyDescent="0.35">
      <c r="A99">
        <v>445</v>
      </c>
      <c r="B99">
        <v>13</v>
      </c>
      <c r="C99" t="s">
        <v>33</v>
      </c>
      <c r="D99" t="s">
        <v>10</v>
      </c>
      <c r="E99" t="s">
        <v>9</v>
      </c>
      <c r="F99">
        <v>86</v>
      </c>
      <c r="G99">
        <v>4</v>
      </c>
      <c r="H99">
        <v>1.7</v>
      </c>
    </row>
    <row r="100" spans="1:8" x14ac:dyDescent="0.35">
      <c r="A100">
        <v>381</v>
      </c>
      <c r="B100">
        <v>13</v>
      </c>
      <c r="C100" t="s">
        <v>33</v>
      </c>
      <c r="D100" t="s">
        <v>10</v>
      </c>
      <c r="E100" t="s">
        <v>16</v>
      </c>
      <c r="F100">
        <v>86</v>
      </c>
      <c r="G100">
        <v>28</v>
      </c>
      <c r="H100">
        <v>1.72</v>
      </c>
    </row>
    <row r="101" spans="1:8" x14ac:dyDescent="0.35">
      <c r="A101">
        <v>559</v>
      </c>
      <c r="B101">
        <v>13</v>
      </c>
      <c r="C101" t="s">
        <v>33</v>
      </c>
      <c r="D101" t="s">
        <v>10</v>
      </c>
      <c r="E101" t="s">
        <v>14</v>
      </c>
      <c r="F101">
        <v>86</v>
      </c>
      <c r="G101">
        <v>13</v>
      </c>
      <c r="H101">
        <v>1.72</v>
      </c>
    </row>
    <row r="102" spans="1:8" x14ac:dyDescent="0.35">
      <c r="A102">
        <v>241</v>
      </c>
      <c r="B102">
        <v>13</v>
      </c>
      <c r="C102" t="s">
        <v>33</v>
      </c>
      <c r="D102" t="s">
        <v>10</v>
      </c>
      <c r="E102" t="s">
        <v>17</v>
      </c>
      <c r="F102">
        <v>86</v>
      </c>
      <c r="G102">
        <v>68</v>
      </c>
      <c r="H102">
        <v>2.88</v>
      </c>
    </row>
    <row r="103" spans="1:8" x14ac:dyDescent="0.35">
      <c r="A103">
        <v>499</v>
      </c>
      <c r="B103">
        <v>13</v>
      </c>
      <c r="C103" t="s">
        <v>33</v>
      </c>
      <c r="D103" t="s">
        <v>10</v>
      </c>
      <c r="E103" t="s">
        <v>15</v>
      </c>
      <c r="F103">
        <v>86</v>
      </c>
      <c r="G103">
        <v>21</v>
      </c>
      <c r="H103">
        <v>2.88</v>
      </c>
    </row>
    <row r="104" spans="1:8" x14ac:dyDescent="0.35">
      <c r="A104">
        <v>4</v>
      </c>
      <c r="B104">
        <v>13</v>
      </c>
      <c r="C104" t="s">
        <v>33</v>
      </c>
      <c r="D104" t="s">
        <v>11</v>
      </c>
      <c r="E104" t="s">
        <v>16</v>
      </c>
      <c r="F104">
        <v>148</v>
      </c>
      <c r="G104">
        <v>1.5409999999999999</v>
      </c>
      <c r="H104">
        <v>0.34443631666336061</v>
      </c>
    </row>
    <row r="105" spans="1:8" x14ac:dyDescent="0.35">
      <c r="A105">
        <v>4</v>
      </c>
      <c r="B105">
        <v>13</v>
      </c>
      <c r="C105" t="s">
        <v>33</v>
      </c>
      <c r="D105" t="s">
        <v>11</v>
      </c>
      <c r="E105" t="s">
        <v>9</v>
      </c>
      <c r="F105">
        <v>147</v>
      </c>
      <c r="G105">
        <v>5.8999999999999997E-2</v>
      </c>
      <c r="H105">
        <v>0.16700000000000001</v>
      </c>
    </row>
    <row r="106" spans="1:8" x14ac:dyDescent="0.35">
      <c r="A106">
        <v>296</v>
      </c>
      <c r="B106">
        <v>13</v>
      </c>
      <c r="C106" t="s">
        <v>33</v>
      </c>
      <c r="D106" t="s">
        <v>8</v>
      </c>
      <c r="E106" t="s">
        <v>19</v>
      </c>
      <c r="F106">
        <v>61</v>
      </c>
      <c r="G106">
        <v>79.400000000000006</v>
      </c>
      <c r="H106">
        <v>16.899999999999999</v>
      </c>
    </row>
    <row r="107" spans="1:8" x14ac:dyDescent="0.35">
      <c r="A107">
        <v>79</v>
      </c>
      <c r="B107">
        <v>14</v>
      </c>
      <c r="C107" t="s">
        <v>34</v>
      </c>
      <c r="D107" t="s">
        <v>35</v>
      </c>
      <c r="E107" t="s">
        <v>27</v>
      </c>
      <c r="F107">
        <v>36</v>
      </c>
      <c r="G107">
        <v>81.099999999999994</v>
      </c>
      <c r="H107">
        <v>23.1</v>
      </c>
    </row>
    <row r="108" spans="1:8" x14ac:dyDescent="0.35">
      <c r="A108">
        <v>78</v>
      </c>
      <c r="B108">
        <v>14</v>
      </c>
      <c r="C108" t="s">
        <v>34</v>
      </c>
      <c r="D108" t="s">
        <v>10</v>
      </c>
      <c r="E108" t="s">
        <v>27</v>
      </c>
      <c r="F108">
        <v>44</v>
      </c>
      <c r="G108">
        <v>79.5</v>
      </c>
      <c r="H108">
        <v>24.7</v>
      </c>
    </row>
    <row r="109" spans="1:8" x14ac:dyDescent="0.35">
      <c r="A109">
        <v>447</v>
      </c>
      <c r="B109">
        <v>14</v>
      </c>
      <c r="C109" t="s">
        <v>34</v>
      </c>
      <c r="D109" t="s">
        <v>35</v>
      </c>
      <c r="E109" t="s">
        <v>9</v>
      </c>
      <c r="F109">
        <v>36</v>
      </c>
      <c r="G109">
        <v>5.0999999999999996</v>
      </c>
      <c r="H109">
        <v>2</v>
      </c>
    </row>
    <row r="110" spans="1:8" x14ac:dyDescent="0.35">
      <c r="A110">
        <v>5</v>
      </c>
      <c r="B110">
        <v>14</v>
      </c>
      <c r="C110" t="s">
        <v>34</v>
      </c>
      <c r="D110" t="s">
        <v>36</v>
      </c>
      <c r="E110" t="s">
        <v>9</v>
      </c>
      <c r="F110">
        <v>80</v>
      </c>
      <c r="G110">
        <v>0</v>
      </c>
      <c r="H110">
        <v>0.22500000000000001</v>
      </c>
    </row>
    <row r="111" spans="1:8" x14ac:dyDescent="0.35">
      <c r="A111">
        <v>446</v>
      </c>
      <c r="B111">
        <v>14</v>
      </c>
      <c r="C111" t="s">
        <v>34</v>
      </c>
      <c r="D111" t="s">
        <v>10</v>
      </c>
      <c r="E111" t="s">
        <v>9</v>
      </c>
      <c r="F111">
        <v>44</v>
      </c>
      <c r="G111">
        <v>5.0999999999999996</v>
      </c>
      <c r="H111">
        <v>2.2000000000000002</v>
      </c>
    </row>
    <row r="112" spans="1:8" x14ac:dyDescent="0.35">
      <c r="A112">
        <v>3</v>
      </c>
      <c r="B112">
        <v>14</v>
      </c>
      <c r="C112" t="s">
        <v>34</v>
      </c>
      <c r="D112" t="s">
        <v>36</v>
      </c>
      <c r="E112" t="s">
        <v>27</v>
      </c>
      <c r="F112">
        <v>80</v>
      </c>
      <c r="G112">
        <v>6.7000000000000004E-2</v>
      </c>
      <c r="H112">
        <v>0.22500000000000001</v>
      </c>
    </row>
    <row r="113" spans="1:8" x14ac:dyDescent="0.35">
      <c r="A113">
        <v>81</v>
      </c>
      <c r="B113">
        <v>18</v>
      </c>
      <c r="C113" t="s">
        <v>37</v>
      </c>
      <c r="D113" t="s">
        <v>32</v>
      </c>
      <c r="E113" t="s">
        <v>27</v>
      </c>
      <c r="F113">
        <v>30</v>
      </c>
      <c r="G113">
        <v>89.9</v>
      </c>
      <c r="H113">
        <v>9.8000000000000007</v>
      </c>
    </row>
    <row r="114" spans="1:8" x14ac:dyDescent="0.35">
      <c r="A114">
        <v>299</v>
      </c>
      <c r="B114">
        <v>18</v>
      </c>
      <c r="C114" t="s">
        <v>37</v>
      </c>
      <c r="D114" t="s">
        <v>32</v>
      </c>
      <c r="E114" t="s">
        <v>19</v>
      </c>
      <c r="F114">
        <v>30</v>
      </c>
      <c r="G114">
        <v>94.5</v>
      </c>
      <c r="H114">
        <v>6.4</v>
      </c>
    </row>
    <row r="115" spans="1:8" x14ac:dyDescent="0.35">
      <c r="A115">
        <v>4</v>
      </c>
      <c r="B115">
        <v>18</v>
      </c>
      <c r="C115" t="s">
        <v>37</v>
      </c>
      <c r="D115" t="s">
        <v>31</v>
      </c>
      <c r="E115" t="s">
        <v>27</v>
      </c>
      <c r="F115">
        <v>60</v>
      </c>
      <c r="G115">
        <v>2.5000000000000001E-2</v>
      </c>
      <c r="H115">
        <v>0.25800000000000001</v>
      </c>
    </row>
    <row r="116" spans="1:8" x14ac:dyDescent="0.35">
      <c r="A116">
        <v>80</v>
      </c>
      <c r="B116">
        <v>18</v>
      </c>
      <c r="C116" t="s">
        <v>37</v>
      </c>
      <c r="D116" t="s">
        <v>10</v>
      </c>
      <c r="E116" t="s">
        <v>27</v>
      </c>
      <c r="F116">
        <v>30</v>
      </c>
      <c r="G116">
        <v>89.7</v>
      </c>
      <c r="H116">
        <v>5.7</v>
      </c>
    </row>
    <row r="117" spans="1:8" x14ac:dyDescent="0.35">
      <c r="A117">
        <v>298</v>
      </c>
      <c r="B117">
        <v>18</v>
      </c>
      <c r="C117" t="s">
        <v>37</v>
      </c>
      <c r="D117" t="s">
        <v>10</v>
      </c>
      <c r="E117" t="s">
        <v>19</v>
      </c>
      <c r="F117">
        <v>30</v>
      </c>
      <c r="G117">
        <v>95.1</v>
      </c>
      <c r="H117">
        <v>5.2</v>
      </c>
    </row>
    <row r="118" spans="1:8" x14ac:dyDescent="0.35">
      <c r="A118">
        <v>4</v>
      </c>
      <c r="B118">
        <v>18</v>
      </c>
      <c r="C118" t="s">
        <v>37</v>
      </c>
      <c r="D118" t="s">
        <v>31</v>
      </c>
      <c r="E118" t="s">
        <v>19</v>
      </c>
      <c r="F118">
        <v>60</v>
      </c>
      <c r="G118">
        <v>0.10299999999999999</v>
      </c>
      <c r="H118">
        <v>0.25800000000000001</v>
      </c>
    </row>
    <row r="119" spans="1:8" x14ac:dyDescent="0.35">
      <c r="A119">
        <v>83</v>
      </c>
      <c r="B119">
        <v>19</v>
      </c>
      <c r="C119" t="s">
        <v>38</v>
      </c>
      <c r="D119" t="s">
        <v>28</v>
      </c>
      <c r="E119" t="s">
        <v>27</v>
      </c>
      <c r="F119">
        <v>89</v>
      </c>
      <c r="G119">
        <v>89</v>
      </c>
      <c r="H119">
        <v>10</v>
      </c>
    </row>
    <row r="120" spans="1:8" x14ac:dyDescent="0.35">
      <c r="A120">
        <v>82</v>
      </c>
      <c r="B120">
        <v>19</v>
      </c>
      <c r="C120" t="s">
        <v>38</v>
      </c>
      <c r="D120" t="s">
        <v>10</v>
      </c>
      <c r="E120" t="s">
        <v>27</v>
      </c>
      <c r="F120">
        <v>92</v>
      </c>
      <c r="G120">
        <v>92</v>
      </c>
      <c r="H120">
        <v>8</v>
      </c>
    </row>
    <row r="121" spans="1:8" x14ac:dyDescent="0.35">
      <c r="A121">
        <v>300</v>
      </c>
      <c r="B121">
        <v>19</v>
      </c>
      <c r="C121" t="s">
        <v>38</v>
      </c>
      <c r="D121" t="s">
        <v>10</v>
      </c>
      <c r="E121" t="s">
        <v>19</v>
      </c>
      <c r="F121">
        <v>92</v>
      </c>
      <c r="G121">
        <v>94</v>
      </c>
      <c r="H121">
        <v>7</v>
      </c>
    </row>
    <row r="122" spans="1:8" x14ac:dyDescent="0.35">
      <c r="A122">
        <v>301</v>
      </c>
      <c r="B122">
        <v>19</v>
      </c>
      <c r="C122" t="s">
        <v>38</v>
      </c>
      <c r="D122" t="s">
        <v>28</v>
      </c>
      <c r="E122" t="s">
        <v>19</v>
      </c>
      <c r="F122">
        <v>89</v>
      </c>
      <c r="G122">
        <v>93</v>
      </c>
      <c r="H122">
        <v>8</v>
      </c>
    </row>
    <row r="123" spans="1:8" x14ac:dyDescent="0.35">
      <c r="A123">
        <v>5</v>
      </c>
      <c r="B123">
        <v>19</v>
      </c>
      <c r="C123" t="s">
        <v>38</v>
      </c>
      <c r="D123" t="s">
        <v>39</v>
      </c>
      <c r="E123" t="s">
        <v>19</v>
      </c>
      <c r="F123">
        <v>181</v>
      </c>
      <c r="G123">
        <v>0.13300000000000001</v>
      </c>
      <c r="H123">
        <v>0.14899999999999999</v>
      </c>
    </row>
    <row r="124" spans="1:8" x14ac:dyDescent="0.35">
      <c r="A124">
        <v>5</v>
      </c>
      <c r="B124">
        <v>19</v>
      </c>
      <c r="C124" t="s">
        <v>38</v>
      </c>
      <c r="D124" t="s">
        <v>39</v>
      </c>
      <c r="E124" t="s">
        <v>27</v>
      </c>
      <c r="F124">
        <v>181</v>
      </c>
      <c r="G124">
        <v>0.33200000000000002</v>
      </c>
      <c r="H124">
        <v>0.15</v>
      </c>
    </row>
    <row r="125" spans="1:8" x14ac:dyDescent="0.35">
      <c r="A125">
        <v>147</v>
      </c>
      <c r="B125">
        <v>23</v>
      </c>
      <c r="C125" t="s">
        <v>40</v>
      </c>
      <c r="D125" t="s">
        <v>10</v>
      </c>
      <c r="E125" t="s">
        <v>13</v>
      </c>
      <c r="F125">
        <v>34</v>
      </c>
      <c r="G125">
        <v>2.4700000000000002</v>
      </c>
      <c r="H125">
        <v>3.47</v>
      </c>
    </row>
    <row r="126" spans="1:8" x14ac:dyDescent="0.35">
      <c r="A126">
        <v>449</v>
      </c>
      <c r="B126">
        <v>23</v>
      </c>
      <c r="C126" t="s">
        <v>40</v>
      </c>
      <c r="D126" t="s">
        <v>10</v>
      </c>
      <c r="E126" t="s">
        <v>9</v>
      </c>
      <c r="F126">
        <v>34</v>
      </c>
      <c r="G126">
        <v>6.39</v>
      </c>
      <c r="H126">
        <v>1.43</v>
      </c>
    </row>
    <row r="127" spans="1:8" x14ac:dyDescent="0.35">
      <c r="A127">
        <v>146</v>
      </c>
      <c r="B127">
        <v>23</v>
      </c>
      <c r="C127" t="s">
        <v>40</v>
      </c>
      <c r="D127" t="s">
        <v>8</v>
      </c>
      <c r="E127" t="s">
        <v>13</v>
      </c>
      <c r="F127">
        <v>32</v>
      </c>
      <c r="G127">
        <v>2.29</v>
      </c>
      <c r="H127">
        <v>3.99</v>
      </c>
    </row>
    <row r="128" spans="1:8" x14ac:dyDescent="0.35">
      <c r="A128">
        <v>302</v>
      </c>
      <c r="B128">
        <v>23</v>
      </c>
      <c r="C128" t="s">
        <v>40</v>
      </c>
      <c r="D128" t="s">
        <v>8</v>
      </c>
      <c r="E128" t="s">
        <v>19</v>
      </c>
      <c r="F128">
        <v>32</v>
      </c>
      <c r="G128">
        <v>89.96</v>
      </c>
      <c r="H128">
        <v>13.06</v>
      </c>
    </row>
    <row r="129" spans="1:8" x14ac:dyDescent="0.35">
      <c r="A129">
        <v>448</v>
      </c>
      <c r="B129">
        <v>23</v>
      </c>
      <c r="C129" t="s">
        <v>40</v>
      </c>
      <c r="D129" t="s">
        <v>8</v>
      </c>
      <c r="E129" t="s">
        <v>9</v>
      </c>
      <c r="F129">
        <v>32</v>
      </c>
      <c r="G129">
        <v>5.77</v>
      </c>
      <c r="H129">
        <v>1.94</v>
      </c>
    </row>
    <row r="130" spans="1:8" x14ac:dyDescent="0.35">
      <c r="A130">
        <v>303</v>
      </c>
      <c r="B130">
        <v>23</v>
      </c>
      <c r="C130" t="s">
        <v>40</v>
      </c>
      <c r="D130" t="s">
        <v>10</v>
      </c>
      <c r="E130" t="s">
        <v>19</v>
      </c>
      <c r="F130">
        <v>34</v>
      </c>
      <c r="G130">
        <v>86.79</v>
      </c>
      <c r="H130">
        <v>11.72</v>
      </c>
    </row>
    <row r="131" spans="1:8" x14ac:dyDescent="0.35">
      <c r="A131">
        <v>502</v>
      </c>
      <c r="B131">
        <v>23</v>
      </c>
      <c r="C131" t="s">
        <v>40</v>
      </c>
      <c r="D131" t="s">
        <v>8</v>
      </c>
      <c r="E131" t="s">
        <v>15</v>
      </c>
      <c r="F131">
        <v>32</v>
      </c>
      <c r="G131">
        <v>2</v>
      </c>
      <c r="H131">
        <v>5.16</v>
      </c>
    </row>
    <row r="132" spans="1:8" x14ac:dyDescent="0.35">
      <c r="A132">
        <v>244</v>
      </c>
      <c r="B132">
        <v>23</v>
      </c>
      <c r="C132" t="s">
        <v>40</v>
      </c>
      <c r="D132" t="s">
        <v>8</v>
      </c>
      <c r="E132" t="s">
        <v>17</v>
      </c>
      <c r="F132">
        <v>32</v>
      </c>
      <c r="G132">
        <v>14</v>
      </c>
      <c r="H132">
        <v>5.16</v>
      </c>
    </row>
    <row r="133" spans="1:8" x14ac:dyDescent="0.35">
      <c r="A133">
        <v>6</v>
      </c>
      <c r="B133">
        <v>23</v>
      </c>
      <c r="C133" t="s">
        <v>40</v>
      </c>
      <c r="D133" t="s">
        <v>11</v>
      </c>
      <c r="E133" t="s">
        <v>13</v>
      </c>
      <c r="F133">
        <v>66</v>
      </c>
      <c r="G133">
        <v>4.8000000000000001E-2</v>
      </c>
      <c r="H133">
        <v>0.246</v>
      </c>
    </row>
    <row r="134" spans="1:8" x14ac:dyDescent="0.35">
      <c r="A134">
        <v>503</v>
      </c>
      <c r="B134">
        <v>23</v>
      </c>
      <c r="C134" t="s">
        <v>40</v>
      </c>
      <c r="D134" t="s">
        <v>10</v>
      </c>
      <c r="E134" t="s">
        <v>15</v>
      </c>
      <c r="F134">
        <v>34</v>
      </c>
      <c r="G134">
        <v>0</v>
      </c>
      <c r="H134">
        <v>4.2300000000000004</v>
      </c>
    </row>
    <row r="135" spans="1:8" x14ac:dyDescent="0.35">
      <c r="A135">
        <v>245</v>
      </c>
      <c r="B135">
        <v>23</v>
      </c>
      <c r="C135" t="s">
        <v>40</v>
      </c>
      <c r="D135" t="s">
        <v>10</v>
      </c>
      <c r="E135" t="s">
        <v>17</v>
      </c>
      <c r="F135">
        <v>34</v>
      </c>
      <c r="G135">
        <v>18</v>
      </c>
      <c r="H135">
        <v>4.2300000000000004</v>
      </c>
    </row>
    <row r="136" spans="1:8" x14ac:dyDescent="0.35">
      <c r="A136">
        <v>6</v>
      </c>
      <c r="B136">
        <v>23</v>
      </c>
      <c r="C136" t="s">
        <v>40</v>
      </c>
      <c r="D136" t="s">
        <v>11</v>
      </c>
      <c r="E136" t="s">
        <v>19</v>
      </c>
      <c r="F136">
        <v>66</v>
      </c>
      <c r="G136">
        <v>0.25600000000000001</v>
      </c>
      <c r="H136">
        <v>0.247</v>
      </c>
    </row>
    <row r="137" spans="1:8" x14ac:dyDescent="0.35">
      <c r="A137">
        <v>3</v>
      </c>
      <c r="B137">
        <v>23</v>
      </c>
      <c r="C137" t="s">
        <v>40</v>
      </c>
      <c r="D137" t="s">
        <v>11</v>
      </c>
      <c r="E137" t="s">
        <v>15</v>
      </c>
      <c r="F137">
        <v>67</v>
      </c>
      <c r="G137">
        <v>5.6669999999999998</v>
      </c>
      <c r="H137">
        <v>1.5693135754332901</v>
      </c>
    </row>
    <row r="138" spans="1:8" x14ac:dyDescent="0.35">
      <c r="A138">
        <v>3</v>
      </c>
      <c r="B138">
        <v>23</v>
      </c>
      <c r="C138" t="s">
        <v>40</v>
      </c>
      <c r="D138" t="s">
        <v>11</v>
      </c>
      <c r="E138" t="s">
        <v>17</v>
      </c>
      <c r="F138">
        <v>67</v>
      </c>
      <c r="G138">
        <v>0.69699999999999995</v>
      </c>
      <c r="H138">
        <v>0.49099401916010033</v>
      </c>
    </row>
    <row r="139" spans="1:8" x14ac:dyDescent="0.35">
      <c r="A139">
        <v>6</v>
      </c>
      <c r="B139">
        <v>23</v>
      </c>
      <c r="C139" t="s">
        <v>40</v>
      </c>
      <c r="D139" t="s">
        <v>11</v>
      </c>
      <c r="E139" t="s">
        <v>9</v>
      </c>
      <c r="F139">
        <v>66</v>
      </c>
      <c r="G139">
        <v>0.36599999999999999</v>
      </c>
      <c r="H139">
        <v>0.248</v>
      </c>
    </row>
    <row r="140" spans="1:8" x14ac:dyDescent="0.35">
      <c r="A140">
        <v>7</v>
      </c>
      <c r="B140">
        <v>25</v>
      </c>
      <c r="C140" t="s">
        <v>41</v>
      </c>
      <c r="D140" t="s">
        <v>11</v>
      </c>
      <c r="E140" t="s">
        <v>13</v>
      </c>
      <c r="F140">
        <v>89</v>
      </c>
      <c r="G140">
        <v>0.161</v>
      </c>
      <c r="H140">
        <v>0.21299999999999999</v>
      </c>
    </row>
    <row r="141" spans="1:8" x14ac:dyDescent="0.35">
      <c r="A141">
        <v>5</v>
      </c>
      <c r="B141">
        <v>25</v>
      </c>
      <c r="C141" t="s">
        <v>41</v>
      </c>
      <c r="D141" t="s">
        <v>11</v>
      </c>
      <c r="E141" t="s">
        <v>14</v>
      </c>
      <c r="F141">
        <v>90</v>
      </c>
      <c r="G141">
        <v>1.119</v>
      </c>
      <c r="H141">
        <v>2.011239945793192</v>
      </c>
    </row>
    <row r="142" spans="1:8" x14ac:dyDescent="0.35">
      <c r="A142">
        <v>148</v>
      </c>
      <c r="B142">
        <v>25</v>
      </c>
      <c r="C142" t="s">
        <v>41</v>
      </c>
      <c r="D142" t="s">
        <v>8</v>
      </c>
      <c r="E142" t="s">
        <v>13</v>
      </c>
      <c r="F142">
        <v>42</v>
      </c>
      <c r="G142">
        <v>0.95</v>
      </c>
      <c r="H142">
        <v>0.91</v>
      </c>
    </row>
    <row r="143" spans="1:8" x14ac:dyDescent="0.35">
      <c r="A143">
        <v>384</v>
      </c>
      <c r="B143">
        <v>25</v>
      </c>
      <c r="C143" t="s">
        <v>41</v>
      </c>
      <c r="D143" t="s">
        <v>8</v>
      </c>
      <c r="E143" t="s">
        <v>16</v>
      </c>
      <c r="F143">
        <v>42</v>
      </c>
      <c r="G143">
        <v>6</v>
      </c>
      <c r="H143">
        <v>0.41</v>
      </c>
    </row>
    <row r="144" spans="1:8" x14ac:dyDescent="0.35">
      <c r="A144">
        <v>562</v>
      </c>
      <c r="B144">
        <v>25</v>
      </c>
      <c r="C144" t="s">
        <v>41</v>
      </c>
      <c r="D144" t="s">
        <v>8</v>
      </c>
      <c r="E144" t="s">
        <v>14</v>
      </c>
      <c r="F144">
        <v>42</v>
      </c>
      <c r="G144">
        <v>0</v>
      </c>
      <c r="H144">
        <v>0.41</v>
      </c>
    </row>
    <row r="145" spans="1:8" x14ac:dyDescent="0.35">
      <c r="A145">
        <v>149</v>
      </c>
      <c r="B145">
        <v>25</v>
      </c>
      <c r="C145" t="s">
        <v>41</v>
      </c>
      <c r="D145" t="s">
        <v>10</v>
      </c>
      <c r="E145" t="s">
        <v>13</v>
      </c>
      <c r="F145">
        <v>47</v>
      </c>
      <c r="G145">
        <v>1.1000000000000001</v>
      </c>
      <c r="H145">
        <v>0.95</v>
      </c>
    </row>
    <row r="146" spans="1:8" x14ac:dyDescent="0.35">
      <c r="A146">
        <v>385</v>
      </c>
      <c r="B146">
        <v>25</v>
      </c>
      <c r="C146" t="s">
        <v>41</v>
      </c>
      <c r="D146" t="s">
        <v>10</v>
      </c>
      <c r="E146" t="s">
        <v>16</v>
      </c>
      <c r="F146">
        <v>47</v>
      </c>
      <c r="G146">
        <v>19</v>
      </c>
      <c r="H146">
        <v>1.71</v>
      </c>
    </row>
    <row r="147" spans="1:8" x14ac:dyDescent="0.35">
      <c r="A147">
        <v>5</v>
      </c>
      <c r="B147">
        <v>25</v>
      </c>
      <c r="C147" t="s">
        <v>41</v>
      </c>
      <c r="D147" t="s">
        <v>11</v>
      </c>
      <c r="E147" t="s">
        <v>16</v>
      </c>
      <c r="F147">
        <v>90</v>
      </c>
      <c r="G147">
        <v>0.25900000000000001</v>
      </c>
      <c r="H147">
        <v>0.51828589467616093</v>
      </c>
    </row>
    <row r="148" spans="1:8" x14ac:dyDescent="0.35">
      <c r="A148">
        <v>563</v>
      </c>
      <c r="B148">
        <v>25</v>
      </c>
      <c r="C148" t="s">
        <v>41</v>
      </c>
      <c r="D148" t="s">
        <v>10</v>
      </c>
      <c r="E148" t="s">
        <v>14</v>
      </c>
      <c r="F148">
        <v>47</v>
      </c>
      <c r="G148">
        <v>0</v>
      </c>
      <c r="H148">
        <v>1.71</v>
      </c>
    </row>
    <row r="149" spans="1:8" x14ac:dyDescent="0.35">
      <c r="A149">
        <v>150</v>
      </c>
      <c r="B149">
        <v>26</v>
      </c>
      <c r="C149" t="s">
        <v>42</v>
      </c>
      <c r="D149" t="s">
        <v>8</v>
      </c>
      <c r="E149" t="s">
        <v>13</v>
      </c>
      <c r="F149">
        <v>27</v>
      </c>
      <c r="G149">
        <v>0.5</v>
      </c>
      <c r="H149">
        <v>1</v>
      </c>
    </row>
    <row r="150" spans="1:8" x14ac:dyDescent="0.35">
      <c r="A150">
        <v>564</v>
      </c>
      <c r="B150">
        <v>26</v>
      </c>
      <c r="C150" t="s">
        <v>42</v>
      </c>
      <c r="D150" t="s">
        <v>8</v>
      </c>
      <c r="E150" t="s">
        <v>14</v>
      </c>
      <c r="F150">
        <v>27</v>
      </c>
      <c r="G150">
        <v>0</v>
      </c>
      <c r="H150">
        <v>0.1</v>
      </c>
    </row>
    <row r="151" spans="1:8" x14ac:dyDescent="0.35">
      <c r="A151">
        <v>8</v>
      </c>
      <c r="B151">
        <v>26</v>
      </c>
      <c r="C151" t="s">
        <v>42</v>
      </c>
      <c r="D151" t="s">
        <v>11</v>
      </c>
      <c r="E151" t="s">
        <v>13</v>
      </c>
      <c r="F151">
        <v>48</v>
      </c>
      <c r="G151">
        <v>0.55000000000000004</v>
      </c>
      <c r="H151">
        <v>0.29699999999999999</v>
      </c>
    </row>
    <row r="152" spans="1:8" x14ac:dyDescent="0.35">
      <c r="A152">
        <v>504</v>
      </c>
      <c r="B152">
        <v>26</v>
      </c>
      <c r="C152" t="s">
        <v>42</v>
      </c>
      <c r="D152" t="s">
        <v>8</v>
      </c>
      <c r="E152" t="s">
        <v>15</v>
      </c>
      <c r="F152">
        <v>27</v>
      </c>
      <c r="G152">
        <v>0</v>
      </c>
      <c r="H152">
        <v>0.3</v>
      </c>
    </row>
    <row r="153" spans="1:8" x14ac:dyDescent="0.35">
      <c r="A153">
        <v>386</v>
      </c>
      <c r="B153">
        <v>26</v>
      </c>
      <c r="C153" t="s">
        <v>42</v>
      </c>
      <c r="D153" t="s">
        <v>8</v>
      </c>
      <c r="E153" t="s">
        <v>16</v>
      </c>
      <c r="F153">
        <v>27</v>
      </c>
      <c r="G153">
        <v>2</v>
      </c>
      <c r="H153">
        <v>0.1</v>
      </c>
    </row>
    <row r="154" spans="1:8" x14ac:dyDescent="0.35">
      <c r="A154">
        <v>6</v>
      </c>
      <c r="B154">
        <v>26</v>
      </c>
      <c r="C154" t="s">
        <v>42</v>
      </c>
      <c r="D154" t="s">
        <v>11</v>
      </c>
      <c r="E154" t="s">
        <v>16</v>
      </c>
      <c r="F154">
        <v>49</v>
      </c>
      <c r="G154">
        <v>0.126</v>
      </c>
      <c r="H154">
        <v>0.79284077293493826</v>
      </c>
    </row>
    <row r="155" spans="1:8" x14ac:dyDescent="0.35">
      <c r="A155">
        <v>246</v>
      </c>
      <c r="B155">
        <v>26</v>
      </c>
      <c r="C155" t="s">
        <v>42</v>
      </c>
      <c r="D155" t="s">
        <v>8</v>
      </c>
      <c r="E155" t="s">
        <v>17</v>
      </c>
      <c r="F155">
        <v>27</v>
      </c>
      <c r="G155">
        <v>6</v>
      </c>
      <c r="H155">
        <v>0.3</v>
      </c>
    </row>
    <row r="156" spans="1:8" x14ac:dyDescent="0.35">
      <c r="A156">
        <v>4</v>
      </c>
      <c r="B156">
        <v>26</v>
      </c>
      <c r="C156" t="s">
        <v>42</v>
      </c>
      <c r="D156" t="s">
        <v>11</v>
      </c>
      <c r="E156" t="s">
        <v>15</v>
      </c>
      <c r="F156">
        <v>49</v>
      </c>
      <c r="G156">
        <v>0.77800000000000002</v>
      </c>
      <c r="H156">
        <v>2.0210532117329532</v>
      </c>
    </row>
    <row r="157" spans="1:8" x14ac:dyDescent="0.35">
      <c r="A157">
        <v>6</v>
      </c>
      <c r="B157">
        <v>26</v>
      </c>
      <c r="C157" t="s">
        <v>42</v>
      </c>
      <c r="D157" t="s">
        <v>11</v>
      </c>
      <c r="E157" t="s">
        <v>14</v>
      </c>
      <c r="F157">
        <v>49</v>
      </c>
      <c r="G157">
        <v>0.77800000000000002</v>
      </c>
      <c r="H157">
        <v>2.0210532117329532</v>
      </c>
    </row>
    <row r="158" spans="1:8" x14ac:dyDescent="0.35">
      <c r="A158">
        <v>4</v>
      </c>
      <c r="B158">
        <v>26</v>
      </c>
      <c r="C158" t="s">
        <v>42</v>
      </c>
      <c r="D158" t="s">
        <v>11</v>
      </c>
      <c r="E158" t="s">
        <v>17</v>
      </c>
      <c r="F158">
        <v>49</v>
      </c>
      <c r="G158">
        <v>3.2000000000000001E-2</v>
      </c>
      <c r="H158">
        <v>0.86761008105441739</v>
      </c>
    </row>
    <row r="159" spans="1:8" x14ac:dyDescent="0.35">
      <c r="A159">
        <v>565</v>
      </c>
      <c r="B159">
        <v>26</v>
      </c>
      <c r="C159" t="s">
        <v>42</v>
      </c>
      <c r="D159" t="s">
        <v>10</v>
      </c>
      <c r="E159" t="s">
        <v>14</v>
      </c>
      <c r="F159">
        <v>21</v>
      </c>
      <c r="G159">
        <v>0</v>
      </c>
      <c r="H159">
        <v>1.58</v>
      </c>
    </row>
    <row r="160" spans="1:8" x14ac:dyDescent="0.35">
      <c r="A160">
        <v>247</v>
      </c>
      <c r="B160">
        <v>26</v>
      </c>
      <c r="C160" t="s">
        <v>42</v>
      </c>
      <c r="D160" t="s">
        <v>10</v>
      </c>
      <c r="E160" t="s">
        <v>17</v>
      </c>
      <c r="F160">
        <v>21</v>
      </c>
      <c r="G160">
        <v>19</v>
      </c>
      <c r="H160">
        <v>0.11</v>
      </c>
    </row>
    <row r="161" spans="1:8" x14ac:dyDescent="0.35">
      <c r="A161">
        <v>151</v>
      </c>
      <c r="B161">
        <v>26</v>
      </c>
      <c r="C161" t="s">
        <v>42</v>
      </c>
      <c r="D161" t="s">
        <v>10</v>
      </c>
      <c r="E161" t="s">
        <v>13</v>
      </c>
      <c r="F161">
        <v>21</v>
      </c>
      <c r="G161">
        <v>1.1000000000000001</v>
      </c>
      <c r="H161">
        <v>1.2</v>
      </c>
    </row>
    <row r="162" spans="1:8" x14ac:dyDescent="0.35">
      <c r="A162">
        <v>387</v>
      </c>
      <c r="B162">
        <v>26</v>
      </c>
      <c r="C162" t="s">
        <v>42</v>
      </c>
      <c r="D162" t="s">
        <v>10</v>
      </c>
      <c r="E162" t="s">
        <v>16</v>
      </c>
      <c r="F162">
        <v>21</v>
      </c>
      <c r="G162">
        <v>9</v>
      </c>
      <c r="H162">
        <v>1.58</v>
      </c>
    </row>
    <row r="163" spans="1:8" x14ac:dyDescent="0.35">
      <c r="A163">
        <v>505</v>
      </c>
      <c r="B163">
        <v>26</v>
      </c>
      <c r="C163" t="s">
        <v>42</v>
      </c>
      <c r="D163" t="s">
        <v>10</v>
      </c>
      <c r="E163" t="s">
        <v>15</v>
      </c>
      <c r="F163">
        <v>21</v>
      </c>
      <c r="G163">
        <v>0</v>
      </c>
      <c r="H163">
        <v>0.11</v>
      </c>
    </row>
    <row r="164" spans="1:8" x14ac:dyDescent="0.35">
      <c r="A164">
        <v>506</v>
      </c>
      <c r="B164">
        <v>30</v>
      </c>
      <c r="C164" t="s">
        <v>43</v>
      </c>
      <c r="D164" t="s">
        <v>8</v>
      </c>
      <c r="E164" t="s">
        <v>15</v>
      </c>
      <c r="F164">
        <v>41</v>
      </c>
      <c r="G164">
        <v>1</v>
      </c>
      <c r="H164">
        <v>0.24</v>
      </c>
    </row>
    <row r="165" spans="1:8" x14ac:dyDescent="0.35">
      <c r="A165">
        <v>248</v>
      </c>
      <c r="B165">
        <v>30</v>
      </c>
      <c r="C165" t="s">
        <v>43</v>
      </c>
      <c r="D165" t="s">
        <v>8</v>
      </c>
      <c r="E165" t="s">
        <v>17</v>
      </c>
      <c r="F165">
        <v>41</v>
      </c>
      <c r="G165">
        <v>16</v>
      </c>
      <c r="H165">
        <v>0.24</v>
      </c>
    </row>
    <row r="166" spans="1:8" x14ac:dyDescent="0.35">
      <c r="A166">
        <v>154</v>
      </c>
      <c r="B166">
        <v>30</v>
      </c>
      <c r="C166" t="s">
        <v>43</v>
      </c>
      <c r="D166" t="s">
        <v>8</v>
      </c>
      <c r="E166" t="s">
        <v>13</v>
      </c>
      <c r="F166">
        <v>41</v>
      </c>
      <c r="G166">
        <v>1.4</v>
      </c>
      <c r="H166">
        <v>1.8</v>
      </c>
    </row>
    <row r="167" spans="1:8" x14ac:dyDescent="0.35">
      <c r="A167">
        <v>507</v>
      </c>
      <c r="B167">
        <v>30</v>
      </c>
      <c r="C167" t="s">
        <v>43</v>
      </c>
      <c r="D167" t="s">
        <v>10</v>
      </c>
      <c r="E167" t="s">
        <v>15</v>
      </c>
      <c r="F167">
        <v>36</v>
      </c>
      <c r="G167">
        <v>1</v>
      </c>
      <c r="H167">
        <v>0.26</v>
      </c>
    </row>
    <row r="168" spans="1:8" x14ac:dyDescent="0.35">
      <c r="A168">
        <v>9</v>
      </c>
      <c r="B168">
        <v>30</v>
      </c>
      <c r="C168" t="s">
        <v>43</v>
      </c>
      <c r="D168" t="s">
        <v>11</v>
      </c>
      <c r="E168" t="s">
        <v>13</v>
      </c>
      <c r="F168">
        <v>77</v>
      </c>
      <c r="G168">
        <v>0</v>
      </c>
      <c r="H168">
        <v>0.22800000000000001</v>
      </c>
    </row>
    <row r="169" spans="1:8" x14ac:dyDescent="0.35">
      <c r="A169">
        <v>155</v>
      </c>
      <c r="B169">
        <v>30</v>
      </c>
      <c r="C169" t="s">
        <v>43</v>
      </c>
      <c r="D169" t="s">
        <v>10</v>
      </c>
      <c r="E169" t="s">
        <v>13</v>
      </c>
      <c r="F169">
        <v>36</v>
      </c>
      <c r="G169">
        <v>1.4</v>
      </c>
      <c r="H169">
        <v>1.4</v>
      </c>
    </row>
    <row r="170" spans="1:8" x14ac:dyDescent="0.35">
      <c r="A170">
        <v>249</v>
      </c>
      <c r="B170">
        <v>30</v>
      </c>
      <c r="C170" t="s">
        <v>43</v>
      </c>
      <c r="D170" t="s">
        <v>10</v>
      </c>
      <c r="E170" t="s">
        <v>17</v>
      </c>
      <c r="F170">
        <v>36</v>
      </c>
      <c r="G170">
        <v>13</v>
      </c>
      <c r="H170">
        <v>0.26</v>
      </c>
    </row>
    <row r="171" spans="1:8" x14ac:dyDescent="0.35">
      <c r="A171">
        <v>5</v>
      </c>
      <c r="B171">
        <v>30</v>
      </c>
      <c r="C171" t="s">
        <v>43</v>
      </c>
      <c r="D171" t="s">
        <v>11</v>
      </c>
      <c r="E171" t="s">
        <v>15</v>
      </c>
      <c r="F171">
        <v>78</v>
      </c>
      <c r="G171">
        <v>0.875</v>
      </c>
      <c r="H171">
        <v>1.1776692073348789</v>
      </c>
    </row>
    <row r="172" spans="1:8" x14ac:dyDescent="0.35">
      <c r="A172">
        <v>5</v>
      </c>
      <c r="B172">
        <v>30</v>
      </c>
      <c r="C172" t="s">
        <v>43</v>
      </c>
      <c r="D172" t="s">
        <v>11</v>
      </c>
      <c r="E172" t="s">
        <v>17</v>
      </c>
      <c r="F172">
        <v>78</v>
      </c>
      <c r="G172">
        <v>1.1240000000000001</v>
      </c>
      <c r="H172">
        <v>0.46707429339420931</v>
      </c>
    </row>
    <row r="173" spans="1:8" x14ac:dyDescent="0.35">
      <c r="A173">
        <v>308</v>
      </c>
      <c r="B173">
        <v>32</v>
      </c>
      <c r="C173" t="s">
        <v>44</v>
      </c>
      <c r="D173" t="s">
        <v>8</v>
      </c>
      <c r="E173" t="s">
        <v>19</v>
      </c>
      <c r="F173">
        <v>31</v>
      </c>
      <c r="G173">
        <v>89.87</v>
      </c>
      <c r="H173">
        <v>9.17</v>
      </c>
    </row>
    <row r="174" spans="1:8" x14ac:dyDescent="0.35">
      <c r="A174">
        <v>388</v>
      </c>
      <c r="B174">
        <v>32</v>
      </c>
      <c r="C174" t="s">
        <v>44</v>
      </c>
      <c r="D174" t="s">
        <v>8</v>
      </c>
      <c r="E174" t="s">
        <v>16</v>
      </c>
      <c r="F174">
        <v>31</v>
      </c>
      <c r="G174">
        <v>7</v>
      </c>
      <c r="H174">
        <v>0.48</v>
      </c>
    </row>
    <row r="175" spans="1:8" x14ac:dyDescent="0.35">
      <c r="A175">
        <v>566</v>
      </c>
      <c r="B175">
        <v>32</v>
      </c>
      <c r="C175" t="s">
        <v>44</v>
      </c>
      <c r="D175" t="s">
        <v>8</v>
      </c>
      <c r="E175" t="s">
        <v>14</v>
      </c>
      <c r="F175">
        <v>31</v>
      </c>
      <c r="G175">
        <v>2</v>
      </c>
      <c r="H175">
        <v>0.48</v>
      </c>
    </row>
    <row r="176" spans="1:8" x14ac:dyDescent="0.35">
      <c r="A176">
        <v>84</v>
      </c>
      <c r="B176">
        <v>32</v>
      </c>
      <c r="C176" t="s">
        <v>44</v>
      </c>
      <c r="D176" t="s">
        <v>8</v>
      </c>
      <c r="E176" t="s">
        <v>27</v>
      </c>
      <c r="F176">
        <v>31</v>
      </c>
      <c r="G176">
        <v>88.75</v>
      </c>
      <c r="H176">
        <v>9.27</v>
      </c>
    </row>
    <row r="177" spans="1:8" x14ac:dyDescent="0.35">
      <c r="A177">
        <v>6</v>
      </c>
      <c r="B177">
        <v>32</v>
      </c>
      <c r="C177" t="s">
        <v>44</v>
      </c>
      <c r="D177" t="s">
        <v>11</v>
      </c>
      <c r="E177" t="s">
        <v>17</v>
      </c>
      <c r="F177">
        <v>63</v>
      </c>
      <c r="G177">
        <v>1</v>
      </c>
      <c r="H177">
        <v>0.54903133489680223</v>
      </c>
    </row>
    <row r="178" spans="1:8" x14ac:dyDescent="0.35">
      <c r="A178">
        <v>7</v>
      </c>
      <c r="B178">
        <v>32</v>
      </c>
      <c r="C178" t="s">
        <v>44</v>
      </c>
      <c r="D178" t="s">
        <v>11</v>
      </c>
      <c r="E178" t="s">
        <v>14</v>
      </c>
      <c r="F178">
        <v>63</v>
      </c>
      <c r="G178">
        <v>1.724</v>
      </c>
      <c r="H178">
        <v>1.065121006562489</v>
      </c>
    </row>
    <row r="179" spans="1:8" x14ac:dyDescent="0.35">
      <c r="A179">
        <v>7</v>
      </c>
      <c r="B179">
        <v>32</v>
      </c>
      <c r="C179" t="s">
        <v>44</v>
      </c>
      <c r="D179" t="s">
        <v>11</v>
      </c>
      <c r="E179" t="s">
        <v>19</v>
      </c>
      <c r="F179">
        <v>62</v>
      </c>
      <c r="G179">
        <v>0.15</v>
      </c>
      <c r="H179">
        <v>0.254</v>
      </c>
    </row>
    <row r="180" spans="1:8" x14ac:dyDescent="0.35">
      <c r="A180">
        <v>6</v>
      </c>
      <c r="B180">
        <v>32</v>
      </c>
      <c r="C180" t="s">
        <v>44</v>
      </c>
      <c r="D180" t="s">
        <v>11</v>
      </c>
      <c r="E180" t="s">
        <v>15</v>
      </c>
      <c r="F180">
        <v>63</v>
      </c>
      <c r="G180">
        <v>0.69</v>
      </c>
      <c r="H180">
        <v>0.86943161321018292</v>
      </c>
    </row>
    <row r="181" spans="1:8" x14ac:dyDescent="0.35">
      <c r="A181">
        <v>6</v>
      </c>
      <c r="B181">
        <v>32</v>
      </c>
      <c r="C181" t="s">
        <v>44</v>
      </c>
      <c r="D181" t="s">
        <v>11</v>
      </c>
      <c r="E181" t="s">
        <v>27</v>
      </c>
      <c r="F181">
        <v>62</v>
      </c>
      <c r="G181">
        <v>0.245</v>
      </c>
      <c r="H181">
        <v>0.255</v>
      </c>
    </row>
    <row r="182" spans="1:8" x14ac:dyDescent="0.35">
      <c r="A182">
        <v>251</v>
      </c>
      <c r="B182">
        <v>32</v>
      </c>
      <c r="C182" t="s">
        <v>44</v>
      </c>
      <c r="D182" t="s">
        <v>10</v>
      </c>
      <c r="E182" t="s">
        <v>17</v>
      </c>
      <c r="F182">
        <v>31</v>
      </c>
      <c r="G182">
        <v>9</v>
      </c>
      <c r="H182">
        <v>0.7</v>
      </c>
    </row>
    <row r="183" spans="1:8" x14ac:dyDescent="0.35">
      <c r="A183">
        <v>509</v>
      </c>
      <c r="B183">
        <v>32</v>
      </c>
      <c r="C183" t="s">
        <v>44</v>
      </c>
      <c r="D183" t="s">
        <v>10</v>
      </c>
      <c r="E183" t="s">
        <v>15</v>
      </c>
      <c r="F183">
        <v>31</v>
      </c>
      <c r="G183">
        <v>3</v>
      </c>
      <c r="H183">
        <v>0.7</v>
      </c>
    </row>
    <row r="184" spans="1:8" x14ac:dyDescent="0.35">
      <c r="A184">
        <v>250</v>
      </c>
      <c r="B184">
        <v>32</v>
      </c>
      <c r="C184" t="s">
        <v>44</v>
      </c>
      <c r="D184" t="s">
        <v>8</v>
      </c>
      <c r="E184" t="s">
        <v>17</v>
      </c>
      <c r="F184">
        <v>31</v>
      </c>
      <c r="G184">
        <v>9</v>
      </c>
      <c r="H184">
        <v>0.48</v>
      </c>
    </row>
    <row r="185" spans="1:8" x14ac:dyDescent="0.35">
      <c r="A185">
        <v>7</v>
      </c>
      <c r="B185">
        <v>32</v>
      </c>
      <c r="C185" t="s">
        <v>44</v>
      </c>
      <c r="D185" t="s">
        <v>11</v>
      </c>
      <c r="E185" t="s">
        <v>16</v>
      </c>
      <c r="F185">
        <v>63</v>
      </c>
      <c r="G185">
        <v>0.625</v>
      </c>
      <c r="H185">
        <v>0.56378820744774616</v>
      </c>
    </row>
    <row r="186" spans="1:8" x14ac:dyDescent="0.35">
      <c r="A186">
        <v>85</v>
      </c>
      <c r="B186">
        <v>32</v>
      </c>
      <c r="C186" t="s">
        <v>44</v>
      </c>
      <c r="D186" t="s">
        <v>10</v>
      </c>
      <c r="E186" t="s">
        <v>27</v>
      </c>
      <c r="F186">
        <v>31</v>
      </c>
      <c r="G186">
        <v>91</v>
      </c>
      <c r="H186">
        <v>9.07</v>
      </c>
    </row>
    <row r="187" spans="1:8" x14ac:dyDescent="0.35">
      <c r="A187">
        <v>309</v>
      </c>
      <c r="B187">
        <v>32</v>
      </c>
      <c r="C187" t="s">
        <v>44</v>
      </c>
      <c r="D187" t="s">
        <v>10</v>
      </c>
      <c r="E187" t="s">
        <v>19</v>
      </c>
      <c r="F187">
        <v>31</v>
      </c>
      <c r="G187">
        <v>91.26</v>
      </c>
      <c r="H187">
        <v>9.36</v>
      </c>
    </row>
    <row r="188" spans="1:8" x14ac:dyDescent="0.35">
      <c r="A188">
        <v>389</v>
      </c>
      <c r="B188">
        <v>32</v>
      </c>
      <c r="C188" t="s">
        <v>44</v>
      </c>
      <c r="D188" t="s">
        <v>10</v>
      </c>
      <c r="E188" t="s">
        <v>16</v>
      </c>
      <c r="F188">
        <v>31</v>
      </c>
      <c r="G188">
        <v>10</v>
      </c>
      <c r="H188">
        <v>0.7</v>
      </c>
    </row>
    <row r="189" spans="1:8" x14ac:dyDescent="0.35">
      <c r="A189">
        <v>567</v>
      </c>
      <c r="B189">
        <v>32</v>
      </c>
      <c r="C189" t="s">
        <v>44</v>
      </c>
      <c r="D189" t="s">
        <v>10</v>
      </c>
      <c r="E189" t="s">
        <v>14</v>
      </c>
      <c r="F189">
        <v>31</v>
      </c>
      <c r="G189">
        <v>1</v>
      </c>
      <c r="H189">
        <v>0.7</v>
      </c>
    </row>
    <row r="190" spans="1:8" x14ac:dyDescent="0.35">
      <c r="A190">
        <v>508</v>
      </c>
      <c r="B190">
        <v>32</v>
      </c>
      <c r="C190" t="s">
        <v>44</v>
      </c>
      <c r="D190" t="s">
        <v>8</v>
      </c>
      <c r="E190" t="s">
        <v>15</v>
      </c>
      <c r="F190">
        <v>31</v>
      </c>
      <c r="G190">
        <v>2</v>
      </c>
      <c r="H190">
        <v>0.48</v>
      </c>
    </row>
    <row r="191" spans="1:8" x14ac:dyDescent="0.35">
      <c r="A191">
        <v>158</v>
      </c>
      <c r="B191">
        <v>33</v>
      </c>
      <c r="C191" t="s">
        <v>45</v>
      </c>
      <c r="D191" t="s">
        <v>8</v>
      </c>
      <c r="E191" t="s">
        <v>13</v>
      </c>
      <c r="F191">
        <v>37</v>
      </c>
      <c r="G191">
        <v>1.5</v>
      </c>
      <c r="H191">
        <v>3</v>
      </c>
    </row>
    <row r="192" spans="1:8" x14ac:dyDescent="0.35">
      <c r="A192">
        <v>310</v>
      </c>
      <c r="B192">
        <v>33</v>
      </c>
      <c r="C192" t="s">
        <v>45</v>
      </c>
      <c r="D192" t="s">
        <v>8</v>
      </c>
      <c r="E192" t="s">
        <v>19</v>
      </c>
      <c r="F192">
        <v>37</v>
      </c>
      <c r="G192">
        <v>89.11</v>
      </c>
      <c r="H192">
        <v>15.53</v>
      </c>
    </row>
    <row r="193" spans="1:8" x14ac:dyDescent="0.35">
      <c r="A193">
        <v>454</v>
      </c>
      <c r="B193">
        <v>33</v>
      </c>
      <c r="C193" t="s">
        <v>45</v>
      </c>
      <c r="D193" t="s">
        <v>8</v>
      </c>
      <c r="E193" t="s">
        <v>9</v>
      </c>
      <c r="F193">
        <v>37</v>
      </c>
      <c r="G193">
        <v>5.89</v>
      </c>
      <c r="H193">
        <v>2.12</v>
      </c>
    </row>
    <row r="194" spans="1:8" x14ac:dyDescent="0.35">
      <c r="A194">
        <v>159</v>
      </c>
      <c r="B194">
        <v>33</v>
      </c>
      <c r="C194" t="s">
        <v>45</v>
      </c>
      <c r="D194" t="s">
        <v>10</v>
      </c>
      <c r="E194" t="s">
        <v>13</v>
      </c>
      <c r="F194">
        <v>37</v>
      </c>
      <c r="G194">
        <v>1.2</v>
      </c>
      <c r="H194">
        <v>3.9</v>
      </c>
    </row>
    <row r="195" spans="1:8" x14ac:dyDescent="0.35">
      <c r="A195">
        <v>455</v>
      </c>
      <c r="B195">
        <v>33</v>
      </c>
      <c r="C195" t="s">
        <v>45</v>
      </c>
      <c r="D195" t="s">
        <v>10</v>
      </c>
      <c r="E195" t="s">
        <v>9</v>
      </c>
      <c r="F195">
        <v>37</v>
      </c>
      <c r="G195">
        <v>6</v>
      </c>
      <c r="H195">
        <v>1.41</v>
      </c>
    </row>
    <row r="196" spans="1:8" x14ac:dyDescent="0.35">
      <c r="A196">
        <v>568</v>
      </c>
      <c r="B196">
        <v>33</v>
      </c>
      <c r="C196" t="s">
        <v>45</v>
      </c>
      <c r="D196" t="s">
        <v>8</v>
      </c>
      <c r="E196" t="s">
        <v>14</v>
      </c>
      <c r="F196">
        <v>37</v>
      </c>
      <c r="G196">
        <v>0</v>
      </c>
      <c r="H196">
        <v>0.08</v>
      </c>
    </row>
    <row r="197" spans="1:8" x14ac:dyDescent="0.35">
      <c r="A197">
        <v>390</v>
      </c>
      <c r="B197">
        <v>33</v>
      </c>
      <c r="C197" t="s">
        <v>45</v>
      </c>
      <c r="D197" t="s">
        <v>8</v>
      </c>
      <c r="E197" t="s">
        <v>16</v>
      </c>
      <c r="F197">
        <v>37</v>
      </c>
      <c r="G197">
        <v>4</v>
      </c>
      <c r="H197">
        <v>0.08</v>
      </c>
    </row>
    <row r="198" spans="1:8" x14ac:dyDescent="0.35">
      <c r="A198">
        <v>8</v>
      </c>
      <c r="B198">
        <v>33</v>
      </c>
      <c r="C198" t="s">
        <v>45</v>
      </c>
      <c r="D198" t="s">
        <v>11</v>
      </c>
      <c r="E198" t="s">
        <v>19</v>
      </c>
      <c r="F198">
        <v>74</v>
      </c>
      <c r="G198">
        <v>0.379</v>
      </c>
      <c r="H198">
        <v>0.23499999999999999</v>
      </c>
    </row>
    <row r="199" spans="1:8" x14ac:dyDescent="0.35">
      <c r="A199">
        <v>7</v>
      </c>
      <c r="B199">
        <v>33</v>
      </c>
      <c r="C199" t="s">
        <v>45</v>
      </c>
      <c r="D199" t="s">
        <v>11</v>
      </c>
      <c r="E199" t="s">
        <v>17</v>
      </c>
      <c r="F199">
        <v>75</v>
      </c>
      <c r="G199">
        <v>1.3979999999999999</v>
      </c>
      <c r="H199">
        <v>0.58157891623278601</v>
      </c>
    </row>
    <row r="200" spans="1:8" x14ac:dyDescent="0.35">
      <c r="A200">
        <v>7</v>
      </c>
      <c r="B200">
        <v>33</v>
      </c>
      <c r="C200" t="s">
        <v>45</v>
      </c>
      <c r="D200" t="s">
        <v>11</v>
      </c>
      <c r="E200" t="s">
        <v>15</v>
      </c>
      <c r="F200">
        <v>75</v>
      </c>
      <c r="G200">
        <v>0.32400000000000001</v>
      </c>
      <c r="H200">
        <v>1.6496882952459451</v>
      </c>
    </row>
    <row r="201" spans="1:8" x14ac:dyDescent="0.35">
      <c r="A201">
        <v>10</v>
      </c>
      <c r="B201">
        <v>33</v>
      </c>
      <c r="C201" t="s">
        <v>45</v>
      </c>
      <c r="D201" t="s">
        <v>11</v>
      </c>
      <c r="E201" t="s">
        <v>13</v>
      </c>
      <c r="F201">
        <v>74</v>
      </c>
      <c r="G201">
        <v>8.5999999999999993E-2</v>
      </c>
      <c r="H201">
        <v>0.23300000000000001</v>
      </c>
    </row>
    <row r="202" spans="1:8" x14ac:dyDescent="0.35">
      <c r="A202">
        <v>252</v>
      </c>
      <c r="B202">
        <v>33</v>
      </c>
      <c r="C202" t="s">
        <v>45</v>
      </c>
      <c r="D202" t="s">
        <v>8</v>
      </c>
      <c r="E202" t="s">
        <v>17</v>
      </c>
      <c r="F202">
        <v>37</v>
      </c>
      <c r="G202">
        <v>8</v>
      </c>
      <c r="H202">
        <v>0.08</v>
      </c>
    </row>
    <row r="203" spans="1:8" x14ac:dyDescent="0.35">
      <c r="A203">
        <v>7</v>
      </c>
      <c r="B203">
        <v>33</v>
      </c>
      <c r="C203" t="s">
        <v>45</v>
      </c>
      <c r="D203" t="s">
        <v>11</v>
      </c>
      <c r="E203" t="s">
        <v>9</v>
      </c>
      <c r="F203">
        <v>74</v>
      </c>
      <c r="G203">
        <v>6.0999999999999999E-2</v>
      </c>
      <c r="H203">
        <v>0.23300000000000001</v>
      </c>
    </row>
    <row r="204" spans="1:8" x14ac:dyDescent="0.35">
      <c r="A204">
        <v>311</v>
      </c>
      <c r="B204">
        <v>33</v>
      </c>
      <c r="C204" t="s">
        <v>45</v>
      </c>
      <c r="D204" t="s">
        <v>10</v>
      </c>
      <c r="E204" t="s">
        <v>19</v>
      </c>
      <c r="F204">
        <v>37</v>
      </c>
      <c r="G204">
        <v>95</v>
      </c>
      <c r="H204">
        <v>15.53</v>
      </c>
    </row>
    <row r="205" spans="1:8" x14ac:dyDescent="0.35">
      <c r="A205">
        <v>510</v>
      </c>
      <c r="B205">
        <v>33</v>
      </c>
      <c r="C205" t="s">
        <v>45</v>
      </c>
      <c r="D205" t="s">
        <v>8</v>
      </c>
      <c r="E205" t="s">
        <v>15</v>
      </c>
      <c r="F205">
        <v>37</v>
      </c>
      <c r="G205">
        <v>0</v>
      </c>
      <c r="H205">
        <v>0.08</v>
      </c>
    </row>
    <row r="206" spans="1:8" x14ac:dyDescent="0.35">
      <c r="A206">
        <v>511</v>
      </c>
      <c r="B206">
        <v>33</v>
      </c>
      <c r="C206" t="s">
        <v>45</v>
      </c>
      <c r="D206" t="s">
        <v>10</v>
      </c>
      <c r="E206" t="s">
        <v>15</v>
      </c>
      <c r="F206">
        <v>37</v>
      </c>
      <c r="G206">
        <v>1</v>
      </c>
      <c r="H206">
        <v>0.25</v>
      </c>
    </row>
    <row r="207" spans="1:8" x14ac:dyDescent="0.35">
      <c r="A207">
        <v>253</v>
      </c>
      <c r="B207">
        <v>33</v>
      </c>
      <c r="C207" t="s">
        <v>45</v>
      </c>
      <c r="D207" t="s">
        <v>10</v>
      </c>
      <c r="E207" t="s">
        <v>17</v>
      </c>
      <c r="F207">
        <v>37</v>
      </c>
      <c r="G207">
        <v>6</v>
      </c>
      <c r="H207">
        <v>0.25</v>
      </c>
    </row>
    <row r="208" spans="1:8" x14ac:dyDescent="0.35">
      <c r="A208">
        <v>569</v>
      </c>
      <c r="B208">
        <v>33</v>
      </c>
      <c r="C208" t="s">
        <v>45</v>
      </c>
      <c r="D208" t="s">
        <v>10</v>
      </c>
      <c r="E208" t="s">
        <v>14</v>
      </c>
      <c r="F208">
        <v>37</v>
      </c>
      <c r="G208">
        <v>1</v>
      </c>
      <c r="H208">
        <v>0.25</v>
      </c>
    </row>
    <row r="209" spans="1:8" x14ac:dyDescent="0.35">
      <c r="A209">
        <v>391</v>
      </c>
      <c r="B209">
        <v>33</v>
      </c>
      <c r="C209" t="s">
        <v>45</v>
      </c>
      <c r="D209" t="s">
        <v>10</v>
      </c>
      <c r="E209" t="s">
        <v>16</v>
      </c>
      <c r="F209">
        <v>37</v>
      </c>
      <c r="G209">
        <v>4</v>
      </c>
      <c r="H209">
        <v>0.25</v>
      </c>
    </row>
    <row r="210" spans="1:8" x14ac:dyDescent="0.35">
      <c r="A210">
        <v>8</v>
      </c>
      <c r="B210">
        <v>33</v>
      </c>
      <c r="C210" t="s">
        <v>45</v>
      </c>
      <c r="D210" t="s">
        <v>11</v>
      </c>
      <c r="E210" t="s">
        <v>14</v>
      </c>
      <c r="F210">
        <v>75</v>
      </c>
      <c r="G210">
        <v>0.32400000000000001</v>
      </c>
      <c r="H210">
        <v>1.6496882952459451</v>
      </c>
    </row>
    <row r="211" spans="1:8" x14ac:dyDescent="0.35">
      <c r="A211">
        <v>8</v>
      </c>
      <c r="B211">
        <v>33</v>
      </c>
      <c r="C211" t="s">
        <v>45</v>
      </c>
      <c r="D211" t="s">
        <v>11</v>
      </c>
      <c r="E211" t="s">
        <v>16</v>
      </c>
      <c r="F211">
        <v>75</v>
      </c>
      <c r="G211">
        <v>1</v>
      </c>
      <c r="H211">
        <v>0.71066905451870144</v>
      </c>
    </row>
    <row r="212" spans="1:8" x14ac:dyDescent="0.35">
      <c r="A212">
        <v>392</v>
      </c>
      <c r="B212">
        <v>34</v>
      </c>
      <c r="C212" t="s">
        <v>46</v>
      </c>
      <c r="D212" t="s">
        <v>8</v>
      </c>
      <c r="E212" t="s">
        <v>16</v>
      </c>
      <c r="F212">
        <v>30</v>
      </c>
      <c r="G212">
        <v>13</v>
      </c>
      <c r="H212">
        <v>0.71</v>
      </c>
    </row>
    <row r="213" spans="1:8" x14ac:dyDescent="0.35">
      <c r="A213">
        <v>570</v>
      </c>
      <c r="B213">
        <v>34</v>
      </c>
      <c r="C213" t="s">
        <v>46</v>
      </c>
      <c r="D213" t="s">
        <v>8</v>
      </c>
      <c r="E213" t="s">
        <v>14</v>
      </c>
      <c r="F213">
        <v>30</v>
      </c>
      <c r="G213">
        <v>3</v>
      </c>
      <c r="H213">
        <v>0.71</v>
      </c>
    </row>
    <row r="214" spans="1:8" x14ac:dyDescent="0.35">
      <c r="A214">
        <v>8</v>
      </c>
      <c r="B214">
        <v>34</v>
      </c>
      <c r="C214" t="s">
        <v>46</v>
      </c>
      <c r="D214" t="s">
        <v>11</v>
      </c>
      <c r="E214" t="s">
        <v>9</v>
      </c>
      <c r="F214">
        <v>59</v>
      </c>
      <c r="G214">
        <v>0.86899999999999999</v>
      </c>
      <c r="H214">
        <v>0.27300000000000002</v>
      </c>
    </row>
    <row r="215" spans="1:8" x14ac:dyDescent="0.35">
      <c r="A215">
        <v>571</v>
      </c>
      <c r="B215">
        <v>34</v>
      </c>
      <c r="C215" t="s">
        <v>46</v>
      </c>
      <c r="D215" t="s">
        <v>10</v>
      </c>
      <c r="E215" t="s">
        <v>14</v>
      </c>
      <c r="F215">
        <v>29</v>
      </c>
      <c r="G215">
        <v>8</v>
      </c>
      <c r="H215">
        <v>2.1800000000000002</v>
      </c>
    </row>
    <row r="216" spans="1:8" x14ac:dyDescent="0.35">
      <c r="A216">
        <v>393</v>
      </c>
      <c r="B216">
        <v>34</v>
      </c>
      <c r="C216" t="s">
        <v>46</v>
      </c>
      <c r="D216" t="s">
        <v>10</v>
      </c>
      <c r="E216" t="s">
        <v>16</v>
      </c>
      <c r="F216">
        <v>29</v>
      </c>
      <c r="G216">
        <v>22</v>
      </c>
      <c r="H216">
        <v>2.1800000000000002</v>
      </c>
    </row>
    <row r="217" spans="1:8" x14ac:dyDescent="0.35">
      <c r="A217">
        <v>456</v>
      </c>
      <c r="B217">
        <v>34</v>
      </c>
      <c r="C217" t="s">
        <v>46</v>
      </c>
      <c r="D217" t="s">
        <v>8</v>
      </c>
      <c r="E217" t="s">
        <v>9</v>
      </c>
      <c r="F217">
        <v>30</v>
      </c>
      <c r="G217">
        <v>6.64</v>
      </c>
      <c r="H217">
        <v>2.21</v>
      </c>
    </row>
    <row r="218" spans="1:8" x14ac:dyDescent="0.35">
      <c r="A218">
        <v>457</v>
      </c>
      <c r="B218">
        <v>34</v>
      </c>
      <c r="C218" t="s">
        <v>46</v>
      </c>
      <c r="D218" t="s">
        <v>10</v>
      </c>
      <c r="E218" t="s">
        <v>9</v>
      </c>
      <c r="F218">
        <v>29</v>
      </c>
      <c r="G218">
        <v>5</v>
      </c>
      <c r="H218">
        <v>1.48</v>
      </c>
    </row>
    <row r="219" spans="1:8" x14ac:dyDescent="0.35">
      <c r="A219">
        <v>9</v>
      </c>
      <c r="B219">
        <v>34</v>
      </c>
      <c r="C219" t="s">
        <v>46</v>
      </c>
      <c r="D219" t="s">
        <v>11</v>
      </c>
      <c r="E219" t="s">
        <v>14</v>
      </c>
      <c r="F219">
        <v>60</v>
      </c>
      <c r="G219">
        <v>0.32</v>
      </c>
      <c r="H219">
        <v>0.6985824426607784</v>
      </c>
    </row>
    <row r="220" spans="1:8" x14ac:dyDescent="0.35">
      <c r="A220">
        <v>9</v>
      </c>
      <c r="B220">
        <v>34</v>
      </c>
      <c r="C220" t="s">
        <v>46</v>
      </c>
      <c r="D220" t="s">
        <v>11</v>
      </c>
      <c r="E220" t="s">
        <v>16</v>
      </c>
      <c r="F220">
        <v>60</v>
      </c>
      <c r="G220">
        <v>0.247</v>
      </c>
      <c r="H220">
        <v>0.56586145900514029</v>
      </c>
    </row>
    <row r="221" spans="1:8" x14ac:dyDescent="0.35">
      <c r="A221">
        <v>9</v>
      </c>
      <c r="B221">
        <v>35</v>
      </c>
      <c r="C221" t="s">
        <v>47</v>
      </c>
      <c r="D221" t="s">
        <v>11</v>
      </c>
      <c r="E221" t="s">
        <v>19</v>
      </c>
      <c r="F221">
        <v>57</v>
      </c>
      <c r="G221">
        <v>0.125</v>
      </c>
      <c r="H221">
        <v>0.26500000000000001</v>
      </c>
    </row>
    <row r="222" spans="1:8" x14ac:dyDescent="0.35">
      <c r="A222">
        <v>162</v>
      </c>
      <c r="B222">
        <v>35</v>
      </c>
      <c r="C222" t="s">
        <v>47</v>
      </c>
      <c r="D222" t="s">
        <v>8</v>
      </c>
      <c r="E222" t="s">
        <v>13</v>
      </c>
      <c r="F222">
        <v>28</v>
      </c>
      <c r="G222">
        <v>3</v>
      </c>
      <c r="H222">
        <v>3.2</v>
      </c>
    </row>
    <row r="223" spans="1:8" x14ac:dyDescent="0.35">
      <c r="A223">
        <v>163</v>
      </c>
      <c r="B223">
        <v>35</v>
      </c>
      <c r="C223" t="s">
        <v>47</v>
      </c>
      <c r="D223" t="s">
        <v>10</v>
      </c>
      <c r="E223" t="s">
        <v>13</v>
      </c>
      <c r="F223">
        <v>29</v>
      </c>
      <c r="G223">
        <v>2</v>
      </c>
      <c r="H223">
        <v>3.5</v>
      </c>
    </row>
    <row r="224" spans="1:8" x14ac:dyDescent="0.35">
      <c r="A224">
        <v>312</v>
      </c>
      <c r="B224">
        <v>35</v>
      </c>
      <c r="C224" t="s">
        <v>47</v>
      </c>
      <c r="D224" t="s">
        <v>8</v>
      </c>
      <c r="E224" t="s">
        <v>19</v>
      </c>
      <c r="F224">
        <v>28</v>
      </c>
      <c r="G224">
        <v>84.2</v>
      </c>
      <c r="H224">
        <v>15.4</v>
      </c>
    </row>
    <row r="225" spans="1:8" x14ac:dyDescent="0.35">
      <c r="A225">
        <v>313</v>
      </c>
      <c r="B225">
        <v>35</v>
      </c>
      <c r="C225" t="s">
        <v>47</v>
      </c>
      <c r="D225" t="s">
        <v>10</v>
      </c>
      <c r="E225" t="s">
        <v>19</v>
      </c>
      <c r="F225">
        <v>29</v>
      </c>
      <c r="G225">
        <v>86.1</v>
      </c>
      <c r="H225">
        <v>15.1</v>
      </c>
    </row>
    <row r="226" spans="1:8" x14ac:dyDescent="0.35">
      <c r="A226">
        <v>11</v>
      </c>
      <c r="B226">
        <v>35</v>
      </c>
      <c r="C226" t="s">
        <v>47</v>
      </c>
      <c r="D226" t="s">
        <v>11</v>
      </c>
      <c r="E226" t="s">
        <v>13</v>
      </c>
      <c r="F226">
        <v>57</v>
      </c>
      <c r="G226">
        <v>0.29799999999999999</v>
      </c>
      <c r="H226">
        <v>0.26600000000000001</v>
      </c>
    </row>
    <row r="227" spans="1:8" x14ac:dyDescent="0.35">
      <c r="A227">
        <v>10</v>
      </c>
      <c r="B227">
        <v>36</v>
      </c>
      <c r="C227" t="s">
        <v>48</v>
      </c>
      <c r="D227" t="s">
        <v>39</v>
      </c>
      <c r="E227" t="s">
        <v>14</v>
      </c>
      <c r="F227">
        <v>50</v>
      </c>
      <c r="G227">
        <v>0.88500000000000001</v>
      </c>
      <c r="H227">
        <v>2.0203811024980172</v>
      </c>
    </row>
    <row r="228" spans="1:8" x14ac:dyDescent="0.35">
      <c r="A228">
        <v>10</v>
      </c>
      <c r="B228">
        <v>36</v>
      </c>
      <c r="C228" t="s">
        <v>48</v>
      </c>
      <c r="D228" t="s">
        <v>39</v>
      </c>
      <c r="E228" t="s">
        <v>16</v>
      </c>
      <c r="F228">
        <v>50</v>
      </c>
      <c r="G228">
        <v>0.88500000000000001</v>
      </c>
      <c r="H228">
        <v>2.0203811024980172</v>
      </c>
    </row>
    <row r="229" spans="1:8" x14ac:dyDescent="0.35">
      <c r="A229">
        <v>573</v>
      </c>
      <c r="B229">
        <v>36</v>
      </c>
      <c r="C229" t="s">
        <v>48</v>
      </c>
      <c r="D229" t="s">
        <v>28</v>
      </c>
      <c r="E229" t="s">
        <v>14</v>
      </c>
      <c r="F229">
        <v>23</v>
      </c>
      <c r="G229">
        <v>0</v>
      </c>
      <c r="H229">
        <v>0.1</v>
      </c>
    </row>
    <row r="230" spans="1:8" x14ac:dyDescent="0.35">
      <c r="A230">
        <v>395</v>
      </c>
      <c r="B230">
        <v>36</v>
      </c>
      <c r="C230" t="s">
        <v>48</v>
      </c>
      <c r="D230" t="s">
        <v>28</v>
      </c>
      <c r="E230" t="s">
        <v>16</v>
      </c>
      <c r="F230">
        <v>23</v>
      </c>
      <c r="G230">
        <v>0</v>
      </c>
      <c r="H230">
        <v>0.1</v>
      </c>
    </row>
    <row r="231" spans="1:8" x14ac:dyDescent="0.35">
      <c r="A231">
        <v>12</v>
      </c>
      <c r="B231">
        <v>36</v>
      </c>
      <c r="C231" t="s">
        <v>48</v>
      </c>
      <c r="D231" t="s">
        <v>39</v>
      </c>
      <c r="E231" t="s">
        <v>13</v>
      </c>
      <c r="F231">
        <v>49</v>
      </c>
      <c r="G231">
        <v>0.28199999999999997</v>
      </c>
      <c r="H231">
        <v>0.28799999999999998</v>
      </c>
    </row>
    <row r="232" spans="1:8" x14ac:dyDescent="0.35">
      <c r="A232">
        <v>7</v>
      </c>
      <c r="B232">
        <v>36</v>
      </c>
      <c r="C232" t="s">
        <v>48</v>
      </c>
      <c r="D232" t="s">
        <v>39</v>
      </c>
      <c r="E232" t="s">
        <v>27</v>
      </c>
      <c r="F232">
        <v>49</v>
      </c>
      <c r="G232">
        <v>0.44900000000000001</v>
      </c>
      <c r="H232">
        <v>0.28999999999999998</v>
      </c>
    </row>
    <row r="233" spans="1:8" x14ac:dyDescent="0.35">
      <c r="A233">
        <v>10</v>
      </c>
      <c r="B233">
        <v>36</v>
      </c>
      <c r="C233" t="s">
        <v>48</v>
      </c>
      <c r="D233" t="s">
        <v>39</v>
      </c>
      <c r="E233" t="s">
        <v>19</v>
      </c>
      <c r="F233">
        <v>49</v>
      </c>
      <c r="G233">
        <v>0.45800000000000002</v>
      </c>
      <c r="H233">
        <v>0.28999999999999998</v>
      </c>
    </row>
    <row r="234" spans="1:8" x14ac:dyDescent="0.35">
      <c r="A234">
        <v>314</v>
      </c>
      <c r="B234">
        <v>36</v>
      </c>
      <c r="C234" t="s">
        <v>48</v>
      </c>
      <c r="D234" t="s">
        <v>10</v>
      </c>
      <c r="E234" t="s">
        <v>19</v>
      </c>
      <c r="F234">
        <v>26</v>
      </c>
      <c r="G234">
        <v>83.5</v>
      </c>
      <c r="H234">
        <v>17.399999999999999</v>
      </c>
    </row>
    <row r="235" spans="1:8" x14ac:dyDescent="0.35">
      <c r="A235">
        <v>164</v>
      </c>
      <c r="B235">
        <v>36</v>
      </c>
      <c r="C235" t="s">
        <v>48</v>
      </c>
      <c r="D235" t="s">
        <v>10</v>
      </c>
      <c r="E235" t="s">
        <v>13</v>
      </c>
      <c r="F235">
        <v>26</v>
      </c>
      <c r="G235">
        <v>0.2</v>
      </c>
      <c r="H235">
        <v>2.2000000000000002</v>
      </c>
    </row>
    <row r="236" spans="1:8" x14ac:dyDescent="0.35">
      <c r="A236">
        <v>394</v>
      </c>
      <c r="B236">
        <v>36</v>
      </c>
      <c r="C236" t="s">
        <v>48</v>
      </c>
      <c r="D236" t="s">
        <v>10</v>
      </c>
      <c r="E236" t="s">
        <v>16</v>
      </c>
      <c r="F236">
        <v>26</v>
      </c>
      <c r="G236">
        <v>0</v>
      </c>
      <c r="H236">
        <v>0.1</v>
      </c>
    </row>
    <row r="237" spans="1:8" x14ac:dyDescent="0.35">
      <c r="A237">
        <v>165</v>
      </c>
      <c r="B237">
        <v>36</v>
      </c>
      <c r="C237" t="s">
        <v>48</v>
      </c>
      <c r="D237" t="s">
        <v>28</v>
      </c>
      <c r="E237" t="s">
        <v>13</v>
      </c>
      <c r="F237">
        <v>23</v>
      </c>
      <c r="G237">
        <v>0.7</v>
      </c>
      <c r="H237">
        <v>1.1000000000000001</v>
      </c>
    </row>
    <row r="238" spans="1:8" x14ac:dyDescent="0.35">
      <c r="A238">
        <v>315</v>
      </c>
      <c r="B238">
        <v>36</v>
      </c>
      <c r="C238" t="s">
        <v>48</v>
      </c>
      <c r="D238" t="s">
        <v>28</v>
      </c>
      <c r="E238" t="s">
        <v>19</v>
      </c>
      <c r="F238">
        <v>23</v>
      </c>
      <c r="G238">
        <v>90.4</v>
      </c>
      <c r="H238">
        <v>11.9</v>
      </c>
    </row>
    <row r="239" spans="1:8" x14ac:dyDescent="0.35">
      <c r="A239">
        <v>572</v>
      </c>
      <c r="B239">
        <v>36</v>
      </c>
      <c r="C239" t="s">
        <v>48</v>
      </c>
      <c r="D239" t="s">
        <v>10</v>
      </c>
      <c r="E239" t="s">
        <v>14</v>
      </c>
      <c r="F239">
        <v>26</v>
      </c>
      <c r="G239">
        <v>0</v>
      </c>
      <c r="H239">
        <v>0.1</v>
      </c>
    </row>
    <row r="240" spans="1:8" x14ac:dyDescent="0.35">
      <c r="A240">
        <v>87</v>
      </c>
      <c r="B240">
        <v>36</v>
      </c>
      <c r="C240" t="s">
        <v>48</v>
      </c>
      <c r="D240" t="s">
        <v>28</v>
      </c>
      <c r="E240" t="s">
        <v>27</v>
      </c>
      <c r="F240">
        <v>23</v>
      </c>
      <c r="G240">
        <v>89.3</v>
      </c>
      <c r="H240">
        <v>12.2</v>
      </c>
    </row>
    <row r="241" spans="1:8" x14ac:dyDescent="0.35">
      <c r="A241">
        <v>86</v>
      </c>
      <c r="B241">
        <v>36</v>
      </c>
      <c r="C241" t="s">
        <v>48</v>
      </c>
      <c r="D241" t="s">
        <v>10</v>
      </c>
      <c r="E241" t="s">
        <v>27</v>
      </c>
      <c r="F241">
        <v>26</v>
      </c>
      <c r="G241">
        <v>83.7</v>
      </c>
      <c r="H241">
        <v>12.7</v>
      </c>
    </row>
    <row r="242" spans="1:8" x14ac:dyDescent="0.35">
      <c r="A242">
        <v>11</v>
      </c>
      <c r="B242">
        <v>37</v>
      </c>
      <c r="C242" t="s">
        <v>49</v>
      </c>
      <c r="D242" t="s">
        <v>11</v>
      </c>
      <c r="E242" t="s">
        <v>19</v>
      </c>
      <c r="F242">
        <v>86</v>
      </c>
      <c r="G242">
        <v>0.29199999999999998</v>
      </c>
      <c r="H242">
        <v>0.217</v>
      </c>
    </row>
    <row r="243" spans="1:8" x14ac:dyDescent="0.35">
      <c r="A243">
        <v>11</v>
      </c>
      <c r="B243">
        <v>37</v>
      </c>
      <c r="C243" t="s">
        <v>49</v>
      </c>
      <c r="D243" t="s">
        <v>11</v>
      </c>
      <c r="E243" t="s">
        <v>14</v>
      </c>
      <c r="F243">
        <v>86</v>
      </c>
      <c r="G243">
        <v>1.125</v>
      </c>
      <c r="H243">
        <v>2.011770916934188</v>
      </c>
    </row>
    <row r="244" spans="1:8" x14ac:dyDescent="0.35">
      <c r="A244">
        <v>11</v>
      </c>
      <c r="B244">
        <v>37</v>
      </c>
      <c r="C244" t="s">
        <v>49</v>
      </c>
      <c r="D244" t="s">
        <v>11</v>
      </c>
      <c r="E244" t="s">
        <v>16</v>
      </c>
      <c r="F244">
        <v>86</v>
      </c>
      <c r="G244">
        <v>0.68400000000000005</v>
      </c>
      <c r="H244">
        <v>0.59587221469050455</v>
      </c>
    </row>
    <row r="245" spans="1:8" x14ac:dyDescent="0.35">
      <c r="A245">
        <v>8</v>
      </c>
      <c r="B245">
        <v>37</v>
      </c>
      <c r="C245" t="s">
        <v>49</v>
      </c>
      <c r="D245" t="s">
        <v>11</v>
      </c>
      <c r="E245" t="s">
        <v>17</v>
      </c>
      <c r="F245">
        <v>87</v>
      </c>
      <c r="G245">
        <v>0.81699999999999995</v>
      </c>
      <c r="H245">
        <v>0.60775321419468398</v>
      </c>
    </row>
    <row r="246" spans="1:8" x14ac:dyDescent="0.35">
      <c r="A246">
        <v>8</v>
      </c>
      <c r="B246">
        <v>37</v>
      </c>
      <c r="C246" t="s">
        <v>49</v>
      </c>
      <c r="D246" t="s">
        <v>11</v>
      </c>
      <c r="E246" t="s">
        <v>15</v>
      </c>
      <c r="F246">
        <v>87</v>
      </c>
      <c r="G246">
        <v>1.1499999999999999</v>
      </c>
      <c r="H246">
        <v>2.0116508470494532</v>
      </c>
    </row>
    <row r="247" spans="1:8" x14ac:dyDescent="0.35">
      <c r="A247">
        <v>512</v>
      </c>
      <c r="B247">
        <v>37</v>
      </c>
      <c r="C247" t="s">
        <v>49</v>
      </c>
      <c r="D247" t="s">
        <v>8</v>
      </c>
      <c r="E247" t="s">
        <v>15</v>
      </c>
      <c r="F247">
        <v>40</v>
      </c>
      <c r="G247">
        <v>0</v>
      </c>
      <c r="H247">
        <v>0.99</v>
      </c>
    </row>
    <row r="248" spans="1:8" x14ac:dyDescent="0.35">
      <c r="A248">
        <v>317</v>
      </c>
      <c r="B248">
        <v>37</v>
      </c>
      <c r="C248" t="s">
        <v>49</v>
      </c>
      <c r="D248" t="s">
        <v>10</v>
      </c>
      <c r="E248" t="s">
        <v>19</v>
      </c>
      <c r="F248">
        <v>46</v>
      </c>
      <c r="G248">
        <v>92.7</v>
      </c>
      <c r="H248">
        <v>3.62</v>
      </c>
    </row>
    <row r="249" spans="1:8" x14ac:dyDescent="0.35">
      <c r="A249">
        <v>397</v>
      </c>
      <c r="B249">
        <v>37</v>
      </c>
      <c r="C249" t="s">
        <v>49</v>
      </c>
      <c r="D249" t="s">
        <v>10</v>
      </c>
      <c r="E249" t="s">
        <v>16</v>
      </c>
      <c r="F249">
        <v>45</v>
      </c>
      <c r="G249">
        <v>8</v>
      </c>
      <c r="H249">
        <v>1.54</v>
      </c>
    </row>
    <row r="250" spans="1:8" x14ac:dyDescent="0.35">
      <c r="A250">
        <v>575</v>
      </c>
      <c r="B250">
        <v>37</v>
      </c>
      <c r="C250" t="s">
        <v>49</v>
      </c>
      <c r="D250" t="s">
        <v>10</v>
      </c>
      <c r="E250" t="s">
        <v>14</v>
      </c>
      <c r="F250">
        <v>45</v>
      </c>
      <c r="G250">
        <v>0</v>
      </c>
      <c r="H250">
        <v>1.54</v>
      </c>
    </row>
    <row r="251" spans="1:8" x14ac:dyDescent="0.35">
      <c r="A251">
        <v>316</v>
      </c>
      <c r="B251">
        <v>37</v>
      </c>
      <c r="C251" t="s">
        <v>49</v>
      </c>
      <c r="D251" t="s">
        <v>8</v>
      </c>
      <c r="E251" t="s">
        <v>19</v>
      </c>
      <c r="F251">
        <v>40</v>
      </c>
      <c r="G251">
        <v>91.6</v>
      </c>
      <c r="H251">
        <v>3.94</v>
      </c>
    </row>
    <row r="252" spans="1:8" x14ac:dyDescent="0.35">
      <c r="A252">
        <v>396</v>
      </c>
      <c r="B252">
        <v>37</v>
      </c>
      <c r="C252" t="s">
        <v>49</v>
      </c>
      <c r="D252" t="s">
        <v>8</v>
      </c>
      <c r="E252" t="s">
        <v>16</v>
      </c>
      <c r="F252">
        <v>40</v>
      </c>
      <c r="G252">
        <v>5</v>
      </c>
      <c r="H252">
        <v>0.99</v>
      </c>
    </row>
    <row r="253" spans="1:8" x14ac:dyDescent="0.35">
      <c r="A253">
        <v>574</v>
      </c>
      <c r="B253">
        <v>37</v>
      </c>
      <c r="C253" t="s">
        <v>49</v>
      </c>
      <c r="D253" t="s">
        <v>8</v>
      </c>
      <c r="E253" t="s">
        <v>14</v>
      </c>
      <c r="F253">
        <v>40</v>
      </c>
      <c r="G253">
        <v>0</v>
      </c>
      <c r="H253">
        <v>0.99</v>
      </c>
    </row>
    <row r="254" spans="1:8" x14ac:dyDescent="0.35">
      <c r="A254">
        <v>254</v>
      </c>
      <c r="B254">
        <v>37</v>
      </c>
      <c r="C254" t="s">
        <v>49</v>
      </c>
      <c r="D254" t="s">
        <v>8</v>
      </c>
      <c r="E254" t="s">
        <v>17</v>
      </c>
      <c r="F254">
        <v>40</v>
      </c>
      <c r="G254">
        <v>5</v>
      </c>
      <c r="H254">
        <v>0.99</v>
      </c>
    </row>
    <row r="255" spans="1:8" x14ac:dyDescent="0.35">
      <c r="A255">
        <v>513</v>
      </c>
      <c r="B255">
        <v>37</v>
      </c>
      <c r="C255" t="s">
        <v>49</v>
      </c>
      <c r="D255" t="s">
        <v>10</v>
      </c>
      <c r="E255" t="s">
        <v>15</v>
      </c>
      <c r="F255">
        <v>46</v>
      </c>
      <c r="G255">
        <v>0</v>
      </c>
      <c r="H255">
        <v>1.3</v>
      </c>
    </row>
    <row r="256" spans="1:8" x14ac:dyDescent="0.35">
      <c r="A256">
        <v>255</v>
      </c>
      <c r="B256">
        <v>37</v>
      </c>
      <c r="C256" t="s">
        <v>49</v>
      </c>
      <c r="D256" t="s">
        <v>10</v>
      </c>
      <c r="E256" t="s">
        <v>17</v>
      </c>
      <c r="F256">
        <v>46</v>
      </c>
      <c r="G256">
        <v>7</v>
      </c>
      <c r="H256">
        <v>1.3</v>
      </c>
    </row>
    <row r="257" spans="1:8" x14ac:dyDescent="0.35">
      <c r="A257">
        <v>318</v>
      </c>
      <c r="B257">
        <v>38</v>
      </c>
      <c r="C257" t="s">
        <v>50</v>
      </c>
      <c r="D257" t="s">
        <v>8</v>
      </c>
      <c r="E257" t="s">
        <v>19</v>
      </c>
      <c r="F257">
        <v>45</v>
      </c>
      <c r="G257">
        <v>95.8</v>
      </c>
      <c r="H257">
        <v>2.4</v>
      </c>
    </row>
    <row r="258" spans="1:8" x14ac:dyDescent="0.35">
      <c r="A258">
        <v>88</v>
      </c>
      <c r="B258">
        <v>38</v>
      </c>
      <c r="C258" t="s">
        <v>50</v>
      </c>
      <c r="D258" t="s">
        <v>8</v>
      </c>
      <c r="E258" t="s">
        <v>27</v>
      </c>
      <c r="F258">
        <v>45</v>
      </c>
      <c r="G258">
        <v>83.2</v>
      </c>
      <c r="H258">
        <v>2.8</v>
      </c>
    </row>
    <row r="259" spans="1:8" x14ac:dyDescent="0.35">
      <c r="A259">
        <v>319</v>
      </c>
      <c r="B259">
        <v>38</v>
      </c>
      <c r="C259" t="s">
        <v>50</v>
      </c>
      <c r="D259" t="s">
        <v>10</v>
      </c>
      <c r="E259" t="s">
        <v>19</v>
      </c>
      <c r="F259">
        <v>45</v>
      </c>
      <c r="G259">
        <v>94</v>
      </c>
      <c r="H259">
        <v>3.6</v>
      </c>
    </row>
    <row r="260" spans="1:8" x14ac:dyDescent="0.35">
      <c r="A260">
        <v>89</v>
      </c>
      <c r="B260">
        <v>38</v>
      </c>
      <c r="C260" t="s">
        <v>50</v>
      </c>
      <c r="D260" t="s">
        <v>10</v>
      </c>
      <c r="E260" t="s">
        <v>27</v>
      </c>
      <c r="F260">
        <v>45</v>
      </c>
      <c r="G260">
        <v>82.78</v>
      </c>
      <c r="H260">
        <v>2.8</v>
      </c>
    </row>
    <row r="261" spans="1:8" x14ac:dyDescent="0.35">
      <c r="A261">
        <v>12</v>
      </c>
      <c r="B261">
        <v>38</v>
      </c>
      <c r="C261" t="s">
        <v>50</v>
      </c>
      <c r="D261" t="s">
        <v>11</v>
      </c>
      <c r="E261" t="s">
        <v>19</v>
      </c>
      <c r="F261">
        <v>90</v>
      </c>
      <c r="G261">
        <v>0.58799999999999997</v>
      </c>
      <c r="H261">
        <v>0.215</v>
      </c>
    </row>
    <row r="262" spans="1:8" x14ac:dyDescent="0.35">
      <c r="A262">
        <v>8</v>
      </c>
      <c r="B262">
        <v>38</v>
      </c>
      <c r="C262" t="s">
        <v>50</v>
      </c>
      <c r="D262" t="s">
        <v>11</v>
      </c>
      <c r="E262" t="s">
        <v>27</v>
      </c>
      <c r="F262">
        <v>90</v>
      </c>
      <c r="G262">
        <v>0.15</v>
      </c>
      <c r="H262">
        <v>0.21099999999999999</v>
      </c>
    </row>
    <row r="263" spans="1:8" x14ac:dyDescent="0.35">
      <c r="A263">
        <v>13</v>
      </c>
      <c r="B263">
        <v>41</v>
      </c>
      <c r="C263" t="s">
        <v>51</v>
      </c>
      <c r="D263" t="s">
        <v>11</v>
      </c>
      <c r="E263" t="s">
        <v>13</v>
      </c>
      <c r="F263">
        <v>89</v>
      </c>
      <c r="G263">
        <v>0.189</v>
      </c>
      <c r="H263">
        <v>0.21299999999999999</v>
      </c>
    </row>
    <row r="264" spans="1:8" x14ac:dyDescent="0.35">
      <c r="A264">
        <v>516</v>
      </c>
      <c r="B264">
        <v>41</v>
      </c>
      <c r="C264" t="s">
        <v>51</v>
      </c>
      <c r="D264" t="s">
        <v>8</v>
      </c>
      <c r="E264" t="s">
        <v>15</v>
      </c>
      <c r="F264">
        <v>43</v>
      </c>
      <c r="G264">
        <v>0</v>
      </c>
      <c r="H264">
        <v>1.59</v>
      </c>
    </row>
    <row r="265" spans="1:8" x14ac:dyDescent="0.35">
      <c r="A265">
        <v>9</v>
      </c>
      <c r="B265">
        <v>41</v>
      </c>
      <c r="C265" t="s">
        <v>51</v>
      </c>
      <c r="D265" t="s">
        <v>11</v>
      </c>
      <c r="E265" t="s">
        <v>15</v>
      </c>
      <c r="F265">
        <v>90</v>
      </c>
      <c r="G265">
        <v>1.07</v>
      </c>
      <c r="H265">
        <v>2.011217279258577</v>
      </c>
    </row>
    <row r="266" spans="1:8" x14ac:dyDescent="0.35">
      <c r="A266">
        <v>9</v>
      </c>
      <c r="B266">
        <v>41</v>
      </c>
      <c r="C266" t="s">
        <v>51</v>
      </c>
      <c r="D266" t="s">
        <v>11</v>
      </c>
      <c r="E266" t="s">
        <v>17</v>
      </c>
      <c r="F266">
        <v>90</v>
      </c>
      <c r="G266">
        <v>1.0860000000000001</v>
      </c>
      <c r="H266">
        <v>0.5386848203654635</v>
      </c>
    </row>
    <row r="267" spans="1:8" x14ac:dyDescent="0.35">
      <c r="A267">
        <v>12</v>
      </c>
      <c r="B267">
        <v>41</v>
      </c>
      <c r="C267" t="s">
        <v>51</v>
      </c>
      <c r="D267" t="s">
        <v>11</v>
      </c>
      <c r="E267" t="s">
        <v>16</v>
      </c>
      <c r="F267">
        <v>90</v>
      </c>
      <c r="G267">
        <v>1.075</v>
      </c>
      <c r="H267">
        <v>0.78720034640621184</v>
      </c>
    </row>
    <row r="268" spans="1:8" x14ac:dyDescent="0.35">
      <c r="A268">
        <v>12</v>
      </c>
      <c r="B268">
        <v>41</v>
      </c>
      <c r="C268" t="s">
        <v>51</v>
      </c>
      <c r="D268" t="s">
        <v>11</v>
      </c>
      <c r="E268" t="s">
        <v>14</v>
      </c>
      <c r="F268">
        <v>90</v>
      </c>
      <c r="G268">
        <v>1.07</v>
      </c>
      <c r="H268">
        <v>2.011217279258577</v>
      </c>
    </row>
    <row r="269" spans="1:8" x14ac:dyDescent="0.35">
      <c r="A269">
        <v>517</v>
      </c>
      <c r="B269">
        <v>41</v>
      </c>
      <c r="C269" t="s">
        <v>51</v>
      </c>
      <c r="D269" t="s">
        <v>10</v>
      </c>
      <c r="E269" t="s">
        <v>15</v>
      </c>
      <c r="F269">
        <v>46</v>
      </c>
      <c r="G269">
        <v>0</v>
      </c>
      <c r="H269">
        <v>1.52</v>
      </c>
    </row>
    <row r="270" spans="1:8" x14ac:dyDescent="0.35">
      <c r="A270">
        <v>259</v>
      </c>
      <c r="B270">
        <v>41</v>
      </c>
      <c r="C270" t="s">
        <v>51</v>
      </c>
      <c r="D270" t="s">
        <v>10</v>
      </c>
      <c r="E270" t="s">
        <v>17</v>
      </c>
      <c r="F270">
        <v>46</v>
      </c>
      <c r="G270">
        <v>8</v>
      </c>
      <c r="H270">
        <v>1.52</v>
      </c>
    </row>
    <row r="271" spans="1:8" x14ac:dyDescent="0.35">
      <c r="A271">
        <v>579</v>
      </c>
      <c r="B271">
        <v>41</v>
      </c>
      <c r="C271" t="s">
        <v>51</v>
      </c>
      <c r="D271" t="s">
        <v>10</v>
      </c>
      <c r="E271" t="s">
        <v>14</v>
      </c>
      <c r="F271">
        <v>46</v>
      </c>
      <c r="G271">
        <v>0</v>
      </c>
      <c r="H271">
        <v>0.55000000000000004</v>
      </c>
    </row>
    <row r="272" spans="1:8" x14ac:dyDescent="0.35">
      <c r="A272">
        <v>401</v>
      </c>
      <c r="B272">
        <v>41</v>
      </c>
      <c r="C272" t="s">
        <v>51</v>
      </c>
      <c r="D272" t="s">
        <v>10</v>
      </c>
      <c r="E272" t="s">
        <v>16</v>
      </c>
      <c r="F272">
        <v>46</v>
      </c>
      <c r="G272">
        <v>3</v>
      </c>
      <c r="H272">
        <v>0.55000000000000004</v>
      </c>
    </row>
    <row r="273" spans="1:8" x14ac:dyDescent="0.35">
      <c r="A273">
        <v>459</v>
      </c>
      <c r="B273">
        <v>41</v>
      </c>
      <c r="C273" t="s">
        <v>51</v>
      </c>
      <c r="D273" t="s">
        <v>10</v>
      </c>
      <c r="E273" t="s">
        <v>9</v>
      </c>
      <c r="F273">
        <v>46</v>
      </c>
      <c r="G273">
        <v>5.82</v>
      </c>
      <c r="H273">
        <v>2.2599999999999998</v>
      </c>
    </row>
    <row r="274" spans="1:8" x14ac:dyDescent="0.35">
      <c r="A274">
        <v>169</v>
      </c>
      <c r="B274">
        <v>41</v>
      </c>
      <c r="C274" t="s">
        <v>51</v>
      </c>
      <c r="D274" t="s">
        <v>10</v>
      </c>
      <c r="E274" t="s">
        <v>13</v>
      </c>
      <c r="F274">
        <v>46</v>
      </c>
      <c r="G274">
        <v>1.2</v>
      </c>
      <c r="H274">
        <v>2.65</v>
      </c>
    </row>
    <row r="275" spans="1:8" x14ac:dyDescent="0.35">
      <c r="A275">
        <v>168</v>
      </c>
      <c r="B275">
        <v>41</v>
      </c>
      <c r="C275" t="s">
        <v>51</v>
      </c>
      <c r="D275" t="s">
        <v>8</v>
      </c>
      <c r="E275" t="s">
        <v>13</v>
      </c>
      <c r="F275">
        <v>43</v>
      </c>
      <c r="G275">
        <v>1.7</v>
      </c>
      <c r="H275">
        <v>2.63</v>
      </c>
    </row>
    <row r="276" spans="1:8" x14ac:dyDescent="0.35">
      <c r="A276">
        <v>9</v>
      </c>
      <c r="B276">
        <v>41</v>
      </c>
      <c r="C276" t="s">
        <v>51</v>
      </c>
      <c r="D276" t="s">
        <v>11</v>
      </c>
      <c r="E276" t="s">
        <v>9</v>
      </c>
      <c r="F276">
        <v>89</v>
      </c>
      <c r="G276">
        <v>8.1000000000000003E-2</v>
      </c>
      <c r="H276">
        <v>0.21199999999999999</v>
      </c>
    </row>
    <row r="277" spans="1:8" x14ac:dyDescent="0.35">
      <c r="A277">
        <v>458</v>
      </c>
      <c r="B277">
        <v>41</v>
      </c>
      <c r="C277" t="s">
        <v>51</v>
      </c>
      <c r="D277" t="s">
        <v>8</v>
      </c>
      <c r="E277" t="s">
        <v>9</v>
      </c>
      <c r="F277">
        <v>43</v>
      </c>
      <c r="G277">
        <v>5.98</v>
      </c>
      <c r="H277">
        <v>1.6</v>
      </c>
    </row>
    <row r="278" spans="1:8" x14ac:dyDescent="0.35">
      <c r="A278">
        <v>400</v>
      </c>
      <c r="B278">
        <v>41</v>
      </c>
      <c r="C278" t="s">
        <v>51</v>
      </c>
      <c r="D278" t="s">
        <v>8</v>
      </c>
      <c r="E278" t="s">
        <v>16</v>
      </c>
      <c r="F278">
        <v>43</v>
      </c>
      <c r="G278">
        <v>3</v>
      </c>
      <c r="H278">
        <v>0.56999999999999995</v>
      </c>
    </row>
    <row r="279" spans="1:8" x14ac:dyDescent="0.35">
      <c r="A279">
        <v>258</v>
      </c>
      <c r="B279">
        <v>41</v>
      </c>
      <c r="C279" t="s">
        <v>51</v>
      </c>
      <c r="D279" t="s">
        <v>8</v>
      </c>
      <c r="E279" t="s">
        <v>17</v>
      </c>
      <c r="F279">
        <v>43</v>
      </c>
      <c r="G279">
        <v>8</v>
      </c>
      <c r="H279">
        <v>1.59</v>
      </c>
    </row>
    <row r="280" spans="1:8" x14ac:dyDescent="0.35">
      <c r="A280">
        <v>578</v>
      </c>
      <c r="B280">
        <v>41</v>
      </c>
      <c r="C280" t="s">
        <v>51</v>
      </c>
      <c r="D280" t="s">
        <v>8</v>
      </c>
      <c r="E280" t="s">
        <v>14</v>
      </c>
      <c r="F280">
        <v>43</v>
      </c>
      <c r="G280">
        <v>0</v>
      </c>
      <c r="H280">
        <v>0.56999999999999995</v>
      </c>
    </row>
    <row r="281" spans="1:8" x14ac:dyDescent="0.35">
      <c r="A281">
        <v>6</v>
      </c>
      <c r="B281">
        <v>43</v>
      </c>
      <c r="C281" t="s">
        <v>52</v>
      </c>
      <c r="D281" t="s">
        <v>8</v>
      </c>
      <c r="E281" t="s">
        <v>22</v>
      </c>
      <c r="F281">
        <v>74</v>
      </c>
      <c r="G281">
        <v>0</v>
      </c>
      <c r="H281">
        <v>0.06</v>
      </c>
    </row>
    <row r="282" spans="1:8" x14ac:dyDescent="0.35">
      <c r="A282">
        <v>171</v>
      </c>
      <c r="B282">
        <v>43</v>
      </c>
      <c r="C282" t="s">
        <v>52</v>
      </c>
      <c r="D282" t="s">
        <v>10</v>
      </c>
      <c r="E282" t="s">
        <v>13</v>
      </c>
      <c r="F282">
        <v>73</v>
      </c>
      <c r="G282">
        <v>0.5</v>
      </c>
      <c r="H282">
        <v>0.42</v>
      </c>
    </row>
    <row r="283" spans="1:8" x14ac:dyDescent="0.35">
      <c r="A283">
        <v>1</v>
      </c>
      <c r="B283">
        <v>43</v>
      </c>
      <c r="C283" t="s">
        <v>52</v>
      </c>
      <c r="D283" t="s">
        <v>11</v>
      </c>
      <c r="E283" t="s">
        <v>22</v>
      </c>
      <c r="F283">
        <v>148</v>
      </c>
      <c r="G283">
        <v>0.192</v>
      </c>
      <c r="H283">
        <v>1.5580751010640559</v>
      </c>
    </row>
    <row r="284" spans="1:8" x14ac:dyDescent="0.35">
      <c r="A284">
        <v>13</v>
      </c>
      <c r="B284">
        <v>43</v>
      </c>
      <c r="C284" t="s">
        <v>52</v>
      </c>
      <c r="D284" t="s">
        <v>11</v>
      </c>
      <c r="E284" t="s">
        <v>19</v>
      </c>
      <c r="F284">
        <v>147</v>
      </c>
      <c r="G284">
        <v>0.26500000000000001</v>
      </c>
      <c r="H284">
        <v>0.16600000000000001</v>
      </c>
    </row>
    <row r="285" spans="1:8" x14ac:dyDescent="0.35">
      <c r="A285">
        <v>322</v>
      </c>
      <c r="B285">
        <v>43</v>
      </c>
      <c r="C285" t="s">
        <v>52</v>
      </c>
      <c r="D285" t="s">
        <v>8</v>
      </c>
      <c r="E285" t="s">
        <v>19</v>
      </c>
      <c r="F285">
        <v>74</v>
      </c>
      <c r="G285">
        <v>88</v>
      </c>
      <c r="H285">
        <v>7.5</v>
      </c>
    </row>
    <row r="286" spans="1:8" x14ac:dyDescent="0.35">
      <c r="A286">
        <v>170</v>
      </c>
      <c r="B286">
        <v>43</v>
      </c>
      <c r="C286" t="s">
        <v>52</v>
      </c>
      <c r="D286" t="s">
        <v>8</v>
      </c>
      <c r="E286" t="s">
        <v>13</v>
      </c>
      <c r="F286">
        <v>74</v>
      </c>
      <c r="G286">
        <v>0.6</v>
      </c>
      <c r="H286">
        <v>0.21</v>
      </c>
    </row>
    <row r="287" spans="1:8" x14ac:dyDescent="0.35">
      <c r="A287">
        <v>323</v>
      </c>
      <c r="B287">
        <v>43</v>
      </c>
      <c r="C287" t="s">
        <v>52</v>
      </c>
      <c r="D287" t="s">
        <v>10</v>
      </c>
      <c r="E287" t="s">
        <v>19</v>
      </c>
      <c r="F287">
        <v>73</v>
      </c>
      <c r="G287">
        <v>90</v>
      </c>
      <c r="H287">
        <v>7.6</v>
      </c>
    </row>
    <row r="288" spans="1:8" x14ac:dyDescent="0.35">
      <c r="A288">
        <v>7</v>
      </c>
      <c r="B288">
        <v>43</v>
      </c>
      <c r="C288" t="s">
        <v>52</v>
      </c>
      <c r="D288" t="s">
        <v>10</v>
      </c>
      <c r="E288" t="s">
        <v>22</v>
      </c>
      <c r="F288">
        <v>73</v>
      </c>
      <c r="G288">
        <v>2</v>
      </c>
      <c r="H288">
        <v>0.3</v>
      </c>
    </row>
    <row r="289" spans="1:8" x14ac:dyDescent="0.35">
      <c r="A289">
        <v>14</v>
      </c>
      <c r="B289">
        <v>43</v>
      </c>
      <c r="C289" t="s">
        <v>52</v>
      </c>
      <c r="D289" t="s">
        <v>11</v>
      </c>
      <c r="E289" t="s">
        <v>13</v>
      </c>
      <c r="F289">
        <v>147</v>
      </c>
      <c r="G289">
        <v>0.30199999999999999</v>
      </c>
      <c r="H289">
        <v>0.16600000000000001</v>
      </c>
    </row>
    <row r="290" spans="1:8" x14ac:dyDescent="0.35">
      <c r="A290">
        <v>14</v>
      </c>
      <c r="B290">
        <v>44</v>
      </c>
      <c r="C290" t="s">
        <v>53</v>
      </c>
      <c r="D290" t="s">
        <v>26</v>
      </c>
      <c r="E290" t="s">
        <v>19</v>
      </c>
      <c r="F290">
        <v>72</v>
      </c>
      <c r="G290">
        <v>0.39900000000000002</v>
      </c>
      <c r="H290">
        <v>0.23799999999999999</v>
      </c>
    </row>
    <row r="291" spans="1:8" x14ac:dyDescent="0.35">
      <c r="A291">
        <v>9</v>
      </c>
      <c r="B291">
        <v>44</v>
      </c>
      <c r="C291" t="s">
        <v>53</v>
      </c>
      <c r="D291" t="s">
        <v>26</v>
      </c>
      <c r="E291" t="s">
        <v>27</v>
      </c>
      <c r="F291">
        <v>72</v>
      </c>
      <c r="G291">
        <v>0.39600000000000002</v>
      </c>
      <c r="H291">
        <v>0.23799999999999999</v>
      </c>
    </row>
    <row r="292" spans="1:8" x14ac:dyDescent="0.35">
      <c r="A292">
        <v>324</v>
      </c>
      <c r="B292">
        <v>44</v>
      </c>
      <c r="C292" t="s">
        <v>53</v>
      </c>
      <c r="D292" t="s">
        <v>8</v>
      </c>
      <c r="E292" t="s">
        <v>19</v>
      </c>
      <c r="F292">
        <v>36</v>
      </c>
      <c r="G292">
        <v>93.4</v>
      </c>
      <c r="H292">
        <v>9.6</v>
      </c>
    </row>
    <row r="293" spans="1:8" x14ac:dyDescent="0.35">
      <c r="A293">
        <v>325</v>
      </c>
      <c r="B293">
        <v>44</v>
      </c>
      <c r="C293" t="s">
        <v>53</v>
      </c>
      <c r="D293" t="s">
        <v>28</v>
      </c>
      <c r="E293" t="s">
        <v>19</v>
      </c>
      <c r="F293">
        <v>36</v>
      </c>
      <c r="G293">
        <v>90.1</v>
      </c>
      <c r="H293">
        <v>6.7</v>
      </c>
    </row>
    <row r="294" spans="1:8" x14ac:dyDescent="0.35">
      <c r="A294">
        <v>91</v>
      </c>
      <c r="B294">
        <v>44</v>
      </c>
      <c r="C294" t="s">
        <v>53</v>
      </c>
      <c r="D294" t="s">
        <v>28</v>
      </c>
      <c r="E294" t="s">
        <v>27</v>
      </c>
      <c r="F294">
        <v>36</v>
      </c>
      <c r="G294">
        <v>78.3</v>
      </c>
      <c r="H294">
        <v>10.5</v>
      </c>
    </row>
    <row r="295" spans="1:8" x14ac:dyDescent="0.35">
      <c r="A295">
        <v>90</v>
      </c>
      <c r="B295">
        <v>44</v>
      </c>
      <c r="C295" t="s">
        <v>53</v>
      </c>
      <c r="D295" t="s">
        <v>8</v>
      </c>
      <c r="E295" t="s">
        <v>27</v>
      </c>
      <c r="F295">
        <v>36</v>
      </c>
      <c r="G295">
        <v>74.2</v>
      </c>
      <c r="H295">
        <v>10.199999999999999</v>
      </c>
    </row>
    <row r="296" spans="1:8" x14ac:dyDescent="0.35">
      <c r="A296">
        <v>460</v>
      </c>
      <c r="B296">
        <v>45</v>
      </c>
      <c r="C296" t="s">
        <v>54</v>
      </c>
      <c r="D296" t="s">
        <v>8</v>
      </c>
      <c r="E296" t="s">
        <v>9</v>
      </c>
      <c r="F296">
        <v>24</v>
      </c>
      <c r="G296">
        <v>5.9</v>
      </c>
      <c r="H296">
        <v>1.28</v>
      </c>
    </row>
    <row r="297" spans="1:8" x14ac:dyDescent="0.35">
      <c r="A297">
        <v>173</v>
      </c>
      <c r="B297">
        <v>45</v>
      </c>
      <c r="C297" t="s">
        <v>54</v>
      </c>
      <c r="D297" t="s">
        <v>10</v>
      </c>
      <c r="E297" t="s">
        <v>13</v>
      </c>
      <c r="F297">
        <v>23</v>
      </c>
      <c r="G297">
        <v>2.2000000000000002</v>
      </c>
      <c r="H297">
        <v>0.78</v>
      </c>
    </row>
    <row r="298" spans="1:8" x14ac:dyDescent="0.35">
      <c r="A298">
        <v>461</v>
      </c>
      <c r="B298">
        <v>45</v>
      </c>
      <c r="C298" t="s">
        <v>54</v>
      </c>
      <c r="D298" t="s">
        <v>10</v>
      </c>
      <c r="E298" t="s">
        <v>9</v>
      </c>
      <c r="F298">
        <v>23</v>
      </c>
      <c r="G298">
        <v>5.0999999999999996</v>
      </c>
      <c r="H298">
        <v>1.04</v>
      </c>
    </row>
    <row r="299" spans="1:8" x14ac:dyDescent="0.35">
      <c r="A299">
        <v>172</v>
      </c>
      <c r="B299">
        <v>45</v>
      </c>
      <c r="C299" t="s">
        <v>54</v>
      </c>
      <c r="D299" t="s">
        <v>8</v>
      </c>
      <c r="E299" t="s">
        <v>13</v>
      </c>
      <c r="F299">
        <v>24</v>
      </c>
      <c r="G299">
        <v>1.8</v>
      </c>
      <c r="H299">
        <v>0.51</v>
      </c>
    </row>
    <row r="300" spans="1:8" x14ac:dyDescent="0.35">
      <c r="A300">
        <v>15</v>
      </c>
      <c r="B300">
        <v>45</v>
      </c>
      <c r="C300" t="s">
        <v>54</v>
      </c>
      <c r="D300" t="s">
        <v>11</v>
      </c>
      <c r="E300" t="s">
        <v>13</v>
      </c>
      <c r="F300">
        <v>47</v>
      </c>
      <c r="G300">
        <v>0.61</v>
      </c>
      <c r="H300">
        <v>0.29899999999999999</v>
      </c>
    </row>
    <row r="301" spans="1:8" x14ac:dyDescent="0.35">
      <c r="A301">
        <v>10</v>
      </c>
      <c r="B301">
        <v>45</v>
      </c>
      <c r="C301" t="s">
        <v>54</v>
      </c>
      <c r="D301" t="s">
        <v>11</v>
      </c>
      <c r="E301" t="s">
        <v>9</v>
      </c>
      <c r="F301">
        <v>47</v>
      </c>
      <c r="G301">
        <v>0.68400000000000005</v>
      </c>
      <c r="H301">
        <v>0.30099999999999999</v>
      </c>
    </row>
    <row r="302" spans="1:8" x14ac:dyDescent="0.35">
      <c r="A302">
        <v>326</v>
      </c>
      <c r="B302">
        <v>45</v>
      </c>
      <c r="C302" t="s">
        <v>54</v>
      </c>
      <c r="D302" t="s">
        <v>8</v>
      </c>
      <c r="E302" t="s">
        <v>19</v>
      </c>
      <c r="F302">
        <v>24</v>
      </c>
      <c r="G302">
        <v>92</v>
      </c>
      <c r="H302">
        <v>8.99</v>
      </c>
    </row>
    <row r="303" spans="1:8" x14ac:dyDescent="0.35">
      <c r="A303">
        <v>10</v>
      </c>
      <c r="B303">
        <v>45</v>
      </c>
      <c r="C303" t="s">
        <v>54</v>
      </c>
      <c r="D303" t="s">
        <v>11</v>
      </c>
      <c r="E303" t="s">
        <v>17</v>
      </c>
      <c r="F303">
        <v>48</v>
      </c>
      <c r="G303">
        <v>0.55400000000000005</v>
      </c>
      <c r="H303">
        <v>0.59197712278093406</v>
      </c>
    </row>
    <row r="304" spans="1:8" x14ac:dyDescent="0.35">
      <c r="A304">
        <v>10</v>
      </c>
      <c r="B304">
        <v>45</v>
      </c>
      <c r="C304" t="s">
        <v>54</v>
      </c>
      <c r="D304" t="s">
        <v>11</v>
      </c>
      <c r="E304" t="s">
        <v>15</v>
      </c>
      <c r="F304">
        <v>48</v>
      </c>
      <c r="G304">
        <v>0.17499999999999999</v>
      </c>
      <c r="H304">
        <v>1.577747037482788</v>
      </c>
    </row>
    <row r="305" spans="1:8" x14ac:dyDescent="0.35">
      <c r="A305">
        <v>518</v>
      </c>
      <c r="B305">
        <v>45</v>
      </c>
      <c r="C305" t="s">
        <v>54</v>
      </c>
      <c r="D305" t="s">
        <v>8</v>
      </c>
      <c r="E305" t="s">
        <v>15</v>
      </c>
      <c r="F305">
        <v>24</v>
      </c>
      <c r="G305">
        <v>0</v>
      </c>
      <c r="H305">
        <v>2.6</v>
      </c>
    </row>
    <row r="306" spans="1:8" x14ac:dyDescent="0.35">
      <c r="A306">
        <v>327</v>
      </c>
      <c r="B306">
        <v>45</v>
      </c>
      <c r="C306" t="s">
        <v>54</v>
      </c>
      <c r="D306" t="s">
        <v>10</v>
      </c>
      <c r="E306" t="s">
        <v>19</v>
      </c>
      <c r="F306">
        <v>23</v>
      </c>
      <c r="G306">
        <v>91.8</v>
      </c>
      <c r="H306">
        <v>9.33</v>
      </c>
    </row>
    <row r="307" spans="1:8" x14ac:dyDescent="0.35">
      <c r="A307">
        <v>519</v>
      </c>
      <c r="B307">
        <v>45</v>
      </c>
      <c r="C307" t="s">
        <v>54</v>
      </c>
      <c r="D307" t="s">
        <v>10</v>
      </c>
      <c r="E307" t="s">
        <v>15</v>
      </c>
      <c r="F307">
        <v>23</v>
      </c>
      <c r="G307">
        <v>2</v>
      </c>
      <c r="H307">
        <v>4.5999999999999996</v>
      </c>
    </row>
    <row r="308" spans="1:8" x14ac:dyDescent="0.35">
      <c r="A308">
        <v>261</v>
      </c>
      <c r="B308">
        <v>45</v>
      </c>
      <c r="C308" t="s">
        <v>54</v>
      </c>
      <c r="D308" t="s">
        <v>10</v>
      </c>
      <c r="E308" t="s">
        <v>17</v>
      </c>
      <c r="F308">
        <v>23</v>
      </c>
      <c r="G308">
        <v>11</v>
      </c>
      <c r="H308">
        <v>4.5999999999999996</v>
      </c>
    </row>
    <row r="309" spans="1:8" x14ac:dyDescent="0.35">
      <c r="A309">
        <v>15</v>
      </c>
      <c r="B309">
        <v>45</v>
      </c>
      <c r="C309" t="s">
        <v>54</v>
      </c>
      <c r="D309" t="s">
        <v>11</v>
      </c>
      <c r="E309" t="s">
        <v>19</v>
      </c>
      <c r="F309">
        <v>47</v>
      </c>
      <c r="G309">
        <v>2.1999999999999999E-2</v>
      </c>
      <c r="H309">
        <v>0.29199999999999998</v>
      </c>
    </row>
    <row r="310" spans="1:8" x14ac:dyDescent="0.35">
      <c r="A310">
        <v>260</v>
      </c>
      <c r="B310">
        <v>45</v>
      </c>
      <c r="C310" t="s">
        <v>54</v>
      </c>
      <c r="D310" t="s">
        <v>8</v>
      </c>
      <c r="E310" t="s">
        <v>17</v>
      </c>
      <c r="F310">
        <v>24</v>
      </c>
      <c r="G310">
        <v>8</v>
      </c>
      <c r="H310">
        <v>2.6</v>
      </c>
    </row>
    <row r="311" spans="1:8" x14ac:dyDescent="0.35">
      <c r="A311">
        <v>582</v>
      </c>
      <c r="B311">
        <v>46</v>
      </c>
      <c r="C311" t="s">
        <v>55</v>
      </c>
      <c r="D311" t="s">
        <v>8</v>
      </c>
      <c r="E311" t="s">
        <v>14</v>
      </c>
      <c r="F311">
        <v>15</v>
      </c>
      <c r="G311">
        <v>0</v>
      </c>
      <c r="H311">
        <v>0.75</v>
      </c>
    </row>
    <row r="312" spans="1:8" x14ac:dyDescent="0.35">
      <c r="A312">
        <v>404</v>
      </c>
      <c r="B312">
        <v>46</v>
      </c>
      <c r="C312" t="s">
        <v>55</v>
      </c>
      <c r="D312" t="s">
        <v>8</v>
      </c>
      <c r="E312" t="s">
        <v>16</v>
      </c>
      <c r="F312">
        <v>15</v>
      </c>
      <c r="G312">
        <v>2</v>
      </c>
      <c r="H312">
        <v>0.75</v>
      </c>
    </row>
    <row r="313" spans="1:8" x14ac:dyDescent="0.35">
      <c r="A313">
        <v>13</v>
      </c>
      <c r="B313">
        <v>46</v>
      </c>
      <c r="C313" t="s">
        <v>55</v>
      </c>
      <c r="D313" t="s">
        <v>11</v>
      </c>
      <c r="E313" t="s">
        <v>16</v>
      </c>
      <c r="F313">
        <v>29</v>
      </c>
      <c r="G313">
        <v>0.84599999999999997</v>
      </c>
      <c r="H313">
        <v>0.98378461455349453</v>
      </c>
    </row>
    <row r="314" spans="1:8" x14ac:dyDescent="0.35">
      <c r="A314">
        <v>175</v>
      </c>
      <c r="B314">
        <v>46</v>
      </c>
      <c r="C314" t="s">
        <v>55</v>
      </c>
      <c r="D314" t="s">
        <v>10</v>
      </c>
      <c r="E314" t="s">
        <v>13</v>
      </c>
      <c r="F314">
        <v>13</v>
      </c>
      <c r="G314">
        <v>0.96</v>
      </c>
      <c r="H314">
        <v>0.42</v>
      </c>
    </row>
    <row r="315" spans="1:8" x14ac:dyDescent="0.35">
      <c r="A315">
        <v>405</v>
      </c>
      <c r="B315">
        <v>46</v>
      </c>
      <c r="C315" t="s">
        <v>55</v>
      </c>
      <c r="D315" t="s">
        <v>10</v>
      </c>
      <c r="E315" t="s">
        <v>16</v>
      </c>
      <c r="F315">
        <v>13</v>
      </c>
      <c r="G315">
        <v>2</v>
      </c>
      <c r="H315">
        <v>0.82</v>
      </c>
    </row>
    <row r="316" spans="1:8" x14ac:dyDescent="0.35">
      <c r="A316">
        <v>13</v>
      </c>
      <c r="B316">
        <v>46</v>
      </c>
      <c r="C316" t="s">
        <v>55</v>
      </c>
      <c r="D316" t="s">
        <v>11</v>
      </c>
      <c r="E316" t="s">
        <v>14</v>
      </c>
      <c r="F316">
        <v>29</v>
      </c>
      <c r="G316">
        <v>0.86699999999999999</v>
      </c>
      <c r="H316">
        <v>2.0355809351607079</v>
      </c>
    </row>
    <row r="317" spans="1:8" x14ac:dyDescent="0.35">
      <c r="A317">
        <v>16</v>
      </c>
      <c r="B317">
        <v>46</v>
      </c>
      <c r="C317" t="s">
        <v>55</v>
      </c>
      <c r="D317" t="s">
        <v>11</v>
      </c>
      <c r="E317" t="s">
        <v>13</v>
      </c>
      <c r="F317">
        <v>28</v>
      </c>
      <c r="G317">
        <v>0.44700000000000001</v>
      </c>
      <c r="H317">
        <v>0.38400000000000001</v>
      </c>
    </row>
    <row r="318" spans="1:8" x14ac:dyDescent="0.35">
      <c r="A318">
        <v>174</v>
      </c>
      <c r="B318">
        <v>46</v>
      </c>
      <c r="C318" t="s">
        <v>55</v>
      </c>
      <c r="D318" t="s">
        <v>8</v>
      </c>
      <c r="E318" t="s">
        <v>13</v>
      </c>
      <c r="F318">
        <v>15</v>
      </c>
      <c r="G318">
        <v>1.22</v>
      </c>
      <c r="H318">
        <v>0.69</v>
      </c>
    </row>
    <row r="319" spans="1:8" x14ac:dyDescent="0.35">
      <c r="A319">
        <v>583</v>
      </c>
      <c r="B319">
        <v>46</v>
      </c>
      <c r="C319" t="s">
        <v>55</v>
      </c>
      <c r="D319" t="s">
        <v>10</v>
      </c>
      <c r="E319" t="s">
        <v>14</v>
      </c>
      <c r="F319">
        <v>13</v>
      </c>
      <c r="G319">
        <v>0</v>
      </c>
      <c r="H319">
        <v>0.82</v>
      </c>
    </row>
    <row r="320" spans="1:8" x14ac:dyDescent="0.35">
      <c r="A320">
        <v>585</v>
      </c>
      <c r="B320">
        <v>47</v>
      </c>
      <c r="C320" t="s">
        <v>56</v>
      </c>
      <c r="D320" t="s">
        <v>35</v>
      </c>
      <c r="E320" t="s">
        <v>14</v>
      </c>
      <c r="F320">
        <v>48</v>
      </c>
      <c r="G320">
        <v>0</v>
      </c>
      <c r="H320">
        <v>0.75</v>
      </c>
    </row>
    <row r="321" spans="1:8" x14ac:dyDescent="0.35">
      <c r="A321">
        <v>407</v>
      </c>
      <c r="B321">
        <v>47</v>
      </c>
      <c r="C321" t="s">
        <v>56</v>
      </c>
      <c r="D321" t="s">
        <v>35</v>
      </c>
      <c r="E321" t="s">
        <v>16</v>
      </c>
      <c r="F321">
        <v>48</v>
      </c>
      <c r="G321">
        <v>4</v>
      </c>
      <c r="H321">
        <v>0.75</v>
      </c>
    </row>
    <row r="322" spans="1:8" x14ac:dyDescent="0.35">
      <c r="A322">
        <v>584</v>
      </c>
      <c r="B322">
        <v>47</v>
      </c>
      <c r="C322" t="s">
        <v>56</v>
      </c>
      <c r="D322" t="s">
        <v>10</v>
      </c>
      <c r="E322" t="s">
        <v>14</v>
      </c>
      <c r="F322">
        <v>44</v>
      </c>
      <c r="G322">
        <v>1</v>
      </c>
      <c r="H322">
        <v>1.07</v>
      </c>
    </row>
    <row r="323" spans="1:8" x14ac:dyDescent="0.35">
      <c r="A323">
        <v>406</v>
      </c>
      <c r="B323">
        <v>47</v>
      </c>
      <c r="C323" t="s">
        <v>56</v>
      </c>
      <c r="D323" t="s">
        <v>10</v>
      </c>
      <c r="E323" t="s">
        <v>16</v>
      </c>
      <c r="F323">
        <v>44</v>
      </c>
      <c r="G323">
        <v>6</v>
      </c>
      <c r="H323">
        <v>1.07</v>
      </c>
    </row>
    <row r="324" spans="1:8" x14ac:dyDescent="0.35">
      <c r="A324">
        <v>14</v>
      </c>
      <c r="B324">
        <v>47</v>
      </c>
      <c r="C324" t="s">
        <v>56</v>
      </c>
      <c r="D324" t="s">
        <v>36</v>
      </c>
      <c r="E324" t="s">
        <v>14</v>
      </c>
      <c r="F324">
        <v>93</v>
      </c>
      <c r="G324">
        <v>3.3490000000000002</v>
      </c>
      <c r="H324">
        <v>1.6464373094513769</v>
      </c>
    </row>
    <row r="325" spans="1:8" x14ac:dyDescent="0.35">
      <c r="A325">
        <v>14</v>
      </c>
      <c r="B325">
        <v>47</v>
      </c>
      <c r="C325" t="s">
        <v>56</v>
      </c>
      <c r="D325" t="s">
        <v>36</v>
      </c>
      <c r="E325" t="s">
        <v>16</v>
      </c>
      <c r="F325">
        <v>93</v>
      </c>
      <c r="G325">
        <v>1.673</v>
      </c>
      <c r="H325">
        <v>0.65200570416932158</v>
      </c>
    </row>
    <row r="326" spans="1:8" x14ac:dyDescent="0.35">
      <c r="A326">
        <v>2</v>
      </c>
      <c r="B326">
        <v>49</v>
      </c>
      <c r="C326" t="s">
        <v>57</v>
      </c>
      <c r="D326" t="s">
        <v>11</v>
      </c>
      <c r="E326" t="s">
        <v>22</v>
      </c>
      <c r="F326">
        <v>119</v>
      </c>
      <c r="G326">
        <v>1.169</v>
      </c>
      <c r="H326">
        <v>1.0514112359322281</v>
      </c>
    </row>
    <row r="327" spans="1:8" x14ac:dyDescent="0.35">
      <c r="A327">
        <v>17</v>
      </c>
      <c r="B327">
        <v>49</v>
      </c>
      <c r="C327" t="s">
        <v>57</v>
      </c>
      <c r="D327" t="s">
        <v>11</v>
      </c>
      <c r="E327" t="s">
        <v>13</v>
      </c>
      <c r="F327">
        <v>118</v>
      </c>
      <c r="G327">
        <v>0.16200000000000001</v>
      </c>
      <c r="H327">
        <v>0.19500000000000001</v>
      </c>
    </row>
    <row r="328" spans="1:8" x14ac:dyDescent="0.35">
      <c r="A328">
        <v>16</v>
      </c>
      <c r="B328">
        <v>49</v>
      </c>
      <c r="C328" t="s">
        <v>57</v>
      </c>
      <c r="D328" t="s">
        <v>11</v>
      </c>
      <c r="E328" t="s">
        <v>19</v>
      </c>
      <c r="F328">
        <v>118</v>
      </c>
      <c r="G328">
        <v>0.13200000000000001</v>
      </c>
      <c r="H328">
        <v>0.19500000000000001</v>
      </c>
    </row>
    <row r="329" spans="1:8" x14ac:dyDescent="0.35">
      <c r="A329">
        <v>11</v>
      </c>
      <c r="B329">
        <v>49</v>
      </c>
      <c r="C329" t="s">
        <v>57</v>
      </c>
      <c r="D329" t="s">
        <v>11</v>
      </c>
      <c r="E329" t="s">
        <v>9</v>
      </c>
      <c r="F329">
        <v>118</v>
      </c>
      <c r="G329">
        <v>1.165</v>
      </c>
      <c r="H329">
        <v>0.20899999999999999</v>
      </c>
    </row>
    <row r="330" spans="1:8" x14ac:dyDescent="0.35">
      <c r="A330">
        <v>9</v>
      </c>
      <c r="B330">
        <v>49</v>
      </c>
      <c r="C330" t="s">
        <v>57</v>
      </c>
      <c r="D330" t="s">
        <v>10</v>
      </c>
      <c r="E330" t="s">
        <v>22</v>
      </c>
      <c r="F330">
        <v>78</v>
      </c>
      <c r="G330">
        <v>2</v>
      </c>
      <c r="H330">
        <v>0.42</v>
      </c>
    </row>
    <row r="331" spans="1:8" x14ac:dyDescent="0.35">
      <c r="A331">
        <v>179</v>
      </c>
      <c r="B331">
        <v>49</v>
      </c>
      <c r="C331" t="s">
        <v>57</v>
      </c>
      <c r="D331" t="s">
        <v>10</v>
      </c>
      <c r="E331" t="s">
        <v>13</v>
      </c>
      <c r="F331">
        <v>78</v>
      </c>
      <c r="G331">
        <v>1.5</v>
      </c>
      <c r="H331">
        <v>3.12</v>
      </c>
    </row>
    <row r="332" spans="1:8" x14ac:dyDescent="0.35">
      <c r="A332">
        <v>330</v>
      </c>
      <c r="B332">
        <v>49</v>
      </c>
      <c r="C332" t="s">
        <v>57</v>
      </c>
      <c r="D332" t="s">
        <v>8</v>
      </c>
      <c r="E332" t="s">
        <v>19</v>
      </c>
      <c r="F332">
        <v>40</v>
      </c>
      <c r="G332">
        <v>94</v>
      </c>
      <c r="H332">
        <v>18.09</v>
      </c>
    </row>
    <row r="333" spans="1:8" x14ac:dyDescent="0.35">
      <c r="A333">
        <v>462</v>
      </c>
      <c r="B333">
        <v>49</v>
      </c>
      <c r="C333" t="s">
        <v>57</v>
      </c>
      <c r="D333" t="s">
        <v>8</v>
      </c>
      <c r="E333" t="s">
        <v>9</v>
      </c>
      <c r="F333">
        <v>40</v>
      </c>
      <c r="G333">
        <v>6</v>
      </c>
      <c r="H333">
        <v>1.86</v>
      </c>
    </row>
    <row r="334" spans="1:8" x14ac:dyDescent="0.35">
      <c r="A334">
        <v>463</v>
      </c>
      <c r="B334">
        <v>49</v>
      </c>
      <c r="C334" t="s">
        <v>57</v>
      </c>
      <c r="D334" t="s">
        <v>10</v>
      </c>
      <c r="E334" t="s">
        <v>9</v>
      </c>
      <c r="F334">
        <v>78</v>
      </c>
      <c r="G334">
        <v>4</v>
      </c>
      <c r="H334">
        <v>1.64</v>
      </c>
    </row>
    <row r="335" spans="1:8" x14ac:dyDescent="0.35">
      <c r="A335">
        <v>331</v>
      </c>
      <c r="B335">
        <v>49</v>
      </c>
      <c r="C335" t="s">
        <v>57</v>
      </c>
      <c r="D335" t="s">
        <v>10</v>
      </c>
      <c r="E335" t="s">
        <v>19</v>
      </c>
      <c r="F335">
        <v>78</v>
      </c>
      <c r="G335">
        <v>92</v>
      </c>
      <c r="H335">
        <v>13.4</v>
      </c>
    </row>
    <row r="336" spans="1:8" x14ac:dyDescent="0.35">
      <c r="A336">
        <v>178</v>
      </c>
      <c r="B336">
        <v>49</v>
      </c>
      <c r="C336" t="s">
        <v>57</v>
      </c>
      <c r="D336" t="s">
        <v>8</v>
      </c>
      <c r="E336" t="s">
        <v>13</v>
      </c>
      <c r="F336">
        <v>40</v>
      </c>
      <c r="G336">
        <v>1</v>
      </c>
      <c r="H336">
        <v>3.01</v>
      </c>
    </row>
    <row r="337" spans="1:8" x14ac:dyDescent="0.35">
      <c r="A337">
        <v>8</v>
      </c>
      <c r="B337">
        <v>49</v>
      </c>
      <c r="C337" t="s">
        <v>57</v>
      </c>
      <c r="D337" t="s">
        <v>8</v>
      </c>
      <c r="E337" t="s">
        <v>22</v>
      </c>
      <c r="F337">
        <v>40</v>
      </c>
      <c r="G337">
        <v>1</v>
      </c>
      <c r="H337">
        <v>0.24</v>
      </c>
    </row>
    <row r="338" spans="1:8" x14ac:dyDescent="0.35">
      <c r="A338">
        <v>17</v>
      </c>
      <c r="B338">
        <v>51</v>
      </c>
      <c r="C338" t="s">
        <v>58</v>
      </c>
      <c r="D338" t="s">
        <v>36</v>
      </c>
      <c r="E338" t="s">
        <v>19</v>
      </c>
      <c r="F338">
        <v>64</v>
      </c>
      <c r="G338">
        <v>0.25600000000000001</v>
      </c>
      <c r="H338">
        <v>0.251</v>
      </c>
    </row>
    <row r="339" spans="1:8" x14ac:dyDescent="0.35">
      <c r="A339">
        <v>12</v>
      </c>
      <c r="B339">
        <v>51</v>
      </c>
      <c r="C339" t="s">
        <v>58</v>
      </c>
      <c r="D339" t="s">
        <v>36</v>
      </c>
      <c r="E339" t="s">
        <v>9</v>
      </c>
      <c r="F339">
        <v>64</v>
      </c>
      <c r="G339">
        <v>0.17199999999999999</v>
      </c>
      <c r="H339">
        <v>0.25</v>
      </c>
    </row>
    <row r="340" spans="1:8" x14ac:dyDescent="0.35">
      <c r="A340">
        <v>15</v>
      </c>
      <c r="B340">
        <v>51</v>
      </c>
      <c r="C340" t="s">
        <v>58</v>
      </c>
      <c r="D340" t="s">
        <v>36</v>
      </c>
      <c r="E340" t="s">
        <v>16</v>
      </c>
      <c r="F340">
        <v>65</v>
      </c>
      <c r="G340">
        <v>0.38900000000000001</v>
      </c>
      <c r="H340">
        <v>0.63771304416705321</v>
      </c>
    </row>
    <row r="341" spans="1:8" x14ac:dyDescent="0.35">
      <c r="A341">
        <v>18</v>
      </c>
      <c r="B341">
        <v>51</v>
      </c>
      <c r="C341" t="s">
        <v>58</v>
      </c>
      <c r="D341" t="s">
        <v>36</v>
      </c>
      <c r="E341" t="s">
        <v>13</v>
      </c>
      <c r="F341">
        <v>64</v>
      </c>
      <c r="G341">
        <v>0.99</v>
      </c>
      <c r="H341">
        <v>0.26500000000000001</v>
      </c>
    </row>
    <row r="342" spans="1:8" x14ac:dyDescent="0.35">
      <c r="A342">
        <v>10</v>
      </c>
      <c r="B342">
        <v>51</v>
      </c>
      <c r="C342" t="s">
        <v>58</v>
      </c>
      <c r="D342" t="s">
        <v>36</v>
      </c>
      <c r="E342" t="s">
        <v>27</v>
      </c>
      <c r="F342">
        <v>64</v>
      </c>
      <c r="G342">
        <v>0.68799999999999994</v>
      </c>
      <c r="H342">
        <v>0.25800000000000001</v>
      </c>
    </row>
    <row r="343" spans="1:8" x14ac:dyDescent="0.35">
      <c r="A343">
        <v>409</v>
      </c>
      <c r="B343">
        <v>51</v>
      </c>
      <c r="C343" t="s">
        <v>58</v>
      </c>
      <c r="D343" t="s">
        <v>35</v>
      </c>
      <c r="E343" t="s">
        <v>16</v>
      </c>
      <c r="F343">
        <v>32</v>
      </c>
      <c r="G343">
        <v>9</v>
      </c>
      <c r="H343">
        <v>2.34</v>
      </c>
    </row>
    <row r="344" spans="1:8" x14ac:dyDescent="0.35">
      <c r="A344">
        <v>465</v>
      </c>
      <c r="B344">
        <v>51</v>
      </c>
      <c r="C344" t="s">
        <v>58</v>
      </c>
      <c r="D344" t="s">
        <v>35</v>
      </c>
      <c r="E344" t="s">
        <v>9</v>
      </c>
      <c r="F344">
        <v>32</v>
      </c>
      <c r="G344">
        <v>7</v>
      </c>
      <c r="H344">
        <v>2.1</v>
      </c>
    </row>
    <row r="345" spans="1:8" x14ac:dyDescent="0.35">
      <c r="A345">
        <v>183</v>
      </c>
      <c r="B345">
        <v>51</v>
      </c>
      <c r="C345" t="s">
        <v>58</v>
      </c>
      <c r="D345" t="s">
        <v>35</v>
      </c>
      <c r="E345" t="s">
        <v>13</v>
      </c>
      <c r="F345">
        <v>32</v>
      </c>
      <c r="G345">
        <v>3.5</v>
      </c>
      <c r="H345">
        <v>1.2</v>
      </c>
    </row>
    <row r="346" spans="1:8" x14ac:dyDescent="0.35">
      <c r="A346">
        <v>587</v>
      </c>
      <c r="B346">
        <v>51</v>
      </c>
      <c r="C346" t="s">
        <v>58</v>
      </c>
      <c r="D346" t="s">
        <v>35</v>
      </c>
      <c r="E346" t="s">
        <v>14</v>
      </c>
      <c r="F346">
        <v>32</v>
      </c>
      <c r="G346">
        <v>1</v>
      </c>
      <c r="H346">
        <v>2.34</v>
      </c>
    </row>
    <row r="347" spans="1:8" x14ac:dyDescent="0.35">
      <c r="A347">
        <v>265</v>
      </c>
      <c r="B347">
        <v>51</v>
      </c>
      <c r="C347" t="s">
        <v>58</v>
      </c>
      <c r="D347" t="s">
        <v>35</v>
      </c>
      <c r="E347" t="s">
        <v>17</v>
      </c>
      <c r="F347">
        <v>32</v>
      </c>
      <c r="G347">
        <v>13</v>
      </c>
      <c r="H347">
        <v>4.0199999999999996</v>
      </c>
    </row>
    <row r="348" spans="1:8" x14ac:dyDescent="0.35">
      <c r="A348">
        <v>523</v>
      </c>
      <c r="B348">
        <v>51</v>
      </c>
      <c r="C348" t="s">
        <v>58</v>
      </c>
      <c r="D348" t="s">
        <v>35</v>
      </c>
      <c r="E348" t="s">
        <v>15</v>
      </c>
      <c r="F348">
        <v>32</v>
      </c>
      <c r="G348">
        <v>4</v>
      </c>
      <c r="H348">
        <v>4.0199999999999996</v>
      </c>
    </row>
    <row r="349" spans="1:8" x14ac:dyDescent="0.35">
      <c r="A349">
        <v>15</v>
      </c>
      <c r="B349">
        <v>51</v>
      </c>
      <c r="C349" t="s">
        <v>58</v>
      </c>
      <c r="D349" t="s">
        <v>36</v>
      </c>
      <c r="E349" t="s">
        <v>14</v>
      </c>
      <c r="F349">
        <v>65</v>
      </c>
      <c r="G349">
        <v>0.32300000000000001</v>
      </c>
      <c r="H349">
        <v>1.6523240394011081</v>
      </c>
    </row>
    <row r="350" spans="1:8" x14ac:dyDescent="0.35">
      <c r="A350">
        <v>11</v>
      </c>
      <c r="B350">
        <v>51</v>
      </c>
      <c r="C350" t="s">
        <v>58</v>
      </c>
      <c r="D350" t="s">
        <v>36</v>
      </c>
      <c r="E350" t="s">
        <v>15</v>
      </c>
      <c r="F350">
        <v>65</v>
      </c>
      <c r="G350">
        <v>0.51900000000000002</v>
      </c>
      <c r="H350">
        <v>0.83142638956785664</v>
      </c>
    </row>
    <row r="351" spans="1:8" x14ac:dyDescent="0.35">
      <c r="A351">
        <v>11</v>
      </c>
      <c r="B351">
        <v>51</v>
      </c>
      <c r="C351" t="s">
        <v>58</v>
      </c>
      <c r="D351" t="s">
        <v>36</v>
      </c>
      <c r="E351" t="s">
        <v>17</v>
      </c>
      <c r="F351">
        <v>65</v>
      </c>
      <c r="G351">
        <v>0.35199999999999998</v>
      </c>
      <c r="H351">
        <v>0.56481266392418539</v>
      </c>
    </row>
    <row r="352" spans="1:8" x14ac:dyDescent="0.35">
      <c r="A352">
        <v>408</v>
      </c>
      <c r="B352">
        <v>51</v>
      </c>
      <c r="C352" t="s">
        <v>58</v>
      </c>
      <c r="D352" t="s">
        <v>10</v>
      </c>
      <c r="E352" t="s">
        <v>16</v>
      </c>
      <c r="F352">
        <v>32</v>
      </c>
      <c r="G352">
        <v>4</v>
      </c>
      <c r="H352">
        <v>0.91</v>
      </c>
    </row>
    <row r="353" spans="1:8" x14ac:dyDescent="0.35">
      <c r="A353">
        <v>586</v>
      </c>
      <c r="B353">
        <v>51</v>
      </c>
      <c r="C353" t="s">
        <v>58</v>
      </c>
      <c r="D353" t="s">
        <v>10</v>
      </c>
      <c r="E353" t="s">
        <v>14</v>
      </c>
      <c r="F353">
        <v>32</v>
      </c>
      <c r="G353">
        <v>0</v>
      </c>
      <c r="H353">
        <v>0.91</v>
      </c>
    </row>
    <row r="354" spans="1:8" x14ac:dyDescent="0.35">
      <c r="A354">
        <v>264</v>
      </c>
      <c r="B354">
        <v>51</v>
      </c>
      <c r="C354" t="s">
        <v>58</v>
      </c>
      <c r="D354" t="s">
        <v>10</v>
      </c>
      <c r="E354" t="s">
        <v>17</v>
      </c>
      <c r="F354">
        <v>32</v>
      </c>
      <c r="G354">
        <v>6</v>
      </c>
      <c r="H354">
        <v>1.41</v>
      </c>
    </row>
    <row r="355" spans="1:8" x14ac:dyDescent="0.35">
      <c r="A355">
        <v>522</v>
      </c>
      <c r="B355">
        <v>51</v>
      </c>
      <c r="C355" t="s">
        <v>58</v>
      </c>
      <c r="D355" t="s">
        <v>10</v>
      </c>
      <c r="E355" t="s">
        <v>15</v>
      </c>
      <c r="F355">
        <v>32</v>
      </c>
      <c r="G355">
        <v>2</v>
      </c>
      <c r="H355">
        <v>1.41</v>
      </c>
    </row>
    <row r="356" spans="1:8" x14ac:dyDescent="0.35">
      <c r="A356">
        <v>333</v>
      </c>
      <c r="B356">
        <v>51</v>
      </c>
      <c r="C356" t="s">
        <v>58</v>
      </c>
      <c r="D356" t="s">
        <v>35</v>
      </c>
      <c r="E356" t="s">
        <v>19</v>
      </c>
      <c r="F356">
        <v>32</v>
      </c>
      <c r="G356">
        <v>88.7</v>
      </c>
      <c r="H356">
        <v>8.6</v>
      </c>
    </row>
    <row r="357" spans="1:8" x14ac:dyDescent="0.35">
      <c r="A357">
        <v>93</v>
      </c>
      <c r="B357">
        <v>51</v>
      </c>
      <c r="C357" t="s">
        <v>58</v>
      </c>
      <c r="D357" t="s">
        <v>35</v>
      </c>
      <c r="E357" t="s">
        <v>27</v>
      </c>
      <c r="F357">
        <v>32</v>
      </c>
      <c r="G357">
        <v>83.8</v>
      </c>
      <c r="H357">
        <v>6.9</v>
      </c>
    </row>
    <row r="358" spans="1:8" x14ac:dyDescent="0.35">
      <c r="A358">
        <v>464</v>
      </c>
      <c r="B358">
        <v>51</v>
      </c>
      <c r="C358" t="s">
        <v>58</v>
      </c>
      <c r="D358" t="s">
        <v>10</v>
      </c>
      <c r="E358" t="s">
        <v>9</v>
      </c>
      <c r="F358">
        <v>32</v>
      </c>
      <c r="G358">
        <v>7.3</v>
      </c>
      <c r="H358">
        <v>1.3</v>
      </c>
    </row>
    <row r="359" spans="1:8" x14ac:dyDescent="0.35">
      <c r="A359">
        <v>182</v>
      </c>
      <c r="B359">
        <v>51</v>
      </c>
      <c r="C359" t="s">
        <v>58</v>
      </c>
      <c r="D359" t="s">
        <v>10</v>
      </c>
      <c r="E359" t="s">
        <v>13</v>
      </c>
      <c r="F359">
        <v>32</v>
      </c>
      <c r="G359">
        <v>2.1</v>
      </c>
      <c r="H359">
        <v>1.6</v>
      </c>
    </row>
    <row r="360" spans="1:8" x14ac:dyDescent="0.35">
      <c r="A360">
        <v>92</v>
      </c>
      <c r="B360">
        <v>51</v>
      </c>
      <c r="C360" t="s">
        <v>58</v>
      </c>
      <c r="D360" t="s">
        <v>10</v>
      </c>
      <c r="E360" t="s">
        <v>27</v>
      </c>
      <c r="F360">
        <v>32</v>
      </c>
      <c r="G360">
        <v>87.5</v>
      </c>
      <c r="H360">
        <v>3.2</v>
      </c>
    </row>
    <row r="361" spans="1:8" x14ac:dyDescent="0.35">
      <c r="A361">
        <v>332</v>
      </c>
      <c r="B361">
        <v>51</v>
      </c>
      <c r="C361" t="s">
        <v>58</v>
      </c>
      <c r="D361" t="s">
        <v>10</v>
      </c>
      <c r="E361" t="s">
        <v>19</v>
      </c>
      <c r="F361">
        <v>32</v>
      </c>
      <c r="G361">
        <v>91.3</v>
      </c>
      <c r="H361">
        <v>11.5</v>
      </c>
    </row>
    <row r="362" spans="1:8" x14ac:dyDescent="0.35">
      <c r="A362">
        <v>525</v>
      </c>
      <c r="B362">
        <v>52</v>
      </c>
      <c r="C362" t="s">
        <v>59</v>
      </c>
      <c r="D362" t="s">
        <v>10</v>
      </c>
      <c r="E362" t="s">
        <v>15</v>
      </c>
      <c r="F362">
        <v>32</v>
      </c>
      <c r="G362">
        <v>2</v>
      </c>
      <c r="H362">
        <v>20.61</v>
      </c>
    </row>
    <row r="363" spans="1:8" x14ac:dyDescent="0.35">
      <c r="A363">
        <v>266</v>
      </c>
      <c r="B363">
        <v>52</v>
      </c>
      <c r="C363" t="s">
        <v>59</v>
      </c>
      <c r="D363" t="s">
        <v>8</v>
      </c>
      <c r="E363" t="s">
        <v>17</v>
      </c>
      <c r="F363">
        <v>30</v>
      </c>
      <c r="G363">
        <v>23</v>
      </c>
      <c r="H363">
        <v>15.41</v>
      </c>
    </row>
    <row r="364" spans="1:8" x14ac:dyDescent="0.35">
      <c r="A364">
        <v>466</v>
      </c>
      <c r="B364">
        <v>52</v>
      </c>
      <c r="C364" t="s">
        <v>59</v>
      </c>
      <c r="D364" t="s">
        <v>8</v>
      </c>
      <c r="E364" t="s">
        <v>9</v>
      </c>
      <c r="F364">
        <v>30</v>
      </c>
      <c r="G364">
        <v>5</v>
      </c>
      <c r="H364">
        <v>1.72</v>
      </c>
    </row>
    <row r="365" spans="1:8" x14ac:dyDescent="0.35">
      <c r="A365">
        <v>467</v>
      </c>
      <c r="B365">
        <v>52</v>
      </c>
      <c r="C365" t="s">
        <v>59</v>
      </c>
      <c r="D365" t="s">
        <v>10</v>
      </c>
      <c r="E365" t="s">
        <v>9</v>
      </c>
      <c r="F365">
        <v>32</v>
      </c>
      <c r="G365">
        <v>6</v>
      </c>
      <c r="H365">
        <v>1.69</v>
      </c>
    </row>
    <row r="366" spans="1:8" x14ac:dyDescent="0.35">
      <c r="A366">
        <v>185</v>
      </c>
      <c r="B366">
        <v>52</v>
      </c>
      <c r="C366" t="s">
        <v>59</v>
      </c>
      <c r="D366" t="s">
        <v>10</v>
      </c>
      <c r="E366" t="s">
        <v>13</v>
      </c>
      <c r="F366">
        <v>32</v>
      </c>
      <c r="G366">
        <v>2.7</v>
      </c>
      <c r="H366">
        <v>3.39</v>
      </c>
    </row>
    <row r="367" spans="1:8" x14ac:dyDescent="0.35">
      <c r="A367">
        <v>267</v>
      </c>
      <c r="B367">
        <v>52</v>
      </c>
      <c r="C367" t="s">
        <v>59</v>
      </c>
      <c r="D367" t="s">
        <v>10</v>
      </c>
      <c r="E367" t="s">
        <v>17</v>
      </c>
      <c r="F367">
        <v>32</v>
      </c>
      <c r="G367">
        <v>26</v>
      </c>
      <c r="H367">
        <v>20.61</v>
      </c>
    </row>
    <row r="368" spans="1:8" x14ac:dyDescent="0.35">
      <c r="A368">
        <v>13</v>
      </c>
      <c r="B368">
        <v>52</v>
      </c>
      <c r="C368" t="s">
        <v>59</v>
      </c>
      <c r="D368" t="s">
        <v>11</v>
      </c>
      <c r="E368" t="s">
        <v>9</v>
      </c>
      <c r="F368">
        <v>62</v>
      </c>
      <c r="G368">
        <v>0.58699999999999997</v>
      </c>
      <c r="H368">
        <v>0.26</v>
      </c>
    </row>
    <row r="369" spans="1:8" x14ac:dyDescent="0.35">
      <c r="A369">
        <v>19</v>
      </c>
      <c r="B369">
        <v>52</v>
      </c>
      <c r="C369" t="s">
        <v>59</v>
      </c>
      <c r="D369" t="s">
        <v>11</v>
      </c>
      <c r="E369" t="s">
        <v>13</v>
      </c>
      <c r="F369">
        <v>62</v>
      </c>
      <c r="G369">
        <v>0.124</v>
      </c>
      <c r="H369">
        <v>0.254</v>
      </c>
    </row>
    <row r="370" spans="1:8" x14ac:dyDescent="0.35">
      <c r="A370">
        <v>12</v>
      </c>
      <c r="B370">
        <v>52</v>
      </c>
      <c r="C370" t="s">
        <v>59</v>
      </c>
      <c r="D370" t="s">
        <v>11</v>
      </c>
      <c r="E370" t="s">
        <v>17</v>
      </c>
      <c r="F370">
        <v>63</v>
      </c>
      <c r="G370">
        <v>0.76</v>
      </c>
      <c r="H370">
        <v>0.62434994199549254</v>
      </c>
    </row>
    <row r="371" spans="1:8" x14ac:dyDescent="0.35">
      <c r="A371">
        <v>12</v>
      </c>
      <c r="B371">
        <v>52</v>
      </c>
      <c r="C371" t="s">
        <v>59</v>
      </c>
      <c r="D371" t="s">
        <v>11</v>
      </c>
      <c r="E371" t="s">
        <v>15</v>
      </c>
      <c r="F371">
        <v>63</v>
      </c>
      <c r="G371">
        <v>0.621</v>
      </c>
      <c r="H371">
        <v>1.065121006562489</v>
      </c>
    </row>
    <row r="372" spans="1:8" x14ac:dyDescent="0.35">
      <c r="A372">
        <v>18</v>
      </c>
      <c r="B372">
        <v>52</v>
      </c>
      <c r="C372" t="s">
        <v>59</v>
      </c>
      <c r="D372" t="s">
        <v>11</v>
      </c>
      <c r="E372" t="s">
        <v>19</v>
      </c>
      <c r="F372">
        <v>62</v>
      </c>
      <c r="G372">
        <v>0.58199999999999996</v>
      </c>
      <c r="H372">
        <v>0.26</v>
      </c>
    </row>
    <row r="373" spans="1:8" x14ac:dyDescent="0.35">
      <c r="A373">
        <v>335</v>
      </c>
      <c r="B373">
        <v>52</v>
      </c>
      <c r="C373" t="s">
        <v>59</v>
      </c>
      <c r="D373" t="s">
        <v>10</v>
      </c>
      <c r="E373" t="s">
        <v>19</v>
      </c>
      <c r="F373">
        <v>32</v>
      </c>
      <c r="G373">
        <v>90</v>
      </c>
      <c r="H373">
        <v>12.1</v>
      </c>
    </row>
    <row r="374" spans="1:8" x14ac:dyDescent="0.35">
      <c r="A374">
        <v>334</v>
      </c>
      <c r="B374">
        <v>52</v>
      </c>
      <c r="C374" t="s">
        <v>59</v>
      </c>
      <c r="D374" t="s">
        <v>8</v>
      </c>
      <c r="E374" t="s">
        <v>19</v>
      </c>
      <c r="F374">
        <v>30</v>
      </c>
      <c r="G374">
        <v>81</v>
      </c>
      <c r="H374">
        <v>18.38</v>
      </c>
    </row>
    <row r="375" spans="1:8" x14ac:dyDescent="0.35">
      <c r="A375">
        <v>184</v>
      </c>
      <c r="B375">
        <v>52</v>
      </c>
      <c r="C375" t="s">
        <v>59</v>
      </c>
      <c r="D375" t="s">
        <v>8</v>
      </c>
      <c r="E375" t="s">
        <v>13</v>
      </c>
      <c r="F375">
        <v>30</v>
      </c>
      <c r="G375">
        <v>2.2999999999999998</v>
      </c>
      <c r="H375">
        <v>3.06</v>
      </c>
    </row>
    <row r="376" spans="1:8" x14ac:dyDescent="0.35">
      <c r="A376">
        <v>524</v>
      </c>
      <c r="B376">
        <v>52</v>
      </c>
      <c r="C376" t="s">
        <v>59</v>
      </c>
      <c r="D376" t="s">
        <v>8</v>
      </c>
      <c r="E376" t="s">
        <v>15</v>
      </c>
      <c r="F376">
        <v>30</v>
      </c>
      <c r="G376">
        <v>1</v>
      </c>
      <c r="H376">
        <v>15.41</v>
      </c>
    </row>
    <row r="377" spans="1:8" x14ac:dyDescent="0.35">
      <c r="A377">
        <v>468</v>
      </c>
      <c r="B377">
        <v>53</v>
      </c>
      <c r="C377" t="s">
        <v>60</v>
      </c>
      <c r="D377" t="s">
        <v>10</v>
      </c>
      <c r="E377" t="s">
        <v>9</v>
      </c>
      <c r="F377">
        <v>49</v>
      </c>
      <c r="G377">
        <v>5.9</v>
      </c>
      <c r="H377">
        <v>1.3</v>
      </c>
    </row>
    <row r="378" spans="1:8" x14ac:dyDescent="0.35">
      <c r="A378">
        <v>20</v>
      </c>
      <c r="B378">
        <v>53</v>
      </c>
      <c r="C378" t="s">
        <v>60</v>
      </c>
      <c r="D378" t="s">
        <v>39</v>
      </c>
      <c r="E378" t="s">
        <v>13</v>
      </c>
      <c r="F378">
        <v>96</v>
      </c>
      <c r="G378">
        <v>7.0999999999999994E-2</v>
      </c>
      <c r="H378">
        <v>0.20399999999999999</v>
      </c>
    </row>
    <row r="379" spans="1:8" x14ac:dyDescent="0.35">
      <c r="A379">
        <v>16</v>
      </c>
      <c r="B379">
        <v>53</v>
      </c>
      <c r="C379" t="s">
        <v>60</v>
      </c>
      <c r="D379" t="s">
        <v>39</v>
      </c>
      <c r="E379" t="s">
        <v>16</v>
      </c>
      <c r="F379">
        <v>97</v>
      </c>
      <c r="G379">
        <v>1.389</v>
      </c>
      <c r="H379">
        <v>0.50651791249408906</v>
      </c>
    </row>
    <row r="380" spans="1:8" x14ac:dyDescent="0.35">
      <c r="A380">
        <v>94</v>
      </c>
      <c r="B380">
        <v>53</v>
      </c>
      <c r="C380" t="s">
        <v>60</v>
      </c>
      <c r="D380" t="s">
        <v>10</v>
      </c>
      <c r="E380" t="s">
        <v>27</v>
      </c>
      <c r="F380">
        <v>49</v>
      </c>
      <c r="G380">
        <v>78</v>
      </c>
      <c r="H380">
        <v>18</v>
      </c>
    </row>
    <row r="381" spans="1:8" x14ac:dyDescent="0.35">
      <c r="A381">
        <v>186</v>
      </c>
      <c r="B381">
        <v>53</v>
      </c>
      <c r="C381" t="s">
        <v>60</v>
      </c>
      <c r="D381" t="s">
        <v>10</v>
      </c>
      <c r="E381" t="s">
        <v>13</v>
      </c>
      <c r="F381">
        <v>49</v>
      </c>
      <c r="G381">
        <v>1.9</v>
      </c>
      <c r="H381">
        <v>1.7</v>
      </c>
    </row>
    <row r="382" spans="1:8" x14ac:dyDescent="0.35">
      <c r="A382">
        <v>95</v>
      </c>
      <c r="B382">
        <v>53</v>
      </c>
      <c r="C382" t="s">
        <v>60</v>
      </c>
      <c r="D382" t="s">
        <v>28</v>
      </c>
      <c r="E382" t="s">
        <v>27</v>
      </c>
      <c r="F382">
        <v>47</v>
      </c>
      <c r="G382">
        <v>82</v>
      </c>
      <c r="H382">
        <v>14</v>
      </c>
    </row>
    <row r="383" spans="1:8" x14ac:dyDescent="0.35">
      <c r="A383">
        <v>16</v>
      </c>
      <c r="B383">
        <v>53</v>
      </c>
      <c r="C383" t="s">
        <v>60</v>
      </c>
      <c r="D383" t="s">
        <v>39</v>
      </c>
      <c r="E383" t="s">
        <v>14</v>
      </c>
      <c r="F383">
        <v>97</v>
      </c>
      <c r="G383">
        <v>0.95899999999999996</v>
      </c>
      <c r="H383">
        <v>2.010394180007987</v>
      </c>
    </row>
    <row r="384" spans="1:8" x14ac:dyDescent="0.35">
      <c r="A384">
        <v>589</v>
      </c>
      <c r="B384">
        <v>53</v>
      </c>
      <c r="C384" t="s">
        <v>60</v>
      </c>
      <c r="D384" t="s">
        <v>28</v>
      </c>
      <c r="E384" t="s">
        <v>14</v>
      </c>
      <c r="F384">
        <v>47</v>
      </c>
      <c r="G384">
        <v>0</v>
      </c>
      <c r="H384">
        <v>1.49</v>
      </c>
    </row>
    <row r="385" spans="1:8" x14ac:dyDescent="0.35">
      <c r="A385">
        <v>469</v>
      </c>
      <c r="B385">
        <v>53</v>
      </c>
      <c r="C385" t="s">
        <v>60</v>
      </c>
      <c r="D385" t="s">
        <v>28</v>
      </c>
      <c r="E385" t="s">
        <v>9</v>
      </c>
      <c r="F385">
        <v>47</v>
      </c>
      <c r="G385">
        <v>6</v>
      </c>
      <c r="H385">
        <v>1.5</v>
      </c>
    </row>
    <row r="386" spans="1:8" x14ac:dyDescent="0.35">
      <c r="A386">
        <v>11</v>
      </c>
      <c r="B386">
        <v>53</v>
      </c>
      <c r="C386" t="s">
        <v>60</v>
      </c>
      <c r="D386" t="s">
        <v>39</v>
      </c>
      <c r="E386" t="s">
        <v>27</v>
      </c>
      <c r="F386">
        <v>96</v>
      </c>
      <c r="G386">
        <v>0.247</v>
      </c>
      <c r="H386">
        <v>0.20499999999999999</v>
      </c>
    </row>
    <row r="387" spans="1:8" x14ac:dyDescent="0.35">
      <c r="A387">
        <v>588</v>
      </c>
      <c r="B387">
        <v>53</v>
      </c>
      <c r="C387" t="s">
        <v>60</v>
      </c>
      <c r="D387" t="s">
        <v>10</v>
      </c>
      <c r="E387" t="s">
        <v>14</v>
      </c>
      <c r="F387">
        <v>49</v>
      </c>
      <c r="G387">
        <v>0</v>
      </c>
      <c r="H387">
        <v>2.12</v>
      </c>
    </row>
    <row r="388" spans="1:8" x14ac:dyDescent="0.35">
      <c r="A388">
        <v>410</v>
      </c>
      <c r="B388">
        <v>53</v>
      </c>
      <c r="C388" t="s">
        <v>60</v>
      </c>
      <c r="D388" t="s">
        <v>10</v>
      </c>
      <c r="E388" t="s">
        <v>16</v>
      </c>
      <c r="F388">
        <v>49</v>
      </c>
      <c r="G388">
        <v>11</v>
      </c>
      <c r="H388">
        <v>2.12</v>
      </c>
    </row>
    <row r="389" spans="1:8" x14ac:dyDescent="0.35">
      <c r="A389">
        <v>14</v>
      </c>
      <c r="B389">
        <v>53</v>
      </c>
      <c r="C389" t="s">
        <v>60</v>
      </c>
      <c r="D389" t="s">
        <v>39</v>
      </c>
      <c r="E389" t="s">
        <v>9</v>
      </c>
      <c r="F389">
        <v>96</v>
      </c>
      <c r="G389">
        <v>7.0999999999999994E-2</v>
      </c>
      <c r="H389">
        <v>0.20399999999999999</v>
      </c>
    </row>
    <row r="390" spans="1:8" x14ac:dyDescent="0.35">
      <c r="A390">
        <v>187</v>
      </c>
      <c r="B390">
        <v>53</v>
      </c>
      <c r="C390" t="s">
        <v>60</v>
      </c>
      <c r="D390" t="s">
        <v>28</v>
      </c>
      <c r="E390" t="s">
        <v>13</v>
      </c>
      <c r="F390">
        <v>47</v>
      </c>
      <c r="G390">
        <v>1.8</v>
      </c>
      <c r="H390">
        <v>1</v>
      </c>
    </row>
    <row r="391" spans="1:8" x14ac:dyDescent="0.35">
      <c r="A391">
        <v>411</v>
      </c>
      <c r="B391">
        <v>53</v>
      </c>
      <c r="C391" t="s">
        <v>60</v>
      </c>
      <c r="D391" t="s">
        <v>28</v>
      </c>
      <c r="E391" t="s">
        <v>16</v>
      </c>
      <c r="F391">
        <v>47</v>
      </c>
      <c r="G391">
        <v>8</v>
      </c>
      <c r="H391">
        <v>1.49</v>
      </c>
    </row>
    <row r="392" spans="1:8" x14ac:dyDescent="0.35">
      <c r="A392">
        <v>3</v>
      </c>
      <c r="B392">
        <v>54</v>
      </c>
      <c r="C392" t="s">
        <v>61</v>
      </c>
      <c r="D392" t="s">
        <v>11</v>
      </c>
      <c r="E392" t="s">
        <v>22</v>
      </c>
      <c r="F392">
        <v>40</v>
      </c>
      <c r="G392">
        <v>3.036</v>
      </c>
      <c r="H392">
        <v>0.74913582332759732</v>
      </c>
    </row>
    <row r="393" spans="1:8" x14ac:dyDescent="0.35">
      <c r="A393">
        <v>19</v>
      </c>
      <c r="B393">
        <v>54</v>
      </c>
      <c r="C393" t="s">
        <v>61</v>
      </c>
      <c r="D393" t="s">
        <v>11</v>
      </c>
      <c r="E393" t="s">
        <v>19</v>
      </c>
      <c r="F393">
        <v>39</v>
      </c>
      <c r="G393">
        <v>0.40699999999999997</v>
      </c>
      <c r="H393">
        <v>0.32400000000000001</v>
      </c>
    </row>
    <row r="394" spans="1:8" x14ac:dyDescent="0.35">
      <c r="A394">
        <v>11</v>
      </c>
      <c r="B394">
        <v>54</v>
      </c>
      <c r="C394" t="s">
        <v>61</v>
      </c>
      <c r="D394" t="s">
        <v>10</v>
      </c>
      <c r="E394" t="s">
        <v>22</v>
      </c>
      <c r="F394">
        <v>20</v>
      </c>
      <c r="G394">
        <v>3</v>
      </c>
      <c r="H394">
        <v>0.92</v>
      </c>
    </row>
    <row r="395" spans="1:8" x14ac:dyDescent="0.35">
      <c r="A395">
        <v>12</v>
      </c>
      <c r="B395">
        <v>54</v>
      </c>
      <c r="C395" t="s">
        <v>61</v>
      </c>
      <c r="D395" t="s">
        <v>11</v>
      </c>
      <c r="E395" t="s">
        <v>27</v>
      </c>
      <c r="F395">
        <v>39</v>
      </c>
      <c r="G395">
        <v>0.25</v>
      </c>
      <c r="H395">
        <v>0.32200000000000001</v>
      </c>
    </row>
    <row r="396" spans="1:8" x14ac:dyDescent="0.35">
      <c r="A396">
        <v>15</v>
      </c>
      <c r="B396">
        <v>54</v>
      </c>
      <c r="C396" t="s">
        <v>61</v>
      </c>
      <c r="D396" t="s">
        <v>11</v>
      </c>
      <c r="E396" t="s">
        <v>9</v>
      </c>
      <c r="F396">
        <v>39</v>
      </c>
      <c r="G396">
        <v>1.056</v>
      </c>
      <c r="H396">
        <v>0.34300000000000003</v>
      </c>
    </row>
    <row r="397" spans="1:8" x14ac:dyDescent="0.35">
      <c r="A397">
        <v>471</v>
      </c>
      <c r="B397">
        <v>54</v>
      </c>
      <c r="C397" t="s">
        <v>61</v>
      </c>
      <c r="D397" t="s">
        <v>10</v>
      </c>
      <c r="E397" t="s">
        <v>9</v>
      </c>
      <c r="F397">
        <v>20</v>
      </c>
      <c r="G397">
        <v>4</v>
      </c>
      <c r="H397">
        <v>0.8</v>
      </c>
    </row>
    <row r="398" spans="1:8" x14ac:dyDescent="0.35">
      <c r="A398">
        <v>10</v>
      </c>
      <c r="B398">
        <v>54</v>
      </c>
      <c r="C398" t="s">
        <v>61</v>
      </c>
      <c r="D398" t="s">
        <v>8</v>
      </c>
      <c r="E398" t="s">
        <v>22</v>
      </c>
      <c r="F398">
        <v>19</v>
      </c>
      <c r="G398">
        <v>7</v>
      </c>
      <c r="H398">
        <v>2.72</v>
      </c>
    </row>
    <row r="399" spans="1:8" x14ac:dyDescent="0.35">
      <c r="A399">
        <v>97</v>
      </c>
      <c r="B399">
        <v>54</v>
      </c>
      <c r="C399" t="s">
        <v>61</v>
      </c>
      <c r="D399" t="s">
        <v>10</v>
      </c>
      <c r="E399" t="s">
        <v>27</v>
      </c>
      <c r="F399">
        <v>20</v>
      </c>
      <c r="G399">
        <v>81.599999999999994</v>
      </c>
      <c r="H399">
        <v>11.9</v>
      </c>
    </row>
    <row r="400" spans="1:8" x14ac:dyDescent="0.35">
      <c r="A400">
        <v>337</v>
      </c>
      <c r="B400">
        <v>54</v>
      </c>
      <c r="C400" t="s">
        <v>61</v>
      </c>
      <c r="D400" t="s">
        <v>10</v>
      </c>
      <c r="E400" t="s">
        <v>19</v>
      </c>
      <c r="F400">
        <v>20</v>
      </c>
      <c r="G400">
        <v>88.6</v>
      </c>
      <c r="H400">
        <v>8.3000000000000007</v>
      </c>
    </row>
    <row r="401" spans="1:8" x14ac:dyDescent="0.35">
      <c r="A401">
        <v>21</v>
      </c>
      <c r="B401">
        <v>54</v>
      </c>
      <c r="C401" t="s">
        <v>61</v>
      </c>
      <c r="D401" t="s">
        <v>11</v>
      </c>
      <c r="E401" t="s">
        <v>13</v>
      </c>
      <c r="F401">
        <v>39</v>
      </c>
      <c r="G401">
        <v>1.1359999999999999</v>
      </c>
      <c r="H401">
        <v>0.34699999999999998</v>
      </c>
    </row>
    <row r="402" spans="1:8" x14ac:dyDescent="0.35">
      <c r="A402">
        <v>413</v>
      </c>
      <c r="B402">
        <v>54</v>
      </c>
      <c r="C402" t="s">
        <v>61</v>
      </c>
      <c r="D402" t="s">
        <v>10</v>
      </c>
      <c r="E402" t="s">
        <v>16</v>
      </c>
      <c r="F402">
        <v>20</v>
      </c>
      <c r="G402">
        <v>5</v>
      </c>
      <c r="H402">
        <v>1.64</v>
      </c>
    </row>
    <row r="403" spans="1:8" x14ac:dyDescent="0.35">
      <c r="A403">
        <v>591</v>
      </c>
      <c r="B403">
        <v>54</v>
      </c>
      <c r="C403" t="s">
        <v>61</v>
      </c>
      <c r="D403" t="s">
        <v>10</v>
      </c>
      <c r="E403" t="s">
        <v>14</v>
      </c>
      <c r="F403">
        <v>20</v>
      </c>
      <c r="G403">
        <v>5</v>
      </c>
      <c r="H403">
        <v>1.64</v>
      </c>
    </row>
    <row r="404" spans="1:8" x14ac:dyDescent="0.35">
      <c r="A404">
        <v>17</v>
      </c>
      <c r="B404">
        <v>54</v>
      </c>
      <c r="C404" t="s">
        <v>61</v>
      </c>
      <c r="D404" t="s">
        <v>11</v>
      </c>
      <c r="E404" t="s">
        <v>16</v>
      </c>
      <c r="F404">
        <v>40</v>
      </c>
      <c r="G404">
        <v>1.7050000000000001</v>
      </c>
      <c r="H404">
        <v>0.68202017210014776</v>
      </c>
    </row>
    <row r="405" spans="1:8" x14ac:dyDescent="0.35">
      <c r="A405">
        <v>189</v>
      </c>
      <c r="B405">
        <v>54</v>
      </c>
      <c r="C405" t="s">
        <v>61</v>
      </c>
      <c r="D405" t="s">
        <v>10</v>
      </c>
      <c r="E405" t="s">
        <v>13</v>
      </c>
      <c r="F405">
        <v>20</v>
      </c>
      <c r="G405">
        <v>1.5</v>
      </c>
      <c r="H405">
        <v>1.2</v>
      </c>
    </row>
    <row r="406" spans="1:8" x14ac:dyDescent="0.35">
      <c r="A406">
        <v>17</v>
      </c>
      <c r="B406">
        <v>54</v>
      </c>
      <c r="C406" t="s">
        <v>61</v>
      </c>
      <c r="D406" t="s">
        <v>11</v>
      </c>
      <c r="E406" t="s">
        <v>14</v>
      </c>
      <c r="F406">
        <v>40</v>
      </c>
      <c r="G406">
        <v>1.7050000000000001</v>
      </c>
      <c r="H406">
        <v>0.68202017210014776</v>
      </c>
    </row>
    <row r="407" spans="1:8" x14ac:dyDescent="0.35">
      <c r="A407">
        <v>412</v>
      </c>
      <c r="B407">
        <v>54</v>
      </c>
      <c r="C407" t="s">
        <v>61</v>
      </c>
      <c r="D407" t="s">
        <v>8</v>
      </c>
      <c r="E407" t="s">
        <v>16</v>
      </c>
      <c r="F407">
        <v>19</v>
      </c>
      <c r="G407">
        <v>7</v>
      </c>
      <c r="H407">
        <v>2.72</v>
      </c>
    </row>
    <row r="408" spans="1:8" x14ac:dyDescent="0.35">
      <c r="A408">
        <v>470</v>
      </c>
      <c r="B408">
        <v>54</v>
      </c>
      <c r="C408" t="s">
        <v>61</v>
      </c>
      <c r="D408" t="s">
        <v>8</v>
      </c>
      <c r="E408" t="s">
        <v>9</v>
      </c>
      <c r="F408">
        <v>19</v>
      </c>
      <c r="G408">
        <v>3</v>
      </c>
      <c r="H408">
        <v>1.08</v>
      </c>
    </row>
    <row r="409" spans="1:8" x14ac:dyDescent="0.35">
      <c r="A409">
        <v>96</v>
      </c>
      <c r="B409">
        <v>54</v>
      </c>
      <c r="C409" t="s">
        <v>61</v>
      </c>
      <c r="D409" t="s">
        <v>8</v>
      </c>
      <c r="E409" t="s">
        <v>27</v>
      </c>
      <c r="F409">
        <v>19</v>
      </c>
      <c r="G409">
        <v>78.400000000000006</v>
      </c>
      <c r="H409">
        <v>13.7</v>
      </c>
    </row>
    <row r="410" spans="1:8" x14ac:dyDescent="0.35">
      <c r="A410">
        <v>590</v>
      </c>
      <c r="B410">
        <v>54</v>
      </c>
      <c r="C410" t="s">
        <v>61</v>
      </c>
      <c r="D410" t="s">
        <v>8</v>
      </c>
      <c r="E410" t="s">
        <v>14</v>
      </c>
      <c r="F410">
        <v>19</v>
      </c>
      <c r="G410">
        <v>7</v>
      </c>
      <c r="H410">
        <v>2.72</v>
      </c>
    </row>
    <row r="411" spans="1:8" x14ac:dyDescent="0.35">
      <c r="A411">
        <v>336</v>
      </c>
      <c r="B411">
        <v>54</v>
      </c>
      <c r="C411" t="s">
        <v>61</v>
      </c>
      <c r="D411" t="s">
        <v>8</v>
      </c>
      <c r="E411" t="s">
        <v>19</v>
      </c>
      <c r="F411">
        <v>19</v>
      </c>
      <c r="G411">
        <v>84.8</v>
      </c>
      <c r="H411">
        <v>10.3</v>
      </c>
    </row>
    <row r="412" spans="1:8" x14ac:dyDescent="0.35">
      <c r="A412">
        <v>188</v>
      </c>
      <c r="B412">
        <v>54</v>
      </c>
      <c r="C412" t="s">
        <v>61</v>
      </c>
      <c r="D412" t="s">
        <v>8</v>
      </c>
      <c r="E412" t="s">
        <v>13</v>
      </c>
      <c r="F412">
        <v>19</v>
      </c>
      <c r="G412">
        <v>-0.1</v>
      </c>
      <c r="H412">
        <v>1.6</v>
      </c>
    </row>
    <row r="413" spans="1:8" x14ac:dyDescent="0.35">
      <c r="A413">
        <v>20</v>
      </c>
      <c r="B413">
        <v>55</v>
      </c>
      <c r="C413" t="s">
        <v>62</v>
      </c>
      <c r="D413" t="s">
        <v>11</v>
      </c>
      <c r="E413" t="s">
        <v>19</v>
      </c>
      <c r="F413">
        <v>31</v>
      </c>
      <c r="G413">
        <v>0.27300000000000002</v>
      </c>
      <c r="H413">
        <v>0.36299999999999999</v>
      </c>
    </row>
    <row r="414" spans="1:8" x14ac:dyDescent="0.35">
      <c r="A414">
        <v>99</v>
      </c>
      <c r="B414">
        <v>55</v>
      </c>
      <c r="C414" t="s">
        <v>62</v>
      </c>
      <c r="D414" t="s">
        <v>10</v>
      </c>
      <c r="E414" t="s">
        <v>27</v>
      </c>
      <c r="F414">
        <v>17</v>
      </c>
      <c r="G414">
        <v>73.099999999999994</v>
      </c>
      <c r="H414">
        <v>12.3</v>
      </c>
    </row>
    <row r="415" spans="1:8" x14ac:dyDescent="0.35">
      <c r="A415">
        <v>338</v>
      </c>
      <c r="B415">
        <v>55</v>
      </c>
      <c r="C415" t="s">
        <v>62</v>
      </c>
      <c r="D415" t="s">
        <v>8</v>
      </c>
      <c r="E415" t="s">
        <v>19</v>
      </c>
      <c r="F415">
        <v>14</v>
      </c>
      <c r="G415">
        <v>84</v>
      </c>
      <c r="H415">
        <v>13.47</v>
      </c>
    </row>
    <row r="416" spans="1:8" x14ac:dyDescent="0.35">
      <c r="A416">
        <v>527</v>
      </c>
      <c r="B416">
        <v>55</v>
      </c>
      <c r="C416" t="s">
        <v>62</v>
      </c>
      <c r="D416" t="s">
        <v>10</v>
      </c>
      <c r="E416" t="s">
        <v>15</v>
      </c>
      <c r="F416">
        <v>17</v>
      </c>
      <c r="G416">
        <v>0</v>
      </c>
      <c r="H416">
        <v>1.03</v>
      </c>
    </row>
    <row r="417" spans="1:8" x14ac:dyDescent="0.35">
      <c r="A417">
        <v>22</v>
      </c>
      <c r="B417">
        <v>55</v>
      </c>
      <c r="C417" t="s">
        <v>62</v>
      </c>
      <c r="D417" t="s">
        <v>11</v>
      </c>
      <c r="E417" t="s">
        <v>13</v>
      </c>
      <c r="F417">
        <v>31</v>
      </c>
      <c r="G417">
        <v>0.39600000000000002</v>
      </c>
      <c r="H417">
        <v>0.36499999999999999</v>
      </c>
    </row>
    <row r="418" spans="1:8" x14ac:dyDescent="0.35">
      <c r="A418">
        <v>191</v>
      </c>
      <c r="B418">
        <v>55</v>
      </c>
      <c r="C418" t="s">
        <v>62</v>
      </c>
      <c r="D418" t="s">
        <v>10</v>
      </c>
      <c r="E418" t="s">
        <v>13</v>
      </c>
      <c r="F418">
        <v>17</v>
      </c>
      <c r="G418">
        <v>3.1</v>
      </c>
      <c r="H418">
        <v>1.6</v>
      </c>
    </row>
    <row r="419" spans="1:8" x14ac:dyDescent="0.35">
      <c r="A419">
        <v>269</v>
      </c>
      <c r="B419">
        <v>55</v>
      </c>
      <c r="C419" t="s">
        <v>62</v>
      </c>
      <c r="D419" t="s">
        <v>10</v>
      </c>
      <c r="E419" t="s">
        <v>17</v>
      </c>
      <c r="F419">
        <v>17</v>
      </c>
      <c r="G419">
        <v>6</v>
      </c>
      <c r="H419">
        <v>1.03</v>
      </c>
    </row>
    <row r="420" spans="1:8" x14ac:dyDescent="0.35">
      <c r="A420">
        <v>339</v>
      </c>
      <c r="B420">
        <v>55</v>
      </c>
      <c r="C420" t="s">
        <v>62</v>
      </c>
      <c r="D420" t="s">
        <v>10</v>
      </c>
      <c r="E420" t="s">
        <v>19</v>
      </c>
      <c r="F420">
        <v>17</v>
      </c>
      <c r="G420">
        <v>80</v>
      </c>
      <c r="H420">
        <v>15.59</v>
      </c>
    </row>
    <row r="421" spans="1:8" x14ac:dyDescent="0.35">
      <c r="A421">
        <v>526</v>
      </c>
      <c r="B421">
        <v>55</v>
      </c>
      <c r="C421" t="s">
        <v>62</v>
      </c>
      <c r="D421" t="s">
        <v>8</v>
      </c>
      <c r="E421" t="s">
        <v>15</v>
      </c>
      <c r="F421">
        <v>14</v>
      </c>
      <c r="G421">
        <v>0</v>
      </c>
      <c r="H421">
        <v>1.68</v>
      </c>
    </row>
    <row r="422" spans="1:8" x14ac:dyDescent="0.35">
      <c r="A422">
        <v>98</v>
      </c>
      <c r="B422">
        <v>55</v>
      </c>
      <c r="C422" t="s">
        <v>62</v>
      </c>
      <c r="D422" t="s">
        <v>8</v>
      </c>
      <c r="E422" t="s">
        <v>27</v>
      </c>
      <c r="F422">
        <v>14</v>
      </c>
      <c r="G422">
        <v>71.900000000000006</v>
      </c>
      <c r="H422">
        <v>15.2</v>
      </c>
    </row>
    <row r="423" spans="1:8" x14ac:dyDescent="0.35">
      <c r="A423">
        <v>268</v>
      </c>
      <c r="B423">
        <v>55</v>
      </c>
      <c r="C423" t="s">
        <v>62</v>
      </c>
      <c r="D423" t="s">
        <v>8</v>
      </c>
      <c r="E423" t="s">
        <v>17</v>
      </c>
      <c r="F423">
        <v>14</v>
      </c>
      <c r="G423">
        <v>4</v>
      </c>
      <c r="H423">
        <v>1.68</v>
      </c>
    </row>
    <row r="424" spans="1:8" x14ac:dyDescent="0.35">
      <c r="A424">
        <v>13</v>
      </c>
      <c r="B424">
        <v>55</v>
      </c>
      <c r="C424" t="s">
        <v>62</v>
      </c>
      <c r="D424" t="s">
        <v>11</v>
      </c>
      <c r="E424" t="s">
        <v>27</v>
      </c>
      <c r="F424">
        <v>31</v>
      </c>
      <c r="G424">
        <v>8.7999999999999995E-2</v>
      </c>
      <c r="H424">
        <v>0.36099999999999999</v>
      </c>
    </row>
    <row r="425" spans="1:8" x14ac:dyDescent="0.35">
      <c r="A425">
        <v>13</v>
      </c>
      <c r="B425">
        <v>55</v>
      </c>
      <c r="C425" t="s">
        <v>62</v>
      </c>
      <c r="D425" t="s">
        <v>11</v>
      </c>
      <c r="E425" t="s">
        <v>17</v>
      </c>
      <c r="F425">
        <v>32</v>
      </c>
      <c r="G425">
        <v>0.76200000000000001</v>
      </c>
      <c r="H425">
        <v>0.7529790614469084</v>
      </c>
    </row>
    <row r="426" spans="1:8" x14ac:dyDescent="0.35">
      <c r="A426">
        <v>190</v>
      </c>
      <c r="B426">
        <v>55</v>
      </c>
      <c r="C426" t="s">
        <v>62</v>
      </c>
      <c r="D426" t="s">
        <v>8</v>
      </c>
      <c r="E426" t="s">
        <v>13</v>
      </c>
      <c r="F426">
        <v>14</v>
      </c>
      <c r="G426">
        <v>3.7</v>
      </c>
      <c r="H426">
        <v>1.4</v>
      </c>
    </row>
    <row r="427" spans="1:8" x14ac:dyDescent="0.35">
      <c r="A427">
        <v>13</v>
      </c>
      <c r="B427">
        <v>55</v>
      </c>
      <c r="C427" t="s">
        <v>62</v>
      </c>
      <c r="D427" t="s">
        <v>11</v>
      </c>
      <c r="E427" t="s">
        <v>15</v>
      </c>
      <c r="F427">
        <v>32</v>
      </c>
      <c r="G427">
        <v>1.214</v>
      </c>
      <c r="H427">
        <v>2.0323021677005459</v>
      </c>
    </row>
    <row r="428" spans="1:8" x14ac:dyDescent="0.35">
      <c r="A428">
        <v>415</v>
      </c>
      <c r="B428">
        <v>56</v>
      </c>
      <c r="C428" t="s">
        <v>63</v>
      </c>
      <c r="D428" t="s">
        <v>28</v>
      </c>
      <c r="E428" t="s">
        <v>16</v>
      </c>
      <c r="F428">
        <v>21</v>
      </c>
      <c r="G428">
        <v>8</v>
      </c>
      <c r="H428">
        <v>3</v>
      </c>
    </row>
    <row r="429" spans="1:8" x14ac:dyDescent="0.35">
      <c r="A429">
        <v>14</v>
      </c>
      <c r="B429">
        <v>56</v>
      </c>
      <c r="C429" t="s">
        <v>63</v>
      </c>
      <c r="D429" t="s">
        <v>26</v>
      </c>
      <c r="E429" t="s">
        <v>27</v>
      </c>
      <c r="F429">
        <v>39</v>
      </c>
      <c r="G429">
        <v>6.8000000000000005E-2</v>
      </c>
      <c r="H429">
        <v>0.32100000000000001</v>
      </c>
    </row>
    <row r="430" spans="1:8" x14ac:dyDescent="0.35">
      <c r="A430">
        <v>101</v>
      </c>
      <c r="B430">
        <v>56</v>
      </c>
      <c r="C430" t="s">
        <v>63</v>
      </c>
      <c r="D430" t="s">
        <v>28</v>
      </c>
      <c r="E430" t="s">
        <v>27</v>
      </c>
      <c r="F430">
        <v>21</v>
      </c>
      <c r="G430">
        <v>76</v>
      </c>
      <c r="H430">
        <v>16</v>
      </c>
    </row>
    <row r="431" spans="1:8" x14ac:dyDescent="0.35">
      <c r="A431">
        <v>193</v>
      </c>
      <c r="B431">
        <v>56</v>
      </c>
      <c r="C431" t="s">
        <v>63</v>
      </c>
      <c r="D431" t="s">
        <v>28</v>
      </c>
      <c r="E431" t="s">
        <v>13</v>
      </c>
      <c r="F431">
        <v>21</v>
      </c>
      <c r="G431">
        <v>0.8</v>
      </c>
      <c r="H431">
        <v>1.7</v>
      </c>
    </row>
    <row r="432" spans="1:8" x14ac:dyDescent="0.35">
      <c r="A432">
        <v>592</v>
      </c>
      <c r="B432">
        <v>56</v>
      </c>
      <c r="C432" t="s">
        <v>63</v>
      </c>
      <c r="D432" t="s">
        <v>8</v>
      </c>
      <c r="E432" t="s">
        <v>14</v>
      </c>
      <c r="F432">
        <v>18</v>
      </c>
      <c r="G432">
        <v>3</v>
      </c>
      <c r="H432">
        <v>0.99</v>
      </c>
    </row>
    <row r="433" spans="1:8" x14ac:dyDescent="0.35">
      <c r="A433">
        <v>593</v>
      </c>
      <c r="B433">
        <v>56</v>
      </c>
      <c r="C433" t="s">
        <v>63</v>
      </c>
      <c r="D433" t="s">
        <v>28</v>
      </c>
      <c r="E433" t="s">
        <v>14</v>
      </c>
      <c r="F433">
        <v>21</v>
      </c>
      <c r="G433">
        <v>8</v>
      </c>
      <c r="H433">
        <v>3</v>
      </c>
    </row>
    <row r="434" spans="1:8" x14ac:dyDescent="0.35">
      <c r="A434">
        <v>100</v>
      </c>
      <c r="B434">
        <v>56</v>
      </c>
      <c r="C434" t="s">
        <v>63</v>
      </c>
      <c r="D434" t="s">
        <v>8</v>
      </c>
      <c r="E434" t="s">
        <v>27</v>
      </c>
      <c r="F434">
        <v>18</v>
      </c>
      <c r="G434">
        <v>75</v>
      </c>
      <c r="H434">
        <v>13</v>
      </c>
    </row>
    <row r="435" spans="1:8" x14ac:dyDescent="0.35">
      <c r="A435">
        <v>192</v>
      </c>
      <c r="B435">
        <v>56</v>
      </c>
      <c r="C435" t="s">
        <v>63</v>
      </c>
      <c r="D435" t="s">
        <v>8</v>
      </c>
      <c r="E435" t="s">
        <v>13</v>
      </c>
      <c r="F435">
        <v>18</v>
      </c>
      <c r="G435">
        <v>1.1000000000000001</v>
      </c>
      <c r="H435">
        <v>1.4</v>
      </c>
    </row>
    <row r="436" spans="1:8" x14ac:dyDescent="0.35">
      <c r="A436">
        <v>414</v>
      </c>
      <c r="B436">
        <v>56</v>
      </c>
      <c r="C436" t="s">
        <v>63</v>
      </c>
      <c r="D436" t="s">
        <v>8</v>
      </c>
      <c r="E436" t="s">
        <v>16</v>
      </c>
      <c r="F436">
        <v>18</v>
      </c>
      <c r="G436">
        <v>3</v>
      </c>
      <c r="H436">
        <v>0.99</v>
      </c>
    </row>
    <row r="437" spans="1:8" x14ac:dyDescent="0.35">
      <c r="A437">
        <v>23</v>
      </c>
      <c r="B437">
        <v>56</v>
      </c>
      <c r="C437" t="s">
        <v>63</v>
      </c>
      <c r="D437" t="s">
        <v>26</v>
      </c>
      <c r="E437" t="s">
        <v>13</v>
      </c>
      <c r="F437">
        <v>39</v>
      </c>
      <c r="G437">
        <v>0.191</v>
      </c>
      <c r="H437">
        <v>0.32200000000000001</v>
      </c>
    </row>
    <row r="438" spans="1:8" x14ac:dyDescent="0.35">
      <c r="A438">
        <v>18</v>
      </c>
      <c r="B438">
        <v>56</v>
      </c>
      <c r="C438" t="s">
        <v>63</v>
      </c>
      <c r="D438" t="s">
        <v>26</v>
      </c>
      <c r="E438" t="s">
        <v>16</v>
      </c>
      <c r="F438">
        <v>40</v>
      </c>
      <c r="G438">
        <v>0.35699999999999998</v>
      </c>
      <c r="H438">
        <v>0.73956141606195136</v>
      </c>
    </row>
    <row r="439" spans="1:8" x14ac:dyDescent="0.35">
      <c r="A439">
        <v>18</v>
      </c>
      <c r="B439">
        <v>56</v>
      </c>
      <c r="C439" t="s">
        <v>63</v>
      </c>
      <c r="D439" t="s">
        <v>26</v>
      </c>
      <c r="E439" t="s">
        <v>14</v>
      </c>
      <c r="F439">
        <v>40</v>
      </c>
      <c r="G439">
        <v>0.35699999999999998</v>
      </c>
      <c r="H439">
        <v>0.73956141606195136</v>
      </c>
    </row>
    <row r="440" spans="1:8" x14ac:dyDescent="0.35">
      <c r="A440">
        <v>19</v>
      </c>
      <c r="B440">
        <v>58</v>
      </c>
      <c r="C440" t="s">
        <v>64</v>
      </c>
      <c r="D440" t="s">
        <v>31</v>
      </c>
      <c r="E440" t="s">
        <v>14</v>
      </c>
      <c r="F440">
        <v>51</v>
      </c>
      <c r="G440">
        <v>1.347</v>
      </c>
      <c r="H440">
        <v>0.77524841245248677</v>
      </c>
    </row>
    <row r="441" spans="1:8" x14ac:dyDescent="0.35">
      <c r="A441">
        <v>19</v>
      </c>
      <c r="B441">
        <v>58</v>
      </c>
      <c r="C441" t="s">
        <v>64</v>
      </c>
      <c r="D441" t="s">
        <v>31</v>
      </c>
      <c r="E441" t="s">
        <v>16</v>
      </c>
      <c r="F441">
        <v>51</v>
      </c>
      <c r="G441">
        <v>1.347</v>
      </c>
      <c r="H441">
        <v>0.77524841245248677</v>
      </c>
    </row>
    <row r="442" spans="1:8" x14ac:dyDescent="0.35">
      <c r="A442">
        <v>14</v>
      </c>
      <c r="B442">
        <v>58</v>
      </c>
      <c r="C442" t="s">
        <v>64</v>
      </c>
      <c r="D442" t="s">
        <v>31</v>
      </c>
      <c r="E442" t="s">
        <v>15</v>
      </c>
      <c r="F442">
        <v>51</v>
      </c>
      <c r="G442">
        <v>1.464</v>
      </c>
      <c r="H442">
        <v>0.88014038200641398</v>
      </c>
    </row>
    <row r="443" spans="1:8" x14ac:dyDescent="0.35">
      <c r="A443">
        <v>14</v>
      </c>
      <c r="B443">
        <v>58</v>
      </c>
      <c r="C443" t="s">
        <v>64</v>
      </c>
      <c r="D443" t="s">
        <v>31</v>
      </c>
      <c r="E443" t="s">
        <v>17</v>
      </c>
      <c r="F443">
        <v>51</v>
      </c>
      <c r="G443">
        <v>1.464</v>
      </c>
      <c r="H443">
        <v>0.88014038200641398</v>
      </c>
    </row>
    <row r="444" spans="1:8" x14ac:dyDescent="0.35">
      <c r="A444">
        <v>15</v>
      </c>
      <c r="B444">
        <v>58</v>
      </c>
      <c r="C444" t="s">
        <v>64</v>
      </c>
      <c r="D444" t="s">
        <v>31</v>
      </c>
      <c r="E444" t="s">
        <v>27</v>
      </c>
      <c r="F444">
        <v>50</v>
      </c>
      <c r="G444">
        <v>0.53800000000000003</v>
      </c>
      <c r="H444">
        <v>0.28799999999999998</v>
      </c>
    </row>
    <row r="445" spans="1:8" x14ac:dyDescent="0.35">
      <c r="A445">
        <v>21</v>
      </c>
      <c r="B445">
        <v>58</v>
      </c>
      <c r="C445" t="s">
        <v>64</v>
      </c>
      <c r="D445" t="s">
        <v>31</v>
      </c>
      <c r="E445" t="s">
        <v>19</v>
      </c>
      <c r="F445">
        <v>50</v>
      </c>
      <c r="G445">
        <v>0.70399999999999996</v>
      </c>
      <c r="H445">
        <v>0.29199999999999998</v>
      </c>
    </row>
    <row r="446" spans="1:8" x14ac:dyDescent="0.35">
      <c r="A446">
        <v>594</v>
      </c>
      <c r="B446">
        <v>58</v>
      </c>
      <c r="C446" t="s">
        <v>64</v>
      </c>
      <c r="D446" t="s">
        <v>10</v>
      </c>
      <c r="E446" t="s">
        <v>14</v>
      </c>
      <c r="F446">
        <v>25</v>
      </c>
      <c r="G446">
        <v>4</v>
      </c>
      <c r="H446">
        <v>1.07</v>
      </c>
    </row>
    <row r="447" spans="1:8" x14ac:dyDescent="0.35">
      <c r="A447">
        <v>270</v>
      </c>
      <c r="B447">
        <v>58</v>
      </c>
      <c r="C447" t="s">
        <v>64</v>
      </c>
      <c r="D447" t="s">
        <v>10</v>
      </c>
      <c r="E447" t="s">
        <v>17</v>
      </c>
      <c r="F447">
        <v>25</v>
      </c>
      <c r="G447">
        <v>3</v>
      </c>
      <c r="H447">
        <v>0.8</v>
      </c>
    </row>
    <row r="448" spans="1:8" x14ac:dyDescent="0.35">
      <c r="A448">
        <v>528</v>
      </c>
      <c r="B448">
        <v>58</v>
      </c>
      <c r="C448" t="s">
        <v>64</v>
      </c>
      <c r="D448" t="s">
        <v>10</v>
      </c>
      <c r="E448" t="s">
        <v>15</v>
      </c>
      <c r="F448">
        <v>25</v>
      </c>
      <c r="G448">
        <v>3</v>
      </c>
      <c r="H448">
        <v>0.8</v>
      </c>
    </row>
    <row r="449" spans="1:8" x14ac:dyDescent="0.35">
      <c r="A449">
        <v>103</v>
      </c>
      <c r="B449">
        <v>58</v>
      </c>
      <c r="C449" t="s">
        <v>64</v>
      </c>
      <c r="D449" t="s">
        <v>32</v>
      </c>
      <c r="E449" t="s">
        <v>27</v>
      </c>
      <c r="F449">
        <v>25</v>
      </c>
      <c r="G449">
        <v>82.6</v>
      </c>
      <c r="H449">
        <v>6.3</v>
      </c>
    </row>
    <row r="450" spans="1:8" x14ac:dyDescent="0.35">
      <c r="A450">
        <v>343</v>
      </c>
      <c r="B450">
        <v>58</v>
      </c>
      <c r="C450" t="s">
        <v>64</v>
      </c>
      <c r="D450" t="s">
        <v>32</v>
      </c>
      <c r="E450" t="s">
        <v>19</v>
      </c>
      <c r="F450">
        <v>25</v>
      </c>
      <c r="G450">
        <v>89.4</v>
      </c>
      <c r="H450">
        <v>5.8</v>
      </c>
    </row>
    <row r="451" spans="1:8" x14ac:dyDescent="0.35">
      <c r="A451">
        <v>475</v>
      </c>
      <c r="B451">
        <v>58</v>
      </c>
      <c r="C451" t="s">
        <v>64</v>
      </c>
      <c r="D451" t="s">
        <v>32</v>
      </c>
      <c r="E451" t="s">
        <v>9</v>
      </c>
      <c r="F451">
        <v>25</v>
      </c>
      <c r="G451">
        <v>5.6</v>
      </c>
      <c r="H451">
        <v>0.9</v>
      </c>
    </row>
    <row r="452" spans="1:8" x14ac:dyDescent="0.35">
      <c r="A452">
        <v>197</v>
      </c>
      <c r="B452">
        <v>58</v>
      </c>
      <c r="C452" t="s">
        <v>64</v>
      </c>
      <c r="D452" t="s">
        <v>32</v>
      </c>
      <c r="E452" t="s">
        <v>13</v>
      </c>
      <c r="F452">
        <v>25</v>
      </c>
      <c r="G452">
        <v>1.8</v>
      </c>
      <c r="H452">
        <v>0.9</v>
      </c>
    </row>
    <row r="453" spans="1:8" x14ac:dyDescent="0.35">
      <c r="A453">
        <v>417</v>
      </c>
      <c r="B453">
        <v>58</v>
      </c>
      <c r="C453" t="s">
        <v>64</v>
      </c>
      <c r="D453" t="s">
        <v>32</v>
      </c>
      <c r="E453" t="s">
        <v>16</v>
      </c>
      <c r="F453">
        <v>25</v>
      </c>
      <c r="G453">
        <v>3</v>
      </c>
      <c r="H453">
        <v>0.8</v>
      </c>
    </row>
    <row r="454" spans="1:8" x14ac:dyDescent="0.35">
      <c r="A454">
        <v>595</v>
      </c>
      <c r="B454">
        <v>58</v>
      </c>
      <c r="C454" t="s">
        <v>64</v>
      </c>
      <c r="D454" t="s">
        <v>32</v>
      </c>
      <c r="E454" t="s">
        <v>14</v>
      </c>
      <c r="F454">
        <v>25</v>
      </c>
      <c r="G454">
        <v>3</v>
      </c>
      <c r="H454">
        <v>0.8</v>
      </c>
    </row>
    <row r="455" spans="1:8" x14ac:dyDescent="0.35">
      <c r="A455">
        <v>271</v>
      </c>
      <c r="B455">
        <v>58</v>
      </c>
      <c r="C455" t="s">
        <v>64</v>
      </c>
      <c r="D455" t="s">
        <v>32</v>
      </c>
      <c r="E455" t="s">
        <v>17</v>
      </c>
      <c r="F455">
        <v>25</v>
      </c>
      <c r="G455">
        <v>2</v>
      </c>
      <c r="H455">
        <v>0.54</v>
      </c>
    </row>
    <row r="456" spans="1:8" x14ac:dyDescent="0.35">
      <c r="A456">
        <v>529</v>
      </c>
      <c r="B456">
        <v>58</v>
      </c>
      <c r="C456" t="s">
        <v>64</v>
      </c>
      <c r="D456" t="s">
        <v>32</v>
      </c>
      <c r="E456" t="s">
        <v>15</v>
      </c>
      <c r="F456">
        <v>25</v>
      </c>
      <c r="G456">
        <v>2</v>
      </c>
      <c r="H456">
        <v>0.54</v>
      </c>
    </row>
    <row r="457" spans="1:8" x14ac:dyDescent="0.35">
      <c r="A457">
        <v>342</v>
      </c>
      <c r="B457">
        <v>58</v>
      </c>
      <c r="C457" t="s">
        <v>64</v>
      </c>
      <c r="D457" t="s">
        <v>10</v>
      </c>
      <c r="E457" t="s">
        <v>19</v>
      </c>
      <c r="F457">
        <v>25</v>
      </c>
      <c r="G457">
        <v>85.1</v>
      </c>
      <c r="H457">
        <v>6.4</v>
      </c>
    </row>
    <row r="458" spans="1:8" x14ac:dyDescent="0.35">
      <c r="A458">
        <v>474</v>
      </c>
      <c r="B458">
        <v>58</v>
      </c>
      <c r="C458" t="s">
        <v>64</v>
      </c>
      <c r="D458" t="s">
        <v>10</v>
      </c>
      <c r="E458" t="s">
        <v>9</v>
      </c>
      <c r="F458">
        <v>25</v>
      </c>
      <c r="G458">
        <v>5.0999999999999996</v>
      </c>
      <c r="H458">
        <v>1</v>
      </c>
    </row>
    <row r="459" spans="1:8" x14ac:dyDescent="0.35">
      <c r="A459">
        <v>24</v>
      </c>
      <c r="B459">
        <v>58</v>
      </c>
      <c r="C459" t="s">
        <v>64</v>
      </c>
      <c r="D459" t="s">
        <v>31</v>
      </c>
      <c r="E459" t="s">
        <v>13</v>
      </c>
      <c r="F459">
        <v>50</v>
      </c>
      <c r="G459">
        <v>0.315</v>
      </c>
      <c r="H459">
        <v>0.28499999999999998</v>
      </c>
    </row>
    <row r="460" spans="1:8" x14ac:dyDescent="0.35">
      <c r="A460">
        <v>196</v>
      </c>
      <c r="B460">
        <v>58</v>
      </c>
      <c r="C460" t="s">
        <v>64</v>
      </c>
      <c r="D460" t="s">
        <v>10</v>
      </c>
      <c r="E460" t="s">
        <v>13</v>
      </c>
      <c r="F460">
        <v>25</v>
      </c>
      <c r="G460">
        <v>2.1</v>
      </c>
      <c r="H460">
        <v>1</v>
      </c>
    </row>
    <row r="461" spans="1:8" x14ac:dyDescent="0.35">
      <c r="A461">
        <v>416</v>
      </c>
      <c r="B461">
        <v>58</v>
      </c>
      <c r="C461" t="s">
        <v>64</v>
      </c>
      <c r="D461" t="s">
        <v>10</v>
      </c>
      <c r="E461" t="s">
        <v>16</v>
      </c>
      <c r="F461">
        <v>25</v>
      </c>
      <c r="G461">
        <v>4</v>
      </c>
      <c r="H461">
        <v>1.07</v>
      </c>
    </row>
    <row r="462" spans="1:8" x14ac:dyDescent="0.35">
      <c r="A462">
        <v>16</v>
      </c>
      <c r="B462">
        <v>58</v>
      </c>
      <c r="C462" t="s">
        <v>64</v>
      </c>
      <c r="D462" t="s">
        <v>31</v>
      </c>
      <c r="E462" t="s">
        <v>9</v>
      </c>
      <c r="F462">
        <v>50</v>
      </c>
      <c r="G462">
        <v>0.52600000000000002</v>
      </c>
      <c r="H462">
        <v>0.28799999999999998</v>
      </c>
    </row>
    <row r="463" spans="1:8" x14ac:dyDescent="0.35">
      <c r="A463">
        <v>102</v>
      </c>
      <c r="B463">
        <v>58</v>
      </c>
      <c r="C463" t="s">
        <v>64</v>
      </c>
      <c r="D463" t="s">
        <v>10</v>
      </c>
      <c r="E463" t="s">
        <v>27</v>
      </c>
      <c r="F463">
        <v>25</v>
      </c>
      <c r="G463">
        <v>78.900000000000006</v>
      </c>
      <c r="H463">
        <v>7.4</v>
      </c>
    </row>
    <row r="464" spans="1:8" x14ac:dyDescent="0.35">
      <c r="A464">
        <v>25</v>
      </c>
      <c r="B464">
        <v>62</v>
      </c>
      <c r="C464" t="s">
        <v>65</v>
      </c>
      <c r="D464" t="s">
        <v>11</v>
      </c>
      <c r="E464" t="s">
        <v>13</v>
      </c>
      <c r="F464">
        <v>72</v>
      </c>
      <c r="G464">
        <v>0.27900000000000003</v>
      </c>
      <c r="H464">
        <v>0.23699999999999999</v>
      </c>
    </row>
    <row r="465" spans="1:8" x14ac:dyDescent="0.35">
      <c r="A465">
        <v>199</v>
      </c>
      <c r="B465">
        <v>62</v>
      </c>
      <c r="C465" t="s">
        <v>65</v>
      </c>
      <c r="D465" t="s">
        <v>10</v>
      </c>
      <c r="E465" t="s">
        <v>13</v>
      </c>
      <c r="F465">
        <v>35</v>
      </c>
      <c r="G465">
        <v>1.7</v>
      </c>
      <c r="H465">
        <v>1.4</v>
      </c>
    </row>
    <row r="466" spans="1:8" x14ac:dyDescent="0.35">
      <c r="A466">
        <v>105</v>
      </c>
      <c r="B466">
        <v>62</v>
      </c>
      <c r="C466" t="s">
        <v>65</v>
      </c>
      <c r="D466" t="s">
        <v>10</v>
      </c>
      <c r="E466" t="s">
        <v>27</v>
      </c>
      <c r="F466">
        <v>35</v>
      </c>
      <c r="G466">
        <v>86.8</v>
      </c>
      <c r="H466">
        <v>8.3000000000000007</v>
      </c>
    </row>
    <row r="467" spans="1:8" x14ac:dyDescent="0.35">
      <c r="A467">
        <v>104</v>
      </c>
      <c r="B467">
        <v>62</v>
      </c>
      <c r="C467" t="s">
        <v>65</v>
      </c>
      <c r="D467" t="s">
        <v>8</v>
      </c>
      <c r="E467" t="s">
        <v>27</v>
      </c>
      <c r="F467">
        <v>37</v>
      </c>
      <c r="G467">
        <v>84.3</v>
      </c>
      <c r="H467">
        <v>11</v>
      </c>
    </row>
    <row r="468" spans="1:8" x14ac:dyDescent="0.35">
      <c r="A468">
        <v>198</v>
      </c>
      <c r="B468">
        <v>62</v>
      </c>
      <c r="C468" t="s">
        <v>65</v>
      </c>
      <c r="D468" t="s">
        <v>8</v>
      </c>
      <c r="E468" t="s">
        <v>13</v>
      </c>
      <c r="F468">
        <v>37</v>
      </c>
      <c r="G468">
        <v>1.2</v>
      </c>
      <c r="H468">
        <v>2.1</v>
      </c>
    </row>
    <row r="469" spans="1:8" x14ac:dyDescent="0.35">
      <c r="A469">
        <v>16</v>
      </c>
      <c r="B469">
        <v>62</v>
      </c>
      <c r="C469" t="s">
        <v>65</v>
      </c>
      <c r="D469" t="s">
        <v>11</v>
      </c>
      <c r="E469" t="s">
        <v>27</v>
      </c>
      <c r="F469">
        <v>72</v>
      </c>
      <c r="G469">
        <v>0.25600000000000001</v>
      </c>
      <c r="H469">
        <v>0.23699999999999999</v>
      </c>
    </row>
    <row r="470" spans="1:8" x14ac:dyDescent="0.35">
      <c r="A470">
        <v>12</v>
      </c>
      <c r="B470">
        <v>66</v>
      </c>
      <c r="C470" t="s">
        <v>66</v>
      </c>
      <c r="D470" t="s">
        <v>8</v>
      </c>
      <c r="E470" t="s">
        <v>22</v>
      </c>
      <c r="F470">
        <v>110</v>
      </c>
      <c r="G470">
        <v>19</v>
      </c>
      <c r="H470">
        <v>2.25</v>
      </c>
    </row>
    <row r="471" spans="1:8" x14ac:dyDescent="0.35">
      <c r="A471">
        <v>13</v>
      </c>
      <c r="B471">
        <v>66</v>
      </c>
      <c r="C471" t="s">
        <v>66</v>
      </c>
      <c r="D471" t="s">
        <v>10</v>
      </c>
      <c r="E471" t="s">
        <v>22</v>
      </c>
      <c r="F471">
        <v>110</v>
      </c>
      <c r="G471">
        <v>24</v>
      </c>
      <c r="H471">
        <v>2.99</v>
      </c>
    </row>
    <row r="472" spans="1:8" x14ac:dyDescent="0.35">
      <c r="A472">
        <v>4</v>
      </c>
      <c r="B472">
        <v>66</v>
      </c>
      <c r="C472" t="s">
        <v>66</v>
      </c>
      <c r="D472" t="s">
        <v>11</v>
      </c>
      <c r="E472" t="s">
        <v>22</v>
      </c>
      <c r="F472">
        <v>221</v>
      </c>
      <c r="G472">
        <v>0.752</v>
      </c>
      <c r="H472">
        <v>0.33869646555347849</v>
      </c>
    </row>
    <row r="473" spans="1:8" x14ac:dyDescent="0.35">
      <c r="A473">
        <v>22</v>
      </c>
      <c r="B473">
        <v>68</v>
      </c>
      <c r="C473" t="s">
        <v>67</v>
      </c>
      <c r="D473" t="s">
        <v>11</v>
      </c>
      <c r="E473" t="s">
        <v>19</v>
      </c>
      <c r="F473">
        <v>12</v>
      </c>
      <c r="G473">
        <v>0.24299999999999999</v>
      </c>
      <c r="H473">
        <v>0.57999999999999996</v>
      </c>
    </row>
    <row r="474" spans="1:8" x14ac:dyDescent="0.35">
      <c r="A474">
        <v>344</v>
      </c>
      <c r="B474">
        <v>68</v>
      </c>
      <c r="C474" t="s">
        <v>67</v>
      </c>
      <c r="D474" t="s">
        <v>8</v>
      </c>
      <c r="E474" t="s">
        <v>19</v>
      </c>
      <c r="F474">
        <v>6</v>
      </c>
      <c r="G474">
        <v>96</v>
      </c>
      <c r="H474">
        <v>3</v>
      </c>
    </row>
    <row r="475" spans="1:8" x14ac:dyDescent="0.35">
      <c r="A475">
        <v>17</v>
      </c>
      <c r="B475">
        <v>68</v>
      </c>
      <c r="C475" t="s">
        <v>67</v>
      </c>
      <c r="D475" t="s">
        <v>11</v>
      </c>
      <c r="E475" t="s">
        <v>27</v>
      </c>
      <c r="F475">
        <v>12</v>
      </c>
      <c r="G475">
        <v>0.23200000000000001</v>
      </c>
      <c r="H475">
        <v>0.57999999999999996</v>
      </c>
    </row>
    <row r="476" spans="1:8" x14ac:dyDescent="0.35">
      <c r="A476">
        <v>345</v>
      </c>
      <c r="B476">
        <v>68</v>
      </c>
      <c r="C476" t="s">
        <v>67</v>
      </c>
      <c r="D476" t="s">
        <v>10</v>
      </c>
      <c r="E476" t="s">
        <v>19</v>
      </c>
      <c r="F476">
        <v>6</v>
      </c>
      <c r="G476">
        <v>95</v>
      </c>
      <c r="H476">
        <v>5</v>
      </c>
    </row>
    <row r="477" spans="1:8" x14ac:dyDescent="0.35">
      <c r="A477">
        <v>106</v>
      </c>
      <c r="B477">
        <v>68</v>
      </c>
      <c r="C477" t="s">
        <v>67</v>
      </c>
      <c r="D477" t="s">
        <v>8</v>
      </c>
      <c r="E477" t="s">
        <v>27</v>
      </c>
      <c r="F477">
        <v>6</v>
      </c>
      <c r="G477">
        <v>92</v>
      </c>
      <c r="H477">
        <v>7</v>
      </c>
    </row>
    <row r="478" spans="1:8" x14ac:dyDescent="0.35">
      <c r="A478">
        <v>107</v>
      </c>
      <c r="B478">
        <v>68</v>
      </c>
      <c r="C478" t="s">
        <v>67</v>
      </c>
      <c r="D478" t="s">
        <v>10</v>
      </c>
      <c r="E478" t="s">
        <v>27</v>
      </c>
      <c r="F478">
        <v>6</v>
      </c>
      <c r="G478">
        <v>90</v>
      </c>
      <c r="H478">
        <v>10</v>
      </c>
    </row>
    <row r="479" spans="1:8" x14ac:dyDescent="0.35">
      <c r="A479">
        <v>17</v>
      </c>
      <c r="B479">
        <v>70</v>
      </c>
      <c r="C479" t="s">
        <v>68</v>
      </c>
      <c r="D479" t="s">
        <v>69</v>
      </c>
      <c r="E479" t="s">
        <v>9</v>
      </c>
      <c r="F479">
        <v>65</v>
      </c>
      <c r="G479">
        <v>0</v>
      </c>
      <c r="H479">
        <v>0.248</v>
      </c>
    </row>
    <row r="480" spans="1:8" x14ac:dyDescent="0.35">
      <c r="A480">
        <v>420</v>
      </c>
      <c r="B480">
        <v>70</v>
      </c>
      <c r="C480" t="s">
        <v>68</v>
      </c>
      <c r="D480" t="s">
        <v>10</v>
      </c>
      <c r="E480" t="s">
        <v>16</v>
      </c>
      <c r="F480">
        <v>33</v>
      </c>
      <c r="G480">
        <v>6</v>
      </c>
      <c r="H480">
        <v>1.38</v>
      </c>
    </row>
    <row r="481" spans="1:8" x14ac:dyDescent="0.35">
      <c r="A481">
        <v>478</v>
      </c>
      <c r="B481">
        <v>70</v>
      </c>
      <c r="C481" t="s">
        <v>68</v>
      </c>
      <c r="D481" t="s">
        <v>10</v>
      </c>
      <c r="E481" t="s">
        <v>9</v>
      </c>
      <c r="F481">
        <v>33</v>
      </c>
      <c r="G481">
        <v>6</v>
      </c>
      <c r="H481">
        <v>0.96</v>
      </c>
    </row>
    <row r="482" spans="1:8" x14ac:dyDescent="0.35">
      <c r="A482">
        <v>20</v>
      </c>
      <c r="B482">
        <v>70</v>
      </c>
      <c r="C482" t="s">
        <v>68</v>
      </c>
      <c r="D482" t="s">
        <v>69</v>
      </c>
      <c r="E482" t="s">
        <v>16</v>
      </c>
      <c r="F482">
        <v>66</v>
      </c>
      <c r="G482">
        <v>0.44</v>
      </c>
      <c r="H482">
        <v>0.57048993000873283</v>
      </c>
    </row>
    <row r="483" spans="1:8" x14ac:dyDescent="0.35">
      <c r="A483">
        <v>15</v>
      </c>
      <c r="B483">
        <v>70</v>
      </c>
      <c r="C483" t="s">
        <v>68</v>
      </c>
      <c r="D483" t="s">
        <v>69</v>
      </c>
      <c r="E483" t="s">
        <v>15</v>
      </c>
      <c r="F483">
        <v>66</v>
      </c>
      <c r="G483">
        <v>0.38800000000000001</v>
      </c>
      <c r="H483">
        <v>1.00901620948409</v>
      </c>
    </row>
    <row r="484" spans="1:8" x14ac:dyDescent="0.35">
      <c r="A484">
        <v>20</v>
      </c>
      <c r="B484">
        <v>70</v>
      </c>
      <c r="C484" t="s">
        <v>68</v>
      </c>
      <c r="D484" t="s">
        <v>69</v>
      </c>
      <c r="E484" t="s">
        <v>14</v>
      </c>
      <c r="F484">
        <v>66</v>
      </c>
      <c r="G484">
        <v>0.38800000000000001</v>
      </c>
      <c r="H484">
        <v>1.00901620948409</v>
      </c>
    </row>
    <row r="485" spans="1:8" x14ac:dyDescent="0.35">
      <c r="A485">
        <v>23</v>
      </c>
      <c r="B485">
        <v>70</v>
      </c>
      <c r="C485" t="s">
        <v>68</v>
      </c>
      <c r="D485" t="s">
        <v>69</v>
      </c>
      <c r="E485" t="s">
        <v>19</v>
      </c>
      <c r="F485">
        <v>65</v>
      </c>
      <c r="G485">
        <v>0.27600000000000002</v>
      </c>
      <c r="H485">
        <v>0.249</v>
      </c>
    </row>
    <row r="486" spans="1:8" x14ac:dyDescent="0.35">
      <c r="A486">
        <v>15</v>
      </c>
      <c r="B486">
        <v>70</v>
      </c>
      <c r="C486" t="s">
        <v>68</v>
      </c>
      <c r="D486" t="s">
        <v>69</v>
      </c>
      <c r="E486" t="s">
        <v>17</v>
      </c>
      <c r="F486">
        <v>66</v>
      </c>
      <c r="G486">
        <v>0.96299999999999997</v>
      </c>
      <c r="H486">
        <v>0.61902413780957144</v>
      </c>
    </row>
    <row r="487" spans="1:8" x14ac:dyDescent="0.35">
      <c r="A487">
        <v>537</v>
      </c>
      <c r="B487">
        <v>70</v>
      </c>
      <c r="C487" t="s">
        <v>68</v>
      </c>
      <c r="D487" t="s">
        <v>70</v>
      </c>
      <c r="E487" t="s">
        <v>15</v>
      </c>
      <c r="F487">
        <v>32</v>
      </c>
      <c r="G487">
        <v>3</v>
      </c>
      <c r="H487">
        <v>3.1</v>
      </c>
    </row>
    <row r="488" spans="1:8" x14ac:dyDescent="0.35">
      <c r="A488">
        <v>598</v>
      </c>
      <c r="B488">
        <v>70</v>
      </c>
      <c r="C488" t="s">
        <v>68</v>
      </c>
      <c r="D488" t="s">
        <v>10</v>
      </c>
      <c r="E488" t="s">
        <v>14</v>
      </c>
      <c r="F488">
        <v>33</v>
      </c>
      <c r="G488">
        <v>1</v>
      </c>
      <c r="H488">
        <v>1.38</v>
      </c>
    </row>
    <row r="489" spans="1:8" x14ac:dyDescent="0.35">
      <c r="A489">
        <v>599</v>
      </c>
      <c r="B489">
        <v>70</v>
      </c>
      <c r="C489" t="s">
        <v>68</v>
      </c>
      <c r="D489" t="s">
        <v>70</v>
      </c>
      <c r="E489" t="s">
        <v>14</v>
      </c>
      <c r="F489">
        <v>32</v>
      </c>
      <c r="G489">
        <v>3</v>
      </c>
      <c r="H489">
        <v>1.41</v>
      </c>
    </row>
    <row r="490" spans="1:8" x14ac:dyDescent="0.35">
      <c r="A490">
        <v>421</v>
      </c>
      <c r="B490">
        <v>70</v>
      </c>
      <c r="C490" t="s">
        <v>68</v>
      </c>
      <c r="D490" t="s">
        <v>70</v>
      </c>
      <c r="E490" t="s">
        <v>16</v>
      </c>
      <c r="F490">
        <v>32</v>
      </c>
      <c r="G490">
        <v>11</v>
      </c>
      <c r="H490">
        <v>1.41</v>
      </c>
    </row>
    <row r="491" spans="1:8" x14ac:dyDescent="0.35">
      <c r="A491">
        <v>347</v>
      </c>
      <c r="B491">
        <v>70</v>
      </c>
      <c r="C491" t="s">
        <v>68</v>
      </c>
      <c r="D491" t="s">
        <v>70</v>
      </c>
      <c r="E491" t="s">
        <v>19</v>
      </c>
      <c r="F491">
        <v>32</v>
      </c>
      <c r="G491">
        <v>99</v>
      </c>
      <c r="H491">
        <v>3.63</v>
      </c>
    </row>
    <row r="492" spans="1:8" x14ac:dyDescent="0.35">
      <c r="A492">
        <v>479</v>
      </c>
      <c r="B492">
        <v>70</v>
      </c>
      <c r="C492" t="s">
        <v>68</v>
      </c>
      <c r="D492" t="s">
        <v>70</v>
      </c>
      <c r="E492" t="s">
        <v>9</v>
      </c>
      <c r="F492">
        <v>32</v>
      </c>
      <c r="G492">
        <v>6</v>
      </c>
      <c r="H492">
        <v>1.21</v>
      </c>
    </row>
    <row r="493" spans="1:8" x14ac:dyDescent="0.35">
      <c r="A493">
        <v>346</v>
      </c>
      <c r="B493">
        <v>70</v>
      </c>
      <c r="C493" t="s">
        <v>68</v>
      </c>
      <c r="D493" t="s">
        <v>10</v>
      </c>
      <c r="E493" t="s">
        <v>19</v>
      </c>
      <c r="F493">
        <v>33</v>
      </c>
      <c r="G493">
        <v>98</v>
      </c>
      <c r="H493">
        <v>3.61</v>
      </c>
    </row>
    <row r="494" spans="1:8" x14ac:dyDescent="0.35">
      <c r="A494">
        <v>278</v>
      </c>
      <c r="B494">
        <v>70</v>
      </c>
      <c r="C494" t="s">
        <v>68</v>
      </c>
      <c r="D494" t="s">
        <v>10</v>
      </c>
      <c r="E494" t="s">
        <v>17</v>
      </c>
      <c r="F494">
        <v>33</v>
      </c>
      <c r="G494">
        <v>6</v>
      </c>
      <c r="H494">
        <v>1.38</v>
      </c>
    </row>
    <row r="495" spans="1:8" x14ac:dyDescent="0.35">
      <c r="A495">
        <v>279</v>
      </c>
      <c r="B495">
        <v>70</v>
      </c>
      <c r="C495" t="s">
        <v>68</v>
      </c>
      <c r="D495" t="s">
        <v>70</v>
      </c>
      <c r="E495" t="s">
        <v>17</v>
      </c>
      <c r="F495">
        <v>32</v>
      </c>
      <c r="G495">
        <v>6</v>
      </c>
      <c r="H495">
        <v>3.1</v>
      </c>
    </row>
    <row r="496" spans="1:8" x14ac:dyDescent="0.35">
      <c r="A496">
        <v>536</v>
      </c>
      <c r="B496">
        <v>70</v>
      </c>
      <c r="C496" t="s">
        <v>68</v>
      </c>
      <c r="D496" t="s">
        <v>10</v>
      </c>
      <c r="E496" t="s">
        <v>15</v>
      </c>
      <c r="F496">
        <v>33</v>
      </c>
      <c r="G496">
        <v>1</v>
      </c>
      <c r="H496">
        <v>1.38</v>
      </c>
    </row>
    <row r="497" spans="1:8" x14ac:dyDescent="0.35">
      <c r="A497">
        <v>24</v>
      </c>
      <c r="B497">
        <v>73</v>
      </c>
      <c r="C497" t="s">
        <v>71</v>
      </c>
      <c r="D497" t="s">
        <v>11</v>
      </c>
      <c r="E497" t="s">
        <v>19</v>
      </c>
      <c r="F497">
        <v>40</v>
      </c>
      <c r="G497">
        <v>0.47399999999999998</v>
      </c>
      <c r="H497">
        <v>0.32100000000000001</v>
      </c>
    </row>
    <row r="498" spans="1:8" x14ac:dyDescent="0.35">
      <c r="A498">
        <v>351</v>
      </c>
      <c r="B498">
        <v>73</v>
      </c>
      <c r="C498" t="s">
        <v>71</v>
      </c>
      <c r="D498" t="s">
        <v>10</v>
      </c>
      <c r="E498" t="s">
        <v>19</v>
      </c>
      <c r="F498">
        <v>20</v>
      </c>
      <c r="G498">
        <v>93.17</v>
      </c>
      <c r="H498">
        <v>10.3</v>
      </c>
    </row>
    <row r="499" spans="1:8" x14ac:dyDescent="0.35">
      <c r="A499">
        <v>109</v>
      </c>
      <c r="B499">
        <v>73</v>
      </c>
      <c r="C499" t="s">
        <v>71</v>
      </c>
      <c r="D499" t="s">
        <v>10</v>
      </c>
      <c r="E499" t="s">
        <v>27</v>
      </c>
      <c r="F499">
        <v>20</v>
      </c>
      <c r="G499">
        <v>90.97</v>
      </c>
      <c r="H499">
        <v>5.0999999999999996</v>
      </c>
    </row>
    <row r="500" spans="1:8" x14ac:dyDescent="0.35">
      <c r="A500">
        <v>108</v>
      </c>
      <c r="B500">
        <v>73</v>
      </c>
      <c r="C500" t="s">
        <v>71</v>
      </c>
      <c r="D500" t="s">
        <v>8</v>
      </c>
      <c r="E500" t="s">
        <v>27</v>
      </c>
      <c r="F500">
        <v>20</v>
      </c>
      <c r="G500">
        <v>86.9</v>
      </c>
      <c r="H500">
        <v>11.7</v>
      </c>
    </row>
    <row r="501" spans="1:8" x14ac:dyDescent="0.35">
      <c r="A501">
        <v>18</v>
      </c>
      <c r="B501">
        <v>73</v>
      </c>
      <c r="C501" t="s">
        <v>71</v>
      </c>
      <c r="D501" t="s">
        <v>11</v>
      </c>
      <c r="E501" t="s">
        <v>27</v>
      </c>
      <c r="F501">
        <v>40</v>
      </c>
      <c r="G501">
        <v>0.45100000000000001</v>
      </c>
      <c r="H501">
        <v>0.32</v>
      </c>
    </row>
    <row r="502" spans="1:8" x14ac:dyDescent="0.35">
      <c r="A502">
        <v>350</v>
      </c>
      <c r="B502">
        <v>73</v>
      </c>
      <c r="C502" t="s">
        <v>71</v>
      </c>
      <c r="D502" t="s">
        <v>8</v>
      </c>
      <c r="E502" t="s">
        <v>19</v>
      </c>
      <c r="F502">
        <v>20</v>
      </c>
      <c r="G502">
        <v>87.4</v>
      </c>
      <c r="H502">
        <v>13.8</v>
      </c>
    </row>
    <row r="503" spans="1:8" x14ac:dyDescent="0.35">
      <c r="A503">
        <v>16</v>
      </c>
      <c r="B503">
        <v>76</v>
      </c>
      <c r="C503" t="s">
        <v>72</v>
      </c>
      <c r="D503" t="s">
        <v>11</v>
      </c>
      <c r="E503" t="s">
        <v>15</v>
      </c>
      <c r="F503">
        <v>112</v>
      </c>
      <c r="G503">
        <v>0.35799999999999998</v>
      </c>
      <c r="H503">
        <v>1.64410414841764</v>
      </c>
    </row>
    <row r="504" spans="1:8" x14ac:dyDescent="0.35">
      <c r="A504">
        <v>20</v>
      </c>
      <c r="B504">
        <v>76</v>
      </c>
      <c r="C504" t="s">
        <v>72</v>
      </c>
      <c r="D504" t="s">
        <v>8</v>
      </c>
      <c r="E504" t="s">
        <v>22</v>
      </c>
      <c r="F504">
        <v>90</v>
      </c>
      <c r="G504">
        <v>7</v>
      </c>
      <c r="H504">
        <v>0.86</v>
      </c>
    </row>
    <row r="505" spans="1:8" x14ac:dyDescent="0.35">
      <c r="A505">
        <v>538</v>
      </c>
      <c r="B505">
        <v>76</v>
      </c>
      <c r="C505" t="s">
        <v>72</v>
      </c>
      <c r="D505" t="s">
        <v>8</v>
      </c>
      <c r="E505" t="s">
        <v>15</v>
      </c>
      <c r="F505">
        <v>53</v>
      </c>
      <c r="G505">
        <v>0</v>
      </c>
      <c r="H505">
        <v>1.78</v>
      </c>
    </row>
    <row r="506" spans="1:8" x14ac:dyDescent="0.35">
      <c r="A506">
        <v>280</v>
      </c>
      <c r="B506">
        <v>76</v>
      </c>
      <c r="C506" t="s">
        <v>72</v>
      </c>
      <c r="D506" t="s">
        <v>8</v>
      </c>
      <c r="E506" t="s">
        <v>17</v>
      </c>
      <c r="F506">
        <v>53</v>
      </c>
      <c r="G506">
        <v>10</v>
      </c>
      <c r="H506">
        <v>1.78</v>
      </c>
    </row>
    <row r="507" spans="1:8" x14ac:dyDescent="0.35">
      <c r="A507">
        <v>600</v>
      </c>
      <c r="B507">
        <v>76</v>
      </c>
      <c r="C507" t="s">
        <v>72</v>
      </c>
      <c r="D507" t="s">
        <v>8</v>
      </c>
      <c r="E507" t="s">
        <v>14</v>
      </c>
      <c r="F507">
        <v>53</v>
      </c>
      <c r="G507">
        <v>0</v>
      </c>
      <c r="H507">
        <v>0.83</v>
      </c>
    </row>
    <row r="508" spans="1:8" x14ac:dyDescent="0.35">
      <c r="A508">
        <v>422</v>
      </c>
      <c r="B508">
        <v>76</v>
      </c>
      <c r="C508" t="s">
        <v>72</v>
      </c>
      <c r="D508" t="s">
        <v>8</v>
      </c>
      <c r="E508" t="s">
        <v>16</v>
      </c>
      <c r="F508">
        <v>53</v>
      </c>
      <c r="G508">
        <v>5</v>
      </c>
      <c r="H508">
        <v>0.83</v>
      </c>
    </row>
    <row r="509" spans="1:8" x14ac:dyDescent="0.35">
      <c r="A509">
        <v>423</v>
      </c>
      <c r="B509">
        <v>76</v>
      </c>
      <c r="C509" t="s">
        <v>72</v>
      </c>
      <c r="D509" t="s">
        <v>10</v>
      </c>
      <c r="E509" t="s">
        <v>16</v>
      </c>
      <c r="F509">
        <v>58</v>
      </c>
      <c r="G509">
        <v>8</v>
      </c>
      <c r="H509">
        <v>1.3</v>
      </c>
    </row>
    <row r="510" spans="1:8" x14ac:dyDescent="0.35">
      <c r="A510">
        <v>26</v>
      </c>
      <c r="B510">
        <v>76</v>
      </c>
      <c r="C510" t="s">
        <v>72</v>
      </c>
      <c r="D510" t="s">
        <v>11</v>
      </c>
      <c r="E510" t="s">
        <v>13</v>
      </c>
      <c r="F510">
        <v>112</v>
      </c>
      <c r="G510">
        <v>0.247</v>
      </c>
      <c r="H510">
        <v>0.19</v>
      </c>
    </row>
    <row r="511" spans="1:8" x14ac:dyDescent="0.35">
      <c r="A511">
        <v>210</v>
      </c>
      <c r="B511">
        <v>76</v>
      </c>
      <c r="C511" t="s">
        <v>72</v>
      </c>
      <c r="D511" t="s">
        <v>8</v>
      </c>
      <c r="E511" t="s">
        <v>13</v>
      </c>
      <c r="F511">
        <v>54</v>
      </c>
      <c r="G511">
        <v>1.2</v>
      </c>
      <c r="H511">
        <v>1.69</v>
      </c>
    </row>
    <row r="512" spans="1:8" x14ac:dyDescent="0.35">
      <c r="A512">
        <v>601</v>
      </c>
      <c r="B512">
        <v>76</v>
      </c>
      <c r="C512" t="s">
        <v>72</v>
      </c>
      <c r="D512" t="s">
        <v>10</v>
      </c>
      <c r="E512" t="s">
        <v>14</v>
      </c>
      <c r="F512">
        <v>58</v>
      </c>
      <c r="G512">
        <v>0</v>
      </c>
      <c r="H512">
        <v>1.3</v>
      </c>
    </row>
    <row r="513" spans="1:8" x14ac:dyDescent="0.35">
      <c r="A513">
        <v>281</v>
      </c>
      <c r="B513">
        <v>76</v>
      </c>
      <c r="C513" t="s">
        <v>72</v>
      </c>
      <c r="D513" t="s">
        <v>10</v>
      </c>
      <c r="E513" t="s">
        <v>17</v>
      </c>
      <c r="F513">
        <v>58</v>
      </c>
      <c r="G513">
        <v>12</v>
      </c>
      <c r="H513">
        <v>2.0699999999999998</v>
      </c>
    </row>
    <row r="514" spans="1:8" x14ac:dyDescent="0.35">
      <c r="A514">
        <v>16</v>
      </c>
      <c r="B514">
        <v>76</v>
      </c>
      <c r="C514" t="s">
        <v>72</v>
      </c>
      <c r="D514" t="s">
        <v>11</v>
      </c>
      <c r="E514" t="s">
        <v>17</v>
      </c>
      <c r="F514">
        <v>112</v>
      </c>
      <c r="G514">
        <v>0.89900000000000002</v>
      </c>
      <c r="H514">
        <v>0.46928993130725288</v>
      </c>
    </row>
    <row r="515" spans="1:8" x14ac:dyDescent="0.35">
      <c r="A515">
        <v>21</v>
      </c>
      <c r="B515">
        <v>76</v>
      </c>
      <c r="C515" t="s">
        <v>72</v>
      </c>
      <c r="D515" t="s">
        <v>11</v>
      </c>
      <c r="E515" t="s">
        <v>14</v>
      </c>
      <c r="F515">
        <v>112</v>
      </c>
      <c r="G515">
        <v>1.0940000000000001</v>
      </c>
      <c r="H515">
        <v>2.0090070442481398</v>
      </c>
    </row>
    <row r="516" spans="1:8" x14ac:dyDescent="0.35">
      <c r="A516">
        <v>5</v>
      </c>
      <c r="B516">
        <v>76</v>
      </c>
      <c r="C516" t="s">
        <v>72</v>
      </c>
      <c r="D516" t="s">
        <v>11</v>
      </c>
      <c r="E516" t="s">
        <v>22</v>
      </c>
      <c r="F516">
        <v>181</v>
      </c>
      <c r="G516">
        <v>0.56399999999999995</v>
      </c>
      <c r="H516">
        <v>0.48805946248887588</v>
      </c>
    </row>
    <row r="517" spans="1:8" x14ac:dyDescent="0.35">
      <c r="A517">
        <v>21</v>
      </c>
      <c r="B517">
        <v>76</v>
      </c>
      <c r="C517" t="s">
        <v>72</v>
      </c>
      <c r="D517" t="s">
        <v>10</v>
      </c>
      <c r="E517" t="s">
        <v>22</v>
      </c>
      <c r="F517">
        <v>90</v>
      </c>
      <c r="G517">
        <v>12</v>
      </c>
      <c r="H517">
        <v>1.52</v>
      </c>
    </row>
    <row r="518" spans="1:8" x14ac:dyDescent="0.35">
      <c r="A518">
        <v>211</v>
      </c>
      <c r="B518">
        <v>76</v>
      </c>
      <c r="C518" t="s">
        <v>72</v>
      </c>
      <c r="D518" t="s">
        <v>10</v>
      </c>
      <c r="E518" t="s">
        <v>13</v>
      </c>
      <c r="F518">
        <v>58</v>
      </c>
      <c r="G518">
        <v>1.6</v>
      </c>
      <c r="H518">
        <v>1.55</v>
      </c>
    </row>
    <row r="519" spans="1:8" x14ac:dyDescent="0.35">
      <c r="A519">
        <v>539</v>
      </c>
      <c r="B519">
        <v>76</v>
      </c>
      <c r="C519" t="s">
        <v>72</v>
      </c>
      <c r="D519" t="s">
        <v>10</v>
      </c>
      <c r="E519" t="s">
        <v>15</v>
      </c>
      <c r="F519">
        <v>58</v>
      </c>
      <c r="G519">
        <v>1</v>
      </c>
      <c r="H519">
        <v>2.0699999999999998</v>
      </c>
    </row>
    <row r="520" spans="1:8" x14ac:dyDescent="0.35">
      <c r="A520">
        <v>21</v>
      </c>
      <c r="B520">
        <v>76</v>
      </c>
      <c r="C520" t="s">
        <v>72</v>
      </c>
      <c r="D520" t="s">
        <v>11</v>
      </c>
      <c r="E520" t="s">
        <v>16</v>
      </c>
      <c r="F520">
        <v>112</v>
      </c>
      <c r="G520">
        <v>0.67400000000000004</v>
      </c>
      <c r="H520">
        <v>0.58335115837293461</v>
      </c>
    </row>
    <row r="521" spans="1:8" x14ac:dyDescent="0.35">
      <c r="A521">
        <v>425</v>
      </c>
      <c r="B521">
        <v>77</v>
      </c>
      <c r="C521" t="s">
        <v>73</v>
      </c>
      <c r="D521" t="s">
        <v>10</v>
      </c>
      <c r="E521" t="s">
        <v>16</v>
      </c>
      <c r="F521">
        <v>33</v>
      </c>
      <c r="G521">
        <v>3</v>
      </c>
      <c r="H521">
        <v>0.09</v>
      </c>
    </row>
    <row r="522" spans="1:8" x14ac:dyDescent="0.35">
      <c r="A522">
        <v>17</v>
      </c>
      <c r="B522">
        <v>77</v>
      </c>
      <c r="C522" t="s">
        <v>73</v>
      </c>
      <c r="D522" t="s">
        <v>11</v>
      </c>
      <c r="E522" t="s">
        <v>17</v>
      </c>
      <c r="F522">
        <v>72</v>
      </c>
      <c r="G522">
        <v>6.7000000000000004E-2</v>
      </c>
      <c r="H522">
        <v>1.497948015455193</v>
      </c>
    </row>
    <row r="523" spans="1:8" x14ac:dyDescent="0.35">
      <c r="A523">
        <v>603</v>
      </c>
      <c r="B523">
        <v>77</v>
      </c>
      <c r="C523" t="s">
        <v>73</v>
      </c>
      <c r="D523" t="s">
        <v>10</v>
      </c>
      <c r="E523" t="s">
        <v>14</v>
      </c>
      <c r="F523">
        <v>33</v>
      </c>
      <c r="G523">
        <v>3</v>
      </c>
      <c r="H523">
        <v>0.09</v>
      </c>
    </row>
    <row r="524" spans="1:8" x14ac:dyDescent="0.35">
      <c r="A524">
        <v>6</v>
      </c>
      <c r="B524">
        <v>77</v>
      </c>
      <c r="C524" t="s">
        <v>73</v>
      </c>
      <c r="D524" t="s">
        <v>11</v>
      </c>
      <c r="E524" t="s">
        <v>22</v>
      </c>
      <c r="F524">
        <v>72</v>
      </c>
      <c r="G524">
        <v>0.64400000000000002</v>
      </c>
      <c r="H524">
        <v>0.75563926256423841</v>
      </c>
    </row>
    <row r="525" spans="1:8" x14ac:dyDescent="0.35">
      <c r="A525">
        <v>23</v>
      </c>
      <c r="B525">
        <v>77</v>
      </c>
      <c r="C525" t="s">
        <v>73</v>
      </c>
      <c r="D525" t="s">
        <v>10</v>
      </c>
      <c r="E525" t="s">
        <v>22</v>
      </c>
      <c r="F525">
        <v>33</v>
      </c>
      <c r="G525">
        <v>4</v>
      </c>
      <c r="H525">
        <v>0.89</v>
      </c>
    </row>
    <row r="526" spans="1:8" x14ac:dyDescent="0.35">
      <c r="A526">
        <v>541</v>
      </c>
      <c r="B526">
        <v>77</v>
      </c>
      <c r="C526" t="s">
        <v>73</v>
      </c>
      <c r="D526" t="s">
        <v>10</v>
      </c>
      <c r="E526" t="s">
        <v>15</v>
      </c>
      <c r="F526">
        <v>33</v>
      </c>
      <c r="G526">
        <v>5</v>
      </c>
      <c r="H526">
        <v>0.09</v>
      </c>
    </row>
    <row r="527" spans="1:8" x14ac:dyDescent="0.35">
      <c r="A527">
        <v>17</v>
      </c>
      <c r="B527">
        <v>77</v>
      </c>
      <c r="C527" t="s">
        <v>73</v>
      </c>
      <c r="D527" t="s">
        <v>11</v>
      </c>
      <c r="E527" t="s">
        <v>15</v>
      </c>
      <c r="F527">
        <v>72</v>
      </c>
      <c r="G527">
        <v>1.6679999999999999</v>
      </c>
      <c r="H527">
        <v>0.59772768385602992</v>
      </c>
    </row>
    <row r="528" spans="1:8" x14ac:dyDescent="0.35">
      <c r="A528">
        <v>22</v>
      </c>
      <c r="B528">
        <v>77</v>
      </c>
      <c r="C528" t="s">
        <v>73</v>
      </c>
      <c r="D528" t="s">
        <v>11</v>
      </c>
      <c r="E528" t="s">
        <v>16</v>
      </c>
      <c r="F528">
        <v>72</v>
      </c>
      <c r="G528">
        <v>0.34699999999999998</v>
      </c>
      <c r="H528">
        <v>1.006350491996358</v>
      </c>
    </row>
    <row r="529" spans="1:8" x14ac:dyDescent="0.35">
      <c r="A529">
        <v>22</v>
      </c>
      <c r="B529">
        <v>77</v>
      </c>
      <c r="C529" t="s">
        <v>73</v>
      </c>
      <c r="D529" t="s">
        <v>11</v>
      </c>
      <c r="E529" t="s">
        <v>14</v>
      </c>
      <c r="F529">
        <v>72</v>
      </c>
      <c r="G529">
        <v>0.34699999999999998</v>
      </c>
      <c r="H529">
        <v>1.006350491996358</v>
      </c>
    </row>
    <row r="530" spans="1:8" x14ac:dyDescent="0.35">
      <c r="A530">
        <v>355</v>
      </c>
      <c r="B530">
        <v>77</v>
      </c>
      <c r="C530" t="s">
        <v>73</v>
      </c>
      <c r="D530" t="s">
        <v>10</v>
      </c>
      <c r="E530" t="s">
        <v>19</v>
      </c>
      <c r="F530">
        <v>33</v>
      </c>
      <c r="G530">
        <v>85</v>
      </c>
      <c r="H530">
        <v>14.67</v>
      </c>
    </row>
    <row r="531" spans="1:8" x14ac:dyDescent="0.35">
      <c r="A531">
        <v>22</v>
      </c>
      <c r="B531">
        <v>77</v>
      </c>
      <c r="C531" t="s">
        <v>73</v>
      </c>
      <c r="D531" t="s">
        <v>8</v>
      </c>
      <c r="E531" t="s">
        <v>22</v>
      </c>
      <c r="F531">
        <v>38</v>
      </c>
      <c r="G531">
        <v>3</v>
      </c>
      <c r="H531">
        <v>0.62</v>
      </c>
    </row>
    <row r="532" spans="1:8" x14ac:dyDescent="0.35">
      <c r="A532">
        <v>283</v>
      </c>
      <c r="B532">
        <v>77</v>
      </c>
      <c r="C532" t="s">
        <v>73</v>
      </c>
      <c r="D532" t="s">
        <v>10</v>
      </c>
      <c r="E532" t="s">
        <v>17</v>
      </c>
      <c r="F532">
        <v>33</v>
      </c>
      <c r="G532">
        <v>5</v>
      </c>
      <c r="H532">
        <v>0.09</v>
      </c>
    </row>
    <row r="533" spans="1:8" x14ac:dyDescent="0.35">
      <c r="A533">
        <v>424</v>
      </c>
      <c r="B533">
        <v>77</v>
      </c>
      <c r="C533" t="s">
        <v>73</v>
      </c>
      <c r="D533" t="s">
        <v>8</v>
      </c>
      <c r="E533" t="s">
        <v>16</v>
      </c>
      <c r="F533">
        <v>38</v>
      </c>
      <c r="G533">
        <v>1</v>
      </c>
      <c r="H533">
        <v>0.62</v>
      </c>
    </row>
    <row r="534" spans="1:8" x14ac:dyDescent="0.35">
      <c r="A534">
        <v>282</v>
      </c>
      <c r="B534">
        <v>77</v>
      </c>
      <c r="C534" t="s">
        <v>73</v>
      </c>
      <c r="D534" t="s">
        <v>8</v>
      </c>
      <c r="E534" t="s">
        <v>17</v>
      </c>
      <c r="F534">
        <v>38</v>
      </c>
      <c r="G534">
        <v>0</v>
      </c>
      <c r="H534">
        <v>0.08</v>
      </c>
    </row>
    <row r="535" spans="1:8" x14ac:dyDescent="0.35">
      <c r="A535">
        <v>540</v>
      </c>
      <c r="B535">
        <v>77</v>
      </c>
      <c r="C535" t="s">
        <v>73</v>
      </c>
      <c r="D535" t="s">
        <v>8</v>
      </c>
      <c r="E535" t="s">
        <v>15</v>
      </c>
      <c r="F535">
        <v>38</v>
      </c>
      <c r="G535">
        <v>9</v>
      </c>
      <c r="H535">
        <v>0.08</v>
      </c>
    </row>
    <row r="536" spans="1:8" x14ac:dyDescent="0.35">
      <c r="A536">
        <v>213</v>
      </c>
      <c r="B536">
        <v>77</v>
      </c>
      <c r="C536" t="s">
        <v>73</v>
      </c>
      <c r="D536" t="s">
        <v>10</v>
      </c>
      <c r="E536" t="s">
        <v>13</v>
      </c>
      <c r="F536">
        <v>33</v>
      </c>
      <c r="G536">
        <v>1.5</v>
      </c>
      <c r="H536">
        <v>3.3</v>
      </c>
    </row>
    <row r="537" spans="1:8" x14ac:dyDescent="0.35">
      <c r="A537">
        <v>481</v>
      </c>
      <c r="B537">
        <v>77</v>
      </c>
      <c r="C537" t="s">
        <v>73</v>
      </c>
      <c r="D537" t="s">
        <v>10</v>
      </c>
      <c r="E537" t="s">
        <v>9</v>
      </c>
      <c r="F537">
        <v>33</v>
      </c>
      <c r="G537">
        <v>5</v>
      </c>
      <c r="H537">
        <v>2.16</v>
      </c>
    </row>
    <row r="538" spans="1:8" x14ac:dyDescent="0.35">
      <c r="A538">
        <v>18</v>
      </c>
      <c r="B538">
        <v>77</v>
      </c>
      <c r="C538" t="s">
        <v>73</v>
      </c>
      <c r="D538" t="s">
        <v>11</v>
      </c>
      <c r="E538" t="s">
        <v>9</v>
      </c>
      <c r="F538">
        <v>71</v>
      </c>
      <c r="G538">
        <v>0.52700000000000002</v>
      </c>
      <c r="H538">
        <v>0.24199999999999999</v>
      </c>
    </row>
    <row r="539" spans="1:8" x14ac:dyDescent="0.35">
      <c r="A539">
        <v>27</v>
      </c>
      <c r="B539">
        <v>77</v>
      </c>
      <c r="C539" t="s">
        <v>73</v>
      </c>
      <c r="D539" t="s">
        <v>11</v>
      </c>
      <c r="E539" t="s">
        <v>13</v>
      </c>
      <c r="F539">
        <v>71</v>
      </c>
      <c r="G539">
        <v>7.1999999999999995E-2</v>
      </c>
      <c r="H539">
        <v>0.23799999999999999</v>
      </c>
    </row>
    <row r="540" spans="1:8" x14ac:dyDescent="0.35">
      <c r="A540">
        <v>480</v>
      </c>
      <c r="B540">
        <v>77</v>
      </c>
      <c r="C540" t="s">
        <v>73</v>
      </c>
      <c r="D540" t="s">
        <v>8</v>
      </c>
      <c r="E540" t="s">
        <v>9</v>
      </c>
      <c r="F540">
        <v>38</v>
      </c>
      <c r="G540">
        <v>4</v>
      </c>
      <c r="H540">
        <v>1.64</v>
      </c>
    </row>
    <row r="541" spans="1:8" x14ac:dyDescent="0.35">
      <c r="A541">
        <v>212</v>
      </c>
      <c r="B541">
        <v>77</v>
      </c>
      <c r="C541" t="s">
        <v>73</v>
      </c>
      <c r="D541" t="s">
        <v>8</v>
      </c>
      <c r="E541" t="s">
        <v>13</v>
      </c>
      <c r="F541">
        <v>38</v>
      </c>
      <c r="G541">
        <v>1.3</v>
      </c>
      <c r="H541">
        <v>2.2000000000000002</v>
      </c>
    </row>
    <row r="542" spans="1:8" x14ac:dyDescent="0.35">
      <c r="A542">
        <v>354</v>
      </c>
      <c r="B542">
        <v>77</v>
      </c>
      <c r="C542" t="s">
        <v>73</v>
      </c>
      <c r="D542" t="s">
        <v>8</v>
      </c>
      <c r="E542" t="s">
        <v>19</v>
      </c>
      <c r="F542">
        <v>38</v>
      </c>
      <c r="G542">
        <v>82</v>
      </c>
      <c r="H542">
        <v>15.45</v>
      </c>
    </row>
    <row r="543" spans="1:8" x14ac:dyDescent="0.35">
      <c r="A543">
        <v>25</v>
      </c>
      <c r="B543">
        <v>77</v>
      </c>
      <c r="C543" t="s">
        <v>73</v>
      </c>
      <c r="D543" t="s">
        <v>11</v>
      </c>
      <c r="E543" t="s">
        <v>19</v>
      </c>
      <c r="F543">
        <v>71</v>
      </c>
      <c r="G543">
        <v>0.19900000000000001</v>
      </c>
      <c r="H543">
        <v>0.23899999999999999</v>
      </c>
    </row>
    <row r="544" spans="1:8" x14ac:dyDescent="0.35">
      <c r="A544">
        <v>602</v>
      </c>
      <c r="B544">
        <v>77</v>
      </c>
      <c r="C544" t="s">
        <v>73</v>
      </c>
      <c r="D544" t="s">
        <v>8</v>
      </c>
      <c r="E544" t="s">
        <v>14</v>
      </c>
      <c r="F544">
        <v>38</v>
      </c>
      <c r="G544">
        <v>1</v>
      </c>
      <c r="H544">
        <v>0.62</v>
      </c>
    </row>
    <row r="545" spans="1:8" x14ac:dyDescent="0.35">
      <c r="A545">
        <v>23</v>
      </c>
      <c r="B545">
        <v>82</v>
      </c>
      <c r="C545" t="s">
        <v>74</v>
      </c>
      <c r="D545" t="s">
        <v>11</v>
      </c>
      <c r="E545" t="s">
        <v>16</v>
      </c>
      <c r="F545">
        <v>49</v>
      </c>
      <c r="G545">
        <v>0.80200000000000005</v>
      </c>
      <c r="H545">
        <v>0.66622178752068717</v>
      </c>
    </row>
    <row r="546" spans="1:8" x14ac:dyDescent="0.35">
      <c r="A546">
        <v>543</v>
      </c>
      <c r="B546">
        <v>82</v>
      </c>
      <c r="C546" t="s">
        <v>74</v>
      </c>
      <c r="D546" t="s">
        <v>10</v>
      </c>
      <c r="E546" t="s">
        <v>15</v>
      </c>
      <c r="F546">
        <v>24</v>
      </c>
      <c r="G546">
        <v>0</v>
      </c>
      <c r="H546">
        <v>1.42</v>
      </c>
    </row>
    <row r="547" spans="1:8" x14ac:dyDescent="0.35">
      <c r="A547">
        <v>18</v>
      </c>
      <c r="B547">
        <v>82</v>
      </c>
      <c r="C547" t="s">
        <v>74</v>
      </c>
      <c r="D547" t="s">
        <v>11</v>
      </c>
      <c r="E547" t="s">
        <v>17</v>
      </c>
      <c r="F547">
        <v>49</v>
      </c>
      <c r="G547">
        <v>1</v>
      </c>
      <c r="H547">
        <v>0.68476238326232586</v>
      </c>
    </row>
    <row r="548" spans="1:8" x14ac:dyDescent="0.35">
      <c r="A548">
        <v>284</v>
      </c>
      <c r="B548">
        <v>82</v>
      </c>
      <c r="C548" t="s">
        <v>74</v>
      </c>
      <c r="D548" t="s">
        <v>8</v>
      </c>
      <c r="E548" t="s">
        <v>17</v>
      </c>
      <c r="F548">
        <v>24</v>
      </c>
      <c r="G548">
        <v>5</v>
      </c>
      <c r="H548">
        <v>1.42</v>
      </c>
    </row>
    <row r="549" spans="1:8" x14ac:dyDescent="0.35">
      <c r="A549">
        <v>18</v>
      </c>
      <c r="B549">
        <v>82</v>
      </c>
      <c r="C549" t="s">
        <v>74</v>
      </c>
      <c r="D549" t="s">
        <v>11</v>
      </c>
      <c r="E549" t="s">
        <v>15</v>
      </c>
      <c r="F549">
        <v>49</v>
      </c>
      <c r="G549">
        <v>1</v>
      </c>
      <c r="H549">
        <v>2.0207259421636898</v>
      </c>
    </row>
    <row r="550" spans="1:8" x14ac:dyDescent="0.35">
      <c r="A550">
        <v>23</v>
      </c>
      <c r="B550">
        <v>82</v>
      </c>
      <c r="C550" t="s">
        <v>74</v>
      </c>
      <c r="D550" t="s">
        <v>11</v>
      </c>
      <c r="E550" t="s">
        <v>14</v>
      </c>
      <c r="F550">
        <v>49</v>
      </c>
      <c r="G550">
        <v>1</v>
      </c>
      <c r="H550">
        <v>2.0207259421636898</v>
      </c>
    </row>
    <row r="551" spans="1:8" x14ac:dyDescent="0.35">
      <c r="A551">
        <v>285</v>
      </c>
      <c r="B551">
        <v>82</v>
      </c>
      <c r="C551" t="s">
        <v>74</v>
      </c>
      <c r="D551" t="s">
        <v>10</v>
      </c>
      <c r="E551" t="s">
        <v>17</v>
      </c>
      <c r="F551">
        <v>24</v>
      </c>
      <c r="G551">
        <v>5</v>
      </c>
      <c r="H551">
        <v>1.42</v>
      </c>
    </row>
    <row r="552" spans="1:8" x14ac:dyDescent="0.35">
      <c r="A552">
        <v>427</v>
      </c>
      <c r="B552">
        <v>82</v>
      </c>
      <c r="C552" t="s">
        <v>74</v>
      </c>
      <c r="D552" t="s">
        <v>10</v>
      </c>
      <c r="E552" t="s">
        <v>16</v>
      </c>
      <c r="F552">
        <v>24</v>
      </c>
      <c r="G552">
        <v>6</v>
      </c>
      <c r="H552">
        <v>1.42</v>
      </c>
    </row>
    <row r="553" spans="1:8" x14ac:dyDescent="0.35">
      <c r="A553">
        <v>426</v>
      </c>
      <c r="B553">
        <v>82</v>
      </c>
      <c r="C553" t="s">
        <v>74</v>
      </c>
      <c r="D553" t="s">
        <v>8</v>
      </c>
      <c r="E553" t="s">
        <v>16</v>
      </c>
      <c r="F553">
        <v>24</v>
      </c>
      <c r="G553">
        <v>5</v>
      </c>
      <c r="H553">
        <v>1.77</v>
      </c>
    </row>
    <row r="554" spans="1:8" x14ac:dyDescent="0.35">
      <c r="A554">
        <v>604</v>
      </c>
      <c r="B554">
        <v>82</v>
      </c>
      <c r="C554" t="s">
        <v>74</v>
      </c>
      <c r="D554" t="s">
        <v>8</v>
      </c>
      <c r="E554" t="s">
        <v>14</v>
      </c>
      <c r="F554">
        <v>24</v>
      </c>
      <c r="G554">
        <v>0</v>
      </c>
      <c r="H554">
        <v>1.77</v>
      </c>
    </row>
    <row r="555" spans="1:8" x14ac:dyDescent="0.35">
      <c r="A555">
        <v>605</v>
      </c>
      <c r="B555">
        <v>82</v>
      </c>
      <c r="C555" t="s">
        <v>74</v>
      </c>
      <c r="D555" t="s">
        <v>10</v>
      </c>
      <c r="E555" t="s">
        <v>14</v>
      </c>
      <c r="F555">
        <v>24</v>
      </c>
      <c r="G555">
        <v>0</v>
      </c>
      <c r="H555">
        <v>1.42</v>
      </c>
    </row>
    <row r="556" spans="1:8" x14ac:dyDescent="0.35">
      <c r="A556">
        <v>542</v>
      </c>
      <c r="B556">
        <v>82</v>
      </c>
      <c r="C556" t="s">
        <v>74</v>
      </c>
      <c r="D556" t="s">
        <v>8</v>
      </c>
      <c r="E556" t="s">
        <v>15</v>
      </c>
      <c r="F556">
        <v>24</v>
      </c>
      <c r="G556">
        <v>0</v>
      </c>
      <c r="H556">
        <v>1.42</v>
      </c>
    </row>
    <row r="557" spans="1:8" x14ac:dyDescent="0.35">
      <c r="A557">
        <v>110</v>
      </c>
      <c r="B557">
        <v>84</v>
      </c>
      <c r="C557" t="s">
        <v>75</v>
      </c>
      <c r="D557" t="s">
        <v>10</v>
      </c>
      <c r="E557" t="s">
        <v>27</v>
      </c>
      <c r="F557">
        <v>43</v>
      </c>
      <c r="G557">
        <v>76</v>
      </c>
      <c r="H557">
        <v>15</v>
      </c>
    </row>
    <row r="558" spans="1:8" x14ac:dyDescent="0.35">
      <c r="A558">
        <v>19</v>
      </c>
      <c r="B558">
        <v>84</v>
      </c>
      <c r="C558" t="s">
        <v>75</v>
      </c>
      <c r="D558" t="s">
        <v>39</v>
      </c>
      <c r="E558" t="s">
        <v>27</v>
      </c>
      <c r="F558">
        <v>85</v>
      </c>
      <c r="G558">
        <v>0</v>
      </c>
      <c r="H558">
        <v>0.217</v>
      </c>
    </row>
    <row r="559" spans="1:8" x14ac:dyDescent="0.35">
      <c r="A559">
        <v>111</v>
      </c>
      <c r="B559">
        <v>84</v>
      </c>
      <c r="C559" t="s">
        <v>75</v>
      </c>
      <c r="D559" t="s">
        <v>28</v>
      </c>
      <c r="E559" t="s">
        <v>27</v>
      </c>
      <c r="F559">
        <v>42</v>
      </c>
      <c r="G559">
        <v>76</v>
      </c>
      <c r="H559">
        <v>17</v>
      </c>
    </row>
    <row r="560" spans="1:8" x14ac:dyDescent="0.35">
      <c r="A560">
        <v>112</v>
      </c>
      <c r="B560">
        <v>85</v>
      </c>
      <c r="C560" t="s">
        <v>76</v>
      </c>
      <c r="D560" t="s">
        <v>8</v>
      </c>
      <c r="E560" t="s">
        <v>27</v>
      </c>
      <c r="F560">
        <v>32</v>
      </c>
      <c r="G560">
        <v>89.4</v>
      </c>
      <c r="H560">
        <v>9.1999999999999993</v>
      </c>
    </row>
    <row r="561" spans="1:8" x14ac:dyDescent="0.35">
      <c r="A561">
        <v>214</v>
      </c>
      <c r="B561">
        <v>85</v>
      </c>
      <c r="C561" t="s">
        <v>76</v>
      </c>
      <c r="D561" t="s">
        <v>8</v>
      </c>
      <c r="E561" t="s">
        <v>13</v>
      </c>
      <c r="F561">
        <v>32</v>
      </c>
      <c r="G561">
        <v>0</v>
      </c>
      <c r="H561">
        <v>0.8</v>
      </c>
    </row>
    <row r="562" spans="1:8" x14ac:dyDescent="0.35">
      <c r="A562">
        <v>24</v>
      </c>
      <c r="B562">
        <v>85</v>
      </c>
      <c r="C562" t="s">
        <v>76</v>
      </c>
      <c r="D562" t="s">
        <v>8</v>
      </c>
      <c r="E562" t="s">
        <v>22</v>
      </c>
      <c r="F562">
        <v>32</v>
      </c>
      <c r="G562">
        <v>0</v>
      </c>
      <c r="H562">
        <v>0.09</v>
      </c>
    </row>
    <row r="563" spans="1:8" x14ac:dyDescent="0.35">
      <c r="A563">
        <v>7</v>
      </c>
      <c r="B563">
        <v>85</v>
      </c>
      <c r="C563" t="s">
        <v>76</v>
      </c>
      <c r="D563" t="s">
        <v>11</v>
      </c>
      <c r="E563" t="s">
        <v>22</v>
      </c>
      <c r="F563">
        <v>65</v>
      </c>
      <c r="G563">
        <v>0.188</v>
      </c>
      <c r="H563">
        <v>1.569899147503856</v>
      </c>
    </row>
    <row r="564" spans="1:8" x14ac:dyDescent="0.35">
      <c r="A564">
        <v>215</v>
      </c>
      <c r="B564">
        <v>85</v>
      </c>
      <c r="C564" t="s">
        <v>76</v>
      </c>
      <c r="D564" t="s">
        <v>10</v>
      </c>
      <c r="E564" t="s">
        <v>13</v>
      </c>
      <c r="F564">
        <v>32</v>
      </c>
      <c r="G564">
        <v>0.3</v>
      </c>
      <c r="H564">
        <v>0.7</v>
      </c>
    </row>
    <row r="565" spans="1:8" x14ac:dyDescent="0.35">
      <c r="A565">
        <v>113</v>
      </c>
      <c r="B565">
        <v>85</v>
      </c>
      <c r="C565" t="s">
        <v>76</v>
      </c>
      <c r="D565" t="s">
        <v>10</v>
      </c>
      <c r="E565" t="s">
        <v>27</v>
      </c>
      <c r="F565">
        <v>32</v>
      </c>
      <c r="G565">
        <v>94.8</v>
      </c>
      <c r="H565">
        <v>6.4</v>
      </c>
    </row>
    <row r="566" spans="1:8" x14ac:dyDescent="0.35">
      <c r="A566">
        <v>25</v>
      </c>
      <c r="B566">
        <v>85</v>
      </c>
      <c r="C566" t="s">
        <v>76</v>
      </c>
      <c r="D566" t="s">
        <v>10</v>
      </c>
      <c r="E566" t="s">
        <v>22</v>
      </c>
      <c r="F566">
        <v>32</v>
      </c>
      <c r="G566">
        <v>2</v>
      </c>
      <c r="H566">
        <v>0.47</v>
      </c>
    </row>
    <row r="567" spans="1:8" x14ac:dyDescent="0.35">
      <c r="A567">
        <v>20</v>
      </c>
      <c r="B567">
        <v>85</v>
      </c>
      <c r="C567" t="s">
        <v>76</v>
      </c>
      <c r="D567" t="s">
        <v>11</v>
      </c>
      <c r="E567" t="s">
        <v>27</v>
      </c>
      <c r="F567">
        <v>64</v>
      </c>
      <c r="G567">
        <v>0.68100000000000005</v>
      </c>
      <c r="H567">
        <v>0.25700000000000001</v>
      </c>
    </row>
    <row r="568" spans="1:8" x14ac:dyDescent="0.35">
      <c r="A568">
        <v>28</v>
      </c>
      <c r="B568">
        <v>85</v>
      </c>
      <c r="C568" t="s">
        <v>76</v>
      </c>
      <c r="D568" t="s">
        <v>11</v>
      </c>
      <c r="E568" t="s">
        <v>13</v>
      </c>
      <c r="F568">
        <v>64</v>
      </c>
      <c r="G568">
        <v>0.39900000000000002</v>
      </c>
      <c r="H568">
        <v>0.253</v>
      </c>
    </row>
    <row r="569" spans="1:8" x14ac:dyDescent="0.35">
      <c r="A569">
        <v>8</v>
      </c>
      <c r="B569">
        <v>87</v>
      </c>
      <c r="C569" t="s">
        <v>77</v>
      </c>
      <c r="D569" t="s">
        <v>11</v>
      </c>
      <c r="E569" t="s">
        <v>22</v>
      </c>
      <c r="F569">
        <v>557</v>
      </c>
      <c r="G569">
        <v>1.038</v>
      </c>
      <c r="H569">
        <v>0.40929384862820761</v>
      </c>
    </row>
    <row r="570" spans="1:8" x14ac:dyDescent="0.35">
      <c r="A570">
        <v>29</v>
      </c>
      <c r="B570">
        <v>87</v>
      </c>
      <c r="C570" t="s">
        <v>77</v>
      </c>
      <c r="D570" t="s">
        <v>11</v>
      </c>
      <c r="E570" t="s">
        <v>13</v>
      </c>
      <c r="F570">
        <v>593</v>
      </c>
      <c r="G570">
        <v>0.247</v>
      </c>
      <c r="H570">
        <v>8.2000000000000003E-2</v>
      </c>
    </row>
    <row r="571" spans="1:8" x14ac:dyDescent="0.35">
      <c r="A571">
        <v>19</v>
      </c>
      <c r="B571">
        <v>87</v>
      </c>
      <c r="C571" t="s">
        <v>77</v>
      </c>
      <c r="D571" t="s">
        <v>11</v>
      </c>
      <c r="E571" t="s">
        <v>9</v>
      </c>
      <c r="F571">
        <v>593</v>
      </c>
      <c r="G571">
        <v>6.0999999999999999E-2</v>
      </c>
      <c r="H571">
        <v>8.2000000000000003E-2</v>
      </c>
    </row>
    <row r="572" spans="1:8" x14ac:dyDescent="0.35">
      <c r="A572">
        <v>26</v>
      </c>
      <c r="B572">
        <v>87</v>
      </c>
      <c r="C572" t="s">
        <v>77</v>
      </c>
      <c r="D572" t="s">
        <v>11</v>
      </c>
      <c r="E572" t="s">
        <v>19</v>
      </c>
      <c r="F572">
        <v>593</v>
      </c>
      <c r="G572">
        <v>0.17299999999999999</v>
      </c>
      <c r="H572">
        <v>8.2000000000000003E-2</v>
      </c>
    </row>
    <row r="573" spans="1:8" x14ac:dyDescent="0.35">
      <c r="A573">
        <v>21</v>
      </c>
      <c r="B573">
        <v>87</v>
      </c>
      <c r="C573" t="s">
        <v>77</v>
      </c>
      <c r="D573" t="s">
        <v>11</v>
      </c>
      <c r="E573" t="s">
        <v>27</v>
      </c>
      <c r="F573">
        <v>593</v>
      </c>
      <c r="G573">
        <v>0.151</v>
      </c>
      <c r="H573">
        <v>8.2000000000000003E-2</v>
      </c>
    </row>
    <row r="574" spans="1:8" x14ac:dyDescent="0.35">
      <c r="A574">
        <v>482</v>
      </c>
      <c r="B574">
        <v>87</v>
      </c>
      <c r="C574" t="s">
        <v>77</v>
      </c>
      <c r="D574" t="s">
        <v>8</v>
      </c>
      <c r="E574" t="s">
        <v>9</v>
      </c>
      <c r="F574">
        <v>296</v>
      </c>
      <c r="G574">
        <v>6.6</v>
      </c>
      <c r="H574">
        <v>1.6</v>
      </c>
    </row>
    <row r="575" spans="1:8" x14ac:dyDescent="0.35">
      <c r="A575">
        <v>27</v>
      </c>
      <c r="B575">
        <v>87</v>
      </c>
      <c r="C575" t="s">
        <v>77</v>
      </c>
      <c r="D575" t="s">
        <v>10</v>
      </c>
      <c r="E575" t="s">
        <v>22</v>
      </c>
      <c r="F575">
        <v>283</v>
      </c>
      <c r="G575">
        <v>12</v>
      </c>
      <c r="H575">
        <v>0.78</v>
      </c>
    </row>
    <row r="576" spans="1:8" x14ac:dyDescent="0.35">
      <c r="A576">
        <v>357</v>
      </c>
      <c r="B576">
        <v>87</v>
      </c>
      <c r="C576" t="s">
        <v>77</v>
      </c>
      <c r="D576" t="s">
        <v>10</v>
      </c>
      <c r="E576" t="s">
        <v>19</v>
      </c>
      <c r="F576">
        <v>297</v>
      </c>
      <c r="G576">
        <v>91.1</v>
      </c>
      <c r="H576">
        <v>11.9</v>
      </c>
    </row>
    <row r="577" spans="1:8" x14ac:dyDescent="0.35">
      <c r="A577">
        <v>114</v>
      </c>
      <c r="B577">
        <v>87</v>
      </c>
      <c r="C577" t="s">
        <v>77</v>
      </c>
      <c r="D577" t="s">
        <v>8</v>
      </c>
      <c r="E577" t="s">
        <v>27</v>
      </c>
      <c r="F577">
        <v>296</v>
      </c>
      <c r="G577">
        <v>89.4</v>
      </c>
      <c r="H577">
        <v>10.9</v>
      </c>
    </row>
    <row r="578" spans="1:8" x14ac:dyDescent="0.35">
      <c r="A578">
        <v>356</v>
      </c>
      <c r="B578">
        <v>87</v>
      </c>
      <c r="C578" t="s">
        <v>77</v>
      </c>
      <c r="D578" t="s">
        <v>8</v>
      </c>
      <c r="E578" t="s">
        <v>19</v>
      </c>
      <c r="F578">
        <v>296</v>
      </c>
      <c r="G578">
        <v>89</v>
      </c>
      <c r="H578">
        <v>12.4</v>
      </c>
    </row>
    <row r="579" spans="1:8" x14ac:dyDescent="0.35">
      <c r="A579">
        <v>483</v>
      </c>
      <c r="B579">
        <v>87</v>
      </c>
      <c r="C579" t="s">
        <v>77</v>
      </c>
      <c r="D579" t="s">
        <v>10</v>
      </c>
      <c r="E579" t="s">
        <v>9</v>
      </c>
      <c r="F579">
        <v>297</v>
      </c>
      <c r="G579">
        <v>6.7</v>
      </c>
      <c r="H579">
        <v>1.7</v>
      </c>
    </row>
    <row r="580" spans="1:8" x14ac:dyDescent="0.35">
      <c r="A580">
        <v>217</v>
      </c>
      <c r="B580">
        <v>87</v>
      </c>
      <c r="C580" t="s">
        <v>77</v>
      </c>
      <c r="D580" t="s">
        <v>10</v>
      </c>
      <c r="E580" t="s">
        <v>13</v>
      </c>
      <c r="F580">
        <v>297</v>
      </c>
      <c r="G580">
        <v>0.9</v>
      </c>
      <c r="H580">
        <v>1</v>
      </c>
    </row>
    <row r="581" spans="1:8" x14ac:dyDescent="0.35">
      <c r="A581">
        <v>115</v>
      </c>
      <c r="B581">
        <v>87</v>
      </c>
      <c r="C581" t="s">
        <v>77</v>
      </c>
      <c r="D581" t="s">
        <v>10</v>
      </c>
      <c r="E581" t="s">
        <v>27</v>
      </c>
      <c r="F581">
        <v>297</v>
      </c>
      <c r="G581">
        <v>91</v>
      </c>
      <c r="H581">
        <v>10.3</v>
      </c>
    </row>
    <row r="582" spans="1:8" x14ac:dyDescent="0.35">
      <c r="A582">
        <v>26</v>
      </c>
      <c r="B582">
        <v>87</v>
      </c>
      <c r="C582" t="s">
        <v>77</v>
      </c>
      <c r="D582" t="s">
        <v>8</v>
      </c>
      <c r="E582" t="s">
        <v>22</v>
      </c>
      <c r="F582">
        <v>273</v>
      </c>
      <c r="G582">
        <v>12</v>
      </c>
      <c r="H582">
        <v>0.79</v>
      </c>
    </row>
    <row r="583" spans="1:8" x14ac:dyDescent="0.35">
      <c r="A583">
        <v>216</v>
      </c>
      <c r="B583">
        <v>87</v>
      </c>
      <c r="C583" t="s">
        <v>77</v>
      </c>
      <c r="D583" t="s">
        <v>8</v>
      </c>
      <c r="E583" t="s">
        <v>13</v>
      </c>
      <c r="F583">
        <v>296</v>
      </c>
      <c r="G583">
        <v>1.2</v>
      </c>
      <c r="H583">
        <v>1.4</v>
      </c>
    </row>
    <row r="584" spans="1:8" x14ac:dyDescent="0.35">
      <c r="A584">
        <v>22</v>
      </c>
      <c r="B584">
        <v>89</v>
      </c>
      <c r="C584" t="s">
        <v>78</v>
      </c>
      <c r="D584" t="s">
        <v>39</v>
      </c>
      <c r="E584" t="s">
        <v>27</v>
      </c>
      <c r="F584">
        <v>33</v>
      </c>
      <c r="G584">
        <v>0.443</v>
      </c>
      <c r="H584">
        <v>0.35299999999999998</v>
      </c>
    </row>
    <row r="585" spans="1:8" x14ac:dyDescent="0.35">
      <c r="A585">
        <v>116</v>
      </c>
      <c r="B585">
        <v>89</v>
      </c>
      <c r="C585" t="s">
        <v>78</v>
      </c>
      <c r="D585" t="s">
        <v>10</v>
      </c>
      <c r="E585" t="s">
        <v>27</v>
      </c>
      <c r="F585">
        <v>16</v>
      </c>
      <c r="G585">
        <v>90.13</v>
      </c>
      <c r="H585">
        <v>6.99</v>
      </c>
    </row>
    <row r="586" spans="1:8" x14ac:dyDescent="0.35">
      <c r="A586">
        <v>359</v>
      </c>
      <c r="B586">
        <v>89</v>
      </c>
      <c r="C586" t="s">
        <v>78</v>
      </c>
      <c r="D586" t="s">
        <v>28</v>
      </c>
      <c r="E586" t="s">
        <v>19</v>
      </c>
      <c r="F586">
        <v>17</v>
      </c>
      <c r="G586">
        <v>90</v>
      </c>
      <c r="H586">
        <v>4.26</v>
      </c>
    </row>
    <row r="587" spans="1:8" x14ac:dyDescent="0.35">
      <c r="A587">
        <v>358</v>
      </c>
      <c r="B587">
        <v>89</v>
      </c>
      <c r="C587" t="s">
        <v>78</v>
      </c>
      <c r="D587" t="s">
        <v>10</v>
      </c>
      <c r="E587" t="s">
        <v>19</v>
      </c>
      <c r="F587">
        <v>16</v>
      </c>
      <c r="G587">
        <v>90.06</v>
      </c>
      <c r="H587">
        <v>7.33</v>
      </c>
    </row>
    <row r="588" spans="1:8" x14ac:dyDescent="0.35">
      <c r="A588">
        <v>117</v>
      </c>
      <c r="B588">
        <v>89</v>
      </c>
      <c r="C588" t="s">
        <v>78</v>
      </c>
      <c r="D588" t="s">
        <v>28</v>
      </c>
      <c r="E588" t="s">
        <v>27</v>
      </c>
      <c r="F588">
        <v>17</v>
      </c>
      <c r="G588">
        <v>87.12</v>
      </c>
      <c r="H588">
        <v>6.61</v>
      </c>
    </row>
    <row r="589" spans="1:8" x14ac:dyDescent="0.35">
      <c r="A589">
        <v>27</v>
      </c>
      <c r="B589">
        <v>89</v>
      </c>
      <c r="C589" t="s">
        <v>78</v>
      </c>
      <c r="D589" t="s">
        <v>39</v>
      </c>
      <c r="E589" t="s">
        <v>19</v>
      </c>
      <c r="F589">
        <v>33</v>
      </c>
      <c r="G589">
        <v>0.01</v>
      </c>
      <c r="H589">
        <v>0.34799999999999998</v>
      </c>
    </row>
    <row r="590" spans="1:8" x14ac:dyDescent="0.35">
      <c r="A590">
        <v>28</v>
      </c>
      <c r="B590">
        <v>90</v>
      </c>
      <c r="C590" t="s">
        <v>79</v>
      </c>
      <c r="D590" t="s">
        <v>8</v>
      </c>
      <c r="E590" t="s">
        <v>22</v>
      </c>
      <c r="F590">
        <v>32</v>
      </c>
      <c r="G590">
        <v>3</v>
      </c>
      <c r="H590">
        <v>0.68</v>
      </c>
    </row>
    <row r="591" spans="1:8" x14ac:dyDescent="0.35">
      <c r="A591">
        <v>485</v>
      </c>
      <c r="B591">
        <v>90</v>
      </c>
      <c r="C591" t="s">
        <v>79</v>
      </c>
      <c r="D591" t="s">
        <v>10</v>
      </c>
      <c r="E591" t="s">
        <v>9</v>
      </c>
      <c r="F591">
        <v>24</v>
      </c>
      <c r="G591">
        <v>5.3</v>
      </c>
      <c r="H591">
        <v>3.58</v>
      </c>
    </row>
    <row r="592" spans="1:8" x14ac:dyDescent="0.35">
      <c r="A592">
        <v>9</v>
      </c>
      <c r="B592">
        <v>90</v>
      </c>
      <c r="C592" t="s">
        <v>79</v>
      </c>
      <c r="D592" t="s">
        <v>11</v>
      </c>
      <c r="E592" t="s">
        <v>22</v>
      </c>
      <c r="F592">
        <v>65</v>
      </c>
      <c r="G592">
        <v>0.751</v>
      </c>
      <c r="H592">
        <v>0.76035094020556282</v>
      </c>
    </row>
    <row r="593" spans="1:8" x14ac:dyDescent="0.35">
      <c r="A593">
        <v>20</v>
      </c>
      <c r="B593">
        <v>90</v>
      </c>
      <c r="C593" t="s">
        <v>79</v>
      </c>
      <c r="D593" t="s">
        <v>11</v>
      </c>
      <c r="E593" t="s">
        <v>9</v>
      </c>
      <c r="F593">
        <v>44</v>
      </c>
      <c r="G593">
        <v>0.436</v>
      </c>
      <c r="H593">
        <v>0.30599999999999999</v>
      </c>
    </row>
    <row r="594" spans="1:8" x14ac:dyDescent="0.35">
      <c r="A594">
        <v>28</v>
      </c>
      <c r="B594">
        <v>90</v>
      </c>
      <c r="C594" t="s">
        <v>79</v>
      </c>
      <c r="D594" t="s">
        <v>11</v>
      </c>
      <c r="E594" t="s">
        <v>19</v>
      </c>
      <c r="F594">
        <v>44</v>
      </c>
      <c r="G594">
        <v>8.0000000000000002E-3</v>
      </c>
      <c r="H594">
        <v>0.30199999999999999</v>
      </c>
    </row>
    <row r="595" spans="1:8" x14ac:dyDescent="0.35">
      <c r="A595">
        <v>484</v>
      </c>
      <c r="B595">
        <v>90</v>
      </c>
      <c r="C595" t="s">
        <v>79</v>
      </c>
      <c r="D595" t="s">
        <v>8</v>
      </c>
      <c r="E595" t="s">
        <v>9</v>
      </c>
      <c r="F595">
        <v>20</v>
      </c>
      <c r="G595">
        <v>6.8</v>
      </c>
      <c r="H595">
        <v>3.27</v>
      </c>
    </row>
    <row r="596" spans="1:8" x14ac:dyDescent="0.35">
      <c r="A596">
        <v>360</v>
      </c>
      <c r="B596">
        <v>90</v>
      </c>
      <c r="C596" t="s">
        <v>79</v>
      </c>
      <c r="D596" t="s">
        <v>8</v>
      </c>
      <c r="E596" t="s">
        <v>19</v>
      </c>
      <c r="F596">
        <v>21</v>
      </c>
      <c r="G596">
        <v>90.3</v>
      </c>
      <c r="H596">
        <v>12.19</v>
      </c>
    </row>
    <row r="597" spans="1:8" x14ac:dyDescent="0.35">
      <c r="A597">
        <v>29</v>
      </c>
      <c r="B597">
        <v>90</v>
      </c>
      <c r="C597" t="s">
        <v>79</v>
      </c>
      <c r="D597" t="s">
        <v>10</v>
      </c>
      <c r="E597" t="s">
        <v>22</v>
      </c>
      <c r="F597">
        <v>32</v>
      </c>
      <c r="G597">
        <v>4</v>
      </c>
      <c r="H597">
        <v>0.91</v>
      </c>
    </row>
    <row r="598" spans="1:8" x14ac:dyDescent="0.35">
      <c r="A598">
        <v>361</v>
      </c>
      <c r="B598">
        <v>90</v>
      </c>
      <c r="C598" t="s">
        <v>79</v>
      </c>
      <c r="D598" t="s">
        <v>10</v>
      </c>
      <c r="E598" t="s">
        <v>19</v>
      </c>
      <c r="F598">
        <v>23</v>
      </c>
      <c r="G598">
        <v>90.4</v>
      </c>
      <c r="H598">
        <v>12.75</v>
      </c>
    </row>
    <row r="599" spans="1:8" x14ac:dyDescent="0.35">
      <c r="A599">
        <v>29</v>
      </c>
      <c r="B599">
        <v>93</v>
      </c>
      <c r="C599" t="s">
        <v>80</v>
      </c>
      <c r="D599" t="s">
        <v>26</v>
      </c>
      <c r="E599" t="s">
        <v>19</v>
      </c>
      <c r="F599">
        <v>28</v>
      </c>
      <c r="G599">
        <v>0.24</v>
      </c>
      <c r="H599">
        <v>0.379</v>
      </c>
    </row>
    <row r="600" spans="1:8" x14ac:dyDescent="0.35">
      <c r="A600">
        <v>23</v>
      </c>
      <c r="B600">
        <v>93</v>
      </c>
      <c r="C600" t="s">
        <v>81</v>
      </c>
      <c r="D600" t="s">
        <v>39</v>
      </c>
      <c r="E600" t="s">
        <v>27</v>
      </c>
      <c r="F600">
        <v>28</v>
      </c>
      <c r="G600">
        <v>0.84899999999999998</v>
      </c>
      <c r="H600">
        <v>0.39600000000000002</v>
      </c>
    </row>
    <row r="601" spans="1:8" x14ac:dyDescent="0.35">
      <c r="A601">
        <v>119</v>
      </c>
      <c r="B601">
        <v>93</v>
      </c>
      <c r="C601" t="s">
        <v>81</v>
      </c>
      <c r="D601" t="s">
        <v>28</v>
      </c>
      <c r="E601" t="s">
        <v>27</v>
      </c>
      <c r="F601">
        <v>14</v>
      </c>
      <c r="G601">
        <v>88.17</v>
      </c>
      <c r="H601">
        <v>2.4900000000000002</v>
      </c>
    </row>
    <row r="602" spans="1:8" x14ac:dyDescent="0.35">
      <c r="A602">
        <v>363</v>
      </c>
      <c r="B602">
        <v>93</v>
      </c>
      <c r="C602" t="s">
        <v>80</v>
      </c>
      <c r="D602" t="s">
        <v>28</v>
      </c>
      <c r="E602" t="s">
        <v>19</v>
      </c>
      <c r="F602">
        <v>14</v>
      </c>
      <c r="G602">
        <v>95.33</v>
      </c>
      <c r="H602">
        <v>2.64</v>
      </c>
    </row>
    <row r="603" spans="1:8" x14ac:dyDescent="0.35">
      <c r="A603">
        <v>118</v>
      </c>
      <c r="B603">
        <v>93</v>
      </c>
      <c r="C603" t="s">
        <v>81</v>
      </c>
      <c r="D603" t="s">
        <v>10</v>
      </c>
      <c r="E603" t="s">
        <v>27</v>
      </c>
      <c r="F603">
        <v>14</v>
      </c>
      <c r="G603">
        <v>90</v>
      </c>
      <c r="H603">
        <v>1.76</v>
      </c>
    </row>
    <row r="604" spans="1:8" x14ac:dyDescent="0.35">
      <c r="A604">
        <v>362</v>
      </c>
      <c r="B604">
        <v>93</v>
      </c>
      <c r="C604" t="s">
        <v>80</v>
      </c>
      <c r="D604" t="s">
        <v>8</v>
      </c>
      <c r="E604" t="s">
        <v>19</v>
      </c>
      <c r="F604">
        <v>14</v>
      </c>
      <c r="G604">
        <v>96</v>
      </c>
      <c r="H604">
        <v>2.93</v>
      </c>
    </row>
    <row r="605" spans="1:8" x14ac:dyDescent="0.35">
      <c r="A605">
        <v>30</v>
      </c>
      <c r="B605">
        <v>95</v>
      </c>
      <c r="C605" t="s">
        <v>82</v>
      </c>
      <c r="D605" t="s">
        <v>11</v>
      </c>
      <c r="E605" t="s">
        <v>13</v>
      </c>
      <c r="F605">
        <v>54</v>
      </c>
      <c r="G605">
        <v>0.70599999999999996</v>
      </c>
      <c r="H605">
        <v>0.28399999999999997</v>
      </c>
    </row>
    <row r="606" spans="1:8" x14ac:dyDescent="0.35">
      <c r="A606">
        <v>225</v>
      </c>
      <c r="B606">
        <v>95</v>
      </c>
      <c r="C606" t="s">
        <v>82</v>
      </c>
      <c r="D606" t="s">
        <v>10</v>
      </c>
      <c r="E606" t="s">
        <v>13</v>
      </c>
      <c r="F606">
        <v>31</v>
      </c>
      <c r="G606">
        <v>1.7</v>
      </c>
      <c r="H606">
        <v>0.97</v>
      </c>
    </row>
    <row r="607" spans="1:8" x14ac:dyDescent="0.35">
      <c r="A607">
        <v>224</v>
      </c>
      <c r="B607">
        <v>95</v>
      </c>
      <c r="C607" t="s">
        <v>82</v>
      </c>
      <c r="D607" t="s">
        <v>8</v>
      </c>
      <c r="E607" t="s">
        <v>13</v>
      </c>
      <c r="F607">
        <v>23</v>
      </c>
      <c r="G607">
        <v>1.1000000000000001</v>
      </c>
      <c r="H607">
        <v>0.65</v>
      </c>
    </row>
    <row r="608" spans="1:8" x14ac:dyDescent="0.35">
      <c r="A608">
        <v>364</v>
      </c>
      <c r="B608">
        <v>96</v>
      </c>
      <c r="C608" t="s">
        <v>83</v>
      </c>
      <c r="D608" t="s">
        <v>8</v>
      </c>
      <c r="E608" t="s">
        <v>19</v>
      </c>
      <c r="F608">
        <v>29</v>
      </c>
      <c r="G608">
        <v>87.28</v>
      </c>
      <c r="H608">
        <v>1.76</v>
      </c>
    </row>
    <row r="609" spans="1:8" x14ac:dyDescent="0.35">
      <c r="A609">
        <v>24</v>
      </c>
      <c r="B609">
        <v>96</v>
      </c>
      <c r="C609" t="s">
        <v>83</v>
      </c>
      <c r="D609" t="s">
        <v>11</v>
      </c>
      <c r="E609" t="s">
        <v>27</v>
      </c>
      <c r="F609">
        <v>54</v>
      </c>
      <c r="G609">
        <v>2.9039999999999999</v>
      </c>
      <c r="H609">
        <v>0.39400000000000002</v>
      </c>
    </row>
    <row r="610" spans="1:8" x14ac:dyDescent="0.35">
      <c r="A610">
        <v>30</v>
      </c>
      <c r="B610">
        <v>96</v>
      </c>
      <c r="C610" t="s">
        <v>83</v>
      </c>
      <c r="D610" t="s">
        <v>11</v>
      </c>
      <c r="E610" t="s">
        <v>19</v>
      </c>
      <c r="F610">
        <v>54</v>
      </c>
      <c r="G610">
        <v>2.6139999999999999</v>
      </c>
      <c r="H610">
        <v>0.374</v>
      </c>
    </row>
    <row r="611" spans="1:8" x14ac:dyDescent="0.35">
      <c r="A611">
        <v>30</v>
      </c>
      <c r="B611">
        <v>96</v>
      </c>
      <c r="C611" t="s">
        <v>83</v>
      </c>
      <c r="D611" t="s">
        <v>8</v>
      </c>
      <c r="E611" t="s">
        <v>22</v>
      </c>
      <c r="F611">
        <v>29</v>
      </c>
      <c r="G611">
        <v>3</v>
      </c>
      <c r="H611">
        <v>0.72</v>
      </c>
    </row>
    <row r="612" spans="1:8" x14ac:dyDescent="0.35">
      <c r="A612">
        <v>121</v>
      </c>
      <c r="B612">
        <v>96</v>
      </c>
      <c r="C612" t="s">
        <v>83</v>
      </c>
      <c r="D612" t="s">
        <v>10</v>
      </c>
      <c r="E612" t="s">
        <v>27</v>
      </c>
      <c r="F612">
        <v>25</v>
      </c>
      <c r="G612">
        <v>92.95</v>
      </c>
      <c r="H612">
        <v>1.99</v>
      </c>
    </row>
    <row r="613" spans="1:8" x14ac:dyDescent="0.35">
      <c r="A613">
        <v>120</v>
      </c>
      <c r="B613">
        <v>96</v>
      </c>
      <c r="C613" t="s">
        <v>83</v>
      </c>
      <c r="D613" t="s">
        <v>8</v>
      </c>
      <c r="E613" t="s">
        <v>27</v>
      </c>
      <c r="F613">
        <v>29</v>
      </c>
      <c r="G613">
        <v>86.72</v>
      </c>
      <c r="H613">
        <v>2.27</v>
      </c>
    </row>
    <row r="614" spans="1:8" x14ac:dyDescent="0.35">
      <c r="A614">
        <v>21</v>
      </c>
      <c r="B614">
        <v>96</v>
      </c>
      <c r="C614" t="s">
        <v>83</v>
      </c>
      <c r="D614" t="s">
        <v>11</v>
      </c>
      <c r="E614" t="s">
        <v>9</v>
      </c>
      <c r="F614">
        <v>54</v>
      </c>
      <c r="G614">
        <v>0.16700000000000001</v>
      </c>
      <c r="H614">
        <v>0.27300000000000002</v>
      </c>
    </row>
    <row r="615" spans="1:8" x14ac:dyDescent="0.35">
      <c r="A615">
        <v>10</v>
      </c>
      <c r="B615">
        <v>96</v>
      </c>
      <c r="C615" t="s">
        <v>83</v>
      </c>
      <c r="D615" t="s">
        <v>11</v>
      </c>
      <c r="E615" t="s">
        <v>22</v>
      </c>
      <c r="F615">
        <v>55</v>
      </c>
      <c r="G615">
        <v>0.84599999999999997</v>
      </c>
      <c r="H615">
        <v>0.80953360359200366</v>
      </c>
    </row>
    <row r="616" spans="1:8" x14ac:dyDescent="0.35">
      <c r="A616">
        <v>31</v>
      </c>
      <c r="B616">
        <v>96</v>
      </c>
      <c r="C616" t="s">
        <v>83</v>
      </c>
      <c r="D616" t="s">
        <v>11</v>
      </c>
      <c r="E616" t="s">
        <v>13</v>
      </c>
      <c r="F616">
        <v>54</v>
      </c>
      <c r="G616">
        <v>0.82599999999999996</v>
      </c>
      <c r="H616">
        <v>0.28499999999999998</v>
      </c>
    </row>
    <row r="617" spans="1:8" x14ac:dyDescent="0.35">
      <c r="A617">
        <v>488</v>
      </c>
      <c r="B617">
        <v>96</v>
      </c>
      <c r="C617" t="s">
        <v>83</v>
      </c>
      <c r="D617" t="s">
        <v>8</v>
      </c>
      <c r="E617" t="s">
        <v>9</v>
      </c>
      <c r="F617">
        <v>29</v>
      </c>
      <c r="G617">
        <v>6.2</v>
      </c>
      <c r="H617">
        <v>0.35</v>
      </c>
    </row>
    <row r="618" spans="1:8" x14ac:dyDescent="0.35">
      <c r="A618">
        <v>226</v>
      </c>
      <c r="B618">
        <v>96</v>
      </c>
      <c r="C618" t="s">
        <v>83</v>
      </c>
      <c r="D618" t="s">
        <v>8</v>
      </c>
      <c r="E618" t="s">
        <v>13</v>
      </c>
      <c r="F618">
        <v>29</v>
      </c>
      <c r="G618">
        <v>0.9</v>
      </c>
      <c r="H618">
        <v>0.27</v>
      </c>
    </row>
    <row r="619" spans="1:8" x14ac:dyDescent="0.35">
      <c r="A619">
        <v>227</v>
      </c>
      <c r="B619">
        <v>96</v>
      </c>
      <c r="C619" t="s">
        <v>83</v>
      </c>
      <c r="D619" t="s">
        <v>10</v>
      </c>
      <c r="E619" t="s">
        <v>13</v>
      </c>
      <c r="F619">
        <v>25</v>
      </c>
      <c r="G619">
        <v>0.64</v>
      </c>
      <c r="H619">
        <v>0.36</v>
      </c>
    </row>
    <row r="620" spans="1:8" x14ac:dyDescent="0.35">
      <c r="A620">
        <v>31</v>
      </c>
      <c r="B620">
        <v>96</v>
      </c>
      <c r="C620" t="s">
        <v>83</v>
      </c>
      <c r="D620" t="s">
        <v>10</v>
      </c>
      <c r="E620" t="s">
        <v>22</v>
      </c>
      <c r="F620">
        <v>25</v>
      </c>
      <c r="G620">
        <v>3</v>
      </c>
      <c r="H620">
        <v>0.8</v>
      </c>
    </row>
    <row r="621" spans="1:8" x14ac:dyDescent="0.35">
      <c r="A621">
        <v>365</v>
      </c>
      <c r="B621">
        <v>96</v>
      </c>
      <c r="C621" t="s">
        <v>83</v>
      </c>
      <c r="D621" t="s">
        <v>10</v>
      </c>
      <c r="E621" t="s">
        <v>19</v>
      </c>
      <c r="F621">
        <v>25</v>
      </c>
      <c r="G621">
        <v>91.82</v>
      </c>
      <c r="H621">
        <v>1.71</v>
      </c>
    </row>
    <row r="622" spans="1:8" x14ac:dyDescent="0.35">
      <c r="A622">
        <v>489</v>
      </c>
      <c r="B622">
        <v>96</v>
      </c>
      <c r="C622" t="s">
        <v>83</v>
      </c>
      <c r="D622" t="s">
        <v>10</v>
      </c>
      <c r="E622" t="s">
        <v>9</v>
      </c>
      <c r="F622">
        <v>25</v>
      </c>
      <c r="G622">
        <v>6.14</v>
      </c>
      <c r="H622">
        <v>0.37</v>
      </c>
    </row>
    <row r="623" spans="1:8" x14ac:dyDescent="0.35">
      <c r="A623">
        <v>24</v>
      </c>
      <c r="B623">
        <v>97</v>
      </c>
      <c r="C623" t="s">
        <v>84</v>
      </c>
      <c r="D623" t="s">
        <v>39</v>
      </c>
      <c r="E623" t="s">
        <v>14</v>
      </c>
      <c r="F623">
        <v>70</v>
      </c>
      <c r="G623">
        <v>2.8290000000000002</v>
      </c>
      <c r="H623">
        <v>1.650921295986312</v>
      </c>
    </row>
    <row r="624" spans="1:8" x14ac:dyDescent="0.35">
      <c r="A624">
        <v>229</v>
      </c>
      <c r="B624">
        <v>97</v>
      </c>
      <c r="C624" t="s">
        <v>84</v>
      </c>
      <c r="D624" t="s">
        <v>28</v>
      </c>
      <c r="E624" t="s">
        <v>13</v>
      </c>
      <c r="F624">
        <v>33</v>
      </c>
      <c r="G624">
        <v>2.73</v>
      </c>
      <c r="H624">
        <v>1.64</v>
      </c>
    </row>
    <row r="625" spans="1:8" x14ac:dyDescent="0.35">
      <c r="A625">
        <v>367</v>
      </c>
      <c r="B625">
        <v>97</v>
      </c>
      <c r="C625" t="s">
        <v>84</v>
      </c>
      <c r="D625" t="s">
        <v>28</v>
      </c>
      <c r="E625" t="s">
        <v>19</v>
      </c>
      <c r="F625">
        <v>33</v>
      </c>
      <c r="G625">
        <v>88.2</v>
      </c>
      <c r="H625">
        <v>0</v>
      </c>
    </row>
    <row r="626" spans="1:8" x14ac:dyDescent="0.35">
      <c r="A626">
        <v>32</v>
      </c>
      <c r="B626">
        <v>97</v>
      </c>
      <c r="C626" t="s">
        <v>84</v>
      </c>
      <c r="D626" t="s">
        <v>10</v>
      </c>
      <c r="E626" t="s">
        <v>22</v>
      </c>
      <c r="F626">
        <v>36</v>
      </c>
      <c r="G626">
        <v>1</v>
      </c>
      <c r="H626">
        <v>0.26</v>
      </c>
    </row>
    <row r="627" spans="1:8" x14ac:dyDescent="0.35">
      <c r="A627">
        <v>31</v>
      </c>
      <c r="B627">
        <v>97</v>
      </c>
      <c r="C627" t="s">
        <v>84</v>
      </c>
      <c r="D627" t="s">
        <v>39</v>
      </c>
      <c r="E627" t="s">
        <v>19</v>
      </c>
      <c r="F627">
        <v>69</v>
      </c>
      <c r="G627" t="s">
        <v>85</v>
      </c>
      <c r="H627" t="s">
        <v>85</v>
      </c>
    </row>
    <row r="628" spans="1:8" x14ac:dyDescent="0.35">
      <c r="A628">
        <v>24</v>
      </c>
      <c r="B628">
        <v>97</v>
      </c>
      <c r="C628" t="s">
        <v>84</v>
      </c>
      <c r="D628" t="s">
        <v>39</v>
      </c>
      <c r="E628" t="s">
        <v>16</v>
      </c>
      <c r="F628">
        <v>70</v>
      </c>
      <c r="G628">
        <v>11.71</v>
      </c>
      <c r="H628">
        <v>1.4981252539882439</v>
      </c>
    </row>
    <row r="629" spans="1:8" x14ac:dyDescent="0.35">
      <c r="A629">
        <v>11</v>
      </c>
      <c r="B629">
        <v>97</v>
      </c>
      <c r="C629" t="s">
        <v>84</v>
      </c>
      <c r="D629" t="s">
        <v>39</v>
      </c>
      <c r="E629" t="s">
        <v>22</v>
      </c>
      <c r="F629">
        <v>70</v>
      </c>
      <c r="G629">
        <v>2.8290000000000002</v>
      </c>
      <c r="H629">
        <v>1.650921295986312</v>
      </c>
    </row>
    <row r="630" spans="1:8" x14ac:dyDescent="0.35">
      <c r="A630">
        <v>32</v>
      </c>
      <c r="B630">
        <v>97</v>
      </c>
      <c r="C630" t="s">
        <v>84</v>
      </c>
      <c r="D630" t="s">
        <v>39</v>
      </c>
      <c r="E630" t="s">
        <v>13</v>
      </c>
      <c r="F630">
        <v>69</v>
      </c>
      <c r="G630">
        <v>0.56399999999999995</v>
      </c>
      <c r="H630">
        <v>0.246</v>
      </c>
    </row>
    <row r="631" spans="1:8" x14ac:dyDescent="0.35">
      <c r="A631">
        <v>609</v>
      </c>
      <c r="B631">
        <v>97</v>
      </c>
      <c r="C631" t="s">
        <v>84</v>
      </c>
      <c r="D631" t="s">
        <v>28</v>
      </c>
      <c r="E631" t="s">
        <v>14</v>
      </c>
      <c r="F631">
        <v>33</v>
      </c>
      <c r="G631">
        <v>0</v>
      </c>
      <c r="H631">
        <v>0.09</v>
      </c>
    </row>
    <row r="632" spans="1:8" x14ac:dyDescent="0.35">
      <c r="A632">
        <v>33</v>
      </c>
      <c r="B632">
        <v>97</v>
      </c>
      <c r="C632" t="s">
        <v>84</v>
      </c>
      <c r="D632" t="s">
        <v>28</v>
      </c>
      <c r="E632" t="s">
        <v>22</v>
      </c>
      <c r="F632">
        <v>33</v>
      </c>
      <c r="G632">
        <v>0</v>
      </c>
      <c r="H632">
        <v>0.09</v>
      </c>
    </row>
    <row r="633" spans="1:8" x14ac:dyDescent="0.35">
      <c r="A633">
        <v>608</v>
      </c>
      <c r="B633">
        <v>97</v>
      </c>
      <c r="C633" t="s">
        <v>84</v>
      </c>
      <c r="D633" t="s">
        <v>10</v>
      </c>
      <c r="E633" t="s">
        <v>14</v>
      </c>
      <c r="F633">
        <v>36</v>
      </c>
      <c r="G633">
        <v>1</v>
      </c>
      <c r="H633">
        <v>1.07</v>
      </c>
    </row>
    <row r="634" spans="1:8" x14ac:dyDescent="0.35">
      <c r="A634">
        <v>366</v>
      </c>
      <c r="B634">
        <v>97</v>
      </c>
      <c r="C634" t="s">
        <v>84</v>
      </c>
      <c r="D634" t="s">
        <v>10</v>
      </c>
      <c r="E634" t="s">
        <v>19</v>
      </c>
      <c r="F634">
        <v>36</v>
      </c>
      <c r="G634">
        <v>92.4</v>
      </c>
      <c r="H634">
        <v>0</v>
      </c>
    </row>
    <row r="635" spans="1:8" x14ac:dyDescent="0.35">
      <c r="A635">
        <v>430</v>
      </c>
      <c r="B635">
        <v>97</v>
      </c>
      <c r="C635" t="s">
        <v>84</v>
      </c>
      <c r="D635" t="s">
        <v>10</v>
      </c>
      <c r="E635" t="s">
        <v>16</v>
      </c>
      <c r="F635">
        <v>36</v>
      </c>
      <c r="G635">
        <v>5</v>
      </c>
      <c r="H635">
        <v>1.07</v>
      </c>
    </row>
    <row r="636" spans="1:8" x14ac:dyDescent="0.35">
      <c r="A636">
        <v>228</v>
      </c>
      <c r="B636">
        <v>97</v>
      </c>
      <c r="C636" t="s">
        <v>84</v>
      </c>
      <c r="D636" t="s">
        <v>10</v>
      </c>
      <c r="E636" t="s">
        <v>13</v>
      </c>
      <c r="F636">
        <v>36</v>
      </c>
      <c r="G636">
        <v>3.77</v>
      </c>
      <c r="H636">
        <v>2.0099999999999998</v>
      </c>
    </row>
    <row r="637" spans="1:8" x14ac:dyDescent="0.35">
      <c r="A637">
        <v>431</v>
      </c>
      <c r="B637">
        <v>97</v>
      </c>
      <c r="C637" t="s">
        <v>84</v>
      </c>
      <c r="D637" t="s">
        <v>28</v>
      </c>
      <c r="E637" t="s">
        <v>16</v>
      </c>
      <c r="F637">
        <v>33</v>
      </c>
      <c r="G637">
        <v>0</v>
      </c>
      <c r="H637">
        <v>0.09</v>
      </c>
    </row>
    <row r="638" spans="1:8" x14ac:dyDescent="0.35">
      <c r="A638">
        <v>368</v>
      </c>
      <c r="B638">
        <v>98</v>
      </c>
      <c r="C638" t="s">
        <v>86</v>
      </c>
      <c r="D638" t="s">
        <v>10</v>
      </c>
      <c r="E638" t="s">
        <v>19</v>
      </c>
      <c r="F638">
        <v>68</v>
      </c>
      <c r="G638">
        <v>96</v>
      </c>
      <c r="H638">
        <v>6.99</v>
      </c>
    </row>
    <row r="639" spans="1:8" x14ac:dyDescent="0.35">
      <c r="A639">
        <v>25</v>
      </c>
      <c r="B639">
        <v>98</v>
      </c>
      <c r="C639" t="s">
        <v>86</v>
      </c>
      <c r="D639" t="s">
        <v>36</v>
      </c>
      <c r="E639" t="s">
        <v>14</v>
      </c>
      <c r="F639">
        <v>133</v>
      </c>
      <c r="G639">
        <v>0.66</v>
      </c>
      <c r="H639">
        <v>0.84691159130617155</v>
      </c>
    </row>
    <row r="640" spans="1:8" x14ac:dyDescent="0.35">
      <c r="A640">
        <v>22</v>
      </c>
      <c r="B640">
        <v>98</v>
      </c>
      <c r="C640" t="s">
        <v>86</v>
      </c>
      <c r="D640" t="s">
        <v>36</v>
      </c>
      <c r="E640" t="s">
        <v>9</v>
      </c>
      <c r="F640">
        <v>132</v>
      </c>
      <c r="G640">
        <v>0</v>
      </c>
      <c r="H640">
        <v>0.17399999999999999</v>
      </c>
    </row>
    <row r="641" spans="1:8" x14ac:dyDescent="0.35">
      <c r="A641">
        <v>25</v>
      </c>
      <c r="B641">
        <v>98</v>
      </c>
      <c r="C641" t="s">
        <v>86</v>
      </c>
      <c r="D641" t="s">
        <v>36</v>
      </c>
      <c r="E641" t="s">
        <v>16</v>
      </c>
      <c r="F641">
        <v>133</v>
      </c>
      <c r="G641">
        <v>0.58399999999999996</v>
      </c>
      <c r="H641">
        <v>0.35164496818654079</v>
      </c>
    </row>
    <row r="642" spans="1:8" x14ac:dyDescent="0.35">
      <c r="A642">
        <v>32</v>
      </c>
      <c r="B642">
        <v>98</v>
      </c>
      <c r="C642" t="s">
        <v>86</v>
      </c>
      <c r="D642" t="s">
        <v>36</v>
      </c>
      <c r="E642" t="s">
        <v>19</v>
      </c>
      <c r="F642">
        <v>132</v>
      </c>
      <c r="G642">
        <v>0.46600000000000003</v>
      </c>
      <c r="H642">
        <v>0.17699999999999999</v>
      </c>
    </row>
    <row r="643" spans="1:8" x14ac:dyDescent="0.35">
      <c r="A643">
        <v>432</v>
      </c>
      <c r="B643">
        <v>98</v>
      </c>
      <c r="C643" t="s">
        <v>86</v>
      </c>
      <c r="D643" t="s">
        <v>10</v>
      </c>
      <c r="E643" t="s">
        <v>16</v>
      </c>
      <c r="F643">
        <v>68</v>
      </c>
      <c r="G643">
        <v>26</v>
      </c>
      <c r="H643">
        <v>0.31</v>
      </c>
    </row>
    <row r="644" spans="1:8" x14ac:dyDescent="0.35">
      <c r="A644">
        <v>610</v>
      </c>
      <c r="B644">
        <v>98</v>
      </c>
      <c r="C644" t="s">
        <v>86</v>
      </c>
      <c r="D644" t="s">
        <v>10</v>
      </c>
      <c r="E644" t="s">
        <v>14</v>
      </c>
      <c r="F644">
        <v>68</v>
      </c>
      <c r="G644">
        <v>2</v>
      </c>
      <c r="H644">
        <v>0.31</v>
      </c>
    </row>
    <row r="645" spans="1:8" x14ac:dyDescent="0.35">
      <c r="A645">
        <v>547</v>
      </c>
      <c r="B645">
        <v>98</v>
      </c>
      <c r="C645" t="s">
        <v>86</v>
      </c>
      <c r="D645" t="s">
        <v>35</v>
      </c>
      <c r="E645" t="s">
        <v>15</v>
      </c>
      <c r="F645">
        <v>64</v>
      </c>
      <c r="G645">
        <v>6</v>
      </c>
      <c r="H645">
        <v>0.9</v>
      </c>
    </row>
    <row r="646" spans="1:8" x14ac:dyDescent="0.35">
      <c r="A646">
        <v>289</v>
      </c>
      <c r="B646">
        <v>98</v>
      </c>
      <c r="C646" t="s">
        <v>86</v>
      </c>
      <c r="D646" t="s">
        <v>35</v>
      </c>
      <c r="E646" t="s">
        <v>17</v>
      </c>
      <c r="F646">
        <v>64</v>
      </c>
      <c r="G646">
        <v>35</v>
      </c>
      <c r="H646">
        <v>0.9</v>
      </c>
    </row>
    <row r="647" spans="1:8" x14ac:dyDescent="0.35">
      <c r="A647">
        <v>611</v>
      </c>
      <c r="B647">
        <v>98</v>
      </c>
      <c r="C647" t="s">
        <v>86</v>
      </c>
      <c r="D647" t="s">
        <v>35</v>
      </c>
      <c r="E647" t="s">
        <v>14</v>
      </c>
      <c r="F647">
        <v>64</v>
      </c>
      <c r="G647">
        <v>3</v>
      </c>
      <c r="H647">
        <v>0.46</v>
      </c>
    </row>
    <row r="648" spans="1:8" x14ac:dyDescent="0.35">
      <c r="A648">
        <v>433</v>
      </c>
      <c r="B648">
        <v>98</v>
      </c>
      <c r="C648" t="s">
        <v>86</v>
      </c>
      <c r="D648" t="s">
        <v>35</v>
      </c>
      <c r="E648" t="s">
        <v>16</v>
      </c>
      <c r="F648">
        <v>64</v>
      </c>
      <c r="G648">
        <v>33</v>
      </c>
      <c r="H648">
        <v>0.46</v>
      </c>
    </row>
    <row r="649" spans="1:8" x14ac:dyDescent="0.35">
      <c r="A649">
        <v>288</v>
      </c>
      <c r="B649">
        <v>98</v>
      </c>
      <c r="C649" t="s">
        <v>86</v>
      </c>
      <c r="D649" t="s">
        <v>10</v>
      </c>
      <c r="E649" t="s">
        <v>17</v>
      </c>
      <c r="F649">
        <v>68</v>
      </c>
      <c r="G649">
        <v>36</v>
      </c>
      <c r="H649">
        <v>0.57999999999999996</v>
      </c>
    </row>
    <row r="650" spans="1:8" x14ac:dyDescent="0.35">
      <c r="A650">
        <v>490</v>
      </c>
      <c r="B650">
        <v>98</v>
      </c>
      <c r="C650" t="s">
        <v>86</v>
      </c>
      <c r="D650" t="s">
        <v>10</v>
      </c>
      <c r="E650" t="s">
        <v>9</v>
      </c>
      <c r="F650">
        <v>68</v>
      </c>
      <c r="G650">
        <v>5</v>
      </c>
      <c r="H650">
        <v>1.48</v>
      </c>
    </row>
    <row r="651" spans="1:8" x14ac:dyDescent="0.35">
      <c r="A651">
        <v>369</v>
      </c>
      <c r="B651">
        <v>98</v>
      </c>
      <c r="C651" t="s">
        <v>86</v>
      </c>
      <c r="D651" t="s">
        <v>35</v>
      </c>
      <c r="E651" t="s">
        <v>19</v>
      </c>
      <c r="F651">
        <v>64</v>
      </c>
      <c r="G651">
        <v>93</v>
      </c>
      <c r="H651">
        <v>5.78</v>
      </c>
    </row>
    <row r="652" spans="1:8" x14ac:dyDescent="0.35">
      <c r="A652">
        <v>491</v>
      </c>
      <c r="B652">
        <v>98</v>
      </c>
      <c r="C652" t="s">
        <v>86</v>
      </c>
      <c r="D652" t="s">
        <v>35</v>
      </c>
      <c r="E652" t="s">
        <v>9</v>
      </c>
      <c r="F652">
        <v>64</v>
      </c>
      <c r="G652">
        <v>5</v>
      </c>
      <c r="H652">
        <v>1.07</v>
      </c>
    </row>
    <row r="653" spans="1:8" x14ac:dyDescent="0.35">
      <c r="A653">
        <v>19</v>
      </c>
      <c r="B653">
        <v>98</v>
      </c>
      <c r="C653" t="s">
        <v>86</v>
      </c>
      <c r="D653" t="s">
        <v>36</v>
      </c>
      <c r="E653" t="s">
        <v>17</v>
      </c>
      <c r="F653">
        <v>133</v>
      </c>
      <c r="G653">
        <v>0.93200000000000005</v>
      </c>
      <c r="H653">
        <v>0.34828010706781592</v>
      </c>
    </row>
    <row r="654" spans="1:8" x14ac:dyDescent="0.35">
      <c r="A654">
        <v>546</v>
      </c>
      <c r="B654">
        <v>98</v>
      </c>
      <c r="C654" t="s">
        <v>86</v>
      </c>
      <c r="D654" t="s">
        <v>10</v>
      </c>
      <c r="E654" t="s">
        <v>15</v>
      </c>
      <c r="F654">
        <v>68</v>
      </c>
      <c r="G654">
        <v>4</v>
      </c>
      <c r="H654">
        <v>0.57999999999999996</v>
      </c>
    </row>
    <row r="655" spans="1:8" x14ac:dyDescent="0.35">
      <c r="A655">
        <v>19</v>
      </c>
      <c r="B655">
        <v>98</v>
      </c>
      <c r="C655" t="s">
        <v>86</v>
      </c>
      <c r="D655" t="s">
        <v>36</v>
      </c>
      <c r="E655" t="s">
        <v>15</v>
      </c>
      <c r="F655">
        <v>133</v>
      </c>
      <c r="G655">
        <v>0.627</v>
      </c>
      <c r="H655">
        <v>0.63948006644360766</v>
      </c>
    </row>
    <row r="656" spans="1:8" x14ac:dyDescent="0.35">
      <c r="A656">
        <v>232</v>
      </c>
      <c r="B656">
        <v>100</v>
      </c>
      <c r="C656" t="s">
        <v>87</v>
      </c>
      <c r="D656" t="s">
        <v>8</v>
      </c>
      <c r="E656" t="s">
        <v>13</v>
      </c>
      <c r="F656">
        <v>40</v>
      </c>
      <c r="G656">
        <v>0.4</v>
      </c>
      <c r="H656">
        <v>0.6</v>
      </c>
    </row>
    <row r="657" spans="1:8" x14ac:dyDescent="0.35">
      <c r="A657">
        <v>123</v>
      </c>
      <c r="B657">
        <v>100</v>
      </c>
      <c r="C657" t="s">
        <v>87</v>
      </c>
      <c r="D657" t="s">
        <v>10</v>
      </c>
      <c r="E657" t="s">
        <v>27</v>
      </c>
      <c r="F657">
        <v>39</v>
      </c>
      <c r="G657">
        <v>88</v>
      </c>
      <c r="H657">
        <v>9</v>
      </c>
    </row>
    <row r="658" spans="1:8" x14ac:dyDescent="0.35">
      <c r="A658">
        <v>233</v>
      </c>
      <c r="B658">
        <v>100</v>
      </c>
      <c r="C658" t="s">
        <v>87</v>
      </c>
      <c r="D658" t="s">
        <v>10</v>
      </c>
      <c r="E658" t="s">
        <v>13</v>
      </c>
      <c r="F658">
        <v>39</v>
      </c>
      <c r="G658">
        <v>1.1000000000000001</v>
      </c>
      <c r="H658">
        <v>1.9</v>
      </c>
    </row>
    <row r="659" spans="1:8" x14ac:dyDescent="0.35">
      <c r="A659">
        <v>33</v>
      </c>
      <c r="B659">
        <v>100</v>
      </c>
      <c r="C659" t="s">
        <v>87</v>
      </c>
      <c r="D659" t="s">
        <v>11</v>
      </c>
      <c r="E659" t="s">
        <v>13</v>
      </c>
      <c r="F659">
        <v>79</v>
      </c>
      <c r="G659">
        <v>0.5</v>
      </c>
      <c r="H659">
        <v>0.22900000000000001</v>
      </c>
    </row>
    <row r="660" spans="1:8" x14ac:dyDescent="0.35">
      <c r="A660">
        <v>25</v>
      </c>
      <c r="B660">
        <v>100</v>
      </c>
      <c r="C660" t="s">
        <v>87</v>
      </c>
      <c r="D660" t="s">
        <v>11</v>
      </c>
      <c r="E660" t="s">
        <v>27</v>
      </c>
      <c r="F660">
        <v>79</v>
      </c>
      <c r="G660">
        <v>0.38500000000000001</v>
      </c>
      <c r="H660">
        <v>0.22700000000000001</v>
      </c>
    </row>
    <row r="661" spans="1:8" x14ac:dyDescent="0.35">
      <c r="A661">
        <v>122</v>
      </c>
      <c r="B661">
        <v>100</v>
      </c>
      <c r="C661" t="s">
        <v>87</v>
      </c>
      <c r="D661" t="s">
        <v>8</v>
      </c>
      <c r="E661" t="s">
        <v>27</v>
      </c>
      <c r="F661">
        <v>40</v>
      </c>
      <c r="G661">
        <v>82</v>
      </c>
      <c r="H66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E81BD-89CD-4D1C-A914-D6EC6E085298}">
  <dimension ref="A1:J162"/>
  <sheetViews>
    <sheetView tabSelected="1" workbookViewId="0">
      <selection activeCell="M6" sqref="M6"/>
    </sheetView>
  </sheetViews>
  <sheetFormatPr defaultRowHeight="14.5" x14ac:dyDescent="0.35"/>
  <cols>
    <col min="5" max="5" width="13.6328125" bestFit="1" customWidth="1"/>
  </cols>
  <sheetData>
    <row r="1" spans="1:10" ht="15" thickBot="1" x14ac:dyDescent="0.4">
      <c r="A1" s="1" t="s">
        <v>88</v>
      </c>
      <c r="B1" s="2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10" x14ac:dyDescent="0.35">
      <c r="A2" s="3">
        <v>1</v>
      </c>
      <c r="B2" s="4" t="s">
        <v>7</v>
      </c>
      <c r="C2" s="3" t="s">
        <v>9</v>
      </c>
      <c r="D2" s="3">
        <v>36</v>
      </c>
      <c r="E2" s="3">
        <v>0.74399999999999999</v>
      </c>
      <c r="F2" s="3">
        <v>0.34699999999999998</v>
      </c>
      <c r="G2">
        <f>1.96*F2</f>
        <v>0.68011999999999995</v>
      </c>
      <c r="H2" t="str">
        <f>TEXT(E2-G2,"#0.00")</f>
        <v>0.06</v>
      </c>
      <c r="I2" t="str">
        <f>TEXT(E2+G2,"0.00")</f>
        <v>1.42</v>
      </c>
      <c r="J2" t="str">
        <f>E2&amp;" ["&amp;H2&amp;", "&amp;I2&amp;"]"</f>
        <v>0.744 [0.06, 1.42]</v>
      </c>
    </row>
    <row r="3" spans="1:10" x14ac:dyDescent="0.35">
      <c r="A3" s="3">
        <v>2</v>
      </c>
      <c r="B3" s="6" t="s">
        <v>12</v>
      </c>
      <c r="C3" s="3" t="s">
        <v>13</v>
      </c>
      <c r="D3" s="3">
        <v>120</v>
      </c>
      <c r="E3" s="3">
        <v>0.20899999999999999</v>
      </c>
      <c r="F3" s="3">
        <v>0.183</v>
      </c>
      <c r="G3">
        <f t="shared" ref="G3:G8" si="0">1.96*F3</f>
        <v>0.35868</v>
      </c>
      <c r="H3" t="str">
        <f t="shared" ref="H3:H66" si="1">TEXT(E3-G3,"#0.00")</f>
        <v>-0.15</v>
      </c>
      <c r="I3" t="str">
        <f t="shared" ref="I3:I66" si="2">TEXT(E3+G3,"0.00")</f>
        <v>0.57</v>
      </c>
      <c r="J3" t="str">
        <f t="shared" ref="J3:J8" si="3">E3&amp;" ["&amp;H3&amp;", "&amp;I3&amp;"]"</f>
        <v>0.209 [-0.15, 0.57]</v>
      </c>
    </row>
    <row r="4" spans="1:10" x14ac:dyDescent="0.35">
      <c r="A4" s="3">
        <v>2</v>
      </c>
      <c r="B4" s="6"/>
      <c r="C4" s="3" t="s">
        <v>17</v>
      </c>
      <c r="D4" s="3">
        <v>121</v>
      </c>
      <c r="E4" s="3">
        <v>1</v>
      </c>
      <c r="F4" s="3">
        <v>2.0083160439999999</v>
      </c>
      <c r="G4">
        <f t="shared" si="0"/>
        <v>3.9362994462399996</v>
      </c>
      <c r="H4" t="str">
        <f t="shared" si="1"/>
        <v>-2.94</v>
      </c>
      <c r="I4" t="str">
        <f t="shared" si="2"/>
        <v>4.94</v>
      </c>
      <c r="J4" t="str">
        <f t="shared" si="3"/>
        <v>1 [-2.94, 4.94]</v>
      </c>
    </row>
    <row r="5" spans="1:10" x14ac:dyDescent="0.35">
      <c r="A5" s="3">
        <v>2</v>
      </c>
      <c r="B5" s="6"/>
      <c r="C5" s="3" t="s">
        <v>15</v>
      </c>
      <c r="D5" s="3">
        <v>121</v>
      </c>
      <c r="E5" s="3">
        <v>1</v>
      </c>
      <c r="F5" s="3">
        <v>2.0083160439999999</v>
      </c>
      <c r="G5">
        <f t="shared" si="0"/>
        <v>3.9362994462399996</v>
      </c>
      <c r="H5" t="str">
        <f t="shared" si="1"/>
        <v>-2.94</v>
      </c>
      <c r="I5" t="str">
        <f t="shared" si="2"/>
        <v>4.94</v>
      </c>
      <c r="J5" t="str">
        <f t="shared" si="3"/>
        <v>1 [-2.94, 4.94]</v>
      </c>
    </row>
    <row r="6" spans="1:10" x14ac:dyDescent="0.35">
      <c r="A6" s="3">
        <v>2</v>
      </c>
      <c r="B6" s="6"/>
      <c r="C6" s="3" t="s">
        <v>16</v>
      </c>
      <c r="D6" s="3">
        <v>121</v>
      </c>
      <c r="E6" s="3">
        <v>0.89500000000000002</v>
      </c>
      <c r="F6" s="3">
        <v>0.47180799099999998</v>
      </c>
      <c r="G6">
        <f t="shared" si="0"/>
        <v>0.92474366235999994</v>
      </c>
      <c r="H6" t="str">
        <f t="shared" si="1"/>
        <v>-0.03</v>
      </c>
      <c r="I6" t="str">
        <f t="shared" si="2"/>
        <v>1.82</v>
      </c>
      <c r="J6" t="str">
        <f t="shared" si="3"/>
        <v>0.895 [-0.03, 1.82]</v>
      </c>
    </row>
    <row r="7" spans="1:10" x14ac:dyDescent="0.35">
      <c r="A7" s="3">
        <v>2</v>
      </c>
      <c r="B7" s="6"/>
      <c r="C7" s="3" t="s">
        <v>14</v>
      </c>
      <c r="D7" s="3">
        <v>121</v>
      </c>
      <c r="E7" s="3">
        <v>1</v>
      </c>
      <c r="F7" s="3">
        <v>2.0083160439999999</v>
      </c>
      <c r="G7">
        <f t="shared" si="0"/>
        <v>3.9362994462399996</v>
      </c>
      <c r="H7" t="str">
        <f t="shared" si="1"/>
        <v>-2.94</v>
      </c>
      <c r="I7" t="str">
        <f t="shared" si="2"/>
        <v>4.94</v>
      </c>
      <c r="J7" t="str">
        <f t="shared" si="3"/>
        <v>1 [-2.94, 4.94]</v>
      </c>
    </row>
    <row r="8" spans="1:10" x14ac:dyDescent="0.35">
      <c r="A8" s="3">
        <v>3</v>
      </c>
      <c r="B8" s="6" t="s">
        <v>18</v>
      </c>
      <c r="C8" s="3" t="s">
        <v>13</v>
      </c>
      <c r="D8" s="3">
        <v>47</v>
      </c>
      <c r="E8" s="3">
        <v>0.40100000000000002</v>
      </c>
      <c r="F8" s="3">
        <v>0.29499999999999998</v>
      </c>
      <c r="G8">
        <f t="shared" si="0"/>
        <v>0.57819999999999994</v>
      </c>
      <c r="H8" t="str">
        <f t="shared" si="1"/>
        <v>-0.18</v>
      </c>
      <c r="I8" t="str">
        <f t="shared" si="2"/>
        <v>0.98</v>
      </c>
      <c r="J8" t="str">
        <f t="shared" si="3"/>
        <v>0.401 [-0.18, 0.98]</v>
      </c>
    </row>
    <row r="9" spans="1:10" x14ac:dyDescent="0.35">
      <c r="A9" s="3">
        <v>3</v>
      </c>
      <c r="B9" s="6"/>
      <c r="C9" s="3" t="s">
        <v>19</v>
      </c>
      <c r="D9" s="3">
        <v>47</v>
      </c>
      <c r="E9" s="3">
        <v>8.4000000000000005E-2</v>
      </c>
      <c r="F9" s="3">
        <v>0.29199999999999998</v>
      </c>
      <c r="G9">
        <f t="shared" ref="G9:G72" si="4">1.96*F9</f>
        <v>0.57231999999999994</v>
      </c>
      <c r="H9" t="str">
        <f t="shared" si="1"/>
        <v>-0.49</v>
      </c>
      <c r="I9" t="str">
        <f t="shared" si="2"/>
        <v>0.66</v>
      </c>
      <c r="J9" t="str">
        <f t="shared" ref="J9:J72" si="5">E9&amp;" ["&amp;H9&amp;", "&amp;I9&amp;"]"</f>
        <v>0.084 [-0.49, 0.66]</v>
      </c>
    </row>
    <row r="10" spans="1:10" x14ac:dyDescent="0.35">
      <c r="A10" s="3">
        <v>3</v>
      </c>
      <c r="B10" s="6"/>
      <c r="C10" s="3" t="s">
        <v>9</v>
      </c>
      <c r="D10" s="3">
        <v>47</v>
      </c>
      <c r="E10" s="3">
        <v>5.0000000000000001E-3</v>
      </c>
      <c r="F10" s="3">
        <v>0.29199999999999998</v>
      </c>
      <c r="G10">
        <f t="shared" si="4"/>
        <v>0.57231999999999994</v>
      </c>
      <c r="H10" t="str">
        <f t="shared" si="1"/>
        <v>-0.57</v>
      </c>
      <c r="I10" t="str">
        <f t="shared" si="2"/>
        <v>0.58</v>
      </c>
      <c r="J10" t="str">
        <f t="shared" si="5"/>
        <v>0.005 [-0.57, 0.58]</v>
      </c>
    </row>
    <row r="11" spans="1:10" x14ac:dyDescent="0.35">
      <c r="A11" s="3">
        <v>5</v>
      </c>
      <c r="B11" s="6" t="s">
        <v>20</v>
      </c>
      <c r="C11" s="3" t="s">
        <v>13</v>
      </c>
      <c r="D11" s="3">
        <v>68</v>
      </c>
      <c r="E11" s="3">
        <v>0.46500000000000002</v>
      </c>
      <c r="F11" s="3">
        <v>0.246</v>
      </c>
      <c r="G11">
        <f t="shared" si="4"/>
        <v>0.48215999999999998</v>
      </c>
      <c r="H11" t="str">
        <f t="shared" si="1"/>
        <v>-0.02</v>
      </c>
      <c r="I11" t="str">
        <f t="shared" si="2"/>
        <v>0.95</v>
      </c>
      <c r="J11" t="str">
        <f t="shared" si="5"/>
        <v>0.465 [-0.02, 0.95]</v>
      </c>
    </row>
    <row r="12" spans="1:10" ht="16" x14ac:dyDescent="0.4">
      <c r="A12" s="3">
        <v>5</v>
      </c>
      <c r="B12" s="6"/>
      <c r="C12" s="3" t="s">
        <v>16</v>
      </c>
      <c r="D12" s="3">
        <v>69</v>
      </c>
      <c r="E12" s="3">
        <v>-8.8999999999999996E-2</v>
      </c>
      <c r="F12" s="5"/>
      <c r="G12">
        <f t="shared" si="4"/>
        <v>0</v>
      </c>
      <c r="H12" t="str">
        <f t="shared" si="1"/>
        <v>-0.09</v>
      </c>
      <c r="I12" t="str">
        <f t="shared" si="2"/>
        <v>-0.09</v>
      </c>
      <c r="J12" t="str">
        <f t="shared" si="5"/>
        <v>-0.089 [-0.09, -0.09]</v>
      </c>
    </row>
    <row r="13" spans="1:10" x14ac:dyDescent="0.35">
      <c r="A13" s="3">
        <v>5</v>
      </c>
      <c r="B13" s="6"/>
      <c r="C13" s="3" t="s">
        <v>14</v>
      </c>
      <c r="D13" s="3">
        <v>69</v>
      </c>
      <c r="E13" s="3">
        <v>0.16900000000000001</v>
      </c>
      <c r="F13" s="3">
        <v>0.56351258400000004</v>
      </c>
      <c r="G13">
        <f t="shared" si="4"/>
        <v>1.1044846646399999</v>
      </c>
      <c r="H13" t="str">
        <f t="shared" si="1"/>
        <v>-0.94</v>
      </c>
      <c r="I13" t="str">
        <f t="shared" si="2"/>
        <v>1.27</v>
      </c>
      <c r="J13" t="str">
        <f t="shared" si="5"/>
        <v>0.169 [-0.94, 1.27]</v>
      </c>
    </row>
    <row r="14" spans="1:10" x14ac:dyDescent="0.35">
      <c r="A14" s="3">
        <v>6</v>
      </c>
      <c r="B14" s="4" t="s">
        <v>21</v>
      </c>
      <c r="C14" s="3" t="s">
        <v>22</v>
      </c>
      <c r="D14" s="3">
        <v>17</v>
      </c>
      <c r="E14" s="3">
        <v>1</v>
      </c>
      <c r="F14" s="3">
        <v>2.061552813</v>
      </c>
      <c r="G14">
        <f t="shared" si="4"/>
        <v>4.0406435134800001</v>
      </c>
      <c r="H14" t="str">
        <f t="shared" si="1"/>
        <v>-3.04</v>
      </c>
      <c r="I14" t="str">
        <f t="shared" si="2"/>
        <v>5.04</v>
      </c>
      <c r="J14" t="str">
        <f t="shared" si="5"/>
        <v>1 [-3.04, 5.04]</v>
      </c>
    </row>
    <row r="15" spans="1:10" x14ac:dyDescent="0.35">
      <c r="A15" s="3">
        <v>7</v>
      </c>
      <c r="B15" s="4" t="s">
        <v>23</v>
      </c>
      <c r="C15" s="3" t="s">
        <v>13</v>
      </c>
      <c r="D15" s="3">
        <v>61</v>
      </c>
      <c r="E15" s="3">
        <v>0.16</v>
      </c>
      <c r="F15" s="3">
        <v>0.25700000000000001</v>
      </c>
      <c r="G15">
        <f t="shared" si="4"/>
        <v>0.50372000000000006</v>
      </c>
      <c r="H15" t="str">
        <f t="shared" si="1"/>
        <v>-0.34</v>
      </c>
      <c r="I15" t="str">
        <f t="shared" si="2"/>
        <v>0.66</v>
      </c>
      <c r="J15" t="str">
        <f t="shared" si="5"/>
        <v>0.16 [-0.34, 0.66]</v>
      </c>
    </row>
    <row r="16" spans="1:10" x14ac:dyDescent="0.35">
      <c r="A16" s="3">
        <v>9</v>
      </c>
      <c r="B16" s="6" t="s">
        <v>24</v>
      </c>
      <c r="C16" s="3" t="s">
        <v>19</v>
      </c>
      <c r="D16" s="3">
        <v>153</v>
      </c>
      <c r="E16" s="3">
        <v>4.9000000000000002E-2</v>
      </c>
      <c r="F16" s="3">
        <v>0.16200000000000001</v>
      </c>
      <c r="G16">
        <f t="shared" si="4"/>
        <v>0.31752000000000002</v>
      </c>
      <c r="H16" t="str">
        <f t="shared" si="1"/>
        <v>-0.27</v>
      </c>
      <c r="I16" t="str">
        <f t="shared" si="2"/>
        <v>0.37</v>
      </c>
      <c r="J16" t="str">
        <f t="shared" si="5"/>
        <v>0.049 [-0.27, 0.37]</v>
      </c>
    </row>
    <row r="17" spans="1:10" x14ac:dyDescent="0.35">
      <c r="A17" s="3">
        <v>9</v>
      </c>
      <c r="B17" s="6"/>
      <c r="C17" s="3" t="s">
        <v>9</v>
      </c>
      <c r="D17" s="3">
        <v>153</v>
      </c>
      <c r="E17" s="3">
        <v>0.92300000000000004</v>
      </c>
      <c r="F17" s="3">
        <v>0.17</v>
      </c>
      <c r="G17">
        <f t="shared" si="4"/>
        <v>0.3332</v>
      </c>
      <c r="H17" t="str">
        <f t="shared" si="1"/>
        <v>0.59</v>
      </c>
      <c r="I17" t="str">
        <f t="shared" si="2"/>
        <v>1.26</v>
      </c>
      <c r="J17" t="str">
        <f t="shared" si="5"/>
        <v>0.923 [0.59, 1.26]</v>
      </c>
    </row>
    <row r="18" spans="1:10" x14ac:dyDescent="0.35">
      <c r="A18" s="3">
        <v>11</v>
      </c>
      <c r="B18" s="6" t="s">
        <v>29</v>
      </c>
      <c r="C18" s="3" t="s">
        <v>17</v>
      </c>
      <c r="D18" s="3">
        <v>45</v>
      </c>
      <c r="E18" s="3">
        <v>0.14599999999999999</v>
      </c>
      <c r="F18" s="3">
        <v>0.85671796600000005</v>
      </c>
      <c r="G18">
        <f t="shared" si="4"/>
        <v>1.67916721336</v>
      </c>
      <c r="H18" t="str">
        <f t="shared" si="1"/>
        <v>-1.53</v>
      </c>
      <c r="I18" t="str">
        <f t="shared" si="2"/>
        <v>1.83</v>
      </c>
      <c r="J18" t="str">
        <f t="shared" si="5"/>
        <v>0.146 [-1.53, 1.83]</v>
      </c>
    </row>
    <row r="19" spans="1:10" x14ac:dyDescent="0.35">
      <c r="A19" s="3">
        <v>11</v>
      </c>
      <c r="B19" s="6"/>
      <c r="C19" s="3" t="s">
        <v>15</v>
      </c>
      <c r="D19" s="3">
        <v>45</v>
      </c>
      <c r="E19" s="3">
        <v>3</v>
      </c>
      <c r="F19" s="3">
        <v>0.62063289099999996</v>
      </c>
      <c r="G19">
        <f t="shared" si="4"/>
        <v>1.2164404663599999</v>
      </c>
      <c r="H19" t="str">
        <f t="shared" si="1"/>
        <v>1.78</v>
      </c>
      <c r="I19" t="str">
        <f t="shared" si="2"/>
        <v>4.22</v>
      </c>
      <c r="J19" t="str">
        <f t="shared" si="5"/>
        <v>3 [1.78, 4.22]</v>
      </c>
    </row>
    <row r="20" spans="1:10" x14ac:dyDescent="0.35">
      <c r="A20" s="3">
        <v>11</v>
      </c>
      <c r="B20" s="6"/>
      <c r="C20" s="3" t="s">
        <v>16</v>
      </c>
      <c r="D20" s="3">
        <v>45</v>
      </c>
      <c r="E20" s="3">
        <v>0.252</v>
      </c>
      <c r="F20" s="3">
        <v>0.72147910500000001</v>
      </c>
      <c r="G20">
        <f t="shared" si="4"/>
        <v>1.4140990458</v>
      </c>
      <c r="H20" t="str">
        <f t="shared" si="1"/>
        <v>-1.16</v>
      </c>
      <c r="I20" t="str">
        <f t="shared" si="2"/>
        <v>1.67</v>
      </c>
      <c r="J20" t="str">
        <f t="shared" si="5"/>
        <v>0.252 [-1.16, 1.67]</v>
      </c>
    </row>
    <row r="21" spans="1:10" x14ac:dyDescent="0.35">
      <c r="A21" s="3">
        <v>11</v>
      </c>
      <c r="B21" s="6"/>
      <c r="C21" s="3" t="s">
        <v>14</v>
      </c>
      <c r="D21" s="3">
        <v>45</v>
      </c>
      <c r="E21" s="3">
        <v>5.6879999999999997</v>
      </c>
      <c r="F21" s="3">
        <v>0.96469262899999997</v>
      </c>
      <c r="G21">
        <f t="shared" si="4"/>
        <v>1.8907975528399998</v>
      </c>
      <c r="H21" t="str">
        <f t="shared" si="1"/>
        <v>3.80</v>
      </c>
      <c r="I21" t="str">
        <f t="shared" si="2"/>
        <v>7.58</v>
      </c>
      <c r="J21" t="str">
        <f t="shared" si="5"/>
        <v>5.688 [3.80, 7.58]</v>
      </c>
    </row>
    <row r="22" spans="1:10" x14ac:dyDescent="0.35">
      <c r="A22" s="3">
        <v>13</v>
      </c>
      <c r="B22" s="6" t="s">
        <v>33</v>
      </c>
      <c r="C22" s="3" t="s">
        <v>27</v>
      </c>
      <c r="D22" s="3">
        <v>147</v>
      </c>
      <c r="E22" s="3">
        <v>0.34100000000000003</v>
      </c>
      <c r="F22" s="3">
        <v>0.16900000000000001</v>
      </c>
      <c r="G22">
        <f t="shared" si="4"/>
        <v>0.33124000000000003</v>
      </c>
      <c r="H22" t="str">
        <f t="shared" si="1"/>
        <v>0.01</v>
      </c>
      <c r="I22" t="str">
        <f t="shared" si="2"/>
        <v>0.67</v>
      </c>
      <c r="J22" t="str">
        <f t="shared" si="5"/>
        <v>0.341 [0.01, 0.67]</v>
      </c>
    </row>
    <row r="23" spans="1:10" x14ac:dyDescent="0.35">
      <c r="A23" s="3">
        <v>13</v>
      </c>
      <c r="B23" s="6"/>
      <c r="C23" s="3" t="s">
        <v>17</v>
      </c>
      <c r="D23" s="3">
        <v>148</v>
      </c>
      <c r="E23" s="3">
        <v>0.27600000000000002</v>
      </c>
      <c r="F23" s="3">
        <v>0.36774102400000003</v>
      </c>
      <c r="G23">
        <f t="shared" si="4"/>
        <v>0.72077240704000001</v>
      </c>
      <c r="H23" t="str">
        <f t="shared" si="1"/>
        <v>-0.44</v>
      </c>
      <c r="I23" t="str">
        <f t="shared" si="2"/>
        <v>1.00</v>
      </c>
      <c r="J23" t="str">
        <f t="shared" si="5"/>
        <v>0.276 [-0.44, 1.00]</v>
      </c>
    </row>
    <row r="24" spans="1:10" x14ac:dyDescent="0.35">
      <c r="A24" s="3">
        <v>13</v>
      </c>
      <c r="B24" s="6"/>
      <c r="C24" s="3" t="s">
        <v>15</v>
      </c>
      <c r="D24" s="3">
        <v>148</v>
      </c>
      <c r="E24" s="3">
        <v>0.42</v>
      </c>
      <c r="F24" s="3">
        <v>0.46232899</v>
      </c>
      <c r="G24">
        <f t="shared" si="4"/>
        <v>0.90616482040000002</v>
      </c>
      <c r="H24" t="str">
        <f t="shared" si="1"/>
        <v>-0.49</v>
      </c>
      <c r="I24" t="str">
        <f t="shared" si="2"/>
        <v>1.33</v>
      </c>
      <c r="J24" t="str">
        <f t="shared" si="5"/>
        <v>0.42 [-0.49, 1.33]</v>
      </c>
    </row>
    <row r="25" spans="1:10" x14ac:dyDescent="0.35">
      <c r="A25" s="3">
        <v>13</v>
      </c>
      <c r="B25" s="6"/>
      <c r="C25" s="3" t="s">
        <v>19</v>
      </c>
      <c r="D25" s="3">
        <v>147</v>
      </c>
      <c r="E25" s="3">
        <v>8.1000000000000003E-2</v>
      </c>
      <c r="F25" s="3">
        <v>0.16700000000000001</v>
      </c>
      <c r="G25">
        <f t="shared" si="4"/>
        <v>0.32732</v>
      </c>
      <c r="H25" t="str">
        <f t="shared" si="1"/>
        <v>-0.25</v>
      </c>
      <c r="I25" t="str">
        <f t="shared" si="2"/>
        <v>0.41</v>
      </c>
      <c r="J25" t="str">
        <f t="shared" si="5"/>
        <v>0.081 [-0.25, 0.41]</v>
      </c>
    </row>
    <row r="26" spans="1:10" x14ac:dyDescent="0.35">
      <c r="A26" s="3">
        <v>13</v>
      </c>
      <c r="B26" s="6"/>
      <c r="C26" s="3" t="s">
        <v>16</v>
      </c>
      <c r="D26" s="3">
        <v>148</v>
      </c>
      <c r="E26" s="3">
        <v>1.5409999999999999</v>
      </c>
      <c r="F26" s="3">
        <v>0.34443631699999999</v>
      </c>
      <c r="G26">
        <f t="shared" si="4"/>
        <v>0.67509518132000002</v>
      </c>
      <c r="H26" t="str">
        <f t="shared" si="1"/>
        <v>0.87</v>
      </c>
      <c r="I26" t="str">
        <f t="shared" si="2"/>
        <v>2.22</v>
      </c>
      <c r="J26" t="str">
        <f t="shared" si="5"/>
        <v>1.541 [0.87, 2.22]</v>
      </c>
    </row>
    <row r="27" spans="1:10" x14ac:dyDescent="0.35">
      <c r="A27" s="3">
        <v>13</v>
      </c>
      <c r="B27" s="6"/>
      <c r="C27" s="3" t="s">
        <v>14</v>
      </c>
      <c r="D27" s="3">
        <v>148</v>
      </c>
      <c r="E27" s="3">
        <v>1.379</v>
      </c>
      <c r="F27" s="3">
        <v>0.433798187</v>
      </c>
      <c r="G27">
        <f t="shared" si="4"/>
        <v>0.85024444651999997</v>
      </c>
      <c r="H27" t="str">
        <f t="shared" si="1"/>
        <v>0.53</v>
      </c>
      <c r="I27" t="str">
        <f t="shared" si="2"/>
        <v>2.23</v>
      </c>
      <c r="J27" t="str">
        <f t="shared" si="5"/>
        <v>1.379 [0.53, 2.23]</v>
      </c>
    </row>
    <row r="28" spans="1:10" x14ac:dyDescent="0.35">
      <c r="A28" s="3">
        <v>13</v>
      </c>
      <c r="B28" s="6"/>
      <c r="C28" s="3" t="s">
        <v>9</v>
      </c>
      <c r="D28" s="3">
        <v>147</v>
      </c>
      <c r="E28" s="3">
        <v>5.8999999999999997E-2</v>
      </c>
      <c r="F28" s="3">
        <v>0.16700000000000001</v>
      </c>
      <c r="G28">
        <f t="shared" si="4"/>
        <v>0.32732</v>
      </c>
      <c r="H28" t="str">
        <f t="shared" si="1"/>
        <v>-0.27</v>
      </c>
      <c r="I28" t="str">
        <f t="shared" si="2"/>
        <v>0.39</v>
      </c>
      <c r="J28" t="str">
        <f t="shared" si="5"/>
        <v>0.059 [-0.27, 0.39]</v>
      </c>
    </row>
    <row r="29" spans="1:10" x14ac:dyDescent="0.35">
      <c r="A29" s="3">
        <v>23</v>
      </c>
      <c r="B29" s="4" t="s">
        <v>40</v>
      </c>
      <c r="C29" s="3" t="s">
        <v>13</v>
      </c>
      <c r="D29" s="3">
        <v>66</v>
      </c>
      <c r="E29" s="3">
        <v>4.8000000000000001E-2</v>
      </c>
      <c r="F29" s="3">
        <v>0.246</v>
      </c>
      <c r="G29">
        <f t="shared" si="4"/>
        <v>0.48215999999999998</v>
      </c>
      <c r="H29" t="str">
        <f t="shared" si="1"/>
        <v>-0.43</v>
      </c>
      <c r="I29" t="str">
        <f t="shared" si="2"/>
        <v>0.53</v>
      </c>
      <c r="J29" t="str">
        <f t="shared" si="5"/>
        <v>0.048 [-0.43, 0.53]</v>
      </c>
    </row>
    <row r="30" spans="1:10" x14ac:dyDescent="0.35">
      <c r="A30" s="3">
        <v>23</v>
      </c>
      <c r="B30" s="4"/>
      <c r="C30" s="3" t="s">
        <v>17</v>
      </c>
      <c r="D30" s="3">
        <v>67</v>
      </c>
      <c r="E30" s="3">
        <v>0.69699999999999995</v>
      </c>
      <c r="F30" s="3">
        <v>0.490994019</v>
      </c>
      <c r="G30">
        <f t="shared" si="4"/>
        <v>0.96234827723999994</v>
      </c>
      <c r="H30" t="str">
        <f t="shared" si="1"/>
        <v>-0.27</v>
      </c>
      <c r="I30" t="str">
        <f t="shared" si="2"/>
        <v>1.66</v>
      </c>
      <c r="J30" t="str">
        <f t="shared" si="5"/>
        <v>0.697 [-0.27, 1.66]</v>
      </c>
    </row>
    <row r="31" spans="1:10" x14ac:dyDescent="0.35">
      <c r="A31" s="3">
        <v>23</v>
      </c>
      <c r="B31" s="4"/>
      <c r="C31" s="3" t="s">
        <v>15</v>
      </c>
      <c r="D31" s="3">
        <v>67</v>
      </c>
      <c r="E31" s="3">
        <v>5.6669999999999998</v>
      </c>
      <c r="F31" s="3">
        <v>1.569313575</v>
      </c>
      <c r="G31">
        <f t="shared" si="4"/>
        <v>3.0758546070000001</v>
      </c>
      <c r="H31" t="str">
        <f t="shared" si="1"/>
        <v>2.59</v>
      </c>
      <c r="I31" t="str">
        <f t="shared" si="2"/>
        <v>8.74</v>
      </c>
      <c r="J31" t="str">
        <f t="shared" si="5"/>
        <v>5.667 [2.59, 8.74]</v>
      </c>
    </row>
    <row r="32" spans="1:10" x14ac:dyDescent="0.35">
      <c r="A32" s="3">
        <v>23</v>
      </c>
      <c r="B32" s="4"/>
      <c r="C32" s="3" t="s">
        <v>19</v>
      </c>
      <c r="D32" s="3">
        <v>66</v>
      </c>
      <c r="E32" s="3">
        <v>0.25600000000000001</v>
      </c>
      <c r="F32" s="3">
        <v>0.247</v>
      </c>
      <c r="G32">
        <f t="shared" si="4"/>
        <v>0.48411999999999999</v>
      </c>
      <c r="H32" t="str">
        <f t="shared" si="1"/>
        <v>-0.23</v>
      </c>
      <c r="I32" t="str">
        <f t="shared" si="2"/>
        <v>0.74</v>
      </c>
      <c r="J32" t="str">
        <f t="shared" si="5"/>
        <v>0.256 [-0.23, 0.74]</v>
      </c>
    </row>
    <row r="33" spans="1:10" x14ac:dyDescent="0.35">
      <c r="A33" s="3">
        <v>23</v>
      </c>
      <c r="B33" s="4"/>
      <c r="C33" s="3" t="s">
        <v>9</v>
      </c>
      <c r="D33" s="3">
        <v>66</v>
      </c>
      <c r="E33" s="3">
        <v>0.36599999999999999</v>
      </c>
      <c r="F33" s="3">
        <v>0.248</v>
      </c>
      <c r="G33">
        <f t="shared" si="4"/>
        <v>0.48608000000000001</v>
      </c>
      <c r="H33" t="str">
        <f t="shared" si="1"/>
        <v>-0.12</v>
      </c>
      <c r="I33" t="str">
        <f t="shared" si="2"/>
        <v>0.85</v>
      </c>
      <c r="J33" t="str">
        <f t="shared" si="5"/>
        <v>0.366 [-0.12, 0.85]</v>
      </c>
    </row>
    <row r="34" spans="1:10" x14ac:dyDescent="0.35">
      <c r="A34" s="3">
        <v>25</v>
      </c>
      <c r="B34" s="4" t="s">
        <v>41</v>
      </c>
      <c r="C34" s="3" t="s">
        <v>13</v>
      </c>
      <c r="D34" s="3">
        <v>89</v>
      </c>
      <c r="E34" s="3">
        <v>0.161</v>
      </c>
      <c r="F34" s="3">
        <v>0.21299999999999999</v>
      </c>
      <c r="G34">
        <f t="shared" si="4"/>
        <v>0.41747999999999996</v>
      </c>
      <c r="H34" t="str">
        <f t="shared" si="1"/>
        <v>-0.26</v>
      </c>
      <c r="I34" t="str">
        <f t="shared" si="2"/>
        <v>0.58</v>
      </c>
      <c r="J34" t="str">
        <f t="shared" si="5"/>
        <v>0.161 [-0.26, 0.58]</v>
      </c>
    </row>
    <row r="35" spans="1:10" x14ac:dyDescent="0.35">
      <c r="A35" s="3">
        <v>25</v>
      </c>
      <c r="B35" s="4"/>
      <c r="C35" s="3" t="s">
        <v>16</v>
      </c>
      <c r="D35" s="3">
        <v>90</v>
      </c>
      <c r="E35" s="3">
        <v>0.25900000000000001</v>
      </c>
      <c r="F35" s="3">
        <v>0.518285895</v>
      </c>
      <c r="G35">
        <f t="shared" si="4"/>
        <v>1.0158403542000001</v>
      </c>
      <c r="H35" t="str">
        <f t="shared" si="1"/>
        <v>-0.76</v>
      </c>
      <c r="I35" t="str">
        <f t="shared" si="2"/>
        <v>1.27</v>
      </c>
      <c r="J35" t="str">
        <f t="shared" si="5"/>
        <v>0.259 [-0.76, 1.27]</v>
      </c>
    </row>
    <row r="36" spans="1:10" x14ac:dyDescent="0.35">
      <c r="A36" s="3">
        <v>25</v>
      </c>
      <c r="B36" s="4"/>
      <c r="C36" s="3" t="s">
        <v>14</v>
      </c>
      <c r="D36" s="3">
        <v>90</v>
      </c>
      <c r="E36" s="3">
        <v>1.119</v>
      </c>
      <c r="F36" s="3">
        <v>2.0112399459999999</v>
      </c>
      <c r="G36">
        <f t="shared" si="4"/>
        <v>3.9420302941599998</v>
      </c>
      <c r="H36" t="str">
        <f t="shared" si="1"/>
        <v>-2.82</v>
      </c>
      <c r="I36" t="str">
        <f t="shared" si="2"/>
        <v>5.06</v>
      </c>
      <c r="J36" t="str">
        <f t="shared" si="5"/>
        <v>1.119 [-2.82, 5.06]</v>
      </c>
    </row>
    <row r="37" spans="1:10" x14ac:dyDescent="0.35">
      <c r="A37" s="3">
        <v>26</v>
      </c>
      <c r="B37" s="4" t="s">
        <v>42</v>
      </c>
      <c r="C37" s="3" t="s">
        <v>13</v>
      </c>
      <c r="D37" s="3">
        <v>48</v>
      </c>
      <c r="E37" s="3">
        <v>0.55000000000000004</v>
      </c>
      <c r="F37" s="3">
        <v>0.29699999999999999</v>
      </c>
      <c r="G37">
        <f t="shared" si="4"/>
        <v>0.58211999999999997</v>
      </c>
      <c r="H37" t="str">
        <f t="shared" si="1"/>
        <v>-0.03</v>
      </c>
      <c r="I37" t="str">
        <f t="shared" si="2"/>
        <v>1.13</v>
      </c>
      <c r="J37" t="str">
        <f t="shared" si="5"/>
        <v>0.55 [-0.03, 1.13]</v>
      </c>
    </row>
    <row r="38" spans="1:10" x14ac:dyDescent="0.35">
      <c r="A38" s="3">
        <v>26</v>
      </c>
      <c r="B38" s="4"/>
      <c r="C38" s="3" t="s">
        <v>17</v>
      </c>
      <c r="D38" s="3">
        <v>49</v>
      </c>
      <c r="E38" s="3">
        <v>3.2000000000000001E-2</v>
      </c>
      <c r="F38" s="3">
        <v>0.86761008100000003</v>
      </c>
      <c r="G38">
        <f t="shared" si="4"/>
        <v>1.7005157587599999</v>
      </c>
      <c r="H38" t="str">
        <f t="shared" si="1"/>
        <v>-1.67</v>
      </c>
      <c r="I38" t="str">
        <f t="shared" si="2"/>
        <v>1.73</v>
      </c>
      <c r="J38" t="str">
        <f t="shared" si="5"/>
        <v>0.032 [-1.67, 1.73]</v>
      </c>
    </row>
    <row r="39" spans="1:10" x14ac:dyDescent="0.35">
      <c r="A39" s="3">
        <v>26</v>
      </c>
      <c r="B39" s="4"/>
      <c r="C39" s="3" t="s">
        <v>15</v>
      </c>
      <c r="D39" s="3">
        <v>49</v>
      </c>
      <c r="E39" s="3">
        <v>0.77800000000000002</v>
      </c>
      <c r="F39" s="3">
        <v>2.021053212</v>
      </c>
      <c r="G39">
        <f t="shared" si="4"/>
        <v>3.9612642955199999</v>
      </c>
      <c r="H39" t="str">
        <f t="shared" si="1"/>
        <v>-3.18</v>
      </c>
      <c r="I39" t="str">
        <f t="shared" si="2"/>
        <v>4.74</v>
      </c>
      <c r="J39" t="str">
        <f t="shared" si="5"/>
        <v>0.778 [-3.18, 4.74]</v>
      </c>
    </row>
    <row r="40" spans="1:10" x14ac:dyDescent="0.35">
      <c r="A40" s="3">
        <v>26</v>
      </c>
      <c r="B40" s="4"/>
      <c r="C40" s="3" t="s">
        <v>16</v>
      </c>
      <c r="D40" s="3">
        <v>49</v>
      </c>
      <c r="E40" s="3">
        <v>0.126</v>
      </c>
      <c r="F40" s="3">
        <v>0.792840773</v>
      </c>
      <c r="G40">
        <f t="shared" si="4"/>
        <v>1.5539679150799999</v>
      </c>
      <c r="H40" t="str">
        <f t="shared" si="1"/>
        <v>-1.43</v>
      </c>
      <c r="I40" t="str">
        <f t="shared" si="2"/>
        <v>1.68</v>
      </c>
      <c r="J40" t="str">
        <f t="shared" si="5"/>
        <v>0.126 [-1.43, 1.68]</v>
      </c>
    </row>
    <row r="41" spans="1:10" x14ac:dyDescent="0.35">
      <c r="A41" s="3">
        <v>26</v>
      </c>
      <c r="B41" s="4"/>
      <c r="C41" s="3" t="s">
        <v>14</v>
      </c>
      <c r="D41" s="3">
        <v>49</v>
      </c>
      <c r="E41" s="3">
        <v>0.77800000000000002</v>
      </c>
      <c r="F41" s="3">
        <v>2.021053212</v>
      </c>
      <c r="G41">
        <f t="shared" si="4"/>
        <v>3.9612642955199999</v>
      </c>
      <c r="H41" t="str">
        <f t="shared" si="1"/>
        <v>-3.18</v>
      </c>
      <c r="I41" t="str">
        <f t="shared" si="2"/>
        <v>4.74</v>
      </c>
      <c r="J41" t="str">
        <f t="shared" si="5"/>
        <v>0.778 [-3.18, 4.74]</v>
      </c>
    </row>
    <row r="42" spans="1:10" x14ac:dyDescent="0.35">
      <c r="A42" s="3">
        <v>30</v>
      </c>
      <c r="B42" s="4" t="s">
        <v>43</v>
      </c>
      <c r="C42" s="3" t="s">
        <v>13</v>
      </c>
      <c r="D42" s="3">
        <v>77</v>
      </c>
      <c r="E42" s="3">
        <v>0</v>
      </c>
      <c r="F42" s="3">
        <v>0.22800000000000001</v>
      </c>
      <c r="G42">
        <f t="shared" si="4"/>
        <v>0.44688</v>
      </c>
      <c r="H42" t="str">
        <f t="shared" si="1"/>
        <v>-0.45</v>
      </c>
      <c r="I42" t="str">
        <f t="shared" si="2"/>
        <v>0.45</v>
      </c>
      <c r="J42" t="str">
        <f t="shared" si="5"/>
        <v>0 [-0.45, 0.45]</v>
      </c>
    </row>
    <row r="43" spans="1:10" x14ac:dyDescent="0.35">
      <c r="A43" s="3">
        <v>30</v>
      </c>
      <c r="B43" s="4"/>
      <c r="C43" s="3" t="s">
        <v>17</v>
      </c>
      <c r="D43" s="3">
        <v>78</v>
      </c>
      <c r="E43" s="3">
        <v>1.1240000000000001</v>
      </c>
      <c r="F43" s="3">
        <v>0.46707429299999997</v>
      </c>
      <c r="G43">
        <f t="shared" si="4"/>
        <v>0.91546561427999995</v>
      </c>
      <c r="H43" t="str">
        <f t="shared" si="1"/>
        <v>0.21</v>
      </c>
      <c r="I43" t="str">
        <f t="shared" si="2"/>
        <v>2.04</v>
      </c>
      <c r="J43" t="str">
        <f t="shared" si="5"/>
        <v>1.124 [0.21, 2.04]</v>
      </c>
    </row>
    <row r="44" spans="1:10" x14ac:dyDescent="0.35">
      <c r="A44" s="3">
        <v>30</v>
      </c>
      <c r="B44" s="4"/>
      <c r="C44" s="3" t="s">
        <v>15</v>
      </c>
      <c r="D44" s="3">
        <v>78</v>
      </c>
      <c r="E44" s="3">
        <v>0.875</v>
      </c>
      <c r="F44" s="3">
        <v>1.1776692070000001</v>
      </c>
      <c r="G44">
        <f t="shared" si="4"/>
        <v>2.3082316457200003</v>
      </c>
      <c r="H44" t="str">
        <f t="shared" si="1"/>
        <v>-1.43</v>
      </c>
      <c r="I44" t="str">
        <f t="shared" si="2"/>
        <v>3.18</v>
      </c>
      <c r="J44" t="str">
        <f t="shared" si="5"/>
        <v>0.875 [-1.43, 3.18]</v>
      </c>
    </row>
    <row r="45" spans="1:10" x14ac:dyDescent="0.35">
      <c r="A45" s="3">
        <v>32</v>
      </c>
      <c r="B45" s="4" t="s">
        <v>44</v>
      </c>
      <c r="C45" s="3" t="s">
        <v>27</v>
      </c>
      <c r="D45" s="3">
        <v>62</v>
      </c>
      <c r="E45" s="3">
        <v>0.245</v>
      </c>
      <c r="F45" s="3">
        <v>0.255</v>
      </c>
      <c r="G45">
        <f t="shared" si="4"/>
        <v>0.49980000000000002</v>
      </c>
      <c r="H45" t="str">
        <f t="shared" si="1"/>
        <v>-0.25</v>
      </c>
      <c r="I45" t="str">
        <f t="shared" si="2"/>
        <v>0.74</v>
      </c>
      <c r="J45" t="str">
        <f t="shared" si="5"/>
        <v>0.245 [-0.25, 0.74]</v>
      </c>
    </row>
    <row r="46" spans="1:10" x14ac:dyDescent="0.35">
      <c r="A46" s="3">
        <v>32</v>
      </c>
      <c r="B46" s="4"/>
      <c r="C46" s="3" t="s">
        <v>17</v>
      </c>
      <c r="D46" s="3">
        <v>63</v>
      </c>
      <c r="E46" s="3">
        <v>1</v>
      </c>
      <c r="F46" s="3">
        <v>0.54903133500000001</v>
      </c>
      <c r="G46">
        <f t="shared" si="4"/>
        <v>1.0761014166</v>
      </c>
      <c r="H46" t="str">
        <f t="shared" si="1"/>
        <v>-0.08</v>
      </c>
      <c r="I46" t="str">
        <f t="shared" si="2"/>
        <v>2.08</v>
      </c>
      <c r="J46" t="str">
        <f t="shared" si="5"/>
        <v>1 [-0.08, 2.08]</v>
      </c>
    </row>
    <row r="47" spans="1:10" x14ac:dyDescent="0.35">
      <c r="A47" s="3">
        <v>32</v>
      </c>
      <c r="B47" s="4"/>
      <c r="C47" s="3" t="s">
        <v>15</v>
      </c>
      <c r="D47" s="3">
        <v>63</v>
      </c>
      <c r="E47" s="3">
        <v>0.69</v>
      </c>
      <c r="F47" s="3">
        <v>0.86943161300000005</v>
      </c>
      <c r="G47">
        <f t="shared" si="4"/>
        <v>1.7040859614800001</v>
      </c>
      <c r="H47" t="str">
        <f t="shared" si="1"/>
        <v>-1.01</v>
      </c>
      <c r="I47" t="str">
        <f t="shared" si="2"/>
        <v>2.39</v>
      </c>
      <c r="J47" t="str">
        <f t="shared" si="5"/>
        <v>0.69 [-1.01, 2.39]</v>
      </c>
    </row>
    <row r="48" spans="1:10" x14ac:dyDescent="0.35">
      <c r="A48" s="3">
        <v>32</v>
      </c>
      <c r="B48" s="4"/>
      <c r="C48" s="3" t="s">
        <v>19</v>
      </c>
      <c r="D48" s="3">
        <v>62</v>
      </c>
      <c r="E48" s="3">
        <v>0.15</v>
      </c>
      <c r="F48" s="3">
        <v>0.254</v>
      </c>
      <c r="G48">
        <f t="shared" si="4"/>
        <v>0.49784</v>
      </c>
      <c r="H48" t="str">
        <f t="shared" si="1"/>
        <v>-0.35</v>
      </c>
      <c r="I48" t="str">
        <f t="shared" si="2"/>
        <v>0.65</v>
      </c>
      <c r="J48" t="str">
        <f t="shared" si="5"/>
        <v>0.15 [-0.35, 0.65]</v>
      </c>
    </row>
    <row r="49" spans="1:10" x14ac:dyDescent="0.35">
      <c r="A49" s="3">
        <v>32</v>
      </c>
      <c r="B49" s="4"/>
      <c r="C49" s="3" t="s">
        <v>16</v>
      </c>
      <c r="D49" s="3">
        <v>63</v>
      </c>
      <c r="E49" s="3">
        <v>0.625</v>
      </c>
      <c r="F49" s="3">
        <v>0.56378820699999999</v>
      </c>
      <c r="G49">
        <f t="shared" si="4"/>
        <v>1.10502488572</v>
      </c>
      <c r="H49" t="str">
        <f t="shared" si="1"/>
        <v>-0.48</v>
      </c>
      <c r="I49" t="str">
        <f t="shared" si="2"/>
        <v>1.73</v>
      </c>
      <c r="J49" t="str">
        <f t="shared" si="5"/>
        <v>0.625 [-0.48, 1.73]</v>
      </c>
    </row>
    <row r="50" spans="1:10" x14ac:dyDescent="0.35">
      <c r="A50" s="3">
        <v>32</v>
      </c>
      <c r="B50" s="4"/>
      <c r="C50" s="3" t="s">
        <v>14</v>
      </c>
      <c r="D50" s="3">
        <v>63</v>
      </c>
      <c r="E50" s="3">
        <v>1.724</v>
      </c>
      <c r="F50" s="3">
        <v>1.0651210069999999</v>
      </c>
      <c r="G50">
        <f t="shared" si="4"/>
        <v>2.0876371737199997</v>
      </c>
      <c r="H50" t="str">
        <f t="shared" si="1"/>
        <v>-0.36</v>
      </c>
      <c r="I50" t="str">
        <f t="shared" si="2"/>
        <v>3.81</v>
      </c>
      <c r="J50" t="str">
        <f t="shared" si="5"/>
        <v>1.724 [-0.36, 3.81]</v>
      </c>
    </row>
    <row r="51" spans="1:10" x14ac:dyDescent="0.35">
      <c r="A51" s="3">
        <v>33</v>
      </c>
      <c r="B51" s="4" t="s">
        <v>45</v>
      </c>
      <c r="C51" s="3" t="s">
        <v>13</v>
      </c>
      <c r="D51" s="3">
        <v>74</v>
      </c>
      <c r="E51" s="3">
        <v>8.5999999999999993E-2</v>
      </c>
      <c r="F51" s="3">
        <v>0.23300000000000001</v>
      </c>
      <c r="G51">
        <f t="shared" si="4"/>
        <v>0.45668000000000003</v>
      </c>
      <c r="H51" t="str">
        <f t="shared" si="1"/>
        <v>-0.37</v>
      </c>
      <c r="I51" t="str">
        <f t="shared" si="2"/>
        <v>0.54</v>
      </c>
      <c r="J51" t="str">
        <f t="shared" si="5"/>
        <v>0.086 [-0.37, 0.54]</v>
      </c>
    </row>
    <row r="52" spans="1:10" x14ac:dyDescent="0.35">
      <c r="A52" s="3">
        <v>33</v>
      </c>
      <c r="B52" s="4"/>
      <c r="C52" s="3" t="s">
        <v>17</v>
      </c>
      <c r="D52" s="3">
        <v>75</v>
      </c>
      <c r="E52" s="3">
        <v>1.3979999999999999</v>
      </c>
      <c r="F52" s="3">
        <v>0.581578916</v>
      </c>
      <c r="G52">
        <f t="shared" si="4"/>
        <v>1.1398946753599999</v>
      </c>
      <c r="H52" t="str">
        <f t="shared" si="1"/>
        <v>0.26</v>
      </c>
      <c r="I52" t="str">
        <f t="shared" si="2"/>
        <v>2.54</v>
      </c>
      <c r="J52" t="str">
        <f t="shared" si="5"/>
        <v>1.398 [0.26, 2.54]</v>
      </c>
    </row>
    <row r="53" spans="1:10" x14ac:dyDescent="0.35">
      <c r="A53" s="3">
        <v>33</v>
      </c>
      <c r="B53" s="4"/>
      <c r="C53" s="3" t="s">
        <v>15</v>
      </c>
      <c r="D53" s="3">
        <v>75</v>
      </c>
      <c r="E53" s="3">
        <v>0.32400000000000001</v>
      </c>
      <c r="F53" s="3">
        <v>1.649688295</v>
      </c>
      <c r="G53">
        <f t="shared" si="4"/>
        <v>3.2333890581999998</v>
      </c>
      <c r="H53" t="str">
        <f t="shared" si="1"/>
        <v>-2.91</v>
      </c>
      <c r="I53" t="str">
        <f t="shared" si="2"/>
        <v>3.56</v>
      </c>
      <c r="J53" t="str">
        <f t="shared" si="5"/>
        <v>0.324 [-2.91, 3.56]</v>
      </c>
    </row>
    <row r="54" spans="1:10" x14ac:dyDescent="0.35">
      <c r="A54" s="3">
        <v>33</v>
      </c>
      <c r="B54" s="4"/>
      <c r="C54" s="3" t="s">
        <v>19</v>
      </c>
      <c r="D54" s="3">
        <v>74</v>
      </c>
      <c r="E54" s="3">
        <v>0.379</v>
      </c>
      <c r="F54" s="3">
        <v>0.23499999999999999</v>
      </c>
      <c r="G54">
        <f t="shared" si="4"/>
        <v>0.46059999999999995</v>
      </c>
      <c r="H54" t="str">
        <f t="shared" si="1"/>
        <v>-0.08</v>
      </c>
      <c r="I54" t="str">
        <f t="shared" si="2"/>
        <v>0.84</v>
      </c>
      <c r="J54" t="str">
        <f t="shared" si="5"/>
        <v>0.379 [-0.08, 0.84]</v>
      </c>
    </row>
    <row r="55" spans="1:10" x14ac:dyDescent="0.35">
      <c r="A55" s="3">
        <v>33</v>
      </c>
      <c r="B55" s="4"/>
      <c r="C55" s="3" t="s">
        <v>16</v>
      </c>
      <c r="D55" s="3">
        <v>75</v>
      </c>
      <c r="E55" s="3">
        <v>1</v>
      </c>
      <c r="F55" s="3">
        <v>0.71066905499999999</v>
      </c>
      <c r="G55">
        <f t="shared" si="4"/>
        <v>1.3929113477999999</v>
      </c>
      <c r="H55" t="str">
        <f t="shared" si="1"/>
        <v>-0.39</v>
      </c>
      <c r="I55" t="str">
        <f t="shared" si="2"/>
        <v>2.39</v>
      </c>
      <c r="J55" t="str">
        <f t="shared" si="5"/>
        <v>1 [-0.39, 2.39]</v>
      </c>
    </row>
    <row r="56" spans="1:10" x14ac:dyDescent="0.35">
      <c r="A56" s="3">
        <v>33</v>
      </c>
      <c r="B56" s="4"/>
      <c r="C56" s="3" t="s">
        <v>14</v>
      </c>
      <c r="D56" s="3">
        <v>75</v>
      </c>
      <c r="E56" s="3">
        <v>0.32400000000000001</v>
      </c>
      <c r="F56" s="3">
        <v>1.649688295</v>
      </c>
      <c r="G56">
        <f t="shared" si="4"/>
        <v>3.2333890581999998</v>
      </c>
      <c r="H56" t="str">
        <f t="shared" si="1"/>
        <v>-2.91</v>
      </c>
      <c r="I56" t="str">
        <f t="shared" si="2"/>
        <v>3.56</v>
      </c>
      <c r="J56" t="str">
        <f t="shared" si="5"/>
        <v>0.324 [-2.91, 3.56]</v>
      </c>
    </row>
    <row r="57" spans="1:10" x14ac:dyDescent="0.35">
      <c r="A57" s="3">
        <v>33</v>
      </c>
      <c r="B57" s="4"/>
      <c r="C57" s="3" t="s">
        <v>9</v>
      </c>
      <c r="D57" s="3">
        <v>74</v>
      </c>
      <c r="E57" s="3">
        <v>6.0999999999999999E-2</v>
      </c>
      <c r="F57" s="3">
        <v>0.23300000000000001</v>
      </c>
      <c r="G57">
        <f t="shared" si="4"/>
        <v>0.45668000000000003</v>
      </c>
      <c r="H57" t="str">
        <f t="shared" si="1"/>
        <v>-0.40</v>
      </c>
      <c r="I57" t="str">
        <f t="shared" si="2"/>
        <v>0.52</v>
      </c>
      <c r="J57" t="str">
        <f t="shared" si="5"/>
        <v>0.061 [-0.40, 0.52]</v>
      </c>
    </row>
    <row r="58" spans="1:10" x14ac:dyDescent="0.35">
      <c r="A58" s="3">
        <v>34</v>
      </c>
      <c r="B58" s="4" t="s">
        <v>46</v>
      </c>
      <c r="C58" s="3" t="s">
        <v>16</v>
      </c>
      <c r="D58" s="3">
        <v>60</v>
      </c>
      <c r="E58" s="3">
        <v>0.247</v>
      </c>
      <c r="F58" s="3">
        <v>0.56586145899999996</v>
      </c>
      <c r="G58">
        <f t="shared" si="4"/>
        <v>1.1090884596399999</v>
      </c>
      <c r="H58" t="str">
        <f t="shared" si="1"/>
        <v>-0.86</v>
      </c>
      <c r="I58" t="str">
        <f t="shared" si="2"/>
        <v>1.36</v>
      </c>
      <c r="J58" t="str">
        <f t="shared" si="5"/>
        <v>0.247 [-0.86, 1.36]</v>
      </c>
    </row>
    <row r="59" spans="1:10" x14ac:dyDescent="0.35">
      <c r="A59" s="3">
        <v>34</v>
      </c>
      <c r="B59" s="4"/>
      <c r="C59" s="3" t="s">
        <v>14</v>
      </c>
      <c r="D59" s="3">
        <v>60</v>
      </c>
      <c r="E59" s="3">
        <v>0.32</v>
      </c>
      <c r="F59" s="3">
        <v>0.69858244300000005</v>
      </c>
      <c r="G59">
        <f t="shared" si="4"/>
        <v>1.3692215882800001</v>
      </c>
      <c r="H59" t="str">
        <f t="shared" si="1"/>
        <v>-1.05</v>
      </c>
      <c r="I59" t="str">
        <f t="shared" si="2"/>
        <v>1.69</v>
      </c>
      <c r="J59" t="str">
        <f t="shared" si="5"/>
        <v>0.32 [-1.05, 1.69]</v>
      </c>
    </row>
    <row r="60" spans="1:10" x14ac:dyDescent="0.35">
      <c r="A60" s="3">
        <v>34</v>
      </c>
      <c r="B60" s="4"/>
      <c r="C60" s="3" t="s">
        <v>9</v>
      </c>
      <c r="D60" s="3">
        <v>59</v>
      </c>
      <c r="E60" s="3">
        <v>0.86899999999999999</v>
      </c>
      <c r="F60" s="3">
        <v>0.27300000000000002</v>
      </c>
      <c r="G60">
        <f t="shared" si="4"/>
        <v>0.53508</v>
      </c>
      <c r="H60" t="str">
        <f t="shared" si="1"/>
        <v>0.33</v>
      </c>
      <c r="I60" t="str">
        <f t="shared" si="2"/>
        <v>1.40</v>
      </c>
      <c r="J60" t="str">
        <f t="shared" si="5"/>
        <v>0.869 [0.33, 1.40]</v>
      </c>
    </row>
    <row r="61" spans="1:10" x14ac:dyDescent="0.35">
      <c r="A61" s="3">
        <v>35</v>
      </c>
      <c r="B61" s="4" t="s">
        <v>47</v>
      </c>
      <c r="C61" s="3" t="s">
        <v>13</v>
      </c>
      <c r="D61" s="3">
        <v>57</v>
      </c>
      <c r="E61" s="3">
        <v>0.29799999999999999</v>
      </c>
      <c r="F61" s="3">
        <v>0.26600000000000001</v>
      </c>
      <c r="G61">
        <f t="shared" si="4"/>
        <v>0.52136000000000005</v>
      </c>
      <c r="H61" t="str">
        <f t="shared" si="1"/>
        <v>-0.22</v>
      </c>
      <c r="I61" t="str">
        <f t="shared" si="2"/>
        <v>0.82</v>
      </c>
      <c r="J61" t="str">
        <f t="shared" si="5"/>
        <v>0.298 [-0.22, 0.82]</v>
      </c>
    </row>
    <row r="62" spans="1:10" ht="16" x14ac:dyDescent="0.4">
      <c r="A62" s="3">
        <v>35</v>
      </c>
      <c r="B62" s="5"/>
      <c r="C62" s="3" t="s">
        <v>19</v>
      </c>
      <c r="D62" s="3">
        <v>57</v>
      </c>
      <c r="E62" s="3">
        <v>0.125</v>
      </c>
      <c r="F62" s="3">
        <v>0.26500000000000001</v>
      </c>
      <c r="G62">
        <f t="shared" si="4"/>
        <v>0.51939999999999997</v>
      </c>
      <c r="H62" t="str">
        <f t="shared" si="1"/>
        <v>-0.39</v>
      </c>
      <c r="I62" t="str">
        <f t="shared" si="2"/>
        <v>0.64</v>
      </c>
      <c r="J62" t="str">
        <f t="shared" si="5"/>
        <v>0.125 [-0.39, 0.64]</v>
      </c>
    </row>
    <row r="63" spans="1:10" x14ac:dyDescent="0.35">
      <c r="A63" s="3">
        <v>37</v>
      </c>
      <c r="B63" s="4" t="s">
        <v>49</v>
      </c>
      <c r="C63" s="3" t="s">
        <v>17</v>
      </c>
      <c r="D63" s="3">
        <v>87</v>
      </c>
      <c r="E63" s="3">
        <v>0.81699999999999995</v>
      </c>
      <c r="F63" s="3">
        <v>0.60775321400000004</v>
      </c>
      <c r="G63">
        <f t="shared" si="4"/>
        <v>1.1911962994400001</v>
      </c>
      <c r="H63" t="str">
        <f t="shared" si="1"/>
        <v>-0.37</v>
      </c>
      <c r="I63" t="str">
        <f t="shared" si="2"/>
        <v>2.01</v>
      </c>
      <c r="J63" t="str">
        <f t="shared" si="5"/>
        <v>0.817 [-0.37, 2.01]</v>
      </c>
    </row>
    <row r="64" spans="1:10" x14ac:dyDescent="0.35">
      <c r="A64" s="3">
        <v>37</v>
      </c>
      <c r="B64" s="4"/>
      <c r="C64" s="3" t="s">
        <v>15</v>
      </c>
      <c r="D64" s="3">
        <v>87</v>
      </c>
      <c r="E64" s="3">
        <v>1.1499999999999999</v>
      </c>
      <c r="F64" s="3">
        <v>2.0116508469999999</v>
      </c>
      <c r="G64">
        <f t="shared" si="4"/>
        <v>3.9428356601199996</v>
      </c>
      <c r="H64" t="str">
        <f t="shared" si="1"/>
        <v>-2.79</v>
      </c>
      <c r="I64" t="str">
        <f t="shared" si="2"/>
        <v>5.09</v>
      </c>
      <c r="J64" t="str">
        <f t="shared" si="5"/>
        <v>1.15 [-2.79, 5.09]</v>
      </c>
    </row>
    <row r="65" spans="1:10" x14ac:dyDescent="0.35">
      <c r="A65" s="3">
        <v>37</v>
      </c>
      <c r="B65" s="4"/>
      <c r="C65" s="3" t="s">
        <v>19</v>
      </c>
      <c r="D65" s="3">
        <v>86</v>
      </c>
      <c r="E65" s="3">
        <v>0.29199999999999998</v>
      </c>
      <c r="F65" s="3">
        <v>0.217</v>
      </c>
      <c r="G65">
        <f t="shared" si="4"/>
        <v>0.42531999999999998</v>
      </c>
      <c r="H65" t="str">
        <f t="shared" si="1"/>
        <v>-0.13</v>
      </c>
      <c r="I65" t="str">
        <f t="shared" si="2"/>
        <v>0.72</v>
      </c>
      <c r="J65" t="str">
        <f t="shared" si="5"/>
        <v>0.292 [-0.13, 0.72]</v>
      </c>
    </row>
    <row r="66" spans="1:10" x14ac:dyDescent="0.35">
      <c r="A66" s="3">
        <v>37</v>
      </c>
      <c r="B66" s="4"/>
      <c r="C66" s="3" t="s">
        <v>16</v>
      </c>
      <c r="D66" s="3">
        <v>86</v>
      </c>
      <c r="E66" s="3">
        <v>0.68400000000000005</v>
      </c>
      <c r="F66" s="3">
        <v>0.59587221499999998</v>
      </c>
      <c r="G66">
        <f t="shared" si="4"/>
        <v>1.1679095414</v>
      </c>
      <c r="H66" t="str">
        <f t="shared" si="1"/>
        <v>-0.48</v>
      </c>
      <c r="I66" t="str">
        <f t="shared" si="2"/>
        <v>1.85</v>
      </c>
      <c r="J66" t="str">
        <f t="shared" si="5"/>
        <v>0.684 [-0.48, 1.85]</v>
      </c>
    </row>
    <row r="67" spans="1:10" x14ac:dyDescent="0.35">
      <c r="A67" s="3">
        <v>37</v>
      </c>
      <c r="B67" s="4"/>
      <c r="C67" s="3" t="s">
        <v>14</v>
      </c>
      <c r="D67" s="3">
        <v>86</v>
      </c>
      <c r="E67" s="3">
        <v>1.125</v>
      </c>
      <c r="F67" s="3">
        <v>2.0117709170000002</v>
      </c>
      <c r="G67">
        <f t="shared" si="4"/>
        <v>3.9430709973200004</v>
      </c>
      <c r="H67" t="str">
        <f t="shared" ref="H67:H130" si="6">TEXT(E67-G67,"#0.00")</f>
        <v>-2.82</v>
      </c>
      <c r="I67" t="str">
        <f t="shared" ref="I67:I130" si="7">TEXT(E67+G67,"0.00")</f>
        <v>5.07</v>
      </c>
      <c r="J67" t="str">
        <f t="shared" si="5"/>
        <v>1.125 [-2.82, 5.07]</v>
      </c>
    </row>
    <row r="68" spans="1:10" x14ac:dyDescent="0.35">
      <c r="A68" s="3">
        <v>38</v>
      </c>
      <c r="B68" s="4" t="s">
        <v>50</v>
      </c>
      <c r="C68" s="3" t="s">
        <v>27</v>
      </c>
      <c r="D68" s="3">
        <v>90</v>
      </c>
      <c r="E68" s="3">
        <v>0.15</v>
      </c>
      <c r="F68" s="3">
        <v>0.21099999999999999</v>
      </c>
      <c r="G68">
        <f t="shared" si="4"/>
        <v>0.41355999999999998</v>
      </c>
      <c r="H68" t="str">
        <f t="shared" si="6"/>
        <v>-0.26</v>
      </c>
      <c r="I68" t="str">
        <f t="shared" si="7"/>
        <v>0.56</v>
      </c>
      <c r="J68" t="str">
        <f t="shared" si="5"/>
        <v>0.15 [-0.26, 0.56]</v>
      </c>
    </row>
    <row r="69" spans="1:10" ht="16" x14ac:dyDescent="0.4">
      <c r="A69" s="3">
        <v>38</v>
      </c>
      <c r="B69" s="5"/>
      <c r="C69" s="3" t="s">
        <v>19</v>
      </c>
      <c r="D69" s="3">
        <v>90</v>
      </c>
      <c r="E69" s="3">
        <v>0.58799999999999997</v>
      </c>
      <c r="F69" s="3">
        <v>0.215</v>
      </c>
      <c r="G69">
        <f t="shared" si="4"/>
        <v>0.4214</v>
      </c>
      <c r="H69" t="str">
        <f t="shared" si="6"/>
        <v>0.17</v>
      </c>
      <c r="I69" t="str">
        <f t="shared" si="7"/>
        <v>1.01</v>
      </c>
      <c r="J69" t="str">
        <f t="shared" si="5"/>
        <v>0.588 [0.17, 1.01]</v>
      </c>
    </row>
    <row r="70" spans="1:10" x14ac:dyDescent="0.35">
      <c r="A70" s="3">
        <v>41</v>
      </c>
      <c r="B70" s="4" t="s">
        <v>51</v>
      </c>
      <c r="C70" s="3" t="s">
        <v>13</v>
      </c>
      <c r="D70" s="3">
        <v>89</v>
      </c>
      <c r="E70" s="3">
        <v>0.189</v>
      </c>
      <c r="F70" s="3">
        <v>0.21299999999999999</v>
      </c>
      <c r="G70">
        <f t="shared" si="4"/>
        <v>0.41747999999999996</v>
      </c>
      <c r="H70" t="str">
        <f t="shared" si="6"/>
        <v>-0.23</v>
      </c>
      <c r="I70" t="str">
        <f t="shared" si="7"/>
        <v>0.61</v>
      </c>
      <c r="J70" t="str">
        <f t="shared" si="5"/>
        <v>0.189 [-0.23, 0.61]</v>
      </c>
    </row>
    <row r="71" spans="1:10" x14ac:dyDescent="0.35">
      <c r="A71" s="3">
        <v>41</v>
      </c>
      <c r="B71" s="4"/>
      <c r="C71" s="3" t="s">
        <v>17</v>
      </c>
      <c r="D71" s="3">
        <v>90</v>
      </c>
      <c r="E71" s="3">
        <v>1.0860000000000001</v>
      </c>
      <c r="F71" s="3">
        <v>0.53868481999999995</v>
      </c>
      <c r="G71">
        <f t="shared" si="4"/>
        <v>1.0558222471999998</v>
      </c>
      <c r="H71" t="str">
        <f t="shared" si="6"/>
        <v>0.03</v>
      </c>
      <c r="I71" t="str">
        <f t="shared" si="7"/>
        <v>2.14</v>
      </c>
      <c r="J71" t="str">
        <f t="shared" si="5"/>
        <v>1.086 [0.03, 2.14]</v>
      </c>
    </row>
    <row r="72" spans="1:10" x14ac:dyDescent="0.35">
      <c r="A72" s="3">
        <v>41</v>
      </c>
      <c r="B72" s="4"/>
      <c r="C72" s="3" t="s">
        <v>15</v>
      </c>
      <c r="D72" s="3">
        <v>90</v>
      </c>
      <c r="E72" s="3">
        <v>1.07</v>
      </c>
      <c r="F72" s="3">
        <v>2.0112172789999998</v>
      </c>
      <c r="G72">
        <f t="shared" si="4"/>
        <v>3.9419858668399996</v>
      </c>
      <c r="H72" t="str">
        <f t="shared" si="6"/>
        <v>-2.87</v>
      </c>
      <c r="I72" t="str">
        <f t="shared" si="7"/>
        <v>5.01</v>
      </c>
      <c r="J72" t="str">
        <f t="shared" si="5"/>
        <v>1.07 [-2.87, 5.01]</v>
      </c>
    </row>
    <row r="73" spans="1:10" x14ac:dyDescent="0.35">
      <c r="A73" s="3">
        <v>41</v>
      </c>
      <c r="B73" s="4"/>
      <c r="C73" s="3" t="s">
        <v>16</v>
      </c>
      <c r="D73" s="3">
        <v>90</v>
      </c>
      <c r="E73" s="3">
        <v>1.075</v>
      </c>
      <c r="F73" s="3">
        <v>0.787200346</v>
      </c>
      <c r="G73">
        <f t="shared" ref="G73:G136" si="8">1.96*F73</f>
        <v>1.54291267816</v>
      </c>
      <c r="H73" t="str">
        <f t="shared" si="6"/>
        <v>-0.47</v>
      </c>
      <c r="I73" t="str">
        <f t="shared" si="7"/>
        <v>2.62</v>
      </c>
      <c r="J73" t="str">
        <f t="shared" ref="J73:J136" si="9">E73&amp;" ["&amp;H73&amp;", "&amp;I73&amp;"]"</f>
        <v>1.075 [-0.47, 2.62]</v>
      </c>
    </row>
    <row r="74" spans="1:10" x14ac:dyDescent="0.35">
      <c r="A74" s="3">
        <v>41</v>
      </c>
      <c r="B74" s="4"/>
      <c r="C74" s="3" t="s">
        <v>14</v>
      </c>
      <c r="D74" s="3">
        <v>90</v>
      </c>
      <c r="E74" s="3">
        <v>1.07</v>
      </c>
      <c r="F74" s="3">
        <v>2.0112172789999998</v>
      </c>
      <c r="G74">
        <f t="shared" si="8"/>
        <v>3.9419858668399996</v>
      </c>
      <c r="H74" t="str">
        <f t="shared" si="6"/>
        <v>-2.87</v>
      </c>
      <c r="I74" t="str">
        <f t="shared" si="7"/>
        <v>5.01</v>
      </c>
      <c r="J74" t="str">
        <f t="shared" si="9"/>
        <v>1.07 [-2.87, 5.01]</v>
      </c>
    </row>
    <row r="75" spans="1:10" x14ac:dyDescent="0.35">
      <c r="A75" s="3">
        <v>41</v>
      </c>
      <c r="B75" s="4"/>
      <c r="C75" s="3" t="s">
        <v>9</v>
      </c>
      <c r="D75" s="3">
        <v>89</v>
      </c>
      <c r="E75" s="3">
        <v>8.1000000000000003E-2</v>
      </c>
      <c r="F75" s="3">
        <v>0.21199999999999999</v>
      </c>
      <c r="G75">
        <f t="shared" si="8"/>
        <v>0.41552</v>
      </c>
      <c r="H75" t="str">
        <f t="shared" si="6"/>
        <v>-0.33</v>
      </c>
      <c r="I75" t="str">
        <f t="shared" si="7"/>
        <v>0.50</v>
      </c>
      <c r="J75" t="str">
        <f t="shared" si="9"/>
        <v>0.081 [-0.33, 0.50]</v>
      </c>
    </row>
    <row r="76" spans="1:10" x14ac:dyDescent="0.35">
      <c r="A76" s="3">
        <v>43</v>
      </c>
      <c r="B76" s="4" t="s">
        <v>52</v>
      </c>
      <c r="C76" s="3" t="s">
        <v>22</v>
      </c>
      <c r="D76" s="3">
        <v>148</v>
      </c>
      <c r="E76" s="3">
        <v>0.192</v>
      </c>
      <c r="F76" s="3">
        <v>1.558075101</v>
      </c>
      <c r="G76">
        <f t="shared" si="8"/>
        <v>3.05382719796</v>
      </c>
      <c r="H76" t="str">
        <f t="shared" si="6"/>
        <v>-2.86</v>
      </c>
      <c r="I76" t="str">
        <f t="shared" si="7"/>
        <v>3.25</v>
      </c>
      <c r="J76" t="str">
        <f t="shared" si="9"/>
        <v>0.192 [-2.86, 3.25]</v>
      </c>
    </row>
    <row r="77" spans="1:10" x14ac:dyDescent="0.35">
      <c r="A77" s="3">
        <v>43</v>
      </c>
      <c r="B77" s="4"/>
      <c r="C77" s="3" t="s">
        <v>13</v>
      </c>
      <c r="D77" s="3">
        <v>147</v>
      </c>
      <c r="E77" s="3">
        <v>0.30199999999999999</v>
      </c>
      <c r="F77" s="3">
        <v>0.16600000000000001</v>
      </c>
      <c r="G77">
        <f t="shared" si="8"/>
        <v>0.32536000000000004</v>
      </c>
      <c r="H77" t="str">
        <f t="shared" si="6"/>
        <v>-0.02</v>
      </c>
      <c r="I77" t="str">
        <f t="shared" si="7"/>
        <v>0.63</v>
      </c>
      <c r="J77" t="str">
        <f t="shared" si="9"/>
        <v>0.302 [-0.02, 0.63]</v>
      </c>
    </row>
    <row r="78" spans="1:10" x14ac:dyDescent="0.35">
      <c r="A78" s="3">
        <v>43</v>
      </c>
      <c r="B78" s="4"/>
      <c r="C78" s="3" t="s">
        <v>19</v>
      </c>
      <c r="D78" s="3">
        <v>147</v>
      </c>
      <c r="E78" s="3">
        <v>0.26500000000000001</v>
      </c>
      <c r="F78" s="3">
        <v>0.16600000000000001</v>
      </c>
      <c r="G78">
        <f t="shared" si="8"/>
        <v>0.32536000000000004</v>
      </c>
      <c r="H78" t="str">
        <f t="shared" si="6"/>
        <v>-0.06</v>
      </c>
      <c r="I78" t="str">
        <f t="shared" si="7"/>
        <v>0.59</v>
      </c>
      <c r="J78" t="str">
        <f t="shared" si="9"/>
        <v>0.265 [-0.06, 0.59]</v>
      </c>
    </row>
    <row r="79" spans="1:10" x14ac:dyDescent="0.35">
      <c r="A79" s="3">
        <v>45</v>
      </c>
      <c r="B79" s="4" t="s">
        <v>54</v>
      </c>
      <c r="C79" s="3" t="s">
        <v>13</v>
      </c>
      <c r="D79" s="3">
        <v>47</v>
      </c>
      <c r="E79" s="3">
        <v>0.61</v>
      </c>
      <c r="F79" s="3">
        <v>0.29899999999999999</v>
      </c>
      <c r="G79">
        <f t="shared" si="8"/>
        <v>0.58604000000000001</v>
      </c>
      <c r="H79" t="str">
        <f t="shared" si="6"/>
        <v>0.02</v>
      </c>
      <c r="I79" t="str">
        <f t="shared" si="7"/>
        <v>1.20</v>
      </c>
      <c r="J79" t="str">
        <f t="shared" si="9"/>
        <v>0.61 [0.02, 1.20]</v>
      </c>
    </row>
    <row r="80" spans="1:10" x14ac:dyDescent="0.35">
      <c r="A80" s="3">
        <v>45</v>
      </c>
      <c r="B80" s="4"/>
      <c r="C80" s="3" t="s">
        <v>17</v>
      </c>
      <c r="D80" s="3">
        <v>48</v>
      </c>
      <c r="E80" s="3">
        <v>0.55400000000000005</v>
      </c>
      <c r="F80" s="3">
        <v>0.59197712300000005</v>
      </c>
      <c r="G80">
        <f t="shared" si="8"/>
        <v>1.1602751610800002</v>
      </c>
      <c r="H80" t="str">
        <f t="shared" si="6"/>
        <v>-0.61</v>
      </c>
      <c r="I80" t="str">
        <f t="shared" si="7"/>
        <v>1.71</v>
      </c>
      <c r="J80" t="str">
        <f t="shared" si="9"/>
        <v>0.554 [-0.61, 1.71]</v>
      </c>
    </row>
    <row r="81" spans="1:10" x14ac:dyDescent="0.35">
      <c r="A81" s="3">
        <v>45</v>
      </c>
      <c r="B81" s="4"/>
      <c r="C81" s="3" t="s">
        <v>15</v>
      </c>
      <c r="D81" s="3">
        <v>48</v>
      </c>
      <c r="E81" s="3">
        <v>0.17499999999999999</v>
      </c>
      <c r="F81" s="3">
        <v>1.577747037</v>
      </c>
      <c r="G81">
        <f t="shared" si="8"/>
        <v>3.09238419252</v>
      </c>
      <c r="H81" t="str">
        <f t="shared" si="6"/>
        <v>-2.92</v>
      </c>
      <c r="I81" t="str">
        <f t="shared" si="7"/>
        <v>3.27</v>
      </c>
      <c r="J81" t="str">
        <f t="shared" si="9"/>
        <v>0.175 [-2.92, 3.27]</v>
      </c>
    </row>
    <row r="82" spans="1:10" x14ac:dyDescent="0.35">
      <c r="A82" s="3">
        <v>45</v>
      </c>
      <c r="B82" s="4"/>
      <c r="C82" s="3" t="s">
        <v>19</v>
      </c>
      <c r="D82" s="3">
        <v>47</v>
      </c>
      <c r="E82" s="3">
        <v>2.1999999999999999E-2</v>
      </c>
      <c r="F82" s="3">
        <v>0.29199999999999998</v>
      </c>
      <c r="G82">
        <f t="shared" si="8"/>
        <v>0.57231999999999994</v>
      </c>
      <c r="H82" t="str">
        <f t="shared" si="6"/>
        <v>-0.55</v>
      </c>
      <c r="I82" t="str">
        <f t="shared" si="7"/>
        <v>0.59</v>
      </c>
      <c r="J82" t="str">
        <f t="shared" si="9"/>
        <v>0.022 [-0.55, 0.59]</v>
      </c>
    </row>
    <row r="83" spans="1:10" x14ac:dyDescent="0.35">
      <c r="A83" s="3">
        <v>45</v>
      </c>
      <c r="B83" s="4"/>
      <c r="C83" s="3" t="s">
        <v>9</v>
      </c>
      <c r="D83" s="3">
        <v>47</v>
      </c>
      <c r="E83" s="3">
        <v>0.68400000000000005</v>
      </c>
      <c r="F83" s="3">
        <v>0.30099999999999999</v>
      </c>
      <c r="G83">
        <f t="shared" si="8"/>
        <v>0.58995999999999993</v>
      </c>
      <c r="H83" t="str">
        <f t="shared" si="6"/>
        <v>0.09</v>
      </c>
      <c r="I83" t="str">
        <f t="shared" si="7"/>
        <v>1.27</v>
      </c>
      <c r="J83" t="str">
        <f t="shared" si="9"/>
        <v>0.684 [0.09, 1.27]</v>
      </c>
    </row>
    <row r="84" spans="1:10" x14ac:dyDescent="0.35">
      <c r="A84" s="3">
        <v>46</v>
      </c>
      <c r="B84" s="4" t="s">
        <v>55</v>
      </c>
      <c r="C84" s="3" t="s">
        <v>13</v>
      </c>
      <c r="D84" s="3">
        <v>28</v>
      </c>
      <c r="E84" s="3">
        <v>0.44700000000000001</v>
      </c>
      <c r="F84" s="3">
        <v>0.38400000000000001</v>
      </c>
      <c r="G84">
        <f t="shared" si="8"/>
        <v>0.75263999999999998</v>
      </c>
      <c r="H84" t="str">
        <f t="shared" si="6"/>
        <v>-0.31</v>
      </c>
      <c r="I84" t="str">
        <f t="shared" si="7"/>
        <v>1.20</v>
      </c>
      <c r="J84" t="str">
        <f t="shared" si="9"/>
        <v>0.447 [-0.31, 1.20]</v>
      </c>
    </row>
    <row r="85" spans="1:10" x14ac:dyDescent="0.35">
      <c r="A85" s="3">
        <v>46</v>
      </c>
      <c r="B85" s="4"/>
      <c r="C85" s="3" t="s">
        <v>16</v>
      </c>
      <c r="D85" s="3">
        <v>29</v>
      </c>
      <c r="E85" s="3">
        <v>0.84599999999999997</v>
      </c>
      <c r="F85" s="3">
        <v>0.98378461500000003</v>
      </c>
      <c r="G85">
        <f t="shared" si="8"/>
        <v>1.9282178454000001</v>
      </c>
      <c r="H85" t="str">
        <f t="shared" si="6"/>
        <v>-1.08</v>
      </c>
      <c r="I85" t="str">
        <f t="shared" si="7"/>
        <v>2.77</v>
      </c>
      <c r="J85" t="str">
        <f t="shared" si="9"/>
        <v>0.846 [-1.08, 2.77]</v>
      </c>
    </row>
    <row r="86" spans="1:10" x14ac:dyDescent="0.35">
      <c r="A86" s="3">
        <v>46</v>
      </c>
      <c r="B86" s="4"/>
      <c r="C86" s="3" t="s">
        <v>14</v>
      </c>
      <c r="D86" s="3">
        <v>29</v>
      </c>
      <c r="E86" s="3">
        <v>0.86699999999999999</v>
      </c>
      <c r="F86" s="3">
        <v>2.035580935</v>
      </c>
      <c r="G86">
        <f t="shared" si="8"/>
        <v>3.9897386325999999</v>
      </c>
      <c r="H86" t="str">
        <f t="shared" si="6"/>
        <v>-3.12</v>
      </c>
      <c r="I86" t="str">
        <f t="shared" si="7"/>
        <v>4.86</v>
      </c>
      <c r="J86" t="str">
        <f t="shared" si="9"/>
        <v>0.867 [-3.12, 4.86]</v>
      </c>
    </row>
    <row r="87" spans="1:10" x14ac:dyDescent="0.35">
      <c r="A87" s="3">
        <v>49</v>
      </c>
      <c r="B87" s="4" t="s">
        <v>57</v>
      </c>
      <c r="C87" s="3" t="s">
        <v>22</v>
      </c>
      <c r="D87" s="3">
        <v>119</v>
      </c>
      <c r="E87" s="3">
        <v>1.169</v>
      </c>
      <c r="F87" s="3">
        <v>1.0514112360000001</v>
      </c>
      <c r="G87">
        <f t="shared" si="8"/>
        <v>2.0607660225600002</v>
      </c>
      <c r="H87" t="str">
        <f t="shared" si="6"/>
        <v>-0.89</v>
      </c>
      <c r="I87" t="str">
        <f t="shared" si="7"/>
        <v>3.23</v>
      </c>
      <c r="J87" t="str">
        <f t="shared" si="9"/>
        <v>1.169 [-0.89, 3.23]</v>
      </c>
    </row>
    <row r="88" spans="1:10" x14ac:dyDescent="0.35">
      <c r="A88" s="3">
        <v>49</v>
      </c>
      <c r="B88" s="4"/>
      <c r="C88" s="3" t="s">
        <v>13</v>
      </c>
      <c r="D88" s="3">
        <v>118</v>
      </c>
      <c r="E88" s="3">
        <v>0.16200000000000001</v>
      </c>
      <c r="F88" s="3">
        <v>0.19500000000000001</v>
      </c>
      <c r="G88">
        <f t="shared" si="8"/>
        <v>0.38219999999999998</v>
      </c>
      <c r="H88" t="str">
        <f t="shared" si="6"/>
        <v>-0.22</v>
      </c>
      <c r="I88" t="str">
        <f t="shared" si="7"/>
        <v>0.54</v>
      </c>
      <c r="J88" t="str">
        <f t="shared" si="9"/>
        <v>0.162 [-0.22, 0.54]</v>
      </c>
    </row>
    <row r="89" spans="1:10" x14ac:dyDescent="0.35">
      <c r="A89" s="3">
        <v>49</v>
      </c>
      <c r="B89" s="4"/>
      <c r="C89" s="3" t="s">
        <v>19</v>
      </c>
      <c r="D89" s="3">
        <v>118</v>
      </c>
      <c r="E89" s="3">
        <v>0.13200000000000001</v>
      </c>
      <c r="F89" s="3">
        <v>0.19500000000000001</v>
      </c>
      <c r="G89">
        <f t="shared" si="8"/>
        <v>0.38219999999999998</v>
      </c>
      <c r="H89" t="str">
        <f t="shared" si="6"/>
        <v>-0.25</v>
      </c>
      <c r="I89" t="str">
        <f t="shared" si="7"/>
        <v>0.51</v>
      </c>
      <c r="J89" t="str">
        <f t="shared" si="9"/>
        <v>0.132 [-0.25, 0.51]</v>
      </c>
    </row>
    <row r="90" spans="1:10" x14ac:dyDescent="0.35">
      <c r="A90" s="3">
        <v>49</v>
      </c>
      <c r="B90" s="4"/>
      <c r="C90" s="3" t="s">
        <v>9</v>
      </c>
      <c r="D90" s="3">
        <v>118</v>
      </c>
      <c r="E90" s="3">
        <v>1.165</v>
      </c>
      <c r="F90" s="3">
        <v>0.20899999999999999</v>
      </c>
      <c r="G90">
        <f t="shared" si="8"/>
        <v>0.40963999999999995</v>
      </c>
      <c r="H90" t="str">
        <f t="shared" si="6"/>
        <v>0.76</v>
      </c>
      <c r="I90" t="str">
        <f t="shared" si="7"/>
        <v>1.57</v>
      </c>
      <c r="J90" t="str">
        <f t="shared" si="9"/>
        <v>1.165 [0.76, 1.57]</v>
      </c>
    </row>
    <row r="91" spans="1:10" x14ac:dyDescent="0.35">
      <c r="A91" s="3">
        <v>52</v>
      </c>
      <c r="B91" s="4" t="s">
        <v>59</v>
      </c>
      <c r="C91" s="3" t="s">
        <v>13</v>
      </c>
      <c r="D91" s="3">
        <v>62</v>
      </c>
      <c r="E91" s="3">
        <v>0.124</v>
      </c>
      <c r="F91" s="3">
        <v>0.254</v>
      </c>
      <c r="G91">
        <f t="shared" si="8"/>
        <v>0.49784</v>
      </c>
      <c r="H91" t="str">
        <f t="shared" si="6"/>
        <v>-0.37</v>
      </c>
      <c r="I91" t="str">
        <f t="shared" si="7"/>
        <v>0.62</v>
      </c>
      <c r="J91" t="str">
        <f t="shared" si="9"/>
        <v>0.124 [-0.37, 0.62]</v>
      </c>
    </row>
    <row r="92" spans="1:10" x14ac:dyDescent="0.35">
      <c r="A92" s="3">
        <v>52</v>
      </c>
      <c r="B92" s="4"/>
      <c r="C92" s="3" t="s">
        <v>17</v>
      </c>
      <c r="D92" s="3">
        <v>63</v>
      </c>
      <c r="E92" s="3">
        <v>0.76</v>
      </c>
      <c r="F92" s="3">
        <v>0.62434994200000005</v>
      </c>
      <c r="G92">
        <f t="shared" si="8"/>
        <v>1.22372588632</v>
      </c>
      <c r="H92" t="str">
        <f t="shared" si="6"/>
        <v>-0.46</v>
      </c>
      <c r="I92" t="str">
        <f t="shared" si="7"/>
        <v>1.98</v>
      </c>
      <c r="J92" t="str">
        <f t="shared" si="9"/>
        <v>0.76 [-0.46, 1.98]</v>
      </c>
    </row>
    <row r="93" spans="1:10" x14ac:dyDescent="0.35">
      <c r="A93" s="3">
        <v>52</v>
      </c>
      <c r="B93" s="4"/>
      <c r="C93" s="3" t="s">
        <v>15</v>
      </c>
      <c r="D93" s="3">
        <v>63</v>
      </c>
      <c r="E93" s="3">
        <v>0.621</v>
      </c>
      <c r="F93" s="3">
        <v>1.0651210069999999</v>
      </c>
      <c r="G93">
        <f t="shared" si="8"/>
        <v>2.0876371737199997</v>
      </c>
      <c r="H93" t="str">
        <f t="shared" si="6"/>
        <v>-1.47</v>
      </c>
      <c r="I93" t="str">
        <f t="shared" si="7"/>
        <v>2.71</v>
      </c>
      <c r="J93" t="str">
        <f t="shared" si="9"/>
        <v>0.621 [-1.47, 2.71]</v>
      </c>
    </row>
    <row r="94" spans="1:10" x14ac:dyDescent="0.35">
      <c r="A94" s="3">
        <v>52</v>
      </c>
      <c r="B94" s="4"/>
      <c r="C94" s="3" t="s">
        <v>19</v>
      </c>
      <c r="D94" s="3">
        <v>62</v>
      </c>
      <c r="E94" s="3">
        <v>0.58199999999999996</v>
      </c>
      <c r="F94" s="3">
        <v>0.26</v>
      </c>
      <c r="G94">
        <f t="shared" si="8"/>
        <v>0.50960000000000005</v>
      </c>
      <c r="H94" t="str">
        <f t="shared" si="6"/>
        <v>0.07</v>
      </c>
      <c r="I94" t="str">
        <f t="shared" si="7"/>
        <v>1.09</v>
      </c>
      <c r="J94" t="str">
        <f t="shared" si="9"/>
        <v>0.582 [0.07, 1.09]</v>
      </c>
    </row>
    <row r="95" spans="1:10" x14ac:dyDescent="0.35">
      <c r="A95" s="3">
        <v>52</v>
      </c>
      <c r="B95" s="4"/>
      <c r="C95" s="3" t="s">
        <v>9</v>
      </c>
      <c r="D95" s="3">
        <v>62</v>
      </c>
      <c r="E95" s="3">
        <v>0.58699999999999997</v>
      </c>
      <c r="F95" s="3">
        <v>0.26</v>
      </c>
      <c r="G95">
        <f t="shared" si="8"/>
        <v>0.50960000000000005</v>
      </c>
      <c r="H95" t="str">
        <f t="shared" si="6"/>
        <v>0.08</v>
      </c>
      <c r="I95" t="str">
        <f t="shared" si="7"/>
        <v>1.10</v>
      </c>
      <c r="J95" t="str">
        <f t="shared" si="9"/>
        <v>0.587 [0.08, 1.10]</v>
      </c>
    </row>
    <row r="96" spans="1:10" x14ac:dyDescent="0.35">
      <c r="A96" s="3">
        <v>54</v>
      </c>
      <c r="B96" s="4" t="s">
        <v>61</v>
      </c>
      <c r="C96" s="3" t="s">
        <v>22</v>
      </c>
      <c r="D96" s="3">
        <v>40</v>
      </c>
      <c r="E96" s="3">
        <v>3.036</v>
      </c>
      <c r="F96" s="3">
        <v>0.74913582300000003</v>
      </c>
      <c r="G96">
        <f t="shared" si="8"/>
        <v>1.46830621308</v>
      </c>
      <c r="H96" t="str">
        <f t="shared" si="6"/>
        <v>1.57</v>
      </c>
      <c r="I96" t="str">
        <f t="shared" si="7"/>
        <v>4.50</v>
      </c>
      <c r="J96" t="str">
        <f t="shared" si="9"/>
        <v>3.036 [1.57, 4.50]</v>
      </c>
    </row>
    <row r="97" spans="1:10" x14ac:dyDescent="0.35">
      <c r="A97" s="3">
        <v>54</v>
      </c>
      <c r="B97" s="4"/>
      <c r="C97" s="3" t="s">
        <v>27</v>
      </c>
      <c r="D97" s="3">
        <v>39</v>
      </c>
      <c r="E97" s="3">
        <v>0.25</v>
      </c>
      <c r="F97" s="3">
        <v>0.32200000000000001</v>
      </c>
      <c r="G97">
        <f t="shared" si="8"/>
        <v>0.63112000000000001</v>
      </c>
      <c r="H97" t="str">
        <f t="shared" si="6"/>
        <v>-0.38</v>
      </c>
      <c r="I97" t="str">
        <f t="shared" si="7"/>
        <v>0.88</v>
      </c>
      <c r="J97" t="str">
        <f t="shared" si="9"/>
        <v>0.25 [-0.38, 0.88]</v>
      </c>
    </row>
    <row r="98" spans="1:10" x14ac:dyDescent="0.35">
      <c r="A98" s="3">
        <v>54</v>
      </c>
      <c r="B98" s="4"/>
      <c r="C98" s="3" t="s">
        <v>13</v>
      </c>
      <c r="D98" s="3">
        <v>39</v>
      </c>
      <c r="E98" s="3">
        <v>1.1359999999999999</v>
      </c>
      <c r="F98" s="3">
        <v>0.34699999999999998</v>
      </c>
      <c r="G98">
        <f t="shared" si="8"/>
        <v>0.68011999999999995</v>
      </c>
      <c r="H98" t="str">
        <f t="shared" si="6"/>
        <v>0.46</v>
      </c>
      <c r="I98" t="str">
        <f t="shared" si="7"/>
        <v>1.82</v>
      </c>
      <c r="J98" t="str">
        <f t="shared" si="9"/>
        <v>1.136 [0.46, 1.82]</v>
      </c>
    </row>
    <row r="99" spans="1:10" x14ac:dyDescent="0.35">
      <c r="A99" s="3">
        <v>54</v>
      </c>
      <c r="B99" s="4"/>
      <c r="C99" s="3" t="s">
        <v>19</v>
      </c>
      <c r="D99" s="3">
        <v>39</v>
      </c>
      <c r="E99" s="3">
        <v>0.40699999999999997</v>
      </c>
      <c r="F99" s="3">
        <v>0.32400000000000001</v>
      </c>
      <c r="G99">
        <f t="shared" si="8"/>
        <v>0.63504000000000005</v>
      </c>
      <c r="H99" t="str">
        <f t="shared" si="6"/>
        <v>-0.23</v>
      </c>
      <c r="I99" t="str">
        <f t="shared" si="7"/>
        <v>1.04</v>
      </c>
      <c r="J99" t="str">
        <f t="shared" si="9"/>
        <v>0.407 [-0.23, 1.04]</v>
      </c>
    </row>
    <row r="100" spans="1:10" x14ac:dyDescent="0.35">
      <c r="A100" s="3">
        <v>54</v>
      </c>
      <c r="B100" s="4"/>
      <c r="C100" s="3" t="s">
        <v>16</v>
      </c>
      <c r="D100" s="3">
        <v>40</v>
      </c>
      <c r="E100" s="3">
        <v>1.7050000000000001</v>
      </c>
      <c r="F100" s="3">
        <v>0.68202017199999998</v>
      </c>
      <c r="G100">
        <f t="shared" si="8"/>
        <v>1.3367595371199998</v>
      </c>
      <c r="H100" t="str">
        <f t="shared" si="6"/>
        <v>0.37</v>
      </c>
      <c r="I100" t="str">
        <f t="shared" si="7"/>
        <v>3.04</v>
      </c>
      <c r="J100" t="str">
        <f t="shared" si="9"/>
        <v>1.705 [0.37, 3.04]</v>
      </c>
    </row>
    <row r="101" spans="1:10" x14ac:dyDescent="0.35">
      <c r="A101" s="3">
        <v>54</v>
      </c>
      <c r="B101" s="4"/>
      <c r="C101" s="3" t="s">
        <v>14</v>
      </c>
      <c r="D101" s="3">
        <v>40</v>
      </c>
      <c r="E101" s="3">
        <v>1.7050000000000001</v>
      </c>
      <c r="F101" s="3">
        <v>0.68202017199999998</v>
      </c>
      <c r="G101">
        <f t="shared" si="8"/>
        <v>1.3367595371199998</v>
      </c>
      <c r="H101" t="str">
        <f t="shared" si="6"/>
        <v>0.37</v>
      </c>
      <c r="I101" t="str">
        <f t="shared" si="7"/>
        <v>3.04</v>
      </c>
      <c r="J101" t="str">
        <f t="shared" si="9"/>
        <v>1.705 [0.37, 3.04]</v>
      </c>
    </row>
    <row r="102" spans="1:10" x14ac:dyDescent="0.35">
      <c r="A102" s="3">
        <v>54</v>
      </c>
      <c r="B102" s="4"/>
      <c r="C102" s="3" t="s">
        <v>9</v>
      </c>
      <c r="D102" s="3">
        <v>39</v>
      </c>
      <c r="E102" s="3">
        <v>1.056</v>
      </c>
      <c r="F102" s="3">
        <v>0.34300000000000003</v>
      </c>
      <c r="G102">
        <f t="shared" si="8"/>
        <v>0.67227999999999999</v>
      </c>
      <c r="H102" t="str">
        <f t="shared" si="6"/>
        <v>0.38</v>
      </c>
      <c r="I102" t="str">
        <f t="shared" si="7"/>
        <v>1.73</v>
      </c>
      <c r="J102" t="str">
        <f t="shared" si="9"/>
        <v>1.056 [0.38, 1.73]</v>
      </c>
    </row>
    <row r="103" spans="1:10" x14ac:dyDescent="0.35">
      <c r="A103" s="3">
        <v>55</v>
      </c>
      <c r="B103" s="4" t="s">
        <v>62</v>
      </c>
      <c r="C103" s="3" t="s">
        <v>27</v>
      </c>
      <c r="D103" s="3">
        <v>31</v>
      </c>
      <c r="E103" s="3">
        <v>8.7999999999999995E-2</v>
      </c>
      <c r="F103" s="3">
        <v>0.36099999999999999</v>
      </c>
      <c r="G103">
        <f t="shared" si="8"/>
        <v>0.70755999999999997</v>
      </c>
      <c r="H103" t="str">
        <f t="shared" si="6"/>
        <v>-0.62</v>
      </c>
      <c r="I103" t="str">
        <f t="shared" si="7"/>
        <v>0.80</v>
      </c>
      <c r="J103" t="str">
        <f t="shared" si="9"/>
        <v>0.088 [-0.62, 0.80]</v>
      </c>
    </row>
    <row r="104" spans="1:10" x14ac:dyDescent="0.35">
      <c r="A104" s="3">
        <v>55</v>
      </c>
      <c r="B104" s="4"/>
      <c r="C104" s="3" t="s">
        <v>13</v>
      </c>
      <c r="D104" s="3">
        <v>31</v>
      </c>
      <c r="E104" s="3">
        <v>0.39600000000000002</v>
      </c>
      <c r="F104" s="3">
        <v>0.36499999999999999</v>
      </c>
      <c r="G104">
        <f t="shared" si="8"/>
        <v>0.71539999999999992</v>
      </c>
      <c r="H104" t="str">
        <f t="shared" si="6"/>
        <v>-0.32</v>
      </c>
      <c r="I104" t="str">
        <f t="shared" si="7"/>
        <v>1.11</v>
      </c>
      <c r="J104" t="str">
        <f t="shared" si="9"/>
        <v>0.396 [-0.32, 1.11]</v>
      </c>
    </row>
    <row r="105" spans="1:10" x14ac:dyDescent="0.35">
      <c r="A105" s="3">
        <v>55</v>
      </c>
      <c r="B105" s="4"/>
      <c r="C105" s="3" t="s">
        <v>17</v>
      </c>
      <c r="D105" s="3">
        <v>32</v>
      </c>
      <c r="E105" s="3">
        <v>0.76200000000000001</v>
      </c>
      <c r="F105" s="3">
        <v>0.75297906100000001</v>
      </c>
      <c r="G105">
        <f t="shared" si="8"/>
        <v>1.4758389595599999</v>
      </c>
      <c r="H105" t="str">
        <f t="shared" si="6"/>
        <v>-0.71</v>
      </c>
      <c r="I105" t="str">
        <f t="shared" si="7"/>
        <v>2.24</v>
      </c>
      <c r="J105" t="str">
        <f t="shared" si="9"/>
        <v>0.762 [-0.71, 2.24]</v>
      </c>
    </row>
    <row r="106" spans="1:10" x14ac:dyDescent="0.35">
      <c r="A106" s="3">
        <v>55</v>
      </c>
      <c r="B106" s="4"/>
      <c r="C106" s="3" t="s">
        <v>15</v>
      </c>
      <c r="D106" s="3">
        <v>32</v>
      </c>
      <c r="E106" s="3">
        <v>1.214</v>
      </c>
      <c r="F106" s="3">
        <v>2.0323021680000002</v>
      </c>
      <c r="G106">
        <f t="shared" si="8"/>
        <v>3.9833122492800004</v>
      </c>
      <c r="H106" t="str">
        <f t="shared" si="6"/>
        <v>-2.77</v>
      </c>
      <c r="I106" t="str">
        <f t="shared" si="7"/>
        <v>5.20</v>
      </c>
      <c r="J106" t="str">
        <f t="shared" si="9"/>
        <v>1.214 [-2.77, 5.20]</v>
      </c>
    </row>
    <row r="107" spans="1:10" x14ac:dyDescent="0.35">
      <c r="A107" s="3">
        <v>55</v>
      </c>
      <c r="B107" s="4"/>
      <c r="C107" s="3" t="s">
        <v>19</v>
      </c>
      <c r="D107" s="3">
        <v>31</v>
      </c>
      <c r="E107" s="3">
        <v>0.27300000000000002</v>
      </c>
      <c r="F107" s="3">
        <v>0.36299999999999999</v>
      </c>
      <c r="G107">
        <f t="shared" si="8"/>
        <v>0.71148</v>
      </c>
      <c r="H107" t="str">
        <f t="shared" si="6"/>
        <v>-0.44</v>
      </c>
      <c r="I107" t="str">
        <f t="shared" si="7"/>
        <v>0.98</v>
      </c>
      <c r="J107" t="str">
        <f t="shared" si="9"/>
        <v>0.273 [-0.44, 0.98]</v>
      </c>
    </row>
    <row r="108" spans="1:10" x14ac:dyDescent="0.35">
      <c r="A108" s="3">
        <v>62</v>
      </c>
      <c r="B108" s="4" t="s">
        <v>65</v>
      </c>
      <c r="C108" s="3" t="s">
        <v>27</v>
      </c>
      <c r="D108" s="3">
        <v>72</v>
      </c>
      <c r="E108" s="3">
        <v>0.25600000000000001</v>
      </c>
      <c r="F108" s="3">
        <v>0.23699999999999999</v>
      </c>
      <c r="G108">
        <f t="shared" si="8"/>
        <v>0.46451999999999999</v>
      </c>
      <c r="H108" t="str">
        <f t="shared" si="6"/>
        <v>-0.21</v>
      </c>
      <c r="I108" t="str">
        <f t="shared" si="7"/>
        <v>0.72</v>
      </c>
      <c r="J108" t="str">
        <f t="shared" si="9"/>
        <v>0.256 [-0.21, 0.72]</v>
      </c>
    </row>
    <row r="109" spans="1:10" x14ac:dyDescent="0.35">
      <c r="A109" s="3">
        <v>62</v>
      </c>
      <c r="B109" s="4"/>
      <c r="C109" s="3" t="s">
        <v>13</v>
      </c>
      <c r="D109" s="3">
        <v>72</v>
      </c>
      <c r="E109" s="3">
        <v>0.27900000000000003</v>
      </c>
      <c r="F109" s="3">
        <v>0.23699999999999999</v>
      </c>
      <c r="G109">
        <f t="shared" si="8"/>
        <v>0.46451999999999999</v>
      </c>
      <c r="H109" t="str">
        <f t="shared" si="6"/>
        <v>-0.19</v>
      </c>
      <c r="I109" t="str">
        <f t="shared" si="7"/>
        <v>0.74</v>
      </c>
      <c r="J109" t="str">
        <f t="shared" si="9"/>
        <v>0.279 [-0.19, 0.74]</v>
      </c>
    </row>
    <row r="110" spans="1:10" x14ac:dyDescent="0.35">
      <c r="A110" s="3">
        <v>66</v>
      </c>
      <c r="B110" s="4" t="s">
        <v>66</v>
      </c>
      <c r="C110" s="3" t="s">
        <v>22</v>
      </c>
      <c r="D110" s="3">
        <v>221</v>
      </c>
      <c r="E110" s="3">
        <v>0.752</v>
      </c>
      <c r="F110" s="3">
        <v>0.33869646599999997</v>
      </c>
      <c r="G110">
        <f t="shared" si="8"/>
        <v>0.66384507335999998</v>
      </c>
      <c r="H110" t="str">
        <f t="shared" si="6"/>
        <v>0.09</v>
      </c>
      <c r="I110" t="str">
        <f t="shared" si="7"/>
        <v>1.42</v>
      </c>
      <c r="J110" t="str">
        <f t="shared" si="9"/>
        <v>0.752 [0.09, 1.42]</v>
      </c>
    </row>
    <row r="111" spans="1:10" x14ac:dyDescent="0.35">
      <c r="A111" s="3">
        <v>68</v>
      </c>
      <c r="B111" s="4" t="s">
        <v>67</v>
      </c>
      <c r="C111" s="3" t="s">
        <v>27</v>
      </c>
      <c r="D111" s="3">
        <v>12</v>
      </c>
      <c r="E111" s="3">
        <v>0.23200000000000001</v>
      </c>
      <c r="F111" s="3">
        <v>0.57999999999999996</v>
      </c>
      <c r="G111">
        <f t="shared" si="8"/>
        <v>1.1367999999999998</v>
      </c>
      <c r="H111" t="str">
        <f t="shared" si="6"/>
        <v>-0.90</v>
      </c>
      <c r="I111" t="str">
        <f t="shared" si="7"/>
        <v>1.37</v>
      </c>
      <c r="J111" t="str">
        <f t="shared" si="9"/>
        <v>0.232 [-0.90, 1.37]</v>
      </c>
    </row>
    <row r="112" spans="1:10" ht="16" x14ac:dyDescent="0.4">
      <c r="A112" s="3">
        <v>68</v>
      </c>
      <c r="B112" s="5"/>
      <c r="C112" s="3" t="s">
        <v>19</v>
      </c>
      <c r="D112" s="3">
        <v>12</v>
      </c>
      <c r="E112" s="3">
        <v>0.24299999999999999</v>
      </c>
      <c r="F112" s="3">
        <v>0.57999999999999996</v>
      </c>
      <c r="G112">
        <f t="shared" si="8"/>
        <v>1.1367999999999998</v>
      </c>
      <c r="H112" t="str">
        <f t="shared" si="6"/>
        <v>-0.89</v>
      </c>
      <c r="I112" t="str">
        <f t="shared" si="7"/>
        <v>1.38</v>
      </c>
      <c r="J112" t="str">
        <f t="shared" si="9"/>
        <v>0.243 [-0.89, 1.38]</v>
      </c>
    </row>
    <row r="113" spans="1:10" x14ac:dyDescent="0.35">
      <c r="A113" s="3">
        <v>73</v>
      </c>
      <c r="B113" s="4" t="s">
        <v>71</v>
      </c>
      <c r="C113" s="3" t="s">
        <v>27</v>
      </c>
      <c r="D113" s="3">
        <v>40</v>
      </c>
      <c r="E113" s="3">
        <v>0.45100000000000001</v>
      </c>
      <c r="F113" s="3">
        <v>0.32</v>
      </c>
      <c r="G113">
        <f t="shared" si="8"/>
        <v>0.62719999999999998</v>
      </c>
      <c r="H113" t="str">
        <f t="shared" si="6"/>
        <v>-0.18</v>
      </c>
      <c r="I113" t="str">
        <f t="shared" si="7"/>
        <v>1.08</v>
      </c>
      <c r="J113" t="str">
        <f t="shared" si="9"/>
        <v>0.451 [-0.18, 1.08]</v>
      </c>
    </row>
    <row r="114" spans="1:10" ht="16" x14ac:dyDescent="0.4">
      <c r="A114" s="3">
        <v>73</v>
      </c>
      <c r="B114" s="5"/>
      <c r="C114" s="3" t="s">
        <v>19</v>
      </c>
      <c r="D114" s="3">
        <v>40</v>
      </c>
      <c r="E114" s="3">
        <v>0.47399999999999998</v>
      </c>
      <c r="F114" s="3">
        <v>0.32100000000000001</v>
      </c>
      <c r="G114">
        <f t="shared" si="8"/>
        <v>0.62916000000000005</v>
      </c>
      <c r="H114" t="str">
        <f t="shared" si="6"/>
        <v>-0.16</v>
      </c>
      <c r="I114" t="str">
        <f t="shared" si="7"/>
        <v>1.10</v>
      </c>
      <c r="J114" t="str">
        <f t="shared" si="9"/>
        <v>0.474 [-0.16, 1.10]</v>
      </c>
    </row>
    <row r="115" spans="1:10" x14ac:dyDescent="0.35">
      <c r="A115" s="3">
        <v>76</v>
      </c>
      <c r="B115" s="4" t="s">
        <v>72</v>
      </c>
      <c r="C115" s="3" t="s">
        <v>22</v>
      </c>
      <c r="D115" s="3">
        <v>181</v>
      </c>
      <c r="E115" s="3">
        <v>0.56399999999999995</v>
      </c>
      <c r="F115" s="3">
        <v>0.488059462</v>
      </c>
      <c r="G115">
        <f t="shared" si="8"/>
        <v>0.95659654551999995</v>
      </c>
      <c r="H115" t="str">
        <f t="shared" si="6"/>
        <v>-0.39</v>
      </c>
      <c r="I115" t="str">
        <f t="shared" si="7"/>
        <v>1.52</v>
      </c>
      <c r="J115" t="str">
        <f t="shared" si="9"/>
        <v>0.564 [-0.39, 1.52]</v>
      </c>
    </row>
    <row r="116" spans="1:10" x14ac:dyDescent="0.35">
      <c r="A116" s="3">
        <v>76</v>
      </c>
      <c r="B116" s="4"/>
      <c r="C116" s="3" t="s">
        <v>13</v>
      </c>
      <c r="D116" s="3">
        <v>112</v>
      </c>
      <c r="E116" s="3">
        <v>0.247</v>
      </c>
      <c r="F116" s="3">
        <v>0.19</v>
      </c>
      <c r="G116">
        <f t="shared" si="8"/>
        <v>0.37240000000000001</v>
      </c>
      <c r="H116" t="str">
        <f t="shared" si="6"/>
        <v>-0.13</v>
      </c>
      <c r="I116" t="str">
        <f t="shared" si="7"/>
        <v>0.62</v>
      </c>
      <c r="J116" t="str">
        <f t="shared" si="9"/>
        <v>0.247 [-0.13, 0.62]</v>
      </c>
    </row>
    <row r="117" spans="1:10" x14ac:dyDescent="0.35">
      <c r="A117" s="3">
        <v>76</v>
      </c>
      <c r="B117" s="4"/>
      <c r="C117" s="3" t="s">
        <v>17</v>
      </c>
      <c r="D117" s="3">
        <v>112</v>
      </c>
      <c r="E117" s="3">
        <v>0.89900000000000002</v>
      </c>
      <c r="F117" s="3">
        <v>0.46928993099999999</v>
      </c>
      <c r="G117">
        <f t="shared" si="8"/>
        <v>0.91980826475999999</v>
      </c>
      <c r="H117" t="str">
        <f t="shared" si="6"/>
        <v>-0.02</v>
      </c>
      <c r="I117" t="str">
        <f t="shared" si="7"/>
        <v>1.82</v>
      </c>
      <c r="J117" t="str">
        <f t="shared" si="9"/>
        <v>0.899 [-0.02, 1.82]</v>
      </c>
    </row>
    <row r="118" spans="1:10" x14ac:dyDescent="0.35">
      <c r="A118" s="3">
        <v>76</v>
      </c>
      <c r="B118" s="4"/>
      <c r="C118" s="3" t="s">
        <v>15</v>
      </c>
      <c r="D118" s="3">
        <v>112</v>
      </c>
      <c r="E118" s="3">
        <v>0.35799999999999998</v>
      </c>
      <c r="F118" s="3">
        <v>1.644104148</v>
      </c>
      <c r="G118">
        <f t="shared" si="8"/>
        <v>3.22244413008</v>
      </c>
      <c r="H118" t="str">
        <f t="shared" si="6"/>
        <v>-2.86</v>
      </c>
      <c r="I118" t="str">
        <f t="shared" si="7"/>
        <v>3.58</v>
      </c>
      <c r="J118" t="str">
        <f t="shared" si="9"/>
        <v>0.358 [-2.86, 3.58]</v>
      </c>
    </row>
    <row r="119" spans="1:10" x14ac:dyDescent="0.35">
      <c r="A119" s="3">
        <v>76</v>
      </c>
      <c r="B119" s="4"/>
      <c r="C119" s="3" t="s">
        <v>16</v>
      </c>
      <c r="D119" s="3">
        <v>112</v>
      </c>
      <c r="E119" s="3">
        <v>0.67400000000000004</v>
      </c>
      <c r="F119" s="3">
        <v>0.58335115800000004</v>
      </c>
      <c r="G119">
        <f t="shared" si="8"/>
        <v>1.14336826968</v>
      </c>
      <c r="H119" t="str">
        <f t="shared" si="6"/>
        <v>-0.47</v>
      </c>
      <c r="I119" t="str">
        <f t="shared" si="7"/>
        <v>1.82</v>
      </c>
      <c r="J119" t="str">
        <f t="shared" si="9"/>
        <v>0.674 [-0.47, 1.82]</v>
      </c>
    </row>
    <row r="120" spans="1:10" x14ac:dyDescent="0.35">
      <c r="A120" s="3">
        <v>76</v>
      </c>
      <c r="B120" s="4"/>
      <c r="C120" s="3" t="s">
        <v>14</v>
      </c>
      <c r="D120" s="3">
        <v>112</v>
      </c>
      <c r="E120" s="3">
        <v>1.0940000000000001</v>
      </c>
      <c r="F120" s="3">
        <v>2.0090070440000001</v>
      </c>
      <c r="G120">
        <f t="shared" si="8"/>
        <v>3.9376538062400002</v>
      </c>
      <c r="H120" t="str">
        <f t="shared" si="6"/>
        <v>-2.84</v>
      </c>
      <c r="I120" t="str">
        <f t="shared" si="7"/>
        <v>5.03</v>
      </c>
      <c r="J120" t="str">
        <f t="shared" si="9"/>
        <v>1.094 [-2.84, 5.03]</v>
      </c>
    </row>
    <row r="121" spans="1:10" x14ac:dyDescent="0.35">
      <c r="A121" s="3">
        <v>77</v>
      </c>
      <c r="B121" s="4" t="s">
        <v>73</v>
      </c>
      <c r="C121" s="3" t="s">
        <v>22</v>
      </c>
      <c r="D121" s="3">
        <v>72</v>
      </c>
      <c r="E121" s="3">
        <v>0.64400000000000002</v>
      </c>
      <c r="F121" s="3">
        <v>0.75563926299999995</v>
      </c>
      <c r="G121">
        <f t="shared" si="8"/>
        <v>1.4810529554799998</v>
      </c>
      <c r="H121" t="str">
        <f t="shared" si="6"/>
        <v>-0.84</v>
      </c>
      <c r="I121" t="str">
        <f t="shared" si="7"/>
        <v>2.13</v>
      </c>
      <c r="J121" t="str">
        <f t="shared" si="9"/>
        <v>0.644 [-0.84, 2.13]</v>
      </c>
    </row>
    <row r="122" spans="1:10" x14ac:dyDescent="0.35">
      <c r="A122" s="3">
        <v>77</v>
      </c>
      <c r="B122" s="4"/>
      <c r="C122" s="3" t="s">
        <v>13</v>
      </c>
      <c r="D122" s="3">
        <v>71</v>
      </c>
      <c r="E122" s="3">
        <v>7.1999999999999995E-2</v>
      </c>
      <c r="F122" s="3">
        <v>0.23799999999999999</v>
      </c>
      <c r="G122">
        <f t="shared" si="8"/>
        <v>0.46647999999999995</v>
      </c>
      <c r="H122" t="str">
        <f t="shared" si="6"/>
        <v>-0.39</v>
      </c>
      <c r="I122" t="str">
        <f t="shared" si="7"/>
        <v>0.54</v>
      </c>
      <c r="J122" t="str">
        <f t="shared" si="9"/>
        <v>0.072 [-0.39, 0.54]</v>
      </c>
    </row>
    <row r="123" spans="1:10" x14ac:dyDescent="0.35">
      <c r="A123" s="3">
        <v>77</v>
      </c>
      <c r="B123" s="4"/>
      <c r="C123" s="3" t="s">
        <v>17</v>
      </c>
      <c r="D123" s="3">
        <v>72</v>
      </c>
      <c r="E123" s="3">
        <v>6.7000000000000004E-2</v>
      </c>
      <c r="F123" s="3">
        <v>1.497948015</v>
      </c>
      <c r="G123">
        <f t="shared" si="8"/>
        <v>2.9359781093999997</v>
      </c>
      <c r="H123" t="str">
        <f t="shared" si="6"/>
        <v>-2.87</v>
      </c>
      <c r="I123" t="str">
        <f t="shared" si="7"/>
        <v>3.00</v>
      </c>
      <c r="J123" t="str">
        <f t="shared" si="9"/>
        <v>0.067 [-2.87, 3.00]</v>
      </c>
    </row>
    <row r="124" spans="1:10" x14ac:dyDescent="0.35">
      <c r="A124" s="3">
        <v>77</v>
      </c>
      <c r="B124" s="4"/>
      <c r="C124" s="3" t="s">
        <v>15</v>
      </c>
      <c r="D124" s="3">
        <v>72</v>
      </c>
      <c r="E124" s="3">
        <v>1.6679999999999999</v>
      </c>
      <c r="F124" s="3">
        <v>0.59772768399999998</v>
      </c>
      <c r="G124">
        <f t="shared" si="8"/>
        <v>1.17154626064</v>
      </c>
      <c r="H124" t="str">
        <f t="shared" si="6"/>
        <v>0.50</v>
      </c>
      <c r="I124" t="str">
        <f t="shared" si="7"/>
        <v>2.84</v>
      </c>
      <c r="J124" t="str">
        <f t="shared" si="9"/>
        <v>1.668 [0.50, 2.84]</v>
      </c>
    </row>
    <row r="125" spans="1:10" x14ac:dyDescent="0.35">
      <c r="A125" s="3">
        <v>77</v>
      </c>
      <c r="B125" s="4"/>
      <c r="C125" s="3" t="s">
        <v>19</v>
      </c>
      <c r="D125" s="3">
        <v>71</v>
      </c>
      <c r="E125" s="3">
        <v>0.19900000000000001</v>
      </c>
      <c r="F125" s="3">
        <v>0.23899999999999999</v>
      </c>
      <c r="G125">
        <f t="shared" si="8"/>
        <v>0.46843999999999997</v>
      </c>
      <c r="H125" t="str">
        <f t="shared" si="6"/>
        <v>-0.27</v>
      </c>
      <c r="I125" t="str">
        <f t="shared" si="7"/>
        <v>0.67</v>
      </c>
      <c r="J125" t="str">
        <f t="shared" si="9"/>
        <v>0.199 [-0.27, 0.67]</v>
      </c>
    </row>
    <row r="126" spans="1:10" x14ac:dyDescent="0.35">
      <c r="A126" s="3">
        <v>77</v>
      </c>
      <c r="B126" s="4"/>
      <c r="C126" s="3" t="s">
        <v>16</v>
      </c>
      <c r="D126" s="3">
        <v>72</v>
      </c>
      <c r="E126" s="3">
        <v>0.34699999999999998</v>
      </c>
      <c r="F126" s="3">
        <v>1.0063504919999999</v>
      </c>
      <c r="G126">
        <f t="shared" si="8"/>
        <v>1.9724469643199998</v>
      </c>
      <c r="H126" t="str">
        <f t="shared" si="6"/>
        <v>-1.63</v>
      </c>
      <c r="I126" t="str">
        <f t="shared" si="7"/>
        <v>2.32</v>
      </c>
      <c r="J126" t="str">
        <f t="shared" si="9"/>
        <v>0.347 [-1.63, 2.32]</v>
      </c>
    </row>
    <row r="127" spans="1:10" x14ac:dyDescent="0.35">
      <c r="A127" s="3">
        <v>77</v>
      </c>
      <c r="B127" s="4"/>
      <c r="C127" s="3" t="s">
        <v>14</v>
      </c>
      <c r="D127" s="3">
        <v>72</v>
      </c>
      <c r="E127" s="3">
        <v>0.34699999999999998</v>
      </c>
      <c r="F127" s="3">
        <v>1.0063504919999999</v>
      </c>
      <c r="G127">
        <f t="shared" si="8"/>
        <v>1.9724469643199998</v>
      </c>
      <c r="H127" t="str">
        <f t="shared" si="6"/>
        <v>-1.63</v>
      </c>
      <c r="I127" t="str">
        <f t="shared" si="7"/>
        <v>2.32</v>
      </c>
      <c r="J127" t="str">
        <f t="shared" si="9"/>
        <v>0.347 [-1.63, 2.32]</v>
      </c>
    </row>
    <row r="128" spans="1:10" x14ac:dyDescent="0.35">
      <c r="A128" s="3">
        <v>77</v>
      </c>
      <c r="B128" s="4"/>
      <c r="C128" s="3" t="s">
        <v>9</v>
      </c>
      <c r="D128" s="3">
        <v>71</v>
      </c>
      <c r="E128" s="3">
        <v>0.52700000000000002</v>
      </c>
      <c r="F128" s="3">
        <v>0.24199999999999999</v>
      </c>
      <c r="G128">
        <f t="shared" si="8"/>
        <v>0.47431999999999996</v>
      </c>
      <c r="H128" t="str">
        <f t="shared" si="6"/>
        <v>0.05</v>
      </c>
      <c r="I128" t="str">
        <f t="shared" si="7"/>
        <v>1.00</v>
      </c>
      <c r="J128" t="str">
        <f t="shared" si="9"/>
        <v>0.527 [0.05, 1.00]</v>
      </c>
    </row>
    <row r="129" spans="1:10" x14ac:dyDescent="0.35">
      <c r="A129" s="3">
        <v>82</v>
      </c>
      <c r="B129" s="4" t="s">
        <v>74</v>
      </c>
      <c r="C129" s="3" t="s">
        <v>17</v>
      </c>
      <c r="D129" s="3">
        <v>49</v>
      </c>
      <c r="E129" s="3">
        <v>1</v>
      </c>
      <c r="F129" s="3">
        <v>0.68476238300000003</v>
      </c>
      <c r="G129">
        <f t="shared" si="8"/>
        <v>1.3421342706800001</v>
      </c>
      <c r="H129" t="str">
        <f t="shared" si="6"/>
        <v>-0.34</v>
      </c>
      <c r="I129" t="str">
        <f t="shared" si="7"/>
        <v>2.34</v>
      </c>
      <c r="J129" t="str">
        <f t="shared" si="9"/>
        <v>1 [-0.34, 2.34]</v>
      </c>
    </row>
    <row r="130" spans="1:10" x14ac:dyDescent="0.35">
      <c r="A130" s="3">
        <v>82</v>
      </c>
      <c r="B130" s="4"/>
      <c r="C130" s="3" t="s">
        <v>15</v>
      </c>
      <c r="D130" s="3">
        <v>49</v>
      </c>
      <c r="E130" s="3">
        <v>1</v>
      </c>
      <c r="F130" s="3">
        <v>2.0207259419999999</v>
      </c>
      <c r="G130">
        <f t="shared" si="8"/>
        <v>3.9606228463199997</v>
      </c>
      <c r="H130" t="str">
        <f t="shared" si="6"/>
        <v>-2.96</v>
      </c>
      <c r="I130" t="str">
        <f t="shared" si="7"/>
        <v>4.96</v>
      </c>
      <c r="J130" t="str">
        <f t="shared" si="9"/>
        <v>1 [-2.96, 4.96]</v>
      </c>
    </row>
    <row r="131" spans="1:10" x14ac:dyDescent="0.35">
      <c r="A131" s="3">
        <v>82</v>
      </c>
      <c r="B131" s="4"/>
      <c r="C131" s="3" t="s">
        <v>16</v>
      </c>
      <c r="D131" s="3">
        <v>49</v>
      </c>
      <c r="E131" s="3">
        <v>0.80200000000000005</v>
      </c>
      <c r="F131" s="3">
        <v>0.66622178799999998</v>
      </c>
      <c r="G131">
        <f t="shared" si="8"/>
        <v>1.30579470448</v>
      </c>
      <c r="H131" t="str">
        <f t="shared" ref="H131:H162" si="10">TEXT(E131-G131,"#0.00")</f>
        <v>-0.50</v>
      </c>
      <c r="I131" t="str">
        <f t="shared" ref="I131:I162" si="11">TEXT(E131+G131,"0.00")</f>
        <v>2.11</v>
      </c>
      <c r="J131" t="str">
        <f t="shared" si="9"/>
        <v>0.802 [-0.50, 2.11]</v>
      </c>
    </row>
    <row r="132" spans="1:10" x14ac:dyDescent="0.35">
      <c r="A132" s="3">
        <v>82</v>
      </c>
      <c r="B132" s="4"/>
      <c r="C132" s="3" t="s">
        <v>14</v>
      </c>
      <c r="D132" s="3">
        <v>49</v>
      </c>
      <c r="E132" s="3">
        <v>1</v>
      </c>
      <c r="F132" s="3">
        <v>2.0207259419999999</v>
      </c>
      <c r="G132">
        <f t="shared" si="8"/>
        <v>3.9606228463199997</v>
      </c>
      <c r="H132" t="str">
        <f t="shared" si="10"/>
        <v>-2.96</v>
      </c>
      <c r="I132" t="str">
        <f t="shared" si="11"/>
        <v>4.96</v>
      </c>
      <c r="J132" t="str">
        <f t="shared" si="9"/>
        <v>1 [-2.96, 4.96]</v>
      </c>
    </row>
    <row r="133" spans="1:10" x14ac:dyDescent="0.35">
      <c r="A133" s="3">
        <v>85</v>
      </c>
      <c r="B133" s="4" t="s">
        <v>76</v>
      </c>
      <c r="C133" s="3" t="s">
        <v>22</v>
      </c>
      <c r="D133" s="3">
        <v>65</v>
      </c>
      <c r="E133" s="3">
        <v>0.188</v>
      </c>
      <c r="F133" s="3">
        <v>1.569899148</v>
      </c>
      <c r="G133">
        <f t="shared" si="8"/>
        <v>3.07700233008</v>
      </c>
      <c r="H133" t="str">
        <f t="shared" si="10"/>
        <v>-2.89</v>
      </c>
      <c r="I133" t="str">
        <f t="shared" si="11"/>
        <v>3.27</v>
      </c>
      <c r="J133" t="str">
        <f t="shared" si="9"/>
        <v>0.188 [-2.89, 3.27]</v>
      </c>
    </row>
    <row r="134" spans="1:10" x14ac:dyDescent="0.35">
      <c r="A134" s="3">
        <v>85</v>
      </c>
      <c r="B134" s="4"/>
      <c r="C134" s="3" t="s">
        <v>27</v>
      </c>
      <c r="D134" s="3">
        <v>64</v>
      </c>
      <c r="E134" s="3">
        <v>0.68100000000000005</v>
      </c>
      <c r="F134" s="3">
        <v>0.25700000000000001</v>
      </c>
      <c r="G134">
        <f t="shared" si="8"/>
        <v>0.50372000000000006</v>
      </c>
      <c r="H134" t="str">
        <f t="shared" si="10"/>
        <v>0.18</v>
      </c>
      <c r="I134" t="str">
        <f t="shared" si="11"/>
        <v>1.18</v>
      </c>
      <c r="J134" t="str">
        <f t="shared" si="9"/>
        <v>0.681 [0.18, 1.18]</v>
      </c>
    </row>
    <row r="135" spans="1:10" x14ac:dyDescent="0.35">
      <c r="A135" s="3">
        <v>85</v>
      </c>
      <c r="B135" s="4"/>
      <c r="C135" s="3" t="s">
        <v>13</v>
      </c>
      <c r="D135" s="3">
        <v>64</v>
      </c>
      <c r="E135" s="3">
        <v>0.39900000000000002</v>
      </c>
      <c r="F135" s="3">
        <v>0.253</v>
      </c>
      <c r="G135">
        <f t="shared" si="8"/>
        <v>0.49587999999999999</v>
      </c>
      <c r="H135" t="str">
        <f t="shared" si="10"/>
        <v>-0.10</v>
      </c>
      <c r="I135" t="str">
        <f t="shared" si="11"/>
        <v>0.89</v>
      </c>
      <c r="J135" t="str">
        <f t="shared" si="9"/>
        <v>0.399 [-0.10, 0.89]</v>
      </c>
    </row>
    <row r="136" spans="1:10" x14ac:dyDescent="0.35">
      <c r="A136" s="3">
        <v>87</v>
      </c>
      <c r="B136" s="4" t="s">
        <v>77</v>
      </c>
      <c r="C136" s="3" t="s">
        <v>22</v>
      </c>
      <c r="D136" s="3">
        <v>557</v>
      </c>
      <c r="E136" s="3">
        <v>1.038</v>
      </c>
      <c r="F136" s="3">
        <v>0.40929384899999999</v>
      </c>
      <c r="G136">
        <f t="shared" si="8"/>
        <v>0.80221594403999996</v>
      </c>
      <c r="H136" t="str">
        <f t="shared" si="10"/>
        <v>0.24</v>
      </c>
      <c r="I136" t="str">
        <f t="shared" si="11"/>
        <v>1.84</v>
      </c>
      <c r="J136" t="str">
        <f t="shared" si="9"/>
        <v>1.038 [0.24, 1.84]</v>
      </c>
    </row>
    <row r="137" spans="1:10" x14ac:dyDescent="0.35">
      <c r="A137" s="3">
        <v>87</v>
      </c>
      <c r="B137" s="4"/>
      <c r="C137" s="3" t="s">
        <v>27</v>
      </c>
      <c r="D137" s="3">
        <v>593</v>
      </c>
      <c r="E137" s="3">
        <v>0.151</v>
      </c>
      <c r="F137" s="3">
        <v>8.2000000000000003E-2</v>
      </c>
      <c r="G137">
        <f t="shared" ref="G137:G162" si="12">1.96*F137</f>
        <v>0.16072</v>
      </c>
      <c r="H137" t="str">
        <f t="shared" si="10"/>
        <v>-0.01</v>
      </c>
      <c r="I137" t="str">
        <f t="shared" si="11"/>
        <v>0.31</v>
      </c>
      <c r="J137" t="str">
        <f t="shared" ref="J137:J162" si="13">E137&amp;" ["&amp;H137&amp;", "&amp;I137&amp;"]"</f>
        <v>0.151 [-0.01, 0.31]</v>
      </c>
    </row>
    <row r="138" spans="1:10" x14ac:dyDescent="0.35">
      <c r="A138" s="3">
        <v>87</v>
      </c>
      <c r="B138" s="4"/>
      <c r="C138" s="3" t="s">
        <v>13</v>
      </c>
      <c r="D138" s="3">
        <v>593</v>
      </c>
      <c r="E138" s="3">
        <v>0.247</v>
      </c>
      <c r="F138" s="3">
        <v>8.2000000000000003E-2</v>
      </c>
      <c r="G138">
        <f t="shared" si="12"/>
        <v>0.16072</v>
      </c>
      <c r="H138" t="str">
        <f t="shared" si="10"/>
        <v>0.09</v>
      </c>
      <c r="I138" t="str">
        <f t="shared" si="11"/>
        <v>0.41</v>
      </c>
      <c r="J138" t="str">
        <f t="shared" si="13"/>
        <v>0.247 [0.09, 0.41]</v>
      </c>
    </row>
    <row r="139" spans="1:10" x14ac:dyDescent="0.35">
      <c r="A139" s="3">
        <v>87</v>
      </c>
      <c r="B139" s="4"/>
      <c r="C139" s="3" t="s">
        <v>19</v>
      </c>
      <c r="D139" s="3">
        <v>593</v>
      </c>
      <c r="E139" s="3">
        <v>0.17299999999999999</v>
      </c>
      <c r="F139" s="3">
        <v>8.2000000000000003E-2</v>
      </c>
      <c r="G139">
        <f t="shared" si="12"/>
        <v>0.16072</v>
      </c>
      <c r="H139" t="str">
        <f t="shared" si="10"/>
        <v>0.01</v>
      </c>
      <c r="I139" t="str">
        <f t="shared" si="11"/>
        <v>0.33</v>
      </c>
      <c r="J139" t="str">
        <f t="shared" si="13"/>
        <v>0.173 [0.01, 0.33]</v>
      </c>
    </row>
    <row r="140" spans="1:10" x14ac:dyDescent="0.35">
      <c r="A140" s="3">
        <v>87</v>
      </c>
      <c r="B140" s="4"/>
      <c r="C140" s="3" t="s">
        <v>9</v>
      </c>
      <c r="D140" s="3">
        <v>593</v>
      </c>
      <c r="E140" s="3">
        <v>6.0999999999999999E-2</v>
      </c>
      <c r="F140" s="3">
        <v>8.2000000000000003E-2</v>
      </c>
      <c r="G140">
        <f t="shared" si="12"/>
        <v>0.16072</v>
      </c>
      <c r="H140" t="str">
        <f t="shared" si="10"/>
        <v>-0.10</v>
      </c>
      <c r="I140" t="str">
        <f t="shared" si="11"/>
        <v>0.22</v>
      </c>
      <c r="J140" t="str">
        <f t="shared" si="13"/>
        <v>0.061 [-0.10, 0.22]</v>
      </c>
    </row>
    <row r="141" spans="1:10" x14ac:dyDescent="0.35">
      <c r="A141" s="3">
        <v>90</v>
      </c>
      <c r="B141" s="4" t="s">
        <v>79</v>
      </c>
      <c r="C141" s="3" t="s">
        <v>22</v>
      </c>
      <c r="D141" s="3">
        <v>65</v>
      </c>
      <c r="E141" s="3">
        <v>0.751</v>
      </c>
      <c r="F141" s="3">
        <v>0.76035094000000003</v>
      </c>
      <c r="G141">
        <f t="shared" si="12"/>
        <v>1.4902878424000001</v>
      </c>
      <c r="H141" t="str">
        <f t="shared" si="10"/>
        <v>-0.74</v>
      </c>
      <c r="I141" t="str">
        <f t="shared" si="11"/>
        <v>2.24</v>
      </c>
      <c r="J141" t="str">
        <f t="shared" si="13"/>
        <v>0.751 [-0.74, 2.24]</v>
      </c>
    </row>
    <row r="142" spans="1:10" x14ac:dyDescent="0.35">
      <c r="A142" s="3">
        <v>90</v>
      </c>
      <c r="B142" s="4"/>
      <c r="C142" s="3" t="s">
        <v>19</v>
      </c>
      <c r="D142" s="3">
        <v>44</v>
      </c>
      <c r="E142" s="3">
        <v>8.0000000000000002E-3</v>
      </c>
      <c r="F142" s="3">
        <v>0.30199999999999999</v>
      </c>
      <c r="G142">
        <f t="shared" si="12"/>
        <v>0.59192</v>
      </c>
      <c r="H142" t="str">
        <f t="shared" si="10"/>
        <v>-0.58</v>
      </c>
      <c r="I142" t="str">
        <f t="shared" si="11"/>
        <v>0.60</v>
      </c>
      <c r="J142" t="str">
        <f t="shared" si="13"/>
        <v>0.008 [-0.58, 0.60]</v>
      </c>
    </row>
    <row r="143" spans="1:10" x14ac:dyDescent="0.35">
      <c r="A143" s="3">
        <v>90</v>
      </c>
      <c r="B143" s="4"/>
      <c r="C143" s="3" t="s">
        <v>9</v>
      </c>
      <c r="D143" s="3">
        <v>44</v>
      </c>
      <c r="E143" s="3">
        <v>0.436</v>
      </c>
      <c r="F143" s="3">
        <v>0.30599999999999999</v>
      </c>
      <c r="G143">
        <f t="shared" si="12"/>
        <v>0.59975999999999996</v>
      </c>
      <c r="H143" t="str">
        <f t="shared" si="10"/>
        <v>-0.16</v>
      </c>
      <c r="I143" t="str">
        <f t="shared" si="11"/>
        <v>1.04</v>
      </c>
      <c r="J143" t="str">
        <f t="shared" si="13"/>
        <v>0.436 [-0.16, 1.04]</v>
      </c>
    </row>
    <row r="144" spans="1:10" x14ac:dyDescent="0.35">
      <c r="A144" s="3">
        <v>95</v>
      </c>
      <c r="B144" s="4" t="s">
        <v>82</v>
      </c>
      <c r="C144" s="3" t="s">
        <v>13</v>
      </c>
      <c r="D144" s="3">
        <v>54</v>
      </c>
      <c r="E144" s="3">
        <v>0.70599999999999996</v>
      </c>
      <c r="F144" s="3">
        <v>0.28399999999999997</v>
      </c>
      <c r="G144">
        <f t="shared" si="12"/>
        <v>0.55663999999999991</v>
      </c>
      <c r="H144" t="str">
        <f t="shared" si="10"/>
        <v>0.15</v>
      </c>
      <c r="I144" t="str">
        <f t="shared" si="11"/>
        <v>1.26</v>
      </c>
      <c r="J144" t="str">
        <f t="shared" si="13"/>
        <v>0.706 [0.15, 1.26]</v>
      </c>
    </row>
    <row r="145" spans="1:10" x14ac:dyDescent="0.35">
      <c r="A145" s="3">
        <v>96</v>
      </c>
      <c r="B145" s="4" t="s">
        <v>83</v>
      </c>
      <c r="C145" s="3" t="s">
        <v>22</v>
      </c>
      <c r="D145" s="3">
        <v>55</v>
      </c>
      <c r="E145" s="3">
        <v>0.84599999999999997</v>
      </c>
      <c r="F145" s="3">
        <v>0.80953360399999996</v>
      </c>
      <c r="G145">
        <f t="shared" si="12"/>
        <v>1.5866858638399999</v>
      </c>
      <c r="H145" t="str">
        <f t="shared" si="10"/>
        <v>-0.74</v>
      </c>
      <c r="I145" t="str">
        <f t="shared" si="11"/>
        <v>2.43</v>
      </c>
      <c r="J145" t="str">
        <f t="shared" si="13"/>
        <v>0.846 [-0.74, 2.43]</v>
      </c>
    </row>
    <row r="146" spans="1:10" x14ac:dyDescent="0.35">
      <c r="A146" s="3">
        <v>96</v>
      </c>
      <c r="B146" s="4"/>
      <c r="C146" s="3" t="s">
        <v>27</v>
      </c>
      <c r="D146" s="3">
        <v>54</v>
      </c>
      <c r="E146" s="3">
        <v>2.9039999999999999</v>
      </c>
      <c r="F146" s="3">
        <v>0.39400000000000002</v>
      </c>
      <c r="G146">
        <f t="shared" si="12"/>
        <v>0.77224000000000004</v>
      </c>
      <c r="H146" t="str">
        <f t="shared" si="10"/>
        <v>2.13</v>
      </c>
      <c r="I146" t="str">
        <f t="shared" si="11"/>
        <v>3.68</v>
      </c>
      <c r="J146" t="str">
        <f t="shared" si="13"/>
        <v>2.904 [2.13, 3.68]</v>
      </c>
    </row>
    <row r="147" spans="1:10" x14ac:dyDescent="0.35">
      <c r="A147" s="3">
        <v>96</v>
      </c>
      <c r="B147" s="4"/>
      <c r="C147" s="3" t="s">
        <v>13</v>
      </c>
      <c r="D147" s="3">
        <v>54</v>
      </c>
      <c r="E147" s="3">
        <v>0.82599999999999996</v>
      </c>
      <c r="F147" s="3">
        <v>0.28499999999999998</v>
      </c>
      <c r="G147">
        <f t="shared" si="12"/>
        <v>0.55859999999999999</v>
      </c>
      <c r="H147" t="str">
        <f t="shared" si="10"/>
        <v>0.27</v>
      </c>
      <c r="I147" t="str">
        <f t="shared" si="11"/>
        <v>1.38</v>
      </c>
      <c r="J147" t="str">
        <f t="shared" si="13"/>
        <v>0.826 [0.27, 1.38]</v>
      </c>
    </row>
    <row r="148" spans="1:10" x14ac:dyDescent="0.35">
      <c r="A148" s="3">
        <v>96</v>
      </c>
      <c r="B148" s="4"/>
      <c r="C148" s="3" t="s">
        <v>19</v>
      </c>
      <c r="D148" s="3">
        <v>54</v>
      </c>
      <c r="E148" s="3">
        <v>2.6139999999999999</v>
      </c>
      <c r="F148" s="3">
        <v>0.374</v>
      </c>
      <c r="G148">
        <f t="shared" si="12"/>
        <v>0.73304000000000002</v>
      </c>
      <c r="H148" t="str">
        <f t="shared" si="10"/>
        <v>1.88</v>
      </c>
      <c r="I148" t="str">
        <f t="shared" si="11"/>
        <v>3.35</v>
      </c>
      <c r="J148" t="str">
        <f t="shared" si="13"/>
        <v>2.614 [1.88, 3.35]</v>
      </c>
    </row>
    <row r="149" spans="1:10" x14ac:dyDescent="0.35">
      <c r="A149" s="3">
        <v>96</v>
      </c>
      <c r="B149" s="4"/>
      <c r="C149" s="3" t="s">
        <v>9</v>
      </c>
      <c r="D149" s="3">
        <v>54</v>
      </c>
      <c r="E149" s="3">
        <v>0.16700000000000001</v>
      </c>
      <c r="F149" s="3">
        <v>0.27300000000000002</v>
      </c>
      <c r="G149">
        <f t="shared" si="12"/>
        <v>0.53508</v>
      </c>
      <c r="H149" t="str">
        <f t="shared" si="10"/>
        <v>-0.37</v>
      </c>
      <c r="I149" t="str">
        <f t="shared" si="11"/>
        <v>0.70</v>
      </c>
      <c r="J149" t="str">
        <f t="shared" si="13"/>
        <v>0.167 [-0.37, 0.70]</v>
      </c>
    </row>
    <row r="150" spans="1:10" x14ac:dyDescent="0.35">
      <c r="A150" s="3">
        <v>100</v>
      </c>
      <c r="B150" s="4" t="s">
        <v>87</v>
      </c>
      <c r="C150" s="3" t="s">
        <v>27</v>
      </c>
      <c r="D150" s="3">
        <v>79</v>
      </c>
      <c r="E150" s="3">
        <v>0.38500000000000001</v>
      </c>
      <c r="F150" s="3">
        <v>0.22700000000000001</v>
      </c>
      <c r="G150">
        <f t="shared" si="12"/>
        <v>0.44491999999999998</v>
      </c>
      <c r="H150" t="str">
        <f t="shared" si="10"/>
        <v>-0.06</v>
      </c>
      <c r="I150" t="str">
        <f t="shared" si="11"/>
        <v>0.83</v>
      </c>
      <c r="J150" t="str">
        <f t="shared" si="13"/>
        <v>0.385 [-0.06, 0.83]</v>
      </c>
    </row>
    <row r="151" spans="1:10" x14ac:dyDescent="0.35">
      <c r="A151" s="3">
        <v>100</v>
      </c>
      <c r="B151" s="4" t="s">
        <v>87</v>
      </c>
      <c r="C151" s="3" t="s">
        <v>13</v>
      </c>
      <c r="D151" s="3">
        <v>79</v>
      </c>
      <c r="E151" s="3">
        <v>0.5</v>
      </c>
      <c r="F151" s="3">
        <v>0.22900000000000001</v>
      </c>
      <c r="G151">
        <f t="shared" si="12"/>
        <v>0.44884000000000002</v>
      </c>
      <c r="H151" t="str">
        <f t="shared" si="10"/>
        <v>0.05</v>
      </c>
      <c r="I151" t="str">
        <f t="shared" si="11"/>
        <v>0.95</v>
      </c>
      <c r="J151" t="str">
        <f t="shared" si="13"/>
        <v>0.5 [0.05, 0.95]</v>
      </c>
    </row>
    <row r="152" spans="1:10" x14ac:dyDescent="0.35">
      <c r="A152" s="3">
        <v>10</v>
      </c>
      <c r="B152" s="4" t="s">
        <v>25</v>
      </c>
      <c r="C152" s="3" t="s">
        <v>27</v>
      </c>
      <c r="D152" s="3">
        <v>86</v>
      </c>
      <c r="E152" s="3">
        <v>0.104</v>
      </c>
      <c r="F152" s="3">
        <v>0.216</v>
      </c>
      <c r="G152">
        <f t="shared" si="12"/>
        <v>0.42336000000000001</v>
      </c>
      <c r="H152" t="str">
        <f t="shared" si="10"/>
        <v>-0.32</v>
      </c>
      <c r="I152" t="str">
        <f t="shared" si="11"/>
        <v>0.53</v>
      </c>
      <c r="J152" t="str">
        <f t="shared" si="13"/>
        <v>0.104 [-0.32, 0.53]</v>
      </c>
    </row>
    <row r="153" spans="1:10" x14ac:dyDescent="0.35">
      <c r="A153" s="3">
        <v>10</v>
      </c>
      <c r="B153" s="4" t="s">
        <v>25</v>
      </c>
      <c r="C153" s="3" t="s">
        <v>13</v>
      </c>
      <c r="D153" s="3">
        <v>86</v>
      </c>
      <c r="E153" s="3">
        <v>0.04</v>
      </c>
      <c r="F153" s="3">
        <v>0.216</v>
      </c>
      <c r="G153">
        <f t="shared" si="12"/>
        <v>0.42336000000000001</v>
      </c>
      <c r="H153" t="str">
        <f t="shared" si="10"/>
        <v>-0.38</v>
      </c>
      <c r="I153" t="str">
        <f t="shared" si="11"/>
        <v>0.46</v>
      </c>
      <c r="J153" t="str">
        <f t="shared" si="13"/>
        <v>0.04 [-0.38, 0.46]</v>
      </c>
    </row>
    <row r="154" spans="1:10" x14ac:dyDescent="0.35">
      <c r="A154" s="3">
        <v>10</v>
      </c>
      <c r="B154" s="4" t="s">
        <v>25</v>
      </c>
      <c r="C154" s="3" t="s">
        <v>19</v>
      </c>
      <c r="D154" s="3">
        <v>86</v>
      </c>
      <c r="E154" s="3">
        <v>5.5E-2</v>
      </c>
      <c r="F154" s="3">
        <v>0.216</v>
      </c>
      <c r="G154">
        <f t="shared" si="12"/>
        <v>0.42336000000000001</v>
      </c>
      <c r="H154" t="str">
        <f t="shared" si="10"/>
        <v>-0.37</v>
      </c>
      <c r="I154" t="str">
        <f t="shared" si="11"/>
        <v>0.48</v>
      </c>
      <c r="J154" t="str">
        <f t="shared" si="13"/>
        <v>0.055 [-0.37, 0.48]</v>
      </c>
    </row>
    <row r="155" spans="1:10" x14ac:dyDescent="0.35">
      <c r="A155" s="3">
        <v>10</v>
      </c>
      <c r="B155" s="4" t="s">
        <v>25</v>
      </c>
      <c r="C155" s="3" t="s">
        <v>9</v>
      </c>
      <c r="D155" s="3">
        <v>86</v>
      </c>
      <c r="E155" s="3">
        <v>0</v>
      </c>
      <c r="F155" s="3">
        <v>0.216</v>
      </c>
      <c r="G155">
        <f t="shared" si="12"/>
        <v>0.42336000000000001</v>
      </c>
      <c r="H155" t="str">
        <f t="shared" si="10"/>
        <v>-0.42</v>
      </c>
      <c r="I155" t="str">
        <f t="shared" si="11"/>
        <v>0.42</v>
      </c>
      <c r="J155" t="str">
        <f t="shared" si="13"/>
        <v>0 [-0.42, 0.42]</v>
      </c>
    </row>
    <row r="156" spans="1:10" x14ac:dyDescent="0.35">
      <c r="A156" s="3">
        <v>44</v>
      </c>
      <c r="B156" s="4" t="s">
        <v>53</v>
      </c>
      <c r="C156" s="3" t="s">
        <v>27</v>
      </c>
      <c r="D156" s="3">
        <v>72</v>
      </c>
      <c r="E156" s="3">
        <v>0.39600000000000002</v>
      </c>
      <c r="F156" s="3">
        <v>0.23799999999999999</v>
      </c>
      <c r="G156">
        <f t="shared" si="12"/>
        <v>0.46647999999999995</v>
      </c>
      <c r="H156" t="str">
        <f t="shared" si="10"/>
        <v>-0.07</v>
      </c>
      <c r="I156" t="str">
        <f t="shared" si="11"/>
        <v>0.86</v>
      </c>
      <c r="J156" t="str">
        <f t="shared" si="13"/>
        <v>0.396 [-0.07, 0.86]</v>
      </c>
    </row>
    <row r="157" spans="1:10" x14ac:dyDescent="0.35">
      <c r="A157" s="3">
        <v>44</v>
      </c>
      <c r="B157" s="4" t="s">
        <v>53</v>
      </c>
      <c r="C157" s="3" t="s">
        <v>19</v>
      </c>
      <c r="D157" s="3">
        <v>72</v>
      </c>
      <c r="E157" s="3">
        <v>0.39900000000000002</v>
      </c>
      <c r="F157" s="3">
        <v>0.23799999999999999</v>
      </c>
      <c r="G157">
        <f t="shared" si="12"/>
        <v>0.46647999999999995</v>
      </c>
      <c r="H157" t="str">
        <f t="shared" si="10"/>
        <v>-0.07</v>
      </c>
      <c r="I157" t="str">
        <f t="shared" si="11"/>
        <v>0.87</v>
      </c>
      <c r="J157" t="str">
        <f t="shared" si="13"/>
        <v>0.399 [-0.07, 0.87]</v>
      </c>
    </row>
    <row r="158" spans="1:10" x14ac:dyDescent="0.35">
      <c r="A158" s="3">
        <v>56</v>
      </c>
      <c r="B158" s="4" t="s">
        <v>63</v>
      </c>
      <c r="C158" s="3" t="s">
        <v>27</v>
      </c>
      <c r="D158" s="3">
        <v>39</v>
      </c>
      <c r="E158" s="3">
        <v>6.8000000000000005E-2</v>
      </c>
      <c r="F158" s="3">
        <v>0.32100000000000001</v>
      </c>
      <c r="G158">
        <f t="shared" si="12"/>
        <v>0.62916000000000005</v>
      </c>
      <c r="H158" t="str">
        <f t="shared" si="10"/>
        <v>-0.56</v>
      </c>
      <c r="I158" t="str">
        <f t="shared" si="11"/>
        <v>0.70</v>
      </c>
      <c r="J158" t="str">
        <f t="shared" si="13"/>
        <v>0.068 [-0.56, 0.70]</v>
      </c>
    </row>
    <row r="159" spans="1:10" x14ac:dyDescent="0.35">
      <c r="A159" s="3">
        <v>56</v>
      </c>
      <c r="B159" s="4" t="s">
        <v>63</v>
      </c>
      <c r="C159" s="3" t="s">
        <v>13</v>
      </c>
      <c r="D159" s="3">
        <v>39</v>
      </c>
      <c r="E159" s="3">
        <v>0.191</v>
      </c>
      <c r="F159" s="3">
        <v>0.32200000000000001</v>
      </c>
      <c r="G159">
        <f t="shared" si="12"/>
        <v>0.63112000000000001</v>
      </c>
      <c r="H159" t="str">
        <f t="shared" si="10"/>
        <v>-0.44</v>
      </c>
      <c r="I159" t="str">
        <f t="shared" si="11"/>
        <v>0.82</v>
      </c>
      <c r="J159" t="str">
        <f t="shared" si="13"/>
        <v>0.191 [-0.44, 0.82]</v>
      </c>
    </row>
    <row r="160" spans="1:10" x14ac:dyDescent="0.35">
      <c r="A160" s="3">
        <v>56</v>
      </c>
      <c r="B160" s="4" t="s">
        <v>63</v>
      </c>
      <c r="C160" s="3" t="s">
        <v>16</v>
      </c>
      <c r="D160" s="3">
        <v>40</v>
      </c>
      <c r="E160" s="3">
        <v>0.35699999999999998</v>
      </c>
      <c r="F160" s="3">
        <v>0.73956141600000003</v>
      </c>
      <c r="G160">
        <f t="shared" si="12"/>
        <v>1.44954037536</v>
      </c>
      <c r="H160" t="str">
        <f t="shared" si="10"/>
        <v>-1.09</v>
      </c>
      <c r="I160" t="str">
        <f t="shared" si="11"/>
        <v>1.81</v>
      </c>
      <c r="J160" t="str">
        <f t="shared" si="13"/>
        <v>0.357 [-1.09, 1.81]</v>
      </c>
    </row>
    <row r="161" spans="1:10" x14ac:dyDescent="0.35">
      <c r="A161" s="3">
        <v>56</v>
      </c>
      <c r="B161" s="4" t="s">
        <v>63</v>
      </c>
      <c r="C161" s="3" t="s">
        <v>14</v>
      </c>
      <c r="D161" s="3">
        <v>40</v>
      </c>
      <c r="E161" s="3">
        <v>0.35699999999999998</v>
      </c>
      <c r="F161" s="3">
        <v>0.73956141600000003</v>
      </c>
      <c r="G161">
        <f t="shared" si="12"/>
        <v>1.44954037536</v>
      </c>
      <c r="H161" t="str">
        <f t="shared" si="10"/>
        <v>-1.09</v>
      </c>
      <c r="I161" t="str">
        <f t="shared" si="11"/>
        <v>1.81</v>
      </c>
      <c r="J161" t="str">
        <f t="shared" si="13"/>
        <v>0.357 [-1.09, 1.81]</v>
      </c>
    </row>
    <row r="162" spans="1:10" x14ac:dyDescent="0.35">
      <c r="A162" s="3">
        <v>93</v>
      </c>
      <c r="B162" s="4" t="s">
        <v>80</v>
      </c>
      <c r="C162" s="3" t="s">
        <v>19</v>
      </c>
      <c r="D162" s="3">
        <v>28</v>
      </c>
      <c r="E162" s="3">
        <v>0.24</v>
      </c>
      <c r="F162" s="3">
        <v>0.379</v>
      </c>
      <c r="G162">
        <f t="shared" si="12"/>
        <v>0.74283999999999994</v>
      </c>
      <c r="H162" t="str">
        <f t="shared" si="10"/>
        <v>-0.50</v>
      </c>
      <c r="I162" t="str">
        <f t="shared" si="11"/>
        <v>0.98</v>
      </c>
      <c r="J162" t="str">
        <f t="shared" si="13"/>
        <v>0.24 [-0.50, 0.98]</v>
      </c>
    </row>
  </sheetData>
  <mergeCells count="6">
    <mergeCell ref="B3:B7"/>
    <mergeCell ref="B8:B10"/>
    <mergeCell ref="B11:B13"/>
    <mergeCell ref="B16:B17"/>
    <mergeCell ref="B18:B21"/>
    <mergeCell ref="B22:B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bptb vs. 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Danny</cp:lastModifiedBy>
  <dcterms:created xsi:type="dcterms:W3CDTF">2026-10-02T12:09:45Z</dcterms:created>
  <dcterms:modified xsi:type="dcterms:W3CDTF">2026-10-02T13:30:29Z</dcterms:modified>
</cp:coreProperties>
</file>