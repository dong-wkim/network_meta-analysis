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4_manuscript\network_meta-analysis\tables_and_figures\tables\results_of_network_meta-analysis\"/>
    </mc:Choice>
  </mc:AlternateContent>
  <xr:revisionPtr revIDLastSave="0" documentId="13_ncr:1_{C356BCC5-F436-4A5C-9DED-5B3F5792BF1C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continuous" sheetId="1" r:id="rId1"/>
    <sheet name="temp" sheetId="9" r:id="rId2"/>
    <sheet name="temp2" sheetId="6" r:id="rId3"/>
    <sheet name="pivot_shift_1" sheetId="11" r:id="rId4"/>
    <sheet name="pivot_shift_2" sheetId="12" r:id="rId5"/>
    <sheet name="ikdc_subjective" sheetId="2" r:id="rId6"/>
    <sheet name="lysholm" sheetId="4" r:id="rId7"/>
    <sheet name="tegner" sheetId="5" r:id="rId8"/>
    <sheet name="Sheet7" sheetId="7" r:id="rId9"/>
    <sheet name="instrumented_laxity" sheetId="10" r:id="rId10"/>
    <sheet name="table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F23" i="1"/>
  <c r="E23" i="1"/>
  <c r="Q4" i="9"/>
  <c r="P4" i="9"/>
  <c r="O4" i="9"/>
  <c r="Q3" i="9"/>
  <c r="P3" i="9"/>
  <c r="O3" i="9"/>
  <c r="N3" i="9"/>
  <c r="M3" i="9"/>
  <c r="L3" i="9"/>
  <c r="N5" i="9"/>
  <c r="M5" i="9"/>
  <c r="L5" i="9"/>
  <c r="K5" i="9"/>
  <c r="K4" i="9"/>
  <c r="J5" i="9"/>
  <c r="J4" i="9"/>
  <c r="I5" i="9"/>
  <c r="I4" i="9"/>
  <c r="W15" i="9"/>
  <c r="V15" i="9"/>
  <c r="U15" i="9"/>
  <c r="T15" i="9"/>
  <c r="S15" i="9"/>
  <c r="R15" i="9"/>
  <c r="Q15" i="9"/>
  <c r="P15" i="9"/>
  <c r="O15" i="9"/>
  <c r="N15" i="9"/>
  <c r="Z14" i="9"/>
  <c r="L2" i="10" s="1"/>
  <c r="Y14" i="9"/>
  <c r="X14" i="9"/>
  <c r="T14" i="9"/>
  <c r="S14" i="9"/>
  <c r="R14" i="9"/>
  <c r="Q14" i="9"/>
  <c r="P14" i="9"/>
  <c r="O14" i="9"/>
  <c r="N14" i="9"/>
  <c r="Z13" i="9"/>
  <c r="Y13" i="9"/>
  <c r="X13" i="9"/>
  <c r="W13" i="9"/>
  <c r="V13" i="9"/>
  <c r="U13" i="9"/>
  <c r="Q13" i="9"/>
  <c r="P13" i="9"/>
  <c r="O13" i="9"/>
  <c r="N13" i="9"/>
  <c r="Z12" i="9"/>
  <c r="Y12" i="9"/>
  <c r="X12" i="9"/>
  <c r="W12" i="9"/>
  <c r="V12" i="9"/>
  <c r="U12" i="9"/>
  <c r="T12" i="9"/>
  <c r="S12" i="9"/>
  <c r="R12" i="9"/>
  <c r="N12" i="9"/>
  <c r="M12" i="9" a="1"/>
  <c r="M12" i="9" s="1"/>
  <c r="L12" i="9" a="1"/>
  <c r="L12" i="9" s="1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AF20" i="9" s="1"/>
  <c r="K11" i="9" a="1"/>
  <c r="K11" i="9" s="1"/>
  <c r="J11" i="9" a="1"/>
  <c r="J11" i="9" s="1"/>
  <c r="I11" i="9" a="1"/>
  <c r="I11" i="9" s="1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W8" i="9"/>
  <c r="V8" i="9"/>
  <c r="U8" i="9"/>
  <c r="W6" i="9"/>
  <c r="V6" i="9"/>
  <c r="U6" i="9"/>
  <c r="W5" i="9"/>
  <c r="V5" i="9"/>
  <c r="U5" i="9"/>
  <c r="W4" i="9"/>
  <c r="V4" i="9"/>
  <c r="U4" i="9"/>
  <c r="W3" i="9"/>
  <c r="V3" i="9"/>
  <c r="U3" i="9"/>
  <c r="Z7" i="9"/>
  <c r="Y7" i="9"/>
  <c r="X7" i="9"/>
  <c r="Z6" i="9"/>
  <c r="Y6" i="9"/>
  <c r="X6" i="9"/>
  <c r="Z5" i="9"/>
  <c r="Y5" i="9"/>
  <c r="X5" i="9"/>
  <c r="Z4" i="9"/>
  <c r="Y4" i="9"/>
  <c r="X4" i="9"/>
  <c r="Z3" i="9"/>
  <c r="Y3" i="9"/>
  <c r="X3" i="9"/>
  <c r="F2" i="10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B3" i="11" a="1"/>
  <c r="B3" i="11" s="1"/>
  <c r="C3" i="11" a="1"/>
  <c r="C3" i="11" s="1"/>
  <c r="D3" i="11" a="1"/>
  <c r="D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E4" i="11" a="1"/>
  <c r="E4" i="11"/>
  <c r="F4" i="11" a="1"/>
  <c r="F4" i="11"/>
  <c r="G4" i="11"/>
  <c r="K4" i="11"/>
  <c r="L4" i="11"/>
  <c r="M4" i="11"/>
  <c r="N4" i="11"/>
  <c r="O4" i="11"/>
  <c r="P4" i="11"/>
  <c r="Q4" i="11"/>
  <c r="R4" i="11"/>
  <c r="S4" i="11"/>
  <c r="G5" i="11"/>
  <c r="H5" i="11"/>
  <c r="I5" i="11"/>
  <c r="J5" i="11"/>
  <c r="N5" i="11"/>
  <c r="O5" i="11"/>
  <c r="P5" i="11"/>
  <c r="Q5" i="11"/>
  <c r="R5" i="11"/>
  <c r="S5" i="11"/>
  <c r="G6" i="11"/>
  <c r="H6" i="11"/>
  <c r="I6" i="11"/>
  <c r="J6" i="11"/>
  <c r="K6" i="11"/>
  <c r="L6" i="11"/>
  <c r="M6" i="11"/>
  <c r="Q6" i="11"/>
  <c r="R6" i="11"/>
  <c r="S6" i="11"/>
  <c r="G7" i="11"/>
  <c r="H7" i="11"/>
  <c r="I7" i="11"/>
  <c r="J7" i="11"/>
  <c r="K7" i="11"/>
  <c r="L7" i="11"/>
  <c r="M7" i="11"/>
  <c r="N7" i="11"/>
  <c r="O7" i="11"/>
  <c r="P7" i="11"/>
  <c r="R3" i="9"/>
  <c r="S3" i="9"/>
  <c r="T3" i="9"/>
  <c r="M4" i="9"/>
  <c r="N4" i="9"/>
  <c r="R4" i="9"/>
  <c r="S4" i="9"/>
  <c r="T4" i="9"/>
  <c r="R5" i="9"/>
  <c r="S5" i="9"/>
  <c r="T5" i="9"/>
  <c r="R7" i="9"/>
  <c r="S7" i="9"/>
  <c r="T7" i="9"/>
  <c r="AE20" i="9"/>
  <c r="R8" i="9"/>
  <c r="S8" i="9"/>
  <c r="T8" i="9"/>
  <c r="P7" i="10"/>
  <c r="O7" i="10"/>
  <c r="N7" i="10"/>
  <c r="M6" i="6"/>
  <c r="P7" i="6"/>
  <c r="O7" i="6"/>
  <c r="N7" i="6"/>
  <c r="L6" i="6"/>
  <c r="K6" i="6"/>
  <c r="J6" i="6"/>
  <c r="I6" i="6"/>
  <c r="H6" i="6"/>
  <c r="G6" i="6"/>
  <c r="F6" i="6"/>
  <c r="E6" i="6"/>
  <c r="D6" i="6"/>
  <c r="C6" i="6"/>
  <c r="B6" i="6"/>
  <c r="S6" i="6"/>
  <c r="R6" i="6"/>
  <c r="Q6" i="6"/>
  <c r="P5" i="6"/>
  <c r="O5" i="6"/>
  <c r="N5" i="6"/>
  <c r="P4" i="6"/>
  <c r="O4" i="6"/>
  <c r="N4" i="6"/>
  <c r="P3" i="6"/>
  <c r="O3" i="6"/>
  <c r="N3" i="6"/>
  <c r="P2" i="6"/>
  <c r="O2" i="6"/>
  <c r="N2" i="6"/>
  <c r="AG20" i="9"/>
  <c r="J5" i="10"/>
  <c r="G5" i="6"/>
  <c r="D5" i="10"/>
  <c r="C4" i="6"/>
  <c r="F5" i="6"/>
  <c r="I2" i="10"/>
  <c r="E7" i="10"/>
  <c r="B7" i="10"/>
  <c r="B5" i="10"/>
  <c r="AE14" i="9" l="1" a="1"/>
  <c r="Q3" i="10" s="1"/>
  <c r="AF14" i="9" a="1"/>
  <c r="R5" i="10" s="1"/>
  <c r="K4" i="10"/>
  <c r="K4" i="6"/>
  <c r="M3" i="10"/>
  <c r="M3" i="6"/>
  <c r="L2" i="6"/>
  <c r="AG14" i="9" a="1"/>
  <c r="S3" i="6" s="1"/>
  <c r="B3" i="10"/>
  <c r="L4" i="10"/>
  <c r="L4" i="6"/>
  <c r="H7" i="10"/>
  <c r="H7" i="6"/>
  <c r="D7" i="10"/>
  <c r="D7" i="6"/>
  <c r="E4" i="6"/>
  <c r="E4" i="10"/>
  <c r="M7" i="10"/>
  <c r="M7" i="6"/>
  <c r="H2" i="10"/>
  <c r="H2" i="6"/>
  <c r="M2" i="6"/>
  <c r="M2" i="10"/>
  <c r="H5" i="6"/>
  <c r="H5" i="10"/>
  <c r="J7" i="10"/>
  <c r="J7" i="6"/>
  <c r="I5" i="10"/>
  <c r="I5" i="6"/>
  <c r="G7" i="10"/>
  <c r="G7" i="6"/>
  <c r="C7" i="10"/>
  <c r="C7" i="6"/>
  <c r="D4" i="6"/>
  <c r="D4" i="10"/>
  <c r="K3" i="6"/>
  <c r="K3" i="10"/>
  <c r="L7" i="6"/>
  <c r="L7" i="10"/>
  <c r="M4" i="10"/>
  <c r="M4" i="6"/>
  <c r="B4" i="6"/>
  <c r="B4" i="10"/>
  <c r="K7" i="10"/>
  <c r="K7" i="6"/>
  <c r="C5" i="10"/>
  <c r="C5" i="6"/>
  <c r="G2" i="10"/>
  <c r="G2" i="6"/>
  <c r="I3" i="6"/>
  <c r="I3" i="10"/>
  <c r="F7" i="10"/>
  <c r="F7" i="6"/>
  <c r="J2" i="10"/>
  <c r="J2" i="6"/>
  <c r="G4" i="6"/>
  <c r="G4" i="10"/>
  <c r="E2" i="6"/>
  <c r="E2" i="10"/>
  <c r="H3" i="6"/>
  <c r="H3" i="10"/>
  <c r="F4" i="6"/>
  <c r="F4" i="10"/>
  <c r="I7" i="10"/>
  <c r="I7" i="6"/>
  <c r="C3" i="6"/>
  <c r="F2" i="6"/>
  <c r="B5" i="6"/>
  <c r="J5" i="6"/>
  <c r="B7" i="6"/>
  <c r="F5" i="10"/>
  <c r="C4" i="10"/>
  <c r="G5" i="10"/>
  <c r="I2" i="6"/>
  <c r="AD2" i="9" a="1"/>
  <c r="AD2" i="9" s="1"/>
  <c r="E7" i="6"/>
  <c r="D5" i="6"/>
  <c r="AC2" i="9" a="1"/>
  <c r="AC2" i="9" s="1"/>
  <c r="D3" i="10"/>
  <c r="AE14" i="9" l="1"/>
  <c r="Q2" i="6" s="1"/>
  <c r="S3" i="10"/>
  <c r="R3" i="10"/>
  <c r="S4" i="6"/>
  <c r="R5" i="6"/>
  <c r="Q5" i="10"/>
  <c r="R4" i="10"/>
  <c r="AF14" i="9"/>
  <c r="R2" i="6" s="1"/>
  <c r="Q5" i="6"/>
  <c r="Q3" i="6"/>
  <c r="Q4" i="6"/>
  <c r="Q4" i="10"/>
  <c r="B3" i="6"/>
  <c r="AG14" i="9"/>
  <c r="S2" i="6" s="1"/>
  <c r="S5" i="10"/>
  <c r="R3" i="6"/>
  <c r="S4" i="10"/>
  <c r="R4" i="6"/>
  <c r="S5" i="6"/>
  <c r="D3" i="6"/>
  <c r="K2" i="10"/>
  <c r="K2" i="6"/>
  <c r="J3" i="6"/>
  <c r="J3" i="10"/>
  <c r="L3" i="6"/>
  <c r="L3" i="10"/>
  <c r="C3" i="10"/>
  <c r="E5" i="6"/>
  <c r="E5" i="10"/>
  <c r="Q2" i="10" l="1"/>
  <c r="R2" i="10"/>
  <c r="S2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<sst xmlns="http://schemas.openxmlformats.org/spreadsheetml/2006/main" count="145" uniqueCount="21">
  <si>
    <t>BPTB</t>
  </si>
  <si>
    <t>HT</t>
  </si>
  <si>
    <t>QT</t>
  </si>
  <si>
    <t>PLT</t>
  </si>
  <si>
    <t>AT</t>
  </si>
  <si>
    <t>TA</t>
  </si>
  <si>
    <t>IKDC subjective</t>
  </si>
  <si>
    <t>SMD (95%-CI)</t>
  </si>
  <si>
    <t>OR (95%-CI)</t>
  </si>
  <si>
    <t>.</t>
  </si>
  <si>
    <t>Lysholm</t>
  </si>
  <si>
    <t>Tegner</t>
  </si>
  <si>
    <t>Lower</t>
  </si>
  <si>
    <t>95%-confidence</t>
  </si>
  <si>
    <t>limit:</t>
  </si>
  <si>
    <t>Upper</t>
  </si>
  <si>
    <t>Instrumented Laxity</t>
  </si>
  <si>
    <t>Pivot-shift test 
(grades ≥ 1+)</t>
  </si>
  <si>
    <t>Pivot-shift test 
(grades ≥ 2+)</t>
  </si>
  <si>
    <t>Instrumented laxity</t>
  </si>
  <si>
    <t>0.5280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</si>
</sst>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5" xfId="0" applyFont="1" applyBorder="1" applyAlignment="1"/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5" fontId="2" fillId="0" borderId="0" xfId="0" applyNumberFormat="1" applyFont="1" applyBorder="1" applyAlignment="1">
      <alignment horizontal="center"/>
    </xf>
    <xf numFmtId="165" fontId="2" fillId="0" borderId="0" xfId="0" quotePrefix="1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topLeftCell="A8" zoomScale="83" zoomScaleNormal="83" workbookViewId="0">
      <selection activeCell="H23" sqref="H23"/>
    </sheetView>
  </sheetViews>
  <sheetFormatPr defaultRowHeight="14.5" x14ac:dyDescent="0.35"/>
  <cols>
    <col min="1" max="1" width="15.453125" bestFit="1" customWidth="1"/>
    <col min="2" max="2" width="7.54296875" bestFit="1" customWidth="1"/>
  </cols>
  <sheetData>
    <row r="1" spans="1:19" x14ac:dyDescent="0.35">
      <c r="A1" s="3"/>
      <c r="B1" s="10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5">
      <c r="A2" s="11" t="s">
        <v>6</v>
      </c>
      <c r="B2" s="14" t="s">
        <v>0</v>
      </c>
      <c r="C2" s="14"/>
      <c r="D2" s="14"/>
      <c r="E2" s="4">
        <v>-0.37580000000000002</v>
      </c>
      <c r="F2" s="4">
        <v>-0.5907</v>
      </c>
      <c r="G2" s="4">
        <v>-0.16089999999999999</v>
      </c>
      <c r="H2" s="4">
        <v>-0.51419999999999999</v>
      </c>
      <c r="I2" s="4">
        <v>-0.80900000000000005</v>
      </c>
      <c r="J2" s="4">
        <v>-0.21940000000000001</v>
      </c>
      <c r="K2" s="4">
        <v>-0.59409999999999996</v>
      </c>
      <c r="L2" s="4">
        <v>-1.0907</v>
      </c>
      <c r="M2" s="4">
        <v>-9.7600000000000006E-2</v>
      </c>
      <c r="N2" s="4"/>
      <c r="O2" s="4"/>
      <c r="P2" s="4"/>
      <c r="Q2" s="4">
        <v>-0.73760000000000003</v>
      </c>
      <c r="R2" s="4">
        <v>-1.3272999999999999</v>
      </c>
      <c r="S2" s="4">
        <v>-0.1479</v>
      </c>
    </row>
    <row r="3" spans="1:19" x14ac:dyDescent="0.35">
      <c r="A3" s="12"/>
      <c r="B3" s="5">
        <v>0.37580000000000002</v>
      </c>
      <c r="C3" s="5">
        <v>0.16089999999999999</v>
      </c>
      <c r="D3" s="5">
        <v>0.5907</v>
      </c>
      <c r="E3" s="15" t="s">
        <v>1</v>
      </c>
      <c r="F3" s="15"/>
      <c r="G3" s="15"/>
      <c r="H3" s="5">
        <v>-0.1384</v>
      </c>
      <c r="I3" s="5">
        <v>-0.41839999999999999</v>
      </c>
      <c r="J3" s="5">
        <v>0.14169999999999999</v>
      </c>
      <c r="K3" s="5">
        <v>-0.21840000000000001</v>
      </c>
      <c r="L3" s="5">
        <v>-0.2293</v>
      </c>
      <c r="M3" s="5">
        <v>0.66600000000000004</v>
      </c>
      <c r="N3" s="5"/>
      <c r="O3" s="5"/>
      <c r="P3" s="5"/>
      <c r="Q3" s="5">
        <v>-0.36180000000000001</v>
      </c>
      <c r="R3" s="5">
        <v>-0.91090000000000004</v>
      </c>
      <c r="S3" s="5">
        <v>0.18740000000000001</v>
      </c>
    </row>
    <row r="4" spans="1:19" x14ac:dyDescent="0.35">
      <c r="A4" s="12"/>
      <c r="B4" s="5">
        <v>0.51419999999999999</v>
      </c>
      <c r="C4" s="5">
        <v>0.21940000000000001</v>
      </c>
      <c r="D4" s="5">
        <v>0.80900000000000005</v>
      </c>
      <c r="E4" s="5">
        <v>0.1384</v>
      </c>
      <c r="F4" s="5">
        <v>-0.14169999999999999</v>
      </c>
      <c r="G4" s="5">
        <v>0.41839999999999999</v>
      </c>
      <c r="H4" s="16" t="s">
        <v>2</v>
      </c>
      <c r="I4" s="16"/>
      <c r="J4" s="16"/>
      <c r="K4" s="5">
        <v>-0.08</v>
      </c>
      <c r="L4" s="5">
        <v>-0.60799999999999998</v>
      </c>
      <c r="M4" s="5">
        <v>0.4481</v>
      </c>
      <c r="N4" s="5"/>
      <c r="O4" s="5"/>
      <c r="P4" s="5"/>
      <c r="Q4" s="5">
        <v>-0.22339999999999999</v>
      </c>
      <c r="R4" s="5">
        <v>-0.83979999999999999</v>
      </c>
      <c r="S4" s="5">
        <v>0.39300000000000002</v>
      </c>
    </row>
    <row r="5" spans="1:19" x14ac:dyDescent="0.35">
      <c r="A5" s="12"/>
      <c r="B5" s="5">
        <v>-0.59409999999999996</v>
      </c>
      <c r="C5" s="5">
        <v>-1.0907</v>
      </c>
      <c r="D5" s="5">
        <v>-9.7600000000000006E-2</v>
      </c>
      <c r="E5" s="5">
        <v>-0.1384</v>
      </c>
      <c r="F5" s="5">
        <v>-0.41839999999999999</v>
      </c>
      <c r="G5" s="5">
        <v>0.14169999999999999</v>
      </c>
      <c r="H5" s="5">
        <v>0.08</v>
      </c>
      <c r="I5" s="5">
        <v>-0.4481</v>
      </c>
      <c r="J5" s="5">
        <v>0.60799999999999998</v>
      </c>
      <c r="K5" s="17" t="s">
        <v>3</v>
      </c>
      <c r="L5" s="17"/>
      <c r="M5" s="17"/>
      <c r="N5" s="5"/>
      <c r="O5" s="5"/>
      <c r="P5" s="5"/>
      <c r="Q5" s="5">
        <v>-0.1434</v>
      </c>
      <c r="R5" s="5">
        <v>-0.85189999999999999</v>
      </c>
      <c r="S5" s="5">
        <v>0.56510000000000005</v>
      </c>
    </row>
    <row r="6" spans="1:19" x14ac:dyDescent="0.35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8" t="s">
        <v>4</v>
      </c>
      <c r="O6" s="18"/>
      <c r="P6" s="18"/>
      <c r="Q6" s="5"/>
      <c r="R6" s="5"/>
      <c r="S6" s="5"/>
    </row>
    <row r="7" spans="1:19" x14ac:dyDescent="0.35">
      <c r="A7" s="13"/>
      <c r="B7" s="6">
        <v>0.73760000000000003</v>
      </c>
      <c r="C7" s="6">
        <v>0.1479</v>
      </c>
      <c r="D7" s="6">
        <v>1.3272999999999999</v>
      </c>
      <c r="E7" s="6">
        <v>0.36180000000000001</v>
      </c>
      <c r="F7" s="6">
        <v>0.18740000000000001</v>
      </c>
      <c r="G7" s="6">
        <v>0.91090000000000004</v>
      </c>
      <c r="H7" s="6">
        <v>0.22339999999999999</v>
      </c>
      <c r="I7" s="6">
        <v>-0.39300000000000002</v>
      </c>
      <c r="J7" s="6">
        <v>0.83979999999999999</v>
      </c>
      <c r="K7" s="6">
        <v>0.1434</v>
      </c>
      <c r="L7" s="6">
        <v>-0.56510000000000005</v>
      </c>
      <c r="M7" s="6">
        <v>0.85189999999999999</v>
      </c>
      <c r="N7" s="19"/>
      <c r="O7" s="19"/>
      <c r="P7" s="19"/>
      <c r="Q7" s="20" t="s">
        <v>5</v>
      </c>
      <c r="R7" s="21"/>
      <c r="S7" s="22"/>
    </row>
    <row r="8" spans="1:19" x14ac:dyDescent="0.3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1:19" x14ac:dyDescent="0.35">
      <c r="A9" s="11" t="s">
        <v>10</v>
      </c>
      <c r="B9" s="14" t="s">
        <v>0</v>
      </c>
      <c r="C9" s="14"/>
      <c r="D9" s="14"/>
      <c r="E9" s="4">
        <v>-0.26860000000000001</v>
      </c>
      <c r="F9" s="4">
        <v>-0.4209</v>
      </c>
      <c r="G9" s="4">
        <v>-0.1163</v>
      </c>
      <c r="H9" s="4">
        <v>-0.49419999999999997</v>
      </c>
      <c r="I9" s="4">
        <v>-0.78649999999999998</v>
      </c>
      <c r="J9" s="4">
        <v>-0.20180000000000001</v>
      </c>
      <c r="K9" s="4">
        <v>-0.65329999999999999</v>
      </c>
      <c r="L9" s="4">
        <v>-1.2098</v>
      </c>
      <c r="M9" s="4">
        <v>-0.20180000000000001</v>
      </c>
      <c r="N9" s="4">
        <v>-0.54459999999999997</v>
      </c>
      <c r="O9" s="4">
        <v>-1.2827</v>
      </c>
      <c r="P9" s="4">
        <v>0.19359999999999999</v>
      </c>
      <c r="Q9" s="4">
        <v>-0.64329999999999998</v>
      </c>
      <c r="R9" s="4">
        <v>-1.1449</v>
      </c>
      <c r="S9" s="4">
        <v>-0.14180000000000001</v>
      </c>
    </row>
    <row r="10" spans="1:19" x14ac:dyDescent="0.35">
      <c r="A10" s="12"/>
      <c r="B10" s="5">
        <v>0.26860000000000001</v>
      </c>
      <c r="C10" s="5">
        <v>0.1163</v>
      </c>
      <c r="D10" s="5">
        <v>0.4209</v>
      </c>
      <c r="E10" s="15" t="s">
        <v>1</v>
      </c>
      <c r="F10" s="15"/>
      <c r="G10" s="15"/>
      <c r="H10" s="5">
        <v>-0.22559999999999999</v>
      </c>
      <c r="I10" s="5">
        <v>-0.5111</v>
      </c>
      <c r="J10" s="5">
        <v>0.06</v>
      </c>
      <c r="K10" s="5">
        <v>-0.38469999999999999</v>
      </c>
      <c r="L10" s="5">
        <v>-0.91990000000000005</v>
      </c>
      <c r="M10" s="5">
        <v>0.15049999999999999</v>
      </c>
      <c r="N10" s="5">
        <v>-0.27600000000000002</v>
      </c>
      <c r="O10" s="5">
        <v>-0.99829999999999997</v>
      </c>
      <c r="P10" s="5">
        <v>0.44629999999999997</v>
      </c>
      <c r="Q10" s="5">
        <v>-0.37469999999999998</v>
      </c>
      <c r="R10" s="5">
        <v>-0.85260000000000002</v>
      </c>
      <c r="S10" s="5">
        <v>0.1031</v>
      </c>
    </row>
    <row r="11" spans="1:19" x14ac:dyDescent="0.35">
      <c r="A11" s="12"/>
      <c r="B11" s="5">
        <v>0.49419999999999997</v>
      </c>
      <c r="C11" s="5">
        <v>0.20180000000000001</v>
      </c>
      <c r="D11" s="5">
        <v>0.78649999999999998</v>
      </c>
      <c r="E11" s="5">
        <v>0.22559999999999999</v>
      </c>
      <c r="F11" s="5">
        <v>-0.06</v>
      </c>
      <c r="G11" s="5">
        <v>0.5111</v>
      </c>
      <c r="H11" s="16" t="s">
        <v>2</v>
      </c>
      <c r="I11" s="16"/>
      <c r="J11" s="16"/>
      <c r="K11" s="5">
        <v>-0.15920000000000001</v>
      </c>
      <c r="L11" s="5">
        <v>-0.76580000000000004</v>
      </c>
      <c r="M11" s="5">
        <v>0.44750000000000001</v>
      </c>
      <c r="N11" s="5">
        <v>-5.04E-2</v>
      </c>
      <c r="O11" s="5">
        <v>-0.82709999999999995</v>
      </c>
      <c r="P11" s="5">
        <v>0.72619999999999996</v>
      </c>
      <c r="Q11" s="5">
        <v>-0.1492</v>
      </c>
      <c r="R11" s="5">
        <v>-0.70579999999999998</v>
      </c>
      <c r="S11" s="5">
        <v>0.40749999999999997</v>
      </c>
    </row>
    <row r="12" spans="1:19" x14ac:dyDescent="0.35">
      <c r="A12" s="12"/>
      <c r="B12" s="5">
        <v>0.65329999999999999</v>
      </c>
      <c r="C12" s="5">
        <v>9.69E-2</v>
      </c>
      <c r="D12" s="5">
        <v>1.2098</v>
      </c>
      <c r="E12" s="5">
        <v>0.38469999999999999</v>
      </c>
      <c r="F12" s="5">
        <v>-0.15049999999999999</v>
      </c>
      <c r="G12" s="5">
        <v>0.91990000000000005</v>
      </c>
      <c r="H12" s="5">
        <v>0.15920000000000001</v>
      </c>
      <c r="I12" s="5">
        <v>-0.44750000000000001</v>
      </c>
      <c r="J12" s="5">
        <v>0.76580000000000004</v>
      </c>
      <c r="K12" s="17" t="s">
        <v>3</v>
      </c>
      <c r="L12" s="17"/>
      <c r="M12" s="17"/>
      <c r="N12" s="5">
        <v>0.1087</v>
      </c>
      <c r="O12" s="5">
        <v>-0.79020000000000001</v>
      </c>
      <c r="P12" s="5">
        <v>1.0077</v>
      </c>
      <c r="Q12" s="5">
        <v>-0.37469999999999998</v>
      </c>
      <c r="R12" s="5">
        <v>-0.85260000000000002</v>
      </c>
      <c r="S12" s="5">
        <v>0.1031</v>
      </c>
    </row>
    <row r="13" spans="1:19" x14ac:dyDescent="0.35">
      <c r="A13" s="12"/>
      <c r="B13" s="5">
        <v>0.54459999999999997</v>
      </c>
      <c r="C13" s="5">
        <v>-0.19359999999999999</v>
      </c>
      <c r="D13" s="5">
        <v>1.2827</v>
      </c>
      <c r="E13" s="5">
        <v>0.27600000000000002</v>
      </c>
      <c r="F13" s="5">
        <v>-0.44629999999999997</v>
      </c>
      <c r="G13" s="5">
        <v>0.99829999999999997</v>
      </c>
      <c r="H13" s="5">
        <v>5.04E-2</v>
      </c>
      <c r="I13" s="5">
        <v>-0.72619999999999996</v>
      </c>
      <c r="J13" s="5">
        <v>0.82709999999999995</v>
      </c>
      <c r="K13" s="5">
        <v>-0.1087</v>
      </c>
      <c r="L13" s="5">
        <v>-1.0077</v>
      </c>
      <c r="M13" s="5">
        <v>0.79020000000000001</v>
      </c>
      <c r="N13" s="18" t="s">
        <v>4</v>
      </c>
      <c r="O13" s="18"/>
      <c r="P13" s="18"/>
      <c r="Q13" s="5">
        <v>-9.8699999999999996E-2</v>
      </c>
      <c r="R13" s="5">
        <v>-0.96479999999999999</v>
      </c>
      <c r="S13" s="5">
        <v>-0.76729999999999998</v>
      </c>
    </row>
    <row r="14" spans="1:19" x14ac:dyDescent="0.35">
      <c r="A14" s="13"/>
      <c r="B14" s="6">
        <v>0.64329999999999998</v>
      </c>
      <c r="C14" s="6">
        <v>0.14180000000000001</v>
      </c>
      <c r="D14" s="6">
        <v>1.1449</v>
      </c>
      <c r="E14" s="6">
        <v>0.37469999999999998</v>
      </c>
      <c r="F14" s="6">
        <v>-0.1031</v>
      </c>
      <c r="G14" s="6">
        <v>0.85260000000000002</v>
      </c>
      <c r="H14" s="6">
        <v>0.1492</v>
      </c>
      <c r="I14" s="6">
        <v>-0.40749999999999997</v>
      </c>
      <c r="J14" s="6">
        <v>0.70579999999999998</v>
      </c>
      <c r="K14" s="6">
        <v>-0.01</v>
      </c>
      <c r="L14" s="6">
        <v>-0.72750000000000004</v>
      </c>
      <c r="M14" s="6">
        <v>0.70750000000000002</v>
      </c>
      <c r="N14" s="9">
        <v>9.8699999999999996E-2</v>
      </c>
      <c r="O14" s="9">
        <v>-0.76729999999999998</v>
      </c>
      <c r="P14" s="9">
        <v>0.96479999999999999</v>
      </c>
      <c r="Q14" s="20" t="s">
        <v>5</v>
      </c>
      <c r="R14" s="21"/>
      <c r="S14" s="22"/>
    </row>
    <row r="15" spans="1:19" x14ac:dyDescent="0.35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1:19" x14ac:dyDescent="0.35">
      <c r="A16" s="11" t="s">
        <v>11</v>
      </c>
      <c r="B16" s="14" t="s">
        <v>0</v>
      </c>
      <c r="C16" s="14"/>
      <c r="D16" s="14"/>
      <c r="E16" s="4">
        <v>-0.26979999999999998</v>
      </c>
      <c r="F16" s="4">
        <v>-0.1898</v>
      </c>
      <c r="G16" s="4">
        <v>-0.34989999999999999</v>
      </c>
      <c r="H16" s="4">
        <v>-0.37430000000000002</v>
      </c>
      <c r="I16" s="4">
        <v>-0.1542</v>
      </c>
      <c r="J16" s="4">
        <v>-0.59430000000000005</v>
      </c>
      <c r="K16" s="4">
        <v>-0.50760000000000005</v>
      </c>
      <c r="L16" s="4">
        <v>-0.1988</v>
      </c>
      <c r="M16" s="4">
        <v>-0.8165</v>
      </c>
      <c r="N16" s="4"/>
      <c r="O16" s="4"/>
      <c r="P16" s="4"/>
      <c r="Q16" s="4">
        <v>-1.2598</v>
      </c>
      <c r="R16" s="4">
        <v>-0.73429999999999995</v>
      </c>
      <c r="S16" s="4">
        <v>-1.7853000000000001</v>
      </c>
    </row>
    <row r="17" spans="1:19" x14ac:dyDescent="0.35">
      <c r="A17" s="12"/>
      <c r="B17" s="5">
        <v>0.26979999999999998</v>
      </c>
      <c r="C17" s="5">
        <v>0.34989999999999999</v>
      </c>
      <c r="D17" s="5">
        <v>0.1898</v>
      </c>
      <c r="E17" s="15" t="s">
        <v>1</v>
      </c>
      <c r="F17" s="15"/>
      <c r="G17" s="15"/>
      <c r="H17" s="5">
        <v>-0.10440000000000001</v>
      </c>
      <c r="I17" s="5">
        <v>0.1119</v>
      </c>
      <c r="J17" s="5">
        <v>-0.32069999999999999</v>
      </c>
      <c r="K17" s="5">
        <v>-0.23780000000000001</v>
      </c>
      <c r="L17" s="5">
        <v>6.0499999999999998E-2</v>
      </c>
      <c r="M17" s="5">
        <v>-0.53610000000000002</v>
      </c>
      <c r="N17" s="5"/>
      <c r="O17" s="5"/>
      <c r="P17" s="5"/>
      <c r="Q17" s="5">
        <v>-0.99</v>
      </c>
      <c r="R17" s="5">
        <v>-0.47060000000000002</v>
      </c>
      <c r="S17" s="5">
        <v>-1.5094000000000001</v>
      </c>
    </row>
    <row r="18" spans="1:19" x14ac:dyDescent="0.35">
      <c r="A18" s="12"/>
      <c r="B18" s="5">
        <v>0.37430000000000002</v>
      </c>
      <c r="C18" s="5">
        <v>0.59430000000000005</v>
      </c>
      <c r="D18" s="5">
        <v>0.1542</v>
      </c>
      <c r="E18" s="5">
        <v>0.10440000000000001</v>
      </c>
      <c r="F18" s="5">
        <v>0.32069999999999999</v>
      </c>
      <c r="G18" s="5">
        <v>-0.1119</v>
      </c>
      <c r="H18" s="16" t="s">
        <v>2</v>
      </c>
      <c r="I18" s="16"/>
      <c r="J18" s="16"/>
      <c r="K18" s="5">
        <v>-0.13339999999999999</v>
      </c>
      <c r="L18" s="5">
        <v>0.2351</v>
      </c>
      <c r="M18" s="5">
        <v>-0.50180000000000002</v>
      </c>
      <c r="N18" s="5"/>
      <c r="O18" s="5"/>
      <c r="P18" s="5"/>
      <c r="Q18" s="5">
        <v>-0.88560000000000005</v>
      </c>
      <c r="R18" s="5">
        <v>-0.32290000000000002</v>
      </c>
      <c r="S18" s="5">
        <v>-1.4481999999999999</v>
      </c>
    </row>
    <row r="19" spans="1:19" x14ac:dyDescent="0.35">
      <c r="A19" s="12"/>
      <c r="B19" s="5">
        <v>0.50760000000000005</v>
      </c>
      <c r="C19" s="5">
        <v>0.8165</v>
      </c>
      <c r="D19" s="5">
        <v>0.1988</v>
      </c>
      <c r="E19" s="5">
        <v>0.23780000000000001</v>
      </c>
      <c r="F19" s="5">
        <v>0.53610000000000002</v>
      </c>
      <c r="G19" s="5">
        <v>-6.0499999999999998E-2</v>
      </c>
      <c r="H19" s="5">
        <v>0.13339999999999999</v>
      </c>
      <c r="I19" s="5">
        <v>0.50180000000000002</v>
      </c>
      <c r="J19" s="5">
        <v>-0.2351</v>
      </c>
      <c r="K19" s="17" t="s">
        <v>3</v>
      </c>
      <c r="L19" s="17"/>
      <c r="M19" s="17"/>
      <c r="N19" s="5"/>
      <c r="O19" s="5"/>
      <c r="P19" s="5"/>
      <c r="Q19" s="5">
        <v>-0.75219999999999998</v>
      </c>
      <c r="R19" s="5">
        <v>-0.15329999999999999</v>
      </c>
      <c r="S19" s="5">
        <v>-1.3512</v>
      </c>
    </row>
    <row r="20" spans="1:19" x14ac:dyDescent="0.35">
      <c r="A20" s="1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8" t="s">
        <v>4</v>
      </c>
      <c r="O20" s="18"/>
      <c r="P20" s="18"/>
      <c r="Q20" s="5"/>
      <c r="R20" s="5"/>
      <c r="S20" s="5"/>
    </row>
    <row r="21" spans="1:19" x14ac:dyDescent="0.35">
      <c r="A21" s="13"/>
      <c r="B21" s="6">
        <v>1.2598</v>
      </c>
      <c r="C21" s="6">
        <v>1.7853000000000001</v>
      </c>
      <c r="D21" s="6">
        <v>0.73429999999999995</v>
      </c>
      <c r="E21" s="6">
        <v>0.99</v>
      </c>
      <c r="F21" s="6">
        <v>1.5094000000000001</v>
      </c>
      <c r="G21" s="6">
        <v>0.47060000000000002</v>
      </c>
      <c r="H21" s="6">
        <v>0.88560000000000005</v>
      </c>
      <c r="I21" s="6">
        <v>1.4481999999999999</v>
      </c>
      <c r="J21" s="6">
        <v>0.32290000000000002</v>
      </c>
      <c r="K21" s="6">
        <v>0.75219999999999998</v>
      </c>
      <c r="L21" s="6">
        <v>1.3512</v>
      </c>
      <c r="M21" s="6">
        <v>0.15329999999999999</v>
      </c>
      <c r="N21" s="19"/>
      <c r="O21" s="19"/>
      <c r="P21" s="19"/>
      <c r="Q21" s="20" t="s">
        <v>5</v>
      </c>
      <c r="R21" s="21"/>
      <c r="S21" s="22"/>
    </row>
    <row r="23" spans="1:19" x14ac:dyDescent="0.35">
      <c r="A23" s="11" t="s">
        <v>19</v>
      </c>
      <c r="B23" s="14" t="s">
        <v>0</v>
      </c>
      <c r="C23" s="14"/>
      <c r="D23" s="14"/>
      <c r="E23" s="4">
        <f>B24*-1</f>
        <v>-0.35510000000000003</v>
      </c>
      <c r="F23" s="4">
        <f>D24*-1</f>
        <v>-0.57410000000000005</v>
      </c>
      <c r="G23" s="4">
        <f>C24*-1</f>
        <v>-0.13600000000000001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5">
      <c r="A24" s="12"/>
      <c r="B24" s="48">
        <v>0.35510000000000003</v>
      </c>
      <c r="C24" s="48">
        <v>0.13600000000000001</v>
      </c>
      <c r="D24" s="48">
        <v>0.57410000000000005</v>
      </c>
      <c r="E24" s="15" t="s">
        <v>1</v>
      </c>
      <c r="F24" s="15"/>
      <c r="G24" s="1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5">
      <c r="A25" s="12"/>
      <c r="B25" s="49" t="s">
        <v>20</v>
      </c>
      <c r="C25" s="48">
        <v>0.2218</v>
      </c>
      <c r="D25" s="48">
        <v>0.83409999999999995</v>
      </c>
      <c r="E25" s="5">
        <v>0.17299999999999999</v>
      </c>
      <c r="F25" s="5">
        <v>-0.106</v>
      </c>
      <c r="G25" s="5">
        <v>0.45200000000000001</v>
      </c>
      <c r="H25" s="16" t="s">
        <v>2</v>
      </c>
      <c r="I25" s="16"/>
      <c r="J25" s="16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35">
      <c r="A26" s="12"/>
      <c r="B26" s="48">
        <v>0.57379999999999998</v>
      </c>
      <c r="C26" s="48">
        <v>7.0000000000000007E-2</v>
      </c>
      <c r="D26" s="48">
        <v>1.0780000000000001</v>
      </c>
      <c r="E26" s="5">
        <v>0.219</v>
      </c>
      <c r="F26" s="5">
        <v>-0.23499999999999999</v>
      </c>
      <c r="G26" s="5">
        <v>0.67200000000000004</v>
      </c>
      <c r="H26" s="5"/>
      <c r="I26" s="5"/>
      <c r="J26" s="5"/>
      <c r="K26" s="17" t="s">
        <v>3</v>
      </c>
      <c r="L26" s="17"/>
      <c r="M26" s="17"/>
      <c r="N26" s="5"/>
      <c r="O26" s="5"/>
      <c r="P26" s="5"/>
      <c r="Q26" s="5"/>
      <c r="R26" s="5"/>
      <c r="S26" s="5"/>
    </row>
    <row r="27" spans="1:19" x14ac:dyDescent="0.35">
      <c r="A27" s="12"/>
      <c r="B27" s="48"/>
      <c r="C27" s="48"/>
      <c r="D27" s="48"/>
      <c r="E27" s="5"/>
      <c r="F27" s="5"/>
      <c r="G27" s="5"/>
      <c r="H27" s="5"/>
      <c r="I27" s="5"/>
      <c r="J27" s="5"/>
      <c r="K27" s="5"/>
      <c r="L27" s="5"/>
      <c r="M27" s="5"/>
      <c r="N27" s="18" t="s">
        <v>4</v>
      </c>
      <c r="O27" s="18"/>
      <c r="P27" s="18"/>
      <c r="Q27" s="5"/>
      <c r="R27" s="5"/>
      <c r="S27" s="5"/>
    </row>
    <row r="28" spans="1:19" x14ac:dyDescent="0.35">
      <c r="A28" s="13"/>
      <c r="B28" s="50">
        <v>0.71719999999999995</v>
      </c>
      <c r="C28" s="50">
        <v>0.11899999999999999</v>
      </c>
      <c r="D28" s="50">
        <v>1.3149999999999999</v>
      </c>
      <c r="E28" s="6">
        <v>0.36199999999999999</v>
      </c>
      <c r="F28" s="6">
        <v>-0.19400000000000001</v>
      </c>
      <c r="G28" s="6">
        <v>0.91900000000000004</v>
      </c>
      <c r="H28" s="6"/>
      <c r="I28" s="6"/>
      <c r="J28" s="6"/>
      <c r="K28" s="6"/>
      <c r="L28" s="6"/>
      <c r="M28" s="6"/>
      <c r="N28" s="19"/>
      <c r="O28" s="19"/>
      <c r="P28" s="19"/>
      <c r="Q28" s="20" t="s">
        <v>5</v>
      </c>
      <c r="R28" s="21"/>
      <c r="S28" s="22"/>
    </row>
  </sheetData>
  <mergeCells count="34">
    <mergeCell ref="N27:P27"/>
    <mergeCell ref="N28:P28"/>
    <mergeCell ref="Q28:S28"/>
    <mergeCell ref="A23:A28"/>
    <mergeCell ref="B23:D23"/>
    <mergeCell ref="E24:G24"/>
    <mergeCell ref="H25:J25"/>
    <mergeCell ref="K26:M26"/>
    <mergeCell ref="B1:S1"/>
    <mergeCell ref="A2:A7"/>
    <mergeCell ref="B2:D2"/>
    <mergeCell ref="E3:G3"/>
    <mergeCell ref="H4:J4"/>
    <mergeCell ref="K5:M5"/>
    <mergeCell ref="N6:P6"/>
    <mergeCell ref="N7:P7"/>
    <mergeCell ref="Q7:S7"/>
    <mergeCell ref="B8:S8"/>
    <mergeCell ref="A9:A14"/>
    <mergeCell ref="B9:D9"/>
    <mergeCell ref="E10:G10"/>
    <mergeCell ref="H11:J11"/>
    <mergeCell ref="K12:M12"/>
    <mergeCell ref="N13:P13"/>
    <mergeCell ref="Q14:S14"/>
    <mergeCell ref="B15:S15"/>
    <mergeCell ref="A16:A21"/>
    <mergeCell ref="B16:D16"/>
    <mergeCell ref="E17:G17"/>
    <mergeCell ref="H18:J18"/>
    <mergeCell ref="K19:M19"/>
    <mergeCell ref="N20:P20"/>
    <mergeCell ref="N21:P21"/>
    <mergeCell ref="Q21:S21"/>
  </mergeCells>
  <pageMargins left="0.7" right="0.7" top="0.75" bottom="0.75" header="0.3" footer="0.3"/>
  <ignoredErrors>
    <ignoredError sqref="B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1001-31A0-41DD-8990-56994EEAC8FB}">
  <dimension ref="A1:AG23"/>
  <sheetViews>
    <sheetView topLeftCell="H1" workbookViewId="0">
      <selection activeCell="Z5" sqref="I3:Z5"/>
    </sheetView>
  </sheetViews>
  <sheetFormatPr defaultRowHeight="14.5" x14ac:dyDescent="0.35"/>
  <sheetData>
    <row r="1" spans="1:33" x14ac:dyDescent="0.35">
      <c r="B1" t="s">
        <v>0</v>
      </c>
      <c r="C1" t="s">
        <v>1</v>
      </c>
      <c r="D1" t="s">
        <v>2</v>
      </c>
    </row>
    <row r="2" spans="1:33" x14ac:dyDescent="0.35">
      <c r="AC2" cm="1">
        <f t="array" ref="AC2:AC6">M7:M11</f>
        <v>0</v>
      </c>
      <c r="AD2" cm="1">
        <f t="array" ref="AD2:AD6">M12:M16</f>
        <v>1.2196</v>
      </c>
    </row>
    <row r="3" spans="1:33" x14ac:dyDescent="0.35">
      <c r="A3" t="s">
        <v>0</v>
      </c>
      <c r="B3" t="s">
        <v>9</v>
      </c>
      <c r="C3">
        <v>1.1032999999999999</v>
      </c>
      <c r="D3">
        <v>1.2907999999999999</v>
      </c>
      <c r="I3" s="23" t="s">
        <v>0</v>
      </c>
      <c r="J3" s="24"/>
      <c r="K3" s="25"/>
      <c r="L3" s="4">
        <f>C3</f>
        <v>1.1032999999999999</v>
      </c>
      <c r="M3" s="4">
        <f>C12</f>
        <v>0.998</v>
      </c>
      <c r="N3" s="4">
        <f>C21</f>
        <v>1.2196</v>
      </c>
      <c r="O3" s="4">
        <f>D3</f>
        <v>1.2907999999999999</v>
      </c>
      <c r="P3" s="4">
        <f>D12</f>
        <v>0.7964</v>
      </c>
      <c r="Q3" s="4">
        <f>D21</f>
        <v>2.0920999999999998</v>
      </c>
      <c r="R3" s="4">
        <f>E3</f>
        <v>0</v>
      </c>
      <c r="S3" s="4">
        <f>E12</f>
        <v>0</v>
      </c>
      <c r="T3" s="4">
        <f>E21</f>
        <v>0</v>
      </c>
      <c r="U3" s="4">
        <f>F3</f>
        <v>0</v>
      </c>
      <c r="V3" s="4">
        <f>F12</f>
        <v>0</v>
      </c>
      <c r="W3" s="4">
        <f>F21</f>
        <v>0</v>
      </c>
      <c r="X3" s="4">
        <f>G3</f>
        <v>0</v>
      </c>
      <c r="Y3" s="4">
        <f>G12</f>
        <v>0</v>
      </c>
      <c r="Z3" s="4">
        <f>G21</f>
        <v>0</v>
      </c>
      <c r="AC3">
        <v>0</v>
      </c>
      <c r="AD3" t="str">
        <v>.</v>
      </c>
    </row>
    <row r="4" spans="1:33" x14ac:dyDescent="0.35">
      <c r="A4" t="s">
        <v>1</v>
      </c>
      <c r="B4">
        <v>0.90639999999999998</v>
      </c>
      <c r="C4" t="s">
        <v>9</v>
      </c>
      <c r="D4">
        <v>1.17</v>
      </c>
      <c r="I4" s="5">
        <f>B4</f>
        <v>0.90639999999999998</v>
      </c>
      <c r="J4" s="5">
        <f>B13</f>
        <v>0.81989999999999996</v>
      </c>
      <c r="K4" s="5">
        <f>B22</f>
        <v>1.002</v>
      </c>
      <c r="L4" s="15" t="s">
        <v>1</v>
      </c>
      <c r="M4" s="15">
        <f>G13</f>
        <v>0</v>
      </c>
      <c r="N4" s="15">
        <f>G22</f>
        <v>0</v>
      </c>
      <c r="O4" s="4">
        <f>D4</f>
        <v>1.17</v>
      </c>
      <c r="P4" s="4">
        <f>D13</f>
        <v>0.72950000000000004</v>
      </c>
      <c r="Q4" s="4">
        <f>D22</f>
        <v>1.8764000000000001</v>
      </c>
      <c r="R4" s="4">
        <f t="shared" ref="R4:R5" si="0">E4</f>
        <v>0</v>
      </c>
      <c r="S4" s="4">
        <f t="shared" ref="S4:S5" si="1">E13</f>
        <v>0</v>
      </c>
      <c r="T4" s="4">
        <f t="shared" ref="T4:T5" si="2">E22</f>
        <v>0</v>
      </c>
      <c r="U4" s="4">
        <f t="shared" ref="U4:U6" si="3">F4</f>
        <v>0</v>
      </c>
      <c r="V4" s="4">
        <f t="shared" ref="V4:V6" si="4">F13</f>
        <v>0</v>
      </c>
      <c r="W4" s="4">
        <f t="shared" ref="W4:W6" si="5">F22</f>
        <v>0</v>
      </c>
      <c r="X4" s="4">
        <f t="shared" ref="X4:X7" si="6">G4</f>
        <v>0</v>
      </c>
      <c r="Y4" s="4">
        <f t="shared" ref="Y4:Y7" si="7">G13</f>
        <v>0</v>
      </c>
      <c r="Z4" s="4">
        <f t="shared" ref="Z4:Z7" si="8">G22</f>
        <v>0</v>
      </c>
      <c r="AC4">
        <v>0</v>
      </c>
      <c r="AD4">
        <v>1.3707</v>
      </c>
    </row>
    <row r="5" spans="1:33" x14ac:dyDescent="0.35">
      <c r="A5" t="s">
        <v>2</v>
      </c>
      <c r="B5">
        <v>0.77470000000000006</v>
      </c>
      <c r="C5">
        <v>0.85470000000000002</v>
      </c>
      <c r="D5" t="s">
        <v>9</v>
      </c>
      <c r="I5" s="4">
        <f>B5</f>
        <v>0.77470000000000006</v>
      </c>
      <c r="J5" s="4">
        <f>B14</f>
        <v>0.47799999999999998</v>
      </c>
      <c r="K5" s="4">
        <f>B23</f>
        <v>1.2556</v>
      </c>
      <c r="L5" s="4">
        <f>C5</f>
        <v>0.85470000000000002</v>
      </c>
      <c r="M5" s="4">
        <f>C14</f>
        <v>0.53290000000000004</v>
      </c>
      <c r="N5" s="4">
        <f>C23</f>
        <v>1.3707</v>
      </c>
      <c r="O5" s="16" t="s">
        <v>2</v>
      </c>
      <c r="P5" s="16"/>
      <c r="Q5" s="16"/>
      <c r="R5" s="4">
        <f t="shared" si="0"/>
        <v>0</v>
      </c>
      <c r="S5" s="4">
        <f t="shared" si="1"/>
        <v>0</v>
      </c>
      <c r="T5" s="4">
        <f t="shared" si="2"/>
        <v>0</v>
      </c>
      <c r="U5" s="4">
        <f t="shared" si="3"/>
        <v>0</v>
      </c>
      <c r="V5" s="4">
        <f t="shared" si="4"/>
        <v>0</v>
      </c>
      <c r="W5" s="4">
        <f t="shared" si="5"/>
        <v>0</v>
      </c>
      <c r="X5" s="4">
        <f t="shared" si="6"/>
        <v>0</v>
      </c>
      <c r="Y5" s="4">
        <f t="shared" si="7"/>
        <v>0</v>
      </c>
      <c r="Z5" s="4">
        <f t="shared" si="8"/>
        <v>0</v>
      </c>
      <c r="AC5" t="str">
        <v>limit:</v>
      </c>
      <c r="AD5">
        <v>0</v>
      </c>
    </row>
    <row r="6" spans="1:33" x14ac:dyDescent="0.35">
      <c r="I6" s="4"/>
      <c r="J6" s="4"/>
      <c r="K6" s="4"/>
      <c r="L6" s="4"/>
      <c r="M6" s="4"/>
      <c r="N6" s="4"/>
      <c r="O6" s="4"/>
      <c r="P6" s="4"/>
      <c r="Q6" s="4"/>
      <c r="R6" s="26" t="s">
        <v>3</v>
      </c>
      <c r="S6" s="27"/>
      <c r="T6" s="28"/>
      <c r="U6" s="4">
        <f t="shared" si="3"/>
        <v>0</v>
      </c>
      <c r="V6" s="4">
        <f t="shared" si="4"/>
        <v>0</v>
      </c>
      <c r="W6" s="4">
        <f t="shared" si="5"/>
        <v>0</v>
      </c>
      <c r="X6" s="4">
        <f t="shared" si="6"/>
        <v>0</v>
      </c>
      <c r="Y6" s="4">
        <f t="shared" si="7"/>
        <v>0</v>
      </c>
      <c r="Z6" s="4">
        <f t="shared" si="8"/>
        <v>0</v>
      </c>
      <c r="AC6">
        <v>0</v>
      </c>
      <c r="AD6">
        <v>0</v>
      </c>
    </row>
    <row r="7" spans="1:33" x14ac:dyDescent="0.35">
      <c r="I7" s="4"/>
      <c r="J7" s="4"/>
      <c r="K7" s="4"/>
      <c r="L7" s="4"/>
      <c r="M7" s="4"/>
      <c r="N7" s="4"/>
      <c r="O7" s="4"/>
      <c r="P7" s="4"/>
      <c r="Q7" s="4"/>
      <c r="R7" s="4">
        <f t="shared" ref="R7:R8" si="9">E7</f>
        <v>0</v>
      </c>
      <c r="S7" s="4">
        <f t="shared" ref="S7:S8" si="10">E16</f>
        <v>0</v>
      </c>
      <c r="T7" s="4">
        <f t="shared" ref="T7:T8" si="11">E25</f>
        <v>0</v>
      </c>
      <c r="U7" s="18" t="s">
        <v>4</v>
      </c>
      <c r="V7" s="18"/>
      <c r="W7" s="18"/>
      <c r="X7" s="4">
        <f t="shared" si="6"/>
        <v>0</v>
      </c>
      <c r="Y7" s="4">
        <f t="shared" si="7"/>
        <v>0</v>
      </c>
      <c r="Z7" s="4">
        <f t="shared" si="8"/>
        <v>0</v>
      </c>
    </row>
    <row r="8" spans="1:33" x14ac:dyDescent="0.35">
      <c r="I8" s="4"/>
      <c r="J8" s="4"/>
      <c r="K8" s="4"/>
      <c r="L8" s="4"/>
      <c r="M8" s="4"/>
      <c r="N8" s="4"/>
      <c r="O8" s="4"/>
      <c r="P8" s="4"/>
      <c r="Q8" s="4"/>
      <c r="R8" s="4">
        <f t="shared" si="9"/>
        <v>0</v>
      </c>
      <c r="S8" s="4">
        <f t="shared" si="10"/>
        <v>0</v>
      </c>
      <c r="T8" s="4">
        <f t="shared" si="11"/>
        <v>0</v>
      </c>
      <c r="U8" s="4">
        <f>F8</f>
        <v>0</v>
      </c>
      <c r="V8" s="4">
        <f>F17</f>
        <v>0</v>
      </c>
      <c r="W8" s="4">
        <f>F26</f>
        <v>0</v>
      </c>
      <c r="X8" s="20" t="s">
        <v>5</v>
      </c>
      <c r="Y8" s="21"/>
      <c r="Z8" s="22"/>
      <c r="AE8">
        <v>-1.2598</v>
      </c>
      <c r="AF8">
        <v>-0.73429999999999995</v>
      </c>
      <c r="AG8">
        <v>-1.7853000000000001</v>
      </c>
    </row>
    <row r="9" spans="1:33" x14ac:dyDescent="0.35">
      <c r="AE9">
        <v>-0.99</v>
      </c>
      <c r="AF9">
        <v>-0.47060000000000002</v>
      </c>
      <c r="AG9">
        <v>-1.5094000000000001</v>
      </c>
    </row>
    <row r="10" spans="1:33" x14ac:dyDescent="0.35">
      <c r="A10" t="s">
        <v>12</v>
      </c>
      <c r="B10" t="s">
        <v>13</v>
      </c>
      <c r="C10" t="s">
        <v>14</v>
      </c>
      <c r="I10" s="23" t="s">
        <v>0</v>
      </c>
      <c r="J10" s="24"/>
      <c r="K10" s="25"/>
      <c r="L10" s="4">
        <f>C14</f>
        <v>0.53290000000000004</v>
      </c>
      <c r="M10" s="4" t="str">
        <f>C19</f>
        <v>limit:</v>
      </c>
      <c r="N10" s="4">
        <f>C28</f>
        <v>0</v>
      </c>
      <c r="O10" s="4" t="str">
        <f>D14</f>
        <v>.</v>
      </c>
      <c r="P10" s="4">
        <f>D19</f>
        <v>0</v>
      </c>
      <c r="Q10" s="4">
        <f>D28</f>
        <v>0</v>
      </c>
      <c r="R10" s="4">
        <f>E10</f>
        <v>0</v>
      </c>
      <c r="S10" s="4">
        <f>E19</f>
        <v>0</v>
      </c>
      <c r="T10" s="4">
        <f>E28</f>
        <v>0</v>
      </c>
      <c r="U10" s="4">
        <f>F10</f>
        <v>0</v>
      </c>
      <c r="V10" s="4">
        <f>F19</f>
        <v>0</v>
      </c>
      <c r="W10" s="4">
        <f>F28</f>
        <v>0</v>
      </c>
      <c r="X10" s="4">
        <f>G10</f>
        <v>0</v>
      </c>
      <c r="Y10" s="4">
        <f>G19</f>
        <v>0</v>
      </c>
      <c r="Z10" s="4">
        <f>G28</f>
        <v>0</v>
      </c>
      <c r="AE10">
        <v>-0.88560000000000005</v>
      </c>
      <c r="AF10">
        <v>-0.32290000000000002</v>
      </c>
      <c r="AG10">
        <v>-1.4481999999999999</v>
      </c>
    </row>
    <row r="11" spans="1:33" x14ac:dyDescent="0.35">
      <c r="B11" t="s">
        <v>0</v>
      </c>
      <c r="C11" t="s">
        <v>1</v>
      </c>
      <c r="D11" t="s">
        <v>2</v>
      </c>
      <c r="I11" s="5" cm="1">
        <f t="array" ref="I11:I15">G11:G15</f>
        <v>0</v>
      </c>
      <c r="J11" s="5" cm="1">
        <f t="array" ref="J11:J15">G20:G24</f>
        <v>0</v>
      </c>
      <c r="K11" s="5" cm="1">
        <f t="array" ref="K11:K15">G29:G33</f>
        <v>0</v>
      </c>
      <c r="L11" s="15" t="s">
        <v>1</v>
      </c>
      <c r="M11" s="15">
        <f>G20</f>
        <v>0</v>
      </c>
      <c r="N11" s="15">
        <f>G29</f>
        <v>0</v>
      </c>
      <c r="O11" s="4" t="e">
        <f>#REF!</f>
        <v>#REF!</v>
      </c>
      <c r="P11" s="4" t="str">
        <f>D20</f>
        <v>QT</v>
      </c>
      <c r="Q11" s="4">
        <f>D29</f>
        <v>0</v>
      </c>
      <c r="R11" s="4">
        <f t="shared" ref="R11:R12" si="12">E11</f>
        <v>0</v>
      </c>
      <c r="S11" s="4">
        <f t="shared" ref="S11:S12" si="13">E20</f>
        <v>0</v>
      </c>
      <c r="T11" s="4">
        <f t="shared" ref="T11:T12" si="14">E29</f>
        <v>0</v>
      </c>
      <c r="U11" s="4">
        <f t="shared" ref="U11:U13" si="15">F11</f>
        <v>0</v>
      </c>
      <c r="V11" s="4">
        <f t="shared" ref="V11:V13" si="16">F20</f>
        <v>0</v>
      </c>
      <c r="W11" s="4">
        <f t="shared" ref="W11:W13" si="17">F29</f>
        <v>0</v>
      </c>
      <c r="X11" s="4">
        <f t="shared" ref="X11:X14" si="18">G11</f>
        <v>0</v>
      </c>
      <c r="Y11" s="4">
        <f t="shared" ref="Y11:Y14" si="19">G20</f>
        <v>0</v>
      </c>
      <c r="Z11" s="4">
        <f t="shared" ref="Z11:Z14" si="20">G29</f>
        <v>0</v>
      </c>
      <c r="AE11">
        <v>-0.75219999999999998</v>
      </c>
      <c r="AF11">
        <v>-0.15329999999999999</v>
      </c>
      <c r="AG11">
        <v>-1.3512</v>
      </c>
    </row>
    <row r="12" spans="1:33" x14ac:dyDescent="0.35">
      <c r="A12" t="s">
        <v>0</v>
      </c>
      <c r="B12" t="s">
        <v>9</v>
      </c>
      <c r="C12">
        <v>0.998</v>
      </c>
      <c r="D12">
        <v>0.7964</v>
      </c>
      <c r="I12" s="4">
        <v>0</v>
      </c>
      <c r="J12" s="4">
        <v>0</v>
      </c>
      <c r="K12" s="4">
        <v>0</v>
      </c>
      <c r="L12" s="4" cm="1">
        <f t="array" ref="L12">C15:C15</f>
        <v>0</v>
      </c>
      <c r="M12" s="4" cm="1">
        <f t="array" ref="M12:M15">C21:C24</f>
        <v>1.2196</v>
      </c>
      <c r="N12" s="4">
        <f>G30</f>
        <v>0</v>
      </c>
      <c r="O12" s="16" t="s">
        <v>1</v>
      </c>
      <c r="P12" s="16"/>
      <c r="Q12" s="16"/>
      <c r="R12" s="4">
        <f t="shared" si="12"/>
        <v>0</v>
      </c>
      <c r="S12" s="4">
        <f t="shared" si="13"/>
        <v>0</v>
      </c>
      <c r="T12" s="4">
        <f t="shared" si="14"/>
        <v>0</v>
      </c>
      <c r="U12" s="4">
        <f t="shared" si="15"/>
        <v>0</v>
      </c>
      <c r="V12" s="4">
        <f t="shared" si="16"/>
        <v>0</v>
      </c>
      <c r="W12" s="4">
        <f t="shared" si="17"/>
        <v>0</v>
      </c>
      <c r="X12" s="4">
        <f t="shared" si="18"/>
        <v>0</v>
      </c>
      <c r="Y12" s="4">
        <f t="shared" si="19"/>
        <v>0</v>
      </c>
      <c r="Z12" s="4">
        <f t="shared" si="20"/>
        <v>0</v>
      </c>
    </row>
    <row r="13" spans="1:33" x14ac:dyDescent="0.35">
      <c r="A13" t="s">
        <v>1</v>
      </c>
      <c r="B13">
        <v>0.81989999999999996</v>
      </c>
      <c r="C13" t="s">
        <v>9</v>
      </c>
      <c r="D13">
        <v>0.72950000000000004</v>
      </c>
      <c r="I13" s="4">
        <v>0</v>
      </c>
      <c r="J13" s="4">
        <v>0</v>
      </c>
      <c r="K13" s="4">
        <v>0</v>
      </c>
      <c r="L13" s="4"/>
      <c r="M13" s="4" t="str">
        <v>.</v>
      </c>
      <c r="N13" s="4">
        <f>G31</f>
        <v>0</v>
      </c>
      <c r="O13" s="4" t="e">
        <f>#REF!</f>
        <v>#REF!</v>
      </c>
      <c r="P13" s="4">
        <f t="shared" ref="P13:P15" si="21">D22</f>
        <v>1.8764000000000001</v>
      </c>
      <c r="Q13" s="4">
        <f t="shared" ref="Q13:Q15" si="22">D31</f>
        <v>0</v>
      </c>
      <c r="R13" s="26" t="s">
        <v>3</v>
      </c>
      <c r="S13" s="27"/>
      <c r="T13" s="28"/>
      <c r="U13" s="4">
        <f t="shared" si="15"/>
        <v>0</v>
      </c>
      <c r="V13" s="4">
        <f t="shared" si="16"/>
        <v>0</v>
      </c>
      <c r="W13" s="4">
        <f t="shared" si="17"/>
        <v>0</v>
      </c>
      <c r="X13" s="4">
        <f t="shared" si="18"/>
        <v>0</v>
      </c>
      <c r="Y13" s="4">
        <f t="shared" si="19"/>
        <v>0</v>
      </c>
      <c r="Z13" s="4">
        <f t="shared" si="20"/>
        <v>0</v>
      </c>
      <c r="AE13" t="e">
        <v>#VALUE!</v>
      </c>
      <c r="AF13" t="e">
        <v>#VALUE!</v>
      </c>
      <c r="AG13" t="e">
        <v>#VALUE!</v>
      </c>
    </row>
    <row r="14" spans="1:33" x14ac:dyDescent="0.35">
      <c r="A14" t="s">
        <v>2</v>
      </c>
      <c r="B14">
        <v>0.47799999999999998</v>
      </c>
      <c r="C14">
        <v>0.53290000000000004</v>
      </c>
      <c r="D14" t="s">
        <v>9</v>
      </c>
      <c r="I14" s="4">
        <v>0</v>
      </c>
      <c r="J14" s="4">
        <v>0</v>
      </c>
      <c r="K14" s="4">
        <v>0</v>
      </c>
      <c r="L14" s="4"/>
      <c r="M14" s="4">
        <v>1.3707</v>
      </c>
      <c r="N14" s="4">
        <f>G32</f>
        <v>0</v>
      </c>
      <c r="O14" s="4" t="e">
        <f>#REF!</f>
        <v>#REF!</v>
      </c>
      <c r="P14" s="4" t="str">
        <f t="shared" si="21"/>
        <v>.</v>
      </c>
      <c r="Q14" s="4">
        <f t="shared" si="22"/>
        <v>0</v>
      </c>
      <c r="R14" s="4">
        <f t="shared" ref="R14:R15" si="23">E14</f>
        <v>0</v>
      </c>
      <c r="S14" s="4">
        <f t="shared" ref="S14:S15" si="24">E23</f>
        <v>0</v>
      </c>
      <c r="T14" s="4">
        <f t="shared" ref="T14:T15" si="25">E32</f>
        <v>0</v>
      </c>
      <c r="U14" s="18" t="s">
        <v>4</v>
      </c>
      <c r="V14" s="18"/>
      <c r="W14" s="18"/>
      <c r="X14" s="4">
        <f t="shared" si="18"/>
        <v>0</v>
      </c>
      <c r="Y14" s="4">
        <f t="shared" si="19"/>
        <v>0</v>
      </c>
      <c r="Z14" s="4">
        <f t="shared" si="20"/>
        <v>0</v>
      </c>
      <c r="AE14" cm="1">
        <f t="array" ref="AE14:AE17">M2:M5</f>
        <v>0</v>
      </c>
      <c r="AF14" cm="1">
        <f t="array" ref="AF14:AF17">M7:M10</f>
        <v>0</v>
      </c>
      <c r="AG14" cm="1">
        <f t="array" ref="AG14:AG16">M12:M14</f>
        <v>1.2196</v>
      </c>
    </row>
    <row r="15" spans="1:33" x14ac:dyDescent="0.35">
      <c r="I15" s="4">
        <v>0</v>
      </c>
      <c r="J15" s="4">
        <v>0</v>
      </c>
      <c r="K15" s="4">
        <v>0</v>
      </c>
      <c r="L15" s="4"/>
      <c r="M15" s="4">
        <v>0</v>
      </c>
      <c r="N15" s="4">
        <f>G33</f>
        <v>0</v>
      </c>
      <c r="O15" s="4">
        <f t="shared" ref="O15" si="26">D15</f>
        <v>0</v>
      </c>
      <c r="P15" s="4">
        <f t="shared" si="21"/>
        <v>0</v>
      </c>
      <c r="Q15" s="4">
        <f t="shared" si="22"/>
        <v>0</v>
      </c>
      <c r="R15" s="4">
        <f t="shared" si="23"/>
        <v>0</v>
      </c>
      <c r="S15" s="4">
        <f t="shared" si="24"/>
        <v>0</v>
      </c>
      <c r="T15" s="4">
        <f t="shared" si="25"/>
        <v>0</v>
      </c>
      <c r="U15" s="4">
        <f>F15</f>
        <v>0</v>
      </c>
      <c r="V15" s="4">
        <f>F24</f>
        <v>0</v>
      </c>
      <c r="W15" s="4">
        <f>F33</f>
        <v>0</v>
      </c>
      <c r="X15" s="20" t="s">
        <v>5</v>
      </c>
      <c r="Y15" s="21"/>
      <c r="Z15" s="22"/>
      <c r="AE15">
        <v>0.998</v>
      </c>
      <c r="AF15">
        <v>0</v>
      </c>
      <c r="AG15" t="str">
        <v>.</v>
      </c>
    </row>
    <row r="16" spans="1:33" x14ac:dyDescent="0.35">
      <c r="AE16">
        <v>0</v>
      </c>
      <c r="AF16">
        <v>0</v>
      </c>
      <c r="AG16">
        <v>1.3707</v>
      </c>
    </row>
    <row r="17" spans="1:33" x14ac:dyDescent="0.35">
      <c r="AE17">
        <v>0.53290000000000004</v>
      </c>
      <c r="AF17" t="str">
        <v>limit:</v>
      </c>
    </row>
    <row r="19" spans="1:33" x14ac:dyDescent="0.35">
      <c r="A19" t="s">
        <v>15</v>
      </c>
      <c r="B19" t="s">
        <v>13</v>
      </c>
      <c r="C19" t="s">
        <v>14</v>
      </c>
    </row>
    <row r="20" spans="1:33" x14ac:dyDescent="0.35">
      <c r="B20" t="s">
        <v>0</v>
      </c>
      <c r="C20" t="s">
        <v>1</v>
      </c>
      <c r="D20" t="s">
        <v>2</v>
      </c>
      <c r="AE20">
        <f>M6</f>
        <v>0</v>
      </c>
      <c r="AF20">
        <f>M11</f>
        <v>0</v>
      </c>
      <c r="AG20">
        <f>M16</f>
        <v>0</v>
      </c>
    </row>
    <row r="21" spans="1:33" x14ac:dyDescent="0.35">
      <c r="A21" t="s">
        <v>0</v>
      </c>
      <c r="B21" t="s">
        <v>9</v>
      </c>
      <c r="C21">
        <v>1.2196</v>
      </c>
      <c r="D21">
        <v>2.0920999999999998</v>
      </c>
    </row>
    <row r="22" spans="1:33" x14ac:dyDescent="0.35">
      <c r="A22" t="s">
        <v>1</v>
      </c>
      <c r="B22">
        <v>1.002</v>
      </c>
      <c r="C22" t="s">
        <v>9</v>
      </c>
      <c r="D22">
        <v>1.8764000000000001</v>
      </c>
    </row>
    <row r="23" spans="1:33" x14ac:dyDescent="0.35">
      <c r="A23" t="s">
        <v>2</v>
      </c>
      <c r="B23">
        <v>1.2556</v>
      </c>
      <c r="C23">
        <v>1.3707</v>
      </c>
      <c r="D23" t="s">
        <v>9</v>
      </c>
    </row>
  </sheetData>
  <mergeCells count="12">
    <mergeCell ref="X15:Z15"/>
    <mergeCell ref="I3:K3"/>
    <mergeCell ref="L4:N4"/>
    <mergeCell ref="O5:Q5"/>
    <mergeCell ref="R6:T6"/>
    <mergeCell ref="U7:W7"/>
    <mergeCell ref="X8:Z8"/>
    <mergeCell ref="I10:K10"/>
    <mergeCell ref="L11:N11"/>
    <mergeCell ref="O12:Q12"/>
    <mergeCell ref="R13:T13"/>
    <mergeCell ref="U14:W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AD1-0FF6-4AB9-A0BD-A94A48B04C70}">
  <dimension ref="A1:S14"/>
  <sheetViews>
    <sheetView workbookViewId="0">
      <selection activeCell="Q7" sqref="A1:S7"/>
    </sheetView>
  </sheetViews>
  <sheetFormatPr defaultRowHeight="14.5" x14ac:dyDescent="0.35"/>
  <sheetData>
    <row r="1" spans="1:19" x14ac:dyDescent="0.35">
      <c r="A1" s="1"/>
      <c r="B1" s="29" t="s">
        <v>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35">
      <c r="A2" s="30"/>
      <c r="B2" s="14" t="s">
        <v>0</v>
      </c>
      <c r="C2" s="14"/>
      <c r="D2" s="14"/>
      <c r="E2" s="4">
        <f>temp!S14</f>
        <v>0</v>
      </c>
      <c r="F2" s="4">
        <f>temp!T14</f>
        <v>0</v>
      </c>
      <c r="G2" s="4" t="str">
        <f>temp!U14</f>
        <v>AT</v>
      </c>
      <c r="H2" s="4">
        <f>temp!V14</f>
        <v>0</v>
      </c>
      <c r="I2" s="4">
        <f>temp!W14</f>
        <v>0</v>
      </c>
      <c r="J2" s="4">
        <f>temp!X14</f>
        <v>0</v>
      </c>
      <c r="K2" s="4">
        <f>temp!Y14</f>
        <v>0</v>
      </c>
      <c r="L2" s="4">
        <f>temp!Z14</f>
        <v>0</v>
      </c>
      <c r="M2" s="4">
        <f>temp!AA14</f>
        <v>0</v>
      </c>
      <c r="N2" s="4">
        <f>temp!AB14</f>
        <v>0</v>
      </c>
      <c r="O2" s="4">
        <f>temp!AC14</f>
        <v>0</v>
      </c>
      <c r="P2" s="4">
        <f>temp!AD14</f>
        <v>0</v>
      </c>
      <c r="Q2" s="4">
        <f>temp!AE14</f>
        <v>0</v>
      </c>
      <c r="R2" s="4">
        <f>temp!AF14</f>
        <v>0</v>
      </c>
      <c r="S2" s="4">
        <f>temp!AG14</f>
        <v>1.2196</v>
      </c>
    </row>
    <row r="3" spans="1:19" x14ac:dyDescent="0.35">
      <c r="A3" s="30"/>
      <c r="B3" s="5">
        <f>temp!P3</f>
        <v>0.7964</v>
      </c>
      <c r="C3" s="5">
        <f>temp!Q3</f>
        <v>2.0920999999999998</v>
      </c>
      <c r="D3" s="5">
        <f>temp!R3</f>
        <v>0</v>
      </c>
      <c r="E3" s="15" t="s">
        <v>1</v>
      </c>
      <c r="F3" s="15"/>
      <c r="G3" s="15"/>
      <c r="H3" s="4">
        <f>temp!V16</f>
        <v>0</v>
      </c>
      <c r="I3" s="4">
        <f>temp!W16</f>
        <v>0</v>
      </c>
      <c r="J3" s="4">
        <f>temp!X16</f>
        <v>0</v>
      </c>
      <c r="K3" s="4">
        <f>temp!Y16</f>
        <v>0</v>
      </c>
      <c r="L3" s="4">
        <f>temp!Z16</f>
        <v>0</v>
      </c>
      <c r="M3" s="4">
        <f>temp!AA16</f>
        <v>0</v>
      </c>
      <c r="N3" s="4">
        <f>temp!AB16</f>
        <v>0</v>
      </c>
      <c r="O3" s="4">
        <f>temp!AC16</f>
        <v>0</v>
      </c>
      <c r="P3" s="4">
        <f>temp!AD16</f>
        <v>0</v>
      </c>
      <c r="Q3" s="4">
        <f>temp!AE16</f>
        <v>0</v>
      </c>
      <c r="R3" s="4">
        <f>temp!AF16</f>
        <v>0</v>
      </c>
      <c r="S3" s="4">
        <f>temp!AG16</f>
        <v>1.3707</v>
      </c>
    </row>
    <row r="4" spans="1:19" x14ac:dyDescent="0.35">
      <c r="A4" s="30"/>
      <c r="B4" s="4">
        <f>temp!P17</f>
        <v>0</v>
      </c>
      <c r="C4" s="4">
        <f>temp!Q17</f>
        <v>0</v>
      </c>
      <c r="D4" s="4">
        <f>temp!R17</f>
        <v>0</v>
      </c>
      <c r="E4" s="4">
        <f>temp!S17</f>
        <v>0</v>
      </c>
      <c r="F4" s="4">
        <f>temp!T17</f>
        <v>0</v>
      </c>
      <c r="G4" s="4">
        <f>temp!U17</f>
        <v>0</v>
      </c>
      <c r="H4" s="16" t="s">
        <v>2</v>
      </c>
      <c r="I4" s="16"/>
      <c r="J4" s="16"/>
      <c r="K4" s="4">
        <f>temp!Y17</f>
        <v>0</v>
      </c>
      <c r="L4" s="4">
        <f>temp!Z17</f>
        <v>0</v>
      </c>
      <c r="M4" s="4">
        <f>temp!AA17</f>
        <v>0</v>
      </c>
      <c r="N4" s="4">
        <f>temp!AB17</f>
        <v>0</v>
      </c>
      <c r="O4" s="4">
        <f>temp!AC17</f>
        <v>0</v>
      </c>
      <c r="P4" s="4">
        <f>temp!AD17</f>
        <v>0</v>
      </c>
      <c r="Q4" s="4">
        <f>temp!AE17</f>
        <v>0.53290000000000004</v>
      </c>
      <c r="R4" s="4" t="str">
        <f>temp!AF17</f>
        <v>limit:</v>
      </c>
      <c r="S4" s="4">
        <f>temp!AG17</f>
        <v>0</v>
      </c>
    </row>
    <row r="5" spans="1:19" x14ac:dyDescent="0.35">
      <c r="A5" s="30"/>
      <c r="B5" s="4">
        <f>temp!P18</f>
        <v>0</v>
      </c>
      <c r="C5" s="4">
        <f>temp!Q18</f>
        <v>0</v>
      </c>
      <c r="D5" s="4">
        <f>temp!R18</f>
        <v>0</v>
      </c>
      <c r="E5" s="4">
        <f>temp!S18</f>
        <v>0</v>
      </c>
      <c r="F5" s="4">
        <f>temp!T18</f>
        <v>0</v>
      </c>
      <c r="G5" s="4">
        <f>temp!U18</f>
        <v>0</v>
      </c>
      <c r="H5" s="4">
        <f>temp!V18</f>
        <v>0</v>
      </c>
      <c r="I5" s="4">
        <f>temp!W18</f>
        <v>0</v>
      </c>
      <c r="J5" s="4">
        <f>temp!X18</f>
        <v>0</v>
      </c>
      <c r="K5" s="17" t="s">
        <v>3</v>
      </c>
      <c r="L5" s="17"/>
      <c r="M5" s="17"/>
      <c r="N5" s="4">
        <f>temp!AB18</f>
        <v>0</v>
      </c>
      <c r="O5" s="4">
        <f>temp!AC18</f>
        <v>0</v>
      </c>
      <c r="P5" s="4">
        <f>temp!AD18</f>
        <v>0</v>
      </c>
      <c r="Q5" s="4">
        <f>temp!AE18</f>
        <v>0</v>
      </c>
      <c r="R5" s="4">
        <f>temp!AF18</f>
        <v>0</v>
      </c>
      <c r="S5" s="4">
        <f>temp!AG18</f>
        <v>0</v>
      </c>
    </row>
    <row r="6" spans="1:19" x14ac:dyDescent="0.35">
      <c r="A6" s="30"/>
      <c r="B6" s="4">
        <f>temp!P19</f>
        <v>0</v>
      </c>
      <c r="C6" s="4">
        <f>temp!Q19</f>
        <v>0</v>
      </c>
      <c r="D6" s="4">
        <f>temp!R19</f>
        <v>0</v>
      </c>
      <c r="E6" s="4">
        <f>temp!S19</f>
        <v>0</v>
      </c>
      <c r="F6" s="4">
        <f>temp!T19</f>
        <v>0</v>
      </c>
      <c r="G6" s="4">
        <f>temp!U19</f>
        <v>0</v>
      </c>
      <c r="H6" s="4">
        <f>temp!V19</f>
        <v>0</v>
      </c>
      <c r="I6" s="4">
        <f>temp!W19</f>
        <v>0</v>
      </c>
      <c r="J6" s="4">
        <f>temp!X19</f>
        <v>0</v>
      </c>
      <c r="K6" s="4">
        <f>temp!Y19</f>
        <v>0</v>
      </c>
      <c r="L6" s="4">
        <f>temp!Z19</f>
        <v>0</v>
      </c>
      <c r="M6" s="4">
        <f>temp!AA19</f>
        <v>0</v>
      </c>
      <c r="N6" s="18" t="s">
        <v>4</v>
      </c>
      <c r="O6" s="18"/>
      <c r="P6" s="18"/>
      <c r="Q6" s="4">
        <f>temp!AE19</f>
        <v>0</v>
      </c>
      <c r="R6" s="4">
        <f>temp!AF19</f>
        <v>0</v>
      </c>
      <c r="S6" s="4">
        <f>temp!AG19</f>
        <v>0</v>
      </c>
    </row>
    <row r="7" spans="1:19" x14ac:dyDescent="0.35">
      <c r="A7" s="30"/>
      <c r="B7" s="4">
        <f>temp!P20</f>
        <v>0</v>
      </c>
      <c r="C7" s="4">
        <f>temp!Q20</f>
        <v>0</v>
      </c>
      <c r="D7" s="4">
        <f>temp!R20</f>
        <v>0</v>
      </c>
      <c r="E7" s="4">
        <f>temp!S20</f>
        <v>0</v>
      </c>
      <c r="F7" s="4">
        <f>temp!T20</f>
        <v>0</v>
      </c>
      <c r="G7" s="4">
        <f>temp!U20</f>
        <v>0</v>
      </c>
      <c r="H7" s="4">
        <f>temp!V20</f>
        <v>0</v>
      </c>
      <c r="I7" s="4">
        <f>temp!W20</f>
        <v>0</v>
      </c>
      <c r="J7" s="4">
        <f>temp!X20</f>
        <v>0</v>
      </c>
      <c r="K7" s="4">
        <f>temp!Y20</f>
        <v>0</v>
      </c>
      <c r="L7" s="4">
        <f>temp!Z20</f>
        <v>0</v>
      </c>
      <c r="M7" s="4">
        <f>temp!AA20</f>
        <v>0</v>
      </c>
      <c r="N7" s="4">
        <f>temp!AB20</f>
        <v>0</v>
      </c>
      <c r="O7" s="4">
        <f>temp!AC20</f>
        <v>0</v>
      </c>
      <c r="P7" s="4">
        <f>temp!AD20</f>
        <v>0</v>
      </c>
      <c r="Q7" s="20" t="s">
        <v>5</v>
      </c>
      <c r="R7" s="21"/>
      <c r="S7" s="22"/>
    </row>
    <row r="10" spans="1:19" x14ac:dyDescent="0.35">
      <c r="B10" t="e">
        <v>#VALUE!</v>
      </c>
      <c r="C10" t="e">
        <v>#VALUE!</v>
      </c>
      <c r="D10" t="e">
        <v>#VALUE!</v>
      </c>
      <c r="E10">
        <v>-0.26979999999999998</v>
      </c>
      <c r="F10">
        <v>-0.1898</v>
      </c>
      <c r="G10">
        <v>-0.34989999999999999</v>
      </c>
      <c r="H10">
        <v>-0.50760000000000005</v>
      </c>
      <c r="I10">
        <v>-0.1988</v>
      </c>
      <c r="J10">
        <v>-0.8165</v>
      </c>
      <c r="K10">
        <v>-0.37430000000000002</v>
      </c>
      <c r="L10">
        <v>-0.1542</v>
      </c>
      <c r="M10">
        <v>-0.59430000000000005</v>
      </c>
      <c r="N10">
        <v>-1.2598</v>
      </c>
      <c r="O10">
        <v>-0.73429999999999995</v>
      </c>
      <c r="P10">
        <v>-1.7853000000000001</v>
      </c>
    </row>
    <row r="11" spans="1:19" x14ac:dyDescent="0.35">
      <c r="B11">
        <v>0.26979999999999998</v>
      </c>
      <c r="C11">
        <v>0.34989999999999999</v>
      </c>
      <c r="D11">
        <v>0.1898</v>
      </c>
      <c r="E11" t="e">
        <v>#VALUE!</v>
      </c>
      <c r="F11" t="e">
        <v>#VALUE!</v>
      </c>
      <c r="G11" t="e">
        <v>#VALUE!</v>
      </c>
      <c r="H11">
        <v>-0.23780000000000001</v>
      </c>
      <c r="I11">
        <v>6.0499999999999998E-2</v>
      </c>
      <c r="J11">
        <v>-0.53610000000000002</v>
      </c>
      <c r="K11">
        <v>-0.10440000000000001</v>
      </c>
      <c r="L11">
        <v>0.1119</v>
      </c>
      <c r="M11">
        <v>-0.32069999999999999</v>
      </c>
      <c r="N11">
        <v>-0.99</v>
      </c>
      <c r="O11">
        <v>-0.47060000000000002</v>
      </c>
      <c r="P11">
        <v>-1.5094000000000001</v>
      </c>
    </row>
    <row r="12" spans="1:19" x14ac:dyDescent="0.35">
      <c r="B12">
        <v>0.50760000000000005</v>
      </c>
      <c r="C12">
        <v>0.8165</v>
      </c>
      <c r="D12">
        <v>0.1988</v>
      </c>
      <c r="E12">
        <v>0.23780000000000001</v>
      </c>
      <c r="F12">
        <v>0.53610000000000002</v>
      </c>
      <c r="G12">
        <v>-6.0499999999999998E-2</v>
      </c>
      <c r="H12" t="e">
        <v>#VALUE!</v>
      </c>
      <c r="I12" t="e">
        <v>#VALUE!</v>
      </c>
      <c r="J12" t="e">
        <v>#VALUE!</v>
      </c>
      <c r="K12">
        <v>0.13339999999999999</v>
      </c>
      <c r="L12">
        <v>0.50180000000000002</v>
      </c>
      <c r="M12">
        <v>-0.2351</v>
      </c>
      <c r="N12">
        <v>-0.75219999999999998</v>
      </c>
      <c r="O12">
        <v>-0.15329999999999999</v>
      </c>
      <c r="P12">
        <v>-1.3512</v>
      </c>
    </row>
    <row r="13" spans="1:19" x14ac:dyDescent="0.35">
      <c r="B13">
        <v>0.37430000000000002</v>
      </c>
      <c r="C13">
        <v>0.59430000000000005</v>
      </c>
      <c r="D13">
        <v>0.1542</v>
      </c>
      <c r="E13">
        <v>0.10440000000000001</v>
      </c>
      <c r="F13">
        <v>0.32069999999999999</v>
      </c>
      <c r="G13">
        <v>-0.1119</v>
      </c>
      <c r="H13">
        <v>-0.13339999999999999</v>
      </c>
      <c r="I13">
        <v>0.2351</v>
      </c>
      <c r="J13">
        <v>-0.50180000000000002</v>
      </c>
      <c r="K13" t="e">
        <v>#VALUE!</v>
      </c>
      <c r="L13" t="e">
        <v>#VALUE!</v>
      </c>
      <c r="M13" t="e">
        <v>#VALUE!</v>
      </c>
      <c r="N13">
        <v>-0.88560000000000005</v>
      </c>
      <c r="O13">
        <v>-0.32290000000000002</v>
      </c>
      <c r="P13">
        <v>-1.4481999999999999</v>
      </c>
    </row>
    <row r="14" spans="1:19" x14ac:dyDescent="0.35">
      <c r="B14">
        <v>1.2598</v>
      </c>
      <c r="C14">
        <v>1.7853000000000001</v>
      </c>
      <c r="D14">
        <v>0.73429999999999995</v>
      </c>
      <c r="E14">
        <v>0.99</v>
      </c>
      <c r="F14">
        <v>1.5094000000000001</v>
      </c>
      <c r="G14">
        <v>0.47060000000000002</v>
      </c>
      <c r="H14">
        <v>0.75219999999999998</v>
      </c>
      <c r="I14">
        <v>1.3512</v>
      </c>
      <c r="J14">
        <v>0.15329999999999999</v>
      </c>
      <c r="K14">
        <v>0.88560000000000005</v>
      </c>
      <c r="L14">
        <v>1.4481999999999999</v>
      </c>
      <c r="M14">
        <v>0.32290000000000002</v>
      </c>
      <c r="N14" t="e">
        <v>#VALUE!</v>
      </c>
      <c r="O14" t="e">
        <v>#VALUE!</v>
      </c>
      <c r="P14" t="e">
        <v>#VALUE!</v>
      </c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57F7-9F8F-49A1-BAC9-4DBF152FD36C}">
  <dimension ref="A1:S7"/>
  <sheetViews>
    <sheetView workbookViewId="0">
      <selection activeCell="B2" sqref="B2:S7"/>
    </sheetView>
  </sheetViews>
  <sheetFormatPr defaultRowHeight="13" x14ac:dyDescent="0.3"/>
  <cols>
    <col min="1" max="1" width="25.36328125" style="8" bestFit="1" customWidth="1"/>
    <col min="2" max="16384" width="8.7265625" style="8"/>
  </cols>
  <sheetData>
    <row r="1" spans="1:19" x14ac:dyDescent="0.3">
      <c r="B1" s="10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3" customHeight="1" x14ac:dyDescent="0.3">
      <c r="A2" s="31" t="s">
        <v>17</v>
      </c>
      <c r="B2" s="23" t="s">
        <v>0</v>
      </c>
      <c r="C2" s="24"/>
      <c r="D2" s="25"/>
      <c r="E2" s="4" t="e">
        <f>#REF!</f>
        <v>#REF!</v>
      </c>
      <c r="F2" s="4" t="e">
        <f>#REF!</f>
        <v>#REF!</v>
      </c>
      <c r="G2" s="4" t="e">
        <f>#REF!</f>
        <v>#REF!</v>
      </c>
      <c r="H2" s="4" t="e">
        <f>#REF!</f>
        <v>#REF!</v>
      </c>
      <c r="I2" s="4" t="e">
        <f>#REF!</f>
        <v>#REF!</v>
      </c>
      <c r="J2" s="4" t="e">
        <f>#REF!</f>
        <v>#REF!</v>
      </c>
      <c r="K2" s="4" t="e">
        <f>#REF!</f>
        <v>#REF!</v>
      </c>
      <c r="L2" s="4" t="e">
        <f>#REF!</f>
        <v>#REF!</v>
      </c>
      <c r="M2" s="4" t="e">
        <f>#REF!</f>
        <v>#REF!</v>
      </c>
      <c r="N2" s="4" t="e">
        <f>#REF!</f>
        <v>#REF!</v>
      </c>
      <c r="O2" s="4" t="e">
        <f>#REF!</f>
        <v>#REF!</v>
      </c>
      <c r="P2" s="4" t="e">
        <f>#REF!</f>
        <v>#REF!</v>
      </c>
      <c r="Q2" s="4" t="e">
        <f>#REF!</f>
        <v>#REF!</v>
      </c>
      <c r="R2" s="4" t="e">
        <f>#REF!</f>
        <v>#REF!</v>
      </c>
      <c r="S2" s="4" t="e">
        <f>#REF!</f>
        <v>#REF!</v>
      </c>
    </row>
    <row r="3" spans="1:19" x14ac:dyDescent="0.3">
      <c r="A3" s="12"/>
      <c r="B3" s="5" t="e" cm="1">
        <f t="array" ref="B3">#REF!</f>
        <v>#REF!</v>
      </c>
      <c r="C3" s="5" t="e" cm="1">
        <f t="array" ref="C3">#REF!</f>
        <v>#REF!</v>
      </c>
      <c r="D3" s="5" t="e" cm="1">
        <f t="array" ref="D3">#REF!</f>
        <v>#REF!</v>
      </c>
      <c r="E3" s="32" t="s">
        <v>1</v>
      </c>
      <c r="F3" s="33" t="e">
        <f t="shared" ref="F3" si="0">#REF!</f>
        <v>#REF!</v>
      </c>
      <c r="G3" s="34" t="e">
        <f t="shared" ref="G3" si="1">#REF!</f>
        <v>#REF!</v>
      </c>
      <c r="H3" s="4" t="e">
        <f>#REF!</f>
        <v>#REF!</v>
      </c>
      <c r="I3" s="4" t="e">
        <f>#REF!</f>
        <v>#REF!</v>
      </c>
      <c r="J3" s="4" t="e">
        <f>#REF!</f>
        <v>#REF!</v>
      </c>
      <c r="K3" s="4" t="e">
        <f t="shared" ref="K3" si="2">#REF!</f>
        <v>#REF!</v>
      </c>
      <c r="L3" s="4" t="e">
        <f t="shared" ref="L3" si="3">#REF!</f>
        <v>#REF!</v>
      </c>
      <c r="M3" s="4" t="e">
        <f t="shared" ref="M3" si="4">#REF!</f>
        <v>#REF!</v>
      </c>
      <c r="N3" s="4" t="e">
        <f t="shared" ref="N3" si="5">#REF!</f>
        <v>#REF!</v>
      </c>
      <c r="O3" s="4" t="e">
        <f t="shared" ref="O3" si="6">#REF!</f>
        <v>#REF!</v>
      </c>
      <c r="P3" s="4" t="e">
        <f t="shared" ref="P3" si="7">#REF!</f>
        <v>#REF!</v>
      </c>
      <c r="Q3" s="4" t="e">
        <f t="shared" ref="Q3" si="8">#REF!</f>
        <v>#REF!</v>
      </c>
      <c r="R3" s="4" t="e">
        <f t="shared" ref="R3" si="9">#REF!</f>
        <v>#REF!</v>
      </c>
      <c r="S3" s="4" t="e">
        <f t="shared" ref="S3" si="10">#REF!</f>
        <v>#REF!</v>
      </c>
    </row>
    <row r="4" spans="1:19" x14ac:dyDescent="0.3">
      <c r="A4" s="12"/>
      <c r="B4" s="4"/>
      <c r="C4" s="4"/>
      <c r="D4" s="4"/>
      <c r="E4" s="4" t="e" cm="1">
        <f t="array" ref="E4">#REF!</f>
        <v>#REF!</v>
      </c>
      <c r="F4" s="4" t="e" cm="1">
        <f t="array" ref="F4">#REF!</f>
        <v>#REF!</v>
      </c>
      <c r="G4" s="4" t="e">
        <f t="shared" ref="G4" si="11">#REF!</f>
        <v>#REF!</v>
      </c>
      <c r="H4" s="35" t="s">
        <v>1</v>
      </c>
      <c r="I4" s="36"/>
      <c r="J4" s="37"/>
      <c r="K4" s="4" t="e">
        <f t="shared" ref="K4" si="12">#REF!</f>
        <v>#REF!</v>
      </c>
      <c r="L4" s="4" t="e">
        <f t="shared" ref="L4" si="13">#REF!</f>
        <v>#REF!</v>
      </c>
      <c r="M4" s="4" t="e">
        <f t="shared" ref="M4" si="14">#REF!</f>
        <v>#REF!</v>
      </c>
      <c r="N4" s="4" t="e">
        <f t="shared" ref="N4" si="15">#REF!</f>
        <v>#REF!</v>
      </c>
      <c r="O4" s="4" t="e">
        <f t="shared" ref="O4" si="16">#REF!</f>
        <v>#REF!</v>
      </c>
      <c r="P4" s="4" t="e">
        <f t="shared" ref="P4" si="17">#REF!</f>
        <v>#REF!</v>
      </c>
      <c r="Q4" s="4" t="e">
        <f t="shared" ref="Q4" si="18">#REF!</f>
        <v>#REF!</v>
      </c>
      <c r="R4" s="4" t="e">
        <f t="shared" ref="R4" si="19">#REF!</f>
        <v>#REF!</v>
      </c>
      <c r="S4" s="4" t="e">
        <f t="shared" ref="S4" si="20">#REF!</f>
        <v>#REF!</v>
      </c>
    </row>
    <row r="5" spans="1:19" x14ac:dyDescent="0.3">
      <c r="A5" s="12"/>
      <c r="B5" s="4"/>
      <c r="C5" s="4"/>
      <c r="D5" s="4"/>
      <c r="E5" s="4"/>
      <c r="F5" s="4"/>
      <c r="G5" s="4" t="e">
        <f t="shared" ref="G5" si="21">#REF!</f>
        <v>#REF!</v>
      </c>
      <c r="H5" s="4" t="e">
        <f t="shared" ref="H5" si="22">#REF!</f>
        <v>#REF!</v>
      </c>
      <c r="I5" s="4" t="e">
        <f t="shared" ref="I5" si="23">#REF!</f>
        <v>#REF!</v>
      </c>
      <c r="J5" s="4" t="e">
        <f t="shared" ref="J5" si="24">#REF!</f>
        <v>#REF!</v>
      </c>
      <c r="K5" s="26" t="s">
        <v>3</v>
      </c>
      <c r="L5" s="27"/>
      <c r="M5" s="28"/>
      <c r="N5" s="4" t="e">
        <f t="shared" ref="N5" si="25">#REF!</f>
        <v>#REF!</v>
      </c>
      <c r="O5" s="4" t="e">
        <f t="shared" ref="O5" si="26">#REF!</f>
        <v>#REF!</v>
      </c>
      <c r="P5" s="4" t="e">
        <f t="shared" ref="P5" si="27">#REF!</f>
        <v>#REF!</v>
      </c>
      <c r="Q5" s="4" t="e">
        <f t="shared" ref="Q5" si="28">#REF!</f>
        <v>#REF!</v>
      </c>
      <c r="R5" s="4" t="e">
        <f t="shared" ref="R5" si="29">#REF!</f>
        <v>#REF!</v>
      </c>
      <c r="S5" s="4" t="e">
        <f t="shared" ref="S5" si="30">#REF!</f>
        <v>#REF!</v>
      </c>
    </row>
    <row r="6" spans="1:19" x14ac:dyDescent="0.3">
      <c r="A6" s="12"/>
      <c r="B6" s="4"/>
      <c r="C6" s="4"/>
      <c r="D6" s="4"/>
      <c r="E6" s="4"/>
      <c r="F6" s="4"/>
      <c r="G6" s="4" t="e">
        <f t="shared" ref="G6" si="31">#REF!</f>
        <v>#REF!</v>
      </c>
      <c r="H6" s="4" t="e">
        <f t="shared" ref="H6" si="32">#REF!</f>
        <v>#REF!</v>
      </c>
      <c r="I6" s="4" t="e">
        <f t="shared" ref="I6" si="33">#REF!</f>
        <v>#REF!</v>
      </c>
      <c r="J6" s="4" t="e">
        <f t="shared" ref="J6" si="34">#REF!</f>
        <v>#REF!</v>
      </c>
      <c r="K6" s="4" t="e">
        <f t="shared" ref="K6" si="35">#REF!</f>
        <v>#REF!</v>
      </c>
      <c r="L6" s="4" t="e">
        <f t="shared" ref="L6" si="36">#REF!</f>
        <v>#REF!</v>
      </c>
      <c r="M6" s="4" t="e">
        <f t="shared" ref="M6" si="37">#REF!</f>
        <v>#REF!</v>
      </c>
      <c r="N6" s="38" t="s">
        <v>4</v>
      </c>
      <c r="O6" s="39"/>
      <c r="P6" s="40"/>
      <c r="Q6" s="4" t="e">
        <f t="shared" ref="Q6" si="38">#REF!</f>
        <v>#REF!</v>
      </c>
      <c r="R6" s="4" t="e">
        <f t="shared" ref="R6" si="39">#REF!</f>
        <v>#REF!</v>
      </c>
      <c r="S6" s="4" t="e">
        <f t="shared" ref="S6" si="40">#REF!</f>
        <v>#REF!</v>
      </c>
    </row>
    <row r="7" spans="1:19" x14ac:dyDescent="0.3">
      <c r="A7" s="13"/>
      <c r="B7" s="4"/>
      <c r="C7" s="4"/>
      <c r="D7" s="4"/>
      <c r="E7" s="4"/>
      <c r="F7" s="4"/>
      <c r="G7" s="4" t="e">
        <f t="shared" ref="G7" si="41">#REF!</f>
        <v>#REF!</v>
      </c>
      <c r="H7" s="4" t="e">
        <f t="shared" ref="H7" si="42">#REF!</f>
        <v>#REF!</v>
      </c>
      <c r="I7" s="4" t="e">
        <f t="shared" ref="I7" si="43">#REF!</f>
        <v>#REF!</v>
      </c>
      <c r="J7" s="4" t="e">
        <f t="shared" ref="J7" si="44">#REF!</f>
        <v>#REF!</v>
      </c>
      <c r="K7" s="4" t="e">
        <f t="shared" ref="K7" si="45">#REF!</f>
        <v>#REF!</v>
      </c>
      <c r="L7" s="4" t="e">
        <f t="shared" ref="L7" si="46">#REF!</f>
        <v>#REF!</v>
      </c>
      <c r="M7" s="4" t="e">
        <f t="shared" ref="M7" si="47">#REF!</f>
        <v>#REF!</v>
      </c>
      <c r="N7" s="4" t="e">
        <f>#REF!</f>
        <v>#REF!</v>
      </c>
      <c r="O7" s="4" t="e">
        <f>#REF!</f>
        <v>#REF!</v>
      </c>
      <c r="P7" s="4" t="e">
        <f>#REF!</f>
        <v>#REF!</v>
      </c>
      <c r="Q7" s="20" t="s">
        <v>5</v>
      </c>
      <c r="R7" s="21"/>
      <c r="S7" s="22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87D6-9AF1-47C5-9D48-3FB7FB3F09D5}">
  <dimension ref="A1:S7"/>
  <sheetViews>
    <sheetView workbookViewId="0">
      <selection activeCell="A2" sqref="A1:S7"/>
    </sheetView>
  </sheetViews>
  <sheetFormatPr defaultRowHeight="13" x14ac:dyDescent="0.3"/>
  <cols>
    <col min="1" max="1" width="24.1796875" style="8" bestFit="1" customWidth="1"/>
    <col min="2" max="16384" width="8.7265625" style="8"/>
  </cols>
  <sheetData>
    <row r="1" spans="1:19" x14ac:dyDescent="0.3">
      <c r="B1" s="10" t="s">
        <v>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31" t="s">
        <v>18</v>
      </c>
      <c r="B2" s="23" t="s">
        <v>0</v>
      </c>
      <c r="C2" s="24"/>
      <c r="D2" s="25"/>
      <c r="E2" s="4">
        <v>2.0057999999999998</v>
      </c>
      <c r="F2" s="4">
        <v>1.4827999999999999</v>
      </c>
      <c r="G2" s="4">
        <v>2.7132000000000001</v>
      </c>
      <c r="H2" s="4">
        <v>2.6543999999999999</v>
      </c>
      <c r="I2" s="4">
        <v>1.1094999999999999</v>
      </c>
      <c r="J2" s="4">
        <v>6.3506999999999998</v>
      </c>
      <c r="K2" s="4"/>
      <c r="L2" s="4"/>
      <c r="M2" s="4"/>
      <c r="N2" s="4">
        <v>4.7493999999999996</v>
      </c>
      <c r="O2" s="4">
        <v>1.3954</v>
      </c>
      <c r="P2" s="4">
        <v>16.165099999999999</v>
      </c>
      <c r="Q2" s="4">
        <v>3.4453</v>
      </c>
      <c r="R2" s="4">
        <v>1.4431</v>
      </c>
      <c r="S2" s="4">
        <v>8.2255000000000003</v>
      </c>
    </row>
    <row r="3" spans="1:19" x14ac:dyDescent="0.3">
      <c r="A3" s="12"/>
      <c r="B3" s="5">
        <v>0.49859999999999999</v>
      </c>
      <c r="C3" s="5">
        <v>0.36859999999999998</v>
      </c>
      <c r="D3" s="5">
        <v>0.6744</v>
      </c>
      <c r="E3" s="32" t="s">
        <v>1</v>
      </c>
      <c r="F3" s="33" t="s">
        <v>9</v>
      </c>
      <c r="G3" s="34" t="s">
        <v>9</v>
      </c>
      <c r="H3" s="5">
        <v>1.3233999999999999</v>
      </c>
      <c r="I3" s="5">
        <v>0.55459999999999998</v>
      </c>
      <c r="J3" s="5">
        <v>3.1581000000000001</v>
      </c>
      <c r="K3" s="5"/>
      <c r="L3" s="5"/>
      <c r="M3" s="5"/>
      <c r="N3" s="5">
        <v>2.3679000000000001</v>
      </c>
      <c r="O3" s="5">
        <v>0.72250000000000003</v>
      </c>
      <c r="P3" s="5">
        <v>7.7601000000000004</v>
      </c>
      <c r="Q3" s="5">
        <v>1.7177</v>
      </c>
      <c r="R3" s="5">
        <v>0.75949999999999995</v>
      </c>
      <c r="S3" s="5">
        <v>3.8849</v>
      </c>
    </row>
    <row r="4" spans="1:19" x14ac:dyDescent="0.3">
      <c r="A4" s="12"/>
      <c r="B4" s="5">
        <v>0.37669999999999998</v>
      </c>
      <c r="C4" s="5">
        <v>0.1575</v>
      </c>
      <c r="D4" s="5">
        <v>0.90129999999999999</v>
      </c>
      <c r="E4" s="5">
        <v>0.75560000000000005</v>
      </c>
      <c r="F4" s="5">
        <v>0.31659999999999999</v>
      </c>
      <c r="G4" s="5">
        <v>1.8031999999999999</v>
      </c>
      <c r="H4" s="35" t="s">
        <v>2</v>
      </c>
      <c r="I4" s="36" t="s">
        <v>9</v>
      </c>
      <c r="J4" s="37" t="s">
        <v>9</v>
      </c>
      <c r="K4" s="5"/>
      <c r="L4" s="5"/>
      <c r="M4" s="5"/>
      <c r="N4" s="5">
        <v>1.7891999999999999</v>
      </c>
      <c r="O4" s="5">
        <v>0.4108</v>
      </c>
      <c r="P4" s="5">
        <v>7.7938999999999998</v>
      </c>
      <c r="Q4" s="5">
        <v>1.2979000000000001</v>
      </c>
      <c r="R4" s="5">
        <v>0.39379999999999998</v>
      </c>
      <c r="S4" s="5">
        <v>4.2779999999999996</v>
      </c>
    </row>
    <row r="5" spans="1:19" x14ac:dyDescent="0.3">
      <c r="A5" s="12"/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26" t="s">
        <v>3</v>
      </c>
      <c r="L5" s="27"/>
      <c r="M5" s="28"/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</row>
    <row r="6" spans="1:19" x14ac:dyDescent="0.3">
      <c r="A6" s="12"/>
      <c r="B6" s="5">
        <v>0.21060000000000001</v>
      </c>
      <c r="C6" s="5">
        <v>6.1899999999999997E-2</v>
      </c>
      <c r="D6" s="5">
        <v>0.71660000000000001</v>
      </c>
      <c r="E6" s="5">
        <v>0.42230000000000001</v>
      </c>
      <c r="F6" s="5">
        <v>0.12889999999999999</v>
      </c>
      <c r="G6" s="5">
        <v>1.3839999999999999</v>
      </c>
      <c r="H6" s="5">
        <v>0.55889999999999995</v>
      </c>
      <c r="I6" s="5">
        <v>0.1283</v>
      </c>
      <c r="J6" s="5">
        <v>2.4344999999999999</v>
      </c>
      <c r="K6" s="5"/>
      <c r="L6" s="5"/>
      <c r="M6" s="5"/>
      <c r="N6" s="38" t="s">
        <v>4</v>
      </c>
      <c r="O6" s="39" t="s">
        <v>9</v>
      </c>
      <c r="P6" s="40" t="s">
        <v>9</v>
      </c>
      <c r="Q6" s="5">
        <v>0.72540000000000004</v>
      </c>
      <c r="R6" s="5">
        <v>0.17180000000000001</v>
      </c>
      <c r="S6" s="5">
        <v>3.0632000000000001</v>
      </c>
    </row>
    <row r="7" spans="1:19" x14ac:dyDescent="0.3">
      <c r="A7" s="13"/>
      <c r="B7" s="6">
        <v>0.2903</v>
      </c>
      <c r="C7" s="6">
        <v>0.1216</v>
      </c>
      <c r="D7" s="6">
        <v>0.69299999999999995</v>
      </c>
      <c r="E7" s="6">
        <v>0.58220000000000005</v>
      </c>
      <c r="F7" s="6">
        <v>0.25740000000000002</v>
      </c>
      <c r="G7" s="6">
        <v>1.3167</v>
      </c>
      <c r="H7" s="6">
        <v>0.77049999999999996</v>
      </c>
      <c r="I7" s="6">
        <v>0.23380000000000001</v>
      </c>
      <c r="J7" s="6">
        <v>2.5394000000000001</v>
      </c>
      <c r="K7" s="6"/>
      <c r="L7" s="6"/>
      <c r="M7" s="6"/>
      <c r="N7" s="6">
        <v>1.3785000000000001</v>
      </c>
      <c r="O7" s="6">
        <v>0.32650000000000001</v>
      </c>
      <c r="P7" s="6">
        <v>5.8212000000000002</v>
      </c>
      <c r="Q7" s="20" t="s">
        <v>5</v>
      </c>
      <c r="R7" s="21" t="s">
        <v>9</v>
      </c>
      <c r="S7" s="22" t="s">
        <v>9</v>
      </c>
    </row>
  </sheetData>
  <mergeCells count="8">
    <mergeCell ref="N6:P6"/>
    <mergeCell ref="Q7:S7"/>
    <mergeCell ref="A2:A7"/>
    <mergeCell ref="B1:S1"/>
    <mergeCell ref="B2:D2"/>
    <mergeCell ref="E3:G3"/>
    <mergeCell ref="H4:J4"/>
    <mergeCell ref="K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9A58-B8C5-4A35-A580-E3F89CD6A631}">
  <dimension ref="A1:S7"/>
  <sheetViews>
    <sheetView workbookViewId="0">
      <selection activeCell="Q7" sqref="A1:S7"/>
    </sheetView>
  </sheetViews>
  <sheetFormatPr defaultRowHeight="13" x14ac:dyDescent="0.3"/>
  <cols>
    <col min="1" max="1" width="5.81640625" style="3" bestFit="1" customWidth="1"/>
    <col min="2" max="4" width="6.26953125" style="3" bestFit="1" customWidth="1"/>
    <col min="5" max="13" width="6.90625" style="3" bestFit="1" customWidth="1"/>
    <col min="14" max="16" width="8.7265625" style="3"/>
    <col min="17" max="19" width="6.90625" style="3" bestFit="1" customWidth="1"/>
    <col min="20" max="16384" width="8.7265625" style="3"/>
  </cols>
  <sheetData>
    <row r="1" spans="1:19" x14ac:dyDescent="0.3">
      <c r="B1" s="10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11" t="s">
        <v>6</v>
      </c>
      <c r="B2" s="14" t="s">
        <v>0</v>
      </c>
      <c r="C2" s="14"/>
      <c r="D2" s="14"/>
      <c r="E2" s="4">
        <v>-0.37580000000000002</v>
      </c>
      <c r="F2" s="4">
        <v>-0.5907</v>
      </c>
      <c r="G2" s="4">
        <v>-0.16089999999999999</v>
      </c>
      <c r="H2" s="4">
        <v>-0.51419999999999999</v>
      </c>
      <c r="I2" s="4">
        <v>-0.80900000000000005</v>
      </c>
      <c r="J2" s="4">
        <v>-0.21940000000000001</v>
      </c>
      <c r="K2" s="4">
        <v>-0.59409999999999996</v>
      </c>
      <c r="L2" s="4">
        <v>-1.0907</v>
      </c>
      <c r="M2" s="4">
        <v>-9.7600000000000006E-2</v>
      </c>
      <c r="N2" s="4"/>
      <c r="O2" s="4"/>
      <c r="P2" s="4"/>
      <c r="Q2" s="4">
        <v>-0.73760000000000003</v>
      </c>
      <c r="R2" s="4">
        <v>-1.3272999999999999</v>
      </c>
      <c r="S2" s="4">
        <v>-0.1479</v>
      </c>
    </row>
    <row r="3" spans="1:19" x14ac:dyDescent="0.3">
      <c r="A3" s="12"/>
      <c r="B3" s="5">
        <v>0.37580000000000002</v>
      </c>
      <c r="C3" s="5">
        <v>0.16089999999999999</v>
      </c>
      <c r="D3" s="5">
        <v>0.5907</v>
      </c>
      <c r="E3" s="15" t="s">
        <v>1</v>
      </c>
      <c r="F3" s="15"/>
      <c r="G3" s="15"/>
      <c r="H3" s="5">
        <v>-0.1384</v>
      </c>
      <c r="I3" s="5">
        <v>-0.41839999999999999</v>
      </c>
      <c r="J3" s="5">
        <v>0.14169999999999999</v>
      </c>
      <c r="K3" s="5">
        <v>-0.21840000000000001</v>
      </c>
      <c r="L3" s="5">
        <v>-0.2293</v>
      </c>
      <c r="M3" s="5">
        <v>0.66600000000000004</v>
      </c>
      <c r="N3" s="5"/>
      <c r="O3" s="5"/>
      <c r="P3" s="5"/>
      <c r="Q3" s="5">
        <v>-0.36180000000000001</v>
      </c>
      <c r="R3" s="5">
        <v>-0.91090000000000004</v>
      </c>
      <c r="S3" s="5">
        <v>0.18740000000000001</v>
      </c>
    </row>
    <row r="4" spans="1:19" x14ac:dyDescent="0.3">
      <c r="A4" s="12"/>
      <c r="B4" s="5">
        <v>0.51419999999999999</v>
      </c>
      <c r="C4" s="5">
        <v>0.21940000000000001</v>
      </c>
      <c r="D4" s="5">
        <v>0.80900000000000005</v>
      </c>
      <c r="E4" s="5">
        <v>0.1384</v>
      </c>
      <c r="F4" s="5">
        <v>-0.14169999999999999</v>
      </c>
      <c r="G4" s="5">
        <v>0.41839999999999999</v>
      </c>
      <c r="H4" s="16" t="s">
        <v>2</v>
      </c>
      <c r="I4" s="16"/>
      <c r="J4" s="16"/>
      <c r="K4" s="5">
        <v>-0.08</v>
      </c>
      <c r="L4" s="5">
        <v>-0.60799999999999998</v>
      </c>
      <c r="M4" s="5">
        <v>0.4481</v>
      </c>
      <c r="N4" s="5"/>
      <c r="O4" s="5"/>
      <c r="P4" s="5"/>
      <c r="Q4" s="5">
        <v>-0.22339999999999999</v>
      </c>
      <c r="R4" s="5">
        <v>-0.83979999999999999</v>
      </c>
      <c r="S4" s="5">
        <v>0.39300000000000002</v>
      </c>
    </row>
    <row r="5" spans="1:19" x14ac:dyDescent="0.3">
      <c r="A5" s="12"/>
      <c r="B5" s="5">
        <v>-0.59409999999999996</v>
      </c>
      <c r="C5" s="5">
        <v>-1.0907</v>
      </c>
      <c r="D5" s="5">
        <v>-9.7600000000000006E-2</v>
      </c>
      <c r="E5" s="5">
        <v>-0.1384</v>
      </c>
      <c r="F5" s="5">
        <v>-0.41839999999999999</v>
      </c>
      <c r="G5" s="5">
        <v>0.14169999999999999</v>
      </c>
      <c r="H5" s="5">
        <v>0.08</v>
      </c>
      <c r="I5" s="5">
        <v>-0.4481</v>
      </c>
      <c r="J5" s="5">
        <v>0.60799999999999998</v>
      </c>
      <c r="K5" s="17" t="s">
        <v>3</v>
      </c>
      <c r="L5" s="17"/>
      <c r="M5" s="17"/>
      <c r="N5" s="5"/>
      <c r="O5" s="5"/>
      <c r="P5" s="5"/>
      <c r="Q5" s="5">
        <v>-0.1434</v>
      </c>
      <c r="R5" s="5">
        <v>-0.85189999999999999</v>
      </c>
      <c r="S5" s="5">
        <v>0.56510000000000005</v>
      </c>
    </row>
    <row r="6" spans="1:19" x14ac:dyDescent="0.3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8" t="s">
        <v>4</v>
      </c>
      <c r="O6" s="18"/>
      <c r="P6" s="18"/>
      <c r="Q6" s="5"/>
      <c r="R6" s="5"/>
      <c r="S6" s="5"/>
    </row>
    <row r="7" spans="1:19" x14ac:dyDescent="0.3">
      <c r="A7" s="13"/>
      <c r="B7" s="6">
        <v>0.73760000000000003</v>
      </c>
      <c r="C7" s="6">
        <v>0.1479</v>
      </c>
      <c r="D7" s="6">
        <v>1.3272999999999999</v>
      </c>
      <c r="E7" s="6">
        <v>0.36180000000000001</v>
      </c>
      <c r="F7" s="6">
        <v>0.18740000000000001</v>
      </c>
      <c r="G7" s="6">
        <v>0.91090000000000004</v>
      </c>
      <c r="H7" s="6">
        <v>0.22339999999999999</v>
      </c>
      <c r="I7" s="6">
        <v>-0.39300000000000002</v>
      </c>
      <c r="J7" s="6">
        <v>0.83979999999999999</v>
      </c>
      <c r="K7" s="6">
        <v>0.1434</v>
      </c>
      <c r="L7" s="6">
        <v>-0.56510000000000005</v>
      </c>
      <c r="M7" s="6">
        <v>0.85189999999999999</v>
      </c>
      <c r="N7" s="19"/>
      <c r="O7" s="19"/>
      <c r="P7" s="19"/>
      <c r="Q7" s="20" t="s">
        <v>5</v>
      </c>
      <c r="R7" s="21"/>
      <c r="S7" s="22"/>
    </row>
  </sheetData>
  <mergeCells count="9">
    <mergeCell ref="N7:P7"/>
    <mergeCell ref="A2:A7"/>
    <mergeCell ref="B1:S1"/>
    <mergeCell ref="B2:D2"/>
    <mergeCell ref="E3:G3"/>
    <mergeCell ref="H4:J4"/>
    <mergeCell ref="K5:M5"/>
    <mergeCell ref="Q7:S7"/>
    <mergeCell ref="N6:P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1BEB-D991-46B9-A2EE-08134D14F5B8}">
  <dimension ref="A1:S7"/>
  <sheetViews>
    <sheetView workbookViewId="0">
      <selection activeCell="Q7" sqref="A1:S7"/>
    </sheetView>
  </sheetViews>
  <sheetFormatPr defaultRowHeight="13" x14ac:dyDescent="0.3"/>
  <cols>
    <col min="1" max="1" width="5.81640625" style="3" bestFit="1" customWidth="1"/>
    <col min="2" max="4" width="6.26953125" style="3" bestFit="1" customWidth="1"/>
    <col min="5" max="13" width="6.90625" style="3" bestFit="1" customWidth="1"/>
    <col min="14" max="16" width="8.7265625" style="3"/>
    <col min="17" max="19" width="6.90625" style="3" bestFit="1" customWidth="1"/>
    <col min="20" max="16384" width="8.7265625" style="3"/>
  </cols>
  <sheetData>
    <row r="1" spans="1:19" x14ac:dyDescent="0.3">
      <c r="B1" s="10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11" t="s">
        <v>10</v>
      </c>
      <c r="B2" s="14" t="s">
        <v>0</v>
      </c>
      <c r="C2" s="14"/>
      <c r="D2" s="14"/>
      <c r="E2" s="4">
        <v>-0.26860000000000001</v>
      </c>
      <c r="F2" s="4">
        <v>-0.4209</v>
      </c>
      <c r="G2" s="4">
        <v>-0.1163</v>
      </c>
      <c r="H2" s="4">
        <v>-0.49419999999999997</v>
      </c>
      <c r="I2" s="4">
        <v>-0.78649999999999998</v>
      </c>
      <c r="J2" s="4">
        <v>-0.20180000000000001</v>
      </c>
      <c r="K2" s="4">
        <v>-0.65329999999999999</v>
      </c>
      <c r="L2" s="4">
        <v>-1.2098</v>
      </c>
      <c r="M2" s="4">
        <v>-0.20180000000000001</v>
      </c>
      <c r="N2" s="4">
        <v>-0.54459999999999997</v>
      </c>
      <c r="O2" s="4">
        <v>-1.2827</v>
      </c>
      <c r="P2" s="4">
        <v>0.19359999999999999</v>
      </c>
      <c r="Q2" s="4">
        <v>-0.64329999999999998</v>
      </c>
      <c r="R2" s="4">
        <v>-1.1449</v>
      </c>
      <c r="S2" s="4">
        <v>-0.14180000000000001</v>
      </c>
    </row>
    <row r="3" spans="1:19" x14ac:dyDescent="0.3">
      <c r="A3" s="12"/>
      <c r="B3" s="5">
        <v>0.26860000000000001</v>
      </c>
      <c r="C3" s="5">
        <v>0.1163</v>
      </c>
      <c r="D3" s="5">
        <v>0.4209</v>
      </c>
      <c r="E3" s="15" t="s">
        <v>1</v>
      </c>
      <c r="F3" s="15"/>
      <c r="G3" s="15"/>
      <c r="H3" s="5">
        <v>-0.22559999999999999</v>
      </c>
      <c r="I3" s="5">
        <v>-0.5111</v>
      </c>
      <c r="J3" s="5">
        <v>0.06</v>
      </c>
      <c r="K3" s="5">
        <v>-0.38469999999999999</v>
      </c>
      <c r="L3" s="5">
        <v>-0.91990000000000005</v>
      </c>
      <c r="M3" s="5">
        <v>0.15049999999999999</v>
      </c>
      <c r="N3" s="5">
        <v>-0.27600000000000002</v>
      </c>
      <c r="O3" s="5">
        <v>-0.99829999999999997</v>
      </c>
      <c r="P3" s="5">
        <v>0.44629999999999997</v>
      </c>
      <c r="Q3" s="5">
        <v>-0.37469999999999998</v>
      </c>
      <c r="R3" s="5">
        <v>-0.85260000000000002</v>
      </c>
      <c r="S3" s="5">
        <v>0.1031</v>
      </c>
    </row>
    <row r="4" spans="1:19" x14ac:dyDescent="0.3">
      <c r="A4" s="12"/>
      <c r="B4" s="5">
        <v>0.49419999999999997</v>
      </c>
      <c r="C4" s="5">
        <v>0.20180000000000001</v>
      </c>
      <c r="D4" s="5">
        <v>0.78649999999999998</v>
      </c>
      <c r="E4" s="5">
        <v>0.22559999999999999</v>
      </c>
      <c r="F4" s="5">
        <v>-0.06</v>
      </c>
      <c r="G4" s="5">
        <v>0.5111</v>
      </c>
      <c r="H4" s="16" t="s">
        <v>2</v>
      </c>
      <c r="I4" s="16"/>
      <c r="J4" s="16"/>
      <c r="K4" s="5">
        <v>-0.15920000000000001</v>
      </c>
      <c r="L4" s="5">
        <v>-0.76580000000000004</v>
      </c>
      <c r="M4" s="5">
        <v>0.44750000000000001</v>
      </c>
      <c r="N4" s="5">
        <v>-5.04E-2</v>
      </c>
      <c r="O4" s="5">
        <v>-0.82709999999999995</v>
      </c>
      <c r="P4" s="5">
        <v>0.72619999999999996</v>
      </c>
      <c r="Q4" s="5">
        <v>-0.1492</v>
      </c>
      <c r="R4" s="5">
        <v>-0.70579999999999998</v>
      </c>
      <c r="S4" s="5">
        <v>0.40749999999999997</v>
      </c>
    </row>
    <row r="5" spans="1:19" x14ac:dyDescent="0.3">
      <c r="A5" s="12"/>
      <c r="B5" s="5">
        <v>0.65329999999999999</v>
      </c>
      <c r="C5" s="5">
        <v>9.69E-2</v>
      </c>
      <c r="D5" s="5">
        <v>1.2098</v>
      </c>
      <c r="E5" s="5">
        <v>0.38469999999999999</v>
      </c>
      <c r="F5" s="5">
        <v>-0.15049999999999999</v>
      </c>
      <c r="G5" s="5">
        <v>0.91990000000000005</v>
      </c>
      <c r="H5" s="5">
        <v>0.15920000000000001</v>
      </c>
      <c r="I5" s="5">
        <v>-0.44750000000000001</v>
      </c>
      <c r="J5" s="5">
        <v>0.76580000000000004</v>
      </c>
      <c r="K5" s="17" t="s">
        <v>3</v>
      </c>
      <c r="L5" s="17"/>
      <c r="M5" s="17"/>
      <c r="N5" s="5">
        <v>0.1087</v>
      </c>
      <c r="O5" s="5">
        <v>-0.79020000000000001</v>
      </c>
      <c r="P5" s="5">
        <v>1.0077</v>
      </c>
      <c r="Q5" s="5">
        <v>-0.37469999999999998</v>
      </c>
      <c r="R5" s="5">
        <v>-0.85260000000000002</v>
      </c>
      <c r="S5" s="5">
        <v>0.1031</v>
      </c>
    </row>
    <row r="6" spans="1:19" x14ac:dyDescent="0.3">
      <c r="A6" s="12"/>
      <c r="B6" s="5">
        <v>0.54459999999999997</v>
      </c>
      <c r="C6" s="5">
        <v>-0.19359999999999999</v>
      </c>
      <c r="D6" s="5">
        <v>1.2827</v>
      </c>
      <c r="E6" s="5">
        <v>0.27600000000000002</v>
      </c>
      <c r="F6" s="5">
        <v>-0.44629999999999997</v>
      </c>
      <c r="G6" s="5">
        <v>0.99829999999999997</v>
      </c>
      <c r="H6" s="5">
        <v>5.04E-2</v>
      </c>
      <c r="I6" s="5">
        <v>-0.72619999999999996</v>
      </c>
      <c r="J6" s="5">
        <v>0.82709999999999995</v>
      </c>
      <c r="K6" s="5">
        <v>-0.1087</v>
      </c>
      <c r="L6" s="5">
        <v>-1.0077</v>
      </c>
      <c r="M6" s="5">
        <v>0.79020000000000001</v>
      </c>
      <c r="N6" s="18" t="s">
        <v>4</v>
      </c>
      <c r="O6" s="18"/>
      <c r="P6" s="18"/>
      <c r="Q6" s="5">
        <v>-9.8699999999999996E-2</v>
      </c>
      <c r="R6" s="5">
        <v>-0.96479999999999999</v>
      </c>
      <c r="S6" s="5">
        <v>-0.76729999999999998</v>
      </c>
    </row>
    <row r="7" spans="1:19" x14ac:dyDescent="0.3">
      <c r="A7" s="13"/>
      <c r="B7" s="6">
        <v>0.64329999999999998</v>
      </c>
      <c r="C7" s="6">
        <v>0.14180000000000001</v>
      </c>
      <c r="D7" s="6">
        <v>1.1449</v>
      </c>
      <c r="E7" s="6">
        <v>0.37469999999999998</v>
      </c>
      <c r="F7" s="6">
        <v>-0.1031</v>
      </c>
      <c r="G7" s="6">
        <v>0.85260000000000002</v>
      </c>
      <c r="H7" s="6">
        <v>0.1492</v>
      </c>
      <c r="I7" s="6">
        <v>-0.40749999999999997</v>
      </c>
      <c r="J7" s="6">
        <v>0.70579999999999998</v>
      </c>
      <c r="K7" s="6">
        <v>-0.01</v>
      </c>
      <c r="L7" s="6">
        <v>-0.72750000000000004</v>
      </c>
      <c r="M7" s="6">
        <v>0.70750000000000002</v>
      </c>
      <c r="N7" s="19">
        <v>9.8699999999999996E-2</v>
      </c>
      <c r="O7" s="19">
        <v>-0.76729999999999998</v>
      </c>
      <c r="P7" s="19">
        <v>0.96479999999999999</v>
      </c>
      <c r="Q7" s="20" t="s">
        <v>5</v>
      </c>
      <c r="R7" s="21"/>
      <c r="S7" s="22"/>
    </row>
  </sheetData>
  <mergeCells count="9">
    <mergeCell ref="B1:S1"/>
    <mergeCell ref="A2:A7"/>
    <mergeCell ref="B2:D2"/>
    <mergeCell ref="E3:G3"/>
    <mergeCell ref="H4:J4"/>
    <mergeCell ref="K5:M5"/>
    <mergeCell ref="N6:P6"/>
    <mergeCell ref="Q7:S7"/>
    <mergeCell ref="N7:P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1659-D38A-409C-9BCE-41F1CC073114}">
  <dimension ref="A1:S7"/>
  <sheetViews>
    <sheetView workbookViewId="0">
      <selection activeCell="B2" sqref="B2:S7"/>
    </sheetView>
  </sheetViews>
  <sheetFormatPr defaultRowHeight="13" x14ac:dyDescent="0.3"/>
  <cols>
    <col min="1" max="1" width="5.81640625" style="3" bestFit="1" customWidth="1"/>
    <col min="2" max="4" width="6.26953125" style="3" bestFit="1" customWidth="1"/>
    <col min="5" max="13" width="6.90625" style="3" bestFit="1" customWidth="1"/>
    <col min="14" max="16" width="8.7265625" style="3"/>
    <col min="17" max="19" width="6.90625" style="3" bestFit="1" customWidth="1"/>
    <col min="20" max="16384" width="8.7265625" style="3"/>
  </cols>
  <sheetData>
    <row r="1" spans="1:19" x14ac:dyDescent="0.3">
      <c r="B1" s="10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11" t="s">
        <v>11</v>
      </c>
      <c r="B2" s="14" t="s">
        <v>0</v>
      </c>
      <c r="C2" s="14"/>
      <c r="D2" s="14"/>
      <c r="E2" s="4">
        <v>-0.26979999999999998</v>
      </c>
      <c r="F2" s="4">
        <v>-0.1898</v>
      </c>
      <c r="G2" s="4">
        <v>-0.34989999999999999</v>
      </c>
      <c r="H2" s="4">
        <v>-0.37430000000000002</v>
      </c>
      <c r="I2" s="4">
        <v>-0.1542</v>
      </c>
      <c r="J2" s="4">
        <v>-0.59430000000000005</v>
      </c>
      <c r="K2" s="4">
        <v>-0.50760000000000005</v>
      </c>
      <c r="L2" s="4">
        <v>-0.1988</v>
      </c>
      <c r="M2" s="4">
        <v>-0.8165</v>
      </c>
      <c r="N2" s="4"/>
      <c r="O2" s="4"/>
      <c r="P2" s="4"/>
      <c r="Q2" s="4">
        <v>-1.2598</v>
      </c>
      <c r="R2" s="4">
        <v>-0.73429999999999995</v>
      </c>
      <c r="S2" s="4">
        <v>-1.7853000000000001</v>
      </c>
    </row>
    <row r="3" spans="1:19" x14ac:dyDescent="0.3">
      <c r="A3" s="12"/>
      <c r="B3" s="5">
        <v>0.26979999999999998</v>
      </c>
      <c r="C3" s="5">
        <v>0.34989999999999999</v>
      </c>
      <c r="D3" s="5">
        <v>0.1898</v>
      </c>
      <c r="E3" s="15" t="s">
        <v>1</v>
      </c>
      <c r="F3" s="15"/>
      <c r="G3" s="15"/>
      <c r="H3" s="5">
        <v>-0.10440000000000001</v>
      </c>
      <c r="I3" s="5">
        <v>0.1119</v>
      </c>
      <c r="J3" s="5">
        <v>-0.32069999999999999</v>
      </c>
      <c r="K3" s="5">
        <v>-0.23780000000000001</v>
      </c>
      <c r="L3" s="5">
        <v>6.0499999999999998E-2</v>
      </c>
      <c r="M3" s="5">
        <v>-0.53610000000000002</v>
      </c>
      <c r="N3" s="5"/>
      <c r="O3" s="5"/>
      <c r="P3" s="5"/>
      <c r="Q3" s="5">
        <v>-0.99</v>
      </c>
      <c r="R3" s="5">
        <v>-0.47060000000000002</v>
      </c>
      <c r="S3" s="5">
        <v>-1.5094000000000001</v>
      </c>
    </row>
    <row r="4" spans="1:19" x14ac:dyDescent="0.3">
      <c r="A4" s="12"/>
      <c r="B4" s="5">
        <v>0.37430000000000002</v>
      </c>
      <c r="C4" s="5">
        <v>0.59430000000000005</v>
      </c>
      <c r="D4" s="5">
        <v>0.1542</v>
      </c>
      <c r="E4" s="5">
        <v>0.10440000000000001</v>
      </c>
      <c r="F4" s="5">
        <v>0.32069999999999999</v>
      </c>
      <c r="G4" s="5">
        <v>-0.1119</v>
      </c>
      <c r="H4" s="16" t="s">
        <v>2</v>
      </c>
      <c r="I4" s="16"/>
      <c r="J4" s="16"/>
      <c r="K4" s="5">
        <v>-0.13339999999999999</v>
      </c>
      <c r="L4" s="5">
        <v>0.2351</v>
      </c>
      <c r="M4" s="5">
        <v>-0.50180000000000002</v>
      </c>
      <c r="N4" s="5"/>
      <c r="O4" s="5"/>
      <c r="P4" s="5"/>
      <c r="Q4" s="5">
        <v>-0.88560000000000005</v>
      </c>
      <c r="R4" s="5">
        <v>-0.32290000000000002</v>
      </c>
      <c r="S4" s="5">
        <v>-1.4481999999999999</v>
      </c>
    </row>
    <row r="5" spans="1:19" x14ac:dyDescent="0.3">
      <c r="A5" s="12"/>
      <c r="B5" s="5">
        <v>0.50760000000000005</v>
      </c>
      <c r="C5" s="5">
        <v>0.8165</v>
      </c>
      <c r="D5" s="5">
        <v>0.1988</v>
      </c>
      <c r="E5" s="5">
        <v>0.23780000000000001</v>
      </c>
      <c r="F5" s="5">
        <v>0.53610000000000002</v>
      </c>
      <c r="G5" s="5">
        <v>-6.0499999999999998E-2</v>
      </c>
      <c r="H5" s="5">
        <v>0.13339999999999999</v>
      </c>
      <c r="I5" s="5">
        <v>0.50180000000000002</v>
      </c>
      <c r="J5" s="5">
        <v>-0.2351</v>
      </c>
      <c r="K5" s="17" t="s">
        <v>3</v>
      </c>
      <c r="L5" s="17"/>
      <c r="M5" s="17"/>
      <c r="N5" s="5"/>
      <c r="O5" s="5"/>
      <c r="P5" s="5"/>
      <c r="Q5" s="5">
        <v>-0.75219999999999998</v>
      </c>
      <c r="R5" s="5">
        <v>-0.15329999999999999</v>
      </c>
      <c r="S5" s="5">
        <v>-1.3512</v>
      </c>
    </row>
    <row r="6" spans="1:19" x14ac:dyDescent="0.3">
      <c r="A6" s="1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8" t="s">
        <v>4</v>
      </c>
      <c r="O6" s="18"/>
      <c r="P6" s="18"/>
      <c r="Q6" s="5"/>
      <c r="R6" s="5"/>
      <c r="S6" s="5"/>
    </row>
    <row r="7" spans="1:19" x14ac:dyDescent="0.3">
      <c r="A7" s="13"/>
      <c r="B7" s="6">
        <v>1.2598</v>
      </c>
      <c r="C7" s="6">
        <v>1.7853000000000001</v>
      </c>
      <c r="D7" s="6">
        <v>0.73429999999999995</v>
      </c>
      <c r="E7" s="6">
        <v>0.99</v>
      </c>
      <c r="F7" s="6">
        <v>1.5094000000000001</v>
      </c>
      <c r="G7" s="6">
        <v>0.47060000000000002</v>
      </c>
      <c r="H7" s="6">
        <v>0.88560000000000005</v>
      </c>
      <c r="I7" s="6">
        <v>1.4481999999999999</v>
      </c>
      <c r="J7" s="6">
        <v>0.32290000000000002</v>
      </c>
      <c r="K7" s="6">
        <v>0.75219999999999998</v>
      </c>
      <c r="L7" s="6">
        <v>1.3512</v>
      </c>
      <c r="M7" s="6">
        <v>0.15329999999999999</v>
      </c>
      <c r="N7" s="19"/>
      <c r="O7" s="19"/>
      <c r="P7" s="19"/>
      <c r="Q7" s="20" t="s">
        <v>5</v>
      </c>
      <c r="R7" s="21"/>
      <c r="S7" s="22"/>
    </row>
  </sheetData>
  <mergeCells count="9">
    <mergeCell ref="B1:S1"/>
    <mergeCell ref="A2:A7"/>
    <mergeCell ref="B2:D2"/>
    <mergeCell ref="E3:G3"/>
    <mergeCell ref="H4:J4"/>
    <mergeCell ref="K5:M5"/>
    <mergeCell ref="N6:P6"/>
    <mergeCell ref="Q7:S7"/>
    <mergeCell ref="N7:P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8A3E-C339-4BDD-99DF-6D661A494C0D}">
  <dimension ref="A1:S7"/>
  <sheetViews>
    <sheetView workbookViewId="0">
      <selection activeCell="A2" sqref="A2:A7"/>
    </sheetView>
  </sheetViews>
  <sheetFormatPr defaultRowHeight="14.5" x14ac:dyDescent="0.35"/>
  <sheetData>
    <row r="1" spans="1:19" x14ac:dyDescent="0.35">
      <c r="A1" s="1"/>
      <c r="B1" s="29" t="s">
        <v>8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35">
      <c r="A2" s="30"/>
      <c r="B2" s="41" t="s">
        <v>0</v>
      </c>
      <c r="C2" s="29"/>
      <c r="D2" s="4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30"/>
      <c r="B3" s="1"/>
      <c r="C3" s="1"/>
      <c r="D3" s="1"/>
      <c r="E3" s="43" t="s">
        <v>1</v>
      </c>
      <c r="F3" s="44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30"/>
      <c r="B4" s="1"/>
      <c r="C4" s="1"/>
      <c r="D4" s="1"/>
      <c r="E4" s="1"/>
      <c r="F4" s="1"/>
      <c r="G4" s="1"/>
      <c r="H4" s="43" t="s">
        <v>2</v>
      </c>
      <c r="I4" s="44"/>
      <c r="J4" s="45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30"/>
      <c r="B5" s="1"/>
      <c r="C5" s="1"/>
      <c r="D5" s="1"/>
      <c r="E5" s="1"/>
      <c r="F5" s="1"/>
      <c r="G5" s="1"/>
      <c r="H5" s="1"/>
      <c r="I5" s="1"/>
      <c r="J5" s="1"/>
      <c r="K5" s="43" t="s">
        <v>3</v>
      </c>
      <c r="L5" s="44"/>
      <c r="M5" s="45"/>
      <c r="N5" s="1"/>
      <c r="O5" s="1"/>
      <c r="P5" s="1"/>
      <c r="Q5" s="1"/>
      <c r="R5" s="1"/>
      <c r="S5" s="1"/>
    </row>
    <row r="6" spans="1:19" x14ac:dyDescent="0.35">
      <c r="A6" s="30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43" t="s">
        <v>4</v>
      </c>
      <c r="O6" s="44"/>
      <c r="P6" s="45"/>
      <c r="Q6" s="1"/>
      <c r="R6" s="1"/>
      <c r="S6" s="1"/>
    </row>
    <row r="7" spans="1:19" x14ac:dyDescent="0.35">
      <c r="A7" s="30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43" t="s">
        <v>5</v>
      </c>
      <c r="R7" s="44"/>
      <c r="S7" s="45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BA75-8614-4FC5-B790-0EF4A8821265}">
  <dimension ref="A1:S7"/>
  <sheetViews>
    <sheetView workbookViewId="0">
      <selection activeCell="E18" sqref="E18"/>
    </sheetView>
  </sheetViews>
  <sheetFormatPr defaultRowHeight="14" x14ac:dyDescent="0.3"/>
  <cols>
    <col min="1" max="1" width="17.54296875" style="7" bestFit="1" customWidth="1"/>
    <col min="2" max="16384" width="8.7265625" style="7"/>
  </cols>
  <sheetData>
    <row r="1" spans="1:19" x14ac:dyDescent="0.3">
      <c r="A1" s="2"/>
      <c r="B1" s="46" t="s">
        <v>7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x14ac:dyDescent="0.3">
      <c r="A2" s="47" t="s">
        <v>16</v>
      </c>
      <c r="B2" s="14" t="s">
        <v>0</v>
      </c>
      <c r="C2" s="14"/>
      <c r="D2" s="14"/>
      <c r="E2" s="4">
        <f>temp!S14</f>
        <v>0</v>
      </c>
      <c r="F2" s="4">
        <f>temp!T14</f>
        <v>0</v>
      </c>
      <c r="G2" s="4" t="str">
        <f>temp!U14</f>
        <v>AT</v>
      </c>
      <c r="H2" s="4">
        <f>temp!V14</f>
        <v>0</v>
      </c>
      <c r="I2" s="4">
        <f>temp!W14</f>
        <v>0</v>
      </c>
      <c r="J2" s="4">
        <f>temp!X14</f>
        <v>0</v>
      </c>
      <c r="K2" s="4">
        <f>temp!Y14</f>
        <v>0</v>
      </c>
      <c r="L2" s="4">
        <f>temp!Z14</f>
        <v>0</v>
      </c>
      <c r="M2" s="4">
        <f>temp!AA14</f>
        <v>0</v>
      </c>
      <c r="N2" s="4"/>
      <c r="O2" s="4"/>
      <c r="P2" s="4"/>
      <c r="Q2" s="4">
        <f>temp!AE14</f>
        <v>0</v>
      </c>
      <c r="R2" s="4">
        <f>temp!AF14</f>
        <v>0</v>
      </c>
      <c r="S2" s="4">
        <f>temp!AG14</f>
        <v>1.2196</v>
      </c>
    </row>
    <row r="3" spans="1:19" x14ac:dyDescent="0.3">
      <c r="A3" s="47"/>
      <c r="B3" s="5">
        <f>temp!P3</f>
        <v>0.7964</v>
      </c>
      <c r="C3" s="5">
        <f>temp!Q3</f>
        <v>2.0920999999999998</v>
      </c>
      <c r="D3" s="5">
        <f>temp!R3</f>
        <v>0</v>
      </c>
      <c r="E3" s="15" t="s">
        <v>1</v>
      </c>
      <c r="F3" s="15"/>
      <c r="G3" s="15"/>
      <c r="H3" s="4">
        <f>temp!V16</f>
        <v>0</v>
      </c>
      <c r="I3" s="4">
        <f>temp!W16</f>
        <v>0</v>
      </c>
      <c r="J3" s="4">
        <f>temp!X16</f>
        <v>0</v>
      </c>
      <c r="K3" s="4">
        <f>temp!Y16</f>
        <v>0</v>
      </c>
      <c r="L3" s="4">
        <f>temp!Z16</f>
        <v>0</v>
      </c>
      <c r="M3" s="4">
        <f>temp!AA16</f>
        <v>0</v>
      </c>
      <c r="N3" s="4"/>
      <c r="O3" s="4"/>
      <c r="P3" s="4"/>
      <c r="Q3" s="4">
        <f>temp!AE16</f>
        <v>0</v>
      </c>
      <c r="R3" s="4">
        <f>temp!AF16</f>
        <v>0</v>
      </c>
      <c r="S3" s="4">
        <f>temp!AG16</f>
        <v>1.3707</v>
      </c>
    </row>
    <row r="4" spans="1:19" x14ac:dyDescent="0.3">
      <c r="A4" s="47"/>
      <c r="B4" s="4">
        <f>temp!P17</f>
        <v>0</v>
      </c>
      <c r="C4" s="4">
        <f>temp!Q17</f>
        <v>0</v>
      </c>
      <c r="D4" s="4">
        <f>temp!R17</f>
        <v>0</v>
      </c>
      <c r="E4" s="4">
        <f>temp!S17</f>
        <v>0</v>
      </c>
      <c r="F4" s="4">
        <f>temp!T17</f>
        <v>0</v>
      </c>
      <c r="G4" s="4">
        <f>temp!U17</f>
        <v>0</v>
      </c>
      <c r="H4" s="16" t="s">
        <v>2</v>
      </c>
      <c r="I4" s="16"/>
      <c r="J4" s="16"/>
      <c r="K4" s="4">
        <f>temp!Y17</f>
        <v>0</v>
      </c>
      <c r="L4" s="4">
        <f>temp!Z17</f>
        <v>0</v>
      </c>
      <c r="M4" s="4">
        <f>temp!AA17</f>
        <v>0</v>
      </c>
      <c r="N4" s="4"/>
      <c r="O4" s="4"/>
      <c r="P4" s="4"/>
      <c r="Q4" s="4">
        <f>temp!AE17</f>
        <v>0.53290000000000004</v>
      </c>
      <c r="R4" s="4" t="str">
        <f>temp!AF17</f>
        <v>limit:</v>
      </c>
      <c r="S4" s="4">
        <f>temp!AG17</f>
        <v>0</v>
      </c>
    </row>
    <row r="5" spans="1:19" x14ac:dyDescent="0.3">
      <c r="A5" s="47"/>
      <c r="B5" s="4">
        <f>temp!P18</f>
        <v>0</v>
      </c>
      <c r="C5" s="4">
        <f>temp!Q18</f>
        <v>0</v>
      </c>
      <c r="D5" s="4">
        <f>temp!R18</f>
        <v>0</v>
      </c>
      <c r="E5" s="4">
        <f>temp!S18</f>
        <v>0</v>
      </c>
      <c r="F5" s="4">
        <f>temp!T18</f>
        <v>0</v>
      </c>
      <c r="G5" s="4">
        <f>temp!U18</f>
        <v>0</v>
      </c>
      <c r="H5" s="4">
        <f>temp!V18</f>
        <v>0</v>
      </c>
      <c r="I5" s="4">
        <f>temp!W18</f>
        <v>0</v>
      </c>
      <c r="J5" s="4">
        <f>temp!X18</f>
        <v>0</v>
      </c>
      <c r="K5" s="17" t="s">
        <v>3</v>
      </c>
      <c r="L5" s="17"/>
      <c r="M5" s="17"/>
      <c r="N5" s="4"/>
      <c r="O5" s="4"/>
      <c r="P5" s="4"/>
      <c r="Q5" s="4">
        <f>temp!AE18</f>
        <v>0</v>
      </c>
      <c r="R5" s="4">
        <f>temp!AF18</f>
        <v>0</v>
      </c>
      <c r="S5" s="4">
        <f>temp!AG18</f>
        <v>0</v>
      </c>
    </row>
    <row r="6" spans="1:19" x14ac:dyDescent="0.3">
      <c r="A6" s="47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18" t="s">
        <v>4</v>
      </c>
      <c r="O6" s="18"/>
      <c r="P6" s="18"/>
      <c r="Q6" s="4"/>
      <c r="R6" s="4"/>
      <c r="S6" s="4"/>
    </row>
    <row r="7" spans="1:19" x14ac:dyDescent="0.3">
      <c r="A7" s="47"/>
      <c r="B7" s="4">
        <f>temp!P20</f>
        <v>0</v>
      </c>
      <c r="C7" s="4">
        <f>temp!Q20</f>
        <v>0</v>
      </c>
      <c r="D7" s="4">
        <f>temp!R20</f>
        <v>0</v>
      </c>
      <c r="E7" s="4">
        <f>temp!S20</f>
        <v>0</v>
      </c>
      <c r="F7" s="4">
        <f>temp!T20</f>
        <v>0</v>
      </c>
      <c r="G7" s="4">
        <f>temp!U20</f>
        <v>0</v>
      </c>
      <c r="H7" s="4">
        <f>temp!V20</f>
        <v>0</v>
      </c>
      <c r="I7" s="4">
        <f>temp!W20</f>
        <v>0</v>
      </c>
      <c r="J7" s="4">
        <f>temp!X20</f>
        <v>0</v>
      </c>
      <c r="K7" s="4">
        <f>temp!Y20</f>
        <v>0</v>
      </c>
      <c r="L7" s="4">
        <f>temp!Z20</f>
        <v>0</v>
      </c>
      <c r="M7" s="4">
        <f>temp!AA20</f>
        <v>0</v>
      </c>
      <c r="N7" s="4">
        <f>temp!AB20</f>
        <v>0</v>
      </c>
      <c r="O7" s="4">
        <f>temp!AC20</f>
        <v>0</v>
      </c>
      <c r="P7" s="4">
        <f>temp!AD20</f>
        <v>0</v>
      </c>
      <c r="Q7" s="20" t="s">
        <v>5</v>
      </c>
      <c r="R7" s="21"/>
      <c r="S7" s="22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D5AD-9976-492D-A44E-288E6167C03E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continuous</vt:lpstr>
      <vt:lpstr>temp</vt:lpstr>
      <vt:lpstr>temp2</vt:lpstr>
      <vt:lpstr>pivot_shift_1</vt:lpstr>
      <vt:lpstr>pivot_shift_2</vt:lpstr>
      <vt:lpstr>ikdc_subjective</vt:lpstr>
      <vt:lpstr>lysholm</vt:lpstr>
      <vt:lpstr>tegner</vt:lpstr>
      <vt:lpstr>Sheet7</vt:lpstr>
      <vt:lpstr>instrumented_laxity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2026-10-02T15:35:49Z</dcterms:modified>
</cp:coreProperties>
</file>