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network_meta-analysis\4_manuscript\network_meta-analysis\tables_and_figures\tables\"/>
    </mc:Choice>
  </mc:AlternateContent>
  <xr:revisionPtr revIDLastSave="0" documentId="13_ncr:1_{E8786068-7312-4AAF-93CC-A55003133BC7}" xr6:coauthVersionLast="47" xr6:coauthVersionMax="47" xr10:uidLastSave="{00000000-0000-0000-0000-000000000000}"/>
  <bookViews>
    <workbookView xWindow="9600" yWindow="0" windowWidth="9600" windowHeight="10200" activeTab="2" xr2:uid="{1E8E609C-9BCD-4ABF-B2FB-C5D7619F981C}"/>
  </bookViews>
  <sheets>
    <sheet name="key" sheetId="3" r:id="rId1"/>
    <sheet name="continuous" sheetId="1" r:id="rId2"/>
    <sheet name="dichotomou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  <c r="D21" i="1"/>
  <c r="D20" i="1"/>
  <c r="D19" i="1"/>
</calcChain>
</file>

<file path=xl/sharedStrings.xml><?xml version="1.0" encoding="utf-8"?>
<sst xmlns="http://schemas.openxmlformats.org/spreadsheetml/2006/main" count="414" uniqueCount="171">
  <si>
    <t>BPTB</t>
  </si>
  <si>
    <t>HT</t>
  </si>
  <si>
    <t>QT</t>
  </si>
  <si>
    <t>PLT</t>
  </si>
  <si>
    <t>AT</t>
  </si>
  <si>
    <t>TA</t>
  </si>
  <si>
    <t>SUCRA</t>
  </si>
  <si>
    <t>.</t>
  </si>
  <si>
    <t>IKDC subjective</t>
  </si>
  <si>
    <t>Lysholm</t>
  </si>
  <si>
    <t>Tegner</t>
  </si>
  <si>
    <t>Instrumented laxity</t>
  </si>
  <si>
    <t>Pivot-shift (≥ 1+)</t>
  </si>
  <si>
    <t>Pivot-shift (≥ 2+)</t>
  </si>
  <si>
    <t>Lachman (≥ 1+)</t>
  </si>
  <si>
    <t>Lachman (≥ 2+)</t>
  </si>
  <si>
    <t>Graft failure</t>
  </si>
  <si>
    <t>Rank</t>
  </si>
  <si>
    <t>Outcome</t>
  </si>
  <si>
    <t>Subgroup</t>
  </si>
  <si>
    <t>0.459 [0.198; 0.720]</t>
  </si>
  <si>
    <t>0.197 [-0.285; 0.678]</t>
  </si>
  <si>
    <t>0.360 [0.122; 0.599]</t>
  </si>
  <si>
    <t>0.343 [0.000; 0.686]</t>
  </si>
  <si>
    <t>0.220 [-0.251; 0.691]</t>
  </si>
  <si>
    <t>0.363 [-0.214; 0.941]</t>
  </si>
  <si>
    <t>0.533 [0.211; 0.854]</t>
  </si>
  <si>
    <t>0.172 [-0.118; 0.463]</t>
  </si>
  <si>
    <t>0.580 [0.052; 1.108]</t>
  </si>
  <si>
    <t>0.047 [-0.506; 0.601]</t>
  </si>
  <si>
    <t>0.723 [0.099; 1.348]</t>
  </si>
  <si>
    <t>0.191 [-0.456; 0.837]</t>
  </si>
  <si>
    <t>0.143 [-0.602; 0.889]</t>
  </si>
  <si>
    <t>0.321 [0.155; 0.488]</t>
  </si>
  <si>
    <t>0.225 [-0.215; 0.665]</t>
  </si>
  <si>
    <t>0.282 [0.122; 0.442]</t>
  </si>
  <si>
    <t>0.416 [0.044; 0.787]</t>
  </si>
  <si>
    <t>0.385 [-0.159; 0.930]</t>
  </si>
  <si>
    <t>0.276 [-0.460; 1.012]</t>
  </si>
  <si>
    <t>0.374 [-0.114; 0.862]</t>
  </si>
  <si>
    <t>0.501 [0.202; 0.800]</t>
  </si>
  <si>
    <t>0.219 [-0.072; 0.511]</t>
  </si>
  <si>
    <t>0.667 [0.100; 1.235]</t>
  </si>
  <si>
    <t>0.166 [-0.451; 0.784]</t>
  </si>
  <si>
    <t>0.558 [-0.195; 1.311]</t>
  </si>
  <si>
    <t>0.057 [-0.735; 0.848]</t>
  </si>
  <si>
    <t>-0.109 [-1.025; 0.806]</t>
  </si>
  <si>
    <t>0.656 [0.142; 1.170]</t>
  </si>
  <si>
    <t>0.155 [-0.414; 0.724]</t>
  </si>
  <si>
    <t>-0.011 [-0.742; 0.720]</t>
  </si>
  <si>
    <t>0.098 [-0.785; 0.981]</t>
  </si>
  <si>
    <t>0.499 [0.287; 0.710]</t>
  </si>
  <si>
    <t>0.000 [-0.780; 0.780]</t>
  </si>
  <si>
    <t>0.478 [0.271; 0.686]</t>
  </si>
  <si>
    <t>0.071 [-0.696; 0.838]</t>
  </si>
  <si>
    <t>0.526 [-0.338; 1.390]</t>
  </si>
  <si>
    <t>-0.000 [-0.815; 0.815]</t>
  </si>
  <si>
    <t>0.052 [-0.398; 0.502]</t>
  </si>
  <si>
    <t>0.279 [-0.278; 0.836]</t>
  </si>
  <si>
    <t>-0.199 [-0.755; 0.357]</t>
  </si>
  <si>
    <t>1.004 [0.115; 1.893]</t>
  </si>
  <si>
    <t>0.725 [-0.303; 1.753]</t>
  </si>
  <si>
    <t>0.478 [-0.363; 1.320]</t>
  </si>
  <si>
    <t>0.000 [-0.815; 0.815]</t>
  </si>
  <si>
    <t>0.199 [-0.788; 1.186]</t>
  </si>
  <si>
    <t>-0.526 [-1.714; 0.662]</t>
  </si>
  <si>
    <t>0.530 [0.035; 1.026]</t>
  </si>
  <si>
    <t>0.251 [-0.464; 0.967]</t>
  </si>
  <si>
    <t>-0.474 [-1.449; 0.501]</t>
  </si>
  <si>
    <t>0.052 [-0.879; 0.984]</t>
  </si>
  <si>
    <t>0.285 [0.204; 0.367]</t>
  </si>
  <si>
    <t>0.087 [-0.265; 0.438]</t>
  </si>
  <si>
    <t>0.270 [0.190; 0.350]</t>
  </si>
  <si>
    <t>0.274 [0.004; 0.544]</t>
  </si>
  <si>
    <t>0.238 [-0.060; 0.536]</t>
  </si>
  <si>
    <t>0.990 [0.471; 1.509]</t>
  </si>
  <si>
    <t>0.374 [0.154; 0.594]</t>
  </si>
  <si>
    <t>0.104 [-0.112; 0.321]</t>
  </si>
  <si>
    <t>0.508 [0.199; 0.816]</t>
  </si>
  <si>
    <t>0.133 [-0.235; 0.502]</t>
  </si>
  <si>
    <t>1.260 [0.734; 1.785]</t>
  </si>
  <si>
    <t>0.886 [0.323; 1.448]</t>
  </si>
  <si>
    <t>0.752 [0.153; 1.351]</t>
  </si>
  <si>
    <r>
      <t xml:space="preserve">SMD [95%-CI], </t>
    </r>
    <r>
      <rPr>
        <i/>
        <sz val="9"/>
        <color theme="1"/>
        <rFont val="Times New Roman"/>
        <family val="1"/>
      </rPr>
      <t>p</t>
    </r>
    <r>
      <rPr>
        <sz val="9"/>
        <color theme="1"/>
        <rFont val="Times New Roman"/>
        <family val="1"/>
      </rPr>
      <t>-value</t>
    </r>
  </si>
  <si>
    <t>Direct</t>
  </si>
  <si>
    <t>1A</t>
  </si>
  <si>
    <t>2A</t>
  </si>
  <si>
    <t>3A</t>
  </si>
  <si>
    <t>4A</t>
  </si>
  <si>
    <t>5A</t>
  </si>
  <si>
    <t>6A</t>
  </si>
  <si>
    <t>BPTB vs. HT</t>
  </si>
  <si>
    <t>BPTB vs. QT</t>
  </si>
  <si>
    <t>HT vs. QT</t>
  </si>
  <si>
    <t>HT vs. PLT</t>
  </si>
  <si>
    <t>HT vs. AT</t>
  </si>
  <si>
    <t>HT vs. TA</t>
  </si>
  <si>
    <t>1B</t>
  </si>
  <si>
    <t>2B</t>
  </si>
  <si>
    <t>3B</t>
  </si>
  <si>
    <t>4B</t>
  </si>
  <si>
    <t>5B</t>
  </si>
  <si>
    <t>6B</t>
  </si>
  <si>
    <t>Indirect</t>
  </si>
  <si>
    <t>-</t>
  </si>
  <si>
    <t>BPTB vs. PLT</t>
  </si>
  <si>
    <t>BPTB vs. AT</t>
  </si>
  <si>
    <t>BPTB vs. TA</t>
  </si>
  <si>
    <t>QT vs. PLT</t>
  </si>
  <si>
    <t>QT vs. AT</t>
  </si>
  <si>
    <t>QT vs. TA</t>
  </si>
  <si>
    <t>PLT vs. AT</t>
  </si>
  <si>
    <t>PLT vs.TA</t>
  </si>
  <si>
    <t>AT vs. TA</t>
  </si>
  <si>
    <t>MA</t>
  </si>
  <si>
    <t>NMA</t>
  </si>
  <si>
    <t>&lt; 0.001</t>
  </si>
  <si>
    <t>0.573 [0.411; 0.800]</t>
  </si>
  <si>
    <t>0.726 [0.305; 1.729]</t>
  </si>
  <si>
    <t>0.575 [0.192; 1.719]</t>
  </si>
  <si>
    <t>0.252 [0.072; 0.888]</t>
  </si>
  <si>
    <t>0.383 [0.188; 0.780]</t>
  </si>
  <si>
    <t>1.267 [0.546; 2.941]</t>
  </si>
  <si>
    <t>1.004 [0.354; 2.849]</t>
  </si>
  <si>
    <t>0.440 [0.131; 1.481]</t>
  </si>
  <si>
    <t>0.668 [0.356; 1.254]</t>
  </si>
  <si>
    <t>0.792 [0.207; 3.028]</t>
  </si>
  <si>
    <t>0.247 [0.079; 1.522]</t>
  </si>
  <si>
    <t>0.527 [0.184; 1.509]</t>
  </si>
  <si>
    <t>0.438 [0.088; 2.172]</t>
  </si>
  <si>
    <t>0.666 [0.197; 2.251]</t>
  </si>
  <si>
    <t>1.518 [0.387; 5.958]</t>
  </si>
  <si>
    <t>0.980 [0.598; 1.606]</t>
  </si>
  <si>
    <t>0.560 [0.168; 1.871]</t>
  </si>
  <si>
    <t>1.532 [0.356; 6.597]</t>
  </si>
  <si>
    <t>0.380 [0.050; 2.921]</t>
  </si>
  <si>
    <t>0.758 [0.181; 3.172]</t>
  </si>
  <si>
    <t>0.571 [0.165; 1.978]</t>
  </si>
  <si>
    <t>1.563 [0.396; 6.174]</t>
  </si>
  <si>
    <t>0.388 [0.054; 2.803]</t>
  </si>
  <si>
    <t>0.773 [0.202; 2.963]</t>
  </si>
  <si>
    <t>2.736 [0.429; 16.348]</t>
  </si>
  <si>
    <t>0.679 [0.066; 7.019]</t>
  </si>
  <si>
    <t>1.354 [0.217; 8.436]</t>
  </si>
  <si>
    <t>0.248 [0.022; 2.758]</t>
  </si>
  <si>
    <t>0.495 [0.072; 3.380]</t>
  </si>
  <si>
    <t>1.993 [0.183; 21.767]</t>
  </si>
  <si>
    <t>0.676 [0.444; 1.028]</t>
  </si>
  <si>
    <t>0.990 [0.130; 7.508]</t>
  </si>
  <si>
    <t>0.651 [0.130; 3.268]</t>
  </si>
  <si>
    <t>0.429 [0.155; 1.188]</t>
  </si>
  <si>
    <t>1.464 [0.202; 10.630]</t>
  </si>
  <si>
    <t>0.963 [0.203; 4.573]</t>
  </si>
  <si>
    <t>0.635 [0.251; 1.605]</t>
  </si>
  <si>
    <t>0.658 [0.053; 8.187]</t>
  </si>
  <si>
    <t>0.434 [0.049; 3.870]</t>
  </si>
  <si>
    <t>0.659 [0.108; 4.041]</t>
  </si>
  <si>
    <t>1.249 [0.698;  2.235]</t>
  </si>
  <si>
    <t>1.828 [0.296; 11.289]</t>
  </si>
  <si>
    <t>0.485 [0.062;  3.808]</t>
  </si>
  <si>
    <t>0.730 [0.231;  2.307]</t>
  </si>
  <si>
    <t>1.464 [0.261;  8.215]</t>
  </si>
  <si>
    <t>0.388 [0.054;  2.803]</t>
  </si>
  <si>
    <t>0.584 [0.217;  1.577]</t>
  </si>
  <si>
    <t>0.265 [0.019;  3.655]</t>
  </si>
  <si>
    <t>0.399 [0.055;  2.921]</t>
  </si>
  <si>
    <t>1.506 [0.165; 13.771]</t>
  </si>
  <si>
    <t xml:space="preserve"> 0.822 [0.566;  1.193]</t>
  </si>
  <si>
    <t>2.325 [0.089; 60.404]</t>
  </si>
  <si>
    <t xml:space="preserve">2.829 [0.111; 71.939] </t>
  </si>
  <si>
    <r>
      <t xml:space="preserve">OR [95% CI], </t>
    </r>
    <r>
      <rPr>
        <i/>
        <sz val="9"/>
        <color theme="1"/>
        <rFont val="Times New Roman"/>
        <family val="1"/>
      </rPr>
      <t>p-</t>
    </r>
    <r>
      <rPr>
        <sz val="9"/>
        <color theme="1"/>
        <rFont val="Times New Roman"/>
        <family val="1"/>
      </rPr>
      <t>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</si>
</sst>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5" x14ac:knownFonts="1">
    <font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9"/>
      <color theme="0"/>
      <name val="Times New Roman"/>
      <family val="1"/>
    </font>
    <font>
      <i/>
      <sz val="9"/>
      <color theme="1"/>
      <name val="Times New Roman"/>
      <family val="1"/>
    </font>
    <font>
      <sz val="7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165" fontId="1" fillId="0" borderId="0" xfId="0" applyNumberFormat="1" applyFont="1"/>
    <xf numFmtId="165" fontId="1" fillId="0" borderId="1" xfId="0" applyNumberFormat="1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8428-C08C-499A-AB06-DE4824EC522C}">
  <dimension ref="A1:N25"/>
  <sheetViews>
    <sheetView topLeftCell="D1" workbookViewId="0">
      <selection activeCell="J10" sqref="J10"/>
    </sheetView>
  </sheetViews>
  <sheetFormatPr defaultRowHeight="14.5" x14ac:dyDescent="0.35"/>
  <cols>
    <col min="2" max="2" width="10.26953125" bestFit="1" customWidth="1"/>
  </cols>
  <sheetData>
    <row r="1" spans="1:14" x14ac:dyDescent="0.35">
      <c r="A1" s="29"/>
      <c r="B1" s="24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8"/>
    </row>
    <row r="2" spans="1:14" x14ac:dyDescent="0.35">
      <c r="A2" s="30"/>
      <c r="B2" s="25"/>
      <c r="C2" s="27" t="s">
        <v>0</v>
      </c>
      <c r="D2" s="27"/>
      <c r="E2" s="27" t="s">
        <v>1</v>
      </c>
      <c r="F2" s="27"/>
      <c r="G2" s="27" t="s">
        <v>2</v>
      </c>
      <c r="H2" s="27"/>
      <c r="I2" s="27" t="s">
        <v>3</v>
      </c>
      <c r="J2" s="27"/>
      <c r="K2" s="27" t="s">
        <v>4</v>
      </c>
      <c r="L2" s="27"/>
      <c r="M2" s="25" t="s">
        <v>5</v>
      </c>
      <c r="N2" s="25"/>
    </row>
    <row r="3" spans="1:14" x14ac:dyDescent="0.35">
      <c r="A3" s="26"/>
      <c r="B3" s="1" t="s">
        <v>0</v>
      </c>
      <c r="C3" s="20"/>
      <c r="D3" s="20"/>
      <c r="E3" s="2" t="s">
        <v>85</v>
      </c>
      <c r="F3" s="35"/>
      <c r="G3" s="2" t="s">
        <v>86</v>
      </c>
      <c r="H3" s="35"/>
      <c r="I3" s="2" t="s">
        <v>104</v>
      </c>
      <c r="J3" s="2"/>
      <c r="K3" s="2" t="s">
        <v>104</v>
      </c>
      <c r="L3" s="2"/>
      <c r="M3" s="2" t="s">
        <v>104</v>
      </c>
      <c r="N3" s="2"/>
    </row>
    <row r="4" spans="1:14" x14ac:dyDescent="0.35">
      <c r="A4" s="24"/>
      <c r="B4" s="3" t="s">
        <v>1</v>
      </c>
      <c r="C4" s="4" t="s">
        <v>97</v>
      </c>
      <c r="D4" s="32"/>
      <c r="E4" s="20"/>
      <c r="F4" s="20"/>
      <c r="G4" s="4" t="s">
        <v>87</v>
      </c>
      <c r="H4" s="32"/>
      <c r="I4" s="4" t="s">
        <v>88</v>
      </c>
      <c r="J4" s="4"/>
      <c r="K4" s="4" t="s">
        <v>89</v>
      </c>
      <c r="L4" s="4"/>
      <c r="M4" s="4" t="s">
        <v>90</v>
      </c>
      <c r="N4" s="4"/>
    </row>
    <row r="5" spans="1:14" x14ac:dyDescent="0.35">
      <c r="A5" s="24"/>
      <c r="B5" s="3" t="s">
        <v>2</v>
      </c>
      <c r="C5" s="4" t="s">
        <v>98</v>
      </c>
      <c r="D5" s="32"/>
      <c r="E5" s="4" t="s">
        <v>99</v>
      </c>
      <c r="F5" s="32"/>
      <c r="G5" s="21"/>
      <c r="H5" s="21"/>
      <c r="I5" s="4" t="s">
        <v>104</v>
      </c>
      <c r="J5" s="4"/>
      <c r="K5" s="4" t="s">
        <v>104</v>
      </c>
      <c r="L5" s="4"/>
      <c r="M5" s="4" t="s">
        <v>104</v>
      </c>
      <c r="N5" s="4"/>
    </row>
    <row r="6" spans="1:14" x14ac:dyDescent="0.35">
      <c r="A6" s="24"/>
      <c r="B6" s="3" t="s">
        <v>3</v>
      </c>
      <c r="C6" s="4">
        <v>7</v>
      </c>
      <c r="D6" s="32"/>
      <c r="E6" s="4" t="s">
        <v>100</v>
      </c>
      <c r="F6" s="32"/>
      <c r="G6" s="4">
        <v>10</v>
      </c>
      <c r="H6" s="32"/>
      <c r="I6" s="22"/>
      <c r="J6" s="36"/>
      <c r="K6" s="4" t="s">
        <v>104</v>
      </c>
      <c r="L6" s="4"/>
      <c r="M6" s="4" t="s">
        <v>104</v>
      </c>
      <c r="N6" s="4"/>
    </row>
    <row r="7" spans="1:14" x14ac:dyDescent="0.35">
      <c r="A7" s="24"/>
      <c r="B7" s="3" t="s">
        <v>4</v>
      </c>
      <c r="C7" s="4">
        <v>8</v>
      </c>
      <c r="D7" s="32"/>
      <c r="E7" s="4" t="s">
        <v>101</v>
      </c>
      <c r="F7" s="32"/>
      <c r="G7" s="4">
        <v>11</v>
      </c>
      <c r="H7" s="32"/>
      <c r="I7" s="4">
        <v>13</v>
      </c>
      <c r="J7" s="37"/>
      <c r="K7" s="19"/>
      <c r="L7" s="23"/>
      <c r="M7" s="4" t="s">
        <v>104</v>
      </c>
      <c r="N7" s="4"/>
    </row>
    <row r="8" spans="1:14" x14ac:dyDescent="0.35">
      <c r="A8" s="25"/>
      <c r="B8" s="5" t="s">
        <v>5</v>
      </c>
      <c r="C8" s="6">
        <v>9</v>
      </c>
      <c r="D8" s="33"/>
      <c r="E8" s="6" t="s">
        <v>102</v>
      </c>
      <c r="F8" s="33"/>
      <c r="G8" s="6">
        <v>12</v>
      </c>
      <c r="H8" s="33"/>
      <c r="I8" s="6">
        <v>14</v>
      </c>
      <c r="J8" s="33"/>
      <c r="K8" s="6">
        <v>15</v>
      </c>
      <c r="L8" s="6"/>
      <c r="M8" s="11"/>
      <c r="N8" s="11"/>
    </row>
    <row r="10" spans="1:14" x14ac:dyDescent="0.35">
      <c r="A10" s="38"/>
      <c r="B10" s="38"/>
      <c r="C10" s="39" t="s">
        <v>114</v>
      </c>
      <c r="D10" s="39" t="s">
        <v>115</v>
      </c>
      <c r="E10" s="39"/>
    </row>
    <row r="11" spans="1:14" x14ac:dyDescent="0.35">
      <c r="A11" s="38">
        <v>1</v>
      </c>
      <c r="B11" s="40" t="s">
        <v>91</v>
      </c>
      <c r="C11" s="38" t="s">
        <v>85</v>
      </c>
      <c r="D11" s="38" t="s">
        <v>97</v>
      </c>
      <c r="E11" s="38" t="s">
        <v>84</v>
      </c>
    </row>
    <row r="12" spans="1:14" x14ac:dyDescent="0.35">
      <c r="A12" s="38">
        <v>2</v>
      </c>
      <c r="B12" s="40" t="s">
        <v>92</v>
      </c>
      <c r="C12" s="38" t="s">
        <v>86</v>
      </c>
      <c r="D12" s="38" t="s">
        <v>98</v>
      </c>
      <c r="E12" s="38" t="s">
        <v>84</v>
      </c>
    </row>
    <row r="13" spans="1:14" x14ac:dyDescent="0.35">
      <c r="A13" s="38">
        <v>3</v>
      </c>
      <c r="B13" s="40" t="s">
        <v>93</v>
      </c>
      <c r="C13" s="38" t="s">
        <v>87</v>
      </c>
      <c r="D13" s="38" t="s">
        <v>99</v>
      </c>
      <c r="E13" s="38" t="s">
        <v>84</v>
      </c>
    </row>
    <row r="14" spans="1:14" x14ac:dyDescent="0.35">
      <c r="A14" s="38">
        <v>4</v>
      </c>
      <c r="B14" s="40" t="s">
        <v>94</v>
      </c>
      <c r="C14" s="38" t="s">
        <v>88</v>
      </c>
      <c r="D14" s="38" t="s">
        <v>100</v>
      </c>
      <c r="E14" s="38" t="s">
        <v>84</v>
      </c>
    </row>
    <row r="15" spans="1:14" x14ac:dyDescent="0.35">
      <c r="A15" s="38">
        <v>5</v>
      </c>
      <c r="B15" s="40" t="s">
        <v>95</v>
      </c>
      <c r="C15" s="38" t="s">
        <v>89</v>
      </c>
      <c r="D15" s="38" t="s">
        <v>101</v>
      </c>
      <c r="E15" s="38" t="s">
        <v>84</v>
      </c>
    </row>
    <row r="16" spans="1:14" x14ac:dyDescent="0.35">
      <c r="A16" s="38">
        <v>6</v>
      </c>
      <c r="B16" s="40" t="s">
        <v>96</v>
      </c>
      <c r="C16" s="38" t="s">
        <v>90</v>
      </c>
      <c r="D16" s="38" t="s">
        <v>102</v>
      </c>
      <c r="E16" s="38" t="s">
        <v>84</v>
      </c>
    </row>
    <row r="17" spans="1:5" x14ac:dyDescent="0.35">
      <c r="A17" s="38">
        <v>7</v>
      </c>
      <c r="B17" s="40" t="s">
        <v>105</v>
      </c>
      <c r="C17" s="38" t="s">
        <v>104</v>
      </c>
      <c r="D17" s="38">
        <v>7</v>
      </c>
      <c r="E17" s="38" t="s">
        <v>103</v>
      </c>
    </row>
    <row r="18" spans="1:5" x14ac:dyDescent="0.35">
      <c r="A18" s="38">
        <v>8</v>
      </c>
      <c r="B18" s="40" t="s">
        <v>106</v>
      </c>
      <c r="C18" s="38" t="s">
        <v>104</v>
      </c>
      <c r="D18" s="38">
        <v>8</v>
      </c>
      <c r="E18" s="38" t="s">
        <v>103</v>
      </c>
    </row>
    <row r="19" spans="1:5" x14ac:dyDescent="0.35">
      <c r="A19" s="38">
        <v>9</v>
      </c>
      <c r="B19" s="40" t="s">
        <v>107</v>
      </c>
      <c r="C19" s="38" t="s">
        <v>104</v>
      </c>
      <c r="D19" s="38">
        <v>9</v>
      </c>
      <c r="E19" s="38" t="s">
        <v>103</v>
      </c>
    </row>
    <row r="20" spans="1:5" x14ac:dyDescent="0.35">
      <c r="A20" s="38">
        <v>10</v>
      </c>
      <c r="B20" s="40" t="s">
        <v>108</v>
      </c>
      <c r="C20" s="38" t="s">
        <v>104</v>
      </c>
      <c r="D20" s="38">
        <v>10</v>
      </c>
      <c r="E20" s="38" t="s">
        <v>103</v>
      </c>
    </row>
    <row r="21" spans="1:5" x14ac:dyDescent="0.35">
      <c r="A21" s="38">
        <v>11</v>
      </c>
      <c r="B21" s="40" t="s">
        <v>109</v>
      </c>
      <c r="C21" s="38" t="s">
        <v>104</v>
      </c>
      <c r="D21" s="38">
        <v>11</v>
      </c>
      <c r="E21" s="38" t="s">
        <v>103</v>
      </c>
    </row>
    <row r="22" spans="1:5" x14ac:dyDescent="0.35">
      <c r="A22" s="38">
        <v>12</v>
      </c>
      <c r="B22" s="40" t="s">
        <v>110</v>
      </c>
      <c r="C22" s="38" t="s">
        <v>104</v>
      </c>
      <c r="D22" s="38">
        <v>12</v>
      </c>
      <c r="E22" s="38" t="s">
        <v>103</v>
      </c>
    </row>
    <row r="23" spans="1:5" x14ac:dyDescent="0.35">
      <c r="A23" s="38">
        <v>13</v>
      </c>
      <c r="B23" s="40" t="s">
        <v>111</v>
      </c>
      <c r="C23" s="38" t="s">
        <v>104</v>
      </c>
      <c r="D23" s="38">
        <v>13</v>
      </c>
      <c r="E23" s="38" t="s">
        <v>103</v>
      </c>
    </row>
    <row r="24" spans="1:5" x14ac:dyDescent="0.35">
      <c r="A24" s="38">
        <v>14</v>
      </c>
      <c r="B24" s="40" t="s">
        <v>112</v>
      </c>
      <c r="C24" s="38" t="s">
        <v>104</v>
      </c>
      <c r="D24" s="38">
        <v>14</v>
      </c>
      <c r="E24" s="38" t="s">
        <v>103</v>
      </c>
    </row>
    <row r="25" spans="1:5" x14ac:dyDescent="0.35">
      <c r="A25" s="38">
        <v>15</v>
      </c>
      <c r="B25" s="40" t="s">
        <v>113</v>
      </c>
      <c r="C25" s="38" t="s">
        <v>104</v>
      </c>
      <c r="D25" s="38">
        <v>15</v>
      </c>
      <c r="E25" s="38" t="s">
        <v>103</v>
      </c>
    </row>
  </sheetData>
  <mergeCells count="16">
    <mergeCell ref="M8:N8"/>
    <mergeCell ref="A3:A8"/>
    <mergeCell ref="C3:D3"/>
    <mergeCell ref="E4:F4"/>
    <mergeCell ref="G5:H5"/>
    <mergeCell ref="I6:J6"/>
    <mergeCell ref="K7:L7"/>
    <mergeCell ref="A1:A2"/>
    <mergeCell ref="B1:B2"/>
    <mergeCell ref="C1:M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4907-B2E4-4C4F-89F2-73E81A7090A5}">
  <dimension ref="A1:P29"/>
  <sheetViews>
    <sheetView zoomScale="82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28" sqref="M28"/>
    </sheetView>
  </sheetViews>
  <sheetFormatPr defaultColWidth="20.1796875" defaultRowHeight="11.5" x14ac:dyDescent="0.25"/>
  <cols>
    <col min="1" max="1" width="13.453125" style="7" bestFit="1" customWidth="1"/>
    <col min="2" max="2" width="7.08984375" style="7" bestFit="1" customWidth="1"/>
    <col min="3" max="3" width="15.54296875" style="7" bestFit="1" customWidth="1"/>
    <col min="4" max="4" width="5.90625" style="34" bestFit="1" customWidth="1"/>
    <col min="5" max="5" width="16.08984375" style="7" bestFit="1" customWidth="1"/>
    <col min="6" max="6" width="5.90625" style="34" bestFit="1" customWidth="1"/>
    <col min="7" max="7" width="15.54296875" style="7" bestFit="1" customWidth="1"/>
    <col min="8" max="8" width="5.36328125" style="34" bestFit="1" customWidth="1"/>
    <col min="9" max="9" width="16.08984375" style="7" bestFit="1" customWidth="1"/>
    <col min="10" max="10" width="5.36328125" style="7" bestFit="1" customWidth="1"/>
    <col min="11" max="11" width="16.08984375" style="7" bestFit="1" customWidth="1"/>
    <col min="12" max="12" width="5.36328125" style="7" bestFit="1" customWidth="1"/>
    <col min="13" max="13" width="15.54296875" style="7" bestFit="1" customWidth="1"/>
    <col min="14" max="14" width="15.54296875" style="7" customWidth="1"/>
    <col min="15" max="15" width="4.26953125" style="7" bestFit="1" customWidth="1"/>
    <col min="16" max="16" width="6.1796875" style="7" bestFit="1" customWidth="1"/>
    <col min="17" max="16384" width="20.1796875" style="7"/>
  </cols>
  <sheetData>
    <row r="1" spans="1:16" x14ac:dyDescent="0.25">
      <c r="A1" s="29" t="s">
        <v>18</v>
      </c>
      <c r="B1" s="24" t="s">
        <v>19</v>
      </c>
      <c r="C1" s="28" t="s">
        <v>83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8"/>
      <c r="O1" s="24" t="s">
        <v>17</v>
      </c>
      <c r="P1" s="24" t="s">
        <v>6</v>
      </c>
    </row>
    <row r="2" spans="1:16" x14ac:dyDescent="0.25">
      <c r="A2" s="30"/>
      <c r="B2" s="25"/>
      <c r="C2" s="26" t="s">
        <v>0</v>
      </c>
      <c r="D2" s="26"/>
      <c r="E2" s="27" t="s">
        <v>1</v>
      </c>
      <c r="F2" s="27"/>
      <c r="G2" s="27" t="s">
        <v>2</v>
      </c>
      <c r="H2" s="27"/>
      <c r="I2" s="27" t="s">
        <v>3</v>
      </c>
      <c r="J2" s="27"/>
      <c r="K2" s="27" t="s">
        <v>4</v>
      </c>
      <c r="L2" s="27"/>
      <c r="M2" s="25" t="s">
        <v>5</v>
      </c>
      <c r="N2" s="25"/>
      <c r="O2" s="25"/>
      <c r="P2" s="25"/>
    </row>
    <row r="3" spans="1:16" x14ac:dyDescent="0.25">
      <c r="A3" s="26" t="s">
        <v>8</v>
      </c>
      <c r="B3" s="1" t="s">
        <v>0</v>
      </c>
      <c r="C3" s="20" t="s">
        <v>0</v>
      </c>
      <c r="D3" s="20"/>
      <c r="E3" s="2" t="s">
        <v>20</v>
      </c>
      <c r="F3" s="35"/>
      <c r="G3" s="2" t="s">
        <v>21</v>
      </c>
      <c r="H3" s="35"/>
      <c r="I3" s="2" t="s">
        <v>7</v>
      </c>
      <c r="J3" s="2"/>
      <c r="K3" s="2"/>
      <c r="L3" s="2"/>
      <c r="M3" s="2" t="s">
        <v>7</v>
      </c>
      <c r="N3" s="2"/>
      <c r="O3" s="2">
        <v>1</v>
      </c>
      <c r="P3" s="2">
        <v>0.99270000000000003</v>
      </c>
    </row>
    <row r="4" spans="1:16" x14ac:dyDescent="0.25">
      <c r="A4" s="24">
        <v>1</v>
      </c>
      <c r="B4" s="3" t="s">
        <v>1</v>
      </c>
      <c r="C4" s="4" t="s">
        <v>22</v>
      </c>
      <c r="D4" s="32">
        <v>3.0999999999999999E-3</v>
      </c>
      <c r="E4" s="20" t="s">
        <v>1</v>
      </c>
      <c r="F4" s="20"/>
      <c r="G4" s="4" t="s">
        <v>23</v>
      </c>
      <c r="H4" s="32"/>
      <c r="I4" s="4" t="s">
        <v>24</v>
      </c>
      <c r="J4" s="4"/>
      <c r="K4" s="4"/>
      <c r="L4" s="4"/>
      <c r="M4" s="4" t="s">
        <v>25</v>
      </c>
      <c r="N4" s="4"/>
      <c r="O4" s="4">
        <v>2</v>
      </c>
      <c r="P4" s="4">
        <v>0.6502</v>
      </c>
    </row>
    <row r="5" spans="1:16" x14ac:dyDescent="0.25">
      <c r="A5" s="24">
        <v>2</v>
      </c>
      <c r="B5" s="3" t="s">
        <v>2</v>
      </c>
      <c r="C5" s="4" t="s">
        <v>26</v>
      </c>
      <c r="D5" s="32">
        <v>3.1300000000000001E-2</v>
      </c>
      <c r="E5" s="4" t="s">
        <v>27</v>
      </c>
      <c r="F5" s="32">
        <v>0.3604</v>
      </c>
      <c r="G5" s="21" t="s">
        <v>2</v>
      </c>
      <c r="H5" s="21"/>
      <c r="I5" s="4" t="s">
        <v>7</v>
      </c>
      <c r="J5" s="4"/>
      <c r="K5" s="4"/>
      <c r="L5" s="4"/>
      <c r="M5" s="4" t="s">
        <v>7</v>
      </c>
      <c r="N5" s="4"/>
      <c r="O5" s="4">
        <v>3</v>
      </c>
      <c r="P5" s="4">
        <v>0.35110000000000002</v>
      </c>
    </row>
    <row r="6" spans="1:16" x14ac:dyDescent="0.25">
      <c r="A6" s="24">
        <v>3</v>
      </c>
      <c r="B6" s="3" t="s">
        <v>3</v>
      </c>
      <c r="C6" s="4" t="s">
        <v>28</v>
      </c>
      <c r="D6" s="32">
        <v>1.1999999999999999E-3</v>
      </c>
      <c r="E6" s="4" t="s">
        <v>24</v>
      </c>
      <c r="F6" s="32">
        <v>0.245</v>
      </c>
      <c r="G6" s="4" t="s">
        <v>29</v>
      </c>
      <c r="H6" s="32">
        <v>0.86670000000000003</v>
      </c>
      <c r="I6" s="22" t="s">
        <v>3</v>
      </c>
      <c r="J6" s="36"/>
      <c r="K6" s="4"/>
      <c r="L6" s="4"/>
      <c r="M6" s="4" t="s">
        <v>7</v>
      </c>
      <c r="N6" s="4"/>
      <c r="O6" s="4">
        <v>4</v>
      </c>
      <c r="P6" s="4">
        <v>0.31879999999999997</v>
      </c>
    </row>
    <row r="7" spans="1:16" x14ac:dyDescent="0.25">
      <c r="A7" s="24">
        <v>4</v>
      </c>
      <c r="B7" s="3" t="s">
        <v>4</v>
      </c>
      <c r="C7" s="4"/>
      <c r="D7" s="32"/>
      <c r="E7" s="4"/>
      <c r="F7" s="32"/>
      <c r="G7" s="4"/>
      <c r="H7" s="32"/>
      <c r="I7" s="4"/>
      <c r="J7" s="37"/>
      <c r="K7" s="19" t="s">
        <v>4</v>
      </c>
      <c r="L7" s="23"/>
      <c r="M7" s="4"/>
      <c r="N7" s="4"/>
      <c r="O7" s="4"/>
      <c r="P7" s="4"/>
    </row>
    <row r="8" spans="1:16" x14ac:dyDescent="0.25">
      <c r="A8" s="25">
        <v>5</v>
      </c>
      <c r="B8" s="5" t="s">
        <v>5</v>
      </c>
      <c r="C8" s="6" t="s">
        <v>30</v>
      </c>
      <c r="D8" s="33">
        <v>2.3199999999999998E-2</v>
      </c>
      <c r="E8" s="6" t="s">
        <v>25</v>
      </c>
      <c r="F8" s="33">
        <v>0.2175</v>
      </c>
      <c r="G8" s="6" t="s">
        <v>31</v>
      </c>
      <c r="H8" s="33">
        <v>0.56299999999999994</v>
      </c>
      <c r="I8" s="6" t="s">
        <v>32</v>
      </c>
      <c r="J8" s="33">
        <v>0.70599999999999996</v>
      </c>
      <c r="K8" s="6"/>
      <c r="L8" s="6"/>
      <c r="M8" s="11" t="s">
        <v>5</v>
      </c>
      <c r="N8" s="11"/>
      <c r="O8" s="6">
        <v>5</v>
      </c>
      <c r="P8" s="6">
        <v>0.18720000000000001</v>
      </c>
    </row>
    <row r="10" spans="1:16" x14ac:dyDescent="0.25">
      <c r="A10" s="26" t="s">
        <v>9</v>
      </c>
      <c r="B10" s="1" t="s">
        <v>0</v>
      </c>
      <c r="C10" s="20" t="s">
        <v>0</v>
      </c>
      <c r="D10" s="20"/>
      <c r="E10" s="2" t="s">
        <v>33</v>
      </c>
      <c r="F10" s="35"/>
      <c r="G10" s="2" t="s">
        <v>34</v>
      </c>
      <c r="H10" s="35"/>
      <c r="I10" s="2" t="s">
        <v>7</v>
      </c>
      <c r="J10" s="2"/>
      <c r="K10" s="2" t="s">
        <v>7</v>
      </c>
      <c r="L10" s="2"/>
      <c r="M10" s="2" t="s">
        <v>7</v>
      </c>
      <c r="N10" s="2"/>
      <c r="O10" s="2">
        <v>1</v>
      </c>
      <c r="P10" s="2">
        <v>0.98199999999999998</v>
      </c>
    </row>
    <row r="11" spans="1:16" x14ac:dyDescent="0.25">
      <c r="A11" s="24">
        <v>1</v>
      </c>
      <c r="B11" s="3" t="s">
        <v>1</v>
      </c>
      <c r="C11" s="4" t="s">
        <v>35</v>
      </c>
      <c r="D11" s="32">
        <v>5.0000000000000001E-4</v>
      </c>
      <c r="E11" s="20" t="s">
        <v>1</v>
      </c>
      <c r="F11" s="20"/>
      <c r="G11" s="4" t="s">
        <v>36</v>
      </c>
      <c r="H11" s="32"/>
      <c r="I11" s="4" t="s">
        <v>37</v>
      </c>
      <c r="J11" s="4"/>
      <c r="K11" s="4" t="s">
        <v>38</v>
      </c>
      <c r="L11" s="4"/>
      <c r="M11" s="4" t="s">
        <v>39</v>
      </c>
      <c r="N11" s="4"/>
      <c r="O11" s="4">
        <v>2</v>
      </c>
      <c r="P11" s="4">
        <v>0.7107</v>
      </c>
    </row>
    <row r="12" spans="1:16" x14ac:dyDescent="0.25">
      <c r="A12" s="24">
        <v>2</v>
      </c>
      <c r="B12" s="3" t="s">
        <v>2</v>
      </c>
      <c r="C12" s="4" t="s">
        <v>40</v>
      </c>
      <c r="D12" s="32">
        <v>1E-3</v>
      </c>
      <c r="E12" s="4" t="s">
        <v>41</v>
      </c>
      <c r="F12" s="32">
        <v>0.14050000000000001</v>
      </c>
      <c r="G12" s="21" t="s">
        <v>2</v>
      </c>
      <c r="H12" s="21"/>
      <c r="I12" s="4" t="s">
        <v>7</v>
      </c>
      <c r="J12" s="4"/>
      <c r="K12" s="4" t="s">
        <v>7</v>
      </c>
      <c r="L12" s="4"/>
      <c r="M12" s="4" t="s">
        <v>7</v>
      </c>
      <c r="N12" s="4"/>
      <c r="O12" s="4">
        <v>3</v>
      </c>
      <c r="P12" s="4">
        <v>0.40350000000000003</v>
      </c>
    </row>
    <row r="13" spans="1:16" x14ac:dyDescent="0.25">
      <c r="A13" s="24">
        <v>3</v>
      </c>
      <c r="B13" s="3" t="s">
        <v>3</v>
      </c>
      <c r="C13" s="4" t="s">
        <v>42</v>
      </c>
      <c r="D13" s="32">
        <v>2.12E-2</v>
      </c>
      <c r="E13" s="4" t="s">
        <v>37</v>
      </c>
      <c r="F13" s="32">
        <v>0.1653</v>
      </c>
      <c r="G13" s="4" t="s">
        <v>43</v>
      </c>
      <c r="H13" s="32">
        <v>0.59789999999999999</v>
      </c>
      <c r="I13" s="22" t="s">
        <v>3</v>
      </c>
      <c r="J13" s="22"/>
      <c r="K13" s="4" t="s">
        <v>7</v>
      </c>
      <c r="L13" s="4"/>
      <c r="M13" s="4" t="s">
        <v>7</v>
      </c>
      <c r="N13" s="4"/>
      <c r="O13" s="4">
        <v>6</v>
      </c>
      <c r="P13" s="4">
        <v>0.25700000000000001</v>
      </c>
    </row>
    <row r="14" spans="1:16" x14ac:dyDescent="0.25">
      <c r="A14" s="24">
        <v>4</v>
      </c>
      <c r="B14" s="3" t="s">
        <v>4</v>
      </c>
      <c r="C14" s="4" t="s">
        <v>44</v>
      </c>
      <c r="D14" s="32">
        <v>0.14660000000000001</v>
      </c>
      <c r="E14" s="4" t="s">
        <v>38</v>
      </c>
      <c r="F14" s="32">
        <v>0.46229999999999999</v>
      </c>
      <c r="G14" s="4" t="s">
        <v>45</v>
      </c>
      <c r="H14" s="32">
        <v>0.81489999999999996</v>
      </c>
      <c r="I14" s="4" t="s">
        <v>46</v>
      </c>
      <c r="J14" s="32">
        <v>0.81489999999999996</v>
      </c>
      <c r="K14" s="23" t="s">
        <v>4</v>
      </c>
      <c r="L14" s="23"/>
      <c r="M14" s="4" t="s">
        <v>7</v>
      </c>
      <c r="N14" s="4"/>
      <c r="O14" s="4">
        <v>4</v>
      </c>
      <c r="P14" s="4">
        <v>0.38590000000000002</v>
      </c>
    </row>
    <row r="15" spans="1:16" x14ac:dyDescent="0.25">
      <c r="A15" s="25">
        <v>5</v>
      </c>
      <c r="B15" s="5" t="s">
        <v>5</v>
      </c>
      <c r="C15" s="6" t="s">
        <v>47</v>
      </c>
      <c r="D15" s="33">
        <v>1.235E-2</v>
      </c>
      <c r="E15" s="6" t="s">
        <v>39</v>
      </c>
      <c r="F15" s="33">
        <v>0.1331</v>
      </c>
      <c r="G15" s="6" t="s">
        <v>48</v>
      </c>
      <c r="H15" s="33">
        <v>0.97609999999999997</v>
      </c>
      <c r="I15" s="6" t="s">
        <v>49</v>
      </c>
      <c r="J15" s="33">
        <v>0.97609999999999997</v>
      </c>
      <c r="K15" s="6" t="s">
        <v>50</v>
      </c>
      <c r="L15" s="6">
        <v>0.82750000000000001</v>
      </c>
      <c r="M15" s="11" t="s">
        <v>5</v>
      </c>
      <c r="N15" s="11"/>
      <c r="O15" s="6">
        <v>5</v>
      </c>
      <c r="P15" s="6">
        <v>0.26100000000000001</v>
      </c>
    </row>
    <row r="17" spans="1:16" x14ac:dyDescent="0.25">
      <c r="A17" s="26" t="s">
        <v>10</v>
      </c>
      <c r="B17" s="1" t="s">
        <v>0</v>
      </c>
      <c r="C17" s="20" t="s">
        <v>0</v>
      </c>
      <c r="D17" s="20"/>
      <c r="E17" s="2" t="s">
        <v>51</v>
      </c>
      <c r="F17" s="35"/>
      <c r="G17" s="2" t="s">
        <v>52</v>
      </c>
      <c r="H17" s="35"/>
      <c r="I17" s="2" t="s">
        <v>7</v>
      </c>
      <c r="J17" s="2"/>
      <c r="K17" s="2" t="s">
        <v>7</v>
      </c>
      <c r="L17" s="2"/>
      <c r="M17" s="2" t="s">
        <v>7</v>
      </c>
      <c r="N17" s="2"/>
      <c r="O17" s="2">
        <v>1</v>
      </c>
      <c r="P17" s="2">
        <v>0.93320000000000003</v>
      </c>
    </row>
    <row r="18" spans="1:16" x14ac:dyDescent="0.25">
      <c r="A18" s="24">
        <v>1</v>
      </c>
      <c r="B18" s="3" t="s">
        <v>1</v>
      </c>
      <c r="C18" s="4" t="s">
        <v>53</v>
      </c>
      <c r="D18" s="32" t="s">
        <v>116</v>
      </c>
      <c r="E18" s="20" t="s">
        <v>1</v>
      </c>
      <c r="F18" s="20"/>
      <c r="G18" s="4" t="s">
        <v>54</v>
      </c>
      <c r="H18" s="32"/>
      <c r="I18" s="4" t="s">
        <v>55</v>
      </c>
      <c r="J18" s="4"/>
      <c r="K18" s="4" t="s">
        <v>56</v>
      </c>
      <c r="L18" s="4"/>
      <c r="M18" s="4" t="s">
        <v>57</v>
      </c>
      <c r="N18" s="4"/>
      <c r="O18" s="4">
        <v>4</v>
      </c>
      <c r="P18" s="4">
        <v>0.44259999999999999</v>
      </c>
    </row>
    <row r="19" spans="1:16" x14ac:dyDescent="0.25">
      <c r="A19" s="24">
        <v>2</v>
      </c>
      <c r="B19" s="3" t="s">
        <v>2</v>
      </c>
      <c r="C19" s="4" t="s">
        <v>58</v>
      </c>
      <c r="D19" s="32">
        <f>3.26*10^-1</f>
        <v>0.32600000000000001</v>
      </c>
      <c r="E19" s="4" t="s">
        <v>59</v>
      </c>
      <c r="F19" s="32">
        <v>0.4829</v>
      </c>
      <c r="G19" s="21" t="s">
        <v>2</v>
      </c>
      <c r="H19" s="21"/>
      <c r="I19" s="4" t="s">
        <v>7</v>
      </c>
      <c r="J19" s="4"/>
      <c r="K19" s="4" t="s">
        <v>7</v>
      </c>
      <c r="L19" s="4"/>
      <c r="M19" s="4" t="s">
        <v>7</v>
      </c>
      <c r="N19" s="4"/>
      <c r="O19" s="4">
        <v>2</v>
      </c>
      <c r="P19" s="4">
        <v>0.64670000000000005</v>
      </c>
    </row>
    <row r="20" spans="1:16" x14ac:dyDescent="0.25">
      <c r="A20" s="24">
        <v>3</v>
      </c>
      <c r="B20" s="3" t="s">
        <v>3</v>
      </c>
      <c r="C20" s="4" t="s">
        <v>60</v>
      </c>
      <c r="D20" s="32">
        <f>2.685*10^-2</f>
        <v>2.6850000000000002E-2</v>
      </c>
      <c r="E20" s="4" t="s">
        <v>55</v>
      </c>
      <c r="F20" s="32">
        <v>0.23300000000000001</v>
      </c>
      <c r="G20" s="4" t="s">
        <v>61</v>
      </c>
      <c r="H20" s="32">
        <v>0.1668</v>
      </c>
      <c r="I20" s="22" t="s">
        <v>3</v>
      </c>
      <c r="J20" s="22"/>
      <c r="K20" s="4" t="s">
        <v>7</v>
      </c>
      <c r="L20" s="4"/>
      <c r="M20" s="4" t="s">
        <v>7</v>
      </c>
      <c r="N20" s="4"/>
      <c r="O20" s="4">
        <v>6</v>
      </c>
      <c r="P20" s="4">
        <v>0.1154</v>
      </c>
    </row>
    <row r="21" spans="1:16" x14ac:dyDescent="0.25">
      <c r="A21" s="24">
        <v>4</v>
      </c>
      <c r="B21" s="3" t="s">
        <v>4</v>
      </c>
      <c r="C21" s="4" t="s">
        <v>62</v>
      </c>
      <c r="D21" s="32">
        <f>2.654*10^-1</f>
        <v>0.26540000000000002</v>
      </c>
      <c r="E21" s="4" t="s">
        <v>63</v>
      </c>
      <c r="F21" s="32">
        <v>1</v>
      </c>
      <c r="G21" s="4" t="s">
        <v>64</v>
      </c>
      <c r="H21" s="32">
        <v>0.69259999999999999</v>
      </c>
      <c r="I21" s="4" t="s">
        <v>65</v>
      </c>
      <c r="J21" s="4">
        <v>0.38569999999999999</v>
      </c>
      <c r="K21" s="23" t="s">
        <v>4</v>
      </c>
      <c r="L21" s="23"/>
      <c r="M21" s="4" t="s">
        <v>7</v>
      </c>
      <c r="N21" s="4"/>
      <c r="O21" s="4">
        <v>3</v>
      </c>
      <c r="P21" s="4">
        <v>0.4662</v>
      </c>
    </row>
    <row r="22" spans="1:16" x14ac:dyDescent="0.25">
      <c r="A22" s="25">
        <v>5</v>
      </c>
      <c r="B22" s="5" t="s">
        <v>5</v>
      </c>
      <c r="C22" s="6" t="s">
        <v>66</v>
      </c>
      <c r="D22" s="33">
        <f>3.6022*10^-2</f>
        <v>3.6021999999999998E-2</v>
      </c>
      <c r="E22" s="6" t="s">
        <v>57</v>
      </c>
      <c r="F22" s="33">
        <v>0.82050000000000001</v>
      </c>
      <c r="G22" s="6" t="s">
        <v>67</v>
      </c>
      <c r="H22" s="33">
        <v>0.4914</v>
      </c>
      <c r="I22" s="6" t="s">
        <v>68</v>
      </c>
      <c r="J22" s="6">
        <v>0.34060000000000001</v>
      </c>
      <c r="K22" s="6" t="s">
        <v>69</v>
      </c>
      <c r="L22" s="6">
        <v>0.91269999999999996</v>
      </c>
      <c r="M22" s="11" t="s">
        <v>5</v>
      </c>
      <c r="N22" s="11"/>
      <c r="O22" s="6">
        <v>5</v>
      </c>
      <c r="P22" s="6">
        <v>0.39610000000000001</v>
      </c>
    </row>
    <row r="24" spans="1:16" x14ac:dyDescent="0.25">
      <c r="A24" s="26" t="s">
        <v>11</v>
      </c>
      <c r="B24" s="1" t="s">
        <v>0</v>
      </c>
      <c r="C24" s="12" t="s">
        <v>0</v>
      </c>
      <c r="D24" s="13"/>
      <c r="E24" s="2" t="s">
        <v>70</v>
      </c>
      <c r="F24" s="35"/>
      <c r="G24" s="2" t="s">
        <v>71</v>
      </c>
      <c r="H24" s="35"/>
      <c r="I24" s="2" t="s">
        <v>7</v>
      </c>
      <c r="J24" s="2"/>
      <c r="K24" s="2"/>
      <c r="L24" s="2"/>
      <c r="M24" s="2" t="s">
        <v>7</v>
      </c>
      <c r="N24" s="2"/>
      <c r="O24" s="2">
        <v>1</v>
      </c>
      <c r="P24" s="2">
        <v>0.99960000000000004</v>
      </c>
    </row>
    <row r="25" spans="1:16" x14ac:dyDescent="0.25">
      <c r="A25" s="24">
        <v>1</v>
      </c>
      <c r="B25" s="3" t="s">
        <v>1</v>
      </c>
      <c r="C25" s="4" t="s">
        <v>72</v>
      </c>
      <c r="D25" s="32" t="s">
        <v>116</v>
      </c>
      <c r="E25" s="12" t="s">
        <v>1</v>
      </c>
      <c r="F25" s="13"/>
      <c r="G25" s="4" t="s">
        <v>73</v>
      </c>
      <c r="H25" s="32"/>
      <c r="I25" s="4" t="s">
        <v>74</v>
      </c>
      <c r="J25" s="4"/>
      <c r="K25" s="4"/>
      <c r="L25" s="4"/>
      <c r="M25" s="4" t="s">
        <v>75</v>
      </c>
      <c r="N25" s="4"/>
      <c r="O25" s="4">
        <v>2</v>
      </c>
      <c r="P25" s="4">
        <v>0.69230000000000003</v>
      </c>
    </row>
    <row r="26" spans="1:16" x14ac:dyDescent="0.25">
      <c r="A26" s="24">
        <v>2</v>
      </c>
      <c r="B26" s="3" t="s">
        <v>2</v>
      </c>
      <c r="C26" s="4" t="s">
        <v>76</v>
      </c>
      <c r="D26" s="32" t="s">
        <v>116</v>
      </c>
      <c r="E26" s="4" t="s">
        <v>77</v>
      </c>
      <c r="F26" s="32">
        <v>0.34399999999999997</v>
      </c>
      <c r="G26" s="14" t="s">
        <v>2</v>
      </c>
      <c r="H26" s="15"/>
      <c r="I26" s="4" t="s">
        <v>7</v>
      </c>
      <c r="J26" s="4"/>
      <c r="K26" s="4"/>
      <c r="L26" s="4"/>
      <c r="M26" s="4" t="s">
        <v>7</v>
      </c>
      <c r="N26" s="4"/>
      <c r="O26" s="4">
        <v>3</v>
      </c>
      <c r="P26" s="4">
        <v>0.48249999999999998</v>
      </c>
    </row>
    <row r="27" spans="1:16" x14ac:dyDescent="0.25">
      <c r="A27" s="24">
        <v>3</v>
      </c>
      <c r="B27" s="3" t="s">
        <v>3</v>
      </c>
      <c r="C27" s="4" t="s">
        <v>78</v>
      </c>
      <c r="D27" s="32">
        <v>1.2999999999999999E-3</v>
      </c>
      <c r="E27" s="4" t="s">
        <v>74</v>
      </c>
      <c r="F27" s="32">
        <v>0.1182</v>
      </c>
      <c r="G27" s="4" t="s">
        <v>79</v>
      </c>
      <c r="H27" s="32">
        <v>0.47810000000000002</v>
      </c>
      <c r="I27" s="16" t="s">
        <v>3</v>
      </c>
      <c r="J27" s="17"/>
      <c r="K27" s="4"/>
      <c r="L27" s="4"/>
      <c r="M27" s="4" t="s">
        <v>7</v>
      </c>
      <c r="N27" s="4"/>
      <c r="O27" s="4">
        <v>4</v>
      </c>
      <c r="P27" s="4">
        <v>0.3236</v>
      </c>
    </row>
    <row r="28" spans="1:16" x14ac:dyDescent="0.25">
      <c r="A28" s="24">
        <v>4</v>
      </c>
      <c r="B28" s="3" t="s">
        <v>4</v>
      </c>
      <c r="C28" s="4"/>
      <c r="D28" s="32"/>
      <c r="E28" s="4"/>
      <c r="F28" s="32"/>
      <c r="G28" s="4"/>
      <c r="H28" s="32"/>
      <c r="I28" s="4"/>
      <c r="J28" s="4"/>
      <c r="K28" s="18" t="s">
        <v>4</v>
      </c>
      <c r="L28" s="19"/>
      <c r="M28" s="4"/>
      <c r="N28" s="4"/>
      <c r="O28" s="4"/>
      <c r="P28" s="4"/>
    </row>
    <row r="29" spans="1:16" x14ac:dyDescent="0.25">
      <c r="A29" s="25">
        <v>5</v>
      </c>
      <c r="B29" s="5" t="s">
        <v>5</v>
      </c>
      <c r="C29" s="6" t="s">
        <v>80</v>
      </c>
      <c r="D29" s="33" t="s">
        <v>116</v>
      </c>
      <c r="E29" s="6" t="s">
        <v>75</v>
      </c>
      <c r="F29" s="33" t="s">
        <v>116</v>
      </c>
      <c r="G29" s="6" t="s">
        <v>81</v>
      </c>
      <c r="H29" s="33">
        <v>2E-3</v>
      </c>
      <c r="I29" s="6" t="s">
        <v>82</v>
      </c>
      <c r="J29" s="6">
        <v>1.38E-2</v>
      </c>
      <c r="K29" s="6"/>
      <c r="L29" s="6"/>
      <c r="M29" s="9" t="s">
        <v>5</v>
      </c>
      <c r="N29" s="10"/>
      <c r="O29" s="6">
        <v>5</v>
      </c>
      <c r="P29" s="6">
        <v>2E-3</v>
      </c>
    </row>
  </sheetData>
  <mergeCells count="39">
    <mergeCell ref="A3:A8"/>
    <mergeCell ref="A10:A15"/>
    <mergeCell ref="A17:A22"/>
    <mergeCell ref="A24:A29"/>
    <mergeCell ref="C1:M1"/>
    <mergeCell ref="A1:A2"/>
    <mergeCell ref="B1:B2"/>
    <mergeCell ref="C3:D3"/>
    <mergeCell ref="E4:F4"/>
    <mergeCell ref="G5:H5"/>
    <mergeCell ref="C2:D2"/>
    <mergeCell ref="E2:F2"/>
    <mergeCell ref="G2:H2"/>
    <mergeCell ref="I2:J2"/>
    <mergeCell ref="M2:N2"/>
    <mergeCell ref="K2:L2"/>
    <mergeCell ref="I6:J6"/>
    <mergeCell ref="K7:L7"/>
    <mergeCell ref="M8:N8"/>
    <mergeCell ref="O1:O2"/>
    <mergeCell ref="P1:P2"/>
    <mergeCell ref="K21:L21"/>
    <mergeCell ref="C10:D10"/>
    <mergeCell ref="E11:F11"/>
    <mergeCell ref="G12:H12"/>
    <mergeCell ref="I13:J13"/>
    <mergeCell ref="K14:L14"/>
    <mergeCell ref="M15:N15"/>
    <mergeCell ref="C17:D17"/>
    <mergeCell ref="E18:F18"/>
    <mergeCell ref="G19:H19"/>
    <mergeCell ref="I20:J20"/>
    <mergeCell ref="M29:N29"/>
    <mergeCell ref="M22:N22"/>
    <mergeCell ref="C24:D24"/>
    <mergeCell ref="E25:F25"/>
    <mergeCell ref="G26:H26"/>
    <mergeCell ref="I27:J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8C11-DDB2-4B17-97FF-C06651C68D54}">
  <dimension ref="A1:P43"/>
  <sheetViews>
    <sheetView tabSelected="1" zoomScale="86" workbookViewId="0">
      <pane xSplit="2" ySplit="2" topLeftCell="C14" activePane="bottomRight" state="frozen"/>
      <selection pane="topRight" activeCell="C1" sqref="C1"/>
      <selection pane="bottomLeft" activeCell="A3" sqref="A3"/>
      <selection pane="bottomRight" activeCell="F34" sqref="F34"/>
    </sheetView>
  </sheetViews>
  <sheetFormatPr defaultColWidth="31.6328125" defaultRowHeight="11.5" x14ac:dyDescent="0.25"/>
  <cols>
    <col min="1" max="1" width="18.1796875" style="7" customWidth="1"/>
    <col min="2" max="2" width="8.26953125" style="7" bestFit="1" customWidth="1"/>
    <col min="3" max="3" width="16.1796875" style="7" customWidth="1"/>
    <col min="4" max="4" width="6.1796875" style="7" bestFit="1" customWidth="1"/>
    <col min="5" max="5" width="15.36328125" style="7" bestFit="1" customWidth="1"/>
    <col min="6" max="6" width="6" style="7" customWidth="1"/>
    <col min="7" max="7" width="17.08984375" style="7" bestFit="1" customWidth="1"/>
    <col min="8" max="8" width="6.7265625" style="7" customWidth="1"/>
    <col min="9" max="9" width="15.81640625" style="7" bestFit="1" customWidth="1"/>
    <col min="10" max="10" width="6.1796875" style="7" customWidth="1"/>
    <col min="11" max="11" width="15.81640625" style="7" bestFit="1" customWidth="1"/>
    <col min="12" max="12" width="6.7265625" style="7" customWidth="1"/>
    <col min="13" max="13" width="15.453125" style="7" bestFit="1" customWidth="1"/>
    <col min="14" max="14" width="15.453125" style="7" customWidth="1"/>
    <col min="15" max="15" width="4.36328125" style="7" bestFit="1" customWidth="1"/>
    <col min="16" max="16" width="6.54296875" style="7" bestFit="1" customWidth="1"/>
    <col min="17" max="16384" width="31.6328125" style="7"/>
  </cols>
  <sheetData>
    <row r="1" spans="1:16" ht="14.5" customHeight="1" x14ac:dyDescent="0.25">
      <c r="A1" s="29" t="s">
        <v>18</v>
      </c>
      <c r="B1" s="24" t="s">
        <v>19</v>
      </c>
      <c r="C1" s="42" t="s">
        <v>170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24" t="s">
        <v>17</v>
      </c>
      <c r="P1" s="24" t="s">
        <v>6</v>
      </c>
    </row>
    <row r="2" spans="1:16" x14ac:dyDescent="0.25">
      <c r="A2" s="30"/>
      <c r="B2" s="25"/>
      <c r="C2" s="26" t="s">
        <v>0</v>
      </c>
      <c r="D2" s="26"/>
      <c r="E2" s="27" t="s">
        <v>1</v>
      </c>
      <c r="F2" s="27"/>
      <c r="G2" s="27" t="s">
        <v>2</v>
      </c>
      <c r="H2" s="27"/>
      <c r="I2" s="27" t="s">
        <v>3</v>
      </c>
      <c r="J2" s="27"/>
      <c r="K2" s="27" t="s">
        <v>4</v>
      </c>
      <c r="L2" s="27"/>
      <c r="M2" s="25" t="s">
        <v>5</v>
      </c>
      <c r="N2" s="25"/>
      <c r="O2" s="25"/>
      <c r="P2" s="25"/>
    </row>
    <row r="3" spans="1:16" x14ac:dyDescent="0.25">
      <c r="A3" s="26" t="s">
        <v>12</v>
      </c>
      <c r="B3" s="1" t="s">
        <v>0</v>
      </c>
      <c r="C3" s="20" t="s">
        <v>0</v>
      </c>
      <c r="D3" s="20"/>
      <c r="E3" s="2"/>
      <c r="F3" s="2"/>
      <c r="G3" s="2"/>
      <c r="H3" s="2"/>
      <c r="I3" s="2" t="s">
        <v>7</v>
      </c>
      <c r="J3" s="2"/>
      <c r="K3" s="2" t="s">
        <v>7</v>
      </c>
      <c r="L3" s="2"/>
      <c r="M3" s="2" t="s">
        <v>7</v>
      </c>
      <c r="N3" s="2"/>
      <c r="O3" s="2">
        <v>1</v>
      </c>
      <c r="P3" s="2">
        <v>0.9345</v>
      </c>
    </row>
    <row r="4" spans="1:16" x14ac:dyDescent="0.25">
      <c r="A4" s="31">
        <v>1</v>
      </c>
      <c r="B4" s="3" t="s">
        <v>1</v>
      </c>
      <c r="C4" s="4" t="s">
        <v>117</v>
      </c>
      <c r="D4" s="4">
        <v>1.1000000000000001E-3</v>
      </c>
      <c r="E4" s="20" t="s">
        <v>1</v>
      </c>
      <c r="F4" s="20"/>
      <c r="G4" s="4"/>
      <c r="H4" s="4"/>
      <c r="I4" s="4"/>
      <c r="J4" s="4"/>
      <c r="K4" s="4"/>
      <c r="L4" s="4"/>
      <c r="M4" s="4"/>
      <c r="N4" s="4"/>
      <c r="O4" s="4">
        <v>2</v>
      </c>
      <c r="P4" s="4">
        <v>0.69850000000000001</v>
      </c>
    </row>
    <row r="5" spans="1:16" x14ac:dyDescent="0.25">
      <c r="A5" s="31">
        <v>2</v>
      </c>
      <c r="B5" s="3" t="s">
        <v>2</v>
      </c>
      <c r="C5" s="4" t="s">
        <v>118</v>
      </c>
      <c r="D5" s="4">
        <v>0.46960000000000002</v>
      </c>
      <c r="E5" s="4" t="s">
        <v>122</v>
      </c>
      <c r="F5" s="32">
        <v>0.58099999999999996</v>
      </c>
      <c r="G5" s="21" t="s">
        <v>2</v>
      </c>
      <c r="H5" s="21"/>
      <c r="I5" s="4" t="s">
        <v>7</v>
      </c>
      <c r="J5" s="4"/>
      <c r="K5" s="4" t="s">
        <v>7</v>
      </c>
      <c r="L5" s="4"/>
      <c r="M5" s="4" t="s">
        <v>7</v>
      </c>
      <c r="N5" s="4"/>
      <c r="O5" s="4">
        <v>6</v>
      </c>
      <c r="P5" s="4">
        <v>4.41E-2</v>
      </c>
    </row>
    <row r="6" spans="1:16" x14ac:dyDescent="0.25">
      <c r="A6" s="31">
        <v>3</v>
      </c>
      <c r="B6" s="3" t="s">
        <v>3</v>
      </c>
      <c r="C6" s="4" t="s">
        <v>119</v>
      </c>
      <c r="D6" s="4">
        <v>0.3221</v>
      </c>
      <c r="E6" s="4" t="s">
        <v>123</v>
      </c>
      <c r="F6" s="4">
        <v>0.99460000000000004</v>
      </c>
      <c r="G6" s="4" t="s">
        <v>126</v>
      </c>
      <c r="H6" s="4">
        <v>0.73350000000000004</v>
      </c>
      <c r="I6" s="22" t="s">
        <v>3</v>
      </c>
      <c r="J6" s="22"/>
      <c r="K6" s="4" t="s">
        <v>7</v>
      </c>
      <c r="L6" s="4"/>
      <c r="M6" s="4" t="s">
        <v>7</v>
      </c>
      <c r="N6" s="4"/>
      <c r="O6" s="4">
        <v>5</v>
      </c>
      <c r="P6" s="4">
        <v>0.35909999999999997</v>
      </c>
    </row>
    <row r="7" spans="1:16" x14ac:dyDescent="0.25">
      <c r="A7" s="31">
        <v>4</v>
      </c>
      <c r="B7" s="3" t="s">
        <v>4</v>
      </c>
      <c r="C7" s="4" t="s">
        <v>120</v>
      </c>
      <c r="D7" s="4">
        <v>3.1910000000000001E-2</v>
      </c>
      <c r="E7" s="4" t="s">
        <v>124</v>
      </c>
      <c r="F7" s="4">
        <v>0.18490000000000001</v>
      </c>
      <c r="G7" s="4" t="s">
        <v>127</v>
      </c>
      <c r="H7" s="4">
        <v>0.16059999999999999</v>
      </c>
      <c r="I7" s="4" t="s">
        <v>129</v>
      </c>
      <c r="J7" s="32">
        <v>0.31259999999999999</v>
      </c>
      <c r="K7" s="23" t="s">
        <v>4</v>
      </c>
      <c r="L7" s="23"/>
      <c r="M7" s="4" t="s">
        <v>7</v>
      </c>
      <c r="N7" s="4"/>
      <c r="O7" s="4">
        <v>3</v>
      </c>
      <c r="P7" s="4">
        <v>0.55940000000000001</v>
      </c>
    </row>
    <row r="8" spans="1:16" x14ac:dyDescent="0.25">
      <c r="A8" s="25">
        <v>5</v>
      </c>
      <c r="B8" s="5" t="s">
        <v>5</v>
      </c>
      <c r="C8" s="6" t="s">
        <v>121</v>
      </c>
      <c r="D8" s="6">
        <v>8.2000000000000007E-3</v>
      </c>
      <c r="E8" s="6" t="s">
        <v>125</v>
      </c>
      <c r="F8" s="6">
        <v>0.20910000000000001</v>
      </c>
      <c r="G8" s="6" t="s">
        <v>128</v>
      </c>
      <c r="H8" s="6">
        <v>0.2329</v>
      </c>
      <c r="I8" s="6" t="s">
        <v>130</v>
      </c>
      <c r="J8" s="33">
        <v>0.51259999999999994</v>
      </c>
      <c r="K8" s="6" t="s">
        <v>131</v>
      </c>
      <c r="L8" s="33">
        <v>0.54949999999999999</v>
      </c>
      <c r="M8" s="11" t="s">
        <v>5</v>
      </c>
      <c r="N8" s="11"/>
      <c r="O8" s="6">
        <v>4</v>
      </c>
      <c r="P8" s="6">
        <v>0.40439999999999998</v>
      </c>
    </row>
    <row r="10" spans="1:16" x14ac:dyDescent="0.25">
      <c r="A10" s="26" t="s">
        <v>13</v>
      </c>
      <c r="B10" s="1" t="s">
        <v>0</v>
      </c>
      <c r="C10" s="20" t="s">
        <v>0</v>
      </c>
      <c r="D10" s="20"/>
      <c r="E10" s="2"/>
      <c r="F10" s="2"/>
      <c r="G10" s="2"/>
      <c r="H10" s="2"/>
      <c r="I10" s="2" t="s">
        <v>7</v>
      </c>
      <c r="J10" s="2"/>
      <c r="K10" s="2" t="s">
        <v>7</v>
      </c>
      <c r="L10" s="2"/>
      <c r="M10" s="2" t="s">
        <v>7</v>
      </c>
      <c r="N10" s="2"/>
      <c r="O10" s="2">
        <v>1</v>
      </c>
      <c r="P10" s="2">
        <v>0.95550000000000002</v>
      </c>
    </row>
    <row r="11" spans="1:16" x14ac:dyDescent="0.25">
      <c r="A11" s="31">
        <v>1</v>
      </c>
      <c r="B11" s="3" t="s">
        <v>1</v>
      </c>
      <c r="C11" s="4" t="s">
        <v>132</v>
      </c>
      <c r="D11" s="4">
        <v>0.9476</v>
      </c>
      <c r="E11" s="20" t="s">
        <v>1</v>
      </c>
      <c r="F11" s="20"/>
      <c r="G11" s="4"/>
      <c r="H11" s="4"/>
      <c r="I11" s="4"/>
      <c r="J11" s="4"/>
      <c r="K11" s="4"/>
      <c r="L11" s="4"/>
      <c r="M11" s="4"/>
      <c r="N11" s="4"/>
      <c r="O11" s="4">
        <v>2</v>
      </c>
      <c r="P11" s="4">
        <v>0.63319999999999999</v>
      </c>
    </row>
    <row r="12" spans="1:16" x14ac:dyDescent="0.25">
      <c r="A12" s="31">
        <v>2</v>
      </c>
      <c r="B12" s="3" t="s">
        <v>2</v>
      </c>
      <c r="C12" s="4" t="s">
        <v>133</v>
      </c>
      <c r="D12" s="4">
        <v>0.3463</v>
      </c>
      <c r="E12" s="4" t="s">
        <v>137</v>
      </c>
      <c r="F12" s="4">
        <v>0.377</v>
      </c>
      <c r="G12" s="21" t="s">
        <v>2</v>
      </c>
      <c r="H12" s="21"/>
      <c r="I12" s="4" t="s">
        <v>7</v>
      </c>
      <c r="J12" s="4"/>
      <c r="K12" s="4" t="s">
        <v>7</v>
      </c>
      <c r="L12" s="4"/>
      <c r="M12" s="4" t="s">
        <v>7</v>
      </c>
      <c r="N12" s="4"/>
      <c r="O12" s="4">
        <v>4</v>
      </c>
      <c r="P12" s="4">
        <v>0.47620000000000001</v>
      </c>
    </row>
    <row r="13" spans="1:16" x14ac:dyDescent="0.25">
      <c r="A13" s="31">
        <v>3</v>
      </c>
      <c r="B13" s="3" t="s">
        <v>3</v>
      </c>
      <c r="C13" s="4" t="s">
        <v>134</v>
      </c>
      <c r="D13" s="4">
        <v>0.56659999999999999</v>
      </c>
      <c r="E13" s="4" t="s">
        <v>138</v>
      </c>
      <c r="F13" s="4">
        <v>0.52410000000000001</v>
      </c>
      <c r="G13" s="4" t="s">
        <v>141</v>
      </c>
      <c r="H13" s="4">
        <v>0.2868</v>
      </c>
      <c r="I13" s="22" t="s">
        <v>3</v>
      </c>
      <c r="J13" s="22"/>
      <c r="K13" s="4" t="s">
        <v>7</v>
      </c>
      <c r="L13" s="4"/>
      <c r="M13" s="4" t="s">
        <v>7</v>
      </c>
      <c r="N13" s="4"/>
      <c r="O13" s="4">
        <v>6</v>
      </c>
      <c r="P13" s="4">
        <v>0.1512</v>
      </c>
    </row>
    <row r="14" spans="1:16" x14ac:dyDescent="0.25">
      <c r="A14" s="31">
        <v>4</v>
      </c>
      <c r="B14" s="3" t="s">
        <v>4</v>
      </c>
      <c r="C14" s="4" t="s">
        <v>135</v>
      </c>
      <c r="D14" s="4">
        <v>0.35270000000000001</v>
      </c>
      <c r="E14" s="4" t="s">
        <v>139</v>
      </c>
      <c r="F14" s="4">
        <v>0.34810000000000002</v>
      </c>
      <c r="G14" s="4" t="s">
        <v>142</v>
      </c>
      <c r="H14" s="4">
        <v>0.74539999999999995</v>
      </c>
      <c r="I14" s="4" t="s">
        <v>144</v>
      </c>
      <c r="J14" s="32">
        <v>0.25679999999999997</v>
      </c>
      <c r="K14" s="23" t="s">
        <v>4</v>
      </c>
      <c r="L14" s="23"/>
      <c r="M14" s="4" t="s">
        <v>7</v>
      </c>
      <c r="N14" s="4"/>
      <c r="O14" s="4">
        <v>3</v>
      </c>
      <c r="P14" s="4">
        <v>0.50780000000000003</v>
      </c>
    </row>
    <row r="15" spans="1:16" x14ac:dyDescent="0.25">
      <c r="A15" s="25">
        <v>5</v>
      </c>
      <c r="B15" s="5" t="s">
        <v>5</v>
      </c>
      <c r="C15" s="6" t="s">
        <v>136</v>
      </c>
      <c r="D15" s="6">
        <v>0.70469999999999999</v>
      </c>
      <c r="E15" s="6" t="s">
        <v>140</v>
      </c>
      <c r="F15" s="6">
        <v>0.7077</v>
      </c>
      <c r="G15" s="6" t="s">
        <v>143</v>
      </c>
      <c r="H15" s="6">
        <v>0.74550000000000005</v>
      </c>
      <c r="I15" s="6" t="s">
        <v>145</v>
      </c>
      <c r="J15" s="33">
        <v>0.47299999999999998</v>
      </c>
      <c r="K15" s="6" t="s">
        <v>146</v>
      </c>
      <c r="L15" s="33">
        <v>0.57169999999999999</v>
      </c>
      <c r="M15" s="11" t="s">
        <v>5</v>
      </c>
      <c r="N15" s="11"/>
      <c r="O15" s="6">
        <v>5</v>
      </c>
      <c r="P15" s="6">
        <v>0.27610000000000001</v>
      </c>
    </row>
    <row r="17" spans="1:16" x14ac:dyDescent="0.25">
      <c r="A17" s="26" t="s">
        <v>14</v>
      </c>
      <c r="B17" s="1" t="s">
        <v>0</v>
      </c>
      <c r="C17" s="20" t="s">
        <v>0</v>
      </c>
      <c r="D17" s="20"/>
      <c r="E17" s="2"/>
      <c r="F17" s="2"/>
      <c r="G17" s="2"/>
      <c r="H17" s="2"/>
      <c r="I17" s="2" t="s">
        <v>7</v>
      </c>
      <c r="J17" s="2"/>
      <c r="K17" s="2" t="s">
        <v>7</v>
      </c>
      <c r="L17" s="2"/>
      <c r="M17" s="2" t="s">
        <v>7</v>
      </c>
      <c r="N17" s="2"/>
      <c r="O17" s="2">
        <v>1</v>
      </c>
      <c r="P17" s="2">
        <v>0.99829999999999997</v>
      </c>
    </row>
    <row r="18" spans="1:16" x14ac:dyDescent="0.25">
      <c r="A18" s="31"/>
      <c r="B18" s="3" t="s">
        <v>1</v>
      </c>
      <c r="C18" s="4" t="s">
        <v>147</v>
      </c>
      <c r="D18" s="4">
        <v>6.7400000000000002E-2</v>
      </c>
      <c r="E18" s="20" t="s">
        <v>1</v>
      </c>
      <c r="F18" s="20"/>
      <c r="G18" s="4"/>
      <c r="H18" s="4"/>
      <c r="I18" s="4"/>
      <c r="J18" s="4"/>
      <c r="K18" s="4"/>
      <c r="L18" s="4"/>
      <c r="M18" s="4"/>
      <c r="N18" s="4"/>
      <c r="O18" s="4">
        <v>2</v>
      </c>
      <c r="P18" s="4">
        <v>0.7228</v>
      </c>
    </row>
    <row r="19" spans="1:16" x14ac:dyDescent="0.25">
      <c r="A19" s="31"/>
      <c r="B19" s="3" t="s">
        <v>2</v>
      </c>
      <c r="C19" s="4"/>
      <c r="D19" s="4"/>
      <c r="E19" s="4"/>
      <c r="F19" s="4"/>
      <c r="G19" s="21" t="s">
        <v>2</v>
      </c>
      <c r="H19" s="21"/>
      <c r="I19" s="4"/>
      <c r="J19" s="4"/>
      <c r="K19" s="4"/>
      <c r="L19" s="4"/>
      <c r="M19" s="4"/>
      <c r="N19" s="4"/>
      <c r="O19" s="4"/>
      <c r="P19" s="4"/>
    </row>
    <row r="20" spans="1:16" x14ac:dyDescent="0.25">
      <c r="A20" s="31"/>
      <c r="B20" s="3" t="s">
        <v>3</v>
      </c>
      <c r="C20" s="4" t="s">
        <v>148</v>
      </c>
      <c r="D20" s="4">
        <v>0.99199999999999999</v>
      </c>
      <c r="E20" s="4" t="s">
        <v>151</v>
      </c>
      <c r="F20" s="4">
        <v>0.70620000000000005</v>
      </c>
      <c r="G20" s="4"/>
      <c r="H20" s="4"/>
      <c r="I20" s="22" t="s">
        <v>3</v>
      </c>
      <c r="J20" s="22"/>
      <c r="K20" s="4" t="s">
        <v>7</v>
      </c>
      <c r="L20" s="4"/>
      <c r="M20" s="4" t="s">
        <v>7</v>
      </c>
      <c r="N20" s="4"/>
      <c r="O20" s="4">
        <v>5</v>
      </c>
      <c r="P20" s="4">
        <v>0.14610000000000001</v>
      </c>
    </row>
    <row r="21" spans="1:16" x14ac:dyDescent="0.25">
      <c r="A21" s="31"/>
      <c r="B21" s="3" t="s">
        <v>4</v>
      </c>
      <c r="C21" s="4" t="s">
        <v>149</v>
      </c>
      <c r="D21" s="4">
        <v>0.60199999999999998</v>
      </c>
      <c r="E21" s="4" t="s">
        <v>152</v>
      </c>
      <c r="F21" s="4">
        <v>0.96209999999999996</v>
      </c>
      <c r="G21" s="4"/>
      <c r="H21" s="4"/>
      <c r="I21" s="4" t="s">
        <v>154</v>
      </c>
      <c r="J21" s="4">
        <v>0.74470000000000003</v>
      </c>
      <c r="K21" s="23" t="s">
        <v>4</v>
      </c>
      <c r="L21" s="23"/>
      <c r="M21" s="4" t="s">
        <v>7</v>
      </c>
      <c r="N21" s="4"/>
      <c r="O21" s="4">
        <v>4</v>
      </c>
      <c r="P21" s="4">
        <v>0.28539999999999999</v>
      </c>
    </row>
    <row r="22" spans="1:16" x14ac:dyDescent="0.25">
      <c r="A22" s="25"/>
      <c r="B22" s="5" t="s">
        <v>5</v>
      </c>
      <c r="C22" s="6" t="s">
        <v>150</v>
      </c>
      <c r="D22" s="6">
        <v>0.10340000000000001</v>
      </c>
      <c r="E22" s="6" t="s">
        <v>153</v>
      </c>
      <c r="F22" s="33">
        <v>0.33700000000000002</v>
      </c>
      <c r="G22" s="6"/>
      <c r="H22" s="6"/>
      <c r="I22" s="6" t="s">
        <v>155</v>
      </c>
      <c r="J22" s="6">
        <v>0.45429999999999998</v>
      </c>
      <c r="K22" s="6" t="s">
        <v>156</v>
      </c>
      <c r="L22" s="6">
        <v>0.65239999999999998</v>
      </c>
      <c r="M22" s="11" t="s">
        <v>5</v>
      </c>
      <c r="N22" s="11"/>
      <c r="O22" s="6">
        <v>3</v>
      </c>
      <c r="P22" s="6">
        <v>0.34739999999999999</v>
      </c>
    </row>
    <row r="24" spans="1:16" x14ac:dyDescent="0.25">
      <c r="A24" s="26" t="s">
        <v>15</v>
      </c>
      <c r="B24" s="1" t="s">
        <v>0</v>
      </c>
      <c r="C24" s="12" t="s">
        <v>0</v>
      </c>
      <c r="D24" s="13"/>
      <c r="E24" s="2"/>
      <c r="F24" s="2"/>
      <c r="G24" s="2"/>
      <c r="H24" s="2"/>
      <c r="I24" s="2" t="s">
        <v>7</v>
      </c>
      <c r="J24" s="2"/>
      <c r="K24" s="2" t="s">
        <v>7</v>
      </c>
      <c r="L24" s="2"/>
      <c r="M24" s="2" t="s">
        <v>7</v>
      </c>
      <c r="N24" s="2"/>
      <c r="O24" s="2">
        <v>1</v>
      </c>
      <c r="P24" s="2">
        <v>0.98980000000000001</v>
      </c>
    </row>
    <row r="25" spans="1:16" x14ac:dyDescent="0.25">
      <c r="A25" s="31">
        <v>1</v>
      </c>
      <c r="B25" s="3" t="s">
        <v>1</v>
      </c>
      <c r="C25" s="4" t="s">
        <v>157</v>
      </c>
      <c r="D25" s="4">
        <v>0.45429999999999998</v>
      </c>
      <c r="E25" s="12" t="s">
        <v>1</v>
      </c>
      <c r="F25" s="13"/>
      <c r="G25" s="4"/>
      <c r="H25" s="4"/>
      <c r="I25" s="4"/>
      <c r="J25" s="4"/>
      <c r="K25" s="4"/>
      <c r="L25" s="4"/>
      <c r="M25" s="4"/>
      <c r="N25" s="4"/>
      <c r="O25" s="4">
        <v>2</v>
      </c>
      <c r="P25" s="4">
        <v>0.60470000000000002</v>
      </c>
    </row>
    <row r="26" spans="1:16" x14ac:dyDescent="0.25">
      <c r="A26" s="31">
        <v>2</v>
      </c>
      <c r="B26" s="3" t="s">
        <v>2</v>
      </c>
      <c r="C26" s="4"/>
      <c r="D26" s="4"/>
      <c r="E26" s="4"/>
      <c r="F26" s="4"/>
      <c r="G26" s="14" t="s">
        <v>2</v>
      </c>
      <c r="H26" s="15"/>
      <c r="I26" s="4"/>
      <c r="J26" s="4"/>
      <c r="K26" s="4"/>
      <c r="L26" s="4"/>
      <c r="M26" s="4"/>
      <c r="N26" s="4"/>
      <c r="O26" s="4"/>
      <c r="P26" s="4"/>
    </row>
    <row r="27" spans="1:16" x14ac:dyDescent="0.25">
      <c r="A27" s="31">
        <v>3</v>
      </c>
      <c r="B27" s="3" t="s">
        <v>3</v>
      </c>
      <c r="C27" s="4" t="s">
        <v>158</v>
      </c>
      <c r="D27" s="4">
        <v>0.51590000000000003</v>
      </c>
      <c r="E27" s="4" t="s">
        <v>161</v>
      </c>
      <c r="F27" s="4">
        <v>0.66490000000000005</v>
      </c>
      <c r="G27" s="4"/>
      <c r="H27" s="4"/>
      <c r="I27" s="16" t="s">
        <v>3</v>
      </c>
      <c r="J27" s="17"/>
      <c r="K27" s="4" t="s">
        <v>7</v>
      </c>
      <c r="L27" s="4"/>
      <c r="M27" s="4" t="s">
        <v>7</v>
      </c>
      <c r="N27" s="4"/>
      <c r="O27" s="4">
        <v>5</v>
      </c>
      <c r="P27" s="4">
        <v>0.12690000000000001</v>
      </c>
    </row>
    <row r="28" spans="1:16" x14ac:dyDescent="0.25">
      <c r="A28" s="31">
        <v>4</v>
      </c>
      <c r="B28" s="3" t="s">
        <v>4</v>
      </c>
      <c r="C28" s="4" t="s">
        <v>159</v>
      </c>
      <c r="D28" s="4">
        <v>0.4909</v>
      </c>
      <c r="E28" s="4" t="s">
        <v>162</v>
      </c>
      <c r="F28" s="4">
        <v>0.34810000000000002</v>
      </c>
      <c r="G28" s="4"/>
      <c r="H28" s="4"/>
      <c r="I28" s="4" t="s">
        <v>164</v>
      </c>
      <c r="J28" s="4">
        <v>0.32129999999999997</v>
      </c>
      <c r="K28" s="18" t="s">
        <v>4</v>
      </c>
      <c r="L28" s="19"/>
      <c r="M28" s="4" t="s">
        <v>7</v>
      </c>
      <c r="N28" s="4"/>
      <c r="O28" s="4">
        <v>3</v>
      </c>
      <c r="P28" s="4">
        <v>0.43559999999999999</v>
      </c>
    </row>
    <row r="29" spans="1:16" x14ac:dyDescent="0.25">
      <c r="A29" s="25">
        <v>5</v>
      </c>
      <c r="B29" s="5" t="s">
        <v>5</v>
      </c>
      <c r="C29" s="6" t="s">
        <v>160</v>
      </c>
      <c r="D29" s="4">
        <v>0.59189999999999998</v>
      </c>
      <c r="E29" s="6" t="s">
        <v>163</v>
      </c>
      <c r="F29" s="6">
        <v>0.28910000000000002</v>
      </c>
      <c r="G29" s="6"/>
      <c r="H29" s="6"/>
      <c r="I29" s="6" t="s">
        <v>165</v>
      </c>
      <c r="J29" s="6">
        <v>0.36580000000000001</v>
      </c>
      <c r="K29" s="6" t="s">
        <v>166</v>
      </c>
      <c r="L29" s="6">
        <v>0.7167</v>
      </c>
      <c r="M29" s="9" t="s">
        <v>5</v>
      </c>
      <c r="N29" s="10"/>
      <c r="O29" s="6">
        <v>4</v>
      </c>
      <c r="P29" s="6">
        <v>0.34289999999999998</v>
      </c>
    </row>
    <row r="30" spans="1:16" x14ac:dyDescent="0.25">
      <c r="M30" s="2"/>
      <c r="N30" s="2"/>
    </row>
    <row r="31" spans="1:16" x14ac:dyDescent="0.25">
      <c r="A31" s="26" t="s">
        <v>16</v>
      </c>
      <c r="B31" s="1" t="s">
        <v>0</v>
      </c>
      <c r="C31" s="12" t="s">
        <v>0</v>
      </c>
      <c r="D31" s="13"/>
      <c r="E31" s="2"/>
      <c r="F31" s="2"/>
      <c r="G31" s="2" t="s">
        <v>7</v>
      </c>
      <c r="H31" s="2"/>
      <c r="I31" s="2"/>
      <c r="J31" s="2"/>
      <c r="K31" s="2"/>
      <c r="L31" s="2"/>
      <c r="M31" s="2"/>
      <c r="N31" s="2"/>
      <c r="O31" s="2">
        <v>1</v>
      </c>
      <c r="P31" s="2">
        <v>0.99429999999999996</v>
      </c>
    </row>
    <row r="32" spans="1:16" x14ac:dyDescent="0.25">
      <c r="A32" s="31"/>
      <c r="B32" s="3" t="s">
        <v>1</v>
      </c>
      <c r="C32" s="4" t="s">
        <v>167</v>
      </c>
      <c r="D32" s="4">
        <v>0.30249999999999999</v>
      </c>
      <c r="E32" s="12" t="s">
        <v>1</v>
      </c>
      <c r="F32" s="13"/>
      <c r="G32" s="4"/>
      <c r="H32" s="4"/>
      <c r="I32" s="4"/>
      <c r="J32" s="4"/>
      <c r="K32" s="4"/>
      <c r="L32" s="4"/>
      <c r="M32" s="4"/>
      <c r="N32" s="4"/>
      <c r="O32" s="4">
        <v>2</v>
      </c>
      <c r="P32" s="4">
        <v>0.47839999999999999</v>
      </c>
    </row>
    <row r="33" spans="1:16" x14ac:dyDescent="0.25">
      <c r="A33" s="31"/>
      <c r="B33" s="3" t="s">
        <v>2</v>
      </c>
      <c r="C33" s="4" t="s">
        <v>168</v>
      </c>
      <c r="D33" s="4">
        <v>0.61170000000000002</v>
      </c>
      <c r="E33" s="4" t="s">
        <v>169</v>
      </c>
      <c r="F33" s="4">
        <v>0.52880000000000005</v>
      </c>
      <c r="G33" s="14" t="s">
        <v>2</v>
      </c>
      <c r="H33" s="15"/>
      <c r="I33" s="4"/>
      <c r="J33" s="4"/>
      <c r="K33" s="4"/>
      <c r="L33" s="4"/>
      <c r="M33" s="4"/>
      <c r="N33" s="4"/>
      <c r="O33" s="4">
        <v>3</v>
      </c>
      <c r="P33" s="4">
        <v>2.7300000000000001E-2</v>
      </c>
    </row>
    <row r="34" spans="1:16" x14ac:dyDescent="0.25">
      <c r="A34" s="31"/>
      <c r="B34" s="3" t="s">
        <v>3</v>
      </c>
      <c r="C34" s="4"/>
      <c r="D34" s="4"/>
      <c r="E34" s="4"/>
      <c r="F34" s="4"/>
      <c r="G34" s="4"/>
      <c r="H34" s="4"/>
      <c r="I34" s="16" t="s">
        <v>3</v>
      </c>
      <c r="J34" s="17"/>
      <c r="K34" s="4"/>
      <c r="L34" s="4"/>
      <c r="M34" s="4"/>
      <c r="N34" s="4"/>
      <c r="O34" s="4"/>
      <c r="P34" s="4"/>
    </row>
    <row r="35" spans="1:16" x14ac:dyDescent="0.25">
      <c r="A35" s="31"/>
      <c r="B35" s="3" t="s">
        <v>4</v>
      </c>
      <c r="C35" s="4"/>
      <c r="D35" s="4"/>
      <c r="E35" s="4"/>
      <c r="F35" s="4"/>
      <c r="G35" s="4"/>
      <c r="H35" s="4"/>
      <c r="I35" s="4"/>
      <c r="J35" s="4"/>
      <c r="K35" s="18" t="s">
        <v>4</v>
      </c>
      <c r="L35" s="19"/>
      <c r="M35" s="4"/>
      <c r="N35" s="4"/>
      <c r="O35" s="4"/>
      <c r="P35" s="4"/>
    </row>
    <row r="36" spans="1:16" x14ac:dyDescent="0.25">
      <c r="A36" s="25"/>
      <c r="B36" s="5" t="s">
        <v>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9" t="s">
        <v>5</v>
      </c>
      <c r="N36" s="10"/>
      <c r="O36" s="6"/>
      <c r="P36" s="6"/>
    </row>
    <row r="39" spans="1:16" x14ac:dyDescent="0.25">
      <c r="C39" s="41"/>
    </row>
    <row r="40" spans="1:16" x14ac:dyDescent="0.25">
      <c r="C40" s="41"/>
    </row>
    <row r="41" spans="1:16" x14ac:dyDescent="0.25">
      <c r="C41" s="41"/>
    </row>
    <row r="42" spans="1:16" x14ac:dyDescent="0.25">
      <c r="C42" s="41"/>
    </row>
    <row r="43" spans="1:16" x14ac:dyDescent="0.25">
      <c r="C43" s="41"/>
    </row>
  </sheetData>
  <mergeCells count="46">
    <mergeCell ref="A1:A2"/>
    <mergeCell ref="B1:B2"/>
    <mergeCell ref="A31:A36"/>
    <mergeCell ref="C31:D31"/>
    <mergeCell ref="E32:F32"/>
    <mergeCell ref="G33:H33"/>
    <mergeCell ref="I34:J34"/>
    <mergeCell ref="K35:L35"/>
    <mergeCell ref="C1:N1"/>
    <mergeCell ref="A17:A22"/>
    <mergeCell ref="A10:A15"/>
    <mergeCell ref="A3:A8"/>
    <mergeCell ref="A24:A29"/>
    <mergeCell ref="M36:N36"/>
    <mergeCell ref="C3:D3"/>
    <mergeCell ref="E4:F4"/>
    <mergeCell ref="G5:H5"/>
    <mergeCell ref="O1:O2"/>
    <mergeCell ref="P1:P2"/>
    <mergeCell ref="G19:H19"/>
    <mergeCell ref="I6:J6"/>
    <mergeCell ref="K7:L7"/>
    <mergeCell ref="M8:N8"/>
    <mergeCell ref="C10:D10"/>
    <mergeCell ref="E11:F11"/>
    <mergeCell ref="G12:H12"/>
    <mergeCell ref="I13:J13"/>
    <mergeCell ref="K14:L14"/>
    <mergeCell ref="M15:N15"/>
    <mergeCell ref="C17:D17"/>
    <mergeCell ref="E18:F18"/>
    <mergeCell ref="K21:L21"/>
    <mergeCell ref="M22:N22"/>
    <mergeCell ref="C24:D24"/>
    <mergeCell ref="E25:F25"/>
    <mergeCell ref="G26:H26"/>
    <mergeCell ref="C2:D2"/>
    <mergeCell ref="E2:F2"/>
    <mergeCell ref="G2:H2"/>
    <mergeCell ref="I2:J2"/>
    <mergeCell ref="K2:L2"/>
    <mergeCell ref="M2:N2"/>
    <mergeCell ref="I27:J27"/>
    <mergeCell ref="K28:L28"/>
    <mergeCell ref="M29:N29"/>
    <mergeCell ref="I20:J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continuous</vt:lpstr>
      <vt:lpstr>dichotomous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2026-10-07T17:01:34Z</dcterms:created>
  <dcterms:modified xsi:type="dcterms:W3CDTF">2026-10-07T22:21:19Z</dcterms:modified>
</cp:coreProperties>
</file>