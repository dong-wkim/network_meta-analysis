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.github\srma\meta_analysis\previous meta-analysis\data\xlsx\dichotomous\"/>
    </mc:Choice>
  </mc:AlternateContent>
  <xr:revisionPtr revIDLastSave="0" documentId="13_ncr:1_{D18092BA-94B5-4E5F-BF67-F01687B47550}" xr6:coauthVersionLast="47" xr6:coauthVersionMax="47" xr10:uidLastSave="{00000000-0000-0000-0000-000000000000}"/>
  <bookViews>
    <workbookView xWindow="1440" yWindow="1440" windowWidth="14400" windowHeight="7270" xr2:uid="{00000000-000D-0000-FFFF-FFFF00000000}"/>
  </bookViews>
  <sheets>
    <sheet name="graft_rupture" sheetId="1" r:id="rId1"/>
  </sheets>
  <definedNames>
    <definedName name="graft_rupture">graft_rupture!$A$1:$H$57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7" i="1" l="1"/>
  <c r="I7" i="1"/>
  <c r="I46" i="1"/>
  <c r="I6" i="1"/>
  <c r="I5" i="1"/>
  <c r="I4" i="1"/>
  <c r="I45" i="1"/>
  <c r="I44" i="1"/>
  <c r="I43" i="1"/>
  <c r="I3" i="1"/>
  <c r="I42" i="1"/>
  <c r="I41" i="1"/>
  <c r="I40" i="1"/>
  <c r="I2" i="1"/>
  <c r="I39" i="1"/>
  <c r="I25" i="1"/>
  <c r="I18" i="1"/>
  <c r="I17" i="1"/>
  <c r="I16" i="1"/>
  <c r="I15" i="1"/>
  <c r="I14" i="1"/>
  <c r="I13" i="1"/>
  <c r="I12" i="1"/>
  <c r="I11" i="1"/>
  <c r="I10" i="1"/>
  <c r="I49" i="1"/>
  <c r="I9" i="1"/>
  <c r="I8" i="1"/>
  <c r="I48" i="1"/>
  <c r="I30" i="1"/>
  <c r="I53" i="1"/>
  <c r="I29" i="1"/>
  <c r="I28" i="1"/>
  <c r="I52" i="1"/>
  <c r="I27" i="1"/>
  <c r="I26" i="1"/>
  <c r="I51" i="1"/>
  <c r="I24" i="1"/>
  <c r="I50" i="1"/>
  <c r="I23" i="1"/>
  <c r="I22" i="1"/>
  <c r="I21" i="1"/>
  <c r="I20" i="1"/>
  <c r="I19" i="1"/>
  <c r="I37" i="1"/>
  <c r="I57" i="1"/>
  <c r="I36" i="1"/>
  <c r="I35" i="1"/>
  <c r="I34" i="1"/>
  <c r="I56" i="1"/>
  <c r="I33" i="1"/>
  <c r="I32" i="1"/>
  <c r="I55" i="1"/>
  <c r="I31" i="1"/>
  <c r="I54" i="1"/>
  <c r="I38" i="1"/>
</calcChain>
</file>

<file path=xl/sharedStrings.xml><?xml version="1.0" encoding="utf-8"?>
<sst xmlns="http://schemas.openxmlformats.org/spreadsheetml/2006/main" count="123" uniqueCount="67">
  <si>
    <t>id</t>
  </si>
  <si>
    <t>study</t>
  </si>
  <si>
    <t>graft_type</t>
  </si>
  <si>
    <t>graft_rupture_n</t>
  </si>
  <si>
    <t>graft_rupture_event</t>
  </si>
  <si>
    <t>graft_rupture_note</t>
  </si>
  <si>
    <t>follow_up_minimum</t>
  </si>
  <si>
    <t>follow_up_mean</t>
  </si>
  <si>
    <t>Akoto and Hoeher, 2012</t>
  </si>
  <si>
    <t>B-QT</t>
  </si>
  <si>
    <t>Akoto et al., 2019</t>
  </si>
  <si>
    <t>Aslam et al., 2021</t>
  </si>
  <si>
    <t>S-QT</t>
  </si>
  <si>
    <t>Barié et al., 2010</t>
  </si>
  <si>
    <t>Barié et al., 2018</t>
  </si>
  <si>
    <t>Barié et al., 2020</t>
  </si>
  <si>
    <t>Brinkman et al., 2023</t>
  </si>
  <si>
    <t>Cavaignac et al., 2017</t>
  </si>
  <si>
    <t>Chen et al., 2006</t>
  </si>
  <si>
    <t>DeAngelis et al., 2007</t>
  </si>
  <si>
    <t>Galan et al., 2020</t>
  </si>
  <si>
    <t>Geib et al., 2009</t>
  </si>
  <si>
    <t>Gille et al., 2009</t>
  </si>
  <si>
    <t>Gorschewsky et al., 2007a</t>
  </si>
  <si>
    <t>Gorschewsky et al., 2007b</t>
  </si>
  <si>
    <t>Greif et al., 2022</t>
  </si>
  <si>
    <t>Defined as graft retear confirmed on magnetic resonance imaging</t>
  </si>
  <si>
    <t>Guimarães et al., 2009</t>
  </si>
  <si>
    <t>Han et al., 2008</t>
  </si>
  <si>
    <t>Hogan et al., 2022</t>
  </si>
  <si>
    <t>Horstmann et al., 2022</t>
  </si>
  <si>
    <t>Hunnicutt et al., 2021</t>
  </si>
  <si>
    <t>Irrgang et al., 2021</t>
  </si>
  <si>
    <t>Jacquet et al., 2021</t>
  </si>
  <si>
    <t>Karpinski et al., 2021</t>
  </si>
  <si>
    <t>Kim et al., 2009d</t>
  </si>
  <si>
    <t>Kim et al., 2018</t>
  </si>
  <si>
    <t>Kuangyang et al., 2022</t>
  </si>
  <si>
    <t>Kwak et al., 2018</t>
  </si>
  <si>
    <t>Lee et al., 2004</t>
  </si>
  <si>
    <t>Lee et al., 2007b</t>
  </si>
  <si>
    <t>Lee et al., 2014</t>
  </si>
  <si>
    <t>Lee et al., 2021</t>
  </si>
  <si>
    <t>Lind et al., 2020a</t>
  </si>
  <si>
    <t>Lind et al., 2020b</t>
  </si>
  <si>
    <t>Lund et al., 2014</t>
  </si>
  <si>
    <t>Martin-Alguacil et al., 2018</t>
  </si>
  <si>
    <t>Mutsuzaki et al., 2019</t>
  </si>
  <si>
    <t>Ollivier et al., 2021</t>
  </si>
  <si>
    <t>Perez et al., 2019</t>
  </si>
  <si>
    <t>Pichler et al., 2022</t>
  </si>
  <si>
    <t>Pomenta Bastidas et al., 2022</t>
  </si>
  <si>
    <t>Renfree et al., 2023</t>
  </si>
  <si>
    <t>Runer et al., 2018</t>
  </si>
  <si>
    <t>Runer et al., 2020</t>
  </si>
  <si>
    <t>Runer et al., 2023</t>
  </si>
  <si>
    <t>Schmücker et al., 2021</t>
  </si>
  <si>
    <t>Graft failure due to revision ACLR</t>
  </si>
  <si>
    <t>Schulz et al., 2013</t>
  </si>
  <si>
    <t>Setliff et al., 2023</t>
  </si>
  <si>
    <t>Tirupathi et al., 2019</t>
  </si>
  <si>
    <t>Todor et al., 2019</t>
  </si>
  <si>
    <t>von Essen et al., 2022</t>
  </si>
  <si>
    <t>Yamasaki et al., 2023</t>
  </si>
  <si>
    <t>Zhou et al., 2023</t>
  </si>
  <si>
    <t>Herman et al., 2023</t>
  </si>
  <si>
    <t>follow_up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</si>
</sst>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workbookViewId="0">
      <selection activeCell="B2" sqref="B2"/>
    </sheetView>
  </sheetViews>
  <sheetFormatPr defaultColWidth="8.81640625" defaultRowHeight="14.5" x14ac:dyDescent="0.35"/>
  <cols>
    <col min="1" max="1" width="3.1796875" style="1" bestFit="1" customWidth="1"/>
    <col min="2" max="2" width="23.6328125" style="1" bestFit="1" customWidth="1"/>
    <col min="3" max="3" width="8.81640625" style="1"/>
    <col min="4" max="4" width="13.1796875" style="1" bestFit="1" customWidth="1"/>
    <col min="5" max="5" width="16.453125" style="1" bestFit="1" customWidth="1"/>
    <col min="6" max="6" width="50.81640625" style="1" bestFit="1" customWidth="1"/>
    <col min="7" max="7" width="17.36328125" style="1" bestFit="1" customWidth="1"/>
    <col min="8" max="8" width="13.81640625" style="1" bestFit="1" customWidth="1"/>
    <col min="9" max="16384" width="8.81640625" style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66</v>
      </c>
    </row>
    <row r="2" spans="1:9" x14ac:dyDescent="0.35">
      <c r="A2" s="1">
        <v>90</v>
      </c>
      <c r="B2" s="1" t="s">
        <v>63</v>
      </c>
      <c r="C2" s="1" t="s">
        <v>9</v>
      </c>
      <c r="D2" s="1">
        <v>21</v>
      </c>
      <c r="E2" s="1">
        <v>0</v>
      </c>
      <c r="G2" s="1">
        <v>24</v>
      </c>
      <c r="H2" s="1">
        <v>38.590000000000003</v>
      </c>
      <c r="I2" s="1">
        <f t="shared" ref="I2:I33" si="0">IF(H2&lt;&gt;"",H2,G2)</f>
        <v>38.590000000000003</v>
      </c>
    </row>
    <row r="3" spans="1:9" x14ac:dyDescent="0.35">
      <c r="A3" s="1">
        <v>81</v>
      </c>
      <c r="B3" s="1" t="s">
        <v>59</v>
      </c>
      <c r="C3" s="1" t="s">
        <v>9</v>
      </c>
      <c r="D3" s="1">
        <v>48</v>
      </c>
      <c r="E3" s="1">
        <v>3</v>
      </c>
      <c r="G3" s="1">
        <v>12</v>
      </c>
      <c r="H3" s="1">
        <v>17</v>
      </c>
      <c r="I3" s="1">
        <f t="shared" si="0"/>
        <v>17</v>
      </c>
    </row>
    <row r="4" spans="1:9" x14ac:dyDescent="0.35">
      <c r="A4" s="1">
        <v>75</v>
      </c>
      <c r="B4" s="1" t="s">
        <v>55</v>
      </c>
      <c r="C4" s="1" t="s">
        <v>9</v>
      </c>
      <c r="D4" s="1">
        <v>45</v>
      </c>
      <c r="E4" s="1">
        <v>8</v>
      </c>
      <c r="G4" s="1">
        <v>60</v>
      </c>
      <c r="H4" s="1">
        <v>78.900000000000006</v>
      </c>
      <c r="I4" s="1">
        <f t="shared" si="0"/>
        <v>78.900000000000006</v>
      </c>
    </row>
    <row r="5" spans="1:9" x14ac:dyDescent="0.35">
      <c r="A5" s="1">
        <v>74</v>
      </c>
      <c r="B5" s="1" t="s">
        <v>54</v>
      </c>
      <c r="C5" s="1" t="s">
        <v>9</v>
      </c>
      <c r="D5" s="1">
        <v>217</v>
      </c>
      <c r="E5" s="1">
        <v>6</v>
      </c>
      <c r="G5" s="1">
        <v>24</v>
      </c>
      <c r="I5" s="1">
        <f t="shared" si="0"/>
        <v>24</v>
      </c>
    </row>
    <row r="6" spans="1:9" x14ac:dyDescent="0.35">
      <c r="A6" s="1">
        <v>73</v>
      </c>
      <c r="B6" s="1" t="s">
        <v>53</v>
      </c>
      <c r="C6" s="1" t="s">
        <v>9</v>
      </c>
      <c r="D6" s="1">
        <v>40</v>
      </c>
      <c r="E6" s="1">
        <v>0</v>
      </c>
      <c r="G6" s="1">
        <v>24</v>
      </c>
      <c r="I6" s="1">
        <f t="shared" si="0"/>
        <v>24</v>
      </c>
    </row>
    <row r="7" spans="1:9" x14ac:dyDescent="0.35">
      <c r="A7" s="1">
        <v>71</v>
      </c>
      <c r="B7" s="1" t="s">
        <v>51</v>
      </c>
      <c r="C7" s="1" t="s">
        <v>9</v>
      </c>
      <c r="D7" s="1">
        <v>20</v>
      </c>
      <c r="E7" s="1">
        <v>1</v>
      </c>
      <c r="G7" s="1">
        <v>24</v>
      </c>
      <c r="H7" s="1">
        <v>27.4</v>
      </c>
      <c r="I7" s="1">
        <f t="shared" si="0"/>
        <v>27.4</v>
      </c>
    </row>
    <row r="8" spans="1:9" x14ac:dyDescent="0.35">
      <c r="A8" s="1">
        <v>65</v>
      </c>
      <c r="B8" s="1" t="s">
        <v>48</v>
      </c>
      <c r="C8" s="1" t="s">
        <v>9</v>
      </c>
      <c r="D8" s="1">
        <v>340</v>
      </c>
      <c r="E8" s="1">
        <v>5</v>
      </c>
      <c r="G8" s="1">
        <v>24</v>
      </c>
      <c r="H8" s="1">
        <v>24</v>
      </c>
      <c r="I8" s="1">
        <f t="shared" si="0"/>
        <v>24</v>
      </c>
    </row>
    <row r="9" spans="1:9" x14ac:dyDescent="0.35">
      <c r="A9" s="1">
        <v>64</v>
      </c>
      <c r="B9" s="1" t="s">
        <v>47</v>
      </c>
      <c r="C9" s="1" t="s">
        <v>9</v>
      </c>
      <c r="D9" s="1">
        <v>8</v>
      </c>
      <c r="E9" s="1">
        <v>0</v>
      </c>
      <c r="G9" s="1">
        <v>48</v>
      </c>
      <c r="H9" s="1">
        <v>28.8</v>
      </c>
      <c r="I9" s="1">
        <f t="shared" si="0"/>
        <v>28.8</v>
      </c>
    </row>
    <row r="10" spans="1:9" x14ac:dyDescent="0.35">
      <c r="A10" s="1">
        <v>60</v>
      </c>
      <c r="B10" s="1" t="s">
        <v>45</v>
      </c>
      <c r="C10" s="1" t="s">
        <v>9</v>
      </c>
      <c r="D10" s="1">
        <v>26</v>
      </c>
      <c r="E10" s="1">
        <v>0</v>
      </c>
      <c r="G10" s="1">
        <v>24</v>
      </c>
      <c r="I10" s="1">
        <f t="shared" si="0"/>
        <v>24</v>
      </c>
    </row>
    <row r="11" spans="1:9" x14ac:dyDescent="0.35">
      <c r="A11" s="1">
        <v>57</v>
      </c>
      <c r="B11" s="1" t="s">
        <v>44</v>
      </c>
      <c r="C11" s="1" t="s">
        <v>9</v>
      </c>
      <c r="D11" s="1">
        <v>50</v>
      </c>
      <c r="E11" s="1">
        <v>1</v>
      </c>
      <c r="G11" s="1">
        <v>24</v>
      </c>
      <c r="I11" s="1">
        <f t="shared" si="0"/>
        <v>24</v>
      </c>
    </row>
    <row r="12" spans="1:9" x14ac:dyDescent="0.35">
      <c r="A12" s="1">
        <v>56</v>
      </c>
      <c r="B12" s="1" t="s">
        <v>43</v>
      </c>
      <c r="C12" s="1" t="s">
        <v>9</v>
      </c>
      <c r="D12" s="1">
        <v>531</v>
      </c>
      <c r="E12" s="1">
        <v>25</v>
      </c>
      <c r="G12" s="1">
        <v>12</v>
      </c>
      <c r="I12" s="1">
        <f t="shared" si="0"/>
        <v>12</v>
      </c>
    </row>
    <row r="13" spans="1:9" x14ac:dyDescent="0.35">
      <c r="A13" s="1">
        <v>52</v>
      </c>
      <c r="B13" s="1" t="s">
        <v>42</v>
      </c>
      <c r="C13" s="1" t="s">
        <v>9</v>
      </c>
      <c r="D13" s="1">
        <v>155</v>
      </c>
      <c r="E13" s="1">
        <v>9</v>
      </c>
      <c r="G13" s="1">
        <v>84</v>
      </c>
      <c r="H13" s="1">
        <v>122.4</v>
      </c>
      <c r="I13" s="1">
        <f t="shared" si="0"/>
        <v>122.4</v>
      </c>
    </row>
    <row r="14" spans="1:9" x14ac:dyDescent="0.35">
      <c r="A14" s="1">
        <v>50</v>
      </c>
      <c r="B14" s="1" t="s">
        <v>41</v>
      </c>
      <c r="C14" s="1" t="s">
        <v>9</v>
      </c>
      <c r="D14" s="1">
        <v>104</v>
      </c>
      <c r="E14" s="1">
        <v>0</v>
      </c>
      <c r="G14" s="1">
        <v>24</v>
      </c>
      <c r="H14" s="1">
        <v>32.25</v>
      </c>
      <c r="I14" s="1">
        <f t="shared" si="0"/>
        <v>32.25</v>
      </c>
    </row>
    <row r="15" spans="1:9" x14ac:dyDescent="0.35">
      <c r="A15" s="1">
        <v>49</v>
      </c>
      <c r="B15" s="1" t="s">
        <v>40</v>
      </c>
      <c r="C15" s="1" t="s">
        <v>9</v>
      </c>
      <c r="D15" s="1">
        <v>247</v>
      </c>
      <c r="E15" s="1">
        <v>7</v>
      </c>
      <c r="G15" s="1">
        <v>24</v>
      </c>
      <c r="H15" s="1">
        <v>44</v>
      </c>
      <c r="I15" s="1">
        <f t="shared" si="0"/>
        <v>44</v>
      </c>
    </row>
    <row r="16" spans="1:9" x14ac:dyDescent="0.35">
      <c r="A16" s="1">
        <v>47</v>
      </c>
      <c r="B16" s="1" t="s">
        <v>39</v>
      </c>
      <c r="C16" s="1" t="s">
        <v>9</v>
      </c>
      <c r="D16" s="1">
        <v>67</v>
      </c>
      <c r="E16" s="1">
        <v>4</v>
      </c>
      <c r="G16" s="1">
        <v>24</v>
      </c>
      <c r="H16" s="1">
        <v>41</v>
      </c>
      <c r="I16" s="1">
        <f t="shared" si="0"/>
        <v>41</v>
      </c>
    </row>
    <row r="17" spans="1:9" x14ac:dyDescent="0.35">
      <c r="A17" s="1">
        <v>46</v>
      </c>
      <c r="B17" s="1" t="s">
        <v>38</v>
      </c>
      <c r="C17" s="1" t="s">
        <v>9</v>
      </c>
      <c r="D17" s="1">
        <v>45</v>
      </c>
      <c r="E17" s="1">
        <v>0</v>
      </c>
      <c r="G17" s="1">
        <v>24</v>
      </c>
      <c r="H17" s="1">
        <v>29.8</v>
      </c>
      <c r="I17" s="1">
        <f t="shared" si="0"/>
        <v>29.8</v>
      </c>
    </row>
    <row r="18" spans="1:9" x14ac:dyDescent="0.35">
      <c r="A18" s="1">
        <v>45</v>
      </c>
      <c r="B18" s="1" t="s">
        <v>37</v>
      </c>
      <c r="C18" s="1" t="s">
        <v>9</v>
      </c>
      <c r="D18" s="1">
        <v>33</v>
      </c>
      <c r="E18" s="1">
        <v>0</v>
      </c>
      <c r="G18" s="1">
        <v>12</v>
      </c>
      <c r="I18" s="1">
        <f t="shared" si="0"/>
        <v>12</v>
      </c>
    </row>
    <row r="19" spans="1:9" x14ac:dyDescent="0.35">
      <c r="A19" s="1">
        <v>43</v>
      </c>
      <c r="B19" s="1" t="s">
        <v>36</v>
      </c>
      <c r="C19" s="1" t="s">
        <v>9</v>
      </c>
      <c r="D19" s="1">
        <v>75</v>
      </c>
      <c r="E19" s="1">
        <v>0</v>
      </c>
      <c r="G19" s="1">
        <v>12</v>
      </c>
      <c r="H19" s="1">
        <v>18.03</v>
      </c>
      <c r="I19" s="1">
        <f t="shared" si="0"/>
        <v>18.03</v>
      </c>
    </row>
    <row r="20" spans="1:9" x14ac:dyDescent="0.35">
      <c r="A20" s="1">
        <v>41</v>
      </c>
      <c r="B20" s="1" t="s">
        <v>35</v>
      </c>
      <c r="C20" s="1" t="s">
        <v>9</v>
      </c>
      <c r="D20" s="1">
        <v>59</v>
      </c>
      <c r="E20" s="1">
        <v>1</v>
      </c>
      <c r="G20" s="1">
        <v>24</v>
      </c>
      <c r="I20" s="1">
        <f t="shared" si="0"/>
        <v>24</v>
      </c>
    </row>
    <row r="21" spans="1:9" x14ac:dyDescent="0.35">
      <c r="A21" s="1">
        <v>39</v>
      </c>
      <c r="B21" s="1" t="s">
        <v>34</v>
      </c>
      <c r="C21" s="1" t="s">
        <v>9</v>
      </c>
      <c r="D21" s="1">
        <v>25</v>
      </c>
      <c r="E21" s="1">
        <v>0</v>
      </c>
      <c r="G21" s="1">
        <v>24</v>
      </c>
      <c r="I21" s="1">
        <f t="shared" si="0"/>
        <v>24</v>
      </c>
    </row>
    <row r="22" spans="1:9" x14ac:dyDescent="0.35">
      <c r="A22" s="1">
        <v>35</v>
      </c>
      <c r="B22" s="1" t="s">
        <v>33</v>
      </c>
      <c r="C22" s="1" t="s">
        <v>9</v>
      </c>
      <c r="D22" s="1">
        <v>92</v>
      </c>
      <c r="E22" s="1">
        <v>1</v>
      </c>
      <c r="G22" s="1">
        <v>24</v>
      </c>
      <c r="H22" s="1">
        <v>37.299999999999997</v>
      </c>
      <c r="I22" s="1">
        <f t="shared" si="0"/>
        <v>37.299999999999997</v>
      </c>
    </row>
    <row r="23" spans="1:9" x14ac:dyDescent="0.35">
      <c r="A23" s="1">
        <v>34</v>
      </c>
      <c r="B23" s="1" t="s">
        <v>32</v>
      </c>
      <c r="C23" s="1" t="s">
        <v>9</v>
      </c>
      <c r="D23" s="1">
        <v>57</v>
      </c>
      <c r="E23" s="1">
        <v>3</v>
      </c>
      <c r="G23" s="1">
        <v>24</v>
      </c>
      <c r="I23" s="1">
        <f t="shared" si="0"/>
        <v>24</v>
      </c>
    </row>
    <row r="24" spans="1:9" x14ac:dyDescent="0.35">
      <c r="A24" s="1">
        <v>28</v>
      </c>
      <c r="B24" s="1" t="s">
        <v>30</v>
      </c>
      <c r="C24" s="1" t="s">
        <v>9</v>
      </c>
      <c r="D24" s="1">
        <v>24</v>
      </c>
      <c r="E24" s="1">
        <v>3</v>
      </c>
      <c r="G24" s="1">
        <v>24</v>
      </c>
      <c r="I24" s="1">
        <f t="shared" si="0"/>
        <v>24</v>
      </c>
    </row>
    <row r="25" spans="1:9" x14ac:dyDescent="0.35">
      <c r="A25" s="1">
        <v>92</v>
      </c>
      <c r="B25" s="1" t="s">
        <v>65</v>
      </c>
      <c r="C25" s="1" t="s">
        <v>9</v>
      </c>
      <c r="D25" s="1">
        <v>14</v>
      </c>
      <c r="E25" s="1">
        <v>0</v>
      </c>
      <c r="G25" s="1">
        <v>24</v>
      </c>
      <c r="H25" s="1">
        <v>54</v>
      </c>
      <c r="I25" s="1">
        <f t="shared" si="0"/>
        <v>54</v>
      </c>
    </row>
    <row r="26" spans="1:9" x14ac:dyDescent="0.35">
      <c r="A26" s="1">
        <v>25</v>
      </c>
      <c r="B26" s="1" t="s">
        <v>28</v>
      </c>
      <c r="C26" s="1" t="s">
        <v>9</v>
      </c>
      <c r="D26" s="1">
        <v>72</v>
      </c>
      <c r="E26" s="1">
        <v>2</v>
      </c>
      <c r="G26" s="1">
        <v>24</v>
      </c>
      <c r="H26" s="1">
        <v>39.700000000000003</v>
      </c>
      <c r="I26" s="1">
        <f t="shared" si="0"/>
        <v>39.700000000000003</v>
      </c>
    </row>
    <row r="27" spans="1:9" x14ac:dyDescent="0.35">
      <c r="A27" s="1">
        <v>23</v>
      </c>
      <c r="B27" s="1" t="s">
        <v>27</v>
      </c>
      <c r="C27" s="1" t="s">
        <v>9</v>
      </c>
      <c r="D27" s="1">
        <v>25</v>
      </c>
      <c r="E27" s="1">
        <v>2</v>
      </c>
      <c r="G27" s="1">
        <v>120</v>
      </c>
      <c r="I27" s="1">
        <f t="shared" si="0"/>
        <v>120</v>
      </c>
    </row>
    <row r="28" spans="1:9" x14ac:dyDescent="0.35">
      <c r="A28" s="1">
        <v>20</v>
      </c>
      <c r="B28" s="1" t="s">
        <v>24</v>
      </c>
      <c r="C28" s="1" t="s">
        <v>9</v>
      </c>
      <c r="D28" s="1">
        <v>93</v>
      </c>
      <c r="E28" s="1">
        <v>2</v>
      </c>
      <c r="G28" s="1">
        <v>24</v>
      </c>
      <c r="H28" s="1">
        <v>34</v>
      </c>
      <c r="I28" s="1">
        <f t="shared" si="0"/>
        <v>34</v>
      </c>
    </row>
    <row r="29" spans="1:9" x14ac:dyDescent="0.35">
      <c r="A29" s="1">
        <v>19</v>
      </c>
      <c r="B29" s="1" t="s">
        <v>23</v>
      </c>
      <c r="C29" s="1" t="s">
        <v>9</v>
      </c>
      <c r="D29" s="1">
        <v>193</v>
      </c>
      <c r="E29" s="1">
        <v>2</v>
      </c>
      <c r="G29" s="1">
        <v>24</v>
      </c>
      <c r="H29" s="1">
        <v>29</v>
      </c>
      <c r="I29" s="1">
        <f t="shared" si="0"/>
        <v>29</v>
      </c>
    </row>
    <row r="30" spans="1:9" x14ac:dyDescent="0.35">
      <c r="A30" s="1">
        <v>17</v>
      </c>
      <c r="B30" s="1" t="s">
        <v>21</v>
      </c>
      <c r="C30" s="1" t="s">
        <v>9</v>
      </c>
      <c r="D30" s="1">
        <v>157</v>
      </c>
      <c r="E30" s="1">
        <v>3</v>
      </c>
      <c r="G30" s="1">
        <v>24</v>
      </c>
      <c r="H30" s="1">
        <v>59.3</v>
      </c>
      <c r="I30" s="1">
        <f t="shared" si="0"/>
        <v>59.3</v>
      </c>
    </row>
    <row r="31" spans="1:9" x14ac:dyDescent="0.35">
      <c r="A31" s="1">
        <v>15</v>
      </c>
      <c r="B31" s="1" t="s">
        <v>20</v>
      </c>
      <c r="C31" s="1" t="s">
        <v>9</v>
      </c>
      <c r="D31" s="1">
        <v>291</v>
      </c>
      <c r="E31" s="1">
        <v>31</v>
      </c>
      <c r="G31" s="1">
        <v>60</v>
      </c>
      <c r="I31" s="1">
        <f t="shared" si="0"/>
        <v>60</v>
      </c>
    </row>
    <row r="32" spans="1:9" x14ac:dyDescent="0.35">
      <c r="A32" s="1">
        <v>10</v>
      </c>
      <c r="B32" s="1" t="s">
        <v>18</v>
      </c>
      <c r="C32" s="1" t="s">
        <v>9</v>
      </c>
      <c r="D32" s="1">
        <v>34</v>
      </c>
      <c r="E32" s="1">
        <v>1</v>
      </c>
      <c r="G32" s="1">
        <v>48</v>
      </c>
      <c r="H32" s="1">
        <v>62</v>
      </c>
      <c r="I32" s="1">
        <f t="shared" si="0"/>
        <v>62</v>
      </c>
    </row>
    <row r="33" spans="1:9" x14ac:dyDescent="0.35">
      <c r="A33" s="1">
        <v>9</v>
      </c>
      <c r="B33" s="1" t="s">
        <v>17</v>
      </c>
      <c r="C33" s="1" t="s">
        <v>9</v>
      </c>
      <c r="D33" s="1">
        <v>45</v>
      </c>
      <c r="E33" s="1">
        <v>1</v>
      </c>
      <c r="G33" s="1">
        <v>36</v>
      </c>
      <c r="H33" s="1">
        <v>40.799999999999997</v>
      </c>
      <c r="I33" s="1">
        <f t="shared" si="0"/>
        <v>40.799999999999997</v>
      </c>
    </row>
    <row r="34" spans="1:9" x14ac:dyDescent="0.35">
      <c r="A34" s="1">
        <v>7</v>
      </c>
      <c r="B34" s="1" t="s">
        <v>15</v>
      </c>
      <c r="C34" s="1" t="s">
        <v>9</v>
      </c>
      <c r="D34" s="1">
        <v>30</v>
      </c>
      <c r="E34" s="1">
        <v>0</v>
      </c>
      <c r="G34" s="1">
        <v>120</v>
      </c>
      <c r="H34" s="1">
        <v>123.6</v>
      </c>
      <c r="I34" s="1">
        <f t="shared" ref="I34:I65" si="1">IF(H34&lt;&gt;"",H34,G34)</f>
        <v>123.6</v>
      </c>
    </row>
    <row r="35" spans="1:9" x14ac:dyDescent="0.35">
      <c r="A35" s="1">
        <v>6</v>
      </c>
      <c r="B35" s="1" t="s">
        <v>14</v>
      </c>
      <c r="C35" s="1" t="s">
        <v>9</v>
      </c>
      <c r="D35" s="1">
        <v>69</v>
      </c>
      <c r="E35" s="1">
        <v>6</v>
      </c>
      <c r="G35" s="1">
        <v>84</v>
      </c>
      <c r="H35" s="1">
        <v>90</v>
      </c>
      <c r="I35" s="1">
        <f t="shared" si="1"/>
        <v>90</v>
      </c>
    </row>
    <row r="36" spans="1:9" x14ac:dyDescent="0.35">
      <c r="A36" s="1">
        <v>5</v>
      </c>
      <c r="B36" s="1" t="s">
        <v>13</v>
      </c>
      <c r="C36" s="1" t="s">
        <v>9</v>
      </c>
      <c r="D36" s="1">
        <v>106</v>
      </c>
      <c r="E36" s="1">
        <v>1</v>
      </c>
      <c r="G36" s="1">
        <v>12</v>
      </c>
      <c r="H36" s="1">
        <v>12.4</v>
      </c>
      <c r="I36" s="1">
        <f t="shared" si="1"/>
        <v>12.4</v>
      </c>
    </row>
    <row r="37" spans="1:9" x14ac:dyDescent="0.35">
      <c r="A37" s="1">
        <v>3</v>
      </c>
      <c r="B37" s="1" t="s">
        <v>10</v>
      </c>
      <c r="C37" s="1" t="s">
        <v>9</v>
      </c>
      <c r="D37" s="1">
        <v>41</v>
      </c>
      <c r="E37" s="1">
        <v>3</v>
      </c>
      <c r="G37" s="1">
        <v>12</v>
      </c>
      <c r="H37" s="1">
        <v>14</v>
      </c>
      <c r="I37" s="1">
        <f t="shared" si="1"/>
        <v>14</v>
      </c>
    </row>
    <row r="38" spans="1:9" x14ac:dyDescent="0.35">
      <c r="A38" s="1">
        <v>1</v>
      </c>
      <c r="B38" s="1" t="s">
        <v>8</v>
      </c>
      <c r="C38" s="1" t="s">
        <v>9</v>
      </c>
      <c r="D38" s="1">
        <v>87</v>
      </c>
      <c r="E38" s="1">
        <v>0</v>
      </c>
      <c r="G38" s="1">
        <v>12</v>
      </c>
      <c r="I38" s="1">
        <f t="shared" si="1"/>
        <v>12</v>
      </c>
    </row>
    <row r="39" spans="1:9" x14ac:dyDescent="0.35">
      <c r="A39" s="1">
        <v>91</v>
      </c>
      <c r="B39" s="1" t="s">
        <v>64</v>
      </c>
      <c r="C39" s="1" t="s">
        <v>12</v>
      </c>
      <c r="D39" s="1">
        <v>107</v>
      </c>
      <c r="E39" s="1">
        <v>4</v>
      </c>
      <c r="G39" s="1">
        <v>24</v>
      </c>
      <c r="I39" s="1">
        <f t="shared" si="1"/>
        <v>24</v>
      </c>
    </row>
    <row r="40" spans="1:9" x14ac:dyDescent="0.35">
      <c r="A40" s="1">
        <v>89</v>
      </c>
      <c r="B40" s="1" t="s">
        <v>62</v>
      </c>
      <c r="C40" s="1" t="s">
        <v>12</v>
      </c>
      <c r="D40" s="1">
        <v>40</v>
      </c>
      <c r="E40" s="1">
        <v>2</v>
      </c>
      <c r="G40" s="1">
        <v>6</v>
      </c>
      <c r="I40" s="1">
        <f t="shared" si="1"/>
        <v>6</v>
      </c>
    </row>
    <row r="41" spans="1:9" x14ac:dyDescent="0.35">
      <c r="A41" s="1">
        <v>87</v>
      </c>
      <c r="B41" s="1" t="s">
        <v>61</v>
      </c>
      <c r="C41" s="1" t="s">
        <v>12</v>
      </c>
      <c r="D41" s="1">
        <v>39</v>
      </c>
      <c r="E41" s="1">
        <v>0</v>
      </c>
      <c r="G41" s="1">
        <v>24</v>
      </c>
      <c r="H41" s="1">
        <v>33.76</v>
      </c>
      <c r="I41" s="1">
        <f t="shared" si="1"/>
        <v>33.76</v>
      </c>
    </row>
    <row r="42" spans="1:9" x14ac:dyDescent="0.35">
      <c r="A42" s="1">
        <v>86</v>
      </c>
      <c r="B42" s="1" t="s">
        <v>60</v>
      </c>
      <c r="C42" s="1" t="s">
        <v>12</v>
      </c>
      <c r="D42" s="1">
        <v>44</v>
      </c>
      <c r="E42" s="1">
        <v>0</v>
      </c>
      <c r="G42" s="1">
        <v>24</v>
      </c>
      <c r="I42" s="1">
        <f t="shared" si="1"/>
        <v>24</v>
      </c>
    </row>
    <row r="43" spans="1:9" x14ac:dyDescent="0.35">
      <c r="A43" s="1">
        <v>80</v>
      </c>
      <c r="B43" s="1" t="s">
        <v>59</v>
      </c>
      <c r="C43" s="1" t="s">
        <v>12</v>
      </c>
      <c r="D43" s="1">
        <v>147</v>
      </c>
      <c r="E43" s="1">
        <v>7</v>
      </c>
      <c r="G43" s="1">
        <v>12</v>
      </c>
      <c r="H43" s="1">
        <v>17</v>
      </c>
      <c r="I43" s="1">
        <f t="shared" si="1"/>
        <v>17</v>
      </c>
    </row>
    <row r="44" spans="1:9" x14ac:dyDescent="0.35">
      <c r="A44" s="1">
        <v>78</v>
      </c>
      <c r="B44" s="1" t="s">
        <v>58</v>
      </c>
      <c r="C44" s="1" t="s">
        <v>12</v>
      </c>
      <c r="D44" s="1">
        <v>55</v>
      </c>
      <c r="E44" s="1">
        <v>0</v>
      </c>
      <c r="G44" s="1">
        <v>24</v>
      </c>
      <c r="H44" s="1">
        <v>29.5</v>
      </c>
      <c r="I44" s="1">
        <f t="shared" si="1"/>
        <v>29.5</v>
      </c>
    </row>
    <row r="45" spans="1:9" x14ac:dyDescent="0.35">
      <c r="A45" s="1">
        <v>77</v>
      </c>
      <c r="B45" s="1" t="s">
        <v>56</v>
      </c>
      <c r="C45" s="1" t="s">
        <v>12</v>
      </c>
      <c r="D45" s="1">
        <v>223</v>
      </c>
      <c r="E45" s="1">
        <v>5</v>
      </c>
      <c r="F45" s="1" t="s">
        <v>57</v>
      </c>
      <c r="G45" s="1">
        <v>24</v>
      </c>
      <c r="H45" s="1">
        <v>27.2</v>
      </c>
      <c r="I45" s="1">
        <f t="shared" si="1"/>
        <v>27.2</v>
      </c>
    </row>
    <row r="46" spans="1:9" x14ac:dyDescent="0.35">
      <c r="A46" s="1">
        <v>72</v>
      </c>
      <c r="B46" s="1" t="s">
        <v>52</v>
      </c>
      <c r="C46" s="1" t="s">
        <v>12</v>
      </c>
      <c r="D46" s="1">
        <v>32</v>
      </c>
      <c r="E46" s="1">
        <v>0</v>
      </c>
      <c r="G46" s="1">
        <v>24</v>
      </c>
      <c r="I46" s="1">
        <f t="shared" si="1"/>
        <v>24</v>
      </c>
    </row>
    <row r="47" spans="1:9" x14ac:dyDescent="0.35">
      <c r="A47" s="1">
        <v>69</v>
      </c>
      <c r="B47" s="1" t="s">
        <v>50</v>
      </c>
      <c r="C47" s="1" t="s">
        <v>12</v>
      </c>
      <c r="D47" s="1">
        <v>40</v>
      </c>
      <c r="E47" s="1">
        <v>0</v>
      </c>
      <c r="G47" s="1">
        <v>12</v>
      </c>
      <c r="H47" s="1">
        <v>16.8</v>
      </c>
      <c r="I47" s="1">
        <f t="shared" si="1"/>
        <v>16.8</v>
      </c>
    </row>
    <row r="48" spans="1:9" x14ac:dyDescent="0.35">
      <c r="A48" s="1">
        <v>68</v>
      </c>
      <c r="B48" s="1" t="s">
        <v>49</v>
      </c>
      <c r="C48" s="1" t="s">
        <v>12</v>
      </c>
      <c r="D48" s="1">
        <v>28</v>
      </c>
      <c r="E48" s="1">
        <v>1</v>
      </c>
      <c r="G48" s="1">
        <v>24</v>
      </c>
      <c r="H48" s="1">
        <v>32.1</v>
      </c>
      <c r="I48" s="1">
        <f t="shared" si="1"/>
        <v>32.1</v>
      </c>
    </row>
    <row r="49" spans="1:9" x14ac:dyDescent="0.35">
      <c r="A49" s="1">
        <v>62</v>
      </c>
      <c r="B49" s="1" t="s">
        <v>46</v>
      </c>
      <c r="C49" s="1" t="s">
        <v>12</v>
      </c>
      <c r="D49" s="1">
        <v>26</v>
      </c>
      <c r="E49" s="1">
        <v>3</v>
      </c>
      <c r="G49" s="1">
        <v>24</v>
      </c>
      <c r="I49" s="1">
        <f t="shared" si="1"/>
        <v>24</v>
      </c>
    </row>
    <row r="50" spans="1:9" x14ac:dyDescent="0.35">
      <c r="A50" s="1">
        <v>32</v>
      </c>
      <c r="B50" s="1" t="s">
        <v>31</v>
      </c>
      <c r="C50" s="1" t="s">
        <v>12</v>
      </c>
      <c r="D50" s="1">
        <v>320</v>
      </c>
      <c r="E50" s="1">
        <v>0</v>
      </c>
      <c r="G50" s="1">
        <v>6</v>
      </c>
      <c r="I50" s="1">
        <f t="shared" si="1"/>
        <v>6</v>
      </c>
    </row>
    <row r="51" spans="1:9" x14ac:dyDescent="0.35">
      <c r="A51" s="1">
        <v>27</v>
      </c>
      <c r="B51" s="1" t="s">
        <v>29</v>
      </c>
      <c r="C51" s="1" t="s">
        <v>12</v>
      </c>
      <c r="D51" s="1">
        <v>39</v>
      </c>
      <c r="E51" s="1">
        <v>2</v>
      </c>
      <c r="G51" s="1">
        <v>12</v>
      </c>
      <c r="H51" s="1">
        <v>22.4</v>
      </c>
      <c r="I51" s="1">
        <f t="shared" si="1"/>
        <v>22.4</v>
      </c>
    </row>
    <row r="52" spans="1:9" x14ac:dyDescent="0.35">
      <c r="A52" s="1">
        <v>22</v>
      </c>
      <c r="B52" s="1" t="s">
        <v>25</v>
      </c>
      <c r="C52" s="1" t="s">
        <v>12</v>
      </c>
      <c r="D52" s="1">
        <v>124</v>
      </c>
      <c r="E52" s="1">
        <v>4</v>
      </c>
      <c r="F52" s="1" t="s">
        <v>26</v>
      </c>
      <c r="G52" s="1">
        <v>24</v>
      </c>
      <c r="H52" s="1">
        <v>31.7</v>
      </c>
      <c r="I52" s="1">
        <f t="shared" si="1"/>
        <v>31.7</v>
      </c>
    </row>
    <row r="53" spans="1:9" x14ac:dyDescent="0.35">
      <c r="A53" s="1">
        <v>18</v>
      </c>
      <c r="B53" s="1" t="s">
        <v>22</v>
      </c>
      <c r="C53" s="1" t="s">
        <v>12</v>
      </c>
      <c r="D53" s="1">
        <v>54</v>
      </c>
      <c r="E53" s="1">
        <v>0</v>
      </c>
      <c r="G53" s="1">
        <v>12</v>
      </c>
      <c r="H53" s="1">
        <v>16</v>
      </c>
      <c r="I53" s="1">
        <f t="shared" si="1"/>
        <v>16</v>
      </c>
    </row>
    <row r="54" spans="1:9" x14ac:dyDescent="0.35">
      <c r="A54" s="1">
        <v>16</v>
      </c>
      <c r="B54" s="1" t="s">
        <v>21</v>
      </c>
      <c r="C54" s="1" t="s">
        <v>12</v>
      </c>
      <c r="D54" s="1">
        <v>41</v>
      </c>
      <c r="E54" s="1">
        <v>1</v>
      </c>
      <c r="G54" s="1">
        <v>24</v>
      </c>
      <c r="H54" s="1">
        <v>40.5</v>
      </c>
      <c r="I54" s="1">
        <f t="shared" si="1"/>
        <v>40.5</v>
      </c>
    </row>
    <row r="55" spans="1:9" x14ac:dyDescent="0.35">
      <c r="A55" s="1">
        <v>12</v>
      </c>
      <c r="B55" s="1" t="s">
        <v>19</v>
      </c>
      <c r="C55" s="1" t="s">
        <v>12</v>
      </c>
      <c r="D55" s="1">
        <v>124</v>
      </c>
      <c r="E55" s="1">
        <v>5</v>
      </c>
      <c r="G55" s="1">
        <v>24</v>
      </c>
      <c r="H55" s="1">
        <v>66</v>
      </c>
      <c r="I55" s="1">
        <f t="shared" si="1"/>
        <v>66</v>
      </c>
    </row>
    <row r="56" spans="1:9" x14ac:dyDescent="0.35">
      <c r="A56" s="1">
        <v>8</v>
      </c>
      <c r="B56" s="1" t="s">
        <v>16</v>
      </c>
      <c r="C56" s="1" t="s">
        <v>12</v>
      </c>
      <c r="D56" s="1">
        <v>37</v>
      </c>
      <c r="E56" s="1">
        <v>1</v>
      </c>
      <c r="G56" s="1">
        <v>36</v>
      </c>
      <c r="H56" s="1">
        <v>69.900000000000006</v>
      </c>
      <c r="I56" s="1">
        <f t="shared" si="1"/>
        <v>69.900000000000006</v>
      </c>
    </row>
    <row r="57" spans="1:9" x14ac:dyDescent="0.35">
      <c r="A57" s="1">
        <v>4</v>
      </c>
      <c r="B57" s="1" t="s">
        <v>11</v>
      </c>
      <c r="C57" s="1" t="s">
        <v>12</v>
      </c>
      <c r="D57" s="1">
        <v>35</v>
      </c>
      <c r="E57" s="1">
        <v>0</v>
      </c>
      <c r="G57" s="1">
        <v>12</v>
      </c>
      <c r="H57" s="1">
        <v>11.25</v>
      </c>
      <c r="I57" s="1">
        <f t="shared" si="1"/>
        <v>11.25</v>
      </c>
    </row>
  </sheetData>
  <sortState xmlns:xlrd2="http://schemas.microsoft.com/office/spreadsheetml/2017/richdata2" ref="A2:I57">
    <sortCondition ref="C2:C57"/>
    <sortCondition descending="1" ref="B2:B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graft_rupture</vt:lpstr>
      <vt:lpstr>graft_rupture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dongwkim</dc:creator>
  <cp:lastModifiedBy>Dong Kim</cp:lastModifiedBy>
  <dcterms:created xsi:type="dcterms:W3CDTF">2023-12-20T10:17:42Z</dcterms:created>
  <dcterms:modified xsi:type="dcterms:W3CDTF">2025-11-04T13:04:14Z</dcterms:modified>
</cp:coreProperties>
</file>