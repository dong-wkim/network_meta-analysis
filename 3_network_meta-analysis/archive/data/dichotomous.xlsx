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network_meta-analysis\3_meta-analysis\data\"/>
    </mc:Choice>
  </mc:AlternateContent>
  <xr:revisionPtr revIDLastSave="0" documentId="13_ncr:1_{AB1A9AF6-1F5D-49A3-8A21-40EFD2949D26}" xr6:coauthVersionLast="47" xr6:coauthVersionMax="47" xr10:uidLastSave="{00000000-0000-0000-0000-000000000000}"/>
  <bookViews>
    <workbookView xWindow="0" yWindow="0" windowWidth="9600" windowHeight="10200" activeTab="1" xr2:uid="{1774A048-F328-4928-8EE6-DD25844B694D}"/>
  </bookViews>
  <sheets>
    <sheet name="dichotomous" sheetId="1" r:id="rId1"/>
    <sheet name="studies+covariates" sheetId="2" r:id="rId2"/>
  </sheets>
  <definedNames>
    <definedName name="covariate">'studies+covariates'!$B$1:$I$123</definedName>
    <definedName name="female">'studies+covariates'!$H$2:$H$123</definedName>
    <definedName name="follow_up">'studies+covariates'!$I$2:$I$123</definedName>
    <definedName name="id">'studies+covariates'!$B$2:$B$123</definedName>
    <definedName name="male">'studies+covariates'!$G$2:$G$123</definedName>
    <definedName name="mi">'studies+covariates'!$F$2:$F$123</definedName>
    <definedName name="study">'studies+covariates'!$C$2:$C$123</definedName>
    <definedName name="subgroup">'studies+covariates'!$D$2:$D$123</definedName>
    <definedName name="total">'studies+covariates'!$E$2:$E$123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 a="1"/>
  <c r="K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<sst xmlns="http://schemas.openxmlformats.org/spreadsheetml/2006/main" count="874" uniqueCount="89">
  <si>
    <t>id</t>
  </si>
  <si>
    <t>study</t>
  </si>
  <si>
    <t>subgroup</t>
  </si>
  <si>
    <t>outcome</t>
  </si>
  <si>
    <t>ni</t>
  </si>
  <si>
    <t>yi</t>
  </si>
  <si>
    <t>age</t>
  </si>
  <si>
    <t>male</t>
  </si>
  <si>
    <t>female</t>
  </si>
  <si>
    <t>follow_up</t>
  </si>
  <si>
    <t>Anz et al., 2023</t>
  </si>
  <si>
    <t>BPTB</t>
  </si>
  <si>
    <t>graft_failure</t>
  </si>
  <si>
    <t>HT</t>
  </si>
  <si>
    <t>Kautzner et al., 2015</t>
  </si>
  <si>
    <t>Laxdal et al., 2005</t>
  </si>
  <si>
    <t>Lucidi et al., 2025</t>
  </si>
  <si>
    <t>Mohtadi et al., 2016</t>
  </si>
  <si>
    <t>Pinczewski et al., 2007</t>
  </si>
  <si>
    <t>Popovic et al., 2024</t>
  </si>
  <si>
    <t>Smith et al., 2020</t>
  </si>
  <si>
    <t>Sonnery-cottet et al., 2026</t>
  </si>
  <si>
    <t>Taylor et al., 2009</t>
  </si>
  <si>
    <t>Wipfler et al., 2011</t>
  </si>
  <si>
    <t>Yadav et al., 2025</t>
  </si>
  <si>
    <t>QT</t>
  </si>
  <si>
    <t>Aglietti et al., 2004</t>
  </si>
  <si>
    <t>pivot_shift_1</t>
  </si>
  <si>
    <t>Anderson et al., 2001</t>
  </si>
  <si>
    <t>Beynnon et al., 2002</t>
  </si>
  <si>
    <t>Bi et al., 2018</t>
  </si>
  <si>
    <t>PLT</t>
  </si>
  <si>
    <t>Björnsson et al., 2016</t>
  </si>
  <si>
    <t>Eriksson et al., 2001</t>
  </si>
  <si>
    <t>Feller &amp; Webster, 2003</t>
  </si>
  <si>
    <t>Guglielmetti et al., 2021</t>
  </si>
  <si>
    <t>Harilainen et al., 2006</t>
  </si>
  <si>
    <t>Heijne &amp; Werner, 2010</t>
  </si>
  <si>
    <t>Horstmann et al., 2022</t>
  </si>
  <si>
    <t>Ibrahim et al., 2005</t>
  </si>
  <si>
    <t>Jansson et al., 2003</t>
  </si>
  <si>
    <t>Laoruengthana et al., 2009</t>
  </si>
  <si>
    <t>Lawhorn et al., 2012</t>
  </si>
  <si>
    <t>TA</t>
  </si>
  <si>
    <t>Li et al., 2015</t>
  </si>
  <si>
    <t>Lind et al., 2020</t>
  </si>
  <si>
    <t>Lund et al., 2014</t>
  </si>
  <si>
    <t>Malik et al., 2026</t>
  </si>
  <si>
    <t>Noh et al., 2011</t>
  </si>
  <si>
    <t>AT</t>
  </si>
  <si>
    <t>Sajovic et al., 2018</t>
  </si>
  <si>
    <t>Yoo et al., 2017</t>
  </si>
  <si>
    <t>pivot_shift_2</t>
  </si>
  <si>
    <t>lachman_1</t>
  </si>
  <si>
    <t>BjÃ¶rnsson et al., 2016</t>
  </si>
  <si>
    <t>Ejerhed et al., 2003</t>
  </si>
  <si>
    <t>Gifstad et al., 2013</t>
  </si>
  <si>
    <t>Konrads et al., 2016</t>
  </si>
  <si>
    <t>LidÃ©n et al., 2007</t>
  </si>
  <si>
    <t>Lui et al., 2012</t>
  </si>
  <si>
    <t>lachman_2</t>
  </si>
  <si>
    <t>Ageberg et al., 2009</t>
  </si>
  <si>
    <t>Ahldén et al., 2009</t>
  </si>
  <si>
    <t>2-STG + LET</t>
  </si>
  <si>
    <t>2-STG</t>
  </si>
  <si>
    <t>Aune et al., 2001</t>
  </si>
  <si>
    <t>Barenius et al., 2010</t>
  </si>
  <si>
    <t>Barié et al., 2020</t>
  </si>
  <si>
    <t>Bottoni et al., 2015</t>
  </si>
  <si>
    <t>Butt et al., 2024</t>
  </si>
  <si>
    <t>Calvert et al., 2025</t>
  </si>
  <si>
    <t>Holm et al., 2010</t>
  </si>
  <si>
    <t>Iliopoulos et al., 2017</t>
  </si>
  <si>
    <t>Komzak et al., 2022</t>
  </si>
  <si>
    <t>Lidén et al., 2007</t>
  </si>
  <si>
    <t>ST</t>
  </si>
  <si>
    <t>2-ST</t>
  </si>
  <si>
    <t>Matsumoto et al., 2006</t>
  </si>
  <si>
    <t>4-STG</t>
  </si>
  <si>
    <t>Moraiti et al., 2010</t>
  </si>
  <si>
    <t>Papalia et al., 2015</t>
  </si>
  <si>
    <t>Sinding et al., 2020</t>
  </si>
  <si>
    <t>Sonnery-Cottet et al., 2026</t>
  </si>
  <si>
    <t>Tang et al., 2023</t>
  </si>
  <si>
    <t>Vilchez-Cavazos et al., 2020</t>
  </si>
  <si>
    <t>Webster et al., 2001</t>
  </si>
  <si>
    <t>Zaffagnini et al., 2011</t>
  </si>
  <si>
    <t>`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</si>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</sst>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3029-CC7E-4DFD-B90D-5C9964502F72}">
  <dimension ref="A1:K203"/>
  <sheetViews>
    <sheetView topLeftCell="C15" workbookViewId="0">
      <selection activeCell="E25" sqref="E25"/>
    </sheetView>
  </sheetViews>
  <sheetFormatPr defaultRowHeight="14.5" x14ac:dyDescent="0.35"/>
  <cols>
    <col min="1" max="1" width="4.81640625" bestFit="1" customWidth="1"/>
    <col min="2" max="2" width="2.81640625" bestFit="1" customWidth="1"/>
    <col min="3" max="3" width="22.453125" bestFit="1" customWidth="1"/>
    <col min="4" max="4" width="8.26953125" bestFit="1" customWidth="1"/>
    <col min="5" max="5" width="10.90625" bestFit="1" customWidth="1"/>
    <col min="6" max="6" width="3.81640625" bestFit="1" customWidth="1"/>
    <col min="7" max="7" width="2.81640625" bestFit="1" customWidth="1"/>
    <col min="8" max="8" width="5.81640625" bestFit="1" customWidth="1"/>
    <col min="9" max="9" width="4.81640625" bestFit="1" customWidth="1"/>
    <col min="10" max="10" width="6.36328125" bestFit="1" customWidth="1"/>
    <col min="11" max="11" width="8.36328125" bestFit="1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11</v>
      </c>
      <c r="B2">
        <v>6</v>
      </c>
      <c r="C2" t="s">
        <v>10</v>
      </c>
      <c r="D2" t="s">
        <v>11</v>
      </c>
      <c r="E2" t="s">
        <v>12</v>
      </c>
      <c r="F2">
        <v>8</v>
      </c>
      <c r="G2">
        <v>0</v>
      </c>
      <c r="H2">
        <v>29.4</v>
      </c>
      <c r="I2">
        <v>4</v>
      </c>
      <c r="J2">
        <v>6</v>
      </c>
      <c r="K2">
        <v>12</v>
      </c>
    </row>
    <row r="3" spans="1:11" x14ac:dyDescent="0.35">
      <c r="A3">
        <v>11</v>
      </c>
      <c r="B3">
        <v>6</v>
      </c>
      <c r="C3" t="s">
        <v>10</v>
      </c>
      <c r="D3" t="s">
        <v>13</v>
      </c>
      <c r="E3" t="s">
        <v>12</v>
      </c>
      <c r="F3">
        <v>8</v>
      </c>
      <c r="G3">
        <v>0</v>
      </c>
      <c r="H3">
        <v>27.6</v>
      </c>
      <c r="I3">
        <v>3</v>
      </c>
      <c r="J3">
        <v>7</v>
      </c>
      <c r="K3">
        <v>12</v>
      </c>
    </row>
    <row r="4" spans="1:11" x14ac:dyDescent="0.35">
      <c r="A4">
        <v>55</v>
      </c>
      <c r="B4">
        <v>43</v>
      </c>
      <c r="C4" t="s">
        <v>14</v>
      </c>
      <c r="D4" t="s">
        <v>11</v>
      </c>
      <c r="E4" t="s">
        <v>12</v>
      </c>
      <c r="F4">
        <v>74</v>
      </c>
      <c r="G4">
        <v>0</v>
      </c>
      <c r="H4">
        <v>26</v>
      </c>
      <c r="I4">
        <v>0</v>
      </c>
      <c r="J4">
        <v>74</v>
      </c>
      <c r="K4">
        <v>24</v>
      </c>
    </row>
    <row r="5" spans="1:11" x14ac:dyDescent="0.35">
      <c r="A5">
        <v>55</v>
      </c>
      <c r="B5">
        <v>43</v>
      </c>
      <c r="C5" t="s">
        <v>14</v>
      </c>
      <c r="D5" t="s">
        <v>13</v>
      </c>
      <c r="E5" t="s">
        <v>12</v>
      </c>
      <c r="F5">
        <v>73</v>
      </c>
      <c r="G5">
        <v>2</v>
      </c>
      <c r="H5">
        <v>26</v>
      </c>
      <c r="I5">
        <v>0</v>
      </c>
      <c r="J5">
        <v>73</v>
      </c>
      <c r="K5">
        <v>24</v>
      </c>
    </row>
    <row r="6" spans="1:11" x14ac:dyDescent="0.35">
      <c r="A6">
        <v>65</v>
      </c>
      <c r="B6">
        <v>49</v>
      </c>
      <c r="C6" t="s">
        <v>15</v>
      </c>
      <c r="D6" t="s">
        <v>11</v>
      </c>
      <c r="E6" t="s">
        <v>12</v>
      </c>
      <c r="F6">
        <v>40</v>
      </c>
      <c r="G6">
        <v>1</v>
      </c>
      <c r="H6">
        <v>28</v>
      </c>
      <c r="I6">
        <v>0</v>
      </c>
      <c r="J6">
        <v>0</v>
      </c>
      <c r="K6">
        <v>26</v>
      </c>
    </row>
    <row r="7" spans="1:11" x14ac:dyDescent="0.35">
      <c r="A7">
        <v>65</v>
      </c>
      <c r="B7">
        <v>49</v>
      </c>
      <c r="C7" t="s">
        <v>15</v>
      </c>
      <c r="D7" t="s">
        <v>13</v>
      </c>
      <c r="E7" t="s">
        <v>12</v>
      </c>
      <c r="F7">
        <v>78</v>
      </c>
      <c r="G7">
        <v>2</v>
      </c>
      <c r="H7">
        <v>25</v>
      </c>
      <c r="I7">
        <v>0</v>
      </c>
      <c r="J7">
        <v>0</v>
      </c>
      <c r="K7">
        <v>26</v>
      </c>
    </row>
    <row r="8" spans="1:11" x14ac:dyDescent="0.35">
      <c r="A8">
        <v>73</v>
      </c>
      <c r="B8">
        <v>54</v>
      </c>
      <c r="C8" t="s">
        <v>16</v>
      </c>
      <c r="D8" t="s">
        <v>11</v>
      </c>
      <c r="E8" t="s">
        <v>12</v>
      </c>
      <c r="F8">
        <v>19</v>
      </c>
      <c r="G8">
        <v>7</v>
      </c>
      <c r="H8">
        <v>52.8</v>
      </c>
      <c r="I8">
        <v>0</v>
      </c>
      <c r="J8">
        <v>0</v>
      </c>
      <c r="K8">
        <v>240</v>
      </c>
    </row>
    <row r="9" spans="1:11" x14ac:dyDescent="0.35">
      <c r="A9">
        <v>73</v>
      </c>
      <c r="B9">
        <v>54</v>
      </c>
      <c r="C9" t="s">
        <v>16</v>
      </c>
      <c r="D9" t="s">
        <v>13</v>
      </c>
      <c r="E9" t="s">
        <v>12</v>
      </c>
      <c r="F9">
        <v>20</v>
      </c>
      <c r="G9">
        <v>3</v>
      </c>
      <c r="H9">
        <v>54.5</v>
      </c>
      <c r="I9">
        <v>0</v>
      </c>
      <c r="J9">
        <v>0</v>
      </c>
      <c r="K9">
        <v>240</v>
      </c>
    </row>
    <row r="10" spans="1:11" x14ac:dyDescent="0.35">
      <c r="A10">
        <v>85</v>
      </c>
      <c r="B10">
        <v>66</v>
      </c>
      <c r="C10" t="s">
        <v>17</v>
      </c>
      <c r="D10" t="s">
        <v>11</v>
      </c>
      <c r="E10" t="s">
        <v>12</v>
      </c>
      <c r="F10">
        <v>110</v>
      </c>
      <c r="G10">
        <v>19</v>
      </c>
      <c r="H10">
        <v>28.7</v>
      </c>
      <c r="I10">
        <v>63</v>
      </c>
      <c r="J10">
        <v>47</v>
      </c>
      <c r="K10">
        <v>24</v>
      </c>
    </row>
    <row r="11" spans="1:11" x14ac:dyDescent="0.35">
      <c r="A11">
        <v>85</v>
      </c>
      <c r="B11">
        <v>66</v>
      </c>
      <c r="C11" t="s">
        <v>17</v>
      </c>
      <c r="D11" t="s">
        <v>13</v>
      </c>
      <c r="E11" t="s">
        <v>12</v>
      </c>
      <c r="F11">
        <v>110</v>
      </c>
      <c r="G11">
        <v>24</v>
      </c>
      <c r="H11">
        <v>28.4</v>
      </c>
      <c r="I11">
        <v>120</v>
      </c>
      <c r="J11">
        <v>100</v>
      </c>
      <c r="K11">
        <v>24</v>
      </c>
    </row>
    <row r="12" spans="1:11" x14ac:dyDescent="0.35">
      <c r="A12">
        <v>95</v>
      </c>
      <c r="B12">
        <v>76</v>
      </c>
      <c r="C12" t="s">
        <v>18</v>
      </c>
      <c r="D12" t="s">
        <v>11</v>
      </c>
      <c r="E12" t="s">
        <v>12</v>
      </c>
      <c r="F12">
        <v>90</v>
      </c>
      <c r="G12">
        <v>7</v>
      </c>
      <c r="H12">
        <v>25</v>
      </c>
      <c r="I12">
        <v>48</v>
      </c>
      <c r="J12">
        <v>42</v>
      </c>
      <c r="K12">
        <v>120</v>
      </c>
    </row>
    <row r="13" spans="1:11" x14ac:dyDescent="0.35">
      <c r="A13">
        <v>95</v>
      </c>
      <c r="B13">
        <v>76</v>
      </c>
      <c r="C13" t="s">
        <v>18</v>
      </c>
      <c r="D13" t="s">
        <v>13</v>
      </c>
      <c r="E13" t="s">
        <v>12</v>
      </c>
      <c r="F13">
        <v>90</v>
      </c>
      <c r="G13">
        <v>12</v>
      </c>
      <c r="H13">
        <v>24</v>
      </c>
      <c r="I13">
        <v>47</v>
      </c>
      <c r="J13">
        <v>43</v>
      </c>
      <c r="K13">
        <v>120</v>
      </c>
    </row>
    <row r="14" spans="1:11" x14ac:dyDescent="0.35">
      <c r="A14">
        <v>97</v>
      </c>
      <c r="B14">
        <v>77</v>
      </c>
      <c r="C14" t="s">
        <v>19</v>
      </c>
      <c r="D14" t="s">
        <v>11</v>
      </c>
      <c r="E14" t="s">
        <v>12</v>
      </c>
      <c r="F14">
        <v>38</v>
      </c>
      <c r="G14">
        <v>3</v>
      </c>
      <c r="H14">
        <v>27</v>
      </c>
      <c r="I14" t="s">
        <v>87</v>
      </c>
      <c r="J14">
        <v>0</v>
      </c>
      <c r="K14">
        <v>228</v>
      </c>
    </row>
    <row r="15" spans="1:11" x14ac:dyDescent="0.35">
      <c r="A15">
        <v>97</v>
      </c>
      <c r="B15">
        <v>77</v>
      </c>
      <c r="C15" t="s">
        <v>19</v>
      </c>
      <c r="D15" t="s">
        <v>13</v>
      </c>
      <c r="E15" t="s">
        <v>12</v>
      </c>
      <c r="F15">
        <v>33</v>
      </c>
      <c r="G15">
        <v>4</v>
      </c>
      <c r="H15">
        <v>27</v>
      </c>
      <c r="I15">
        <v>0</v>
      </c>
      <c r="J15">
        <v>0</v>
      </c>
      <c r="K15">
        <v>228</v>
      </c>
    </row>
    <row r="16" spans="1:11" x14ac:dyDescent="0.35">
      <c r="A16">
        <v>103</v>
      </c>
      <c r="B16">
        <v>85</v>
      </c>
      <c r="C16" t="s">
        <v>20</v>
      </c>
      <c r="D16" t="s">
        <v>11</v>
      </c>
      <c r="E16" t="s">
        <v>12</v>
      </c>
      <c r="F16">
        <v>32</v>
      </c>
      <c r="G16">
        <v>0</v>
      </c>
      <c r="H16">
        <v>17.7</v>
      </c>
      <c r="I16">
        <v>15</v>
      </c>
      <c r="J16">
        <v>17</v>
      </c>
      <c r="K16">
        <v>24</v>
      </c>
    </row>
    <row r="17" spans="1:11" x14ac:dyDescent="0.35">
      <c r="A17">
        <v>103</v>
      </c>
      <c r="B17">
        <v>85</v>
      </c>
      <c r="C17" t="s">
        <v>20</v>
      </c>
      <c r="D17" t="s">
        <v>13</v>
      </c>
      <c r="E17" t="s">
        <v>12</v>
      </c>
      <c r="F17">
        <v>32</v>
      </c>
      <c r="G17">
        <v>2</v>
      </c>
      <c r="H17">
        <v>17.7</v>
      </c>
      <c r="I17">
        <v>13</v>
      </c>
      <c r="J17">
        <v>19</v>
      </c>
      <c r="K17">
        <v>24</v>
      </c>
    </row>
    <row r="18" spans="1:11" x14ac:dyDescent="0.35">
      <c r="A18">
        <v>105</v>
      </c>
      <c r="B18">
        <v>87</v>
      </c>
      <c r="C18" t="s">
        <v>21</v>
      </c>
      <c r="D18" t="s">
        <v>11</v>
      </c>
      <c r="E18" t="s">
        <v>12</v>
      </c>
      <c r="F18">
        <v>273</v>
      </c>
      <c r="G18">
        <v>12</v>
      </c>
      <c r="H18">
        <v>24.8</v>
      </c>
      <c r="I18">
        <v>214</v>
      </c>
      <c r="J18">
        <v>69</v>
      </c>
      <c r="K18">
        <v>61.5</v>
      </c>
    </row>
    <row r="19" spans="1:11" x14ac:dyDescent="0.35">
      <c r="A19">
        <v>105</v>
      </c>
      <c r="B19">
        <v>87</v>
      </c>
      <c r="C19" t="s">
        <v>21</v>
      </c>
      <c r="D19" t="s">
        <v>13</v>
      </c>
      <c r="E19" t="s">
        <v>12</v>
      </c>
      <c r="F19">
        <v>283</v>
      </c>
      <c r="G19">
        <v>12</v>
      </c>
      <c r="H19">
        <v>25.2</v>
      </c>
      <c r="I19">
        <v>233</v>
      </c>
      <c r="J19">
        <v>40</v>
      </c>
      <c r="K19">
        <v>63.9</v>
      </c>
    </row>
    <row r="20" spans="1:11" x14ac:dyDescent="0.35">
      <c r="A20">
        <v>109</v>
      </c>
      <c r="B20">
        <v>90</v>
      </c>
      <c r="C20" t="s">
        <v>22</v>
      </c>
      <c r="D20" t="s">
        <v>11</v>
      </c>
      <c r="E20" t="s">
        <v>12</v>
      </c>
      <c r="F20">
        <v>32</v>
      </c>
      <c r="G20">
        <v>3</v>
      </c>
      <c r="H20">
        <v>21.7</v>
      </c>
      <c r="I20">
        <v>25</v>
      </c>
      <c r="J20">
        <v>7</v>
      </c>
      <c r="K20">
        <v>32.4</v>
      </c>
    </row>
    <row r="21" spans="1:11" x14ac:dyDescent="0.35">
      <c r="A21">
        <v>109</v>
      </c>
      <c r="B21">
        <v>90</v>
      </c>
      <c r="C21" t="s">
        <v>22</v>
      </c>
      <c r="D21" t="s">
        <v>13</v>
      </c>
      <c r="E21" t="s">
        <v>12</v>
      </c>
      <c r="F21">
        <v>32</v>
      </c>
      <c r="G21">
        <v>4</v>
      </c>
      <c r="H21">
        <v>22.1</v>
      </c>
      <c r="I21">
        <v>28</v>
      </c>
      <c r="J21">
        <v>4</v>
      </c>
      <c r="K21">
        <v>38.4</v>
      </c>
    </row>
    <row r="22" spans="1:11" x14ac:dyDescent="0.35">
      <c r="A22">
        <v>115</v>
      </c>
      <c r="B22">
        <v>96</v>
      </c>
      <c r="C22" t="s">
        <v>23</v>
      </c>
      <c r="D22" t="s">
        <v>11</v>
      </c>
      <c r="E22" t="s">
        <v>12</v>
      </c>
      <c r="F22">
        <v>29</v>
      </c>
      <c r="G22">
        <v>3</v>
      </c>
      <c r="H22">
        <v>29.9</v>
      </c>
      <c r="I22">
        <v>19</v>
      </c>
      <c r="J22">
        <v>12</v>
      </c>
      <c r="K22">
        <v>108</v>
      </c>
    </row>
    <row r="23" spans="1:11" x14ac:dyDescent="0.35">
      <c r="A23">
        <v>115</v>
      </c>
      <c r="B23">
        <v>96</v>
      </c>
      <c r="C23" t="s">
        <v>23</v>
      </c>
      <c r="D23" t="s">
        <v>13</v>
      </c>
      <c r="E23" t="s">
        <v>12</v>
      </c>
      <c r="F23">
        <v>25</v>
      </c>
      <c r="G23">
        <v>3</v>
      </c>
      <c r="H23">
        <v>34.200000000000003</v>
      </c>
      <c r="I23">
        <v>18</v>
      </c>
      <c r="J23">
        <v>13</v>
      </c>
      <c r="K23">
        <v>108</v>
      </c>
    </row>
    <row r="24" spans="1:11" x14ac:dyDescent="0.35">
      <c r="A24">
        <v>117</v>
      </c>
      <c r="B24">
        <v>97</v>
      </c>
      <c r="C24" t="s">
        <v>24</v>
      </c>
      <c r="D24" t="s">
        <v>13</v>
      </c>
      <c r="E24" t="s">
        <v>12</v>
      </c>
      <c r="F24">
        <v>36</v>
      </c>
      <c r="G24">
        <v>1</v>
      </c>
      <c r="H24">
        <v>30.1</v>
      </c>
      <c r="I24">
        <v>32</v>
      </c>
      <c r="J24">
        <v>4</v>
      </c>
      <c r="K24">
        <v>12</v>
      </c>
    </row>
    <row r="25" spans="1:11" x14ac:dyDescent="0.35">
      <c r="A25">
        <v>117</v>
      </c>
      <c r="B25">
        <v>97</v>
      </c>
      <c r="C25" t="s">
        <v>24</v>
      </c>
      <c r="D25" t="s">
        <v>25</v>
      </c>
      <c r="E25" t="s">
        <v>12</v>
      </c>
      <c r="F25">
        <v>33</v>
      </c>
      <c r="G25">
        <v>0</v>
      </c>
      <c r="H25">
        <v>28.7</v>
      </c>
      <c r="I25">
        <v>30</v>
      </c>
      <c r="J25">
        <v>3</v>
      </c>
      <c r="K25">
        <v>12</v>
      </c>
    </row>
    <row r="26" spans="1:11" x14ac:dyDescent="0.35">
      <c r="A26">
        <v>3</v>
      </c>
      <c r="B26">
        <v>2</v>
      </c>
      <c r="C26" t="s">
        <v>26</v>
      </c>
      <c r="D26" t="s">
        <v>11</v>
      </c>
      <c r="E26" t="s">
        <v>27</v>
      </c>
      <c r="F26">
        <v>60</v>
      </c>
      <c r="G26">
        <v>10</v>
      </c>
      <c r="H26">
        <v>25</v>
      </c>
      <c r="I26">
        <v>46</v>
      </c>
      <c r="J26">
        <v>14</v>
      </c>
      <c r="K26">
        <v>24</v>
      </c>
    </row>
    <row r="27" spans="1:11" x14ac:dyDescent="0.35">
      <c r="A27">
        <v>3</v>
      </c>
      <c r="B27">
        <v>2</v>
      </c>
      <c r="C27" t="s">
        <v>26</v>
      </c>
      <c r="D27" t="s">
        <v>13</v>
      </c>
      <c r="E27" t="s">
        <v>27</v>
      </c>
      <c r="F27">
        <v>60</v>
      </c>
      <c r="G27">
        <v>11</v>
      </c>
      <c r="H27">
        <v>25</v>
      </c>
      <c r="I27">
        <v>46</v>
      </c>
      <c r="J27">
        <v>14</v>
      </c>
      <c r="K27">
        <v>24</v>
      </c>
    </row>
    <row r="28" spans="1:11" x14ac:dyDescent="0.35">
      <c r="A28">
        <v>7</v>
      </c>
      <c r="B28">
        <v>5</v>
      </c>
      <c r="C28" t="s">
        <v>28</v>
      </c>
      <c r="D28" t="s">
        <v>11</v>
      </c>
      <c r="E28" t="s">
        <v>27</v>
      </c>
      <c r="F28">
        <v>35</v>
      </c>
      <c r="G28">
        <v>18</v>
      </c>
      <c r="H28">
        <v>23.6</v>
      </c>
      <c r="I28">
        <v>23</v>
      </c>
      <c r="J28">
        <v>12</v>
      </c>
      <c r="K28">
        <v>34.6</v>
      </c>
    </row>
    <row r="29" spans="1:11" x14ac:dyDescent="0.35">
      <c r="A29">
        <v>7</v>
      </c>
      <c r="B29">
        <v>5</v>
      </c>
      <c r="C29" t="s">
        <v>28</v>
      </c>
      <c r="D29" t="s">
        <v>13</v>
      </c>
      <c r="E29" t="s">
        <v>27</v>
      </c>
      <c r="F29">
        <v>70</v>
      </c>
      <c r="G29">
        <v>36</v>
      </c>
      <c r="H29">
        <v>21</v>
      </c>
      <c r="I29">
        <v>45</v>
      </c>
      <c r="J29">
        <v>23</v>
      </c>
      <c r="K29">
        <v>35.799999999999997</v>
      </c>
    </row>
    <row r="30" spans="1:11" x14ac:dyDescent="0.35">
      <c r="A30">
        <v>19</v>
      </c>
      <c r="B30">
        <v>11</v>
      </c>
      <c r="C30" t="s">
        <v>29</v>
      </c>
      <c r="D30" t="s">
        <v>11</v>
      </c>
      <c r="E30" t="s">
        <v>27</v>
      </c>
      <c r="F30">
        <v>22</v>
      </c>
      <c r="G30">
        <v>3</v>
      </c>
      <c r="H30">
        <v>28.5</v>
      </c>
      <c r="I30">
        <v>18</v>
      </c>
      <c r="J30">
        <v>10</v>
      </c>
      <c r="K30">
        <v>36</v>
      </c>
    </row>
    <row r="31" spans="1:11" x14ac:dyDescent="0.35">
      <c r="A31">
        <v>19</v>
      </c>
      <c r="B31">
        <v>11</v>
      </c>
      <c r="C31" t="s">
        <v>29</v>
      </c>
      <c r="D31" t="s">
        <v>13</v>
      </c>
      <c r="E31" t="s">
        <v>27</v>
      </c>
      <c r="F31">
        <v>22</v>
      </c>
      <c r="G31">
        <v>9</v>
      </c>
      <c r="H31">
        <v>29.9</v>
      </c>
      <c r="I31">
        <v>13</v>
      </c>
      <c r="J31">
        <v>15</v>
      </c>
      <c r="K31">
        <v>36</v>
      </c>
    </row>
    <row r="32" spans="1:11" x14ac:dyDescent="0.35">
      <c r="A32">
        <v>21</v>
      </c>
      <c r="B32">
        <v>12</v>
      </c>
      <c r="C32" t="s">
        <v>30</v>
      </c>
      <c r="D32" t="s">
        <v>13</v>
      </c>
      <c r="E32" t="s">
        <v>27</v>
      </c>
      <c r="F32">
        <v>62</v>
      </c>
      <c r="G32">
        <v>4</v>
      </c>
      <c r="H32">
        <v>27.9</v>
      </c>
      <c r="I32">
        <v>31</v>
      </c>
      <c r="J32">
        <v>31</v>
      </c>
      <c r="K32">
        <v>30.3</v>
      </c>
    </row>
    <row r="33" spans="1:11" x14ac:dyDescent="0.35">
      <c r="A33">
        <v>21</v>
      </c>
      <c r="B33">
        <v>12</v>
      </c>
      <c r="C33" t="s">
        <v>30</v>
      </c>
      <c r="D33" t="s">
        <v>31</v>
      </c>
      <c r="E33" t="s">
        <v>27</v>
      </c>
      <c r="F33">
        <v>62</v>
      </c>
      <c r="G33">
        <v>5</v>
      </c>
      <c r="H33">
        <v>29.1</v>
      </c>
      <c r="I33">
        <v>34</v>
      </c>
      <c r="J33">
        <v>28</v>
      </c>
      <c r="K33">
        <v>29.7</v>
      </c>
    </row>
    <row r="34" spans="1:11" x14ac:dyDescent="0.35">
      <c r="A34">
        <v>23</v>
      </c>
      <c r="B34">
        <v>13</v>
      </c>
      <c r="C34" t="s">
        <v>32</v>
      </c>
      <c r="D34" t="s">
        <v>11</v>
      </c>
      <c r="E34" t="s">
        <v>27</v>
      </c>
      <c r="F34">
        <v>60</v>
      </c>
      <c r="G34">
        <v>26</v>
      </c>
      <c r="H34">
        <v>28.2</v>
      </c>
      <c r="I34">
        <v>42</v>
      </c>
      <c r="J34">
        <v>19</v>
      </c>
      <c r="K34">
        <v>202.6</v>
      </c>
    </row>
    <row r="35" spans="1:11" x14ac:dyDescent="0.35">
      <c r="A35">
        <v>23</v>
      </c>
      <c r="B35">
        <v>13</v>
      </c>
      <c r="C35" t="s">
        <v>32</v>
      </c>
      <c r="D35" t="s">
        <v>13</v>
      </c>
      <c r="E35" t="s">
        <v>27</v>
      </c>
      <c r="F35">
        <v>86</v>
      </c>
      <c r="G35">
        <v>28</v>
      </c>
      <c r="H35">
        <v>26.8</v>
      </c>
      <c r="I35">
        <v>53</v>
      </c>
      <c r="J35">
        <v>33</v>
      </c>
      <c r="K35">
        <v>191.9</v>
      </c>
    </row>
    <row r="36" spans="1:11" x14ac:dyDescent="0.35">
      <c r="A36">
        <v>33</v>
      </c>
      <c r="B36">
        <v>25</v>
      </c>
      <c r="C36" t="s">
        <v>33</v>
      </c>
      <c r="D36" t="s">
        <v>11</v>
      </c>
      <c r="E36" t="s">
        <v>27</v>
      </c>
      <c r="F36">
        <v>42</v>
      </c>
      <c r="G36">
        <v>6</v>
      </c>
      <c r="H36">
        <v>27</v>
      </c>
      <c r="I36">
        <v>0</v>
      </c>
      <c r="J36">
        <v>0</v>
      </c>
      <c r="K36">
        <v>6.7</v>
      </c>
    </row>
    <row r="37" spans="1:11" x14ac:dyDescent="0.35">
      <c r="A37">
        <v>33</v>
      </c>
      <c r="B37">
        <v>25</v>
      </c>
      <c r="C37" t="s">
        <v>33</v>
      </c>
      <c r="D37" t="s">
        <v>13</v>
      </c>
      <c r="E37" t="s">
        <v>27</v>
      </c>
      <c r="F37">
        <v>47</v>
      </c>
      <c r="G37">
        <v>19</v>
      </c>
      <c r="H37">
        <v>27</v>
      </c>
      <c r="I37">
        <v>0</v>
      </c>
      <c r="J37">
        <v>0</v>
      </c>
      <c r="K37">
        <v>6.7</v>
      </c>
    </row>
    <row r="38" spans="1:11" x14ac:dyDescent="0.35">
      <c r="A38">
        <v>35</v>
      </c>
      <c r="B38">
        <v>26</v>
      </c>
      <c r="C38" t="s">
        <v>34</v>
      </c>
      <c r="D38" t="s">
        <v>11</v>
      </c>
      <c r="E38" t="s">
        <v>27</v>
      </c>
      <c r="F38">
        <v>42</v>
      </c>
      <c r="G38">
        <v>2</v>
      </c>
      <c r="H38">
        <v>25.8</v>
      </c>
      <c r="I38">
        <v>23</v>
      </c>
      <c r="J38">
        <v>8</v>
      </c>
      <c r="K38">
        <v>36</v>
      </c>
    </row>
    <row r="39" spans="1:11" x14ac:dyDescent="0.35">
      <c r="A39">
        <v>35</v>
      </c>
      <c r="B39">
        <v>26</v>
      </c>
      <c r="C39" t="s">
        <v>34</v>
      </c>
      <c r="D39" t="s">
        <v>13</v>
      </c>
      <c r="E39" t="s">
        <v>27</v>
      </c>
      <c r="F39">
        <v>47</v>
      </c>
      <c r="G39">
        <v>9</v>
      </c>
      <c r="H39">
        <v>26.3</v>
      </c>
      <c r="I39">
        <v>24</v>
      </c>
      <c r="J39">
        <v>10</v>
      </c>
      <c r="K39">
        <v>36</v>
      </c>
    </row>
    <row r="40" spans="1:11" x14ac:dyDescent="0.35">
      <c r="A40">
        <v>39</v>
      </c>
      <c r="B40">
        <v>32</v>
      </c>
      <c r="C40" t="s">
        <v>35</v>
      </c>
      <c r="D40" t="s">
        <v>11</v>
      </c>
      <c r="E40" t="s">
        <v>27</v>
      </c>
      <c r="F40">
        <v>31</v>
      </c>
      <c r="G40">
        <v>7</v>
      </c>
      <c r="H40">
        <v>25.2</v>
      </c>
      <c r="I40">
        <v>23</v>
      </c>
      <c r="J40">
        <v>8</v>
      </c>
      <c r="K40">
        <v>24</v>
      </c>
    </row>
    <row r="41" spans="1:11" x14ac:dyDescent="0.35">
      <c r="A41">
        <v>39</v>
      </c>
      <c r="B41">
        <v>32</v>
      </c>
      <c r="C41" t="s">
        <v>35</v>
      </c>
      <c r="D41" t="s">
        <v>13</v>
      </c>
      <c r="E41" t="s">
        <v>27</v>
      </c>
      <c r="F41">
        <v>31</v>
      </c>
      <c r="G41">
        <v>10</v>
      </c>
      <c r="H41">
        <v>24.6</v>
      </c>
      <c r="I41">
        <v>19</v>
      </c>
      <c r="J41">
        <v>12</v>
      </c>
      <c r="K41">
        <v>24</v>
      </c>
    </row>
    <row r="42" spans="1:11" x14ac:dyDescent="0.35">
      <c r="A42">
        <v>41</v>
      </c>
      <c r="B42">
        <v>33</v>
      </c>
      <c r="C42" t="s">
        <v>36</v>
      </c>
      <c r="D42" t="s">
        <v>11</v>
      </c>
      <c r="E42" t="s">
        <v>27</v>
      </c>
      <c r="F42">
        <v>37</v>
      </c>
      <c r="G42">
        <v>4</v>
      </c>
      <c r="H42">
        <v>0</v>
      </c>
      <c r="I42">
        <v>0</v>
      </c>
      <c r="J42">
        <v>0</v>
      </c>
      <c r="K42">
        <v>60.6</v>
      </c>
    </row>
    <row r="43" spans="1:11" x14ac:dyDescent="0.35">
      <c r="A43">
        <v>41</v>
      </c>
      <c r="B43">
        <v>33</v>
      </c>
      <c r="C43" t="s">
        <v>36</v>
      </c>
      <c r="D43" t="s">
        <v>13</v>
      </c>
      <c r="E43" t="s">
        <v>27</v>
      </c>
      <c r="F43">
        <v>37</v>
      </c>
      <c r="G43">
        <v>4</v>
      </c>
      <c r="H43">
        <v>0</v>
      </c>
      <c r="I43">
        <v>0</v>
      </c>
      <c r="J43">
        <v>0</v>
      </c>
      <c r="K43">
        <v>60.6</v>
      </c>
    </row>
    <row r="44" spans="1:11" x14ac:dyDescent="0.35">
      <c r="A44">
        <v>43</v>
      </c>
      <c r="B44">
        <v>34</v>
      </c>
      <c r="C44" t="s">
        <v>37</v>
      </c>
      <c r="D44" t="s">
        <v>11</v>
      </c>
      <c r="E44" t="s">
        <v>27</v>
      </c>
      <c r="F44">
        <v>30</v>
      </c>
      <c r="G44">
        <v>13</v>
      </c>
      <c r="H44">
        <v>29</v>
      </c>
      <c r="I44">
        <v>22</v>
      </c>
      <c r="J44">
        <v>12</v>
      </c>
      <c r="K44">
        <v>24.7</v>
      </c>
    </row>
    <row r="45" spans="1:11" x14ac:dyDescent="0.35">
      <c r="A45">
        <v>43</v>
      </c>
      <c r="B45">
        <v>34</v>
      </c>
      <c r="C45" t="s">
        <v>37</v>
      </c>
      <c r="D45" t="s">
        <v>13</v>
      </c>
      <c r="E45" t="s">
        <v>27</v>
      </c>
      <c r="F45">
        <v>29</v>
      </c>
      <c r="G45">
        <v>22</v>
      </c>
      <c r="H45">
        <v>30</v>
      </c>
      <c r="I45">
        <v>14</v>
      </c>
      <c r="J45">
        <v>20</v>
      </c>
      <c r="K45">
        <v>24.7</v>
      </c>
    </row>
    <row r="46" spans="1:11" x14ac:dyDescent="0.35">
      <c r="A46">
        <v>47</v>
      </c>
      <c r="B46">
        <v>36</v>
      </c>
      <c r="C46" t="s">
        <v>38</v>
      </c>
      <c r="D46" t="s">
        <v>13</v>
      </c>
      <c r="E46" t="s">
        <v>27</v>
      </c>
      <c r="F46">
        <v>26</v>
      </c>
      <c r="G46">
        <v>0</v>
      </c>
      <c r="H46">
        <v>32.700000000000003</v>
      </c>
      <c r="I46">
        <v>12</v>
      </c>
      <c r="J46">
        <v>15</v>
      </c>
      <c r="K46">
        <v>24</v>
      </c>
    </row>
    <row r="47" spans="1:11" x14ac:dyDescent="0.35">
      <c r="A47">
        <v>47</v>
      </c>
      <c r="B47">
        <v>36</v>
      </c>
      <c r="C47" t="s">
        <v>38</v>
      </c>
      <c r="D47" t="s">
        <v>25</v>
      </c>
      <c r="E47" t="s">
        <v>27</v>
      </c>
      <c r="F47">
        <v>23</v>
      </c>
      <c r="G47">
        <v>0</v>
      </c>
      <c r="H47">
        <v>24.1</v>
      </c>
      <c r="I47">
        <v>21</v>
      </c>
      <c r="J47">
        <v>3</v>
      </c>
      <c r="K47">
        <v>24</v>
      </c>
    </row>
    <row r="48" spans="1:11" x14ac:dyDescent="0.35">
      <c r="A48">
        <v>49</v>
      </c>
      <c r="B48">
        <v>37</v>
      </c>
      <c r="C48" t="s">
        <v>39</v>
      </c>
      <c r="D48" t="s">
        <v>11</v>
      </c>
      <c r="E48" t="s">
        <v>27</v>
      </c>
      <c r="F48">
        <v>40</v>
      </c>
      <c r="G48">
        <v>5</v>
      </c>
      <c r="H48">
        <v>22.3</v>
      </c>
      <c r="I48">
        <v>40</v>
      </c>
      <c r="J48">
        <v>0</v>
      </c>
      <c r="K48">
        <v>81</v>
      </c>
    </row>
    <row r="49" spans="1:11" x14ac:dyDescent="0.35">
      <c r="A49">
        <v>49</v>
      </c>
      <c r="B49">
        <v>37</v>
      </c>
      <c r="C49" t="s">
        <v>39</v>
      </c>
      <c r="D49" t="s">
        <v>13</v>
      </c>
      <c r="E49" t="s">
        <v>27</v>
      </c>
      <c r="F49">
        <v>45</v>
      </c>
      <c r="G49">
        <v>8</v>
      </c>
      <c r="H49">
        <v>22.3</v>
      </c>
      <c r="I49">
        <v>46</v>
      </c>
      <c r="J49">
        <v>0</v>
      </c>
      <c r="K49">
        <v>81</v>
      </c>
    </row>
    <row r="50" spans="1:11" x14ac:dyDescent="0.35">
      <c r="A50">
        <v>53</v>
      </c>
      <c r="B50">
        <v>41</v>
      </c>
      <c r="C50" t="s">
        <v>40</v>
      </c>
      <c r="D50" t="s">
        <v>11</v>
      </c>
      <c r="E50" t="s">
        <v>27</v>
      </c>
      <c r="F50">
        <v>43</v>
      </c>
      <c r="G50">
        <v>3</v>
      </c>
      <c r="H50">
        <v>0</v>
      </c>
      <c r="I50">
        <v>0</v>
      </c>
      <c r="J50">
        <v>0</v>
      </c>
      <c r="K50">
        <v>24</v>
      </c>
    </row>
    <row r="51" spans="1:11" x14ac:dyDescent="0.35">
      <c r="A51">
        <v>53</v>
      </c>
      <c r="B51">
        <v>41</v>
      </c>
      <c r="C51" t="s">
        <v>40</v>
      </c>
      <c r="D51" t="s">
        <v>13</v>
      </c>
      <c r="E51" t="s">
        <v>27</v>
      </c>
      <c r="F51">
        <v>46</v>
      </c>
      <c r="G51">
        <v>3</v>
      </c>
      <c r="H51">
        <v>0</v>
      </c>
      <c r="I51">
        <v>0</v>
      </c>
      <c r="J51">
        <v>0</v>
      </c>
      <c r="K51">
        <v>24</v>
      </c>
    </row>
    <row r="52" spans="1:11" x14ac:dyDescent="0.35">
      <c r="A52">
        <v>61</v>
      </c>
      <c r="B52">
        <v>46</v>
      </c>
      <c r="C52" t="s">
        <v>41</v>
      </c>
      <c r="D52" t="s">
        <v>11</v>
      </c>
      <c r="E52" t="s">
        <v>27</v>
      </c>
      <c r="F52">
        <v>15</v>
      </c>
      <c r="G52">
        <v>2</v>
      </c>
      <c r="H52">
        <v>29.9</v>
      </c>
      <c r="I52">
        <v>0</v>
      </c>
      <c r="J52">
        <v>0</v>
      </c>
      <c r="K52">
        <v>19</v>
      </c>
    </row>
    <row r="53" spans="1:11" x14ac:dyDescent="0.35">
      <c r="A53">
        <v>61</v>
      </c>
      <c r="B53">
        <v>46</v>
      </c>
      <c r="C53" t="s">
        <v>41</v>
      </c>
      <c r="D53" t="s">
        <v>13</v>
      </c>
      <c r="E53" t="s">
        <v>27</v>
      </c>
      <c r="F53">
        <v>13</v>
      </c>
      <c r="G53">
        <v>2</v>
      </c>
      <c r="H53">
        <v>28.7</v>
      </c>
      <c r="I53">
        <v>0</v>
      </c>
      <c r="J53">
        <v>0</v>
      </c>
      <c r="K53">
        <v>19</v>
      </c>
    </row>
    <row r="54" spans="1:11" x14ac:dyDescent="0.35">
      <c r="A54">
        <v>63</v>
      </c>
      <c r="B54">
        <v>47</v>
      </c>
      <c r="C54" t="s">
        <v>42</v>
      </c>
      <c r="D54" t="s">
        <v>13</v>
      </c>
      <c r="E54" t="s">
        <v>27</v>
      </c>
      <c r="F54">
        <v>54</v>
      </c>
      <c r="G54">
        <v>6</v>
      </c>
      <c r="H54">
        <v>32</v>
      </c>
      <c r="I54">
        <v>32</v>
      </c>
      <c r="J54">
        <v>22</v>
      </c>
      <c r="K54">
        <v>24</v>
      </c>
    </row>
    <row r="55" spans="1:11" x14ac:dyDescent="0.35">
      <c r="A55">
        <v>63</v>
      </c>
      <c r="B55">
        <v>47</v>
      </c>
      <c r="C55" t="s">
        <v>42</v>
      </c>
      <c r="D55" t="s">
        <v>43</v>
      </c>
      <c r="E55" t="s">
        <v>27</v>
      </c>
      <c r="F55">
        <v>48</v>
      </c>
      <c r="G55">
        <v>4</v>
      </c>
      <c r="H55">
        <v>33</v>
      </c>
      <c r="I55">
        <v>38</v>
      </c>
      <c r="J55">
        <v>10</v>
      </c>
      <c r="K55">
        <v>24</v>
      </c>
    </row>
    <row r="56" spans="1:11" x14ac:dyDescent="0.35">
      <c r="A56">
        <v>67</v>
      </c>
      <c r="B56">
        <v>51</v>
      </c>
      <c r="C56" t="s">
        <v>44</v>
      </c>
      <c r="D56" t="s">
        <v>13</v>
      </c>
      <c r="E56" t="s">
        <v>27</v>
      </c>
      <c r="F56">
        <v>32</v>
      </c>
      <c r="G56">
        <v>4</v>
      </c>
      <c r="H56">
        <v>29.8</v>
      </c>
      <c r="I56">
        <v>17</v>
      </c>
      <c r="J56">
        <v>15</v>
      </c>
      <c r="K56">
        <v>69.599999999999994</v>
      </c>
    </row>
    <row r="57" spans="1:11" x14ac:dyDescent="0.35">
      <c r="A57">
        <v>67</v>
      </c>
      <c r="B57">
        <v>51</v>
      </c>
      <c r="C57" t="s">
        <v>44</v>
      </c>
      <c r="D57" t="s">
        <v>43</v>
      </c>
      <c r="E57" t="s">
        <v>27</v>
      </c>
      <c r="F57">
        <v>32</v>
      </c>
      <c r="G57">
        <v>9</v>
      </c>
      <c r="H57">
        <v>30.5</v>
      </c>
      <c r="I57">
        <v>15</v>
      </c>
      <c r="J57">
        <v>17</v>
      </c>
      <c r="K57">
        <v>73.2</v>
      </c>
    </row>
    <row r="58" spans="1:11" x14ac:dyDescent="0.35">
      <c r="A58">
        <v>71</v>
      </c>
      <c r="B58">
        <v>53</v>
      </c>
      <c r="C58" t="s">
        <v>45</v>
      </c>
      <c r="D58" t="s">
        <v>13</v>
      </c>
      <c r="E58" t="s">
        <v>27</v>
      </c>
      <c r="F58">
        <v>49</v>
      </c>
      <c r="G58">
        <v>11</v>
      </c>
      <c r="H58">
        <v>27.1</v>
      </c>
      <c r="I58">
        <v>25</v>
      </c>
      <c r="J58">
        <v>24</v>
      </c>
      <c r="K58">
        <v>24</v>
      </c>
    </row>
    <row r="59" spans="1:11" x14ac:dyDescent="0.35">
      <c r="A59">
        <v>71</v>
      </c>
      <c r="B59">
        <v>53</v>
      </c>
      <c r="C59" t="s">
        <v>45</v>
      </c>
      <c r="D59" t="s">
        <v>25</v>
      </c>
      <c r="E59" t="s">
        <v>27</v>
      </c>
      <c r="F59">
        <v>47</v>
      </c>
      <c r="G59">
        <v>8</v>
      </c>
      <c r="H59">
        <v>27.2</v>
      </c>
      <c r="I59">
        <v>29</v>
      </c>
      <c r="J59">
        <v>21</v>
      </c>
      <c r="K59">
        <v>24</v>
      </c>
    </row>
    <row r="60" spans="1:11" x14ac:dyDescent="0.35">
      <c r="A60">
        <v>79</v>
      </c>
      <c r="B60">
        <v>56</v>
      </c>
      <c r="C60" t="s">
        <v>46</v>
      </c>
      <c r="D60" t="s">
        <v>11</v>
      </c>
      <c r="E60" t="s">
        <v>27</v>
      </c>
      <c r="F60">
        <v>25</v>
      </c>
      <c r="G60">
        <v>4</v>
      </c>
      <c r="H60">
        <v>31</v>
      </c>
      <c r="I60">
        <v>15</v>
      </c>
      <c r="J60">
        <v>3</v>
      </c>
      <c r="K60">
        <v>24</v>
      </c>
    </row>
    <row r="61" spans="1:11" x14ac:dyDescent="0.35">
      <c r="A61">
        <v>79</v>
      </c>
      <c r="B61">
        <v>56</v>
      </c>
      <c r="C61" t="s">
        <v>46</v>
      </c>
      <c r="D61" t="s">
        <v>25</v>
      </c>
      <c r="E61" t="s">
        <v>27</v>
      </c>
      <c r="F61">
        <v>26</v>
      </c>
      <c r="G61">
        <v>10</v>
      </c>
      <c r="H61">
        <v>30</v>
      </c>
      <c r="I61">
        <v>17</v>
      </c>
      <c r="J61">
        <v>4</v>
      </c>
      <c r="K61">
        <v>24</v>
      </c>
    </row>
    <row r="62" spans="1:11" x14ac:dyDescent="0.35">
      <c r="A62">
        <v>81</v>
      </c>
      <c r="B62">
        <v>58</v>
      </c>
      <c r="C62" t="s">
        <v>47</v>
      </c>
      <c r="D62" t="s">
        <v>13</v>
      </c>
      <c r="E62" t="s">
        <v>27</v>
      </c>
      <c r="F62">
        <v>25</v>
      </c>
      <c r="G62">
        <v>4</v>
      </c>
      <c r="H62">
        <v>28.1</v>
      </c>
      <c r="I62">
        <v>18</v>
      </c>
      <c r="J62">
        <v>7</v>
      </c>
      <c r="K62">
        <v>6</v>
      </c>
    </row>
    <row r="63" spans="1:11" x14ac:dyDescent="0.35">
      <c r="A63">
        <v>81</v>
      </c>
      <c r="B63">
        <v>58</v>
      </c>
      <c r="C63" t="s">
        <v>47</v>
      </c>
      <c r="D63" t="s">
        <v>31</v>
      </c>
      <c r="E63" t="s">
        <v>27</v>
      </c>
      <c r="F63">
        <v>25</v>
      </c>
      <c r="G63">
        <v>3</v>
      </c>
      <c r="H63">
        <v>27.8</v>
      </c>
      <c r="I63">
        <v>17</v>
      </c>
      <c r="J63">
        <v>8</v>
      </c>
      <c r="K63">
        <v>6</v>
      </c>
    </row>
    <row r="64" spans="1:11" x14ac:dyDescent="0.35">
      <c r="A64">
        <v>91</v>
      </c>
      <c r="B64">
        <v>70</v>
      </c>
      <c r="C64" t="s">
        <v>48</v>
      </c>
      <c r="D64" t="s">
        <v>13</v>
      </c>
      <c r="E64" t="s">
        <v>27</v>
      </c>
      <c r="F64">
        <v>33</v>
      </c>
      <c r="G64">
        <v>6</v>
      </c>
      <c r="H64">
        <v>25.8</v>
      </c>
      <c r="I64">
        <v>30</v>
      </c>
      <c r="J64">
        <v>3</v>
      </c>
      <c r="K64">
        <v>28.1</v>
      </c>
    </row>
    <row r="65" spans="1:11" x14ac:dyDescent="0.35">
      <c r="A65">
        <v>91</v>
      </c>
      <c r="B65">
        <v>70</v>
      </c>
      <c r="C65" t="s">
        <v>48</v>
      </c>
      <c r="D65" t="s">
        <v>49</v>
      </c>
      <c r="E65" t="s">
        <v>27</v>
      </c>
      <c r="F65">
        <v>32</v>
      </c>
      <c r="G65">
        <v>11</v>
      </c>
      <c r="H65">
        <v>25.6</v>
      </c>
      <c r="I65">
        <v>26</v>
      </c>
      <c r="J65">
        <v>6</v>
      </c>
      <c r="K65">
        <v>31.6</v>
      </c>
    </row>
    <row r="66" spans="1:11" x14ac:dyDescent="0.35">
      <c r="A66">
        <v>95</v>
      </c>
      <c r="B66">
        <v>76</v>
      </c>
      <c r="C66" t="s">
        <v>18</v>
      </c>
      <c r="D66" t="s">
        <v>11</v>
      </c>
      <c r="E66" t="s">
        <v>27</v>
      </c>
      <c r="F66">
        <v>53</v>
      </c>
      <c r="G66">
        <v>5</v>
      </c>
      <c r="H66">
        <v>25</v>
      </c>
      <c r="I66">
        <v>48</v>
      </c>
      <c r="J66">
        <v>42</v>
      </c>
      <c r="K66">
        <v>120</v>
      </c>
    </row>
    <row r="67" spans="1:11" x14ac:dyDescent="0.35">
      <c r="A67">
        <v>95</v>
      </c>
      <c r="B67">
        <v>76</v>
      </c>
      <c r="C67" t="s">
        <v>18</v>
      </c>
      <c r="D67" t="s">
        <v>13</v>
      </c>
      <c r="E67" t="s">
        <v>27</v>
      </c>
      <c r="F67">
        <v>58</v>
      </c>
      <c r="G67">
        <v>8</v>
      </c>
      <c r="H67">
        <v>24</v>
      </c>
      <c r="I67">
        <v>47</v>
      </c>
      <c r="J67">
        <v>43</v>
      </c>
      <c r="K67">
        <v>120</v>
      </c>
    </row>
    <row r="68" spans="1:11" x14ac:dyDescent="0.35">
      <c r="A68">
        <v>97</v>
      </c>
      <c r="B68">
        <v>77</v>
      </c>
      <c r="C68" t="s">
        <v>19</v>
      </c>
      <c r="D68" t="s">
        <v>11</v>
      </c>
      <c r="E68" t="s">
        <v>27</v>
      </c>
      <c r="F68">
        <v>38</v>
      </c>
      <c r="G68">
        <v>1</v>
      </c>
      <c r="H68">
        <v>27</v>
      </c>
      <c r="I68" t="s">
        <v>87</v>
      </c>
      <c r="J68">
        <v>0</v>
      </c>
      <c r="K68">
        <v>228</v>
      </c>
    </row>
    <row r="69" spans="1:11" x14ac:dyDescent="0.35">
      <c r="A69">
        <v>97</v>
      </c>
      <c r="B69">
        <v>77</v>
      </c>
      <c r="C69" t="s">
        <v>19</v>
      </c>
      <c r="D69" t="s">
        <v>13</v>
      </c>
      <c r="E69" t="s">
        <v>27</v>
      </c>
      <c r="F69">
        <v>33</v>
      </c>
      <c r="G69">
        <v>3</v>
      </c>
      <c r="H69">
        <v>27</v>
      </c>
      <c r="I69">
        <v>0</v>
      </c>
      <c r="J69">
        <v>0</v>
      </c>
      <c r="K69">
        <v>228</v>
      </c>
    </row>
    <row r="70" spans="1:11" x14ac:dyDescent="0.35">
      <c r="A70">
        <v>99</v>
      </c>
      <c r="B70">
        <v>82</v>
      </c>
      <c r="C70" t="s">
        <v>50</v>
      </c>
      <c r="D70" t="s">
        <v>11</v>
      </c>
      <c r="E70" t="s">
        <v>27</v>
      </c>
      <c r="F70">
        <v>24</v>
      </c>
      <c r="G70">
        <v>5</v>
      </c>
      <c r="H70">
        <v>45.5</v>
      </c>
      <c r="I70">
        <v>15</v>
      </c>
      <c r="J70">
        <v>9</v>
      </c>
      <c r="K70">
        <v>204</v>
      </c>
    </row>
    <row r="71" spans="1:11" x14ac:dyDescent="0.35">
      <c r="A71">
        <v>99</v>
      </c>
      <c r="B71">
        <v>82</v>
      </c>
      <c r="C71" t="s">
        <v>50</v>
      </c>
      <c r="D71" t="s">
        <v>13</v>
      </c>
      <c r="E71" t="s">
        <v>27</v>
      </c>
      <c r="F71">
        <v>24</v>
      </c>
      <c r="G71">
        <v>6</v>
      </c>
      <c r="H71">
        <v>42.5</v>
      </c>
      <c r="I71">
        <v>13</v>
      </c>
      <c r="J71">
        <v>11</v>
      </c>
      <c r="K71">
        <v>204</v>
      </c>
    </row>
    <row r="72" spans="1:11" x14ac:dyDescent="0.35">
      <c r="A72">
        <v>117</v>
      </c>
      <c r="B72">
        <v>97</v>
      </c>
      <c r="C72" t="s">
        <v>24</v>
      </c>
      <c r="D72" t="s">
        <v>13</v>
      </c>
      <c r="E72" t="s">
        <v>27</v>
      </c>
      <c r="F72">
        <v>36</v>
      </c>
      <c r="G72">
        <v>5</v>
      </c>
      <c r="H72">
        <v>30.1</v>
      </c>
      <c r="I72">
        <v>32</v>
      </c>
      <c r="J72">
        <v>4</v>
      </c>
      <c r="K72">
        <v>12</v>
      </c>
    </row>
    <row r="73" spans="1:11" x14ac:dyDescent="0.35">
      <c r="A73">
        <v>117</v>
      </c>
      <c r="B73">
        <v>97</v>
      </c>
      <c r="C73" t="s">
        <v>24</v>
      </c>
      <c r="D73" t="s">
        <v>25</v>
      </c>
      <c r="E73" t="s">
        <v>27</v>
      </c>
      <c r="F73">
        <v>33</v>
      </c>
      <c r="G73">
        <v>0</v>
      </c>
      <c r="H73">
        <v>28.7</v>
      </c>
      <c r="I73">
        <v>30</v>
      </c>
      <c r="J73">
        <v>3</v>
      </c>
      <c r="K73">
        <v>12</v>
      </c>
    </row>
    <row r="74" spans="1:11" x14ac:dyDescent="0.35">
      <c r="A74">
        <v>119</v>
      </c>
      <c r="B74">
        <v>98</v>
      </c>
      <c r="C74" t="s">
        <v>51</v>
      </c>
      <c r="D74" t="s">
        <v>13</v>
      </c>
      <c r="E74" t="s">
        <v>27</v>
      </c>
      <c r="F74">
        <v>68</v>
      </c>
      <c r="G74">
        <v>26</v>
      </c>
      <c r="H74">
        <v>30</v>
      </c>
      <c r="I74">
        <v>61</v>
      </c>
      <c r="J74">
        <v>7</v>
      </c>
      <c r="K74">
        <v>32.799999999999997</v>
      </c>
    </row>
    <row r="75" spans="1:11" x14ac:dyDescent="0.35">
      <c r="A75">
        <v>119</v>
      </c>
      <c r="B75">
        <v>98</v>
      </c>
      <c r="C75" t="s">
        <v>51</v>
      </c>
      <c r="D75" t="s">
        <v>43</v>
      </c>
      <c r="E75" t="s">
        <v>27</v>
      </c>
      <c r="F75">
        <v>64</v>
      </c>
      <c r="G75">
        <v>33</v>
      </c>
      <c r="H75">
        <v>24</v>
      </c>
      <c r="I75">
        <v>59</v>
      </c>
      <c r="J75">
        <v>5</v>
      </c>
      <c r="K75">
        <v>34.5</v>
      </c>
    </row>
    <row r="76" spans="1:11" x14ac:dyDescent="0.35">
      <c r="A76">
        <v>3</v>
      </c>
      <c r="B76">
        <v>2</v>
      </c>
      <c r="C76" t="s">
        <v>26</v>
      </c>
      <c r="D76" t="s">
        <v>11</v>
      </c>
      <c r="E76" t="s">
        <v>52</v>
      </c>
      <c r="F76">
        <v>60</v>
      </c>
      <c r="G76">
        <v>0</v>
      </c>
      <c r="H76">
        <v>25</v>
      </c>
      <c r="I76">
        <v>46</v>
      </c>
      <c r="J76">
        <v>14</v>
      </c>
      <c r="K76">
        <v>24</v>
      </c>
    </row>
    <row r="77" spans="1:11" x14ac:dyDescent="0.35">
      <c r="A77">
        <v>3</v>
      </c>
      <c r="B77">
        <v>2</v>
      </c>
      <c r="C77" t="s">
        <v>26</v>
      </c>
      <c r="D77" t="s">
        <v>13</v>
      </c>
      <c r="E77" t="s">
        <v>52</v>
      </c>
      <c r="F77">
        <v>60</v>
      </c>
      <c r="G77">
        <v>0</v>
      </c>
      <c r="H77">
        <v>25</v>
      </c>
      <c r="I77">
        <v>46</v>
      </c>
      <c r="J77">
        <v>14</v>
      </c>
      <c r="K77">
        <v>24</v>
      </c>
    </row>
    <row r="78" spans="1:11" x14ac:dyDescent="0.35">
      <c r="A78">
        <v>7</v>
      </c>
      <c r="B78">
        <v>5</v>
      </c>
      <c r="C78" t="s">
        <v>28</v>
      </c>
      <c r="D78" t="s">
        <v>11</v>
      </c>
      <c r="E78" t="s">
        <v>52</v>
      </c>
      <c r="F78">
        <v>35</v>
      </c>
      <c r="G78">
        <v>15</v>
      </c>
      <c r="H78">
        <v>23.6</v>
      </c>
      <c r="I78">
        <v>23</v>
      </c>
      <c r="J78">
        <v>12</v>
      </c>
      <c r="K78">
        <v>34.6</v>
      </c>
    </row>
    <row r="79" spans="1:11" x14ac:dyDescent="0.35">
      <c r="A79">
        <v>7</v>
      </c>
      <c r="B79">
        <v>5</v>
      </c>
      <c r="C79" t="s">
        <v>28</v>
      </c>
      <c r="D79" t="s">
        <v>13</v>
      </c>
      <c r="E79" t="s">
        <v>52</v>
      </c>
      <c r="F79">
        <v>70</v>
      </c>
      <c r="G79">
        <v>27</v>
      </c>
      <c r="H79">
        <v>21</v>
      </c>
      <c r="I79">
        <v>45</v>
      </c>
      <c r="J79">
        <v>23</v>
      </c>
      <c r="K79">
        <v>35.799999999999997</v>
      </c>
    </row>
    <row r="80" spans="1:11" x14ac:dyDescent="0.35">
      <c r="A80">
        <v>19</v>
      </c>
      <c r="B80">
        <v>11</v>
      </c>
      <c r="C80" t="s">
        <v>29</v>
      </c>
      <c r="D80" t="s">
        <v>11</v>
      </c>
      <c r="E80" t="s">
        <v>52</v>
      </c>
      <c r="F80">
        <v>22</v>
      </c>
      <c r="G80">
        <v>6</v>
      </c>
      <c r="H80">
        <v>28.5</v>
      </c>
      <c r="I80">
        <v>18</v>
      </c>
      <c r="J80">
        <v>10</v>
      </c>
      <c r="K80">
        <v>36</v>
      </c>
    </row>
    <row r="81" spans="1:11" x14ac:dyDescent="0.35">
      <c r="A81">
        <v>19</v>
      </c>
      <c r="B81">
        <v>11</v>
      </c>
      <c r="C81" t="s">
        <v>29</v>
      </c>
      <c r="D81" t="s">
        <v>13</v>
      </c>
      <c r="E81" t="s">
        <v>52</v>
      </c>
      <c r="F81">
        <v>22</v>
      </c>
      <c r="G81">
        <v>1</v>
      </c>
      <c r="H81">
        <v>29.9</v>
      </c>
      <c r="I81">
        <v>13</v>
      </c>
      <c r="J81">
        <v>15</v>
      </c>
      <c r="K81">
        <v>36</v>
      </c>
    </row>
    <row r="82" spans="1:11" x14ac:dyDescent="0.35">
      <c r="A82">
        <v>21</v>
      </c>
      <c r="B82">
        <v>12</v>
      </c>
      <c r="C82" t="s">
        <v>30</v>
      </c>
      <c r="D82" t="s">
        <v>13</v>
      </c>
      <c r="E82" t="s">
        <v>52</v>
      </c>
      <c r="F82">
        <v>62</v>
      </c>
      <c r="G82">
        <v>1</v>
      </c>
      <c r="H82">
        <v>27.9</v>
      </c>
      <c r="I82">
        <v>31</v>
      </c>
      <c r="J82">
        <v>31</v>
      </c>
      <c r="K82">
        <v>30.3</v>
      </c>
    </row>
    <row r="83" spans="1:11" x14ac:dyDescent="0.35">
      <c r="A83">
        <v>21</v>
      </c>
      <c r="B83">
        <v>12</v>
      </c>
      <c r="C83" t="s">
        <v>30</v>
      </c>
      <c r="D83" t="s">
        <v>31</v>
      </c>
      <c r="E83" t="s">
        <v>52</v>
      </c>
      <c r="F83">
        <v>62</v>
      </c>
      <c r="G83">
        <v>0</v>
      </c>
      <c r="H83">
        <v>29.1</v>
      </c>
      <c r="I83">
        <v>34</v>
      </c>
      <c r="J83">
        <v>28</v>
      </c>
      <c r="K83">
        <v>29.7</v>
      </c>
    </row>
    <row r="84" spans="1:11" x14ac:dyDescent="0.35">
      <c r="A84">
        <v>23</v>
      </c>
      <c r="B84">
        <v>13</v>
      </c>
      <c r="C84" t="s">
        <v>32</v>
      </c>
      <c r="D84" t="s">
        <v>11</v>
      </c>
      <c r="E84" t="s">
        <v>52</v>
      </c>
      <c r="F84">
        <v>60</v>
      </c>
      <c r="G84">
        <v>12</v>
      </c>
      <c r="H84">
        <v>28.2</v>
      </c>
      <c r="I84">
        <v>42</v>
      </c>
      <c r="J84">
        <v>19</v>
      </c>
      <c r="K84">
        <v>202.6</v>
      </c>
    </row>
    <row r="85" spans="1:11" x14ac:dyDescent="0.35">
      <c r="A85">
        <v>23</v>
      </c>
      <c r="B85">
        <v>13</v>
      </c>
      <c r="C85" t="s">
        <v>32</v>
      </c>
      <c r="D85" t="s">
        <v>13</v>
      </c>
      <c r="E85" t="s">
        <v>52</v>
      </c>
      <c r="F85">
        <v>86</v>
      </c>
      <c r="G85">
        <v>13</v>
      </c>
      <c r="H85">
        <v>26.8</v>
      </c>
      <c r="I85">
        <v>53</v>
      </c>
      <c r="J85">
        <v>33</v>
      </c>
      <c r="K85">
        <v>191.9</v>
      </c>
    </row>
    <row r="86" spans="1:11" x14ac:dyDescent="0.35">
      <c r="A86">
        <v>33</v>
      </c>
      <c r="B86">
        <v>25</v>
      </c>
      <c r="C86" t="s">
        <v>33</v>
      </c>
      <c r="D86" t="s">
        <v>11</v>
      </c>
      <c r="E86" t="s">
        <v>52</v>
      </c>
      <c r="F86">
        <v>42</v>
      </c>
      <c r="G86">
        <v>0</v>
      </c>
      <c r="H86">
        <v>27</v>
      </c>
      <c r="I86">
        <v>0</v>
      </c>
      <c r="J86">
        <v>0</v>
      </c>
      <c r="K86">
        <v>6.7</v>
      </c>
    </row>
    <row r="87" spans="1:11" x14ac:dyDescent="0.35">
      <c r="A87">
        <v>33</v>
      </c>
      <c r="B87">
        <v>25</v>
      </c>
      <c r="C87" t="s">
        <v>33</v>
      </c>
      <c r="D87" t="s">
        <v>13</v>
      </c>
      <c r="E87" t="s">
        <v>52</v>
      </c>
      <c r="F87">
        <v>47</v>
      </c>
      <c r="G87">
        <v>0</v>
      </c>
      <c r="H87">
        <v>27</v>
      </c>
      <c r="I87">
        <v>0</v>
      </c>
      <c r="J87">
        <v>0</v>
      </c>
      <c r="K87">
        <v>6.7</v>
      </c>
    </row>
    <row r="88" spans="1:11" x14ac:dyDescent="0.35">
      <c r="A88">
        <v>35</v>
      </c>
      <c r="B88">
        <v>26</v>
      </c>
      <c r="C88" t="s">
        <v>34</v>
      </c>
      <c r="D88" t="s">
        <v>11</v>
      </c>
      <c r="E88" t="s">
        <v>52</v>
      </c>
      <c r="F88">
        <v>42</v>
      </c>
      <c r="G88">
        <v>0</v>
      </c>
      <c r="H88">
        <v>25.8</v>
      </c>
      <c r="I88">
        <v>23</v>
      </c>
      <c r="J88">
        <v>8</v>
      </c>
      <c r="K88">
        <v>36</v>
      </c>
    </row>
    <row r="89" spans="1:11" x14ac:dyDescent="0.35">
      <c r="A89">
        <v>35</v>
      </c>
      <c r="B89">
        <v>26</v>
      </c>
      <c r="C89" t="s">
        <v>34</v>
      </c>
      <c r="D89" t="s">
        <v>13</v>
      </c>
      <c r="E89" t="s">
        <v>52</v>
      </c>
      <c r="F89">
        <v>47</v>
      </c>
      <c r="G89">
        <v>0</v>
      </c>
      <c r="H89">
        <v>26.3</v>
      </c>
      <c r="I89">
        <v>24</v>
      </c>
      <c r="J89">
        <v>10</v>
      </c>
      <c r="K89">
        <v>36</v>
      </c>
    </row>
    <row r="90" spans="1:11" x14ac:dyDescent="0.35">
      <c r="A90">
        <v>39</v>
      </c>
      <c r="B90">
        <v>32</v>
      </c>
      <c r="C90" t="s">
        <v>35</v>
      </c>
      <c r="D90" t="s">
        <v>11</v>
      </c>
      <c r="E90" t="s">
        <v>52</v>
      </c>
      <c r="F90">
        <v>31</v>
      </c>
      <c r="G90">
        <v>2</v>
      </c>
      <c r="H90">
        <v>25.2</v>
      </c>
      <c r="I90">
        <v>23</v>
      </c>
      <c r="J90">
        <v>8</v>
      </c>
      <c r="K90">
        <v>24</v>
      </c>
    </row>
    <row r="91" spans="1:11" x14ac:dyDescent="0.35">
      <c r="A91">
        <v>39</v>
      </c>
      <c r="B91">
        <v>32</v>
      </c>
      <c r="C91" t="s">
        <v>35</v>
      </c>
      <c r="D91" t="s">
        <v>13</v>
      </c>
      <c r="E91" t="s">
        <v>52</v>
      </c>
      <c r="F91">
        <v>31</v>
      </c>
      <c r="G91">
        <v>1</v>
      </c>
      <c r="H91">
        <v>24.6</v>
      </c>
      <c r="I91">
        <v>19</v>
      </c>
      <c r="J91">
        <v>12</v>
      </c>
      <c r="K91">
        <v>24</v>
      </c>
    </row>
    <row r="92" spans="1:11" x14ac:dyDescent="0.35">
      <c r="A92">
        <v>41</v>
      </c>
      <c r="B92">
        <v>33</v>
      </c>
      <c r="C92" t="s">
        <v>36</v>
      </c>
      <c r="D92" t="s">
        <v>11</v>
      </c>
      <c r="E92" t="s">
        <v>52</v>
      </c>
      <c r="F92">
        <v>37</v>
      </c>
      <c r="G92">
        <v>0</v>
      </c>
      <c r="H92">
        <v>0</v>
      </c>
      <c r="I92">
        <v>0</v>
      </c>
      <c r="J92">
        <v>0</v>
      </c>
      <c r="K92">
        <v>60.6</v>
      </c>
    </row>
    <row r="93" spans="1:11" x14ac:dyDescent="0.35">
      <c r="A93">
        <v>41</v>
      </c>
      <c r="B93">
        <v>33</v>
      </c>
      <c r="C93" t="s">
        <v>36</v>
      </c>
      <c r="D93" t="s">
        <v>13</v>
      </c>
      <c r="E93" t="s">
        <v>52</v>
      </c>
      <c r="F93">
        <v>37</v>
      </c>
      <c r="G93">
        <v>1</v>
      </c>
      <c r="H93">
        <v>0</v>
      </c>
      <c r="I93">
        <v>0</v>
      </c>
      <c r="J93">
        <v>0</v>
      </c>
      <c r="K93">
        <v>60.6</v>
      </c>
    </row>
    <row r="94" spans="1:11" x14ac:dyDescent="0.35">
      <c r="A94">
        <v>43</v>
      </c>
      <c r="B94">
        <v>34</v>
      </c>
      <c r="C94" t="s">
        <v>37</v>
      </c>
      <c r="D94" t="s">
        <v>11</v>
      </c>
      <c r="E94" t="s">
        <v>52</v>
      </c>
      <c r="F94">
        <v>30</v>
      </c>
      <c r="G94">
        <v>3</v>
      </c>
      <c r="H94">
        <v>29</v>
      </c>
      <c r="I94">
        <v>22</v>
      </c>
      <c r="J94">
        <v>12</v>
      </c>
      <c r="K94">
        <v>24.7</v>
      </c>
    </row>
    <row r="95" spans="1:11" x14ac:dyDescent="0.35">
      <c r="A95">
        <v>43</v>
      </c>
      <c r="B95">
        <v>34</v>
      </c>
      <c r="C95" t="s">
        <v>37</v>
      </c>
      <c r="D95" t="s">
        <v>13</v>
      </c>
      <c r="E95" t="s">
        <v>52</v>
      </c>
      <c r="F95">
        <v>29</v>
      </c>
      <c r="G95">
        <v>8</v>
      </c>
      <c r="H95">
        <v>30</v>
      </c>
      <c r="I95">
        <v>14</v>
      </c>
      <c r="J95">
        <v>20</v>
      </c>
      <c r="K95">
        <v>24.7</v>
      </c>
    </row>
    <row r="96" spans="1:11" x14ac:dyDescent="0.35">
      <c r="A96">
        <v>47</v>
      </c>
      <c r="B96">
        <v>36</v>
      </c>
      <c r="C96" t="s">
        <v>38</v>
      </c>
      <c r="D96" t="s">
        <v>13</v>
      </c>
      <c r="E96" t="s">
        <v>52</v>
      </c>
      <c r="F96">
        <v>26</v>
      </c>
      <c r="G96">
        <v>0</v>
      </c>
      <c r="H96">
        <v>32.700000000000003</v>
      </c>
      <c r="I96">
        <v>12</v>
      </c>
      <c r="J96">
        <v>15</v>
      </c>
      <c r="K96">
        <v>24</v>
      </c>
    </row>
    <row r="97" spans="1:11" x14ac:dyDescent="0.35">
      <c r="A97">
        <v>47</v>
      </c>
      <c r="B97">
        <v>36</v>
      </c>
      <c r="C97" t="s">
        <v>38</v>
      </c>
      <c r="D97" t="s">
        <v>25</v>
      </c>
      <c r="E97" t="s">
        <v>52</v>
      </c>
      <c r="F97">
        <v>23</v>
      </c>
      <c r="G97">
        <v>0</v>
      </c>
      <c r="H97">
        <v>24.1</v>
      </c>
      <c r="I97">
        <v>21</v>
      </c>
      <c r="J97">
        <v>3</v>
      </c>
      <c r="K97">
        <v>24</v>
      </c>
    </row>
    <row r="98" spans="1:11" x14ac:dyDescent="0.35">
      <c r="A98">
        <v>49</v>
      </c>
      <c r="B98">
        <v>37</v>
      </c>
      <c r="C98" t="s">
        <v>39</v>
      </c>
      <c r="D98" t="s">
        <v>11</v>
      </c>
      <c r="E98" t="s">
        <v>52</v>
      </c>
      <c r="F98">
        <v>40</v>
      </c>
      <c r="G98">
        <v>0</v>
      </c>
      <c r="H98">
        <v>22.3</v>
      </c>
      <c r="I98">
        <v>40</v>
      </c>
      <c r="J98">
        <v>0</v>
      </c>
      <c r="K98">
        <v>81</v>
      </c>
    </row>
    <row r="99" spans="1:11" x14ac:dyDescent="0.35">
      <c r="A99">
        <v>49</v>
      </c>
      <c r="B99">
        <v>37</v>
      </c>
      <c r="C99" t="s">
        <v>39</v>
      </c>
      <c r="D99" t="s">
        <v>13</v>
      </c>
      <c r="E99" t="s">
        <v>52</v>
      </c>
      <c r="F99">
        <v>45</v>
      </c>
      <c r="G99">
        <v>0</v>
      </c>
      <c r="H99">
        <v>22.3</v>
      </c>
      <c r="I99">
        <v>46</v>
      </c>
      <c r="J99">
        <v>0</v>
      </c>
      <c r="K99">
        <v>81</v>
      </c>
    </row>
    <row r="100" spans="1:11" x14ac:dyDescent="0.35">
      <c r="A100">
        <v>53</v>
      </c>
      <c r="B100">
        <v>41</v>
      </c>
      <c r="C100" t="s">
        <v>40</v>
      </c>
      <c r="D100" t="s">
        <v>11</v>
      </c>
      <c r="E100" t="s">
        <v>52</v>
      </c>
      <c r="F100">
        <v>43</v>
      </c>
      <c r="G100">
        <v>0</v>
      </c>
      <c r="H100">
        <v>0</v>
      </c>
      <c r="I100">
        <v>0</v>
      </c>
      <c r="J100">
        <v>0</v>
      </c>
      <c r="K100">
        <v>24</v>
      </c>
    </row>
    <row r="101" spans="1:11" x14ac:dyDescent="0.35">
      <c r="A101">
        <v>53</v>
      </c>
      <c r="B101">
        <v>41</v>
      </c>
      <c r="C101" t="s">
        <v>40</v>
      </c>
      <c r="D101" t="s">
        <v>13</v>
      </c>
      <c r="E101" t="s">
        <v>52</v>
      </c>
      <c r="F101">
        <v>46</v>
      </c>
      <c r="G101">
        <v>0</v>
      </c>
      <c r="H101">
        <v>0</v>
      </c>
      <c r="I101">
        <v>0</v>
      </c>
      <c r="J101">
        <v>0</v>
      </c>
      <c r="K101">
        <v>24</v>
      </c>
    </row>
    <row r="102" spans="1:11" x14ac:dyDescent="0.35">
      <c r="A102">
        <v>61</v>
      </c>
      <c r="B102">
        <v>46</v>
      </c>
      <c r="C102" t="s">
        <v>41</v>
      </c>
      <c r="D102" t="s">
        <v>11</v>
      </c>
      <c r="E102" t="s">
        <v>52</v>
      </c>
      <c r="F102">
        <v>15</v>
      </c>
      <c r="G102">
        <v>0</v>
      </c>
      <c r="H102">
        <v>29.9</v>
      </c>
      <c r="I102">
        <v>0</v>
      </c>
      <c r="J102">
        <v>0</v>
      </c>
      <c r="K102">
        <v>19</v>
      </c>
    </row>
    <row r="103" spans="1:11" x14ac:dyDescent="0.35">
      <c r="A103">
        <v>61</v>
      </c>
      <c r="B103">
        <v>46</v>
      </c>
      <c r="C103" t="s">
        <v>41</v>
      </c>
      <c r="D103" t="s">
        <v>13</v>
      </c>
      <c r="E103" t="s">
        <v>52</v>
      </c>
      <c r="F103">
        <v>13</v>
      </c>
      <c r="G103">
        <v>0</v>
      </c>
      <c r="H103">
        <v>28.7</v>
      </c>
      <c r="I103">
        <v>0</v>
      </c>
      <c r="J103">
        <v>0</v>
      </c>
      <c r="K103">
        <v>19</v>
      </c>
    </row>
    <row r="104" spans="1:11" x14ac:dyDescent="0.35">
      <c r="A104">
        <v>63</v>
      </c>
      <c r="B104">
        <v>47</v>
      </c>
      <c r="C104" t="s">
        <v>42</v>
      </c>
      <c r="D104" t="s">
        <v>13</v>
      </c>
      <c r="E104" t="s">
        <v>52</v>
      </c>
      <c r="F104">
        <v>54</v>
      </c>
      <c r="G104">
        <v>1</v>
      </c>
      <c r="H104">
        <v>32</v>
      </c>
      <c r="I104">
        <v>32</v>
      </c>
      <c r="J104">
        <v>22</v>
      </c>
      <c r="K104">
        <v>24</v>
      </c>
    </row>
    <row r="105" spans="1:11" x14ac:dyDescent="0.35">
      <c r="A105">
        <v>63</v>
      </c>
      <c r="B105">
        <v>47</v>
      </c>
      <c r="C105" t="s">
        <v>42</v>
      </c>
      <c r="D105" t="s">
        <v>43</v>
      </c>
      <c r="E105" t="s">
        <v>52</v>
      </c>
      <c r="F105">
        <v>48</v>
      </c>
      <c r="G105">
        <v>0</v>
      </c>
      <c r="H105">
        <v>33</v>
      </c>
      <c r="I105">
        <v>38</v>
      </c>
      <c r="J105">
        <v>10</v>
      </c>
      <c r="K105">
        <v>24</v>
      </c>
    </row>
    <row r="106" spans="1:11" x14ac:dyDescent="0.35">
      <c r="A106">
        <v>67</v>
      </c>
      <c r="B106">
        <v>51</v>
      </c>
      <c r="C106" t="s">
        <v>44</v>
      </c>
      <c r="D106" t="s">
        <v>13</v>
      </c>
      <c r="E106" t="s">
        <v>52</v>
      </c>
      <c r="F106">
        <v>32</v>
      </c>
      <c r="G106">
        <v>0</v>
      </c>
      <c r="H106">
        <v>29.8</v>
      </c>
      <c r="I106">
        <v>17</v>
      </c>
      <c r="J106">
        <v>15</v>
      </c>
      <c r="K106">
        <v>69.599999999999994</v>
      </c>
    </row>
    <row r="107" spans="1:11" x14ac:dyDescent="0.35">
      <c r="A107">
        <v>67</v>
      </c>
      <c r="B107">
        <v>51</v>
      </c>
      <c r="C107" t="s">
        <v>44</v>
      </c>
      <c r="D107" t="s">
        <v>43</v>
      </c>
      <c r="E107" t="s">
        <v>52</v>
      </c>
      <c r="F107">
        <v>32</v>
      </c>
      <c r="G107">
        <v>1</v>
      </c>
      <c r="H107">
        <v>30.5</v>
      </c>
      <c r="I107">
        <v>15</v>
      </c>
      <c r="J107">
        <v>17</v>
      </c>
      <c r="K107">
        <v>73.2</v>
      </c>
    </row>
    <row r="108" spans="1:11" x14ac:dyDescent="0.35">
      <c r="A108">
        <v>71</v>
      </c>
      <c r="B108">
        <v>53</v>
      </c>
      <c r="C108" t="s">
        <v>45</v>
      </c>
      <c r="D108" t="s">
        <v>13</v>
      </c>
      <c r="E108" t="s">
        <v>52</v>
      </c>
      <c r="F108">
        <v>49</v>
      </c>
      <c r="G108">
        <v>0</v>
      </c>
      <c r="H108">
        <v>27.1</v>
      </c>
      <c r="I108">
        <v>25</v>
      </c>
      <c r="J108">
        <v>24</v>
      </c>
      <c r="K108">
        <v>24</v>
      </c>
    </row>
    <row r="109" spans="1:11" x14ac:dyDescent="0.35">
      <c r="A109">
        <v>71</v>
      </c>
      <c r="B109">
        <v>53</v>
      </c>
      <c r="C109" t="s">
        <v>45</v>
      </c>
      <c r="D109" t="s">
        <v>25</v>
      </c>
      <c r="E109" t="s">
        <v>52</v>
      </c>
      <c r="F109">
        <v>47</v>
      </c>
      <c r="G109">
        <v>0</v>
      </c>
      <c r="H109">
        <v>27.2</v>
      </c>
      <c r="I109">
        <v>29</v>
      </c>
      <c r="J109">
        <v>21</v>
      </c>
      <c r="K109">
        <v>24</v>
      </c>
    </row>
    <row r="110" spans="1:11" x14ac:dyDescent="0.35">
      <c r="A110">
        <v>81</v>
      </c>
      <c r="B110">
        <v>58</v>
      </c>
      <c r="C110" t="s">
        <v>47</v>
      </c>
      <c r="D110" t="s">
        <v>11</v>
      </c>
      <c r="E110" t="s">
        <v>52</v>
      </c>
      <c r="F110">
        <v>25</v>
      </c>
      <c r="G110">
        <v>4</v>
      </c>
      <c r="H110" t="e">
        <v>#N/A</v>
      </c>
      <c r="I110" t="e">
        <v>#N/A</v>
      </c>
      <c r="J110" t="e">
        <v>#N/A</v>
      </c>
      <c r="K110" t="e">
        <v>#N/A</v>
      </c>
    </row>
    <row r="111" spans="1:11" x14ac:dyDescent="0.35">
      <c r="A111">
        <v>81</v>
      </c>
      <c r="B111">
        <v>58</v>
      </c>
      <c r="C111" t="s">
        <v>47</v>
      </c>
      <c r="D111" t="s">
        <v>25</v>
      </c>
      <c r="E111" t="s">
        <v>52</v>
      </c>
      <c r="F111">
        <v>26</v>
      </c>
      <c r="G111">
        <v>3</v>
      </c>
      <c r="H111" t="e">
        <v>#N/A</v>
      </c>
      <c r="I111" t="e">
        <v>#N/A</v>
      </c>
      <c r="J111" t="e">
        <v>#N/A</v>
      </c>
      <c r="K111" t="e">
        <v>#N/A</v>
      </c>
    </row>
    <row r="112" spans="1:11" x14ac:dyDescent="0.35">
      <c r="A112">
        <v>91</v>
      </c>
      <c r="B112">
        <v>70</v>
      </c>
      <c r="C112" t="s">
        <v>48</v>
      </c>
      <c r="D112" t="s">
        <v>13</v>
      </c>
      <c r="E112" t="s">
        <v>52</v>
      </c>
      <c r="F112">
        <v>33</v>
      </c>
      <c r="G112">
        <v>1</v>
      </c>
      <c r="H112">
        <v>25.8</v>
      </c>
      <c r="I112">
        <v>30</v>
      </c>
      <c r="J112">
        <v>3</v>
      </c>
      <c r="K112">
        <v>28.1</v>
      </c>
    </row>
    <row r="113" spans="1:11" x14ac:dyDescent="0.35">
      <c r="A113">
        <v>91</v>
      </c>
      <c r="B113">
        <v>70</v>
      </c>
      <c r="C113" t="s">
        <v>48</v>
      </c>
      <c r="D113" t="s">
        <v>49</v>
      </c>
      <c r="E113" t="s">
        <v>52</v>
      </c>
      <c r="F113">
        <v>32</v>
      </c>
      <c r="G113">
        <v>3</v>
      </c>
      <c r="H113">
        <v>25.6</v>
      </c>
      <c r="I113">
        <v>26</v>
      </c>
      <c r="J113">
        <v>6</v>
      </c>
      <c r="K113">
        <v>31.6</v>
      </c>
    </row>
    <row r="114" spans="1:11" x14ac:dyDescent="0.35">
      <c r="A114">
        <v>95</v>
      </c>
      <c r="B114">
        <v>76</v>
      </c>
      <c r="C114" t="s">
        <v>18</v>
      </c>
      <c r="D114" t="s">
        <v>11</v>
      </c>
      <c r="E114" t="s">
        <v>52</v>
      </c>
      <c r="F114">
        <v>53</v>
      </c>
      <c r="G114">
        <v>0</v>
      </c>
      <c r="H114">
        <v>25</v>
      </c>
      <c r="I114">
        <v>48</v>
      </c>
      <c r="J114">
        <v>42</v>
      </c>
      <c r="K114">
        <v>120</v>
      </c>
    </row>
    <row r="115" spans="1:11" x14ac:dyDescent="0.35">
      <c r="A115">
        <v>95</v>
      </c>
      <c r="B115">
        <v>76</v>
      </c>
      <c r="C115" t="s">
        <v>18</v>
      </c>
      <c r="D115" t="s">
        <v>13</v>
      </c>
      <c r="E115" t="s">
        <v>52</v>
      </c>
      <c r="F115">
        <v>58</v>
      </c>
      <c r="G115">
        <v>0</v>
      </c>
      <c r="H115">
        <v>24</v>
      </c>
      <c r="I115">
        <v>47</v>
      </c>
      <c r="J115">
        <v>43</v>
      </c>
      <c r="K115">
        <v>120</v>
      </c>
    </row>
    <row r="116" spans="1:11" x14ac:dyDescent="0.35">
      <c r="A116">
        <v>97</v>
      </c>
      <c r="B116">
        <v>77</v>
      </c>
      <c r="C116" t="s">
        <v>19</v>
      </c>
      <c r="D116" t="s">
        <v>11</v>
      </c>
      <c r="E116" t="s">
        <v>52</v>
      </c>
      <c r="F116">
        <v>38</v>
      </c>
      <c r="G116">
        <v>1</v>
      </c>
      <c r="H116">
        <v>27</v>
      </c>
      <c r="I116" t="s">
        <v>87</v>
      </c>
      <c r="J116">
        <v>0</v>
      </c>
      <c r="K116">
        <v>228</v>
      </c>
    </row>
    <row r="117" spans="1:11" x14ac:dyDescent="0.35">
      <c r="A117">
        <v>97</v>
      </c>
      <c r="B117">
        <v>77</v>
      </c>
      <c r="C117" t="s">
        <v>19</v>
      </c>
      <c r="D117" t="s">
        <v>13</v>
      </c>
      <c r="E117" t="s">
        <v>52</v>
      </c>
      <c r="F117">
        <v>33</v>
      </c>
      <c r="G117">
        <v>3</v>
      </c>
      <c r="H117">
        <v>27</v>
      </c>
      <c r="I117">
        <v>0</v>
      </c>
      <c r="J117">
        <v>0</v>
      </c>
      <c r="K117">
        <v>228</v>
      </c>
    </row>
    <row r="118" spans="1:11" x14ac:dyDescent="0.35">
      <c r="A118">
        <v>99</v>
      </c>
      <c r="B118">
        <v>82</v>
      </c>
      <c r="C118" t="s">
        <v>50</v>
      </c>
      <c r="D118" t="s">
        <v>11</v>
      </c>
      <c r="E118" t="s">
        <v>52</v>
      </c>
      <c r="F118">
        <v>24</v>
      </c>
      <c r="G118">
        <v>0</v>
      </c>
      <c r="H118">
        <v>45.5</v>
      </c>
      <c r="I118">
        <v>15</v>
      </c>
      <c r="J118">
        <v>9</v>
      </c>
      <c r="K118">
        <v>204</v>
      </c>
    </row>
    <row r="119" spans="1:11" x14ac:dyDescent="0.35">
      <c r="A119">
        <v>99</v>
      </c>
      <c r="B119">
        <v>82</v>
      </c>
      <c r="C119" t="s">
        <v>50</v>
      </c>
      <c r="D119" t="s">
        <v>13</v>
      </c>
      <c r="E119" t="s">
        <v>52</v>
      </c>
      <c r="F119">
        <v>24</v>
      </c>
      <c r="G119">
        <v>0</v>
      </c>
      <c r="H119">
        <v>42.5</v>
      </c>
      <c r="I119">
        <v>13</v>
      </c>
      <c r="J119">
        <v>11</v>
      </c>
      <c r="K119">
        <v>204</v>
      </c>
    </row>
    <row r="120" spans="1:11" x14ac:dyDescent="0.35">
      <c r="A120">
        <v>117</v>
      </c>
      <c r="B120">
        <v>97</v>
      </c>
      <c r="C120" t="s">
        <v>24</v>
      </c>
      <c r="D120" t="s">
        <v>13</v>
      </c>
      <c r="E120" t="s">
        <v>52</v>
      </c>
      <c r="F120">
        <v>36</v>
      </c>
      <c r="G120">
        <v>1</v>
      </c>
      <c r="H120">
        <v>30.1</v>
      </c>
      <c r="I120">
        <v>32</v>
      </c>
      <c r="J120">
        <v>4</v>
      </c>
      <c r="K120">
        <v>12</v>
      </c>
    </row>
    <row r="121" spans="1:11" x14ac:dyDescent="0.35">
      <c r="A121">
        <v>117</v>
      </c>
      <c r="B121">
        <v>97</v>
      </c>
      <c r="C121" t="s">
        <v>24</v>
      </c>
      <c r="D121" t="s">
        <v>25</v>
      </c>
      <c r="E121" t="s">
        <v>52</v>
      </c>
      <c r="F121">
        <v>33</v>
      </c>
      <c r="G121">
        <v>0</v>
      </c>
      <c r="H121">
        <v>28.7</v>
      </c>
      <c r="I121">
        <v>30</v>
      </c>
      <c r="J121">
        <v>3</v>
      </c>
      <c r="K121">
        <v>12</v>
      </c>
    </row>
    <row r="122" spans="1:11" x14ac:dyDescent="0.35">
      <c r="A122">
        <v>119</v>
      </c>
      <c r="B122">
        <v>98</v>
      </c>
      <c r="C122" t="s">
        <v>51</v>
      </c>
      <c r="D122" t="s">
        <v>13</v>
      </c>
      <c r="E122" t="s">
        <v>52</v>
      </c>
      <c r="F122">
        <v>68</v>
      </c>
      <c r="G122">
        <v>2</v>
      </c>
      <c r="H122">
        <v>30</v>
      </c>
      <c r="I122">
        <v>61</v>
      </c>
      <c r="J122">
        <v>7</v>
      </c>
      <c r="K122">
        <v>32.799999999999997</v>
      </c>
    </row>
    <row r="123" spans="1:11" x14ac:dyDescent="0.35">
      <c r="A123">
        <v>119</v>
      </c>
      <c r="B123">
        <v>98</v>
      </c>
      <c r="C123" t="s">
        <v>51</v>
      </c>
      <c r="D123" t="s">
        <v>43</v>
      </c>
      <c r="E123" t="s">
        <v>52</v>
      </c>
      <c r="F123">
        <v>64</v>
      </c>
      <c r="G123">
        <v>3</v>
      </c>
      <c r="H123">
        <v>24</v>
      </c>
      <c r="I123">
        <v>59</v>
      </c>
      <c r="J123">
        <v>5</v>
      </c>
      <c r="K123">
        <v>34.5</v>
      </c>
    </row>
    <row r="124" spans="1:11" x14ac:dyDescent="0.35">
      <c r="A124">
        <v>19</v>
      </c>
      <c r="B124">
        <v>11</v>
      </c>
      <c r="C124" t="s">
        <v>29</v>
      </c>
      <c r="D124" t="s">
        <v>11</v>
      </c>
      <c r="E124" t="s">
        <v>53</v>
      </c>
      <c r="F124">
        <v>22</v>
      </c>
      <c r="G124">
        <v>12</v>
      </c>
      <c r="H124">
        <v>28.5</v>
      </c>
      <c r="I124">
        <v>18</v>
      </c>
      <c r="J124">
        <v>10</v>
      </c>
      <c r="K124">
        <v>36</v>
      </c>
    </row>
    <row r="125" spans="1:11" x14ac:dyDescent="0.35">
      <c r="A125">
        <v>19</v>
      </c>
      <c r="B125">
        <v>11</v>
      </c>
      <c r="C125" t="s">
        <v>29</v>
      </c>
      <c r="D125" t="s">
        <v>13</v>
      </c>
      <c r="E125" t="s">
        <v>53</v>
      </c>
      <c r="F125">
        <v>22</v>
      </c>
      <c r="G125">
        <v>19</v>
      </c>
      <c r="H125">
        <v>29.9</v>
      </c>
      <c r="I125">
        <v>13</v>
      </c>
      <c r="J125">
        <v>15</v>
      </c>
      <c r="K125">
        <v>36</v>
      </c>
    </row>
    <row r="126" spans="1:11" x14ac:dyDescent="0.35">
      <c r="A126" t="e">
        <v>#N/A</v>
      </c>
      <c r="B126">
        <v>13</v>
      </c>
      <c r="C126" t="s">
        <v>54</v>
      </c>
      <c r="D126" t="s">
        <v>11</v>
      </c>
      <c r="E126" t="s">
        <v>53</v>
      </c>
      <c r="F126">
        <v>61</v>
      </c>
      <c r="G126">
        <v>31</v>
      </c>
      <c r="H126" t="e">
        <v>#N/A</v>
      </c>
      <c r="I126" t="e">
        <v>#N/A</v>
      </c>
      <c r="J126" t="e">
        <v>#N/A</v>
      </c>
      <c r="K126" t="e">
        <v>#N/A</v>
      </c>
    </row>
    <row r="127" spans="1:11" x14ac:dyDescent="0.35">
      <c r="A127" t="e">
        <v>#N/A</v>
      </c>
      <c r="B127">
        <v>13</v>
      </c>
      <c r="C127" t="s">
        <v>54</v>
      </c>
      <c r="D127" t="s">
        <v>13</v>
      </c>
      <c r="E127" t="s">
        <v>53</v>
      </c>
      <c r="F127">
        <v>86</v>
      </c>
      <c r="G127">
        <v>67</v>
      </c>
      <c r="H127" t="e">
        <v>#N/A</v>
      </c>
      <c r="I127" t="e">
        <v>#N/A</v>
      </c>
      <c r="J127" t="e">
        <v>#N/A</v>
      </c>
      <c r="K127" t="e">
        <v>#N/A</v>
      </c>
    </row>
    <row r="128" spans="1:11" x14ac:dyDescent="0.35">
      <c r="A128">
        <v>31</v>
      </c>
      <c r="B128">
        <v>23</v>
      </c>
      <c r="C128" t="s">
        <v>55</v>
      </c>
      <c r="D128" t="s">
        <v>11</v>
      </c>
      <c r="E128" t="s">
        <v>53</v>
      </c>
      <c r="F128">
        <v>32</v>
      </c>
      <c r="G128">
        <v>14</v>
      </c>
      <c r="H128">
        <v>27.3</v>
      </c>
      <c r="I128">
        <v>21</v>
      </c>
      <c r="J128">
        <v>11</v>
      </c>
      <c r="K128">
        <v>24</v>
      </c>
    </row>
    <row r="129" spans="1:11" x14ac:dyDescent="0.35">
      <c r="A129">
        <v>31</v>
      </c>
      <c r="B129">
        <v>23</v>
      </c>
      <c r="C129" t="s">
        <v>55</v>
      </c>
      <c r="D129" t="s">
        <v>13</v>
      </c>
      <c r="E129" t="s">
        <v>53</v>
      </c>
      <c r="F129">
        <v>33</v>
      </c>
      <c r="G129">
        <v>17</v>
      </c>
      <c r="H129">
        <v>30.8</v>
      </c>
      <c r="I129">
        <v>25</v>
      </c>
      <c r="J129">
        <v>9</v>
      </c>
      <c r="K129">
        <v>24</v>
      </c>
    </row>
    <row r="130" spans="1:11" x14ac:dyDescent="0.35">
      <c r="A130">
        <v>35</v>
      </c>
      <c r="B130">
        <v>26</v>
      </c>
      <c r="C130" t="s">
        <v>34</v>
      </c>
      <c r="D130" t="s">
        <v>11</v>
      </c>
      <c r="E130" t="s">
        <v>53</v>
      </c>
      <c r="F130">
        <v>42</v>
      </c>
      <c r="G130">
        <v>6</v>
      </c>
      <c r="H130">
        <v>25.8</v>
      </c>
      <c r="I130">
        <v>23</v>
      </c>
      <c r="J130">
        <v>8</v>
      </c>
      <c r="K130">
        <v>36</v>
      </c>
    </row>
    <row r="131" spans="1:11" x14ac:dyDescent="0.35">
      <c r="A131">
        <v>35</v>
      </c>
      <c r="B131">
        <v>26</v>
      </c>
      <c r="C131" t="s">
        <v>34</v>
      </c>
      <c r="D131" t="s">
        <v>13</v>
      </c>
      <c r="E131" t="s">
        <v>53</v>
      </c>
      <c r="F131">
        <v>47</v>
      </c>
      <c r="G131">
        <v>19</v>
      </c>
      <c r="H131">
        <v>26.3</v>
      </c>
      <c r="I131">
        <v>24</v>
      </c>
      <c r="J131">
        <v>10</v>
      </c>
      <c r="K131">
        <v>36</v>
      </c>
    </row>
    <row r="132" spans="1:11" x14ac:dyDescent="0.35">
      <c r="A132">
        <v>37</v>
      </c>
      <c r="B132">
        <v>30</v>
      </c>
      <c r="C132" t="s">
        <v>56</v>
      </c>
      <c r="D132" t="s">
        <v>11</v>
      </c>
      <c r="E132" t="s">
        <v>53</v>
      </c>
      <c r="F132">
        <v>45</v>
      </c>
      <c r="G132">
        <v>16</v>
      </c>
      <c r="H132">
        <v>27</v>
      </c>
      <c r="I132">
        <v>0</v>
      </c>
      <c r="J132">
        <v>0</v>
      </c>
      <c r="K132">
        <v>84</v>
      </c>
    </row>
    <row r="133" spans="1:11" x14ac:dyDescent="0.35">
      <c r="A133">
        <v>37</v>
      </c>
      <c r="B133">
        <v>30</v>
      </c>
      <c r="C133" t="s">
        <v>56</v>
      </c>
      <c r="D133" t="s">
        <v>13</v>
      </c>
      <c r="E133" t="s">
        <v>53</v>
      </c>
      <c r="F133">
        <v>32</v>
      </c>
      <c r="G133">
        <v>13</v>
      </c>
      <c r="H133">
        <v>27</v>
      </c>
      <c r="I133">
        <v>0</v>
      </c>
      <c r="J133">
        <v>0</v>
      </c>
      <c r="K133">
        <v>84</v>
      </c>
    </row>
    <row r="134" spans="1:11" x14ac:dyDescent="0.35">
      <c r="A134">
        <v>39</v>
      </c>
      <c r="B134">
        <v>32</v>
      </c>
      <c r="C134" t="s">
        <v>35</v>
      </c>
      <c r="D134" t="s">
        <v>11</v>
      </c>
      <c r="E134" t="s">
        <v>53</v>
      </c>
      <c r="F134">
        <v>31</v>
      </c>
      <c r="G134">
        <v>9</v>
      </c>
      <c r="H134">
        <v>25.2</v>
      </c>
      <c r="I134">
        <v>23</v>
      </c>
      <c r="J134">
        <v>8</v>
      </c>
      <c r="K134">
        <v>24</v>
      </c>
    </row>
    <row r="135" spans="1:11" x14ac:dyDescent="0.35">
      <c r="A135">
        <v>39</v>
      </c>
      <c r="B135">
        <v>32</v>
      </c>
      <c r="C135" t="s">
        <v>35</v>
      </c>
      <c r="D135" t="s">
        <v>13</v>
      </c>
      <c r="E135" t="s">
        <v>53</v>
      </c>
      <c r="F135">
        <v>31</v>
      </c>
      <c r="G135">
        <v>9</v>
      </c>
      <c r="H135">
        <v>24.6</v>
      </c>
      <c r="I135">
        <v>19</v>
      </c>
      <c r="J135">
        <v>12</v>
      </c>
      <c r="K135">
        <v>24</v>
      </c>
    </row>
    <row r="136" spans="1:11" x14ac:dyDescent="0.35">
      <c r="A136">
        <v>41</v>
      </c>
      <c r="B136">
        <v>33</v>
      </c>
      <c r="C136" t="s">
        <v>36</v>
      </c>
      <c r="D136" t="s">
        <v>11</v>
      </c>
      <c r="E136" t="s">
        <v>53</v>
      </c>
      <c r="F136">
        <v>37</v>
      </c>
      <c r="G136">
        <v>8</v>
      </c>
      <c r="H136">
        <v>0</v>
      </c>
      <c r="I136">
        <v>0</v>
      </c>
      <c r="J136">
        <v>0</v>
      </c>
      <c r="K136">
        <v>60.6</v>
      </c>
    </row>
    <row r="137" spans="1:11" x14ac:dyDescent="0.35">
      <c r="A137">
        <v>41</v>
      </c>
      <c r="B137">
        <v>33</v>
      </c>
      <c r="C137" t="s">
        <v>36</v>
      </c>
      <c r="D137" t="s">
        <v>13</v>
      </c>
      <c r="E137" t="s">
        <v>53</v>
      </c>
      <c r="F137">
        <v>37</v>
      </c>
      <c r="G137">
        <v>6</v>
      </c>
      <c r="H137">
        <v>0</v>
      </c>
      <c r="I137">
        <v>0</v>
      </c>
      <c r="J137">
        <v>0</v>
      </c>
      <c r="K137">
        <v>60.6</v>
      </c>
    </row>
    <row r="138" spans="1:11" x14ac:dyDescent="0.35">
      <c r="A138">
        <v>49</v>
      </c>
      <c r="B138">
        <v>37</v>
      </c>
      <c r="C138" t="s">
        <v>39</v>
      </c>
      <c r="D138" t="s">
        <v>11</v>
      </c>
      <c r="E138" t="s">
        <v>53</v>
      </c>
      <c r="F138">
        <v>40</v>
      </c>
      <c r="G138">
        <v>5</v>
      </c>
      <c r="H138">
        <v>22.3</v>
      </c>
      <c r="I138">
        <v>40</v>
      </c>
      <c r="J138">
        <v>0</v>
      </c>
      <c r="K138">
        <v>81</v>
      </c>
    </row>
    <row r="139" spans="1:11" x14ac:dyDescent="0.35">
      <c r="A139">
        <v>49</v>
      </c>
      <c r="B139">
        <v>37</v>
      </c>
      <c r="C139" t="s">
        <v>39</v>
      </c>
      <c r="D139" t="s">
        <v>13</v>
      </c>
      <c r="E139" t="s">
        <v>53</v>
      </c>
      <c r="F139">
        <v>46</v>
      </c>
      <c r="G139">
        <v>7</v>
      </c>
      <c r="H139">
        <v>22.3</v>
      </c>
      <c r="I139">
        <v>46</v>
      </c>
      <c r="J139">
        <v>0</v>
      </c>
      <c r="K139">
        <v>81</v>
      </c>
    </row>
    <row r="140" spans="1:11" x14ac:dyDescent="0.35">
      <c r="A140">
        <v>53</v>
      </c>
      <c r="B140">
        <v>41</v>
      </c>
      <c r="C140" t="s">
        <v>40</v>
      </c>
      <c r="D140" t="s">
        <v>11</v>
      </c>
      <c r="E140" t="s">
        <v>53</v>
      </c>
      <c r="F140">
        <v>43</v>
      </c>
      <c r="G140">
        <v>8</v>
      </c>
      <c r="H140">
        <v>0</v>
      </c>
      <c r="I140">
        <v>0</v>
      </c>
      <c r="J140">
        <v>0</v>
      </c>
      <c r="K140">
        <v>24</v>
      </c>
    </row>
    <row r="141" spans="1:11" x14ac:dyDescent="0.35">
      <c r="A141">
        <v>53</v>
      </c>
      <c r="B141">
        <v>41</v>
      </c>
      <c r="C141" t="s">
        <v>40</v>
      </c>
      <c r="D141" t="s">
        <v>13</v>
      </c>
      <c r="E141" t="s">
        <v>53</v>
      </c>
      <c r="F141">
        <v>46</v>
      </c>
      <c r="G141">
        <v>8</v>
      </c>
      <c r="H141">
        <v>0</v>
      </c>
      <c r="I141">
        <v>0</v>
      </c>
      <c r="J141">
        <v>0</v>
      </c>
      <c r="K141">
        <v>24</v>
      </c>
    </row>
    <row r="142" spans="1:11" x14ac:dyDescent="0.35">
      <c r="A142">
        <v>59</v>
      </c>
      <c r="B142">
        <v>45</v>
      </c>
      <c r="C142" t="s">
        <v>57</v>
      </c>
      <c r="D142" t="s">
        <v>11</v>
      </c>
      <c r="E142" t="s">
        <v>53</v>
      </c>
      <c r="F142">
        <v>24</v>
      </c>
      <c r="G142">
        <v>8</v>
      </c>
      <c r="H142">
        <v>29.8</v>
      </c>
      <c r="I142">
        <v>22</v>
      </c>
      <c r="J142">
        <v>9</v>
      </c>
      <c r="K142">
        <v>120</v>
      </c>
    </row>
    <row r="143" spans="1:11" x14ac:dyDescent="0.35">
      <c r="A143">
        <v>59</v>
      </c>
      <c r="B143">
        <v>45</v>
      </c>
      <c r="C143" t="s">
        <v>57</v>
      </c>
      <c r="D143" t="s">
        <v>13</v>
      </c>
      <c r="E143" t="s">
        <v>53</v>
      </c>
      <c r="F143">
        <v>23</v>
      </c>
      <c r="G143">
        <v>11</v>
      </c>
      <c r="H143">
        <v>29.8</v>
      </c>
      <c r="I143">
        <v>23</v>
      </c>
      <c r="J143">
        <v>8</v>
      </c>
      <c r="K143">
        <v>120</v>
      </c>
    </row>
    <row r="144" spans="1:11" x14ac:dyDescent="0.35">
      <c r="A144">
        <v>67</v>
      </c>
      <c r="B144">
        <v>51</v>
      </c>
      <c r="C144" t="s">
        <v>44</v>
      </c>
      <c r="D144" t="s">
        <v>13</v>
      </c>
      <c r="E144" t="s">
        <v>53</v>
      </c>
      <c r="F144">
        <v>32</v>
      </c>
      <c r="G144">
        <v>6</v>
      </c>
      <c r="H144">
        <v>29.8</v>
      </c>
      <c r="I144">
        <v>17</v>
      </c>
      <c r="J144">
        <v>15</v>
      </c>
      <c r="K144">
        <v>69.599999999999994</v>
      </c>
    </row>
    <row r="145" spans="1:11" x14ac:dyDescent="0.35">
      <c r="A145">
        <v>67</v>
      </c>
      <c r="B145">
        <v>51</v>
      </c>
      <c r="C145" t="s">
        <v>44</v>
      </c>
      <c r="D145" t="s">
        <v>43</v>
      </c>
      <c r="E145" t="s">
        <v>53</v>
      </c>
      <c r="F145">
        <v>32</v>
      </c>
      <c r="G145">
        <v>13</v>
      </c>
      <c r="H145">
        <v>30.5</v>
      </c>
      <c r="I145">
        <v>15</v>
      </c>
      <c r="J145">
        <v>17</v>
      </c>
      <c r="K145">
        <v>73.2</v>
      </c>
    </row>
    <row r="146" spans="1:11" x14ac:dyDescent="0.35">
      <c r="A146" t="e">
        <v>#N/A</v>
      </c>
      <c r="B146">
        <v>52</v>
      </c>
      <c r="C146" t="s">
        <v>58</v>
      </c>
      <c r="D146" t="s">
        <v>11</v>
      </c>
      <c r="E146" t="s">
        <v>53</v>
      </c>
      <c r="F146">
        <v>30</v>
      </c>
      <c r="G146">
        <v>22</v>
      </c>
      <c r="H146" t="e">
        <v>#N/A</v>
      </c>
      <c r="I146" t="e">
        <v>#N/A</v>
      </c>
      <c r="J146" t="e">
        <v>#N/A</v>
      </c>
      <c r="K146" t="e">
        <v>#N/A</v>
      </c>
    </row>
    <row r="147" spans="1:11" x14ac:dyDescent="0.35">
      <c r="A147" t="e">
        <v>#N/A</v>
      </c>
      <c r="B147">
        <v>52</v>
      </c>
      <c r="C147" t="s">
        <v>58</v>
      </c>
      <c r="D147" t="s">
        <v>13</v>
      </c>
      <c r="E147" t="s">
        <v>53</v>
      </c>
      <c r="F147">
        <v>32</v>
      </c>
      <c r="G147">
        <v>25</v>
      </c>
      <c r="H147" t="e">
        <v>#N/A</v>
      </c>
      <c r="I147" t="e">
        <v>#N/A</v>
      </c>
      <c r="J147" t="e">
        <v>#N/A</v>
      </c>
      <c r="K147" t="e">
        <v>#N/A</v>
      </c>
    </row>
    <row r="148" spans="1:11" x14ac:dyDescent="0.35">
      <c r="A148">
        <v>75</v>
      </c>
      <c r="B148">
        <v>55</v>
      </c>
      <c r="C148" t="s">
        <v>59</v>
      </c>
      <c r="D148" t="s">
        <v>11</v>
      </c>
      <c r="E148" t="s">
        <v>53</v>
      </c>
      <c r="F148">
        <v>14</v>
      </c>
      <c r="G148">
        <v>4</v>
      </c>
      <c r="H148">
        <v>26.5</v>
      </c>
      <c r="I148">
        <v>14</v>
      </c>
      <c r="J148">
        <v>0</v>
      </c>
      <c r="K148">
        <v>12</v>
      </c>
    </row>
    <row r="149" spans="1:11" x14ac:dyDescent="0.35">
      <c r="A149">
        <v>75</v>
      </c>
      <c r="B149">
        <v>55</v>
      </c>
      <c r="C149" t="s">
        <v>59</v>
      </c>
      <c r="D149" t="s">
        <v>13</v>
      </c>
      <c r="E149" t="s">
        <v>53</v>
      </c>
      <c r="F149">
        <v>38</v>
      </c>
      <c r="G149">
        <v>6</v>
      </c>
      <c r="H149">
        <v>24.6</v>
      </c>
      <c r="I149">
        <v>38</v>
      </c>
      <c r="J149">
        <v>0</v>
      </c>
      <c r="K149">
        <v>12</v>
      </c>
    </row>
    <row r="150" spans="1:11" x14ac:dyDescent="0.35">
      <c r="A150">
        <v>79</v>
      </c>
      <c r="B150">
        <v>58</v>
      </c>
      <c r="C150" t="s">
        <v>46</v>
      </c>
      <c r="D150" t="s">
        <v>11</v>
      </c>
      <c r="E150" t="s">
        <v>53</v>
      </c>
      <c r="F150">
        <v>18</v>
      </c>
      <c r="G150">
        <v>4</v>
      </c>
      <c r="H150">
        <v>31</v>
      </c>
      <c r="I150">
        <v>15</v>
      </c>
      <c r="J150">
        <v>3</v>
      </c>
      <c r="K150">
        <v>24</v>
      </c>
    </row>
    <row r="151" spans="1:11" x14ac:dyDescent="0.35">
      <c r="A151">
        <v>79</v>
      </c>
      <c r="B151">
        <v>58</v>
      </c>
      <c r="C151" t="s">
        <v>46</v>
      </c>
      <c r="D151" t="s">
        <v>25</v>
      </c>
      <c r="E151" t="s">
        <v>53</v>
      </c>
      <c r="F151">
        <v>21</v>
      </c>
      <c r="G151">
        <v>5</v>
      </c>
      <c r="H151">
        <v>30</v>
      </c>
      <c r="I151">
        <v>17</v>
      </c>
      <c r="J151">
        <v>4</v>
      </c>
      <c r="K151">
        <v>24</v>
      </c>
    </row>
    <row r="152" spans="1:11" x14ac:dyDescent="0.35">
      <c r="A152">
        <v>91</v>
      </c>
      <c r="B152">
        <v>70</v>
      </c>
      <c r="C152" t="s">
        <v>48</v>
      </c>
      <c r="D152" t="s">
        <v>13</v>
      </c>
      <c r="E152" t="s">
        <v>53</v>
      </c>
      <c r="F152">
        <v>33</v>
      </c>
      <c r="G152">
        <v>6</v>
      </c>
      <c r="H152">
        <v>25.8</v>
      </c>
      <c r="I152">
        <v>30</v>
      </c>
      <c r="J152">
        <v>3</v>
      </c>
      <c r="K152">
        <v>28.1</v>
      </c>
    </row>
    <row r="153" spans="1:11" x14ac:dyDescent="0.35">
      <c r="A153">
        <v>91</v>
      </c>
      <c r="B153">
        <v>70</v>
      </c>
      <c r="C153" t="s">
        <v>48</v>
      </c>
      <c r="D153" t="s">
        <v>49</v>
      </c>
      <c r="E153" t="s">
        <v>53</v>
      </c>
      <c r="F153">
        <v>32</v>
      </c>
      <c r="G153">
        <v>6</v>
      </c>
      <c r="H153">
        <v>25.6</v>
      </c>
      <c r="I153">
        <v>26</v>
      </c>
      <c r="J153">
        <v>6</v>
      </c>
      <c r="K153">
        <v>31.6</v>
      </c>
    </row>
    <row r="154" spans="1:11" x14ac:dyDescent="0.35">
      <c r="A154">
        <v>95</v>
      </c>
      <c r="B154">
        <v>76</v>
      </c>
      <c r="C154" t="s">
        <v>18</v>
      </c>
      <c r="D154" t="s">
        <v>11</v>
      </c>
      <c r="E154" t="s">
        <v>53</v>
      </c>
      <c r="F154">
        <v>53</v>
      </c>
      <c r="G154">
        <v>10</v>
      </c>
      <c r="H154">
        <v>25</v>
      </c>
      <c r="I154">
        <v>48</v>
      </c>
      <c r="J154">
        <v>42</v>
      </c>
      <c r="K154">
        <v>120</v>
      </c>
    </row>
    <row r="155" spans="1:11" x14ac:dyDescent="0.35">
      <c r="A155">
        <v>95</v>
      </c>
      <c r="B155">
        <v>76</v>
      </c>
      <c r="C155" t="s">
        <v>18</v>
      </c>
      <c r="D155" t="s">
        <v>13</v>
      </c>
      <c r="E155" t="s">
        <v>53</v>
      </c>
      <c r="F155">
        <v>58</v>
      </c>
      <c r="G155">
        <v>12</v>
      </c>
      <c r="H155">
        <v>24</v>
      </c>
      <c r="I155">
        <v>47</v>
      </c>
      <c r="J155">
        <v>43</v>
      </c>
      <c r="K155">
        <v>120</v>
      </c>
    </row>
    <row r="156" spans="1:11" x14ac:dyDescent="0.35">
      <c r="A156">
        <v>97</v>
      </c>
      <c r="B156">
        <v>77</v>
      </c>
      <c r="C156" t="s">
        <v>19</v>
      </c>
      <c r="D156" t="s">
        <v>11</v>
      </c>
      <c r="E156" t="s">
        <v>53</v>
      </c>
      <c r="F156">
        <v>38</v>
      </c>
      <c r="G156">
        <v>9</v>
      </c>
      <c r="H156">
        <v>27</v>
      </c>
      <c r="I156" t="s">
        <v>87</v>
      </c>
      <c r="J156">
        <v>0</v>
      </c>
      <c r="K156">
        <v>228</v>
      </c>
    </row>
    <row r="157" spans="1:11" x14ac:dyDescent="0.35">
      <c r="A157">
        <v>97</v>
      </c>
      <c r="B157">
        <v>77</v>
      </c>
      <c r="C157" t="s">
        <v>19</v>
      </c>
      <c r="D157" t="s">
        <v>13</v>
      </c>
      <c r="E157" t="s">
        <v>53</v>
      </c>
      <c r="F157">
        <v>33</v>
      </c>
      <c r="G157">
        <v>5</v>
      </c>
      <c r="H157">
        <v>27</v>
      </c>
      <c r="I157">
        <v>0</v>
      </c>
      <c r="J157">
        <v>0</v>
      </c>
      <c r="K157">
        <v>228</v>
      </c>
    </row>
    <row r="158" spans="1:11" x14ac:dyDescent="0.35">
      <c r="A158">
        <v>99</v>
      </c>
      <c r="B158">
        <v>82</v>
      </c>
      <c r="C158" t="s">
        <v>50</v>
      </c>
      <c r="D158" t="s">
        <v>11</v>
      </c>
      <c r="E158" t="s">
        <v>53</v>
      </c>
      <c r="F158">
        <v>24</v>
      </c>
      <c r="G158">
        <v>5</v>
      </c>
      <c r="H158">
        <v>45.5</v>
      </c>
      <c r="I158">
        <v>15</v>
      </c>
      <c r="J158">
        <v>9</v>
      </c>
      <c r="K158">
        <v>204</v>
      </c>
    </row>
    <row r="159" spans="1:11" x14ac:dyDescent="0.35">
      <c r="A159">
        <v>99</v>
      </c>
      <c r="B159">
        <v>82</v>
      </c>
      <c r="C159" t="s">
        <v>50</v>
      </c>
      <c r="D159" t="s">
        <v>13</v>
      </c>
      <c r="E159" t="s">
        <v>53</v>
      </c>
      <c r="F159">
        <v>24</v>
      </c>
      <c r="G159">
        <v>5</v>
      </c>
      <c r="H159">
        <v>42.5</v>
      </c>
      <c r="I159">
        <v>13</v>
      </c>
      <c r="J159">
        <v>11</v>
      </c>
      <c r="K159">
        <v>204</v>
      </c>
    </row>
    <row r="160" spans="1:11" x14ac:dyDescent="0.35">
      <c r="A160">
        <v>117</v>
      </c>
      <c r="B160">
        <v>97</v>
      </c>
      <c r="C160" t="s">
        <v>24</v>
      </c>
      <c r="D160" t="s">
        <v>13</v>
      </c>
      <c r="E160" t="s">
        <v>53</v>
      </c>
      <c r="F160">
        <v>36</v>
      </c>
      <c r="G160">
        <v>21</v>
      </c>
      <c r="H160">
        <v>30.1</v>
      </c>
      <c r="I160">
        <v>32</v>
      </c>
      <c r="J160">
        <v>4</v>
      </c>
      <c r="K160">
        <v>12</v>
      </c>
    </row>
    <row r="161" spans="1:11" x14ac:dyDescent="0.35">
      <c r="A161">
        <v>117</v>
      </c>
      <c r="B161">
        <v>97</v>
      </c>
      <c r="C161" t="s">
        <v>24</v>
      </c>
      <c r="D161" t="s">
        <v>25</v>
      </c>
      <c r="E161" t="s">
        <v>53</v>
      </c>
      <c r="F161">
        <v>33</v>
      </c>
      <c r="G161">
        <v>9</v>
      </c>
      <c r="H161">
        <v>28.7</v>
      </c>
      <c r="I161">
        <v>30</v>
      </c>
      <c r="J161">
        <v>3</v>
      </c>
      <c r="K161">
        <v>12</v>
      </c>
    </row>
    <row r="162" spans="1:11" x14ac:dyDescent="0.35">
      <c r="A162">
        <v>119</v>
      </c>
      <c r="B162">
        <v>98</v>
      </c>
      <c r="C162" t="s">
        <v>51</v>
      </c>
      <c r="D162" t="s">
        <v>13</v>
      </c>
      <c r="E162" t="s">
        <v>53</v>
      </c>
      <c r="F162">
        <v>68</v>
      </c>
      <c r="G162">
        <v>35</v>
      </c>
      <c r="H162">
        <v>30</v>
      </c>
      <c r="I162">
        <v>61</v>
      </c>
      <c r="J162">
        <v>7</v>
      </c>
      <c r="K162">
        <v>32.799999999999997</v>
      </c>
    </row>
    <row r="163" spans="1:11" x14ac:dyDescent="0.35">
      <c r="A163">
        <v>119</v>
      </c>
      <c r="B163">
        <v>98</v>
      </c>
      <c r="C163" t="s">
        <v>51</v>
      </c>
      <c r="D163" t="s">
        <v>43</v>
      </c>
      <c r="E163" t="s">
        <v>53</v>
      </c>
      <c r="F163">
        <v>64</v>
      </c>
      <c r="G163">
        <v>34</v>
      </c>
      <c r="H163">
        <v>24</v>
      </c>
      <c r="I163">
        <v>59</v>
      </c>
      <c r="J163">
        <v>5</v>
      </c>
      <c r="K163">
        <v>34.5</v>
      </c>
    </row>
    <row r="164" spans="1:11" x14ac:dyDescent="0.35">
      <c r="A164">
        <v>19</v>
      </c>
      <c r="B164">
        <v>11</v>
      </c>
      <c r="C164" t="s">
        <v>29</v>
      </c>
      <c r="D164" t="s">
        <v>11</v>
      </c>
      <c r="E164" t="s">
        <v>60</v>
      </c>
      <c r="F164">
        <v>22</v>
      </c>
      <c r="G164">
        <v>2</v>
      </c>
      <c r="H164">
        <v>28.5</v>
      </c>
      <c r="I164">
        <v>18</v>
      </c>
      <c r="J164">
        <v>10</v>
      </c>
      <c r="K164">
        <v>36</v>
      </c>
    </row>
    <row r="165" spans="1:11" x14ac:dyDescent="0.35">
      <c r="A165">
        <v>19</v>
      </c>
      <c r="B165">
        <v>11</v>
      </c>
      <c r="C165" t="s">
        <v>29</v>
      </c>
      <c r="D165" t="s">
        <v>13</v>
      </c>
      <c r="E165" t="s">
        <v>60</v>
      </c>
      <c r="F165">
        <v>22</v>
      </c>
      <c r="G165">
        <v>13</v>
      </c>
      <c r="H165">
        <v>29.9</v>
      </c>
      <c r="I165">
        <v>13</v>
      </c>
      <c r="J165">
        <v>15</v>
      </c>
      <c r="K165">
        <v>36</v>
      </c>
    </row>
    <row r="166" spans="1:11" x14ac:dyDescent="0.35">
      <c r="A166" t="e">
        <v>#N/A</v>
      </c>
      <c r="B166">
        <v>13</v>
      </c>
      <c r="C166" t="s">
        <v>54</v>
      </c>
      <c r="D166" t="s">
        <v>11</v>
      </c>
      <c r="E166" t="s">
        <v>60</v>
      </c>
      <c r="F166">
        <v>61</v>
      </c>
      <c r="G166">
        <v>7</v>
      </c>
      <c r="H166" t="e">
        <v>#N/A</v>
      </c>
      <c r="I166" t="e">
        <v>#N/A</v>
      </c>
      <c r="J166" t="e">
        <v>#N/A</v>
      </c>
      <c r="K166" t="e">
        <v>#N/A</v>
      </c>
    </row>
    <row r="167" spans="1:11" x14ac:dyDescent="0.35">
      <c r="A167" t="e">
        <v>#N/A</v>
      </c>
      <c r="B167">
        <v>13</v>
      </c>
      <c r="C167" t="s">
        <v>54</v>
      </c>
      <c r="D167" t="s">
        <v>13</v>
      </c>
      <c r="E167" t="s">
        <v>60</v>
      </c>
      <c r="F167">
        <v>86</v>
      </c>
      <c r="G167">
        <v>21</v>
      </c>
      <c r="H167" t="e">
        <v>#N/A</v>
      </c>
      <c r="I167" t="e">
        <v>#N/A</v>
      </c>
      <c r="J167" t="e">
        <v>#N/A</v>
      </c>
      <c r="K167" t="e">
        <v>#N/A</v>
      </c>
    </row>
    <row r="168" spans="1:11" x14ac:dyDescent="0.35">
      <c r="A168">
        <v>31</v>
      </c>
      <c r="B168">
        <v>23</v>
      </c>
      <c r="C168" t="s">
        <v>55</v>
      </c>
      <c r="D168" t="s">
        <v>11</v>
      </c>
      <c r="E168" t="s">
        <v>60</v>
      </c>
      <c r="F168">
        <v>32</v>
      </c>
      <c r="G168">
        <v>2</v>
      </c>
      <c r="H168">
        <v>27.3</v>
      </c>
      <c r="I168">
        <v>21</v>
      </c>
      <c r="J168">
        <v>11</v>
      </c>
      <c r="K168">
        <v>24</v>
      </c>
    </row>
    <row r="169" spans="1:11" x14ac:dyDescent="0.35">
      <c r="A169">
        <v>31</v>
      </c>
      <c r="B169">
        <v>23</v>
      </c>
      <c r="C169" t="s">
        <v>55</v>
      </c>
      <c r="D169" t="s">
        <v>13</v>
      </c>
      <c r="E169" t="s">
        <v>60</v>
      </c>
      <c r="F169">
        <v>33</v>
      </c>
      <c r="G169">
        <v>0</v>
      </c>
      <c r="H169">
        <v>30.8</v>
      </c>
      <c r="I169">
        <v>25</v>
      </c>
      <c r="J169">
        <v>9</v>
      </c>
      <c r="K169">
        <v>24</v>
      </c>
    </row>
    <row r="170" spans="1:11" x14ac:dyDescent="0.35">
      <c r="A170">
        <v>35</v>
      </c>
      <c r="B170">
        <v>26</v>
      </c>
      <c r="C170" t="s">
        <v>34</v>
      </c>
      <c r="D170" t="s">
        <v>11</v>
      </c>
      <c r="E170" t="s">
        <v>60</v>
      </c>
      <c r="F170">
        <v>42</v>
      </c>
      <c r="G170">
        <v>0</v>
      </c>
      <c r="H170">
        <v>25.8</v>
      </c>
      <c r="I170">
        <v>23</v>
      </c>
      <c r="J170">
        <v>8</v>
      </c>
      <c r="K170">
        <v>36</v>
      </c>
    </row>
    <row r="171" spans="1:11" x14ac:dyDescent="0.35">
      <c r="A171">
        <v>35</v>
      </c>
      <c r="B171">
        <v>26</v>
      </c>
      <c r="C171" t="s">
        <v>34</v>
      </c>
      <c r="D171" t="s">
        <v>13</v>
      </c>
      <c r="E171" t="s">
        <v>60</v>
      </c>
      <c r="F171">
        <v>47</v>
      </c>
      <c r="G171">
        <v>0</v>
      </c>
      <c r="H171">
        <v>26.3</v>
      </c>
      <c r="I171">
        <v>24</v>
      </c>
      <c r="J171">
        <v>10</v>
      </c>
      <c r="K171">
        <v>36</v>
      </c>
    </row>
    <row r="172" spans="1:11" x14ac:dyDescent="0.35">
      <c r="A172">
        <v>37</v>
      </c>
      <c r="B172">
        <v>30</v>
      </c>
      <c r="C172" t="s">
        <v>56</v>
      </c>
      <c r="D172" t="s">
        <v>11</v>
      </c>
      <c r="E172" t="s">
        <v>60</v>
      </c>
      <c r="F172">
        <v>45</v>
      </c>
      <c r="G172">
        <v>1</v>
      </c>
      <c r="H172">
        <v>27</v>
      </c>
      <c r="I172">
        <v>0</v>
      </c>
      <c r="J172">
        <v>0</v>
      </c>
      <c r="K172">
        <v>84</v>
      </c>
    </row>
    <row r="173" spans="1:11" x14ac:dyDescent="0.35">
      <c r="A173">
        <v>37</v>
      </c>
      <c r="B173">
        <v>30</v>
      </c>
      <c r="C173" t="s">
        <v>56</v>
      </c>
      <c r="D173" t="s">
        <v>13</v>
      </c>
      <c r="E173" t="s">
        <v>60</v>
      </c>
      <c r="F173">
        <v>32</v>
      </c>
      <c r="G173">
        <v>1</v>
      </c>
      <c r="H173">
        <v>27</v>
      </c>
      <c r="I173">
        <v>0</v>
      </c>
      <c r="J173">
        <v>0</v>
      </c>
      <c r="K173">
        <v>84</v>
      </c>
    </row>
    <row r="174" spans="1:11" x14ac:dyDescent="0.35">
      <c r="A174">
        <v>39</v>
      </c>
      <c r="B174">
        <v>32</v>
      </c>
      <c r="C174" t="s">
        <v>35</v>
      </c>
      <c r="D174" t="s">
        <v>11</v>
      </c>
      <c r="E174" t="s">
        <v>60</v>
      </c>
      <c r="F174">
        <v>31</v>
      </c>
      <c r="G174">
        <v>2</v>
      </c>
      <c r="H174">
        <v>25.2</v>
      </c>
      <c r="I174">
        <v>23</v>
      </c>
      <c r="J174">
        <v>8</v>
      </c>
      <c r="K174">
        <v>24</v>
      </c>
    </row>
    <row r="175" spans="1:11" x14ac:dyDescent="0.35">
      <c r="A175">
        <v>39</v>
      </c>
      <c r="B175">
        <v>32</v>
      </c>
      <c r="C175" t="s">
        <v>35</v>
      </c>
      <c r="D175" t="s">
        <v>13</v>
      </c>
      <c r="E175" t="s">
        <v>60</v>
      </c>
      <c r="F175">
        <v>31</v>
      </c>
      <c r="G175">
        <v>3</v>
      </c>
      <c r="H175">
        <v>24.6</v>
      </c>
      <c r="I175">
        <v>19</v>
      </c>
      <c r="J175">
        <v>12</v>
      </c>
      <c r="K175">
        <v>24</v>
      </c>
    </row>
    <row r="176" spans="1:11" x14ac:dyDescent="0.35">
      <c r="A176">
        <v>41</v>
      </c>
      <c r="B176">
        <v>33</v>
      </c>
      <c r="C176" t="s">
        <v>36</v>
      </c>
      <c r="D176" t="s">
        <v>11</v>
      </c>
      <c r="E176" t="s">
        <v>60</v>
      </c>
      <c r="F176">
        <v>37</v>
      </c>
      <c r="G176">
        <v>0</v>
      </c>
      <c r="H176">
        <v>0</v>
      </c>
      <c r="I176">
        <v>0</v>
      </c>
      <c r="J176">
        <v>0</v>
      </c>
      <c r="K176">
        <v>60.6</v>
      </c>
    </row>
    <row r="177" spans="1:11" x14ac:dyDescent="0.35">
      <c r="A177">
        <v>41</v>
      </c>
      <c r="B177">
        <v>33</v>
      </c>
      <c r="C177" t="s">
        <v>36</v>
      </c>
      <c r="D177" t="s">
        <v>13</v>
      </c>
      <c r="E177" t="s">
        <v>60</v>
      </c>
      <c r="F177">
        <v>37</v>
      </c>
      <c r="G177">
        <v>1</v>
      </c>
      <c r="H177">
        <v>0</v>
      </c>
      <c r="I177">
        <v>0</v>
      </c>
      <c r="J177">
        <v>0</v>
      </c>
      <c r="K177">
        <v>60.6</v>
      </c>
    </row>
    <row r="178" spans="1:11" x14ac:dyDescent="0.35">
      <c r="A178">
        <v>49</v>
      </c>
      <c r="B178">
        <v>37</v>
      </c>
      <c r="C178" t="s">
        <v>39</v>
      </c>
      <c r="D178" t="s">
        <v>11</v>
      </c>
      <c r="E178" t="s">
        <v>60</v>
      </c>
      <c r="F178">
        <v>40</v>
      </c>
      <c r="G178">
        <v>0</v>
      </c>
      <c r="H178">
        <v>22.3</v>
      </c>
      <c r="I178">
        <v>40</v>
      </c>
      <c r="J178">
        <v>0</v>
      </c>
      <c r="K178">
        <v>81</v>
      </c>
    </row>
    <row r="179" spans="1:11" x14ac:dyDescent="0.35">
      <c r="A179">
        <v>49</v>
      </c>
      <c r="B179">
        <v>37</v>
      </c>
      <c r="C179" t="s">
        <v>39</v>
      </c>
      <c r="D179" t="s">
        <v>13</v>
      </c>
      <c r="E179" t="s">
        <v>60</v>
      </c>
      <c r="F179">
        <v>46</v>
      </c>
      <c r="G179">
        <v>0</v>
      </c>
      <c r="H179">
        <v>22.3</v>
      </c>
      <c r="I179">
        <v>46</v>
      </c>
      <c r="J179">
        <v>0</v>
      </c>
      <c r="K179">
        <v>81</v>
      </c>
    </row>
    <row r="180" spans="1:11" x14ac:dyDescent="0.35">
      <c r="A180">
        <v>53</v>
      </c>
      <c r="B180">
        <v>41</v>
      </c>
      <c r="C180" t="s">
        <v>40</v>
      </c>
      <c r="D180" t="s">
        <v>11</v>
      </c>
      <c r="E180" t="s">
        <v>60</v>
      </c>
      <c r="F180">
        <v>43</v>
      </c>
      <c r="G180">
        <v>0</v>
      </c>
      <c r="H180">
        <v>0</v>
      </c>
      <c r="I180">
        <v>0</v>
      </c>
      <c r="J180">
        <v>0</v>
      </c>
      <c r="K180">
        <v>24</v>
      </c>
    </row>
    <row r="181" spans="1:11" x14ac:dyDescent="0.35">
      <c r="A181">
        <v>53</v>
      </c>
      <c r="B181">
        <v>41</v>
      </c>
      <c r="C181" t="s">
        <v>40</v>
      </c>
      <c r="D181" t="s">
        <v>13</v>
      </c>
      <c r="E181" t="s">
        <v>60</v>
      </c>
      <c r="F181">
        <v>46</v>
      </c>
      <c r="G181">
        <v>0</v>
      </c>
      <c r="H181">
        <v>0</v>
      </c>
      <c r="I181">
        <v>0</v>
      </c>
      <c r="J181">
        <v>0</v>
      </c>
      <c r="K181">
        <v>24</v>
      </c>
    </row>
    <row r="182" spans="1:11" x14ac:dyDescent="0.35">
      <c r="A182">
        <v>59</v>
      </c>
      <c r="B182">
        <v>45</v>
      </c>
      <c r="C182" t="s">
        <v>57</v>
      </c>
      <c r="D182" t="s">
        <v>11</v>
      </c>
      <c r="E182" t="s">
        <v>60</v>
      </c>
      <c r="F182">
        <v>24</v>
      </c>
      <c r="G182">
        <v>0</v>
      </c>
      <c r="H182">
        <v>29.8</v>
      </c>
      <c r="I182">
        <v>22</v>
      </c>
      <c r="J182">
        <v>9</v>
      </c>
      <c r="K182">
        <v>120</v>
      </c>
    </row>
    <row r="183" spans="1:11" x14ac:dyDescent="0.35">
      <c r="A183">
        <v>59</v>
      </c>
      <c r="B183">
        <v>45</v>
      </c>
      <c r="C183" t="s">
        <v>57</v>
      </c>
      <c r="D183" t="s">
        <v>13</v>
      </c>
      <c r="E183" t="s">
        <v>60</v>
      </c>
      <c r="F183">
        <v>23</v>
      </c>
      <c r="G183">
        <v>2</v>
      </c>
      <c r="H183">
        <v>29.8</v>
      </c>
      <c r="I183">
        <v>23</v>
      </c>
      <c r="J183">
        <v>8</v>
      </c>
      <c r="K183">
        <v>120</v>
      </c>
    </row>
    <row r="184" spans="1:11" x14ac:dyDescent="0.35">
      <c r="A184">
        <v>67</v>
      </c>
      <c r="B184">
        <v>51</v>
      </c>
      <c r="C184" t="s">
        <v>44</v>
      </c>
      <c r="D184" t="s">
        <v>13</v>
      </c>
      <c r="E184" t="s">
        <v>60</v>
      </c>
      <c r="F184">
        <v>32</v>
      </c>
      <c r="G184">
        <v>2</v>
      </c>
      <c r="H184">
        <v>29.8</v>
      </c>
      <c r="I184">
        <v>17</v>
      </c>
      <c r="J184">
        <v>15</v>
      </c>
      <c r="K184">
        <v>69.599999999999994</v>
      </c>
    </row>
    <row r="185" spans="1:11" x14ac:dyDescent="0.35">
      <c r="A185">
        <v>67</v>
      </c>
      <c r="B185">
        <v>51</v>
      </c>
      <c r="C185" t="s">
        <v>44</v>
      </c>
      <c r="D185" t="s">
        <v>43</v>
      </c>
      <c r="E185" t="s">
        <v>60</v>
      </c>
      <c r="F185">
        <v>32</v>
      </c>
      <c r="G185">
        <v>4</v>
      </c>
      <c r="H185">
        <v>30.5</v>
      </c>
      <c r="I185">
        <v>15</v>
      </c>
      <c r="J185">
        <v>17</v>
      </c>
      <c r="K185">
        <v>73.2</v>
      </c>
    </row>
    <row r="186" spans="1:11" x14ac:dyDescent="0.35">
      <c r="A186">
        <v>69</v>
      </c>
      <c r="B186">
        <v>52</v>
      </c>
      <c r="C186" t="s">
        <v>74</v>
      </c>
      <c r="D186" t="s">
        <v>11</v>
      </c>
      <c r="E186" t="s">
        <v>60</v>
      </c>
      <c r="F186">
        <v>30</v>
      </c>
      <c r="G186">
        <v>1</v>
      </c>
      <c r="H186">
        <v>28</v>
      </c>
      <c r="I186">
        <v>23</v>
      </c>
      <c r="J186">
        <v>11</v>
      </c>
      <c r="K186">
        <v>87.1</v>
      </c>
    </row>
    <row r="187" spans="1:11" x14ac:dyDescent="0.35">
      <c r="A187">
        <v>69</v>
      </c>
      <c r="B187">
        <v>52</v>
      </c>
      <c r="C187" t="s">
        <v>74</v>
      </c>
      <c r="D187" t="s">
        <v>13</v>
      </c>
      <c r="E187" t="s">
        <v>60</v>
      </c>
      <c r="F187">
        <v>32</v>
      </c>
      <c r="G187">
        <v>2</v>
      </c>
      <c r="H187">
        <v>29</v>
      </c>
      <c r="I187">
        <v>26</v>
      </c>
      <c r="J187">
        <v>11</v>
      </c>
      <c r="K187">
        <v>87.1</v>
      </c>
    </row>
    <row r="188" spans="1:11" x14ac:dyDescent="0.35">
      <c r="A188">
        <v>75</v>
      </c>
      <c r="B188">
        <v>55</v>
      </c>
      <c r="C188" t="s">
        <v>59</v>
      </c>
      <c r="D188" t="s">
        <v>11</v>
      </c>
      <c r="E188" t="s">
        <v>60</v>
      </c>
      <c r="F188">
        <v>14</v>
      </c>
      <c r="G188">
        <v>0</v>
      </c>
      <c r="H188">
        <v>26.5</v>
      </c>
      <c r="I188">
        <v>14</v>
      </c>
      <c r="J188">
        <v>0</v>
      </c>
      <c r="K188">
        <v>12</v>
      </c>
    </row>
    <row r="189" spans="1:11" x14ac:dyDescent="0.35">
      <c r="A189">
        <v>75</v>
      </c>
      <c r="B189">
        <v>55</v>
      </c>
      <c r="C189" t="s">
        <v>59</v>
      </c>
      <c r="D189" t="s">
        <v>13</v>
      </c>
      <c r="E189" t="s">
        <v>60</v>
      </c>
      <c r="F189">
        <v>38</v>
      </c>
      <c r="G189">
        <v>0</v>
      </c>
      <c r="H189">
        <v>24.6</v>
      </c>
      <c r="I189">
        <v>38</v>
      </c>
      <c r="J189">
        <v>0</v>
      </c>
      <c r="K189">
        <v>12</v>
      </c>
    </row>
    <row r="190" spans="1:11" x14ac:dyDescent="0.35">
      <c r="A190">
        <v>79</v>
      </c>
      <c r="B190">
        <v>58</v>
      </c>
      <c r="C190" t="s">
        <v>46</v>
      </c>
      <c r="D190" t="s">
        <v>11</v>
      </c>
      <c r="E190" t="s">
        <v>60</v>
      </c>
      <c r="F190">
        <v>18</v>
      </c>
      <c r="G190">
        <v>1</v>
      </c>
      <c r="H190">
        <v>31</v>
      </c>
      <c r="I190">
        <v>15</v>
      </c>
      <c r="J190">
        <v>3</v>
      </c>
      <c r="K190">
        <v>24</v>
      </c>
    </row>
    <row r="191" spans="1:11" x14ac:dyDescent="0.35">
      <c r="A191">
        <v>79</v>
      </c>
      <c r="B191">
        <v>58</v>
      </c>
      <c r="C191" t="s">
        <v>46</v>
      </c>
      <c r="D191" t="s">
        <v>25</v>
      </c>
      <c r="E191" t="s">
        <v>60</v>
      </c>
      <c r="F191">
        <v>21</v>
      </c>
      <c r="G191">
        <v>1</v>
      </c>
      <c r="H191">
        <v>30</v>
      </c>
      <c r="I191">
        <v>17</v>
      </c>
      <c r="J191">
        <v>4</v>
      </c>
      <c r="K191">
        <v>24</v>
      </c>
    </row>
    <row r="192" spans="1:11" x14ac:dyDescent="0.35">
      <c r="A192">
        <v>91</v>
      </c>
      <c r="B192">
        <v>70</v>
      </c>
      <c r="C192" t="s">
        <v>48</v>
      </c>
      <c r="D192" t="s">
        <v>13</v>
      </c>
      <c r="E192" t="s">
        <v>60</v>
      </c>
      <c r="F192">
        <v>33</v>
      </c>
      <c r="G192">
        <v>1</v>
      </c>
      <c r="H192">
        <v>25.8</v>
      </c>
      <c r="I192">
        <v>30</v>
      </c>
      <c r="J192">
        <v>3</v>
      </c>
      <c r="K192">
        <v>28.1</v>
      </c>
    </row>
    <row r="193" spans="1:11" x14ac:dyDescent="0.35">
      <c r="A193">
        <v>91</v>
      </c>
      <c r="B193">
        <v>70</v>
      </c>
      <c r="C193" t="s">
        <v>48</v>
      </c>
      <c r="D193" t="s">
        <v>49</v>
      </c>
      <c r="E193" t="s">
        <v>60</v>
      </c>
      <c r="F193">
        <v>32</v>
      </c>
      <c r="G193">
        <v>3</v>
      </c>
      <c r="H193">
        <v>25.6</v>
      </c>
      <c r="I193">
        <v>26</v>
      </c>
      <c r="J193">
        <v>6</v>
      </c>
      <c r="K193">
        <v>31.6</v>
      </c>
    </row>
    <row r="194" spans="1:11" x14ac:dyDescent="0.35">
      <c r="A194">
        <v>95</v>
      </c>
      <c r="B194">
        <v>76</v>
      </c>
      <c r="C194" t="s">
        <v>18</v>
      </c>
      <c r="D194" t="s">
        <v>11</v>
      </c>
      <c r="E194" t="s">
        <v>60</v>
      </c>
      <c r="F194">
        <v>53</v>
      </c>
      <c r="G194">
        <v>0</v>
      </c>
      <c r="H194">
        <v>25</v>
      </c>
      <c r="I194">
        <v>48</v>
      </c>
      <c r="J194">
        <v>42</v>
      </c>
      <c r="K194">
        <v>120</v>
      </c>
    </row>
    <row r="195" spans="1:11" x14ac:dyDescent="0.35">
      <c r="A195">
        <v>95</v>
      </c>
      <c r="B195">
        <v>76</v>
      </c>
      <c r="C195" t="s">
        <v>18</v>
      </c>
      <c r="D195" t="s">
        <v>13</v>
      </c>
      <c r="E195" t="s">
        <v>60</v>
      </c>
      <c r="F195">
        <v>58</v>
      </c>
      <c r="G195">
        <v>1</v>
      </c>
      <c r="H195">
        <v>24</v>
      </c>
      <c r="I195">
        <v>47</v>
      </c>
      <c r="J195">
        <v>43</v>
      </c>
      <c r="K195">
        <v>120</v>
      </c>
    </row>
    <row r="196" spans="1:11" x14ac:dyDescent="0.35">
      <c r="A196">
        <v>97</v>
      </c>
      <c r="B196">
        <v>77</v>
      </c>
      <c r="C196" t="s">
        <v>19</v>
      </c>
      <c r="D196" t="s">
        <v>11</v>
      </c>
      <c r="E196" t="s">
        <v>60</v>
      </c>
      <c r="F196">
        <v>38</v>
      </c>
      <c r="G196">
        <v>9</v>
      </c>
      <c r="H196">
        <v>27</v>
      </c>
      <c r="I196" t="s">
        <v>87</v>
      </c>
      <c r="J196">
        <v>0</v>
      </c>
      <c r="K196">
        <v>228</v>
      </c>
    </row>
    <row r="197" spans="1:11" x14ac:dyDescent="0.35">
      <c r="A197">
        <v>97</v>
      </c>
      <c r="B197">
        <v>77</v>
      </c>
      <c r="C197" t="s">
        <v>19</v>
      </c>
      <c r="D197" t="s">
        <v>13</v>
      </c>
      <c r="E197" t="s">
        <v>60</v>
      </c>
      <c r="F197">
        <v>33</v>
      </c>
      <c r="G197">
        <v>5</v>
      </c>
      <c r="H197">
        <v>27</v>
      </c>
      <c r="I197">
        <v>0</v>
      </c>
      <c r="J197">
        <v>0</v>
      </c>
      <c r="K197">
        <v>228</v>
      </c>
    </row>
    <row r="198" spans="1:11" x14ac:dyDescent="0.35">
      <c r="A198">
        <v>99</v>
      </c>
      <c r="B198">
        <v>82</v>
      </c>
      <c r="C198" t="s">
        <v>50</v>
      </c>
      <c r="D198" t="s">
        <v>11</v>
      </c>
      <c r="E198" t="s">
        <v>60</v>
      </c>
      <c r="F198">
        <v>24</v>
      </c>
      <c r="G198">
        <v>0</v>
      </c>
      <c r="H198">
        <v>45.5</v>
      </c>
      <c r="I198">
        <v>15</v>
      </c>
      <c r="J198">
        <v>9</v>
      </c>
      <c r="K198">
        <v>204</v>
      </c>
    </row>
    <row r="199" spans="1:11" x14ac:dyDescent="0.35">
      <c r="A199">
        <v>99</v>
      </c>
      <c r="B199">
        <v>82</v>
      </c>
      <c r="C199" t="s">
        <v>50</v>
      </c>
      <c r="D199" t="s">
        <v>13</v>
      </c>
      <c r="E199" t="s">
        <v>60</v>
      </c>
      <c r="F199">
        <v>24</v>
      </c>
      <c r="G199">
        <v>0</v>
      </c>
      <c r="H199">
        <v>42.5</v>
      </c>
      <c r="I199">
        <v>13</v>
      </c>
      <c r="J199">
        <v>11</v>
      </c>
      <c r="K199">
        <v>204</v>
      </c>
    </row>
    <row r="200" spans="1:11" x14ac:dyDescent="0.35">
      <c r="A200">
        <v>117</v>
      </c>
      <c r="B200">
        <v>97</v>
      </c>
      <c r="C200" t="s">
        <v>24</v>
      </c>
      <c r="D200" t="s">
        <v>13</v>
      </c>
      <c r="E200" t="s">
        <v>60</v>
      </c>
      <c r="F200">
        <v>36</v>
      </c>
      <c r="G200">
        <v>9</v>
      </c>
      <c r="H200">
        <v>30.1</v>
      </c>
      <c r="I200">
        <v>32</v>
      </c>
      <c r="J200">
        <v>4</v>
      </c>
      <c r="K200">
        <v>12</v>
      </c>
    </row>
    <row r="201" spans="1:11" x14ac:dyDescent="0.35">
      <c r="A201">
        <v>117</v>
      </c>
      <c r="B201">
        <v>97</v>
      </c>
      <c r="C201" t="s">
        <v>24</v>
      </c>
      <c r="D201" t="s">
        <v>25</v>
      </c>
      <c r="E201" t="s">
        <v>60</v>
      </c>
      <c r="F201">
        <v>33</v>
      </c>
      <c r="G201">
        <v>3</v>
      </c>
      <c r="H201">
        <v>28.7</v>
      </c>
      <c r="I201">
        <v>30</v>
      </c>
      <c r="J201">
        <v>3</v>
      </c>
      <c r="K201">
        <v>12</v>
      </c>
    </row>
    <row r="202" spans="1:11" x14ac:dyDescent="0.35">
      <c r="A202">
        <v>119</v>
      </c>
      <c r="B202">
        <v>98</v>
      </c>
      <c r="C202" t="s">
        <v>51</v>
      </c>
      <c r="D202" t="s">
        <v>13</v>
      </c>
      <c r="E202" t="s">
        <v>60</v>
      </c>
      <c r="F202">
        <v>68</v>
      </c>
      <c r="G202">
        <v>4</v>
      </c>
      <c r="H202">
        <v>30</v>
      </c>
      <c r="I202">
        <v>61</v>
      </c>
      <c r="J202">
        <v>7</v>
      </c>
      <c r="K202">
        <v>32.799999999999997</v>
      </c>
    </row>
    <row r="203" spans="1:11" x14ac:dyDescent="0.35">
      <c r="A203">
        <v>119</v>
      </c>
      <c r="B203">
        <v>98</v>
      </c>
      <c r="C203" t="s">
        <v>51</v>
      </c>
      <c r="D203" t="s">
        <v>43</v>
      </c>
      <c r="E203" t="s">
        <v>60</v>
      </c>
      <c r="F203">
        <v>64</v>
      </c>
      <c r="G203">
        <v>6</v>
      </c>
      <c r="H203">
        <v>24</v>
      </c>
      <c r="I203">
        <v>59</v>
      </c>
      <c r="J203">
        <v>5</v>
      </c>
      <c r="K203">
        <v>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B154-0423-4FB6-93AE-979558EA7148}">
  <dimension ref="A1:K123"/>
  <sheetViews>
    <sheetView tabSelected="1" topLeftCell="B2" workbookViewId="0">
      <selection activeCell="G32" sqref="G32:G33"/>
    </sheetView>
  </sheetViews>
  <sheetFormatPr defaultRowHeight="14.5" x14ac:dyDescent="0.35"/>
  <cols>
    <col min="2" max="2" width="3.81640625" bestFit="1" customWidth="1"/>
    <col min="3" max="3" width="23.6328125" bestFit="1" customWidth="1"/>
    <col min="4" max="4" width="10.1796875" bestFit="1" customWidth="1"/>
    <col min="5" max="5" width="4.54296875" bestFit="1" customWidth="1"/>
    <col min="6" max="7" width="4.81640625" bestFit="1" customWidth="1"/>
    <col min="8" max="8" width="7.81640625" bestFit="1" customWidth="1"/>
    <col min="9" max="9" width="8.36328125" bestFit="1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88</v>
      </c>
      <c r="F1" t="s">
        <v>6</v>
      </c>
      <c r="G1" t="s">
        <v>7</v>
      </c>
      <c r="H1" t="s">
        <v>8</v>
      </c>
      <c r="I1" t="s">
        <v>9</v>
      </c>
    </row>
    <row r="2" spans="1:11" x14ac:dyDescent="0.35">
      <c r="A2">
        <v>1</v>
      </c>
      <c r="B2">
        <v>1</v>
      </c>
      <c r="C2" t="s">
        <v>61</v>
      </c>
      <c r="D2" t="s">
        <v>11</v>
      </c>
      <c r="E2">
        <v>20</v>
      </c>
      <c r="F2">
        <v>32</v>
      </c>
      <c r="G2">
        <v>15</v>
      </c>
      <c r="H2">
        <v>5</v>
      </c>
      <c r="I2">
        <v>36</v>
      </c>
      <c r="K2" t="str" cm="1">
        <f t="array" ref="K2:K59">_xlfn.UNIQUE(study)</f>
        <v>Ageberg et al., 2009</v>
      </c>
    </row>
    <row r="3" spans="1:11" x14ac:dyDescent="0.35">
      <c r="A3">
        <v>2</v>
      </c>
      <c r="B3">
        <v>1</v>
      </c>
      <c r="C3" t="s">
        <v>61</v>
      </c>
      <c r="D3" t="s">
        <v>13</v>
      </c>
      <c r="E3">
        <v>16</v>
      </c>
      <c r="F3">
        <v>28</v>
      </c>
      <c r="G3">
        <v>12</v>
      </c>
      <c r="H3">
        <v>4</v>
      </c>
      <c r="I3">
        <v>36</v>
      </c>
      <c r="K3" t="str">
        <v>Aglietti et al., 2004</v>
      </c>
    </row>
    <row r="4" spans="1:11" x14ac:dyDescent="0.35">
      <c r="A4">
        <v>3</v>
      </c>
      <c r="B4">
        <v>2</v>
      </c>
      <c r="C4" t="s">
        <v>26</v>
      </c>
      <c r="D4" t="s">
        <v>11</v>
      </c>
      <c r="E4">
        <v>60</v>
      </c>
      <c r="F4">
        <v>25</v>
      </c>
      <c r="G4">
        <v>46</v>
      </c>
      <c r="H4">
        <v>14</v>
      </c>
      <c r="I4">
        <v>24</v>
      </c>
      <c r="K4" t="str">
        <v>Ahldén et al., 2009</v>
      </c>
    </row>
    <row r="5" spans="1:11" x14ac:dyDescent="0.35">
      <c r="A5">
        <v>4</v>
      </c>
      <c r="B5">
        <v>2</v>
      </c>
      <c r="C5" t="s">
        <v>26</v>
      </c>
      <c r="D5" t="s">
        <v>13</v>
      </c>
      <c r="E5">
        <v>60</v>
      </c>
      <c r="F5">
        <v>25</v>
      </c>
      <c r="G5">
        <v>46</v>
      </c>
      <c r="H5">
        <v>14</v>
      </c>
      <c r="I5">
        <v>24</v>
      </c>
      <c r="K5" t="str">
        <v>Anderson et al., 2001</v>
      </c>
    </row>
    <row r="6" spans="1:11" x14ac:dyDescent="0.35">
      <c r="A6">
        <v>5</v>
      </c>
      <c r="B6">
        <v>3</v>
      </c>
      <c r="C6" t="s">
        <v>62</v>
      </c>
      <c r="D6" t="s">
        <v>11</v>
      </c>
      <c r="E6">
        <v>22</v>
      </c>
      <c r="F6">
        <v>27.4</v>
      </c>
      <c r="G6">
        <v>14</v>
      </c>
      <c r="H6">
        <v>8</v>
      </c>
      <c r="I6">
        <v>90.3</v>
      </c>
      <c r="K6" t="str">
        <v>Anz et al., 2023</v>
      </c>
    </row>
    <row r="7" spans="1:11" x14ac:dyDescent="0.35">
      <c r="A7">
        <v>6</v>
      </c>
      <c r="B7">
        <v>3</v>
      </c>
      <c r="C7" t="s">
        <v>62</v>
      </c>
      <c r="D7" t="s">
        <v>13</v>
      </c>
      <c r="E7">
        <v>25</v>
      </c>
      <c r="F7">
        <v>28.6</v>
      </c>
      <c r="G7">
        <v>18</v>
      </c>
      <c r="H7">
        <v>7</v>
      </c>
      <c r="I7">
        <v>86.8</v>
      </c>
      <c r="K7" t="str">
        <v>Aune et al., 2001</v>
      </c>
    </row>
    <row r="8" spans="1:11" x14ac:dyDescent="0.35">
      <c r="A8">
        <v>7</v>
      </c>
      <c r="B8">
        <v>5</v>
      </c>
      <c r="C8" t="s">
        <v>28</v>
      </c>
      <c r="D8" t="s">
        <v>11</v>
      </c>
      <c r="E8">
        <v>35</v>
      </c>
      <c r="F8">
        <v>23.6</v>
      </c>
      <c r="G8">
        <v>23</v>
      </c>
      <c r="H8">
        <v>12</v>
      </c>
      <c r="I8">
        <v>34.6</v>
      </c>
      <c r="K8" t="str">
        <v>Barenius et al., 2010</v>
      </c>
    </row>
    <row r="9" spans="1:11" x14ac:dyDescent="0.35">
      <c r="A9">
        <v>8</v>
      </c>
      <c r="B9">
        <v>5</v>
      </c>
      <c r="C9" t="s">
        <v>28</v>
      </c>
      <c r="D9" t="s">
        <v>63</v>
      </c>
      <c r="E9">
        <v>33</v>
      </c>
      <c r="F9">
        <v>22</v>
      </c>
      <c r="G9">
        <v>22</v>
      </c>
      <c r="H9">
        <v>11</v>
      </c>
      <c r="I9">
        <v>35.700000000000003</v>
      </c>
      <c r="K9" t="str">
        <v>Barié et al., 2020</v>
      </c>
    </row>
    <row r="10" spans="1:11" x14ac:dyDescent="0.35">
      <c r="A10">
        <v>9</v>
      </c>
      <c r="B10">
        <v>5</v>
      </c>
      <c r="C10" t="s">
        <v>28</v>
      </c>
      <c r="D10" t="s">
        <v>64</v>
      </c>
      <c r="E10">
        <v>35</v>
      </c>
      <c r="F10">
        <v>20.100000000000001</v>
      </c>
      <c r="G10">
        <v>23</v>
      </c>
      <c r="H10">
        <v>12</v>
      </c>
      <c r="I10">
        <v>35.9</v>
      </c>
      <c r="K10" t="str">
        <v>Beynnon et al., 2002</v>
      </c>
    </row>
    <row r="11" spans="1:11" x14ac:dyDescent="0.35">
      <c r="A11">
        <v>10</v>
      </c>
      <c r="B11">
        <v>5</v>
      </c>
      <c r="C11" t="s">
        <v>28</v>
      </c>
      <c r="D11" t="s">
        <v>13</v>
      </c>
      <c r="E11">
        <v>68</v>
      </c>
      <c r="F11">
        <v>21</v>
      </c>
      <c r="G11">
        <v>45</v>
      </c>
      <c r="H11">
        <v>23</v>
      </c>
      <c r="I11">
        <v>35.799999999999997</v>
      </c>
      <c r="K11" t="str">
        <v>Bi et al., 2018</v>
      </c>
    </row>
    <row r="12" spans="1:11" x14ac:dyDescent="0.35">
      <c r="A12">
        <v>11</v>
      </c>
      <c r="B12">
        <v>6</v>
      </c>
      <c r="C12" t="s">
        <v>10</v>
      </c>
      <c r="D12" t="s">
        <v>11</v>
      </c>
      <c r="E12">
        <v>10</v>
      </c>
      <c r="F12">
        <v>29.4</v>
      </c>
      <c r="G12">
        <v>4</v>
      </c>
      <c r="H12">
        <v>6</v>
      </c>
      <c r="I12">
        <v>12</v>
      </c>
      <c r="K12" t="str">
        <v>Björnsson et al., 2016</v>
      </c>
    </row>
    <row r="13" spans="1:11" x14ac:dyDescent="0.35">
      <c r="A13">
        <v>12</v>
      </c>
      <c r="B13">
        <v>6</v>
      </c>
      <c r="C13" t="s">
        <v>10</v>
      </c>
      <c r="D13" t="s">
        <v>13</v>
      </c>
      <c r="E13">
        <v>10</v>
      </c>
      <c r="F13">
        <v>27.6</v>
      </c>
      <c r="G13">
        <v>3</v>
      </c>
      <c r="H13">
        <v>7</v>
      </c>
      <c r="I13">
        <v>12</v>
      </c>
      <c r="K13" t="str">
        <v>Bottoni et al., 2015</v>
      </c>
    </row>
    <row r="14" spans="1:11" x14ac:dyDescent="0.35">
      <c r="A14">
        <v>13</v>
      </c>
      <c r="B14">
        <v>7</v>
      </c>
      <c r="C14" t="s">
        <v>65</v>
      </c>
      <c r="D14" t="s">
        <v>11</v>
      </c>
      <c r="E14">
        <v>35</v>
      </c>
      <c r="F14">
        <v>25</v>
      </c>
      <c r="G14">
        <v>19</v>
      </c>
      <c r="H14">
        <v>16</v>
      </c>
      <c r="I14">
        <v>24</v>
      </c>
      <c r="K14" t="str">
        <v>Butt et al., 2024</v>
      </c>
    </row>
    <row r="15" spans="1:11" x14ac:dyDescent="0.35">
      <c r="A15">
        <v>14</v>
      </c>
      <c r="B15">
        <v>7</v>
      </c>
      <c r="C15" t="s">
        <v>65</v>
      </c>
      <c r="D15" t="s">
        <v>13</v>
      </c>
      <c r="E15">
        <v>37</v>
      </c>
      <c r="F15">
        <v>27</v>
      </c>
      <c r="G15">
        <v>21</v>
      </c>
      <c r="H15">
        <v>16</v>
      </c>
      <c r="I15">
        <v>24</v>
      </c>
      <c r="K15" t="str">
        <v>Calvert et al., 2025</v>
      </c>
    </row>
    <row r="16" spans="1:11" x14ac:dyDescent="0.35">
      <c r="A16">
        <v>15</v>
      </c>
      <c r="B16">
        <v>9</v>
      </c>
      <c r="C16" t="s">
        <v>66</v>
      </c>
      <c r="D16" t="s">
        <v>11</v>
      </c>
      <c r="E16">
        <v>78</v>
      </c>
      <c r="F16">
        <v>33</v>
      </c>
      <c r="G16">
        <v>38</v>
      </c>
      <c r="H16">
        <v>40</v>
      </c>
      <c r="I16">
        <v>96</v>
      </c>
      <c r="K16" t="str">
        <v>Ejerhed et al., 2003</v>
      </c>
    </row>
    <row r="17" spans="1:11" x14ac:dyDescent="0.35">
      <c r="A17">
        <v>16</v>
      </c>
      <c r="B17">
        <v>9</v>
      </c>
      <c r="C17" t="s">
        <v>66</v>
      </c>
      <c r="D17" t="s">
        <v>13</v>
      </c>
      <c r="E17">
        <v>75</v>
      </c>
      <c r="F17">
        <v>35</v>
      </c>
      <c r="G17">
        <v>51</v>
      </c>
      <c r="H17">
        <v>24</v>
      </c>
      <c r="I17">
        <v>96</v>
      </c>
      <c r="K17" t="str">
        <v>Eriksson et al., 2001</v>
      </c>
    </row>
    <row r="18" spans="1:11" x14ac:dyDescent="0.35">
      <c r="A18">
        <v>17</v>
      </c>
      <c r="B18">
        <v>10</v>
      </c>
      <c r="C18" t="s">
        <v>67</v>
      </c>
      <c r="D18" t="s">
        <v>11</v>
      </c>
      <c r="E18">
        <v>30</v>
      </c>
      <c r="F18">
        <v>30.6</v>
      </c>
      <c r="G18">
        <v>17</v>
      </c>
      <c r="H18">
        <v>13</v>
      </c>
      <c r="I18">
        <v>122.4</v>
      </c>
      <c r="K18" t="str">
        <v>Feller &amp; Webster, 2003</v>
      </c>
    </row>
    <row r="19" spans="1:11" x14ac:dyDescent="0.35">
      <c r="A19">
        <v>18</v>
      </c>
      <c r="B19">
        <v>10</v>
      </c>
      <c r="C19" t="s">
        <v>67</v>
      </c>
      <c r="D19" t="s">
        <v>25</v>
      </c>
      <c r="E19">
        <v>30</v>
      </c>
      <c r="F19">
        <v>30.5</v>
      </c>
      <c r="G19">
        <v>17</v>
      </c>
      <c r="H19">
        <v>13</v>
      </c>
      <c r="I19">
        <v>123.6</v>
      </c>
      <c r="K19" t="str">
        <v>Gifstad et al., 2013</v>
      </c>
    </row>
    <row r="20" spans="1:11" x14ac:dyDescent="0.35">
      <c r="A20">
        <v>19</v>
      </c>
      <c r="B20">
        <v>11</v>
      </c>
      <c r="C20" t="s">
        <v>29</v>
      </c>
      <c r="D20" t="s">
        <v>11</v>
      </c>
      <c r="E20">
        <v>28</v>
      </c>
      <c r="F20">
        <v>28.5</v>
      </c>
      <c r="G20">
        <v>18</v>
      </c>
      <c r="H20">
        <v>10</v>
      </c>
      <c r="I20">
        <v>36</v>
      </c>
      <c r="K20" t="str">
        <v>Guglielmetti et al., 2021</v>
      </c>
    </row>
    <row r="21" spans="1:11" x14ac:dyDescent="0.35">
      <c r="A21">
        <v>20</v>
      </c>
      <c r="B21">
        <v>11</v>
      </c>
      <c r="C21" t="s">
        <v>29</v>
      </c>
      <c r="D21" t="s">
        <v>13</v>
      </c>
      <c r="E21">
        <v>28</v>
      </c>
      <c r="F21">
        <v>29.9</v>
      </c>
      <c r="G21">
        <v>13</v>
      </c>
      <c r="H21">
        <v>15</v>
      </c>
      <c r="I21">
        <v>36</v>
      </c>
      <c r="K21" t="str">
        <v>Harilainen et al., 2006</v>
      </c>
    </row>
    <row r="22" spans="1:11" x14ac:dyDescent="0.35">
      <c r="A22">
        <v>21</v>
      </c>
      <c r="B22">
        <v>12</v>
      </c>
      <c r="C22" t="s">
        <v>30</v>
      </c>
      <c r="D22" t="s">
        <v>13</v>
      </c>
      <c r="E22">
        <v>62</v>
      </c>
      <c r="F22">
        <v>27.9</v>
      </c>
      <c r="G22">
        <v>31</v>
      </c>
      <c r="H22">
        <v>31</v>
      </c>
      <c r="I22">
        <v>30.3</v>
      </c>
      <c r="K22" t="str">
        <v>Heijne &amp; Werner, 2010</v>
      </c>
    </row>
    <row r="23" spans="1:11" x14ac:dyDescent="0.35">
      <c r="A23">
        <v>22</v>
      </c>
      <c r="B23">
        <v>12</v>
      </c>
      <c r="C23" t="s">
        <v>30</v>
      </c>
      <c r="D23" t="s">
        <v>31</v>
      </c>
      <c r="E23">
        <v>62</v>
      </c>
      <c r="F23">
        <v>29.1</v>
      </c>
      <c r="G23">
        <v>34</v>
      </c>
      <c r="H23">
        <v>28</v>
      </c>
      <c r="I23">
        <v>29.7</v>
      </c>
      <c r="K23" t="str">
        <v>Holm et al., 2010</v>
      </c>
    </row>
    <row r="24" spans="1:11" x14ac:dyDescent="0.35">
      <c r="A24">
        <v>23</v>
      </c>
      <c r="B24">
        <v>13</v>
      </c>
      <c r="C24" t="s">
        <v>32</v>
      </c>
      <c r="D24" t="s">
        <v>11</v>
      </c>
      <c r="E24">
        <v>61</v>
      </c>
      <c r="F24">
        <v>28.2</v>
      </c>
      <c r="G24">
        <v>42</v>
      </c>
      <c r="H24">
        <v>19</v>
      </c>
      <c r="I24">
        <v>202.6</v>
      </c>
      <c r="K24" t="str">
        <v>Horstmann et al., 2022</v>
      </c>
    </row>
    <row r="25" spans="1:11" x14ac:dyDescent="0.35">
      <c r="A25">
        <v>24</v>
      </c>
      <c r="B25">
        <v>13</v>
      </c>
      <c r="C25" t="s">
        <v>32</v>
      </c>
      <c r="D25" t="s">
        <v>13</v>
      </c>
      <c r="E25">
        <v>86</v>
      </c>
      <c r="F25">
        <v>26.8</v>
      </c>
      <c r="G25">
        <v>53</v>
      </c>
      <c r="H25">
        <v>33</v>
      </c>
      <c r="I25">
        <v>191.9</v>
      </c>
      <c r="K25" t="str">
        <v>Ibrahim et al., 2005</v>
      </c>
    </row>
    <row r="26" spans="1:11" x14ac:dyDescent="0.35">
      <c r="A26">
        <v>25</v>
      </c>
      <c r="B26">
        <v>14</v>
      </c>
      <c r="C26" t="s">
        <v>68</v>
      </c>
      <c r="D26" t="s">
        <v>13</v>
      </c>
      <c r="E26">
        <v>48</v>
      </c>
      <c r="F26">
        <v>28.9</v>
      </c>
      <c r="G26">
        <v>41</v>
      </c>
      <c r="H26">
        <v>7</v>
      </c>
      <c r="I26">
        <v>120</v>
      </c>
      <c r="K26" t="str">
        <v>Iliopoulos et al., 2017</v>
      </c>
    </row>
    <row r="27" spans="1:11" x14ac:dyDescent="0.35">
      <c r="A27">
        <v>26</v>
      </c>
      <c r="B27">
        <v>14</v>
      </c>
      <c r="C27" t="s">
        <v>68</v>
      </c>
      <c r="D27" t="s">
        <v>43</v>
      </c>
      <c r="E27">
        <v>49</v>
      </c>
      <c r="F27">
        <v>29.2</v>
      </c>
      <c r="G27">
        <v>43</v>
      </c>
      <c r="H27">
        <v>6</v>
      </c>
      <c r="I27">
        <v>120</v>
      </c>
      <c r="K27" t="str">
        <v>Jansson et al., 2003</v>
      </c>
    </row>
    <row r="28" spans="1:11" x14ac:dyDescent="0.35">
      <c r="A28">
        <v>27</v>
      </c>
      <c r="B28">
        <v>18</v>
      </c>
      <c r="C28" t="s">
        <v>69</v>
      </c>
      <c r="D28" t="s">
        <v>13</v>
      </c>
      <c r="E28">
        <v>30</v>
      </c>
      <c r="F28">
        <v>29.2</v>
      </c>
      <c r="G28">
        <v>29</v>
      </c>
      <c r="H28">
        <v>1</v>
      </c>
      <c r="I28">
        <v>60</v>
      </c>
      <c r="K28" t="str">
        <v>Kautzner et al., 2015</v>
      </c>
    </row>
    <row r="29" spans="1:11" x14ac:dyDescent="0.35">
      <c r="A29">
        <v>28</v>
      </c>
      <c r="B29">
        <v>18</v>
      </c>
      <c r="C29" t="s">
        <v>69</v>
      </c>
      <c r="D29" t="s">
        <v>31</v>
      </c>
      <c r="E29">
        <v>30</v>
      </c>
      <c r="F29">
        <v>27.7</v>
      </c>
      <c r="G29">
        <v>30</v>
      </c>
      <c r="H29">
        <v>0</v>
      </c>
      <c r="I29">
        <v>60</v>
      </c>
      <c r="K29" t="str">
        <v>Komzak et al., 2022</v>
      </c>
    </row>
    <row r="30" spans="1:11" x14ac:dyDescent="0.35">
      <c r="A30">
        <v>29</v>
      </c>
      <c r="B30">
        <v>19</v>
      </c>
      <c r="C30" t="s">
        <v>70</v>
      </c>
      <c r="D30" t="s">
        <v>13</v>
      </c>
      <c r="E30">
        <v>55</v>
      </c>
      <c r="F30">
        <v>29.4</v>
      </c>
      <c r="G30">
        <v>28</v>
      </c>
      <c r="H30">
        <v>27</v>
      </c>
      <c r="I30">
        <v>24</v>
      </c>
      <c r="K30" t="str">
        <v>Konrads et al., 2016</v>
      </c>
    </row>
    <row r="31" spans="1:11" x14ac:dyDescent="0.35">
      <c r="A31">
        <v>30</v>
      </c>
      <c r="B31">
        <v>19</v>
      </c>
      <c r="C31" t="s">
        <v>70</v>
      </c>
      <c r="D31" t="s">
        <v>25</v>
      </c>
      <c r="E31">
        <v>57</v>
      </c>
      <c r="F31">
        <v>28.1</v>
      </c>
      <c r="G31">
        <v>28</v>
      </c>
      <c r="H31">
        <v>29</v>
      </c>
      <c r="I31">
        <v>24</v>
      </c>
      <c r="K31" t="str">
        <v>Laoruengthana et al., 2009</v>
      </c>
    </row>
    <row r="32" spans="1:11" x14ac:dyDescent="0.35">
      <c r="A32">
        <v>31</v>
      </c>
      <c r="B32">
        <v>23</v>
      </c>
      <c r="C32" t="s">
        <v>55</v>
      </c>
      <c r="D32" t="s">
        <v>11</v>
      </c>
      <c r="E32">
        <v>32</v>
      </c>
      <c r="F32">
        <v>27.3</v>
      </c>
      <c r="G32">
        <v>21</v>
      </c>
      <c r="H32">
        <v>11</v>
      </c>
      <c r="I32">
        <v>24</v>
      </c>
      <c r="K32" t="str">
        <v>Lawhorn et al., 2012</v>
      </c>
    </row>
    <row r="33" spans="1:11" x14ac:dyDescent="0.35">
      <c r="A33">
        <v>32</v>
      </c>
      <c r="B33">
        <v>23</v>
      </c>
      <c r="C33" t="s">
        <v>55</v>
      </c>
      <c r="D33" t="s">
        <v>13</v>
      </c>
      <c r="E33">
        <v>34</v>
      </c>
      <c r="F33">
        <v>30.8</v>
      </c>
      <c r="G33">
        <v>25</v>
      </c>
      <c r="H33">
        <v>9</v>
      </c>
      <c r="I33">
        <v>24</v>
      </c>
      <c r="K33" t="str">
        <v>Laxdal et al., 2005</v>
      </c>
    </row>
    <row r="34" spans="1:11" x14ac:dyDescent="0.35">
      <c r="A34">
        <v>33</v>
      </c>
      <c r="B34">
        <v>25</v>
      </c>
      <c r="C34" t="s">
        <v>33</v>
      </c>
      <c r="D34" t="s">
        <v>11</v>
      </c>
      <c r="E34">
        <v>59</v>
      </c>
      <c r="F34">
        <v>27</v>
      </c>
      <c r="I34">
        <v>6.7</v>
      </c>
      <c r="K34" t="str">
        <v>Li et al., 2015</v>
      </c>
    </row>
    <row r="35" spans="1:11" x14ac:dyDescent="0.35">
      <c r="A35">
        <v>34</v>
      </c>
      <c r="B35">
        <v>25</v>
      </c>
      <c r="C35" t="s">
        <v>33</v>
      </c>
      <c r="D35" t="s">
        <v>13</v>
      </c>
      <c r="E35">
        <v>57</v>
      </c>
      <c r="F35">
        <v>27</v>
      </c>
      <c r="I35">
        <v>6.7</v>
      </c>
      <c r="K35" t="str">
        <v>Lidén et al., 2007</v>
      </c>
    </row>
    <row r="36" spans="1:11" x14ac:dyDescent="0.35">
      <c r="A36">
        <v>35</v>
      </c>
      <c r="B36">
        <v>26</v>
      </c>
      <c r="C36" t="s">
        <v>34</v>
      </c>
      <c r="D36" t="s">
        <v>11</v>
      </c>
      <c r="E36">
        <v>31</v>
      </c>
      <c r="F36">
        <v>25.8</v>
      </c>
      <c r="G36">
        <v>23</v>
      </c>
      <c r="H36">
        <v>8</v>
      </c>
      <c r="I36">
        <v>36</v>
      </c>
      <c r="K36" t="str">
        <v>Lind et al., 2020</v>
      </c>
    </row>
    <row r="37" spans="1:11" x14ac:dyDescent="0.35">
      <c r="A37">
        <v>36</v>
      </c>
      <c r="B37">
        <v>26</v>
      </c>
      <c r="C37" t="s">
        <v>34</v>
      </c>
      <c r="D37" t="s">
        <v>13</v>
      </c>
      <c r="E37">
        <v>34</v>
      </c>
      <c r="F37">
        <v>26.3</v>
      </c>
      <c r="G37">
        <v>24</v>
      </c>
      <c r="H37">
        <v>10</v>
      </c>
      <c r="I37">
        <v>36</v>
      </c>
      <c r="K37" t="str">
        <v>Lucidi et al., 2025</v>
      </c>
    </row>
    <row r="38" spans="1:11" x14ac:dyDescent="0.35">
      <c r="A38">
        <v>37</v>
      </c>
      <c r="B38">
        <v>30</v>
      </c>
      <c r="C38" t="s">
        <v>56</v>
      </c>
      <c r="D38" t="s">
        <v>11</v>
      </c>
      <c r="E38">
        <v>41</v>
      </c>
      <c r="F38">
        <v>27</v>
      </c>
      <c r="I38">
        <v>84</v>
      </c>
      <c r="K38" t="str">
        <v>Lui et al., 2012</v>
      </c>
    </row>
    <row r="39" spans="1:11" x14ac:dyDescent="0.35">
      <c r="A39">
        <v>38</v>
      </c>
      <c r="B39">
        <v>30</v>
      </c>
      <c r="C39" t="s">
        <v>56</v>
      </c>
      <c r="D39" t="s">
        <v>13</v>
      </c>
      <c r="E39">
        <v>36</v>
      </c>
      <c r="F39">
        <v>27</v>
      </c>
      <c r="I39">
        <v>84</v>
      </c>
      <c r="K39" t="str">
        <v>Lund et al., 2014</v>
      </c>
    </row>
    <row r="40" spans="1:11" x14ac:dyDescent="0.35">
      <c r="A40">
        <v>39</v>
      </c>
      <c r="B40">
        <v>32</v>
      </c>
      <c r="C40" t="s">
        <v>35</v>
      </c>
      <c r="D40" t="s">
        <v>11</v>
      </c>
      <c r="E40">
        <v>31</v>
      </c>
      <c r="F40">
        <v>25.2</v>
      </c>
      <c r="G40">
        <v>23</v>
      </c>
      <c r="H40">
        <v>8</v>
      </c>
      <c r="I40">
        <v>24</v>
      </c>
      <c r="K40" t="str">
        <v>Malik et al., 2026</v>
      </c>
    </row>
    <row r="41" spans="1:11" x14ac:dyDescent="0.35">
      <c r="A41">
        <v>40</v>
      </c>
      <c r="B41">
        <v>32</v>
      </c>
      <c r="C41" t="s">
        <v>35</v>
      </c>
      <c r="D41" t="s">
        <v>13</v>
      </c>
      <c r="E41">
        <v>31</v>
      </c>
      <c r="F41">
        <v>24.6</v>
      </c>
      <c r="G41">
        <v>19</v>
      </c>
      <c r="H41">
        <v>12</v>
      </c>
      <c r="I41">
        <v>24</v>
      </c>
      <c r="K41" t="str">
        <v>Matsumoto et al., 2006</v>
      </c>
    </row>
    <row r="42" spans="1:11" x14ac:dyDescent="0.35">
      <c r="A42">
        <v>41</v>
      </c>
      <c r="B42">
        <v>33</v>
      </c>
      <c r="C42" t="s">
        <v>36</v>
      </c>
      <c r="D42" t="s">
        <v>11</v>
      </c>
      <c r="E42">
        <v>40</v>
      </c>
      <c r="I42">
        <v>60.6</v>
      </c>
      <c r="K42" t="str">
        <v>Mohtadi et al., 2016</v>
      </c>
    </row>
    <row r="43" spans="1:11" x14ac:dyDescent="0.35">
      <c r="A43">
        <v>42</v>
      </c>
      <c r="B43">
        <v>33</v>
      </c>
      <c r="C43" t="s">
        <v>36</v>
      </c>
      <c r="D43" t="s">
        <v>13</v>
      </c>
      <c r="E43">
        <v>39</v>
      </c>
      <c r="I43">
        <v>60.6</v>
      </c>
      <c r="K43" t="str">
        <v>Moraiti et al., 2010</v>
      </c>
    </row>
    <row r="44" spans="1:11" x14ac:dyDescent="0.35">
      <c r="A44">
        <v>43</v>
      </c>
      <c r="B44">
        <v>34</v>
      </c>
      <c r="C44" t="s">
        <v>37</v>
      </c>
      <c r="D44" t="s">
        <v>11</v>
      </c>
      <c r="E44">
        <v>34</v>
      </c>
      <c r="F44">
        <v>29</v>
      </c>
      <c r="G44">
        <v>22</v>
      </c>
      <c r="H44">
        <v>12</v>
      </c>
      <c r="I44">
        <v>24.7</v>
      </c>
      <c r="K44" t="str">
        <v>Noh et al., 2011</v>
      </c>
    </row>
    <row r="45" spans="1:11" x14ac:dyDescent="0.35">
      <c r="A45">
        <v>44</v>
      </c>
      <c r="B45">
        <v>34</v>
      </c>
      <c r="C45" t="s">
        <v>37</v>
      </c>
      <c r="D45" t="s">
        <v>13</v>
      </c>
      <c r="E45">
        <v>34</v>
      </c>
      <c r="F45">
        <v>30</v>
      </c>
      <c r="G45">
        <v>14</v>
      </c>
      <c r="H45">
        <v>20</v>
      </c>
      <c r="I45">
        <v>24.7</v>
      </c>
      <c r="K45" t="str">
        <v>Papalia et al., 2015</v>
      </c>
    </row>
    <row r="46" spans="1:11" x14ac:dyDescent="0.35">
      <c r="A46">
        <v>45</v>
      </c>
      <c r="B46">
        <v>35</v>
      </c>
      <c r="C46" t="s">
        <v>71</v>
      </c>
      <c r="D46" t="s">
        <v>11</v>
      </c>
      <c r="E46">
        <v>28</v>
      </c>
      <c r="F46">
        <v>33.9</v>
      </c>
      <c r="G46">
        <v>18</v>
      </c>
      <c r="H46">
        <v>10</v>
      </c>
      <c r="I46">
        <v>10.199999999999999</v>
      </c>
      <c r="K46" t="str">
        <v>Pinczewski et al., 2007</v>
      </c>
    </row>
    <row r="47" spans="1:11" x14ac:dyDescent="0.35">
      <c r="A47">
        <v>46</v>
      </c>
      <c r="B47">
        <v>35</v>
      </c>
      <c r="C47" t="s">
        <v>71</v>
      </c>
      <c r="D47" t="s">
        <v>13</v>
      </c>
      <c r="E47">
        <v>29</v>
      </c>
      <c r="F47">
        <v>37.9</v>
      </c>
      <c r="G47">
        <v>15</v>
      </c>
      <c r="H47">
        <v>14</v>
      </c>
      <c r="I47">
        <v>10.7</v>
      </c>
      <c r="K47" t="str">
        <v>Popovic et al., 2024</v>
      </c>
    </row>
    <row r="48" spans="1:11" x14ac:dyDescent="0.35">
      <c r="A48">
        <v>47</v>
      </c>
      <c r="B48">
        <v>36</v>
      </c>
      <c r="C48" t="s">
        <v>38</v>
      </c>
      <c r="D48" t="s">
        <v>13</v>
      </c>
      <c r="E48">
        <v>27</v>
      </c>
      <c r="F48">
        <v>32.700000000000003</v>
      </c>
      <c r="G48">
        <v>12</v>
      </c>
      <c r="H48">
        <v>15</v>
      </c>
      <c r="I48">
        <v>24</v>
      </c>
      <c r="K48" t="str">
        <v>Sajovic et al., 2018</v>
      </c>
    </row>
    <row r="49" spans="1:11" x14ac:dyDescent="0.35">
      <c r="A49">
        <v>48</v>
      </c>
      <c r="B49">
        <v>36</v>
      </c>
      <c r="C49" t="s">
        <v>38</v>
      </c>
      <c r="D49" t="s">
        <v>25</v>
      </c>
      <c r="E49">
        <v>24</v>
      </c>
      <c r="F49">
        <v>24.1</v>
      </c>
      <c r="G49">
        <v>21</v>
      </c>
      <c r="H49">
        <v>3</v>
      </c>
      <c r="I49">
        <v>24</v>
      </c>
      <c r="K49" t="str">
        <v>Sinding et al., 2020</v>
      </c>
    </row>
    <row r="50" spans="1:11" x14ac:dyDescent="0.35">
      <c r="A50">
        <v>49</v>
      </c>
      <c r="B50">
        <v>37</v>
      </c>
      <c r="C50" t="s">
        <v>39</v>
      </c>
      <c r="D50" t="s">
        <v>11</v>
      </c>
      <c r="E50">
        <v>40</v>
      </c>
      <c r="F50">
        <v>22.3</v>
      </c>
      <c r="G50">
        <v>40</v>
      </c>
      <c r="H50">
        <v>0</v>
      </c>
      <c r="I50">
        <v>81</v>
      </c>
      <c r="K50" t="str">
        <v>Smith et al., 2020</v>
      </c>
    </row>
    <row r="51" spans="1:11" x14ac:dyDescent="0.35">
      <c r="A51">
        <v>50</v>
      </c>
      <c r="B51">
        <v>37</v>
      </c>
      <c r="C51" t="s">
        <v>39</v>
      </c>
      <c r="D51" t="s">
        <v>13</v>
      </c>
      <c r="E51">
        <v>46</v>
      </c>
      <c r="F51">
        <v>22.3</v>
      </c>
      <c r="G51">
        <v>46</v>
      </c>
      <c r="H51">
        <v>0</v>
      </c>
      <c r="I51">
        <v>81</v>
      </c>
      <c r="K51" t="str">
        <v>Sonnery-Cottet et al., 2026</v>
      </c>
    </row>
    <row r="52" spans="1:11" x14ac:dyDescent="0.35">
      <c r="A52">
        <v>51</v>
      </c>
      <c r="B52">
        <v>38</v>
      </c>
      <c r="C52" t="s">
        <v>72</v>
      </c>
      <c r="D52" t="s">
        <v>11</v>
      </c>
      <c r="E52">
        <v>10</v>
      </c>
      <c r="F52">
        <v>24.8</v>
      </c>
      <c r="G52">
        <v>10</v>
      </c>
      <c r="H52">
        <v>0</v>
      </c>
      <c r="I52">
        <v>9</v>
      </c>
      <c r="K52" t="str">
        <v>Tang et al., 2023</v>
      </c>
    </row>
    <row r="53" spans="1:11" x14ac:dyDescent="0.35">
      <c r="A53">
        <v>52</v>
      </c>
      <c r="B53">
        <v>38</v>
      </c>
      <c r="C53" t="s">
        <v>72</v>
      </c>
      <c r="D53" t="s">
        <v>13</v>
      </c>
      <c r="E53">
        <v>10</v>
      </c>
      <c r="F53">
        <v>26.7</v>
      </c>
      <c r="G53">
        <v>10</v>
      </c>
      <c r="H53">
        <v>0</v>
      </c>
      <c r="I53">
        <v>9</v>
      </c>
      <c r="K53" t="str">
        <v>Taylor et al., 2009</v>
      </c>
    </row>
    <row r="54" spans="1:11" x14ac:dyDescent="0.35">
      <c r="A54">
        <v>53</v>
      </c>
      <c r="B54">
        <v>41</v>
      </c>
      <c r="C54" t="s">
        <v>40</v>
      </c>
      <c r="D54" t="s">
        <v>11</v>
      </c>
      <c r="E54">
        <v>43</v>
      </c>
      <c r="I54">
        <v>24</v>
      </c>
      <c r="K54" t="str">
        <v>Vilchez-Cavazos et al., 2020</v>
      </c>
    </row>
    <row r="55" spans="1:11" x14ac:dyDescent="0.35">
      <c r="A55">
        <v>54</v>
      </c>
      <c r="B55">
        <v>41</v>
      </c>
      <c r="C55" t="s">
        <v>40</v>
      </c>
      <c r="D55" t="s">
        <v>13</v>
      </c>
      <c r="E55">
        <v>46</v>
      </c>
      <c r="I55">
        <v>24</v>
      </c>
      <c r="K55" t="str">
        <v>Webster et al., 2001</v>
      </c>
    </row>
    <row r="56" spans="1:11" x14ac:dyDescent="0.35">
      <c r="A56">
        <v>55</v>
      </c>
      <c r="B56">
        <v>43</v>
      </c>
      <c r="C56" t="s">
        <v>14</v>
      </c>
      <c r="D56" t="s">
        <v>11</v>
      </c>
      <c r="E56">
        <v>74</v>
      </c>
      <c r="F56">
        <v>26</v>
      </c>
      <c r="G56">
        <v>0</v>
      </c>
      <c r="H56">
        <v>74</v>
      </c>
      <c r="I56">
        <v>24</v>
      </c>
      <c r="K56" t="str">
        <v>Wipfler et al., 2011</v>
      </c>
    </row>
    <row r="57" spans="1:11" x14ac:dyDescent="0.35">
      <c r="A57">
        <v>56</v>
      </c>
      <c r="B57">
        <v>43</v>
      </c>
      <c r="C57" t="s">
        <v>14</v>
      </c>
      <c r="D57" t="s">
        <v>13</v>
      </c>
      <c r="E57">
        <v>73</v>
      </c>
      <c r="F57">
        <v>26</v>
      </c>
      <c r="G57">
        <v>0</v>
      </c>
      <c r="H57">
        <v>73</v>
      </c>
      <c r="I57">
        <v>24</v>
      </c>
      <c r="K57" t="str">
        <v>Yadav et al., 2025</v>
      </c>
    </row>
    <row r="58" spans="1:11" x14ac:dyDescent="0.35">
      <c r="A58">
        <v>57</v>
      </c>
      <c r="B58">
        <v>44</v>
      </c>
      <c r="C58" t="s">
        <v>73</v>
      </c>
      <c r="D58" t="s">
        <v>11</v>
      </c>
      <c r="E58">
        <v>36</v>
      </c>
      <c r="F58">
        <v>31</v>
      </c>
      <c r="G58">
        <v>23</v>
      </c>
      <c r="H58">
        <v>17</v>
      </c>
      <c r="I58">
        <v>28</v>
      </c>
      <c r="K58" t="str">
        <v>Yoo et al., 2017</v>
      </c>
    </row>
    <row r="59" spans="1:11" x14ac:dyDescent="0.35">
      <c r="A59">
        <v>58</v>
      </c>
      <c r="B59">
        <v>44</v>
      </c>
      <c r="C59" t="s">
        <v>73</v>
      </c>
      <c r="D59" t="s">
        <v>25</v>
      </c>
      <c r="E59">
        <v>36</v>
      </c>
      <c r="F59">
        <v>29.8</v>
      </c>
      <c r="G59">
        <v>21</v>
      </c>
      <c r="H59">
        <v>19</v>
      </c>
      <c r="I59">
        <v>28</v>
      </c>
      <c r="K59" t="str">
        <v>Zaffagnini et al., 2011</v>
      </c>
    </row>
    <row r="60" spans="1:11" x14ac:dyDescent="0.35">
      <c r="A60">
        <v>59</v>
      </c>
      <c r="B60">
        <v>45</v>
      </c>
      <c r="C60" t="s">
        <v>57</v>
      </c>
      <c r="D60" t="s">
        <v>11</v>
      </c>
      <c r="E60">
        <v>31</v>
      </c>
      <c r="F60">
        <v>29.8</v>
      </c>
      <c r="G60">
        <v>22</v>
      </c>
      <c r="H60">
        <v>9</v>
      </c>
      <c r="I60">
        <v>120</v>
      </c>
    </row>
    <row r="61" spans="1:11" x14ac:dyDescent="0.35">
      <c r="A61">
        <v>60</v>
      </c>
      <c r="B61">
        <v>45</v>
      </c>
      <c r="C61" t="s">
        <v>57</v>
      </c>
      <c r="D61" t="s">
        <v>13</v>
      </c>
      <c r="E61">
        <v>31</v>
      </c>
      <c r="F61">
        <v>29.8</v>
      </c>
      <c r="G61">
        <v>23</v>
      </c>
      <c r="H61">
        <v>8</v>
      </c>
      <c r="I61">
        <v>120</v>
      </c>
    </row>
    <row r="62" spans="1:11" x14ac:dyDescent="0.35">
      <c r="A62">
        <v>61</v>
      </c>
      <c r="B62">
        <v>46</v>
      </c>
      <c r="C62" t="s">
        <v>41</v>
      </c>
      <c r="D62" t="s">
        <v>11</v>
      </c>
      <c r="E62">
        <v>15</v>
      </c>
      <c r="F62">
        <v>29.9</v>
      </c>
      <c r="I62">
        <v>19</v>
      </c>
    </row>
    <row r="63" spans="1:11" x14ac:dyDescent="0.35">
      <c r="A63">
        <v>62</v>
      </c>
      <c r="B63">
        <v>46</v>
      </c>
      <c r="C63" t="s">
        <v>41</v>
      </c>
      <c r="D63" t="s">
        <v>13</v>
      </c>
      <c r="E63">
        <v>13</v>
      </c>
      <c r="F63">
        <v>28.7</v>
      </c>
      <c r="I63">
        <v>19</v>
      </c>
    </row>
    <row r="64" spans="1:11" x14ac:dyDescent="0.35">
      <c r="A64">
        <v>63</v>
      </c>
      <c r="B64">
        <v>47</v>
      </c>
      <c r="C64" t="s">
        <v>42</v>
      </c>
      <c r="D64" t="s">
        <v>13</v>
      </c>
      <c r="E64">
        <v>44</v>
      </c>
      <c r="F64">
        <v>32</v>
      </c>
      <c r="G64">
        <v>32</v>
      </c>
      <c r="H64">
        <v>22</v>
      </c>
      <c r="I64">
        <v>24</v>
      </c>
    </row>
    <row r="65" spans="1:9" x14ac:dyDescent="0.35">
      <c r="A65">
        <v>64</v>
      </c>
      <c r="B65">
        <v>47</v>
      </c>
      <c r="C65" t="s">
        <v>42</v>
      </c>
      <c r="D65" t="s">
        <v>43</v>
      </c>
      <c r="E65">
        <v>48</v>
      </c>
      <c r="F65">
        <v>33</v>
      </c>
      <c r="G65">
        <v>38</v>
      </c>
      <c r="H65">
        <v>10</v>
      </c>
      <c r="I65">
        <v>24</v>
      </c>
    </row>
    <row r="66" spans="1:9" x14ac:dyDescent="0.35">
      <c r="A66">
        <v>65</v>
      </c>
      <c r="B66">
        <v>49</v>
      </c>
      <c r="C66" t="s">
        <v>15</v>
      </c>
      <c r="D66" t="s">
        <v>11</v>
      </c>
      <c r="E66">
        <v>40</v>
      </c>
      <c r="F66">
        <v>28</v>
      </c>
      <c r="I66">
        <v>26</v>
      </c>
    </row>
    <row r="67" spans="1:9" x14ac:dyDescent="0.35">
      <c r="A67">
        <v>66</v>
      </c>
      <c r="B67">
        <v>49</v>
      </c>
      <c r="C67" t="s">
        <v>15</v>
      </c>
      <c r="D67" t="s">
        <v>13</v>
      </c>
      <c r="E67">
        <v>78</v>
      </c>
      <c r="F67">
        <v>25</v>
      </c>
      <c r="I67">
        <v>26</v>
      </c>
    </row>
    <row r="68" spans="1:9" x14ac:dyDescent="0.35">
      <c r="A68">
        <v>67</v>
      </c>
      <c r="B68">
        <v>51</v>
      </c>
      <c r="C68" t="s">
        <v>44</v>
      </c>
      <c r="D68" t="s">
        <v>13</v>
      </c>
      <c r="E68">
        <v>32</v>
      </c>
      <c r="F68">
        <v>29.8</v>
      </c>
      <c r="G68">
        <v>17</v>
      </c>
      <c r="H68">
        <v>15</v>
      </c>
      <c r="I68">
        <v>69.599999999999994</v>
      </c>
    </row>
    <row r="69" spans="1:9" x14ac:dyDescent="0.35">
      <c r="A69">
        <v>68</v>
      </c>
      <c r="B69">
        <v>51</v>
      </c>
      <c r="C69" t="s">
        <v>44</v>
      </c>
      <c r="D69" t="s">
        <v>43</v>
      </c>
      <c r="E69">
        <v>32</v>
      </c>
      <c r="F69">
        <v>30.5</v>
      </c>
      <c r="G69">
        <v>15</v>
      </c>
      <c r="H69">
        <v>17</v>
      </c>
      <c r="I69">
        <v>73.2</v>
      </c>
    </row>
    <row r="70" spans="1:9" x14ac:dyDescent="0.35">
      <c r="A70">
        <v>69</v>
      </c>
      <c r="B70">
        <v>52</v>
      </c>
      <c r="C70" t="s">
        <v>74</v>
      </c>
      <c r="D70" t="s">
        <v>11</v>
      </c>
      <c r="E70">
        <v>34</v>
      </c>
      <c r="F70">
        <v>28</v>
      </c>
      <c r="G70">
        <v>23</v>
      </c>
      <c r="H70">
        <v>11</v>
      </c>
      <c r="I70">
        <v>87.1</v>
      </c>
    </row>
    <row r="71" spans="1:9" x14ac:dyDescent="0.35">
      <c r="A71">
        <v>70</v>
      </c>
      <c r="B71">
        <v>52</v>
      </c>
      <c r="C71" t="s">
        <v>74</v>
      </c>
      <c r="D71" t="s">
        <v>13</v>
      </c>
      <c r="E71">
        <v>37</v>
      </c>
      <c r="F71">
        <v>29</v>
      </c>
      <c r="G71">
        <v>26</v>
      </c>
      <c r="H71">
        <v>11</v>
      </c>
      <c r="I71">
        <v>87.1</v>
      </c>
    </row>
    <row r="72" spans="1:9" x14ac:dyDescent="0.35">
      <c r="A72">
        <v>71</v>
      </c>
      <c r="B72">
        <v>53</v>
      </c>
      <c r="C72" t="s">
        <v>45</v>
      </c>
      <c r="D72" t="s">
        <v>13</v>
      </c>
      <c r="E72">
        <v>49</v>
      </c>
      <c r="F72">
        <v>27.1</v>
      </c>
      <c r="G72">
        <v>25</v>
      </c>
      <c r="H72">
        <v>24</v>
      </c>
      <c r="I72">
        <v>24</v>
      </c>
    </row>
    <row r="73" spans="1:9" x14ac:dyDescent="0.35">
      <c r="A73">
        <v>72</v>
      </c>
      <c r="B73">
        <v>53</v>
      </c>
      <c r="C73" t="s">
        <v>45</v>
      </c>
      <c r="D73" t="s">
        <v>25</v>
      </c>
      <c r="E73">
        <v>47</v>
      </c>
      <c r="F73">
        <v>27.2</v>
      </c>
      <c r="G73">
        <v>29</v>
      </c>
      <c r="H73">
        <v>21</v>
      </c>
      <c r="I73">
        <v>24</v>
      </c>
    </row>
    <row r="74" spans="1:9" x14ac:dyDescent="0.35">
      <c r="A74">
        <v>73</v>
      </c>
      <c r="B74">
        <v>54</v>
      </c>
      <c r="C74" t="s">
        <v>16</v>
      </c>
      <c r="D74" t="s">
        <v>11</v>
      </c>
      <c r="E74">
        <v>19</v>
      </c>
      <c r="F74">
        <v>52.8</v>
      </c>
      <c r="I74">
        <v>240</v>
      </c>
    </row>
    <row r="75" spans="1:9" x14ac:dyDescent="0.35">
      <c r="A75">
        <v>74</v>
      </c>
      <c r="B75">
        <v>54</v>
      </c>
      <c r="C75" t="s">
        <v>16</v>
      </c>
      <c r="D75" t="s">
        <v>13</v>
      </c>
      <c r="E75">
        <v>20</v>
      </c>
      <c r="F75">
        <v>54.5</v>
      </c>
      <c r="I75">
        <v>240</v>
      </c>
    </row>
    <row r="76" spans="1:9" x14ac:dyDescent="0.35">
      <c r="A76">
        <v>75</v>
      </c>
      <c r="B76">
        <v>55</v>
      </c>
      <c r="C76" t="s">
        <v>59</v>
      </c>
      <c r="D76" t="s">
        <v>11</v>
      </c>
      <c r="E76">
        <v>14</v>
      </c>
      <c r="F76">
        <v>26.5</v>
      </c>
      <c r="G76">
        <v>14</v>
      </c>
      <c r="H76">
        <v>0</v>
      </c>
      <c r="I76">
        <v>12</v>
      </c>
    </row>
    <row r="77" spans="1:9" x14ac:dyDescent="0.35">
      <c r="A77">
        <v>76</v>
      </c>
      <c r="B77">
        <v>55</v>
      </c>
      <c r="C77" t="s">
        <v>59</v>
      </c>
      <c r="D77" t="s">
        <v>75</v>
      </c>
      <c r="E77">
        <v>21</v>
      </c>
      <c r="F77">
        <v>23.2</v>
      </c>
      <c r="G77">
        <v>21</v>
      </c>
      <c r="H77">
        <v>0</v>
      </c>
      <c r="I77">
        <v>12</v>
      </c>
    </row>
    <row r="78" spans="1:9" x14ac:dyDescent="0.35">
      <c r="A78">
        <v>77</v>
      </c>
      <c r="B78">
        <v>55</v>
      </c>
      <c r="C78" t="s">
        <v>59</v>
      </c>
      <c r="D78" t="s">
        <v>76</v>
      </c>
      <c r="E78">
        <v>17</v>
      </c>
      <c r="F78">
        <v>26.4</v>
      </c>
      <c r="G78">
        <v>17</v>
      </c>
      <c r="H78">
        <v>0</v>
      </c>
      <c r="I78">
        <v>12</v>
      </c>
    </row>
    <row r="79" spans="1:9" x14ac:dyDescent="0.35">
      <c r="A79">
        <v>78</v>
      </c>
      <c r="B79">
        <v>55</v>
      </c>
      <c r="C79" t="s">
        <v>59</v>
      </c>
      <c r="D79" t="s">
        <v>13</v>
      </c>
      <c r="E79">
        <v>38</v>
      </c>
      <c r="F79">
        <v>24.6</v>
      </c>
      <c r="G79">
        <v>38</v>
      </c>
      <c r="H79">
        <v>0</v>
      </c>
      <c r="I79">
        <v>12</v>
      </c>
    </row>
    <row r="80" spans="1:9" x14ac:dyDescent="0.35">
      <c r="A80">
        <v>79</v>
      </c>
      <c r="B80">
        <v>56</v>
      </c>
      <c r="C80" t="s">
        <v>46</v>
      </c>
      <c r="D80" t="s">
        <v>11</v>
      </c>
      <c r="E80">
        <v>18</v>
      </c>
      <c r="F80">
        <v>31</v>
      </c>
      <c r="G80">
        <v>15</v>
      </c>
      <c r="H80">
        <v>3</v>
      </c>
      <c r="I80">
        <v>24</v>
      </c>
    </row>
    <row r="81" spans="1:9" x14ac:dyDescent="0.35">
      <c r="A81">
        <v>80</v>
      </c>
      <c r="B81">
        <v>56</v>
      </c>
      <c r="C81" t="s">
        <v>46</v>
      </c>
      <c r="D81" t="s">
        <v>25</v>
      </c>
      <c r="E81">
        <v>21</v>
      </c>
      <c r="F81">
        <v>30</v>
      </c>
      <c r="G81">
        <v>17</v>
      </c>
      <c r="H81">
        <v>4</v>
      </c>
      <c r="I81">
        <v>24</v>
      </c>
    </row>
    <row r="82" spans="1:9" x14ac:dyDescent="0.35">
      <c r="A82">
        <v>81</v>
      </c>
      <c r="B82">
        <v>58</v>
      </c>
      <c r="C82" t="s">
        <v>47</v>
      </c>
      <c r="D82" t="s">
        <v>13</v>
      </c>
      <c r="E82">
        <v>25</v>
      </c>
      <c r="F82">
        <v>28.1</v>
      </c>
      <c r="G82">
        <v>18</v>
      </c>
      <c r="H82">
        <v>7</v>
      </c>
      <c r="I82">
        <v>6</v>
      </c>
    </row>
    <row r="83" spans="1:9" x14ac:dyDescent="0.35">
      <c r="A83">
        <v>82</v>
      </c>
      <c r="B83">
        <v>58</v>
      </c>
      <c r="C83" t="s">
        <v>47</v>
      </c>
      <c r="D83" t="s">
        <v>31</v>
      </c>
      <c r="E83">
        <v>25</v>
      </c>
      <c r="F83">
        <v>27.8</v>
      </c>
      <c r="G83">
        <v>17</v>
      </c>
      <c r="H83">
        <v>8</v>
      </c>
      <c r="I83">
        <v>6</v>
      </c>
    </row>
    <row r="84" spans="1:9" x14ac:dyDescent="0.35">
      <c r="A84">
        <v>83</v>
      </c>
      <c r="B84">
        <v>62</v>
      </c>
      <c r="C84" t="s">
        <v>77</v>
      </c>
      <c r="D84" t="s">
        <v>11</v>
      </c>
      <c r="E84">
        <v>37</v>
      </c>
      <c r="F84">
        <v>23.7</v>
      </c>
      <c r="G84">
        <v>21</v>
      </c>
      <c r="H84">
        <v>16</v>
      </c>
      <c r="I84">
        <v>87</v>
      </c>
    </row>
    <row r="85" spans="1:9" x14ac:dyDescent="0.35">
      <c r="A85">
        <v>84</v>
      </c>
      <c r="B85">
        <v>62</v>
      </c>
      <c r="C85" t="s">
        <v>77</v>
      </c>
      <c r="D85" t="s">
        <v>13</v>
      </c>
      <c r="E85">
        <v>35</v>
      </c>
      <c r="F85">
        <v>24.4</v>
      </c>
      <c r="G85">
        <v>20</v>
      </c>
      <c r="H85">
        <v>15</v>
      </c>
      <c r="I85">
        <v>80.7</v>
      </c>
    </row>
    <row r="86" spans="1:9" x14ac:dyDescent="0.35">
      <c r="A86">
        <v>85</v>
      </c>
      <c r="B86">
        <v>66</v>
      </c>
      <c r="C86" t="s">
        <v>17</v>
      </c>
      <c r="D86" t="s">
        <v>11</v>
      </c>
      <c r="E86">
        <v>110</v>
      </c>
      <c r="F86">
        <v>28.7</v>
      </c>
      <c r="G86">
        <v>63</v>
      </c>
      <c r="H86">
        <v>47</v>
      </c>
      <c r="I86">
        <v>24</v>
      </c>
    </row>
    <row r="87" spans="1:9" x14ac:dyDescent="0.35">
      <c r="A87">
        <v>86</v>
      </c>
      <c r="B87">
        <v>66</v>
      </c>
      <c r="C87" t="s">
        <v>17</v>
      </c>
      <c r="D87" t="s">
        <v>78</v>
      </c>
      <c r="E87">
        <v>110</v>
      </c>
      <c r="F87">
        <v>28.3</v>
      </c>
      <c r="G87">
        <v>61</v>
      </c>
      <c r="H87">
        <v>49</v>
      </c>
      <c r="I87">
        <v>24</v>
      </c>
    </row>
    <row r="88" spans="1:9" x14ac:dyDescent="0.35">
      <c r="A88">
        <v>87</v>
      </c>
      <c r="B88">
        <v>66</v>
      </c>
      <c r="C88" t="s">
        <v>17</v>
      </c>
      <c r="D88" t="s">
        <v>76</v>
      </c>
      <c r="E88">
        <v>110</v>
      </c>
      <c r="F88">
        <v>28.5</v>
      </c>
      <c r="G88">
        <v>59</v>
      </c>
      <c r="H88">
        <v>51</v>
      </c>
      <c r="I88">
        <v>24</v>
      </c>
    </row>
    <row r="89" spans="1:9" x14ac:dyDescent="0.35">
      <c r="A89">
        <v>88</v>
      </c>
      <c r="B89">
        <v>66</v>
      </c>
      <c r="C89" t="s">
        <v>17</v>
      </c>
      <c r="D89" t="s">
        <v>13</v>
      </c>
      <c r="E89">
        <v>220</v>
      </c>
      <c r="F89">
        <v>28.4</v>
      </c>
      <c r="G89">
        <v>120</v>
      </c>
      <c r="H89">
        <v>100</v>
      </c>
      <c r="I89">
        <v>24</v>
      </c>
    </row>
    <row r="90" spans="1:9" x14ac:dyDescent="0.35">
      <c r="A90">
        <v>89</v>
      </c>
      <c r="B90">
        <v>68</v>
      </c>
      <c r="C90" t="s">
        <v>79</v>
      </c>
      <c r="D90" t="s">
        <v>11</v>
      </c>
      <c r="E90">
        <v>6</v>
      </c>
      <c r="F90">
        <v>23</v>
      </c>
      <c r="G90">
        <v>6</v>
      </c>
      <c r="H90">
        <v>0</v>
      </c>
      <c r="I90">
        <v>21</v>
      </c>
    </row>
    <row r="91" spans="1:9" x14ac:dyDescent="0.35">
      <c r="A91">
        <v>90</v>
      </c>
      <c r="B91">
        <v>68</v>
      </c>
      <c r="C91" t="s">
        <v>79</v>
      </c>
      <c r="D91" t="s">
        <v>13</v>
      </c>
      <c r="E91">
        <v>6</v>
      </c>
      <c r="F91">
        <v>24</v>
      </c>
      <c r="G91">
        <v>6</v>
      </c>
      <c r="H91">
        <v>0</v>
      </c>
      <c r="I91">
        <v>25</v>
      </c>
    </row>
    <row r="92" spans="1:9" x14ac:dyDescent="0.35">
      <c r="A92">
        <v>91</v>
      </c>
      <c r="B92">
        <v>70</v>
      </c>
      <c r="C92" t="s">
        <v>48</v>
      </c>
      <c r="D92" t="s">
        <v>13</v>
      </c>
      <c r="E92">
        <v>33</v>
      </c>
      <c r="F92">
        <v>25.8</v>
      </c>
      <c r="G92">
        <v>30</v>
      </c>
      <c r="H92">
        <v>3</v>
      </c>
      <c r="I92">
        <v>28.1</v>
      </c>
    </row>
    <row r="93" spans="1:9" x14ac:dyDescent="0.35">
      <c r="A93">
        <v>92</v>
      </c>
      <c r="B93">
        <v>70</v>
      </c>
      <c r="C93" t="s">
        <v>48</v>
      </c>
      <c r="D93" t="s">
        <v>49</v>
      </c>
      <c r="E93">
        <v>32</v>
      </c>
      <c r="F93">
        <v>25.6</v>
      </c>
      <c r="G93">
        <v>26</v>
      </c>
      <c r="H93">
        <v>6</v>
      </c>
      <c r="I93">
        <v>31.6</v>
      </c>
    </row>
    <row r="94" spans="1:9" x14ac:dyDescent="0.35">
      <c r="A94">
        <v>93</v>
      </c>
      <c r="B94">
        <v>73</v>
      </c>
      <c r="C94" t="s">
        <v>80</v>
      </c>
      <c r="D94" t="s">
        <v>11</v>
      </c>
      <c r="E94">
        <v>20</v>
      </c>
      <c r="F94">
        <v>24.7</v>
      </c>
      <c r="G94">
        <v>0</v>
      </c>
      <c r="H94">
        <v>20</v>
      </c>
      <c r="I94">
        <v>6</v>
      </c>
    </row>
    <row r="95" spans="1:9" x14ac:dyDescent="0.35">
      <c r="A95">
        <v>94</v>
      </c>
      <c r="B95">
        <v>73</v>
      </c>
      <c r="C95" t="s">
        <v>80</v>
      </c>
      <c r="D95" t="s">
        <v>13</v>
      </c>
      <c r="E95">
        <v>20</v>
      </c>
      <c r="F95">
        <v>25.4</v>
      </c>
      <c r="G95">
        <v>0</v>
      </c>
      <c r="H95">
        <v>20</v>
      </c>
      <c r="I95">
        <v>6</v>
      </c>
    </row>
    <row r="96" spans="1:9" x14ac:dyDescent="0.35">
      <c r="A96">
        <v>95</v>
      </c>
      <c r="B96">
        <v>76</v>
      </c>
      <c r="C96" t="s">
        <v>18</v>
      </c>
      <c r="D96" t="s">
        <v>11</v>
      </c>
      <c r="E96">
        <v>90</v>
      </c>
      <c r="F96">
        <v>25</v>
      </c>
      <c r="G96">
        <v>48</v>
      </c>
      <c r="H96">
        <v>42</v>
      </c>
      <c r="I96">
        <v>120</v>
      </c>
    </row>
    <row r="97" spans="1:9" x14ac:dyDescent="0.35">
      <c r="A97">
        <v>96</v>
      </c>
      <c r="B97">
        <v>76</v>
      </c>
      <c r="C97" t="s">
        <v>18</v>
      </c>
      <c r="D97" t="s">
        <v>13</v>
      </c>
      <c r="E97">
        <v>90</v>
      </c>
      <c r="F97">
        <v>24</v>
      </c>
      <c r="G97">
        <v>47</v>
      </c>
      <c r="H97">
        <v>43</v>
      </c>
      <c r="I97">
        <v>120</v>
      </c>
    </row>
    <row r="98" spans="1:9" x14ac:dyDescent="0.35">
      <c r="A98">
        <v>97</v>
      </c>
      <c r="B98">
        <v>77</v>
      </c>
      <c r="C98" t="s">
        <v>19</v>
      </c>
      <c r="D98" t="s">
        <v>11</v>
      </c>
      <c r="E98">
        <v>54</v>
      </c>
      <c r="F98">
        <v>27</v>
      </c>
      <c r="G98" t="s">
        <v>87</v>
      </c>
      <c r="I98">
        <v>228</v>
      </c>
    </row>
    <row r="99" spans="1:9" x14ac:dyDescent="0.35">
      <c r="A99">
        <v>98</v>
      </c>
      <c r="B99">
        <v>77</v>
      </c>
      <c r="C99" t="s">
        <v>19</v>
      </c>
      <c r="D99" t="s">
        <v>13</v>
      </c>
      <c r="E99">
        <v>90</v>
      </c>
      <c r="F99">
        <v>27</v>
      </c>
      <c r="I99">
        <v>228</v>
      </c>
    </row>
    <row r="100" spans="1:9" x14ac:dyDescent="0.35">
      <c r="A100">
        <v>99</v>
      </c>
      <c r="B100">
        <v>82</v>
      </c>
      <c r="C100" t="s">
        <v>50</v>
      </c>
      <c r="D100" t="s">
        <v>11</v>
      </c>
      <c r="E100">
        <v>24</v>
      </c>
      <c r="F100">
        <v>45.5</v>
      </c>
      <c r="G100">
        <v>15</v>
      </c>
      <c r="H100">
        <v>9</v>
      </c>
      <c r="I100">
        <v>204</v>
      </c>
    </row>
    <row r="101" spans="1:9" x14ac:dyDescent="0.35">
      <c r="A101">
        <v>100</v>
      </c>
      <c r="B101">
        <v>82</v>
      </c>
      <c r="C101" t="s">
        <v>50</v>
      </c>
      <c r="D101" t="s">
        <v>13</v>
      </c>
      <c r="E101">
        <v>24</v>
      </c>
      <c r="F101">
        <v>42.5</v>
      </c>
      <c r="G101">
        <v>13</v>
      </c>
      <c r="H101">
        <v>11</v>
      </c>
      <c r="I101">
        <v>204</v>
      </c>
    </row>
    <row r="102" spans="1:9" x14ac:dyDescent="0.35">
      <c r="A102">
        <v>101</v>
      </c>
      <c r="B102">
        <v>84</v>
      </c>
      <c r="C102" t="s">
        <v>81</v>
      </c>
      <c r="D102" t="s">
        <v>13</v>
      </c>
      <c r="E102">
        <v>43</v>
      </c>
      <c r="F102">
        <v>28.3</v>
      </c>
      <c r="G102">
        <v>23</v>
      </c>
      <c r="H102">
        <v>20</v>
      </c>
      <c r="I102">
        <v>12.5</v>
      </c>
    </row>
    <row r="103" spans="1:9" x14ac:dyDescent="0.35">
      <c r="A103">
        <v>102</v>
      </c>
      <c r="B103">
        <v>84</v>
      </c>
      <c r="C103" t="s">
        <v>81</v>
      </c>
      <c r="D103" t="s">
        <v>25</v>
      </c>
      <c r="E103">
        <v>42</v>
      </c>
      <c r="F103">
        <v>28.7</v>
      </c>
      <c r="G103">
        <v>25</v>
      </c>
      <c r="H103">
        <v>17</v>
      </c>
      <c r="I103">
        <v>12.4</v>
      </c>
    </row>
    <row r="104" spans="1:9" x14ac:dyDescent="0.35">
      <c r="A104">
        <v>103</v>
      </c>
      <c r="B104">
        <v>85</v>
      </c>
      <c r="C104" t="s">
        <v>20</v>
      </c>
      <c r="D104" t="s">
        <v>11</v>
      </c>
      <c r="E104">
        <v>32</v>
      </c>
      <c r="F104">
        <v>17.7</v>
      </c>
      <c r="G104">
        <v>15</v>
      </c>
      <c r="H104">
        <v>17</v>
      </c>
      <c r="I104">
        <v>24</v>
      </c>
    </row>
    <row r="105" spans="1:9" x14ac:dyDescent="0.35">
      <c r="A105">
        <v>104</v>
      </c>
      <c r="B105">
        <v>85</v>
      </c>
      <c r="C105" t="s">
        <v>20</v>
      </c>
      <c r="D105" t="s">
        <v>13</v>
      </c>
      <c r="E105">
        <v>32</v>
      </c>
      <c r="F105">
        <v>17.7</v>
      </c>
      <c r="G105">
        <v>13</v>
      </c>
      <c r="H105">
        <v>19</v>
      </c>
      <c r="I105">
        <v>24</v>
      </c>
    </row>
    <row r="106" spans="1:9" x14ac:dyDescent="0.35">
      <c r="A106">
        <v>105</v>
      </c>
      <c r="B106">
        <v>87</v>
      </c>
      <c r="C106" t="s">
        <v>82</v>
      </c>
      <c r="D106" t="s">
        <v>11</v>
      </c>
      <c r="E106">
        <v>283</v>
      </c>
      <c r="F106">
        <v>24.8</v>
      </c>
      <c r="G106">
        <v>214</v>
      </c>
      <c r="H106">
        <v>69</v>
      </c>
      <c r="I106">
        <v>61.5</v>
      </c>
    </row>
    <row r="107" spans="1:9" x14ac:dyDescent="0.35">
      <c r="A107">
        <v>106</v>
      </c>
      <c r="B107">
        <v>87</v>
      </c>
      <c r="C107" t="s">
        <v>82</v>
      </c>
      <c r="D107" t="s">
        <v>13</v>
      </c>
      <c r="E107">
        <v>273</v>
      </c>
      <c r="F107">
        <v>25.2</v>
      </c>
      <c r="G107">
        <v>233</v>
      </c>
      <c r="H107">
        <v>40</v>
      </c>
      <c r="I107">
        <v>63.9</v>
      </c>
    </row>
    <row r="108" spans="1:9" x14ac:dyDescent="0.35">
      <c r="A108">
        <v>107</v>
      </c>
      <c r="B108">
        <v>89</v>
      </c>
      <c r="C108" t="s">
        <v>83</v>
      </c>
      <c r="D108" t="s">
        <v>13</v>
      </c>
      <c r="E108">
        <v>16</v>
      </c>
      <c r="F108">
        <v>28.3</v>
      </c>
      <c r="G108">
        <v>13</v>
      </c>
      <c r="H108">
        <v>3</v>
      </c>
      <c r="I108">
        <v>24</v>
      </c>
    </row>
    <row r="109" spans="1:9" x14ac:dyDescent="0.35">
      <c r="A109">
        <v>108</v>
      </c>
      <c r="B109">
        <v>89</v>
      </c>
      <c r="C109" t="s">
        <v>83</v>
      </c>
      <c r="D109" t="s">
        <v>25</v>
      </c>
      <c r="E109">
        <v>17</v>
      </c>
      <c r="F109">
        <v>28.1</v>
      </c>
      <c r="G109">
        <v>17</v>
      </c>
      <c r="H109">
        <v>0</v>
      </c>
      <c r="I109">
        <v>24</v>
      </c>
    </row>
    <row r="110" spans="1:9" x14ac:dyDescent="0.35">
      <c r="A110">
        <v>109</v>
      </c>
      <c r="B110">
        <v>90</v>
      </c>
      <c r="C110" t="s">
        <v>22</v>
      </c>
      <c r="D110" t="s">
        <v>11</v>
      </c>
      <c r="E110">
        <v>32</v>
      </c>
      <c r="F110">
        <v>21.7</v>
      </c>
      <c r="G110">
        <v>25</v>
      </c>
      <c r="H110">
        <v>7</v>
      </c>
      <c r="I110">
        <v>32.4</v>
      </c>
    </row>
    <row r="111" spans="1:9" x14ac:dyDescent="0.35">
      <c r="A111">
        <v>110</v>
      </c>
      <c r="B111">
        <v>90</v>
      </c>
      <c r="C111" t="s">
        <v>22</v>
      </c>
      <c r="D111" t="s">
        <v>13</v>
      </c>
      <c r="E111">
        <v>32</v>
      </c>
      <c r="F111">
        <v>22.1</v>
      </c>
      <c r="G111">
        <v>28</v>
      </c>
      <c r="H111">
        <v>4</v>
      </c>
      <c r="I111">
        <v>38.4</v>
      </c>
    </row>
    <row r="112" spans="1:9" x14ac:dyDescent="0.35">
      <c r="A112">
        <v>111</v>
      </c>
      <c r="B112">
        <v>93</v>
      </c>
      <c r="C112" t="s">
        <v>84</v>
      </c>
      <c r="D112" t="s">
        <v>13</v>
      </c>
      <c r="E112">
        <v>14</v>
      </c>
      <c r="F112">
        <v>24.5</v>
      </c>
      <c r="G112">
        <v>12</v>
      </c>
      <c r="H112">
        <v>3</v>
      </c>
      <c r="I112">
        <v>12</v>
      </c>
    </row>
    <row r="113" spans="1:9" x14ac:dyDescent="0.35">
      <c r="A113">
        <v>112</v>
      </c>
      <c r="B113">
        <v>93</v>
      </c>
      <c r="C113" t="s">
        <v>84</v>
      </c>
      <c r="D113" t="s">
        <v>25</v>
      </c>
      <c r="E113">
        <v>14</v>
      </c>
      <c r="F113">
        <v>24.5</v>
      </c>
      <c r="G113">
        <v>11</v>
      </c>
      <c r="H113">
        <v>3</v>
      </c>
      <c r="I113">
        <v>12</v>
      </c>
    </row>
    <row r="114" spans="1:9" x14ac:dyDescent="0.35">
      <c r="A114">
        <v>113</v>
      </c>
      <c r="B114">
        <v>95</v>
      </c>
      <c r="C114" t="s">
        <v>85</v>
      </c>
      <c r="D114" t="s">
        <v>11</v>
      </c>
      <c r="E114">
        <v>28</v>
      </c>
      <c r="F114">
        <v>26</v>
      </c>
      <c r="G114">
        <v>20</v>
      </c>
      <c r="H114">
        <v>8</v>
      </c>
      <c r="I114">
        <v>24</v>
      </c>
    </row>
    <row r="115" spans="1:9" x14ac:dyDescent="0.35">
      <c r="A115">
        <v>114</v>
      </c>
      <c r="B115">
        <v>95</v>
      </c>
      <c r="C115" t="s">
        <v>85</v>
      </c>
      <c r="D115" t="s">
        <v>13</v>
      </c>
      <c r="E115">
        <v>33</v>
      </c>
      <c r="F115">
        <v>27</v>
      </c>
      <c r="G115">
        <v>23</v>
      </c>
      <c r="H115">
        <v>10</v>
      </c>
      <c r="I115">
        <v>24</v>
      </c>
    </row>
    <row r="116" spans="1:9" x14ac:dyDescent="0.35">
      <c r="A116">
        <v>115</v>
      </c>
      <c r="B116">
        <v>96</v>
      </c>
      <c r="C116" t="s">
        <v>23</v>
      </c>
      <c r="D116" t="s">
        <v>11</v>
      </c>
      <c r="E116">
        <v>31</v>
      </c>
      <c r="F116">
        <v>29.9</v>
      </c>
      <c r="G116">
        <v>19</v>
      </c>
      <c r="H116">
        <v>12</v>
      </c>
      <c r="I116">
        <v>108</v>
      </c>
    </row>
    <row r="117" spans="1:9" x14ac:dyDescent="0.35">
      <c r="A117">
        <v>116</v>
      </c>
      <c r="B117">
        <v>96</v>
      </c>
      <c r="C117" t="s">
        <v>23</v>
      </c>
      <c r="D117" t="s">
        <v>13</v>
      </c>
      <c r="E117">
        <v>31</v>
      </c>
      <c r="F117">
        <v>34.200000000000003</v>
      </c>
      <c r="G117">
        <v>18</v>
      </c>
      <c r="H117">
        <v>13</v>
      </c>
      <c r="I117">
        <v>108</v>
      </c>
    </row>
    <row r="118" spans="1:9" x14ac:dyDescent="0.35">
      <c r="A118">
        <v>117</v>
      </c>
      <c r="B118">
        <v>97</v>
      </c>
      <c r="C118" t="s">
        <v>24</v>
      </c>
      <c r="D118" t="s">
        <v>13</v>
      </c>
      <c r="E118">
        <v>36</v>
      </c>
      <c r="F118">
        <v>30.1</v>
      </c>
      <c r="G118">
        <v>32</v>
      </c>
      <c r="H118">
        <v>4</v>
      </c>
      <c r="I118">
        <v>12</v>
      </c>
    </row>
    <row r="119" spans="1:9" x14ac:dyDescent="0.35">
      <c r="A119">
        <v>118</v>
      </c>
      <c r="B119">
        <v>97</v>
      </c>
      <c r="C119" t="s">
        <v>24</v>
      </c>
      <c r="D119" t="s">
        <v>25</v>
      </c>
      <c r="E119">
        <v>33</v>
      </c>
      <c r="F119">
        <v>28.7</v>
      </c>
      <c r="G119">
        <v>30</v>
      </c>
      <c r="H119">
        <v>3</v>
      </c>
      <c r="I119">
        <v>12</v>
      </c>
    </row>
    <row r="120" spans="1:9" x14ac:dyDescent="0.35">
      <c r="A120">
        <v>119</v>
      </c>
      <c r="B120">
        <v>98</v>
      </c>
      <c r="C120" t="s">
        <v>51</v>
      </c>
      <c r="D120" t="s">
        <v>13</v>
      </c>
      <c r="E120">
        <v>68</v>
      </c>
      <c r="F120">
        <v>30</v>
      </c>
      <c r="G120">
        <v>61</v>
      </c>
      <c r="H120">
        <v>7</v>
      </c>
      <c r="I120">
        <v>32.799999999999997</v>
      </c>
    </row>
    <row r="121" spans="1:9" x14ac:dyDescent="0.35">
      <c r="A121">
        <v>120</v>
      </c>
      <c r="B121">
        <v>98</v>
      </c>
      <c r="C121" t="s">
        <v>51</v>
      </c>
      <c r="D121" t="s">
        <v>43</v>
      </c>
      <c r="E121">
        <v>64</v>
      </c>
      <c r="F121">
        <v>24</v>
      </c>
      <c r="G121">
        <v>59</v>
      </c>
      <c r="H121">
        <v>5</v>
      </c>
      <c r="I121">
        <v>34.5</v>
      </c>
    </row>
    <row r="122" spans="1:9" x14ac:dyDescent="0.35">
      <c r="A122">
        <v>121</v>
      </c>
      <c r="B122">
        <v>100</v>
      </c>
      <c r="C122" t="s">
        <v>86</v>
      </c>
      <c r="D122" t="s">
        <v>11</v>
      </c>
      <c r="E122">
        <v>39</v>
      </c>
      <c r="F122">
        <v>26</v>
      </c>
      <c r="G122">
        <v>20</v>
      </c>
      <c r="H122">
        <v>19</v>
      </c>
      <c r="I122">
        <v>103.2</v>
      </c>
    </row>
    <row r="123" spans="1:9" x14ac:dyDescent="0.35">
      <c r="A123">
        <v>122</v>
      </c>
      <c r="B123">
        <v>100</v>
      </c>
      <c r="C123" t="s">
        <v>86</v>
      </c>
      <c r="D123" t="s">
        <v>13</v>
      </c>
      <c r="E123">
        <v>40</v>
      </c>
      <c r="F123">
        <v>27</v>
      </c>
      <c r="G123">
        <v>22</v>
      </c>
      <c r="H123">
        <v>18</v>
      </c>
      <c r="I123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dichotomous</vt:lpstr>
      <vt:lpstr>studies+covariates</vt:lpstr>
      <vt:lpstr>covariate</vt:lpstr>
      <vt:lpstr>female</vt:lpstr>
      <vt:lpstr>follow_up</vt:lpstr>
      <vt:lpstr>id</vt:lpstr>
      <vt:lpstr>male</vt:lpstr>
      <vt:lpstr>mi</vt:lpstr>
      <vt:lpstr>study</vt:lpstr>
      <vt:lpstr>subgroup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modified xsi:type="dcterms:W3CDTF">2026-09-22T20:47:08Z</dcterms:modified>
</cp:coreProperties>
</file>