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nny\My Drive\d-wkim\network_meta-analysis\3_meta-analysis\data\extracted\xlsx\"/>
    </mc:Choice>
  </mc:AlternateContent>
  <xr:revisionPtr revIDLastSave="0" documentId="13_ncr:1_{1EDDF771-1B86-453C-82A7-341C402CB5A3}" xr6:coauthVersionLast="47" xr6:coauthVersionMax="47" xr10:uidLastSave="{00000000-0000-0000-0000-000000000000}"/>
  <bookViews>
    <workbookView xWindow="-120" yWindow="-120" windowWidth="51840" windowHeight="2124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Sheet2!$A$1:$E$441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441" i="1" l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<sst xmlns="http://schemas.openxmlformats.org/spreadsheetml/2006/main" count="4439" uniqueCount="614">
  <si>
    <t>id</t>
  </si>
  <si>
    <t>study</t>
  </si>
  <si>
    <t>subgroup</t>
  </si>
  <si>
    <t>composite_key</t>
  </si>
  <si>
    <t>outcome</t>
  </si>
  <si>
    <t>data_type</t>
  </si>
  <si>
    <t>ni</t>
  </si>
  <si>
    <t>yi</t>
  </si>
  <si>
    <t>sdi</t>
  </si>
  <si>
    <t>min</t>
  </si>
  <si>
    <t>q1</t>
  </si>
  <si>
    <t>median</t>
  </si>
  <si>
    <t>q3</t>
  </si>
  <si>
    <t>max</t>
  </si>
  <si>
    <t>age_mean</t>
  </si>
  <si>
    <t>age_sd</t>
  </si>
  <si>
    <t>total</t>
  </si>
  <si>
    <t>missing</t>
  </si>
  <si>
    <t>male</t>
  </si>
  <si>
    <t>female</t>
  </si>
  <si>
    <t>follow-up_mo</t>
  </si>
  <si>
    <t>follow-up_yr</t>
  </si>
  <si>
    <t>follow-up_term</t>
  </si>
  <si>
    <t>sei</t>
  </si>
  <si>
    <t>ci.lb</t>
  </si>
  <si>
    <t>ci.ub</t>
  </si>
  <si>
    <t>Barié et al., 2020</t>
  </si>
  <si>
    <t>BPTB</t>
  </si>
  <si>
    <t>Barié et al., 2020, BPTB</t>
  </si>
  <si>
    <t>ikdc_subjective</t>
  </si>
  <si>
    <t>continuous</t>
  </si>
  <si>
    <t>long</t>
  </si>
  <si>
    <t>QT</t>
  </si>
  <si>
    <t>Barié et al., 2020, QT</t>
  </si>
  <si>
    <t>Bi et al., 2018</t>
  </si>
  <si>
    <t>HT</t>
  </si>
  <si>
    <t>Bi et al., 2018, HT</t>
  </si>
  <si>
    <t>medium</t>
  </si>
  <si>
    <t>PLT</t>
  </si>
  <si>
    <t>Bi et al., 2018, PLT</t>
  </si>
  <si>
    <t>Björnsson et al., 2016</t>
  </si>
  <si>
    <t>Björnsson et al., 2016, BPTB</t>
  </si>
  <si>
    <t>Björnsson et al., 2016, HT</t>
  </si>
  <si>
    <t>Bottoni et al., 2015</t>
  </si>
  <si>
    <t>Bottoni et al., 2015, HT</t>
  </si>
  <si>
    <t>TA</t>
  </si>
  <si>
    <t>Bottoni et al., 2015, TA</t>
  </si>
  <si>
    <t>Butt et al., 2024</t>
  </si>
  <si>
    <t>Butt et al., 2024, HT</t>
  </si>
  <si>
    <t>Butt et al., 2024, PLT</t>
  </si>
  <si>
    <t>Calvert et al., 2025</t>
  </si>
  <si>
    <t>Calvert et al., 2025, HT</t>
  </si>
  <si>
    <t>Calvert et al., 2025, QT</t>
  </si>
  <si>
    <t>Guglielmetti et al., 2021</t>
  </si>
  <si>
    <t>Guglielmetti et al., 2021, BPTB</t>
  </si>
  <si>
    <t>Guglielmetti et al., 2021, HT</t>
  </si>
  <si>
    <t>Horstmann et al., 2022</t>
  </si>
  <si>
    <t>Horstmann et al., 2022, HT</t>
  </si>
  <si>
    <t>Horstmann et al., 2022, QT</t>
  </si>
  <si>
    <t>Iliopoulos et al., 2017</t>
  </si>
  <si>
    <t>Iliopoulos et al., 2017, BPTB</t>
  </si>
  <si>
    <t>short</t>
  </si>
  <si>
    <t>Iliopoulos et al., 2017, HT</t>
  </si>
  <si>
    <t>Komzak et al., 2022</t>
  </si>
  <si>
    <t>Komzak et al., 2022, BPTB</t>
  </si>
  <si>
    <t>Komzak et al., 2022, QT</t>
  </si>
  <si>
    <t>Li et al., 2015</t>
  </si>
  <si>
    <t>Li et al., 2015, HT</t>
  </si>
  <si>
    <t>Li et al., 2015, TA</t>
  </si>
  <si>
    <t>Lind et al., 2020</t>
  </si>
  <si>
    <t>Lind et al., 2020, HT</t>
  </si>
  <si>
    <t>Lind et al., 2020, QT</t>
  </si>
  <si>
    <t>Lucidi et al., 2025</t>
  </si>
  <si>
    <t>Lucidi et al., 2025, BPTB</t>
  </si>
  <si>
    <t>Lucidi et al., 2025, HT</t>
  </si>
  <si>
    <t>Lui et al., 2012</t>
  </si>
  <si>
    <t>Lui et al., 2012, BPTB</t>
  </si>
  <si>
    <t>Lui et al., 2012, HT</t>
  </si>
  <si>
    <t>Lund et al., 2014</t>
  </si>
  <si>
    <t>Lund et al., 2014, BPTB</t>
  </si>
  <si>
    <t>Lund et al., 2014, QT</t>
  </si>
  <si>
    <t>Malik et al., 2026</t>
  </si>
  <si>
    <t>Malik et al., 2026, HT</t>
  </si>
  <si>
    <t>Malik et al., 2026, PLT</t>
  </si>
  <si>
    <t>Matsumoto et al., 2006</t>
  </si>
  <si>
    <t>Matsumoto et al., 2006, BPTB</t>
  </si>
  <si>
    <t>Matsumoto et al., 2006, HT</t>
  </si>
  <si>
    <t>Moraiti et al., 2010</t>
  </si>
  <si>
    <t>Moraiti et al., 2010, BPTB</t>
  </si>
  <si>
    <t>Moraiti et al., 2010, HT</t>
  </si>
  <si>
    <t>Papalia et al., 2015</t>
  </si>
  <si>
    <t>Papalia et al., 2015, BPTB</t>
  </si>
  <si>
    <t>Papalia et al., 2015, HT</t>
  </si>
  <si>
    <t>Sinding et al., 2020</t>
  </si>
  <si>
    <t>Sinding et al., 2020, HT</t>
  </si>
  <si>
    <t>Sinding et al., 2020, QT</t>
  </si>
  <si>
    <t>Smith et al., 2020</t>
  </si>
  <si>
    <t>Smith et al., 2020, BPTB</t>
  </si>
  <si>
    <t>Smith et al., 2020, HT</t>
  </si>
  <si>
    <t>Sonnery-cottet et al., 2026</t>
  </si>
  <si>
    <t>Sonnery-cottet et al., 2026, BPTB</t>
  </si>
  <si>
    <t>Sonnery-cottet et al., 2026, HT</t>
  </si>
  <si>
    <t>Tang et al., 2023</t>
  </si>
  <si>
    <t>Tang et al., 2023, HT</t>
  </si>
  <si>
    <t>Tang et al., 2023, QT</t>
  </si>
  <si>
    <t>Vilchez-Cavazos et al., 2020</t>
  </si>
  <si>
    <t>Vilchez-Cavazos et al., 2020, HT</t>
  </si>
  <si>
    <t>Vilchez-Cavazos et al., 2020, QT</t>
  </si>
  <si>
    <t>Wipfler et al., 2011</t>
  </si>
  <si>
    <t>Wipfler et al., 2011, BPTB</t>
  </si>
  <si>
    <t>Wipfler et al., 2011, HT</t>
  </si>
  <si>
    <t>Zaffagnini et al., 2011</t>
  </si>
  <si>
    <t>Zaffagnini et al., 2011, BPTB</t>
  </si>
  <si>
    <t>Zaffagnini et al., 2011, HT</t>
  </si>
  <si>
    <t>Ahldén et al., 2009</t>
  </si>
  <si>
    <t>Ahldén et al., 2009, BPTB</t>
  </si>
  <si>
    <t>lysholm</t>
  </si>
  <si>
    <t>Ahldén et al., 2009, HT</t>
  </si>
  <si>
    <t>Barenius et al., 2010</t>
  </si>
  <si>
    <t>Barenius et al., 2010, BPTB</t>
  </si>
  <si>
    <t>Barenius et al., 2010, HT</t>
  </si>
  <si>
    <t>Ejerhed et al., 2003</t>
  </si>
  <si>
    <t>Ejerhed et al., 2003, BPTB</t>
  </si>
  <si>
    <t>Ejerhed et al., 2003, HT</t>
  </si>
  <si>
    <t>Harilainen et al., 2006</t>
  </si>
  <si>
    <t>Harilainen et al., 2006, BPTB</t>
  </si>
  <si>
    <t>Harilainen et al., 2006, HT</t>
  </si>
  <si>
    <t>Holm et al., 2010</t>
  </si>
  <si>
    <t>Holm et al., 2010, BPTB</t>
  </si>
  <si>
    <t>Holm et al., 2010, HT</t>
  </si>
  <si>
    <t>Ibrahim et al., 2005</t>
  </si>
  <si>
    <t>Ibrahim et al., 2005, BPTB</t>
  </si>
  <si>
    <t>Ibrahim et al., 2005, HT</t>
  </si>
  <si>
    <t>Kautzner et al., 2015</t>
  </si>
  <si>
    <t>Kautzner et al., 2015, BPTB</t>
  </si>
  <si>
    <t>Kautzner et al., 2015, HT</t>
  </si>
  <si>
    <t>Konrads et al., 2016</t>
  </si>
  <si>
    <t>Konrads et al., 2016, BPTB</t>
  </si>
  <si>
    <t>Konrads et al., 2016, HT</t>
  </si>
  <si>
    <t>Laxdal et al., 2005</t>
  </si>
  <si>
    <t>Laxdal et al., 2005, BPTB</t>
  </si>
  <si>
    <t>Laxdal et al., 2005, HT</t>
  </si>
  <si>
    <t>Lidén et al., 2007</t>
  </si>
  <si>
    <t>Lidén et al., 2007, BPTB</t>
  </si>
  <si>
    <t>Lidén et al., 2007, HT</t>
  </si>
  <si>
    <t>Noh et al., 2011</t>
  </si>
  <si>
    <t>Noh et al., 2011, HT</t>
  </si>
  <si>
    <t>AT</t>
  </si>
  <si>
    <t>Noh et al., 2011, AT</t>
  </si>
  <si>
    <t>Popovic et al., 2024</t>
  </si>
  <si>
    <t>Popovic et al., 2024, BPTB</t>
  </si>
  <si>
    <t>`</t>
  </si>
  <si>
    <t>Popovic et al., 2024, HT</t>
  </si>
  <si>
    <t>Taylor et al., 2009</t>
  </si>
  <si>
    <t>Taylor et al., 2009, BPTB</t>
  </si>
  <si>
    <t>Taylor et al., 2009, HT</t>
  </si>
  <si>
    <t>Vilchez-cavazos et al., 2020</t>
  </si>
  <si>
    <t>Vilchez-cavazos et al., 2020, BPTB</t>
  </si>
  <si>
    <t>Vilchez-cavazos et al., 2020, QT</t>
  </si>
  <si>
    <t>Yadav et al., 2025</t>
  </si>
  <si>
    <t>Yadav et al., 2025, HT</t>
  </si>
  <si>
    <t>Yadav et al., 2025, QT</t>
  </si>
  <si>
    <t>Yoo et al., 2017</t>
  </si>
  <si>
    <t>Yoo et al., 2017, HT</t>
  </si>
  <si>
    <t>Yoo et al., 2017, TA</t>
  </si>
  <si>
    <t>Ageberg et al., 2009</t>
  </si>
  <si>
    <t>Ageberg et al., 2009, BPTB</t>
  </si>
  <si>
    <t>tegner</t>
  </si>
  <si>
    <t>Ageberg et al., 2009, HT</t>
  </si>
  <si>
    <t>Heijne &amp; Werner, 2010</t>
  </si>
  <si>
    <t>Heijne &amp; Werner, 2010, BPTB</t>
  </si>
  <si>
    <t>Heijne &amp; Werner, 2010, HT</t>
  </si>
  <si>
    <t>Jansson et al., 2003</t>
  </si>
  <si>
    <t>Jansson et al., 2003, BPTB</t>
  </si>
  <si>
    <t>Jansson et al., 2003, HT</t>
  </si>
  <si>
    <t>Aglietti et al., 2004</t>
  </si>
  <si>
    <t>Aglietti et al., 2004, BPTB</t>
  </si>
  <si>
    <t>instrumented_laxity</t>
  </si>
  <si>
    <t>Aglietti et al., 2004, HT</t>
  </si>
  <si>
    <t>Anderson et al., 2001</t>
  </si>
  <si>
    <t>Anderson et al., 2001, BPTB</t>
  </si>
  <si>
    <t>Anderson et al., 2001, HT</t>
  </si>
  <si>
    <t>Aune et al., 2001</t>
  </si>
  <si>
    <t>Aune et al., 2001, BPTB</t>
  </si>
  <si>
    <t>Aune et al., 2001, HT</t>
  </si>
  <si>
    <t>Eriksson et al., 2001</t>
  </si>
  <si>
    <t>Eriksson et al., 2001, BPTB</t>
  </si>
  <si>
    <t>Eriksson et al., 2001, HT</t>
  </si>
  <si>
    <t>Feller &amp; Webster, 2003</t>
  </si>
  <si>
    <t>Feller &amp; Webster, 2003, BPTB</t>
  </si>
  <si>
    <t>Feller &amp; Webster, 2003, HT</t>
  </si>
  <si>
    <t>Gifstad et al., 2013</t>
  </si>
  <si>
    <t>Gifstad et al., 2013, BPTB</t>
  </si>
  <si>
    <t>Gifstad et al., 2013, HT</t>
  </si>
  <si>
    <t>Laoruengthana et al., 2009</t>
  </si>
  <si>
    <t>Laoruengthana et al., 2009, BPTB</t>
  </si>
  <si>
    <t>Laoruengthana et al., 2009, HT</t>
  </si>
  <si>
    <t>Pinczewski et al., 2007</t>
  </si>
  <si>
    <t>Pinczewski et al., 2007, BPTB</t>
  </si>
  <si>
    <t>Pinczewski et al., 2007, HT</t>
  </si>
  <si>
    <t>Webster et al., 2001</t>
  </si>
  <si>
    <t>Webster et al., 2001, BPTB</t>
  </si>
  <si>
    <t>Webster et al., 2001, HT</t>
  </si>
  <si>
    <t>pivot_shift_1</t>
  </si>
  <si>
    <t>dichotomous</t>
  </si>
  <si>
    <t>Beynnon et al., 2002</t>
  </si>
  <si>
    <t>Beynnon et al., 2002, BPTB</t>
  </si>
  <si>
    <t>Beynnon et al., 2002, HT</t>
  </si>
  <si>
    <t>Lawhorn et al., 2012</t>
  </si>
  <si>
    <t>Lawhorn et al., 2012, HT</t>
  </si>
  <si>
    <t>Lawhorn et al., 2012, TA</t>
  </si>
  <si>
    <t>Sajovic et al., 2018</t>
  </si>
  <si>
    <t>Sajovic et al., 2018, BPTB</t>
  </si>
  <si>
    <t>Sajovic et al., 2018, HT</t>
  </si>
  <si>
    <t>pivot_shift_2</t>
  </si>
  <si>
    <t>lachman_1</t>
  </si>
  <si>
    <t>lachman_2</t>
  </si>
  <si>
    <t>Anz et al., 2023</t>
  </si>
  <si>
    <t>Anz et al., 2023, BPTB</t>
  </si>
  <si>
    <t>graft_failure</t>
  </si>
  <si>
    <t>Anz et al., 2023, HT</t>
  </si>
  <si>
    <t>Mohtadi et al., 2016</t>
  </si>
  <si>
    <t>Mohtadi et al., 2016, BPTB</t>
  </si>
  <si>
    <t>Mohtadi et al., 2016, HT</t>
  </si>
  <si>
    <t>Mean [95% CI]</t>
  </si>
  <si>
    <t>91.00 [88.82, 93.18]</t>
  </si>
  <si>
    <t>92.00 [88.56, 95.44]</t>
  </si>
  <si>
    <t>90.40 [88.63, 92.17]</t>
  </si>
  <si>
    <t>89.30 [87.21, 91.39]</t>
  </si>
  <si>
    <t>67.30 [62.08, 72.52]</t>
  </si>
  <si>
    <t>74.00 [70.03, 77.97]</t>
  </si>
  <si>
    <t>79.50 [72.20, 86.80]</t>
  </si>
  <si>
    <t>81.10 [73.55, 88.65]</t>
  </si>
  <si>
    <t>89.70 [87.66, 91.74]</t>
  </si>
  <si>
    <t>89.90 [86.39, 93.41]</t>
  </si>
  <si>
    <t>92.00 [90.37, 93.64]</t>
  </si>
  <si>
    <t>89.00 [86.92, 91.08]</t>
  </si>
  <si>
    <t>88.75 [85.49, 92.01]</t>
  </si>
  <si>
    <t>91.00 [87.81, 94.19]</t>
  </si>
  <si>
    <t>83.70 [78.82, 88.58]</t>
  </si>
  <si>
    <t>89.30 [84.31, 94.29]</t>
  </si>
  <si>
    <t>83.20 [82.38, 84.02]</t>
  </si>
  <si>
    <t>82.78 [81.96, 83.60]</t>
  </si>
  <si>
    <t>74.20 [70.87, 77.53]</t>
  </si>
  <si>
    <t>78.30 [74.87, 81.73]</t>
  </si>
  <si>
    <t>87.50 [86.39, 88.61]</t>
  </si>
  <si>
    <t>83.80 [81.41, 86.19]</t>
  </si>
  <si>
    <t>78.00 [72.96, 83.04]</t>
  </si>
  <si>
    <t>82.00 [78.00, 86.00]</t>
  </si>
  <si>
    <t>78.40 [72.24, 84.56]</t>
  </si>
  <si>
    <t>81.60 [76.38, 86.82]</t>
  </si>
  <si>
    <t>71.90 [63.94, 79.86]</t>
  </si>
  <si>
    <t>73.10 [67.25, 78.95]</t>
  </si>
  <si>
    <t>75.00 [69.00, 81.01]</t>
  </si>
  <si>
    <t>76.00 [69.16, 82.84]</t>
  </si>
  <si>
    <t>78.90 [76.00, 81.80]</t>
  </si>
  <si>
    <t>82.60 [80.13, 85.07]</t>
  </si>
  <si>
    <t>84.30 [80.76, 87.84]</t>
  </si>
  <si>
    <t>86.80 [84.05, 89.55]</t>
  </si>
  <si>
    <t>92.00 [86.40, 97.60]</t>
  </si>
  <si>
    <t>90.00 [82.00, 98.00]</t>
  </si>
  <si>
    <t>86.90 [81.77, 92.03]</t>
  </si>
  <si>
    <t>90.97 [88.74, 93.20]</t>
  </si>
  <si>
    <t>76.00 [71.52, 80.48]</t>
  </si>
  <si>
    <t>76.00 [70.86, 81.14]</t>
  </si>
  <si>
    <t>89.40 [86.21, 92.59]</t>
  </si>
  <si>
    <t>94.80 [92.58, 97.02]</t>
  </si>
  <si>
    <t>89.40 [88.16, 90.64]</t>
  </si>
  <si>
    <t>91.00 [89.83, 92.17]</t>
  </si>
  <si>
    <t>90.13 [86.70, 93.56]</t>
  </si>
  <si>
    <t>87.12 [83.98, 90.26]</t>
  </si>
  <si>
    <t>90.00 [89.08, 90.92]</t>
  </si>
  <si>
    <t>88.17 [86.87, 89.47]</t>
  </si>
  <si>
    <t>86.72 [85.89, 87.55]</t>
  </si>
  <si>
    <t>92.95 [92.17, 93.73]</t>
  </si>
  <si>
    <t>82.00 [75.80, 88.20]</t>
  </si>
  <si>
    <t>88.00 [85.18, 90.82]</t>
  </si>
  <si>
    <t>80.70 [72.22, 89.18]</t>
  </si>
  <si>
    <t>79.16 [73.58, 84.74]</t>
  </si>
  <si>
    <t>85.82 [83.20, 88.44]</t>
  </si>
  <si>
    <t>86.42 [83.58, 89.26]</t>
  </si>
  <si>
    <t>95.20 [93.23, 97.17]</t>
  </si>
  <si>
    <t>95.60 [93.27, 97.93]</t>
  </si>
  <si>
    <t>79.40 [75.16, 83.64]</t>
  </si>
  <si>
    <t>80.70 [77.47, 83.93]</t>
  </si>
  <si>
    <t>95.10 [93.24, 96.96]</t>
  </si>
  <si>
    <t>94.50 [92.21, 96.79]</t>
  </si>
  <si>
    <t>94.00 [92.57, 95.43]</t>
  </si>
  <si>
    <t>93.00 [91.34, 94.66]</t>
  </si>
  <si>
    <t>89.96 [85.43, 94.49]</t>
  </si>
  <si>
    <t>86.79 [82.85, 90.73]</t>
  </si>
  <si>
    <t>89.87 [86.64, 93.10]</t>
  </si>
  <si>
    <t>91.26 [87.97, 94.56]</t>
  </si>
  <si>
    <t>89.11 [84.11, 94.11]</t>
  </si>
  <si>
    <t>95.00 [90.00, 100.00]</t>
  </si>
  <si>
    <t>84.20 [78.50, 89.90]</t>
  </si>
  <si>
    <t>86.10 [80.60, 91.60]</t>
  </si>
  <si>
    <t>83.50 [76.81, 90.19]</t>
  </si>
  <si>
    <t>90.40 [85.54, 95.26]</t>
  </si>
  <si>
    <t>91.60 [90.38, 92.82]</t>
  </si>
  <si>
    <t>92.70 [91.65, 93.75]</t>
  </si>
  <si>
    <t>95.80 [95.10, 96.50]</t>
  </si>
  <si>
    <t>94.00 [92.95, 95.05]</t>
  </si>
  <si>
    <t>88.00 [86.29, 89.71]</t>
  </si>
  <si>
    <t>90.00 [88.26, 91.74]</t>
  </si>
  <si>
    <t>93.40 [90.26, 96.54]</t>
  </si>
  <si>
    <t>90.10 [87.91, 92.29]</t>
  </si>
  <si>
    <t>92.00 [88.40, 95.60]</t>
  </si>
  <si>
    <t>91.80 [87.99, 95.61]</t>
  </si>
  <si>
    <t>94.00 [88.39, 99.61]</t>
  </si>
  <si>
    <t>92.00 [89.03, 94.97]</t>
  </si>
  <si>
    <t>91.30 [87.32, 95.29]</t>
  </si>
  <si>
    <t>88.70 [85.72, 91.68]</t>
  </si>
  <si>
    <t>81.00 [74.42, 87.58]</t>
  </si>
  <si>
    <t>90.00 [85.81, 94.19]</t>
  </si>
  <si>
    <t>84.80 [80.17, 89.43]</t>
  </si>
  <si>
    <t>88.60 [84.96, 92.24]</t>
  </si>
  <si>
    <t>84.00 [76.94, 91.06]</t>
  </si>
  <si>
    <t>80.00 [72.59, 87.41]</t>
  </si>
  <si>
    <t>85.10 [82.59, 87.61]</t>
  </si>
  <si>
    <t>89.40 [87.13, 91.67]</t>
  </si>
  <si>
    <t>96.00 [93.60, 98.40]</t>
  </si>
  <si>
    <t>95.00 [91.00, 99.00]</t>
  </si>
  <si>
    <t>98.00 [96.77, 99.23]</t>
  </si>
  <si>
    <t>99.00 [97.74, 100.26]</t>
  </si>
  <si>
    <t>87.40 [81.35, 93.45]</t>
  </si>
  <si>
    <t>93.17 [88.66, 97.68]</t>
  </si>
  <si>
    <t>82.00 [77.09, 86.91]</t>
  </si>
  <si>
    <t>85.00 [79.99, 90.01]</t>
  </si>
  <si>
    <t>89.00 [87.59, 90.41]</t>
  </si>
  <si>
    <t>91.10 [89.75, 92.45]</t>
  </si>
  <si>
    <t>90.06 [86.47, 93.65]</t>
  </si>
  <si>
    <t>90.00 [87.98, 92.03]</t>
  </si>
  <si>
    <t>90.30 [85.09, 95.51]</t>
  </si>
  <si>
    <t>90.40 [85.19, 95.61]</t>
  </si>
  <si>
    <t>96.00 [94.47, 97.54]</t>
  </si>
  <si>
    <t>95.33 [93.95, 96.71]</t>
  </si>
  <si>
    <t>87.28 [86.64, 87.92]</t>
  </si>
  <si>
    <t>91.82 [91.15, 92.49]</t>
  </si>
  <si>
    <t>92.40 [90.99, 93.81]</t>
  </si>
  <si>
    <t>88.20 [87.05, 89.35]</t>
  </si>
  <si>
    <t>96.00 [94.34, 97.66]</t>
  </si>
  <si>
    <t>93.00 [91.59, 94.42]</t>
  </si>
  <si>
    <t>4.17 [3.48, 4.86]</t>
  </si>
  <si>
    <t>3.15 [2.56, 3.74]</t>
  </si>
  <si>
    <t>4.87 [3.97, 5.77]</t>
  </si>
  <si>
    <t>4.86 [4.31, 5.41]</t>
  </si>
  <si>
    <t>5.80 [5.38, 6.22]</t>
  </si>
  <si>
    <t>4.07 [3.65, 4.50]</t>
  </si>
  <si>
    <t>6.10 [5.76, 6.44]</t>
  </si>
  <si>
    <t>4.10 [3.67, 4.53]</t>
  </si>
  <si>
    <t>4.00 [3.64, 4.36]</t>
  </si>
  <si>
    <t>5.10 [4.45, 5.75]</t>
  </si>
  <si>
    <t>5.77 [5.10, 6.44]</t>
  </si>
  <si>
    <t>6.39 [5.91, 6.87]</t>
  </si>
  <si>
    <t>5.89 [5.21, 6.57]</t>
  </si>
  <si>
    <t>6.00 [5.55, 6.46]</t>
  </si>
  <si>
    <t>6.64 [5.85, 7.43]</t>
  </si>
  <si>
    <t>5.00 [4.46, 5.54]</t>
  </si>
  <si>
    <t>5.98 [5.50, 6.46]</t>
  </si>
  <si>
    <t>5.82 [5.17, 6.47]</t>
  </si>
  <si>
    <t>5.90 [5.39, 6.41]</t>
  </si>
  <si>
    <t>5.10 [4.68, 5.53]</t>
  </si>
  <si>
    <t>6.00 [5.42, 6.58]</t>
  </si>
  <si>
    <t>4.00 [3.64, 4.37]</t>
  </si>
  <si>
    <t>7.30 [6.85, 7.75]</t>
  </si>
  <si>
    <t>7.00 [6.27, 7.73]</t>
  </si>
  <si>
    <t>5.00 [4.39, 5.62]</t>
  </si>
  <si>
    <t>6.00 [5.41, 6.59]</t>
  </si>
  <si>
    <t>5.90 [5.54, 6.27]</t>
  </si>
  <si>
    <t>6.00 [5.57, 6.43]</t>
  </si>
  <si>
    <t>3.00 [2.51, 3.49]</t>
  </si>
  <si>
    <t>4.00 [3.65, 4.35]</t>
  </si>
  <si>
    <t>5.10 [4.71, 5.49]</t>
  </si>
  <si>
    <t>5.60 [5.25, 5.95]</t>
  </si>
  <si>
    <t>6.00 [5.67, 6.33]</t>
  </si>
  <si>
    <t>6.00 [5.58, 6.42]</t>
  </si>
  <si>
    <t>4.00 [3.48, 4.52]</t>
  </si>
  <si>
    <t>5.00 [4.26, 5.74]</t>
  </si>
  <si>
    <t>6.60 [6.42, 6.78]</t>
  </si>
  <si>
    <t>6.70 [6.51, 6.89]</t>
  </si>
  <si>
    <t>6.80 [5.37, 8.23]</t>
  </si>
  <si>
    <t>5.30 [3.87, 6.73]</t>
  </si>
  <si>
    <t>6.20 [6.07, 6.33]</t>
  </si>
  <si>
    <t>6.14 [6.00, 6.29]</t>
  </si>
  <si>
    <t>5.00 [4.65, 5.35]</t>
  </si>
  <si>
    <t>5.00 [4.74, 5.26]</t>
  </si>
  <si>
    <t>2.20 [1.93, 2.47]</t>
  </si>
  <si>
    <t>1.95 [1.62, 2.28]</t>
  </si>
  <si>
    <t>2.60 [1.31, 3.89]</t>
  </si>
  <si>
    <t>1.40 [0.31, 2.49]</t>
  </si>
  <si>
    <t>2.10 [1.44, 2.76]</t>
  </si>
  <si>
    <t>3.10 [2.32, 3.88]</t>
  </si>
  <si>
    <t>3.30 [2.40, 4.20]</t>
  </si>
  <si>
    <t>2.90 [2.03, 3.77]</t>
  </si>
  <si>
    <t>1.05 [0.64, 1.46]</t>
  </si>
  <si>
    <t>1.00 [0.67, 1.33]</t>
  </si>
  <si>
    <t>1.71 [1.57, 1.85]</t>
  </si>
  <si>
    <t>1.85 [1.66, 2.04]</t>
  </si>
  <si>
    <t>2.29 [0.91, 3.67]</t>
  </si>
  <si>
    <t>2.47 [1.30, 3.64]</t>
  </si>
  <si>
    <t>0.95 [0.68, 1.22]</t>
  </si>
  <si>
    <t>1.10 [0.83, 1.37]</t>
  </si>
  <si>
    <t>0.50 [0.12, 0.88]</t>
  </si>
  <si>
    <t>1.10 [0.59, 1.61]</t>
  </si>
  <si>
    <t>1.40 [0.85, 1.95]</t>
  </si>
  <si>
    <t>1.40 [0.94, 1.86]</t>
  </si>
  <si>
    <t>1.50 [0.53, 2.47]</t>
  </si>
  <si>
    <t>1.20 [-0.06, 2.46]</t>
  </si>
  <si>
    <t>3.00 [1.81, 4.19]</t>
  </si>
  <si>
    <t>2.00 [0.73, 3.27]</t>
  </si>
  <si>
    <t>0.20 [-0.65, 1.05]</t>
  </si>
  <si>
    <t>0.70 [0.25, 1.15]</t>
  </si>
  <si>
    <t>1.70 [0.91, 2.49]</t>
  </si>
  <si>
    <t>1.20 [0.43, 1.97]</t>
  </si>
  <si>
    <t>0.60 [0.55, 0.65]</t>
  </si>
  <si>
    <t>0.50 [0.40, 0.60]</t>
  </si>
  <si>
    <t>1.80 [1.60, 2.00]</t>
  </si>
  <si>
    <t>2.20 [1.88, 2.52]</t>
  </si>
  <si>
    <t>1.22 [0.87, 1.57]</t>
  </si>
  <si>
    <t>0.96 [0.73, 1.19]</t>
  </si>
  <si>
    <t>1.00 [0.07, 1.93]</t>
  </si>
  <si>
    <t>1.50 [0.81, 2.19]</t>
  </si>
  <si>
    <t>2.10 [1.55, 2.66]</t>
  </si>
  <si>
    <t>3.50 [3.08, 3.92]</t>
  </si>
  <si>
    <t>2.30 [1.20, 3.40]</t>
  </si>
  <si>
    <t>2.70 [1.53, 3.87]</t>
  </si>
  <si>
    <t>1.90 [1.42, 2.38]</t>
  </si>
  <si>
    <t>1.80 [1.51, 2.09]</t>
  </si>
  <si>
    <t>-0.10 [-0.82, 0.62]</t>
  </si>
  <si>
    <t>1.50 [0.98, 2.03]</t>
  </si>
  <si>
    <t>3.70 [2.97, 4.43]</t>
  </si>
  <si>
    <t>3.10 [2.34, 3.86]</t>
  </si>
  <si>
    <t>1.10 [0.45, 1.75]</t>
  </si>
  <si>
    <t>0.80 [0.07, 1.53]</t>
  </si>
  <si>
    <t>2.10 [1.71, 2.49]</t>
  </si>
  <si>
    <t>1.80 [1.45, 2.15]</t>
  </si>
  <si>
    <t>1.20 [0.52, 1.88]</t>
  </si>
  <si>
    <t>1.70 [1.24, 2.17]</t>
  </si>
  <si>
    <t>1.20 [0.75, 1.65]</t>
  </si>
  <si>
    <t>1.60 [1.20, 2.00]</t>
  </si>
  <si>
    <t>1.30 [0.60, 2.00]</t>
  </si>
  <si>
    <t>1.50 [0.38, 2.63]</t>
  </si>
  <si>
    <t>0.00 [-0.28, 0.28]</t>
  </si>
  <si>
    <t>0.30 [0.06, 0.54]</t>
  </si>
  <si>
    <t>1.20 [1.04, 1.36]</t>
  </si>
  <si>
    <t>0.90 [0.79, 1.01]</t>
  </si>
  <si>
    <t>1.70 [1.36, 2.04]</t>
  </si>
  <si>
    <t>0.90 [0.80, 1.00]</t>
  </si>
  <si>
    <t>0.64 [0.50, 0.78]</t>
  </si>
  <si>
    <t>3.77 [3.11, 4.43]</t>
  </si>
  <si>
    <t>2.73 [2.17, 3.29]</t>
  </si>
  <si>
    <t>0.40 [0.21, 0.59]</t>
  </si>
  <si>
    <t>1.10 [0.50, 1.70]</t>
  </si>
  <si>
    <t>10.00 [9.98, 10.02]</t>
  </si>
  <si>
    <t>11.00 [10.98, 11.02]</t>
  </si>
  <si>
    <t>18.00 [17.47, 18.53]</t>
  </si>
  <si>
    <t>36.00 [35.34, 36.66]</t>
  </si>
  <si>
    <t>3.00 [2.96, 3.05]</t>
  </si>
  <si>
    <t>9.00 [8.20, 9.80]</t>
  </si>
  <si>
    <t>4.00 [3.98, 4.02]</t>
  </si>
  <si>
    <t>5.00 [4.98, 5.02]</t>
  </si>
  <si>
    <t>26.00 [25.50, 26.50]</t>
  </si>
  <si>
    <t>28.00 [27.64, 28.36]</t>
  </si>
  <si>
    <t>6.00 [5.88, 6.12]</t>
  </si>
  <si>
    <t>19.00 [18.51, 19.49]</t>
  </si>
  <si>
    <t>2.00 [1.96, 2.04]</t>
  </si>
  <si>
    <t>9.00 [8.32, 9.68]</t>
  </si>
  <si>
    <t>7.00 [6.83, 7.17]</t>
  </si>
  <si>
    <t>10.00 [9.75, 10.25]</t>
  </si>
  <si>
    <t>4.00 [3.98, 4.03]</t>
  </si>
  <si>
    <t>4.00 [3.92, 4.08]</t>
  </si>
  <si>
    <t>13.00 [12.75, 13.26]</t>
  </si>
  <si>
    <t>22.00 [21.21, 22.79]</t>
  </si>
  <si>
    <t>0.00 [-0.04, 0.04]</t>
  </si>
  <si>
    <t>5.00 [4.69, 5.31]</t>
  </si>
  <si>
    <t>8.00 [7.55, 8.45]</t>
  </si>
  <si>
    <t>3.00 [2.83, 3.17]</t>
  </si>
  <si>
    <t>3.00 [2.84, 3.16]</t>
  </si>
  <si>
    <t>2.00 [1.62, 2.38]</t>
  </si>
  <si>
    <t>2.00 [1.56, 2.45]</t>
  </si>
  <si>
    <t>6.00 [5.68, 6.32]</t>
  </si>
  <si>
    <t>4.00 [3.79, 4.21]</t>
  </si>
  <si>
    <t>4.00 [3.68, 4.32]</t>
  </si>
  <si>
    <t>9.00 [8.19, 9.81]</t>
  </si>
  <si>
    <t>11.00 [10.41, 11.59]</t>
  </si>
  <si>
    <t>8.00 [7.58, 8.43]</t>
  </si>
  <si>
    <t>7.00 [5.78, 8.22]</t>
  </si>
  <si>
    <t>5.00 [4.28, 5.72]</t>
  </si>
  <si>
    <t>3.00 [2.54, 3.46]</t>
  </si>
  <si>
    <t>8.00 [6.72, 9.28]</t>
  </si>
  <si>
    <t>4.00 [3.58, 4.42]</t>
  </si>
  <si>
    <t>3.00 [2.69, 3.31]</t>
  </si>
  <si>
    <t>6.00 [5.53, 6.47]</t>
  </si>
  <si>
    <t>11.00 [10.51, 11.49]</t>
  </si>
  <si>
    <t>5.00 [4.78, 5.22]</t>
  </si>
  <si>
    <t>8.00 [7.67, 8.34]</t>
  </si>
  <si>
    <t>1.00 [0.80, 1.20]</t>
  </si>
  <si>
    <t>3.00 [2.97, 3.03]</t>
  </si>
  <si>
    <t>5.00 [4.29, 5.71]</t>
  </si>
  <si>
    <t>6.00 [5.43, 6.57]</t>
  </si>
  <si>
    <t>0.00 [-0.03, 0.03]</t>
  </si>
  <si>
    <t>26.00 [25.93, 26.07]</t>
  </si>
  <si>
    <t>33.00 [32.89, 33.11]</t>
  </si>
  <si>
    <t>0.00 [-0.02, 0.02]</t>
  </si>
  <si>
    <t>15.00 [14.47, 15.53]</t>
  </si>
  <si>
    <t>27.00 [26.34, 27.66]</t>
  </si>
  <si>
    <t>6.00 [5.96, 6.05]</t>
  </si>
  <si>
    <t>1.00 [0.20, 1.80]</t>
  </si>
  <si>
    <t>1.00 [0.98, 1.02]</t>
  </si>
  <si>
    <t>12.00 [11.50, 12.50]</t>
  </si>
  <si>
    <t>13.00 [12.64, 13.36]</t>
  </si>
  <si>
    <t>0.00 [-0.12, 0.12]</t>
  </si>
  <si>
    <t>0.00 [-0.49, 0.49]</t>
  </si>
  <si>
    <t>0.00 [-0.68, 0.68]</t>
  </si>
  <si>
    <t>2.00 [1.83, 2.17]</t>
  </si>
  <si>
    <t>1.00 [0.75, 1.25]</t>
  </si>
  <si>
    <t>1.00 [0.92, 1.08]</t>
  </si>
  <si>
    <t>3.00 [2.75, 3.26]</t>
  </si>
  <si>
    <t>8.00 [7.21, 8.79]</t>
  </si>
  <si>
    <t>0.00 [-0.31, 0.31]</t>
  </si>
  <si>
    <t>0.00 [-0.45, 0.45]</t>
  </si>
  <si>
    <t>0.00 [-0.17, 0.17]</t>
  </si>
  <si>
    <t>0.00 [-0.16, 0.16]</t>
  </si>
  <si>
    <t>0.00 [-0.38, 0.38]</t>
  </si>
  <si>
    <t>1.00 [0.68, 1.32]</t>
  </si>
  <si>
    <t>0.00 [-0.21, 0.21]</t>
  </si>
  <si>
    <t>0.00 [-0.32, 0.32]</t>
  </si>
  <si>
    <t>1.00 [0.19, 1.81]</t>
  </si>
  <si>
    <t>0.00 [-0.59, 0.59]</t>
  </si>
  <si>
    <t>0.00 [-0.43, 0.43]</t>
  </si>
  <si>
    <t>1.00 [0.53, 1.47]</t>
  </si>
  <si>
    <t>0.00 [-0.22, 0.22]</t>
  </si>
  <si>
    <t>0.00 [-0.34, 0.34]</t>
  </si>
  <si>
    <t>0.00 [-0.71, 0.71]</t>
  </si>
  <si>
    <t>0.00 [-0.57, 0.57]</t>
  </si>
  <si>
    <t>1.00 [0.65, 1.35]</t>
  </si>
  <si>
    <t>2.00 [1.93, 2.07]</t>
  </si>
  <si>
    <t>3.00 [2.89, 3.11]</t>
  </si>
  <si>
    <t>13.00 [12.75, 13.25]</t>
  </si>
  <si>
    <t>20.00 [17.06, 22.94]</t>
  </si>
  <si>
    <t>31.00 [30.73, 31.27]</t>
  </si>
  <si>
    <t>68.00 [67.39, 68.61]</t>
  </si>
  <si>
    <t>14.00 [12.21, 15.79]</t>
  </si>
  <si>
    <t>18.00 [16.58, 19.42]</t>
  </si>
  <si>
    <t>6.00 [5.89, 6.11]</t>
  </si>
  <si>
    <t>19.00 [18.95, 19.05]</t>
  </si>
  <si>
    <t>16.00 [15.93, 16.07]</t>
  </si>
  <si>
    <t>13.00 [12.92, 13.08]</t>
  </si>
  <si>
    <t>9.00 [8.83, 9.17]</t>
  </si>
  <si>
    <t>9.00 [8.75, 9.25]</t>
  </si>
  <si>
    <t>8.00 [7.98, 8.03]</t>
  </si>
  <si>
    <t>6.00 [5.92, 6.08]</t>
  </si>
  <si>
    <t>7.00 [6.62, 7.38]</t>
  </si>
  <si>
    <t>8.00 [7.53, 8.47]</t>
  </si>
  <si>
    <t>8.00 [7.56, 8.44]</t>
  </si>
  <si>
    <t>8.00 [6.96, 9.04]</t>
  </si>
  <si>
    <t>11.00 [9.12, 12.88]</t>
  </si>
  <si>
    <t>6.00 [5.51, 6.49]</t>
  </si>
  <si>
    <t>13.00 [11.61, 14.39]</t>
  </si>
  <si>
    <t>23.00 [17.49, 28.51]</t>
  </si>
  <si>
    <t>26.00 [18.86, 33.14]</t>
  </si>
  <si>
    <t>4.00 [3.12, 4.88]</t>
  </si>
  <si>
    <t>2.00 [1.79, 2.21]</t>
  </si>
  <si>
    <t>6.00 [4.93, 7.07]</t>
  </si>
  <si>
    <t>10.00 [9.52, 10.48]</t>
  </si>
  <si>
    <t>12.00 [11.47, 12.53]</t>
  </si>
  <si>
    <t>5.00 [4.97, 5.03]</t>
  </si>
  <si>
    <t>5.00 [4.43, 5.57]</t>
  </si>
  <si>
    <t>36.00 [35.86, 36.14]</t>
  </si>
  <si>
    <t>35.00 [34.78, 35.22]</t>
  </si>
  <si>
    <t>7.00 [4.06, 9.94]</t>
  </si>
  <si>
    <t>7.00 [6.73, 7.27]</t>
  </si>
  <si>
    <t>21.00 [20.39, 21.61]</t>
  </si>
  <si>
    <t>2.00 [0.21, 3.79]</t>
  </si>
  <si>
    <t>0.00 [-1.42, 1.42]</t>
  </si>
  <si>
    <t>0.00 [-0.11, 0.11]</t>
  </si>
  <si>
    <t>0.00 [-0.05, 0.05]</t>
  </si>
  <si>
    <t>1.00 [0.93, 1.07]</t>
  </si>
  <si>
    <t>3.00 [2.75, 3.25]</t>
  </si>
  <si>
    <t>0.00 [-0.47, 0.47]</t>
  </si>
  <si>
    <t>0.00 [-0.44, 0.44]</t>
  </si>
  <si>
    <t>0.00 [-1.04, 1.04]</t>
  </si>
  <si>
    <t>2.00 [0.12, 3.88]</t>
  </si>
  <si>
    <t>2.00 [1.51, 2.49]</t>
  </si>
  <si>
    <t>4.00 [2.61, 5.39]</t>
  </si>
  <si>
    <t>1.00 [-4.51, 6.51]</t>
  </si>
  <si>
    <t>2.00 [-5.14, 9.14]</t>
  </si>
  <si>
    <t>0.00 [-0.88, 0.88]</t>
  </si>
  <si>
    <t>3.00 [1.93, 4.07]</t>
  </si>
  <si>
    <t>0.00 [-0.48, 0.48]</t>
  </si>
  <si>
    <t>1.00 [0.47, 1.53]</t>
  </si>
  <si>
    <t>9.00 [8.98, 9.03]</t>
  </si>
  <si>
    <t>4.00 [3.86, 4.14]</t>
  </si>
  <si>
    <t>6.00 [5.78, 6.22]</t>
  </si>
  <si>
    <t>0.00 [-0.13, 0.13]</t>
  </si>
  <si>
    <t>0.00 [-0.01, 0.01]</t>
  </si>
  <si>
    <t>2.00 [1.91, 2.09]</t>
  </si>
  <si>
    <t>3.00 [2.60, 3.40]</t>
  </si>
  <si>
    <t>19.00 [18.58, 19.42]</t>
  </si>
  <si>
    <t>24.00 [23.44, 24.56]</t>
  </si>
  <si>
    <t>7.00 [6.82, 7.18]</t>
  </si>
  <si>
    <t>12.00 [11.69, 12.31]</t>
  </si>
  <si>
    <t>3.00 [2.80, 3.20]</t>
  </si>
  <si>
    <t>4.00 [3.70, 4.30]</t>
  </si>
  <si>
    <t>2.00 [1.84, 2.16]</t>
  </si>
  <si>
    <t>12.00 [11.91, 12.09]</t>
  </si>
  <si>
    <t>3.00 [2.77, 3.24]</t>
  </si>
  <si>
    <t>3.00 [2.74, 3.26]</t>
  </si>
  <si>
    <t>ID</t>
  </si>
  <si>
    <t>Study</t>
  </si>
  <si>
    <t>Subgroup</t>
  </si>
  <si>
    <t>Outcome</t>
  </si>
  <si>
    <t>Proportion [95% CI]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</si>
</sst>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41"/>
  <sheetViews>
    <sheetView topLeftCell="J1" workbookViewId="0">
      <selection activeCell="AB2" sqref="AB2:AB441"/>
    </sheetView>
  </sheetViews>
  <sheetFormatPr defaultRowHeight="14.5" x14ac:dyDescent="0.35"/>
  <sheetData>
    <row r="1" spans="1:2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224</v>
      </c>
    </row>
    <row r="2" spans="1:28" x14ac:dyDescent="0.35">
      <c r="A2">
        <v>72</v>
      </c>
      <c r="B2">
        <v>10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43</v>
      </c>
      <c r="I2">
        <v>91</v>
      </c>
      <c r="J2">
        <v>7.3</v>
      </c>
      <c r="P2">
        <v>30.6</v>
      </c>
      <c r="Q2">
        <v>7.5</v>
      </c>
      <c r="R2">
        <v>30</v>
      </c>
      <c r="S2">
        <v>-13</v>
      </c>
      <c r="T2">
        <v>17</v>
      </c>
      <c r="U2">
        <v>13</v>
      </c>
      <c r="V2">
        <v>122.4</v>
      </c>
      <c r="W2">
        <v>10.199999999999999</v>
      </c>
      <c r="X2" t="s">
        <v>31</v>
      </c>
      <c r="Y2">
        <v>1.113</v>
      </c>
      <c r="Z2">
        <v>88.819000000000003</v>
      </c>
      <c r="AA2">
        <v>93.180999999999997</v>
      </c>
      <c r="AB2" t="str">
        <f>TEXT((I2+0.5)/(H2+0.5), "#0.00")&amp;" ["&amp;TEXT(Z2, "#0.00")&amp;", "&amp;TEXT(AA2, "#0.00")&amp;"]"</f>
        <v>2.10 [88.82, 93.18]</v>
      </c>
    </row>
    <row r="3" spans="1:28" x14ac:dyDescent="0.35">
      <c r="A3">
        <v>73</v>
      </c>
      <c r="B3">
        <v>10</v>
      </c>
      <c r="C3" t="s">
        <v>26</v>
      </c>
      <c r="D3" t="s">
        <v>32</v>
      </c>
      <c r="E3" t="s">
        <v>33</v>
      </c>
      <c r="F3" t="s">
        <v>29</v>
      </c>
      <c r="G3" t="s">
        <v>30</v>
      </c>
      <c r="H3">
        <v>43</v>
      </c>
      <c r="I3">
        <v>92</v>
      </c>
      <c r="J3">
        <v>11.5</v>
      </c>
      <c r="P3">
        <v>30.5</v>
      </c>
      <c r="Q3">
        <v>7.8</v>
      </c>
      <c r="R3">
        <v>30</v>
      </c>
      <c r="S3">
        <v>-13</v>
      </c>
      <c r="T3">
        <v>17</v>
      </c>
      <c r="U3">
        <v>13</v>
      </c>
      <c r="V3">
        <v>123.6</v>
      </c>
      <c r="W3">
        <v>10.3</v>
      </c>
      <c r="X3" t="s">
        <v>31</v>
      </c>
      <c r="Y3">
        <v>1.754</v>
      </c>
      <c r="Z3">
        <v>88.561999999999998</v>
      </c>
      <c r="AA3">
        <v>95.438000000000002</v>
      </c>
      <c r="AB3" t="str">
        <f t="shared" ref="AB3:AB66" si="0">TEXT((I3+0.5)/(H3+0.5), "#0.00")&amp;" ["&amp;TEXT(Z3, "#0.00")&amp;", "&amp;TEXT(AA3, "#0.00")&amp;"]"</f>
        <v>2.13 [88.56, 95.44]</v>
      </c>
    </row>
    <row r="4" spans="1:28" x14ac:dyDescent="0.35">
      <c r="A4">
        <v>74</v>
      </c>
      <c r="B4">
        <v>12</v>
      </c>
      <c r="C4" t="s">
        <v>34</v>
      </c>
      <c r="D4" t="s">
        <v>35</v>
      </c>
      <c r="E4" t="s">
        <v>36</v>
      </c>
      <c r="F4" t="s">
        <v>29</v>
      </c>
      <c r="G4" t="s">
        <v>30</v>
      </c>
      <c r="H4">
        <v>62</v>
      </c>
      <c r="I4">
        <v>90.4</v>
      </c>
      <c r="J4">
        <v>7.1</v>
      </c>
      <c r="P4">
        <v>27.9</v>
      </c>
      <c r="Q4">
        <v>6.7</v>
      </c>
      <c r="R4">
        <v>62</v>
      </c>
      <c r="S4">
        <v>0</v>
      </c>
      <c r="T4">
        <v>31</v>
      </c>
      <c r="U4">
        <v>31</v>
      </c>
      <c r="V4">
        <v>30.3</v>
      </c>
      <c r="W4">
        <v>2.5</v>
      </c>
      <c r="X4" t="s">
        <v>37</v>
      </c>
      <c r="Y4">
        <v>0.90200000000000002</v>
      </c>
      <c r="Z4">
        <v>88.632000000000005</v>
      </c>
      <c r="AA4">
        <v>92.168000000000006</v>
      </c>
      <c r="AB4" t="str">
        <f t="shared" si="0"/>
        <v>1.45 [88.63, 92.17]</v>
      </c>
    </row>
    <row r="5" spans="1:28" x14ac:dyDescent="0.35">
      <c r="A5">
        <v>75</v>
      </c>
      <c r="B5">
        <v>12</v>
      </c>
      <c r="C5" t="s">
        <v>34</v>
      </c>
      <c r="D5" t="s">
        <v>38</v>
      </c>
      <c r="E5" t="s">
        <v>39</v>
      </c>
      <c r="F5" t="s">
        <v>29</v>
      </c>
      <c r="G5" t="s">
        <v>30</v>
      </c>
      <c r="H5">
        <v>62</v>
      </c>
      <c r="I5">
        <v>89.3</v>
      </c>
      <c r="J5">
        <v>8.4</v>
      </c>
      <c r="P5">
        <v>29.1</v>
      </c>
      <c r="Q5">
        <v>6.5</v>
      </c>
      <c r="R5">
        <v>62</v>
      </c>
      <c r="S5">
        <v>0</v>
      </c>
      <c r="T5">
        <v>34</v>
      </c>
      <c r="U5">
        <v>28</v>
      </c>
      <c r="V5">
        <v>29.7</v>
      </c>
      <c r="W5">
        <v>2.5</v>
      </c>
      <c r="X5" t="s">
        <v>37</v>
      </c>
      <c r="Y5">
        <v>1.0669999999999999</v>
      </c>
      <c r="Z5">
        <v>87.209000000000003</v>
      </c>
      <c r="AA5">
        <v>91.391000000000005</v>
      </c>
      <c r="AB5" t="str">
        <f t="shared" si="0"/>
        <v>1.44 [87.21, 91.39]</v>
      </c>
    </row>
    <row r="6" spans="1:28" x14ac:dyDescent="0.35">
      <c r="A6">
        <v>76</v>
      </c>
      <c r="B6">
        <v>13</v>
      </c>
      <c r="C6" t="s">
        <v>40</v>
      </c>
      <c r="D6" t="s">
        <v>27</v>
      </c>
      <c r="E6" t="s">
        <v>41</v>
      </c>
      <c r="F6" t="s">
        <v>29</v>
      </c>
      <c r="G6" t="s">
        <v>30</v>
      </c>
      <c r="H6">
        <v>61</v>
      </c>
      <c r="I6">
        <v>67.3</v>
      </c>
      <c r="J6">
        <v>20.8</v>
      </c>
      <c r="P6">
        <v>28.2</v>
      </c>
      <c r="Q6">
        <v>9.1</v>
      </c>
      <c r="R6">
        <v>61</v>
      </c>
      <c r="S6">
        <v>0</v>
      </c>
      <c r="T6">
        <v>42</v>
      </c>
      <c r="U6">
        <v>19</v>
      </c>
      <c r="V6">
        <v>202.6</v>
      </c>
      <c r="W6">
        <v>16.899999999999999</v>
      </c>
      <c r="X6" t="s">
        <v>31</v>
      </c>
      <c r="Y6">
        <v>2.6629999999999998</v>
      </c>
      <c r="Z6">
        <v>62.081000000000003</v>
      </c>
      <c r="AA6">
        <v>72.519000000000005</v>
      </c>
      <c r="AB6" t="str">
        <f t="shared" si="0"/>
        <v>1.10 [62.08, 72.52]</v>
      </c>
    </row>
    <row r="7" spans="1:28" x14ac:dyDescent="0.35">
      <c r="A7">
        <v>77</v>
      </c>
      <c r="B7">
        <v>13</v>
      </c>
      <c r="C7" t="s">
        <v>40</v>
      </c>
      <c r="D7" t="s">
        <v>35</v>
      </c>
      <c r="E7" t="s">
        <v>42</v>
      </c>
      <c r="F7" t="s">
        <v>29</v>
      </c>
      <c r="G7" t="s">
        <v>30</v>
      </c>
      <c r="H7">
        <v>86</v>
      </c>
      <c r="I7">
        <v>74</v>
      </c>
      <c r="J7">
        <v>18.8</v>
      </c>
      <c r="P7">
        <v>26.8</v>
      </c>
      <c r="Q7">
        <v>7.6</v>
      </c>
      <c r="R7">
        <v>86</v>
      </c>
      <c r="S7">
        <v>0</v>
      </c>
      <c r="T7">
        <v>53</v>
      </c>
      <c r="U7">
        <v>33</v>
      </c>
      <c r="V7">
        <v>191.9</v>
      </c>
      <c r="W7">
        <v>16</v>
      </c>
      <c r="X7" t="s">
        <v>31</v>
      </c>
      <c r="Y7">
        <v>2.0270000000000001</v>
      </c>
      <c r="Z7">
        <v>70.027000000000001</v>
      </c>
      <c r="AA7">
        <v>77.972999999999999</v>
      </c>
      <c r="AB7" t="str">
        <f t="shared" si="0"/>
        <v>0.86 [70.03, 77.97]</v>
      </c>
    </row>
    <row r="8" spans="1:28" x14ac:dyDescent="0.35">
      <c r="A8">
        <v>78</v>
      </c>
      <c r="B8">
        <v>14</v>
      </c>
      <c r="C8" t="s">
        <v>43</v>
      </c>
      <c r="D8" t="s">
        <v>35</v>
      </c>
      <c r="E8" t="s">
        <v>44</v>
      </c>
      <c r="F8" t="s">
        <v>29</v>
      </c>
      <c r="G8" t="s">
        <v>30</v>
      </c>
      <c r="H8">
        <v>44</v>
      </c>
      <c r="I8">
        <v>79.5</v>
      </c>
      <c r="J8">
        <v>24.7</v>
      </c>
      <c r="P8">
        <v>28.9</v>
      </c>
      <c r="Q8">
        <v>5.8</v>
      </c>
      <c r="R8">
        <v>48</v>
      </c>
      <c r="S8">
        <v>4</v>
      </c>
      <c r="T8">
        <v>41</v>
      </c>
      <c r="U8">
        <v>7</v>
      </c>
      <c r="V8">
        <v>120</v>
      </c>
      <c r="W8">
        <v>10</v>
      </c>
      <c r="X8" t="s">
        <v>31</v>
      </c>
      <c r="Y8">
        <v>3.7240000000000002</v>
      </c>
      <c r="Z8">
        <v>72.200999999999993</v>
      </c>
      <c r="AA8">
        <v>86.799000000000007</v>
      </c>
      <c r="AB8" t="str">
        <f t="shared" si="0"/>
        <v>1.80 [72.20, 86.80]</v>
      </c>
    </row>
    <row r="9" spans="1:28" x14ac:dyDescent="0.35">
      <c r="A9">
        <v>79</v>
      </c>
      <c r="B9">
        <v>14</v>
      </c>
      <c r="C9" t="s">
        <v>43</v>
      </c>
      <c r="D9" t="s">
        <v>45</v>
      </c>
      <c r="E9" t="s">
        <v>46</v>
      </c>
      <c r="F9" t="s">
        <v>29</v>
      </c>
      <c r="G9" t="s">
        <v>30</v>
      </c>
      <c r="H9">
        <v>36</v>
      </c>
      <c r="I9">
        <v>81.099999999999994</v>
      </c>
      <c r="J9">
        <v>23.1</v>
      </c>
      <c r="P9">
        <v>29.2</v>
      </c>
      <c r="Q9">
        <v>5.5</v>
      </c>
      <c r="R9">
        <v>49</v>
      </c>
      <c r="S9">
        <v>13</v>
      </c>
      <c r="T9">
        <v>43</v>
      </c>
      <c r="U9">
        <v>6</v>
      </c>
      <c r="V9">
        <v>120</v>
      </c>
      <c r="W9">
        <v>10</v>
      </c>
      <c r="X9" t="s">
        <v>31</v>
      </c>
      <c r="Y9">
        <v>3.85</v>
      </c>
      <c r="Z9">
        <v>73.554000000000002</v>
      </c>
      <c r="AA9">
        <v>88.646000000000001</v>
      </c>
      <c r="AB9" t="str">
        <f t="shared" si="0"/>
        <v>2.24 [73.55, 88.65]</v>
      </c>
    </row>
    <row r="10" spans="1:28" x14ac:dyDescent="0.35">
      <c r="A10">
        <v>80</v>
      </c>
      <c r="B10">
        <v>18</v>
      </c>
      <c r="C10" t="s">
        <v>47</v>
      </c>
      <c r="D10" t="s">
        <v>35</v>
      </c>
      <c r="E10" t="s">
        <v>48</v>
      </c>
      <c r="F10" t="s">
        <v>29</v>
      </c>
      <c r="G10" t="s">
        <v>30</v>
      </c>
      <c r="H10">
        <v>30</v>
      </c>
      <c r="I10">
        <v>89.7</v>
      </c>
      <c r="J10">
        <v>5.7</v>
      </c>
      <c r="P10">
        <v>29.17</v>
      </c>
      <c r="Q10">
        <v>5.03</v>
      </c>
      <c r="R10">
        <v>30</v>
      </c>
      <c r="S10">
        <v>0</v>
      </c>
      <c r="T10">
        <v>29</v>
      </c>
      <c r="U10">
        <v>1</v>
      </c>
      <c r="V10">
        <v>60</v>
      </c>
      <c r="W10">
        <v>5</v>
      </c>
      <c r="X10" t="s">
        <v>31</v>
      </c>
      <c r="Y10">
        <v>1.0409999999999999</v>
      </c>
      <c r="Z10">
        <v>87.66</v>
      </c>
      <c r="AA10">
        <v>91.74</v>
      </c>
      <c r="AB10" t="str">
        <f t="shared" si="0"/>
        <v>2.96 [87.66, 91.74]</v>
      </c>
    </row>
    <row r="11" spans="1:28" x14ac:dyDescent="0.35">
      <c r="A11">
        <v>81</v>
      </c>
      <c r="B11">
        <v>18</v>
      </c>
      <c r="C11" t="s">
        <v>47</v>
      </c>
      <c r="D11" t="s">
        <v>38</v>
      </c>
      <c r="E11" t="s">
        <v>49</v>
      </c>
      <c r="F11" t="s">
        <v>29</v>
      </c>
      <c r="G11" t="s">
        <v>30</v>
      </c>
      <c r="H11">
        <v>30</v>
      </c>
      <c r="I11">
        <v>89.9</v>
      </c>
      <c r="J11">
        <v>9.8000000000000007</v>
      </c>
      <c r="P11">
        <v>27.73</v>
      </c>
      <c r="Q11">
        <v>4.1399999999999997</v>
      </c>
      <c r="R11">
        <v>30</v>
      </c>
      <c r="S11">
        <v>0</v>
      </c>
      <c r="T11">
        <v>30</v>
      </c>
      <c r="U11">
        <v>0</v>
      </c>
      <c r="V11">
        <v>60</v>
      </c>
      <c r="W11">
        <v>5</v>
      </c>
      <c r="X11" t="s">
        <v>31</v>
      </c>
      <c r="Y11">
        <v>1.7889999999999999</v>
      </c>
      <c r="Z11">
        <v>86.394000000000005</v>
      </c>
      <c r="AA11">
        <v>93.406000000000006</v>
      </c>
      <c r="AB11" t="str">
        <f t="shared" si="0"/>
        <v>2.96 [86.39, 93.41]</v>
      </c>
    </row>
    <row r="12" spans="1:28" x14ac:dyDescent="0.35">
      <c r="A12">
        <v>82</v>
      </c>
      <c r="B12">
        <v>19</v>
      </c>
      <c r="C12" t="s">
        <v>50</v>
      </c>
      <c r="D12" t="s">
        <v>35</v>
      </c>
      <c r="E12" t="s">
        <v>51</v>
      </c>
      <c r="F12" t="s">
        <v>29</v>
      </c>
      <c r="G12" t="s">
        <v>30</v>
      </c>
      <c r="H12">
        <v>92</v>
      </c>
      <c r="I12">
        <v>92</v>
      </c>
      <c r="J12">
        <v>8</v>
      </c>
      <c r="P12">
        <v>29.4</v>
      </c>
      <c r="Q12">
        <v>7.7</v>
      </c>
      <c r="R12">
        <v>55</v>
      </c>
      <c r="S12">
        <v>-37</v>
      </c>
      <c r="T12">
        <v>28</v>
      </c>
      <c r="U12">
        <v>27</v>
      </c>
      <c r="V12">
        <v>24</v>
      </c>
      <c r="W12">
        <v>2</v>
      </c>
      <c r="X12" t="s">
        <v>37</v>
      </c>
      <c r="Y12">
        <v>0.83399999999999996</v>
      </c>
      <c r="Z12">
        <v>90.364999999999995</v>
      </c>
      <c r="AA12">
        <v>93.635000000000005</v>
      </c>
      <c r="AB12" t="str">
        <f t="shared" si="0"/>
        <v>1.00 [90.37, 93.64]</v>
      </c>
    </row>
    <row r="13" spans="1:28" x14ac:dyDescent="0.35">
      <c r="A13">
        <v>83</v>
      </c>
      <c r="B13">
        <v>19</v>
      </c>
      <c r="C13" t="s">
        <v>50</v>
      </c>
      <c r="D13" t="s">
        <v>32</v>
      </c>
      <c r="E13" t="s">
        <v>52</v>
      </c>
      <c r="F13" t="s">
        <v>29</v>
      </c>
      <c r="G13" t="s">
        <v>30</v>
      </c>
      <c r="H13">
        <v>89</v>
      </c>
      <c r="I13">
        <v>89</v>
      </c>
      <c r="J13">
        <v>10</v>
      </c>
      <c r="P13">
        <v>28.1</v>
      </c>
      <c r="Q13">
        <v>8.1999999999999993</v>
      </c>
      <c r="R13">
        <v>57</v>
      </c>
      <c r="S13">
        <v>-32</v>
      </c>
      <c r="T13">
        <v>28</v>
      </c>
      <c r="U13">
        <v>29</v>
      </c>
      <c r="V13">
        <v>24</v>
      </c>
      <c r="W13">
        <v>2</v>
      </c>
      <c r="X13" t="s">
        <v>37</v>
      </c>
      <c r="Y13">
        <v>1.06</v>
      </c>
      <c r="Z13">
        <v>86.921999999999997</v>
      </c>
      <c r="AA13">
        <v>91.078000000000003</v>
      </c>
      <c r="AB13" t="str">
        <f t="shared" si="0"/>
        <v>1.00 [86.92, 91.08]</v>
      </c>
    </row>
    <row r="14" spans="1:28" x14ac:dyDescent="0.35">
      <c r="A14">
        <v>84</v>
      </c>
      <c r="B14">
        <v>32</v>
      </c>
      <c r="C14" t="s">
        <v>53</v>
      </c>
      <c r="D14" t="s">
        <v>27</v>
      </c>
      <c r="E14" t="s">
        <v>54</v>
      </c>
      <c r="F14" t="s">
        <v>29</v>
      </c>
      <c r="G14" t="s">
        <v>30</v>
      </c>
      <c r="H14">
        <v>31</v>
      </c>
      <c r="I14">
        <v>88.75</v>
      </c>
      <c r="J14">
        <v>9.27</v>
      </c>
      <c r="P14">
        <v>25.2</v>
      </c>
      <c r="Q14">
        <v>5.48</v>
      </c>
      <c r="R14">
        <v>31</v>
      </c>
      <c r="S14">
        <v>0</v>
      </c>
      <c r="T14">
        <v>23</v>
      </c>
      <c r="U14">
        <v>8</v>
      </c>
      <c r="V14">
        <v>24</v>
      </c>
      <c r="W14">
        <v>2</v>
      </c>
      <c r="X14" t="s">
        <v>37</v>
      </c>
      <c r="Y14">
        <v>1.665</v>
      </c>
      <c r="Z14">
        <v>85.486999999999995</v>
      </c>
      <c r="AA14">
        <v>92.013000000000005</v>
      </c>
      <c r="AB14" t="str">
        <f t="shared" si="0"/>
        <v>2.83 [85.49, 92.01]</v>
      </c>
    </row>
    <row r="15" spans="1:28" x14ac:dyDescent="0.35">
      <c r="A15">
        <v>85</v>
      </c>
      <c r="B15">
        <v>32</v>
      </c>
      <c r="C15" t="s">
        <v>53</v>
      </c>
      <c r="D15" t="s">
        <v>35</v>
      </c>
      <c r="E15" t="s">
        <v>55</v>
      </c>
      <c r="F15" t="s">
        <v>29</v>
      </c>
      <c r="G15" t="s">
        <v>30</v>
      </c>
      <c r="H15">
        <v>31</v>
      </c>
      <c r="I15">
        <v>91</v>
      </c>
      <c r="J15">
        <v>9.07</v>
      </c>
      <c r="P15">
        <v>24.64</v>
      </c>
      <c r="Q15">
        <v>5.33</v>
      </c>
      <c r="R15">
        <v>31</v>
      </c>
      <c r="S15">
        <v>0</v>
      </c>
      <c r="T15">
        <v>19</v>
      </c>
      <c r="U15">
        <v>12</v>
      </c>
      <c r="V15">
        <v>24</v>
      </c>
      <c r="W15">
        <v>2</v>
      </c>
      <c r="X15" t="s">
        <v>37</v>
      </c>
      <c r="Y15">
        <v>1.629</v>
      </c>
      <c r="Z15">
        <v>87.807000000000002</v>
      </c>
      <c r="AA15">
        <v>94.192999999999998</v>
      </c>
      <c r="AB15" t="str">
        <f t="shared" si="0"/>
        <v>2.90 [87.81, 94.19]</v>
      </c>
    </row>
    <row r="16" spans="1:28" x14ac:dyDescent="0.35">
      <c r="A16">
        <v>86</v>
      </c>
      <c r="B16">
        <v>36</v>
      </c>
      <c r="C16" t="s">
        <v>56</v>
      </c>
      <c r="D16" t="s">
        <v>35</v>
      </c>
      <c r="E16" t="s">
        <v>57</v>
      </c>
      <c r="F16" t="s">
        <v>29</v>
      </c>
      <c r="G16" t="s">
        <v>30</v>
      </c>
      <c r="H16">
        <v>26</v>
      </c>
      <c r="I16">
        <v>83.7</v>
      </c>
      <c r="J16">
        <v>12.7</v>
      </c>
      <c r="P16">
        <v>32.700000000000003</v>
      </c>
      <c r="Q16">
        <v>11.4</v>
      </c>
      <c r="R16">
        <v>27</v>
      </c>
      <c r="S16">
        <v>1</v>
      </c>
      <c r="T16">
        <v>12</v>
      </c>
      <c r="U16">
        <v>15</v>
      </c>
      <c r="V16">
        <v>24</v>
      </c>
      <c r="W16">
        <v>2</v>
      </c>
      <c r="X16" t="s">
        <v>37</v>
      </c>
      <c r="Y16">
        <v>2.4910000000000001</v>
      </c>
      <c r="Z16">
        <v>78.817999999999998</v>
      </c>
      <c r="AA16">
        <v>88.581999999999994</v>
      </c>
      <c r="AB16" t="str">
        <f t="shared" si="0"/>
        <v>3.18 [78.82, 88.58]</v>
      </c>
    </row>
    <row r="17" spans="1:28" x14ac:dyDescent="0.35">
      <c r="A17">
        <v>87</v>
      </c>
      <c r="B17">
        <v>36</v>
      </c>
      <c r="C17" t="s">
        <v>56</v>
      </c>
      <c r="D17" t="s">
        <v>32</v>
      </c>
      <c r="E17" t="s">
        <v>58</v>
      </c>
      <c r="F17" t="s">
        <v>29</v>
      </c>
      <c r="G17" t="s">
        <v>30</v>
      </c>
      <c r="H17">
        <v>23</v>
      </c>
      <c r="I17">
        <v>89.3</v>
      </c>
      <c r="J17">
        <v>12.2</v>
      </c>
      <c r="P17">
        <v>24.1</v>
      </c>
      <c r="Q17">
        <v>3.6</v>
      </c>
      <c r="R17">
        <v>24</v>
      </c>
      <c r="S17">
        <v>1</v>
      </c>
      <c r="T17">
        <v>21</v>
      </c>
      <c r="U17">
        <v>3</v>
      </c>
      <c r="V17">
        <v>24</v>
      </c>
      <c r="W17">
        <v>2</v>
      </c>
      <c r="X17" t="s">
        <v>37</v>
      </c>
      <c r="Y17">
        <v>2.544</v>
      </c>
      <c r="Z17">
        <v>84.313999999999993</v>
      </c>
      <c r="AA17">
        <v>94.286000000000001</v>
      </c>
      <c r="AB17" t="str">
        <f t="shared" si="0"/>
        <v>3.82 [84.31, 94.29]</v>
      </c>
    </row>
    <row r="18" spans="1:28" x14ac:dyDescent="0.35">
      <c r="A18">
        <v>88</v>
      </c>
      <c r="B18">
        <v>38</v>
      </c>
      <c r="C18" t="s">
        <v>59</v>
      </c>
      <c r="D18" t="s">
        <v>27</v>
      </c>
      <c r="E18" t="s">
        <v>60</v>
      </c>
      <c r="F18" t="s">
        <v>29</v>
      </c>
      <c r="G18" t="s">
        <v>30</v>
      </c>
      <c r="H18">
        <v>45</v>
      </c>
      <c r="I18">
        <v>83.2</v>
      </c>
      <c r="J18">
        <v>2.8</v>
      </c>
      <c r="P18">
        <v>24.8</v>
      </c>
      <c r="Q18">
        <v>5</v>
      </c>
      <c r="R18">
        <v>10</v>
      </c>
      <c r="S18">
        <v>-35</v>
      </c>
      <c r="T18">
        <v>10</v>
      </c>
      <c r="U18">
        <v>0</v>
      </c>
      <c r="V18">
        <v>9</v>
      </c>
      <c r="W18">
        <v>0.8</v>
      </c>
      <c r="X18" t="s">
        <v>61</v>
      </c>
      <c r="Y18">
        <v>0.41699999999999998</v>
      </c>
      <c r="Z18">
        <v>82.382999999999996</v>
      </c>
      <c r="AA18">
        <v>84.016999999999996</v>
      </c>
      <c r="AB18" t="str">
        <f t="shared" si="0"/>
        <v>1.84 [82.38, 84.02]</v>
      </c>
    </row>
    <row r="19" spans="1:28" x14ac:dyDescent="0.35">
      <c r="A19">
        <v>89</v>
      </c>
      <c r="B19">
        <v>38</v>
      </c>
      <c r="C19" t="s">
        <v>59</v>
      </c>
      <c r="D19" t="s">
        <v>35</v>
      </c>
      <c r="E19" t="s">
        <v>62</v>
      </c>
      <c r="F19" t="s">
        <v>29</v>
      </c>
      <c r="G19" t="s">
        <v>30</v>
      </c>
      <c r="H19">
        <v>45</v>
      </c>
      <c r="I19">
        <v>82.78</v>
      </c>
      <c r="J19">
        <v>2.8</v>
      </c>
      <c r="P19">
        <v>26.7</v>
      </c>
      <c r="Q19">
        <v>7.2</v>
      </c>
      <c r="R19">
        <v>10</v>
      </c>
      <c r="S19">
        <v>-35</v>
      </c>
      <c r="T19">
        <v>10</v>
      </c>
      <c r="U19">
        <v>0</v>
      </c>
      <c r="V19">
        <v>9</v>
      </c>
      <c r="W19">
        <v>0.8</v>
      </c>
      <c r="X19" t="s">
        <v>61</v>
      </c>
      <c r="Y19">
        <v>0.41699999999999998</v>
      </c>
      <c r="Z19">
        <v>81.962999999999994</v>
      </c>
      <c r="AA19">
        <v>83.596999999999994</v>
      </c>
      <c r="AB19" t="str">
        <f t="shared" si="0"/>
        <v>1.83 [81.96, 83.60]</v>
      </c>
    </row>
    <row r="20" spans="1:28" x14ac:dyDescent="0.35">
      <c r="A20">
        <v>90</v>
      </c>
      <c r="B20">
        <v>44</v>
      </c>
      <c r="C20" t="s">
        <v>63</v>
      </c>
      <c r="D20" t="s">
        <v>27</v>
      </c>
      <c r="E20" t="s">
        <v>64</v>
      </c>
      <c r="F20" t="s">
        <v>29</v>
      </c>
      <c r="G20" t="s">
        <v>30</v>
      </c>
      <c r="H20">
        <v>36</v>
      </c>
      <c r="I20">
        <v>74.2</v>
      </c>
      <c r="J20">
        <v>10.199999999999999</v>
      </c>
      <c r="P20">
        <v>31</v>
      </c>
      <c r="Q20">
        <v>9.4600000000000009</v>
      </c>
      <c r="R20">
        <v>40</v>
      </c>
      <c r="S20">
        <v>4</v>
      </c>
      <c r="T20">
        <v>23</v>
      </c>
      <c r="U20">
        <v>17</v>
      </c>
      <c r="V20">
        <v>28</v>
      </c>
      <c r="W20">
        <v>2.2999999999999998</v>
      </c>
      <c r="X20" t="s">
        <v>37</v>
      </c>
      <c r="Y20">
        <v>1.7</v>
      </c>
      <c r="Z20">
        <v>70.867999999999995</v>
      </c>
      <c r="AA20">
        <v>77.531999999999996</v>
      </c>
      <c r="AB20" t="str">
        <f t="shared" si="0"/>
        <v>2.05 [70.87, 77.53]</v>
      </c>
    </row>
    <row r="21" spans="1:28" x14ac:dyDescent="0.35">
      <c r="A21">
        <v>91</v>
      </c>
      <c r="B21">
        <v>44</v>
      </c>
      <c r="C21" t="s">
        <v>63</v>
      </c>
      <c r="D21" t="s">
        <v>32</v>
      </c>
      <c r="E21" t="s">
        <v>65</v>
      </c>
      <c r="F21" t="s">
        <v>29</v>
      </c>
      <c r="G21" t="s">
        <v>30</v>
      </c>
      <c r="H21">
        <v>36</v>
      </c>
      <c r="I21">
        <v>78.3</v>
      </c>
      <c r="J21">
        <v>10.5</v>
      </c>
      <c r="P21">
        <v>29.8</v>
      </c>
      <c r="Q21">
        <v>9.4600000000000009</v>
      </c>
      <c r="R21">
        <v>40</v>
      </c>
      <c r="S21">
        <v>4</v>
      </c>
      <c r="T21">
        <v>21</v>
      </c>
      <c r="U21">
        <v>19</v>
      </c>
      <c r="V21">
        <v>28</v>
      </c>
      <c r="W21">
        <v>2.2999999999999998</v>
      </c>
      <c r="X21" t="s">
        <v>37</v>
      </c>
      <c r="Y21">
        <v>1.75</v>
      </c>
      <c r="Z21">
        <v>74.87</v>
      </c>
      <c r="AA21">
        <v>81.73</v>
      </c>
      <c r="AB21" t="str">
        <f t="shared" si="0"/>
        <v>2.16 [74.87, 81.73]</v>
      </c>
    </row>
    <row r="22" spans="1:28" x14ac:dyDescent="0.35">
      <c r="A22">
        <v>92</v>
      </c>
      <c r="B22">
        <v>51</v>
      </c>
      <c r="C22" t="s">
        <v>66</v>
      </c>
      <c r="D22" t="s">
        <v>35</v>
      </c>
      <c r="E22" t="s">
        <v>67</v>
      </c>
      <c r="F22" t="s">
        <v>29</v>
      </c>
      <c r="G22" t="s">
        <v>30</v>
      </c>
      <c r="H22">
        <v>32</v>
      </c>
      <c r="I22">
        <v>87.5</v>
      </c>
      <c r="J22">
        <v>3.2</v>
      </c>
      <c r="P22">
        <v>29.8</v>
      </c>
      <c r="Q22">
        <v>7.9</v>
      </c>
      <c r="R22">
        <v>32</v>
      </c>
      <c r="S22">
        <v>0</v>
      </c>
      <c r="T22">
        <v>17</v>
      </c>
      <c r="U22">
        <v>15</v>
      </c>
      <c r="V22">
        <v>69.599999999999994</v>
      </c>
      <c r="W22">
        <v>5.8</v>
      </c>
      <c r="X22" t="s">
        <v>31</v>
      </c>
      <c r="Y22">
        <v>0.56599999999999995</v>
      </c>
      <c r="Z22">
        <v>86.391000000000005</v>
      </c>
      <c r="AA22">
        <v>88.608999999999995</v>
      </c>
      <c r="AB22" t="str">
        <f t="shared" si="0"/>
        <v>2.71 [86.39, 88.61]</v>
      </c>
    </row>
    <row r="23" spans="1:28" x14ac:dyDescent="0.35">
      <c r="A23">
        <v>93</v>
      </c>
      <c r="B23">
        <v>51</v>
      </c>
      <c r="C23" t="s">
        <v>66</v>
      </c>
      <c r="D23" t="s">
        <v>45</v>
      </c>
      <c r="E23" t="s">
        <v>68</v>
      </c>
      <c r="F23" t="s">
        <v>29</v>
      </c>
      <c r="G23" t="s">
        <v>30</v>
      </c>
      <c r="H23">
        <v>32</v>
      </c>
      <c r="I23">
        <v>83.8</v>
      </c>
      <c r="J23">
        <v>6.9</v>
      </c>
      <c r="P23">
        <v>30.5</v>
      </c>
      <c r="Q23">
        <v>6.1</v>
      </c>
      <c r="R23">
        <v>32</v>
      </c>
      <c r="S23">
        <v>0</v>
      </c>
      <c r="T23">
        <v>15</v>
      </c>
      <c r="U23">
        <v>17</v>
      </c>
      <c r="V23">
        <v>73.2</v>
      </c>
      <c r="W23">
        <v>6.1</v>
      </c>
      <c r="X23" t="s">
        <v>31</v>
      </c>
      <c r="Y23">
        <v>1.22</v>
      </c>
      <c r="Z23">
        <v>81.409000000000006</v>
      </c>
      <c r="AA23">
        <v>86.191000000000003</v>
      </c>
      <c r="AB23" t="str">
        <f t="shared" si="0"/>
        <v>2.59 [81.41, 86.19]</v>
      </c>
    </row>
    <row r="24" spans="1:28" x14ac:dyDescent="0.35">
      <c r="A24">
        <v>94</v>
      </c>
      <c r="B24">
        <v>53</v>
      </c>
      <c r="C24" t="s">
        <v>69</v>
      </c>
      <c r="D24" t="s">
        <v>35</v>
      </c>
      <c r="E24" t="s">
        <v>70</v>
      </c>
      <c r="F24" t="s">
        <v>29</v>
      </c>
      <c r="G24" t="s">
        <v>30</v>
      </c>
      <c r="H24">
        <v>49</v>
      </c>
      <c r="I24">
        <v>78</v>
      </c>
      <c r="J24">
        <v>18</v>
      </c>
      <c r="P24">
        <v>27.1</v>
      </c>
      <c r="Q24">
        <v>6.1</v>
      </c>
      <c r="R24">
        <v>49</v>
      </c>
      <c r="S24">
        <v>0</v>
      </c>
      <c r="T24">
        <v>25</v>
      </c>
      <c r="U24">
        <v>24</v>
      </c>
      <c r="V24">
        <v>24</v>
      </c>
      <c r="W24">
        <v>2</v>
      </c>
      <c r="X24" t="s">
        <v>37</v>
      </c>
      <c r="Y24">
        <v>2.5710000000000002</v>
      </c>
      <c r="Z24">
        <v>72.960999999999999</v>
      </c>
      <c r="AA24">
        <v>83.039000000000001</v>
      </c>
      <c r="AB24" t="str">
        <f t="shared" si="0"/>
        <v>1.59 [72.96, 83.04]</v>
      </c>
    </row>
    <row r="25" spans="1:28" x14ac:dyDescent="0.35">
      <c r="A25">
        <v>95</v>
      </c>
      <c r="B25">
        <v>53</v>
      </c>
      <c r="C25" t="s">
        <v>69</v>
      </c>
      <c r="D25" t="s">
        <v>32</v>
      </c>
      <c r="E25" t="s">
        <v>71</v>
      </c>
      <c r="F25" t="s">
        <v>29</v>
      </c>
      <c r="G25" t="s">
        <v>30</v>
      </c>
      <c r="H25">
        <v>47</v>
      </c>
      <c r="I25">
        <v>82</v>
      </c>
      <c r="J25">
        <v>14</v>
      </c>
      <c r="P25">
        <v>27.2</v>
      </c>
      <c r="Q25">
        <v>6.2</v>
      </c>
      <c r="R25">
        <v>50</v>
      </c>
      <c r="S25">
        <v>3</v>
      </c>
      <c r="T25">
        <v>29</v>
      </c>
      <c r="U25">
        <v>21</v>
      </c>
      <c r="V25">
        <v>24</v>
      </c>
      <c r="W25">
        <v>2</v>
      </c>
      <c r="X25" t="s">
        <v>37</v>
      </c>
      <c r="Y25">
        <v>2.0419999999999998</v>
      </c>
      <c r="Z25">
        <v>77.998000000000005</v>
      </c>
      <c r="AA25">
        <v>86.001999999999995</v>
      </c>
      <c r="AB25" t="str">
        <f t="shared" si="0"/>
        <v>1.74 [78.00, 86.00]</v>
      </c>
    </row>
    <row r="26" spans="1:28" x14ac:dyDescent="0.35">
      <c r="A26">
        <v>96</v>
      </c>
      <c r="B26">
        <v>54</v>
      </c>
      <c r="C26" t="s">
        <v>72</v>
      </c>
      <c r="D26" t="s">
        <v>27</v>
      </c>
      <c r="E26" t="s">
        <v>73</v>
      </c>
      <c r="F26" t="s">
        <v>29</v>
      </c>
      <c r="G26" t="s">
        <v>30</v>
      </c>
      <c r="H26">
        <v>19</v>
      </c>
      <c r="I26">
        <v>78.400000000000006</v>
      </c>
      <c r="J26">
        <v>13.7</v>
      </c>
      <c r="P26">
        <v>52.8</v>
      </c>
      <c r="Q26">
        <v>7.3</v>
      </c>
      <c r="V26">
        <v>240</v>
      </c>
      <c r="W26">
        <v>20</v>
      </c>
      <c r="X26" t="s">
        <v>31</v>
      </c>
      <c r="Y26">
        <v>3.1429999999999998</v>
      </c>
      <c r="Z26">
        <v>72.239999999999995</v>
      </c>
      <c r="AA26">
        <v>84.56</v>
      </c>
      <c r="AB26" t="str">
        <f t="shared" si="0"/>
        <v>4.05 [72.24, 84.56]</v>
      </c>
    </row>
    <row r="27" spans="1:28" x14ac:dyDescent="0.35">
      <c r="A27">
        <v>97</v>
      </c>
      <c r="B27">
        <v>54</v>
      </c>
      <c r="C27" t="s">
        <v>72</v>
      </c>
      <c r="D27" t="s">
        <v>35</v>
      </c>
      <c r="E27" t="s">
        <v>74</v>
      </c>
      <c r="F27" t="s">
        <v>29</v>
      </c>
      <c r="G27" t="s">
        <v>30</v>
      </c>
      <c r="H27">
        <v>20</v>
      </c>
      <c r="I27">
        <v>81.599999999999994</v>
      </c>
      <c r="J27">
        <v>11.9</v>
      </c>
      <c r="P27">
        <v>54.5</v>
      </c>
      <c r="Q27">
        <v>7.5</v>
      </c>
      <c r="V27">
        <v>240</v>
      </c>
      <c r="W27">
        <v>20</v>
      </c>
      <c r="X27" t="s">
        <v>31</v>
      </c>
      <c r="Y27">
        <v>2.661</v>
      </c>
      <c r="Z27">
        <v>76.384</v>
      </c>
      <c r="AA27">
        <v>86.816000000000003</v>
      </c>
      <c r="AB27" t="str">
        <f t="shared" si="0"/>
        <v>4.00 [76.38, 86.82]</v>
      </c>
    </row>
    <row r="28" spans="1:28" x14ac:dyDescent="0.35">
      <c r="A28">
        <v>98</v>
      </c>
      <c r="B28">
        <v>55</v>
      </c>
      <c r="C28" t="s">
        <v>75</v>
      </c>
      <c r="D28" t="s">
        <v>27</v>
      </c>
      <c r="E28" t="s">
        <v>76</v>
      </c>
      <c r="F28" t="s">
        <v>29</v>
      </c>
      <c r="G28" t="s">
        <v>30</v>
      </c>
      <c r="H28">
        <v>14</v>
      </c>
      <c r="I28">
        <v>71.900000000000006</v>
      </c>
      <c r="J28">
        <v>15.2</v>
      </c>
      <c r="P28">
        <v>26.5</v>
      </c>
      <c r="Q28">
        <v>5</v>
      </c>
      <c r="R28">
        <v>14</v>
      </c>
      <c r="S28">
        <v>0</v>
      </c>
      <c r="T28">
        <v>14</v>
      </c>
      <c r="U28">
        <v>0</v>
      </c>
      <c r="V28">
        <v>12</v>
      </c>
      <c r="W28">
        <v>1</v>
      </c>
      <c r="X28" t="s">
        <v>61</v>
      </c>
      <c r="Y28">
        <v>4.0620000000000003</v>
      </c>
      <c r="Z28">
        <v>63.938000000000002</v>
      </c>
      <c r="AA28">
        <v>79.861999999999995</v>
      </c>
      <c r="AB28" t="str">
        <f t="shared" si="0"/>
        <v>4.99 [63.94, 79.86]</v>
      </c>
    </row>
    <row r="29" spans="1:28" x14ac:dyDescent="0.35">
      <c r="A29">
        <v>99</v>
      </c>
      <c r="B29">
        <v>55</v>
      </c>
      <c r="C29" t="s">
        <v>75</v>
      </c>
      <c r="D29" t="s">
        <v>35</v>
      </c>
      <c r="E29" t="s">
        <v>77</v>
      </c>
      <c r="F29" t="s">
        <v>29</v>
      </c>
      <c r="G29" t="s">
        <v>30</v>
      </c>
      <c r="H29">
        <v>17</v>
      </c>
      <c r="I29">
        <v>73.099999999999994</v>
      </c>
      <c r="J29">
        <v>12.3</v>
      </c>
      <c r="P29">
        <v>24.63</v>
      </c>
      <c r="Q29">
        <v>4.5999999999999996</v>
      </c>
      <c r="R29">
        <v>38</v>
      </c>
      <c r="S29">
        <v>21</v>
      </c>
      <c r="T29">
        <v>38</v>
      </c>
      <c r="U29">
        <v>0</v>
      </c>
      <c r="V29">
        <v>12</v>
      </c>
      <c r="W29">
        <v>1</v>
      </c>
      <c r="X29" t="s">
        <v>61</v>
      </c>
      <c r="Y29">
        <v>2.9830000000000001</v>
      </c>
      <c r="Z29">
        <v>67.253</v>
      </c>
      <c r="AA29">
        <v>78.947000000000003</v>
      </c>
      <c r="AB29" t="str">
        <f t="shared" si="0"/>
        <v>4.21 [67.25, 78.95]</v>
      </c>
    </row>
    <row r="30" spans="1:28" x14ac:dyDescent="0.35">
      <c r="A30">
        <v>100</v>
      </c>
      <c r="B30">
        <v>56</v>
      </c>
      <c r="C30" t="s">
        <v>78</v>
      </c>
      <c r="D30" t="s">
        <v>27</v>
      </c>
      <c r="E30" t="s">
        <v>79</v>
      </c>
      <c r="F30" t="s">
        <v>29</v>
      </c>
      <c r="G30" t="s">
        <v>30</v>
      </c>
      <c r="H30">
        <v>18</v>
      </c>
      <c r="I30">
        <v>75</v>
      </c>
      <c r="J30">
        <v>13</v>
      </c>
      <c r="P30">
        <v>31</v>
      </c>
      <c r="Q30">
        <v>8</v>
      </c>
      <c r="R30">
        <v>18</v>
      </c>
      <c r="S30">
        <v>0</v>
      </c>
      <c r="T30">
        <v>15</v>
      </c>
      <c r="U30">
        <v>3</v>
      </c>
      <c r="V30">
        <v>24</v>
      </c>
      <c r="W30">
        <v>2</v>
      </c>
      <c r="X30" t="s">
        <v>37</v>
      </c>
      <c r="Y30">
        <v>3.0640000000000001</v>
      </c>
      <c r="Z30">
        <v>68.995000000000005</v>
      </c>
      <c r="AA30">
        <v>81.004999999999995</v>
      </c>
      <c r="AB30" t="str">
        <f t="shared" si="0"/>
        <v>4.08 [69.00, 81.01]</v>
      </c>
    </row>
    <row r="31" spans="1:28" x14ac:dyDescent="0.35">
      <c r="A31">
        <v>101</v>
      </c>
      <c r="B31">
        <v>56</v>
      </c>
      <c r="C31" t="s">
        <v>78</v>
      </c>
      <c r="D31" t="s">
        <v>32</v>
      </c>
      <c r="E31" t="s">
        <v>80</v>
      </c>
      <c r="F31" t="s">
        <v>29</v>
      </c>
      <c r="G31" t="s">
        <v>30</v>
      </c>
      <c r="H31">
        <v>21</v>
      </c>
      <c r="I31">
        <v>76</v>
      </c>
      <c r="J31">
        <v>16</v>
      </c>
      <c r="P31">
        <v>30</v>
      </c>
      <c r="Q31">
        <v>9</v>
      </c>
      <c r="R31">
        <v>21</v>
      </c>
      <c r="S31">
        <v>0</v>
      </c>
      <c r="T31">
        <v>17</v>
      </c>
      <c r="U31">
        <v>4</v>
      </c>
      <c r="V31">
        <v>24</v>
      </c>
      <c r="W31">
        <v>2</v>
      </c>
      <c r="X31" t="s">
        <v>37</v>
      </c>
      <c r="Y31">
        <v>3.4910000000000001</v>
      </c>
      <c r="Z31">
        <v>69.158000000000001</v>
      </c>
      <c r="AA31">
        <v>82.841999999999999</v>
      </c>
      <c r="AB31" t="str">
        <f t="shared" si="0"/>
        <v>3.56 [69.16, 82.84]</v>
      </c>
    </row>
    <row r="32" spans="1:28" x14ac:dyDescent="0.35">
      <c r="A32">
        <v>102</v>
      </c>
      <c r="B32">
        <v>58</v>
      </c>
      <c r="C32" t="s">
        <v>81</v>
      </c>
      <c r="D32" t="s">
        <v>35</v>
      </c>
      <c r="E32" t="s">
        <v>82</v>
      </c>
      <c r="F32" t="s">
        <v>29</v>
      </c>
      <c r="G32" t="s">
        <v>30</v>
      </c>
      <c r="H32">
        <v>25</v>
      </c>
      <c r="I32">
        <v>78.900000000000006</v>
      </c>
      <c r="J32">
        <v>7.4</v>
      </c>
      <c r="P32">
        <v>28.12</v>
      </c>
      <c r="Q32">
        <v>5.21</v>
      </c>
      <c r="R32">
        <v>25</v>
      </c>
      <c r="S32">
        <v>0</v>
      </c>
      <c r="T32">
        <v>18</v>
      </c>
      <c r="U32">
        <v>7</v>
      </c>
      <c r="V32">
        <v>6</v>
      </c>
      <c r="W32">
        <v>0.5</v>
      </c>
      <c r="X32" t="s">
        <v>61</v>
      </c>
      <c r="Y32">
        <v>1.48</v>
      </c>
      <c r="Z32">
        <v>75.998999999999995</v>
      </c>
      <c r="AA32">
        <v>81.801000000000002</v>
      </c>
      <c r="AB32" t="str">
        <f t="shared" si="0"/>
        <v>3.11 [76.00, 81.80]</v>
      </c>
    </row>
    <row r="33" spans="1:28" x14ac:dyDescent="0.35">
      <c r="A33">
        <v>103</v>
      </c>
      <c r="B33">
        <v>58</v>
      </c>
      <c r="C33" t="s">
        <v>81</v>
      </c>
      <c r="D33" t="s">
        <v>38</v>
      </c>
      <c r="E33" t="s">
        <v>83</v>
      </c>
      <c r="F33" t="s">
        <v>29</v>
      </c>
      <c r="G33" t="s">
        <v>30</v>
      </c>
      <c r="H33">
        <v>25</v>
      </c>
      <c r="I33">
        <v>82.6</v>
      </c>
      <c r="J33">
        <v>6.3</v>
      </c>
      <c r="P33">
        <v>27.84</v>
      </c>
      <c r="Q33">
        <v>4.92</v>
      </c>
      <c r="R33">
        <v>25</v>
      </c>
      <c r="S33">
        <v>0</v>
      </c>
      <c r="T33">
        <v>17</v>
      </c>
      <c r="U33">
        <v>8</v>
      </c>
      <c r="V33">
        <v>6</v>
      </c>
      <c r="W33">
        <v>0.5</v>
      </c>
      <c r="X33" t="s">
        <v>61</v>
      </c>
      <c r="Y33">
        <v>1.26</v>
      </c>
      <c r="Z33">
        <v>80.13</v>
      </c>
      <c r="AA33">
        <v>85.07</v>
      </c>
      <c r="AB33" t="str">
        <f t="shared" si="0"/>
        <v>3.26 [80.13, 85.07]</v>
      </c>
    </row>
    <row r="34" spans="1:28" x14ac:dyDescent="0.35">
      <c r="A34">
        <v>104</v>
      </c>
      <c r="B34">
        <v>62</v>
      </c>
      <c r="C34" t="s">
        <v>84</v>
      </c>
      <c r="D34" t="s">
        <v>27</v>
      </c>
      <c r="E34" t="s">
        <v>85</v>
      </c>
      <c r="F34" t="s">
        <v>29</v>
      </c>
      <c r="G34" t="s">
        <v>30</v>
      </c>
      <c r="H34">
        <v>37</v>
      </c>
      <c r="I34">
        <v>84.3</v>
      </c>
      <c r="J34">
        <v>11</v>
      </c>
      <c r="P34">
        <v>23.7</v>
      </c>
      <c r="Q34">
        <v>7.7</v>
      </c>
      <c r="R34">
        <v>37</v>
      </c>
      <c r="S34">
        <v>0</v>
      </c>
      <c r="T34">
        <v>21</v>
      </c>
      <c r="U34">
        <v>16</v>
      </c>
      <c r="V34">
        <v>87</v>
      </c>
      <c r="W34">
        <v>7.3</v>
      </c>
      <c r="X34" t="s">
        <v>31</v>
      </c>
      <c r="Y34">
        <v>1.8080000000000001</v>
      </c>
      <c r="Z34">
        <v>80.756</v>
      </c>
      <c r="AA34">
        <v>87.843999999999994</v>
      </c>
      <c r="AB34" t="str">
        <f t="shared" si="0"/>
        <v>2.26 [80.76, 87.84]</v>
      </c>
    </row>
    <row r="35" spans="1:28" x14ac:dyDescent="0.35">
      <c r="A35">
        <v>105</v>
      </c>
      <c r="B35">
        <v>62</v>
      </c>
      <c r="C35" t="s">
        <v>84</v>
      </c>
      <c r="D35" t="s">
        <v>35</v>
      </c>
      <c r="E35" t="s">
        <v>86</v>
      </c>
      <c r="F35" t="s">
        <v>29</v>
      </c>
      <c r="G35" t="s">
        <v>30</v>
      </c>
      <c r="H35">
        <v>35</v>
      </c>
      <c r="I35">
        <v>86.8</v>
      </c>
      <c r="J35">
        <v>8.3000000000000007</v>
      </c>
      <c r="P35">
        <v>24.4</v>
      </c>
      <c r="Q35">
        <v>9.6999999999999993</v>
      </c>
      <c r="R35">
        <v>35</v>
      </c>
      <c r="S35">
        <v>0</v>
      </c>
      <c r="T35">
        <v>20</v>
      </c>
      <c r="U35">
        <v>15</v>
      </c>
      <c r="V35">
        <v>80.7</v>
      </c>
      <c r="W35">
        <v>6.7</v>
      </c>
      <c r="X35" t="s">
        <v>31</v>
      </c>
      <c r="Y35">
        <v>1.403</v>
      </c>
      <c r="Z35">
        <v>84.05</v>
      </c>
      <c r="AA35">
        <v>89.55</v>
      </c>
      <c r="AB35" t="str">
        <f t="shared" si="0"/>
        <v>2.46 [84.05, 89.55]</v>
      </c>
    </row>
    <row r="36" spans="1:28" x14ac:dyDescent="0.35">
      <c r="A36">
        <v>106</v>
      </c>
      <c r="B36">
        <v>68</v>
      </c>
      <c r="C36" t="s">
        <v>87</v>
      </c>
      <c r="D36" t="s">
        <v>27</v>
      </c>
      <c r="E36" t="s">
        <v>88</v>
      </c>
      <c r="F36" t="s">
        <v>29</v>
      </c>
      <c r="G36" t="s">
        <v>30</v>
      </c>
      <c r="H36">
        <v>6</v>
      </c>
      <c r="I36">
        <v>92</v>
      </c>
      <c r="J36">
        <v>7</v>
      </c>
      <c r="P36">
        <v>23</v>
      </c>
      <c r="Q36">
        <v>2</v>
      </c>
      <c r="R36">
        <v>6</v>
      </c>
      <c r="S36">
        <v>0</v>
      </c>
      <c r="T36">
        <v>6</v>
      </c>
      <c r="U36">
        <v>0</v>
      </c>
      <c r="V36">
        <v>21</v>
      </c>
      <c r="W36">
        <v>1.8</v>
      </c>
      <c r="X36" t="s">
        <v>37</v>
      </c>
      <c r="Y36">
        <v>2.8580000000000001</v>
      </c>
      <c r="Z36">
        <v>86.397999999999996</v>
      </c>
      <c r="AA36">
        <v>97.602000000000004</v>
      </c>
      <c r="AB36" t="str">
        <f t="shared" si="0"/>
        <v>14.23 [86.40, 97.60]</v>
      </c>
    </row>
    <row r="37" spans="1:28" x14ac:dyDescent="0.35">
      <c r="A37">
        <v>107</v>
      </c>
      <c r="B37">
        <v>68</v>
      </c>
      <c r="C37" t="s">
        <v>87</v>
      </c>
      <c r="D37" t="s">
        <v>35</v>
      </c>
      <c r="E37" t="s">
        <v>89</v>
      </c>
      <c r="F37" t="s">
        <v>29</v>
      </c>
      <c r="G37" t="s">
        <v>30</v>
      </c>
      <c r="H37">
        <v>6</v>
      </c>
      <c r="I37">
        <v>90</v>
      </c>
      <c r="J37">
        <v>10</v>
      </c>
      <c r="P37">
        <v>24</v>
      </c>
      <c r="Q37">
        <v>3</v>
      </c>
      <c r="R37">
        <v>6</v>
      </c>
      <c r="S37">
        <v>0</v>
      </c>
      <c r="T37">
        <v>6</v>
      </c>
      <c r="U37">
        <v>0</v>
      </c>
      <c r="V37">
        <v>25</v>
      </c>
      <c r="W37">
        <v>2.1</v>
      </c>
      <c r="X37" t="s">
        <v>37</v>
      </c>
      <c r="Y37">
        <v>4.0819999999999999</v>
      </c>
      <c r="Z37">
        <v>81.998999999999995</v>
      </c>
      <c r="AA37">
        <v>98.001000000000005</v>
      </c>
      <c r="AB37" t="str">
        <f t="shared" si="0"/>
        <v>13.92 [82.00, 98.00]</v>
      </c>
    </row>
    <row r="38" spans="1:28" x14ac:dyDescent="0.35">
      <c r="A38">
        <v>108</v>
      </c>
      <c r="B38">
        <v>73</v>
      </c>
      <c r="C38" t="s">
        <v>90</v>
      </c>
      <c r="D38" t="s">
        <v>27</v>
      </c>
      <c r="E38" t="s">
        <v>91</v>
      </c>
      <c r="F38" t="s">
        <v>29</v>
      </c>
      <c r="G38" t="s">
        <v>30</v>
      </c>
      <c r="H38">
        <v>20</v>
      </c>
      <c r="I38">
        <v>86.9</v>
      </c>
      <c r="J38">
        <v>11.7</v>
      </c>
      <c r="P38">
        <v>24.7</v>
      </c>
      <c r="R38">
        <v>20</v>
      </c>
      <c r="S38">
        <v>0</v>
      </c>
      <c r="T38">
        <v>0</v>
      </c>
      <c r="U38">
        <v>20</v>
      </c>
      <c r="V38">
        <v>6</v>
      </c>
      <c r="W38">
        <v>0.5</v>
      </c>
      <c r="X38" t="s">
        <v>61</v>
      </c>
      <c r="Y38">
        <v>2.6160000000000001</v>
      </c>
      <c r="Z38">
        <v>81.772999999999996</v>
      </c>
      <c r="AA38">
        <v>92.027000000000001</v>
      </c>
      <c r="AB38" t="str">
        <f t="shared" si="0"/>
        <v>4.26 [81.77, 92.03]</v>
      </c>
    </row>
    <row r="39" spans="1:28" x14ac:dyDescent="0.35">
      <c r="A39">
        <v>109</v>
      </c>
      <c r="B39">
        <v>73</v>
      </c>
      <c r="C39" t="s">
        <v>90</v>
      </c>
      <c r="D39" t="s">
        <v>35</v>
      </c>
      <c r="E39" t="s">
        <v>92</v>
      </c>
      <c r="F39" t="s">
        <v>29</v>
      </c>
      <c r="G39" t="s">
        <v>30</v>
      </c>
      <c r="H39">
        <v>20</v>
      </c>
      <c r="I39">
        <v>90.97</v>
      </c>
      <c r="J39">
        <v>5.0999999999999996</v>
      </c>
      <c r="P39">
        <v>25.4</v>
      </c>
      <c r="R39">
        <v>20</v>
      </c>
      <c r="S39">
        <v>0</v>
      </c>
      <c r="T39">
        <v>0</v>
      </c>
      <c r="U39">
        <v>20</v>
      </c>
      <c r="V39">
        <v>6</v>
      </c>
      <c r="W39">
        <v>0.5</v>
      </c>
      <c r="X39" t="s">
        <v>61</v>
      </c>
      <c r="Y39">
        <v>1.1399999999999999</v>
      </c>
      <c r="Z39">
        <v>88.736000000000004</v>
      </c>
      <c r="AA39">
        <v>93.203999999999994</v>
      </c>
      <c r="AB39" t="str">
        <f t="shared" si="0"/>
        <v>4.46 [88.74, 93.20]</v>
      </c>
    </row>
    <row r="40" spans="1:28" x14ac:dyDescent="0.35">
      <c r="A40">
        <v>110</v>
      </c>
      <c r="B40">
        <v>84</v>
      </c>
      <c r="C40" t="s">
        <v>93</v>
      </c>
      <c r="D40" t="s">
        <v>35</v>
      </c>
      <c r="E40" t="s">
        <v>94</v>
      </c>
      <c r="F40" t="s">
        <v>29</v>
      </c>
      <c r="G40" t="s">
        <v>30</v>
      </c>
      <c r="H40">
        <v>43</v>
      </c>
      <c r="I40">
        <v>76</v>
      </c>
      <c r="J40">
        <v>15</v>
      </c>
      <c r="P40">
        <v>28.3</v>
      </c>
      <c r="Q40">
        <v>6.2</v>
      </c>
      <c r="R40">
        <v>43</v>
      </c>
      <c r="S40">
        <v>0</v>
      </c>
      <c r="T40">
        <v>23</v>
      </c>
      <c r="U40">
        <v>20</v>
      </c>
      <c r="V40">
        <v>12.5</v>
      </c>
      <c r="W40">
        <v>1</v>
      </c>
      <c r="X40" t="s">
        <v>37</v>
      </c>
      <c r="Y40">
        <v>2.2869999999999999</v>
      </c>
      <c r="Z40">
        <v>71.516999999999996</v>
      </c>
      <c r="AA40">
        <v>80.483000000000004</v>
      </c>
      <c r="AB40" t="str">
        <f t="shared" si="0"/>
        <v>1.76 [71.52, 80.48]</v>
      </c>
    </row>
    <row r="41" spans="1:28" x14ac:dyDescent="0.35">
      <c r="A41">
        <v>111</v>
      </c>
      <c r="B41">
        <v>84</v>
      </c>
      <c r="C41" t="s">
        <v>93</v>
      </c>
      <c r="D41" t="s">
        <v>32</v>
      </c>
      <c r="E41" t="s">
        <v>95</v>
      </c>
      <c r="F41" t="s">
        <v>29</v>
      </c>
      <c r="G41" t="s">
        <v>30</v>
      </c>
      <c r="H41">
        <v>42</v>
      </c>
      <c r="I41">
        <v>76</v>
      </c>
      <c r="J41">
        <v>17</v>
      </c>
      <c r="P41">
        <v>28.7</v>
      </c>
      <c r="Q41">
        <v>6.4</v>
      </c>
      <c r="R41">
        <v>42</v>
      </c>
      <c r="S41">
        <v>0</v>
      </c>
      <c r="T41">
        <v>25</v>
      </c>
      <c r="U41">
        <v>17</v>
      </c>
      <c r="V41">
        <v>12.4</v>
      </c>
      <c r="W41">
        <v>1</v>
      </c>
      <c r="X41" t="s">
        <v>37</v>
      </c>
      <c r="Y41">
        <v>2.6230000000000002</v>
      </c>
      <c r="Z41">
        <v>70.858999999999995</v>
      </c>
      <c r="AA41">
        <v>81.141000000000005</v>
      </c>
      <c r="AB41" t="str">
        <f t="shared" si="0"/>
        <v>1.80 [70.86, 81.14]</v>
      </c>
    </row>
    <row r="42" spans="1:28" x14ac:dyDescent="0.35">
      <c r="A42">
        <v>112</v>
      </c>
      <c r="B42">
        <v>85</v>
      </c>
      <c r="C42" t="s">
        <v>96</v>
      </c>
      <c r="D42" t="s">
        <v>27</v>
      </c>
      <c r="E42" t="s">
        <v>97</v>
      </c>
      <c r="F42" t="s">
        <v>29</v>
      </c>
      <c r="G42" t="s">
        <v>30</v>
      </c>
      <c r="H42">
        <v>32</v>
      </c>
      <c r="I42">
        <v>89.4</v>
      </c>
      <c r="J42">
        <v>9.1999999999999993</v>
      </c>
      <c r="P42">
        <v>17.7</v>
      </c>
      <c r="Q42">
        <v>2.4</v>
      </c>
      <c r="R42">
        <v>32</v>
      </c>
      <c r="S42">
        <v>0</v>
      </c>
      <c r="T42">
        <v>15</v>
      </c>
      <c r="U42">
        <v>17</v>
      </c>
      <c r="V42">
        <v>24</v>
      </c>
      <c r="W42">
        <v>2</v>
      </c>
      <c r="X42" t="s">
        <v>37</v>
      </c>
      <c r="Y42">
        <v>1.6259999999999999</v>
      </c>
      <c r="Z42">
        <v>86.212999999999994</v>
      </c>
      <c r="AA42">
        <v>92.587000000000003</v>
      </c>
      <c r="AB42" t="str">
        <f t="shared" si="0"/>
        <v>2.77 [86.21, 92.59]</v>
      </c>
    </row>
    <row r="43" spans="1:28" x14ac:dyDescent="0.35">
      <c r="A43">
        <v>113</v>
      </c>
      <c r="B43">
        <v>85</v>
      </c>
      <c r="C43" t="s">
        <v>96</v>
      </c>
      <c r="D43" t="s">
        <v>35</v>
      </c>
      <c r="E43" t="s">
        <v>98</v>
      </c>
      <c r="F43" t="s">
        <v>29</v>
      </c>
      <c r="G43" t="s">
        <v>30</v>
      </c>
      <c r="H43">
        <v>32</v>
      </c>
      <c r="I43">
        <v>94.8</v>
      </c>
      <c r="J43">
        <v>6.4</v>
      </c>
      <c r="P43">
        <v>17.7</v>
      </c>
      <c r="Q43">
        <v>2.4</v>
      </c>
      <c r="R43">
        <v>32</v>
      </c>
      <c r="S43">
        <v>0</v>
      </c>
      <c r="T43">
        <v>13</v>
      </c>
      <c r="U43">
        <v>19</v>
      </c>
      <c r="V43">
        <v>24</v>
      </c>
      <c r="W43">
        <v>2</v>
      </c>
      <c r="X43" t="s">
        <v>37</v>
      </c>
      <c r="Y43">
        <v>1.131</v>
      </c>
      <c r="Z43">
        <v>92.582999999999998</v>
      </c>
      <c r="AA43">
        <v>97.016999999999996</v>
      </c>
      <c r="AB43" t="str">
        <f t="shared" si="0"/>
        <v>2.93 [92.58, 97.02]</v>
      </c>
    </row>
    <row r="44" spans="1:28" x14ac:dyDescent="0.35">
      <c r="A44">
        <v>114</v>
      </c>
      <c r="B44">
        <v>87</v>
      </c>
      <c r="C44" t="s">
        <v>99</v>
      </c>
      <c r="D44" t="s">
        <v>27</v>
      </c>
      <c r="E44" t="s">
        <v>100</v>
      </c>
      <c r="F44" t="s">
        <v>29</v>
      </c>
      <c r="G44" t="s">
        <v>30</v>
      </c>
      <c r="H44">
        <v>296</v>
      </c>
      <c r="I44">
        <v>89.4</v>
      </c>
      <c r="J44">
        <v>10.9</v>
      </c>
      <c r="P44">
        <v>24.8</v>
      </c>
      <c r="Q44">
        <v>4.4000000000000004</v>
      </c>
      <c r="R44">
        <v>283</v>
      </c>
      <c r="S44">
        <v>-13</v>
      </c>
      <c r="T44">
        <v>214</v>
      </c>
      <c r="U44">
        <v>69</v>
      </c>
      <c r="V44">
        <v>61.5</v>
      </c>
      <c r="W44">
        <v>5.0999999999999996</v>
      </c>
      <c r="X44" t="s">
        <v>31</v>
      </c>
      <c r="Y44">
        <v>0.63400000000000001</v>
      </c>
      <c r="Z44">
        <v>88.156999999999996</v>
      </c>
      <c r="AA44">
        <v>90.643000000000001</v>
      </c>
      <c r="AB44" t="str">
        <f t="shared" si="0"/>
        <v>0.30 [88.16, 90.64]</v>
      </c>
    </row>
    <row r="45" spans="1:28" x14ac:dyDescent="0.35">
      <c r="A45">
        <v>115</v>
      </c>
      <c r="B45">
        <v>87</v>
      </c>
      <c r="C45" t="s">
        <v>99</v>
      </c>
      <c r="D45" t="s">
        <v>35</v>
      </c>
      <c r="E45" t="s">
        <v>101</v>
      </c>
      <c r="F45" t="s">
        <v>29</v>
      </c>
      <c r="G45" t="s">
        <v>30</v>
      </c>
      <c r="H45">
        <v>297</v>
      </c>
      <c r="I45">
        <v>91</v>
      </c>
      <c r="J45">
        <v>10.3</v>
      </c>
      <c r="P45">
        <v>25.2</v>
      </c>
      <c r="Q45">
        <v>4.5999999999999996</v>
      </c>
      <c r="R45">
        <v>273</v>
      </c>
      <c r="S45">
        <v>-24</v>
      </c>
      <c r="T45">
        <v>233</v>
      </c>
      <c r="U45">
        <v>40</v>
      </c>
      <c r="V45">
        <v>63.9</v>
      </c>
      <c r="W45">
        <v>5.3</v>
      </c>
      <c r="X45" t="s">
        <v>31</v>
      </c>
      <c r="Y45">
        <v>0.59799999999999998</v>
      </c>
      <c r="Z45">
        <v>89.828000000000003</v>
      </c>
      <c r="AA45">
        <v>92.171999999999997</v>
      </c>
      <c r="AB45" t="str">
        <f t="shared" si="0"/>
        <v>0.31 [89.83, 92.17]</v>
      </c>
    </row>
    <row r="46" spans="1:28" x14ac:dyDescent="0.35">
      <c r="A46">
        <v>116</v>
      </c>
      <c r="B46">
        <v>89</v>
      </c>
      <c r="C46" t="s">
        <v>102</v>
      </c>
      <c r="D46" t="s">
        <v>35</v>
      </c>
      <c r="E46" t="s">
        <v>103</v>
      </c>
      <c r="F46" t="s">
        <v>29</v>
      </c>
      <c r="G46" t="s">
        <v>30</v>
      </c>
      <c r="H46">
        <v>16</v>
      </c>
      <c r="I46">
        <v>90.13</v>
      </c>
      <c r="J46">
        <v>6.99</v>
      </c>
      <c r="M46">
        <v>92.5</v>
      </c>
      <c r="P46">
        <v>28.31</v>
      </c>
      <c r="Q46">
        <v>8.5500000000000007</v>
      </c>
      <c r="R46">
        <v>16</v>
      </c>
      <c r="S46">
        <v>0</v>
      </c>
      <c r="T46">
        <v>13</v>
      </c>
      <c r="U46">
        <v>3</v>
      </c>
      <c r="V46">
        <v>24</v>
      </c>
      <c r="W46">
        <v>2</v>
      </c>
      <c r="X46" t="s">
        <v>37</v>
      </c>
      <c r="Y46">
        <v>1.748</v>
      </c>
      <c r="Z46">
        <v>86.703999999999994</v>
      </c>
      <c r="AA46">
        <v>93.555999999999997</v>
      </c>
      <c r="AB46" t="str">
        <f t="shared" si="0"/>
        <v>5.49 [86.70, 93.56]</v>
      </c>
    </row>
    <row r="47" spans="1:28" x14ac:dyDescent="0.35">
      <c r="A47">
        <v>117</v>
      </c>
      <c r="B47">
        <v>89</v>
      </c>
      <c r="C47" t="s">
        <v>102</v>
      </c>
      <c r="D47" t="s">
        <v>32</v>
      </c>
      <c r="E47" t="s">
        <v>104</v>
      </c>
      <c r="F47" t="s">
        <v>29</v>
      </c>
      <c r="G47" t="s">
        <v>30</v>
      </c>
      <c r="H47">
        <v>17</v>
      </c>
      <c r="I47">
        <v>87.12</v>
      </c>
      <c r="J47">
        <v>6.61</v>
      </c>
      <c r="M47">
        <v>90</v>
      </c>
      <c r="P47">
        <v>28.06</v>
      </c>
      <c r="Q47">
        <v>6.24</v>
      </c>
      <c r="R47">
        <v>17</v>
      </c>
      <c r="S47">
        <v>0</v>
      </c>
      <c r="T47">
        <v>17</v>
      </c>
      <c r="U47">
        <v>0</v>
      </c>
      <c r="V47">
        <v>24</v>
      </c>
      <c r="W47">
        <v>2</v>
      </c>
      <c r="X47" t="s">
        <v>37</v>
      </c>
      <c r="Y47">
        <v>1.603</v>
      </c>
      <c r="Z47">
        <v>83.977999999999994</v>
      </c>
      <c r="AA47">
        <v>90.262</v>
      </c>
      <c r="AB47" t="str">
        <f t="shared" si="0"/>
        <v>5.01 [83.98, 90.26]</v>
      </c>
    </row>
    <row r="48" spans="1:28" x14ac:dyDescent="0.35">
      <c r="A48">
        <v>118</v>
      </c>
      <c r="B48">
        <v>93</v>
      </c>
      <c r="C48" t="s">
        <v>105</v>
      </c>
      <c r="D48" t="s">
        <v>35</v>
      </c>
      <c r="E48" t="s">
        <v>106</v>
      </c>
      <c r="F48" t="s">
        <v>29</v>
      </c>
      <c r="G48" t="s">
        <v>30</v>
      </c>
      <c r="H48">
        <v>14</v>
      </c>
      <c r="I48">
        <v>90</v>
      </c>
      <c r="J48">
        <v>1.76</v>
      </c>
      <c r="L48">
        <v>87</v>
      </c>
      <c r="M48">
        <v>90</v>
      </c>
      <c r="N48">
        <v>93</v>
      </c>
      <c r="P48">
        <v>24.46</v>
      </c>
      <c r="Q48">
        <v>8.24</v>
      </c>
      <c r="R48">
        <v>15</v>
      </c>
      <c r="S48">
        <v>1</v>
      </c>
      <c r="T48">
        <v>12</v>
      </c>
      <c r="U48">
        <v>3</v>
      </c>
      <c r="V48">
        <v>12</v>
      </c>
      <c r="W48">
        <v>1</v>
      </c>
      <c r="X48" t="s">
        <v>61</v>
      </c>
      <c r="Y48">
        <v>0.47</v>
      </c>
      <c r="Z48">
        <v>89.078999999999994</v>
      </c>
      <c r="AA48">
        <v>90.921000000000006</v>
      </c>
      <c r="AB48" t="str">
        <f t="shared" si="0"/>
        <v>6.24 [89.08, 90.92]</v>
      </c>
    </row>
    <row r="49" spans="1:28" x14ac:dyDescent="0.35">
      <c r="A49">
        <v>119</v>
      </c>
      <c r="B49">
        <v>93</v>
      </c>
      <c r="C49" t="s">
        <v>105</v>
      </c>
      <c r="D49" t="s">
        <v>32</v>
      </c>
      <c r="E49" t="s">
        <v>107</v>
      </c>
      <c r="F49" t="s">
        <v>29</v>
      </c>
      <c r="G49" t="s">
        <v>30</v>
      </c>
      <c r="H49">
        <v>14</v>
      </c>
      <c r="I49">
        <v>88.17</v>
      </c>
      <c r="J49">
        <v>2.4900000000000002</v>
      </c>
      <c r="L49">
        <v>83</v>
      </c>
      <c r="M49">
        <v>90</v>
      </c>
      <c r="N49">
        <v>91.5</v>
      </c>
      <c r="P49">
        <v>24.46</v>
      </c>
      <c r="Q49">
        <v>9.06</v>
      </c>
      <c r="R49">
        <v>14</v>
      </c>
      <c r="S49">
        <v>0</v>
      </c>
      <c r="T49">
        <v>11</v>
      </c>
      <c r="U49">
        <v>3</v>
      </c>
      <c r="V49">
        <v>12</v>
      </c>
      <c r="W49">
        <v>1</v>
      </c>
      <c r="X49" t="s">
        <v>61</v>
      </c>
      <c r="Y49">
        <v>0.66500000000000004</v>
      </c>
      <c r="Z49">
        <v>86.867000000000004</v>
      </c>
      <c r="AA49">
        <v>89.472999999999999</v>
      </c>
      <c r="AB49" t="str">
        <f t="shared" si="0"/>
        <v>6.12 [86.87, 89.47]</v>
      </c>
    </row>
    <row r="50" spans="1:28" x14ac:dyDescent="0.35">
      <c r="A50">
        <v>120</v>
      </c>
      <c r="B50">
        <v>96</v>
      </c>
      <c r="C50" t="s">
        <v>108</v>
      </c>
      <c r="D50" t="s">
        <v>27</v>
      </c>
      <c r="E50" t="s">
        <v>109</v>
      </c>
      <c r="F50" t="s">
        <v>29</v>
      </c>
      <c r="G50" t="s">
        <v>30</v>
      </c>
      <c r="H50">
        <v>29</v>
      </c>
      <c r="I50">
        <v>86.72</v>
      </c>
      <c r="J50">
        <v>2.27</v>
      </c>
      <c r="P50">
        <v>29.87</v>
      </c>
      <c r="Q50">
        <v>7.3</v>
      </c>
      <c r="R50">
        <v>31</v>
      </c>
      <c r="S50">
        <v>2</v>
      </c>
      <c r="T50">
        <v>19</v>
      </c>
      <c r="U50">
        <v>12</v>
      </c>
      <c r="V50">
        <v>108</v>
      </c>
      <c r="W50">
        <v>9</v>
      </c>
      <c r="X50" t="s">
        <v>31</v>
      </c>
      <c r="Y50">
        <v>0.42199999999999999</v>
      </c>
      <c r="Z50">
        <v>85.893000000000001</v>
      </c>
      <c r="AA50">
        <v>87.546999999999997</v>
      </c>
      <c r="AB50" t="str">
        <f t="shared" si="0"/>
        <v>2.96 [85.89, 87.55]</v>
      </c>
    </row>
    <row r="51" spans="1:28" x14ac:dyDescent="0.35">
      <c r="A51">
        <v>121</v>
      </c>
      <c r="B51">
        <v>96</v>
      </c>
      <c r="C51" t="s">
        <v>108</v>
      </c>
      <c r="D51" t="s">
        <v>35</v>
      </c>
      <c r="E51" t="s">
        <v>110</v>
      </c>
      <c r="F51" t="s">
        <v>29</v>
      </c>
      <c r="G51" t="s">
        <v>30</v>
      </c>
      <c r="H51">
        <v>25</v>
      </c>
      <c r="I51">
        <v>92.95</v>
      </c>
      <c r="J51">
        <v>1.99</v>
      </c>
      <c r="P51">
        <v>34.229999999999997</v>
      </c>
      <c r="Q51">
        <v>9.25</v>
      </c>
      <c r="R51">
        <v>31</v>
      </c>
      <c r="S51">
        <v>6</v>
      </c>
      <c r="T51">
        <v>18</v>
      </c>
      <c r="U51">
        <v>13</v>
      </c>
      <c r="V51">
        <v>108</v>
      </c>
      <c r="W51">
        <v>9</v>
      </c>
      <c r="X51" t="s">
        <v>31</v>
      </c>
      <c r="Y51">
        <v>0.39800000000000002</v>
      </c>
      <c r="Z51">
        <v>92.17</v>
      </c>
      <c r="AA51">
        <v>93.73</v>
      </c>
      <c r="AB51" t="str">
        <f t="shared" si="0"/>
        <v>3.66 [92.17, 93.73]</v>
      </c>
    </row>
    <row r="52" spans="1:28" x14ac:dyDescent="0.35">
      <c r="A52">
        <v>122</v>
      </c>
      <c r="B52">
        <v>100</v>
      </c>
      <c r="C52" t="s">
        <v>111</v>
      </c>
      <c r="D52" t="s">
        <v>27</v>
      </c>
      <c r="E52" t="s">
        <v>112</v>
      </c>
      <c r="F52" t="s">
        <v>29</v>
      </c>
      <c r="G52" t="s">
        <v>30</v>
      </c>
      <c r="H52">
        <v>40</v>
      </c>
      <c r="I52">
        <v>82</v>
      </c>
      <c r="J52">
        <v>20</v>
      </c>
      <c r="P52">
        <v>26</v>
      </c>
      <c r="Q52">
        <v>9.5</v>
      </c>
      <c r="R52">
        <v>39</v>
      </c>
      <c r="S52">
        <v>-1</v>
      </c>
      <c r="T52">
        <v>20</v>
      </c>
      <c r="U52">
        <v>19</v>
      </c>
      <c r="V52">
        <v>103.2</v>
      </c>
      <c r="W52">
        <v>8.6</v>
      </c>
      <c r="X52" t="s">
        <v>31</v>
      </c>
      <c r="Y52">
        <v>3.1619999999999999</v>
      </c>
      <c r="Z52">
        <v>75.802000000000007</v>
      </c>
      <c r="AA52">
        <v>88.197999999999993</v>
      </c>
      <c r="AB52" t="str">
        <f t="shared" si="0"/>
        <v>2.04 [75.80, 88.20]</v>
      </c>
    </row>
    <row r="53" spans="1:28" x14ac:dyDescent="0.35">
      <c r="A53">
        <v>123</v>
      </c>
      <c r="B53">
        <v>100</v>
      </c>
      <c r="C53" t="s">
        <v>111</v>
      </c>
      <c r="D53" t="s">
        <v>35</v>
      </c>
      <c r="E53" t="s">
        <v>113</v>
      </c>
      <c r="F53" t="s">
        <v>29</v>
      </c>
      <c r="G53" t="s">
        <v>30</v>
      </c>
      <c r="H53">
        <v>39</v>
      </c>
      <c r="I53">
        <v>88</v>
      </c>
      <c r="J53">
        <v>9</v>
      </c>
      <c r="P53">
        <v>27</v>
      </c>
      <c r="Q53">
        <v>9</v>
      </c>
      <c r="R53">
        <v>40</v>
      </c>
      <c r="S53">
        <v>1</v>
      </c>
      <c r="T53">
        <v>22</v>
      </c>
      <c r="U53">
        <v>18</v>
      </c>
      <c r="V53">
        <v>103.2</v>
      </c>
      <c r="W53">
        <v>8.6</v>
      </c>
      <c r="X53" t="s">
        <v>31</v>
      </c>
      <c r="Y53">
        <v>1.4410000000000001</v>
      </c>
      <c r="Z53">
        <v>85.176000000000002</v>
      </c>
      <c r="AA53">
        <v>90.823999999999998</v>
      </c>
      <c r="AB53" t="str">
        <f t="shared" si="0"/>
        <v>2.24 [85.18, 90.82]</v>
      </c>
    </row>
    <row r="54" spans="1:28" x14ac:dyDescent="0.35">
      <c r="A54">
        <v>290</v>
      </c>
      <c r="B54">
        <v>3</v>
      </c>
      <c r="C54" t="s">
        <v>114</v>
      </c>
      <c r="D54" t="s">
        <v>27</v>
      </c>
      <c r="E54" t="s">
        <v>115</v>
      </c>
      <c r="F54" t="s">
        <v>116</v>
      </c>
      <c r="G54" t="s">
        <v>30</v>
      </c>
      <c r="H54">
        <v>25</v>
      </c>
      <c r="I54">
        <v>80.7</v>
      </c>
      <c r="J54">
        <v>21.64</v>
      </c>
      <c r="K54">
        <v>15</v>
      </c>
      <c r="M54">
        <v>89</v>
      </c>
      <c r="O54">
        <v>100</v>
      </c>
      <c r="P54">
        <v>27.41</v>
      </c>
      <c r="Q54">
        <v>8.9</v>
      </c>
      <c r="R54">
        <v>22</v>
      </c>
      <c r="S54">
        <v>-3</v>
      </c>
      <c r="T54">
        <v>14</v>
      </c>
      <c r="U54">
        <v>8</v>
      </c>
      <c r="V54">
        <v>90.27</v>
      </c>
      <c r="W54">
        <v>7.5</v>
      </c>
      <c r="X54" t="s">
        <v>31</v>
      </c>
      <c r="Y54">
        <v>4.3280000000000003</v>
      </c>
      <c r="Z54">
        <v>72.216999999999999</v>
      </c>
      <c r="AA54">
        <v>89.183000000000007</v>
      </c>
      <c r="AB54" t="str">
        <f t="shared" si="0"/>
        <v>3.18 [72.22, 89.18]</v>
      </c>
    </row>
    <row r="55" spans="1:28" x14ac:dyDescent="0.35">
      <c r="A55">
        <v>291</v>
      </c>
      <c r="B55">
        <v>3</v>
      </c>
      <c r="C55" t="s">
        <v>114</v>
      </c>
      <c r="D55" t="s">
        <v>35</v>
      </c>
      <c r="E55" t="s">
        <v>117</v>
      </c>
      <c r="F55" t="s">
        <v>116</v>
      </c>
      <c r="G55" t="s">
        <v>30</v>
      </c>
      <c r="H55">
        <v>22</v>
      </c>
      <c r="I55">
        <v>79.16</v>
      </c>
      <c r="J55">
        <v>13.35</v>
      </c>
      <c r="K55">
        <v>49</v>
      </c>
      <c r="M55">
        <v>81</v>
      </c>
      <c r="O55">
        <v>100</v>
      </c>
      <c r="P55">
        <v>28.6</v>
      </c>
      <c r="Q55">
        <v>6.36</v>
      </c>
      <c r="R55">
        <v>25</v>
      </c>
      <c r="S55">
        <v>3</v>
      </c>
      <c r="T55">
        <v>18</v>
      </c>
      <c r="U55">
        <v>7</v>
      </c>
      <c r="V55">
        <v>86.79</v>
      </c>
      <c r="W55">
        <v>7.2</v>
      </c>
      <c r="X55" t="s">
        <v>31</v>
      </c>
      <c r="Y55">
        <v>2.8460000000000001</v>
      </c>
      <c r="Z55">
        <v>73.581999999999994</v>
      </c>
      <c r="AA55">
        <v>84.738</v>
      </c>
      <c r="AB55" t="str">
        <f t="shared" si="0"/>
        <v>3.54 [73.58, 84.74]</v>
      </c>
    </row>
    <row r="56" spans="1:28" x14ac:dyDescent="0.35">
      <c r="A56">
        <v>292</v>
      </c>
      <c r="B56">
        <v>9</v>
      </c>
      <c r="C56" t="s">
        <v>118</v>
      </c>
      <c r="D56" t="s">
        <v>27</v>
      </c>
      <c r="E56" t="s">
        <v>119</v>
      </c>
      <c r="F56" t="s">
        <v>116</v>
      </c>
      <c r="G56" t="s">
        <v>30</v>
      </c>
      <c r="H56">
        <v>78</v>
      </c>
      <c r="I56">
        <v>85.82</v>
      </c>
      <c r="J56">
        <v>11.83</v>
      </c>
      <c r="K56">
        <v>43</v>
      </c>
      <c r="M56">
        <v>88</v>
      </c>
      <c r="O56">
        <v>100</v>
      </c>
      <c r="P56">
        <v>33</v>
      </c>
      <c r="Q56">
        <v>6.3</v>
      </c>
      <c r="R56">
        <v>78</v>
      </c>
      <c r="S56">
        <v>0</v>
      </c>
      <c r="T56">
        <v>38</v>
      </c>
      <c r="U56">
        <v>40</v>
      </c>
      <c r="V56">
        <v>96</v>
      </c>
      <c r="W56">
        <v>8</v>
      </c>
      <c r="X56" t="s">
        <v>31</v>
      </c>
      <c r="Y56">
        <v>1.339</v>
      </c>
      <c r="Z56">
        <v>83.195999999999998</v>
      </c>
      <c r="AA56">
        <v>88.444000000000003</v>
      </c>
      <c r="AB56" t="str">
        <f t="shared" si="0"/>
        <v>1.10 [83.20, 88.44]</v>
      </c>
    </row>
    <row r="57" spans="1:28" x14ac:dyDescent="0.35">
      <c r="A57">
        <v>293</v>
      </c>
      <c r="B57">
        <v>9</v>
      </c>
      <c r="C57" t="s">
        <v>118</v>
      </c>
      <c r="D57" t="s">
        <v>35</v>
      </c>
      <c r="E57" t="s">
        <v>120</v>
      </c>
      <c r="F57" t="s">
        <v>116</v>
      </c>
      <c r="G57" t="s">
        <v>30</v>
      </c>
      <c r="H57">
        <v>75</v>
      </c>
      <c r="I57">
        <v>86.42</v>
      </c>
      <c r="J57">
        <v>12.53</v>
      </c>
      <c r="K57">
        <v>40</v>
      </c>
      <c r="M57">
        <v>89</v>
      </c>
      <c r="O57">
        <v>100</v>
      </c>
      <c r="P57">
        <v>35</v>
      </c>
      <c r="Q57">
        <v>7.5</v>
      </c>
      <c r="R57">
        <v>75</v>
      </c>
      <c r="S57">
        <v>0</v>
      </c>
      <c r="T57">
        <v>51</v>
      </c>
      <c r="U57">
        <v>24</v>
      </c>
      <c r="V57">
        <v>96</v>
      </c>
      <c r="W57">
        <v>8</v>
      </c>
      <c r="X57" t="s">
        <v>31</v>
      </c>
      <c r="Y57">
        <v>1.4470000000000001</v>
      </c>
      <c r="Z57">
        <v>83.584000000000003</v>
      </c>
      <c r="AA57">
        <v>89.256</v>
      </c>
      <c r="AB57" t="str">
        <f t="shared" si="0"/>
        <v>1.15 [83.58, 89.26]</v>
      </c>
    </row>
    <row r="58" spans="1:28" x14ac:dyDescent="0.35">
      <c r="A58">
        <v>294</v>
      </c>
      <c r="B58">
        <v>10</v>
      </c>
      <c r="C58" t="s">
        <v>26</v>
      </c>
      <c r="D58" t="s">
        <v>27</v>
      </c>
      <c r="E58" t="s">
        <v>28</v>
      </c>
      <c r="F58" t="s">
        <v>116</v>
      </c>
      <c r="G58" t="s">
        <v>30</v>
      </c>
      <c r="H58">
        <v>43</v>
      </c>
      <c r="I58">
        <v>95.2</v>
      </c>
      <c r="J58">
        <v>6.6</v>
      </c>
      <c r="P58">
        <v>30.6</v>
      </c>
      <c r="Q58">
        <v>7.5</v>
      </c>
      <c r="R58">
        <v>30</v>
      </c>
      <c r="S58">
        <v>-13</v>
      </c>
      <c r="T58">
        <v>17</v>
      </c>
      <c r="U58">
        <v>13</v>
      </c>
      <c r="V58">
        <v>122.4</v>
      </c>
      <c r="W58">
        <v>10.199999999999999</v>
      </c>
      <c r="X58" t="s">
        <v>31</v>
      </c>
      <c r="Y58">
        <v>1.006</v>
      </c>
      <c r="Z58">
        <v>93.227999999999994</v>
      </c>
      <c r="AA58">
        <v>97.171999999999997</v>
      </c>
      <c r="AB58" t="str">
        <f t="shared" si="0"/>
        <v>2.20 [93.23, 97.17]</v>
      </c>
    </row>
    <row r="59" spans="1:28" x14ac:dyDescent="0.35">
      <c r="A59">
        <v>295</v>
      </c>
      <c r="B59">
        <v>10</v>
      </c>
      <c r="C59" t="s">
        <v>26</v>
      </c>
      <c r="D59" t="s">
        <v>32</v>
      </c>
      <c r="E59" t="s">
        <v>33</v>
      </c>
      <c r="F59" t="s">
        <v>116</v>
      </c>
      <c r="G59" t="s">
        <v>30</v>
      </c>
      <c r="H59">
        <v>43</v>
      </c>
      <c r="I59">
        <v>95.6</v>
      </c>
      <c r="J59">
        <v>7.8</v>
      </c>
      <c r="P59">
        <v>30.5</v>
      </c>
      <c r="Q59">
        <v>7.8</v>
      </c>
      <c r="R59">
        <v>30</v>
      </c>
      <c r="S59">
        <v>-13</v>
      </c>
      <c r="T59">
        <v>17</v>
      </c>
      <c r="U59">
        <v>13</v>
      </c>
      <c r="V59">
        <v>123.6</v>
      </c>
      <c r="W59">
        <v>10.3</v>
      </c>
      <c r="X59" t="s">
        <v>31</v>
      </c>
      <c r="Y59">
        <v>1.1890000000000001</v>
      </c>
      <c r="Z59">
        <v>93.27</v>
      </c>
      <c r="AA59">
        <v>97.93</v>
      </c>
      <c r="AB59" t="str">
        <f t="shared" si="0"/>
        <v>2.21 [93.27, 97.93]</v>
      </c>
    </row>
    <row r="60" spans="1:28" x14ac:dyDescent="0.35">
      <c r="A60">
        <v>296</v>
      </c>
      <c r="B60">
        <v>13</v>
      </c>
      <c r="C60" t="s">
        <v>40</v>
      </c>
      <c r="D60" t="s">
        <v>27</v>
      </c>
      <c r="E60" t="s">
        <v>41</v>
      </c>
      <c r="F60" t="s">
        <v>116</v>
      </c>
      <c r="G60" t="s">
        <v>30</v>
      </c>
      <c r="H60">
        <v>61</v>
      </c>
      <c r="I60">
        <v>79.400000000000006</v>
      </c>
      <c r="J60">
        <v>16.899999999999999</v>
      </c>
      <c r="P60">
        <v>28.2</v>
      </c>
      <c r="Q60">
        <v>9.1</v>
      </c>
      <c r="R60">
        <v>61</v>
      </c>
      <c r="S60">
        <v>0</v>
      </c>
      <c r="T60">
        <v>42</v>
      </c>
      <c r="U60">
        <v>19</v>
      </c>
      <c r="V60">
        <v>202.6</v>
      </c>
      <c r="W60">
        <v>16.899999999999999</v>
      </c>
      <c r="X60" t="s">
        <v>31</v>
      </c>
      <c r="Y60">
        <v>2.1640000000000001</v>
      </c>
      <c r="Z60">
        <v>75.159000000000006</v>
      </c>
      <c r="AA60">
        <v>83.641000000000005</v>
      </c>
      <c r="AB60" t="str">
        <f t="shared" si="0"/>
        <v>1.30 [75.16, 83.64]</v>
      </c>
    </row>
    <row r="61" spans="1:28" x14ac:dyDescent="0.35">
      <c r="A61">
        <v>297</v>
      </c>
      <c r="B61">
        <v>13</v>
      </c>
      <c r="C61" t="s">
        <v>40</v>
      </c>
      <c r="D61" t="s">
        <v>35</v>
      </c>
      <c r="E61" t="s">
        <v>42</v>
      </c>
      <c r="F61" t="s">
        <v>116</v>
      </c>
      <c r="G61" t="s">
        <v>30</v>
      </c>
      <c r="H61">
        <v>86</v>
      </c>
      <c r="I61">
        <v>80.7</v>
      </c>
      <c r="J61">
        <v>15.3</v>
      </c>
      <c r="P61">
        <v>26.8</v>
      </c>
      <c r="Q61">
        <v>7.6</v>
      </c>
      <c r="R61">
        <v>86</v>
      </c>
      <c r="S61">
        <v>0</v>
      </c>
      <c r="T61">
        <v>53</v>
      </c>
      <c r="U61">
        <v>33</v>
      </c>
      <c r="V61">
        <v>191.9</v>
      </c>
      <c r="W61">
        <v>16</v>
      </c>
      <c r="X61" t="s">
        <v>31</v>
      </c>
      <c r="Y61">
        <v>1.65</v>
      </c>
      <c r="Z61">
        <v>77.465999999999994</v>
      </c>
      <c r="AA61">
        <v>83.933999999999997</v>
      </c>
      <c r="AB61" t="str">
        <f t="shared" si="0"/>
        <v>0.94 [77.47, 83.93]</v>
      </c>
    </row>
    <row r="62" spans="1:28" x14ac:dyDescent="0.35">
      <c r="A62">
        <v>298</v>
      </c>
      <c r="B62">
        <v>18</v>
      </c>
      <c r="C62" t="s">
        <v>47</v>
      </c>
      <c r="D62" t="s">
        <v>35</v>
      </c>
      <c r="E62" t="s">
        <v>48</v>
      </c>
      <c r="F62" t="s">
        <v>116</v>
      </c>
      <c r="G62" t="s">
        <v>30</v>
      </c>
      <c r="H62">
        <v>30</v>
      </c>
      <c r="I62">
        <v>95.1</v>
      </c>
      <c r="J62">
        <v>5.2</v>
      </c>
      <c r="P62">
        <v>29.17</v>
      </c>
      <c r="Q62">
        <v>5.03</v>
      </c>
      <c r="R62">
        <v>30</v>
      </c>
      <c r="S62">
        <v>0</v>
      </c>
      <c r="T62">
        <v>29</v>
      </c>
      <c r="U62">
        <v>1</v>
      </c>
      <c r="V62">
        <v>60</v>
      </c>
      <c r="W62">
        <v>5</v>
      </c>
      <c r="X62" t="s">
        <v>31</v>
      </c>
      <c r="Y62">
        <v>0.94899999999999995</v>
      </c>
      <c r="Z62">
        <v>93.24</v>
      </c>
      <c r="AA62">
        <v>96.96</v>
      </c>
      <c r="AB62" t="str">
        <f t="shared" si="0"/>
        <v>3.13 [93.24, 96.96]</v>
      </c>
    </row>
    <row r="63" spans="1:28" x14ac:dyDescent="0.35">
      <c r="A63">
        <v>299</v>
      </c>
      <c r="B63">
        <v>18</v>
      </c>
      <c r="C63" t="s">
        <v>47</v>
      </c>
      <c r="D63" t="s">
        <v>38</v>
      </c>
      <c r="E63" t="s">
        <v>49</v>
      </c>
      <c r="F63" t="s">
        <v>116</v>
      </c>
      <c r="G63" t="s">
        <v>30</v>
      </c>
      <c r="H63">
        <v>30</v>
      </c>
      <c r="I63">
        <v>94.5</v>
      </c>
      <c r="J63">
        <v>6.4</v>
      </c>
      <c r="P63">
        <v>27.73</v>
      </c>
      <c r="Q63">
        <v>4.1399999999999997</v>
      </c>
      <c r="R63">
        <v>30</v>
      </c>
      <c r="S63">
        <v>0</v>
      </c>
      <c r="T63">
        <v>30</v>
      </c>
      <c r="U63">
        <v>0</v>
      </c>
      <c r="V63">
        <v>60</v>
      </c>
      <c r="W63">
        <v>5</v>
      </c>
      <c r="X63" t="s">
        <v>31</v>
      </c>
      <c r="Y63">
        <v>1.1679999999999999</v>
      </c>
      <c r="Z63">
        <v>92.210999999999999</v>
      </c>
      <c r="AA63">
        <v>96.789000000000001</v>
      </c>
      <c r="AB63" t="str">
        <f t="shared" si="0"/>
        <v>3.11 [92.21, 96.79]</v>
      </c>
    </row>
    <row r="64" spans="1:28" x14ac:dyDescent="0.35">
      <c r="A64">
        <v>300</v>
      </c>
      <c r="B64">
        <v>19</v>
      </c>
      <c r="C64" t="s">
        <v>50</v>
      </c>
      <c r="D64" t="s">
        <v>35</v>
      </c>
      <c r="E64" t="s">
        <v>51</v>
      </c>
      <c r="F64" t="s">
        <v>116</v>
      </c>
      <c r="G64" t="s">
        <v>30</v>
      </c>
      <c r="H64">
        <v>92</v>
      </c>
      <c r="I64">
        <v>94</v>
      </c>
      <c r="J64">
        <v>7</v>
      </c>
      <c r="P64">
        <v>29.4</v>
      </c>
      <c r="Q64">
        <v>7.7</v>
      </c>
      <c r="R64">
        <v>55</v>
      </c>
      <c r="S64">
        <v>-37</v>
      </c>
      <c r="T64">
        <v>28</v>
      </c>
      <c r="U64">
        <v>27</v>
      </c>
      <c r="V64">
        <v>24</v>
      </c>
      <c r="W64">
        <v>2</v>
      </c>
      <c r="X64" t="s">
        <v>37</v>
      </c>
      <c r="Y64">
        <v>0.73</v>
      </c>
      <c r="Z64">
        <v>92.569000000000003</v>
      </c>
      <c r="AA64">
        <v>95.430999999999997</v>
      </c>
      <c r="AB64" t="str">
        <f t="shared" si="0"/>
        <v>1.02 [92.57, 95.43]</v>
      </c>
    </row>
    <row r="65" spans="1:28" x14ac:dyDescent="0.35">
      <c r="A65">
        <v>301</v>
      </c>
      <c r="B65">
        <v>19</v>
      </c>
      <c r="C65" t="s">
        <v>50</v>
      </c>
      <c r="D65" t="s">
        <v>32</v>
      </c>
      <c r="E65" t="s">
        <v>52</v>
      </c>
      <c r="F65" t="s">
        <v>116</v>
      </c>
      <c r="G65" t="s">
        <v>30</v>
      </c>
      <c r="H65">
        <v>89</v>
      </c>
      <c r="I65">
        <v>93</v>
      </c>
      <c r="J65">
        <v>8</v>
      </c>
      <c r="P65">
        <v>28.1</v>
      </c>
      <c r="Q65">
        <v>8.1999999999999993</v>
      </c>
      <c r="R65">
        <v>57</v>
      </c>
      <c r="S65">
        <v>-32</v>
      </c>
      <c r="T65">
        <v>28</v>
      </c>
      <c r="U65">
        <v>29</v>
      </c>
      <c r="V65">
        <v>24</v>
      </c>
      <c r="W65">
        <v>2</v>
      </c>
      <c r="X65" t="s">
        <v>37</v>
      </c>
      <c r="Y65">
        <v>0.84799999999999998</v>
      </c>
      <c r="Z65">
        <v>91.337999999999994</v>
      </c>
      <c r="AA65">
        <v>94.662000000000006</v>
      </c>
      <c r="AB65" t="str">
        <f t="shared" si="0"/>
        <v>1.04 [91.34, 94.66]</v>
      </c>
    </row>
    <row r="66" spans="1:28" x14ac:dyDescent="0.35">
      <c r="A66">
        <v>302</v>
      </c>
      <c r="B66">
        <v>23</v>
      </c>
      <c r="C66" t="s">
        <v>121</v>
      </c>
      <c r="D66" t="s">
        <v>27</v>
      </c>
      <c r="E66" t="s">
        <v>122</v>
      </c>
      <c r="F66" t="s">
        <v>116</v>
      </c>
      <c r="G66" t="s">
        <v>30</v>
      </c>
      <c r="H66">
        <v>32</v>
      </c>
      <c r="I66">
        <v>89.96</v>
      </c>
      <c r="J66">
        <v>13.06</v>
      </c>
      <c r="K66">
        <v>46</v>
      </c>
      <c r="M66">
        <v>95</v>
      </c>
      <c r="O66">
        <v>100</v>
      </c>
      <c r="P66">
        <v>27.26</v>
      </c>
      <c r="Q66">
        <v>8.4700000000000006</v>
      </c>
      <c r="R66">
        <v>32</v>
      </c>
      <c r="S66">
        <v>0</v>
      </c>
      <c r="T66">
        <v>21</v>
      </c>
      <c r="U66">
        <v>11</v>
      </c>
      <c r="V66">
        <v>24</v>
      </c>
      <c r="W66">
        <v>2</v>
      </c>
      <c r="X66" t="s">
        <v>37</v>
      </c>
      <c r="Y66">
        <v>2.3090000000000002</v>
      </c>
      <c r="Z66">
        <v>85.433999999999997</v>
      </c>
      <c r="AA66">
        <v>94.486000000000004</v>
      </c>
      <c r="AB66" t="str">
        <f t="shared" si="0"/>
        <v>2.78 [85.43, 94.49]</v>
      </c>
    </row>
    <row r="67" spans="1:28" x14ac:dyDescent="0.35">
      <c r="A67">
        <v>303</v>
      </c>
      <c r="B67">
        <v>23</v>
      </c>
      <c r="C67" t="s">
        <v>121</v>
      </c>
      <c r="D67" t="s">
        <v>35</v>
      </c>
      <c r="E67" t="s">
        <v>123</v>
      </c>
      <c r="F67" t="s">
        <v>116</v>
      </c>
      <c r="G67" t="s">
        <v>30</v>
      </c>
      <c r="H67">
        <v>34</v>
      </c>
      <c r="I67">
        <v>86.79</v>
      </c>
      <c r="J67">
        <v>11.72</v>
      </c>
      <c r="K67">
        <v>51</v>
      </c>
      <c r="M67">
        <v>90</v>
      </c>
      <c r="O67">
        <v>100</v>
      </c>
      <c r="P67">
        <v>30.77</v>
      </c>
      <c r="Q67">
        <v>10.52</v>
      </c>
      <c r="R67">
        <v>34</v>
      </c>
      <c r="S67">
        <v>0</v>
      </c>
      <c r="T67">
        <v>25</v>
      </c>
      <c r="U67">
        <v>9</v>
      </c>
      <c r="V67">
        <v>24</v>
      </c>
      <c r="W67">
        <v>2</v>
      </c>
      <c r="X67" t="s">
        <v>37</v>
      </c>
      <c r="Y67">
        <v>2.0099999999999998</v>
      </c>
      <c r="Z67">
        <v>82.85</v>
      </c>
      <c r="AA67">
        <v>90.73</v>
      </c>
      <c r="AB67" t="str">
        <f t="shared" ref="AB67:AB130" si="1">TEXT((I67+0.5)/(H67+0.5), "#0.00")&amp;" ["&amp;TEXT(Z67, "#0.00")&amp;", "&amp;TEXT(AA67, "#0.00")&amp;"]"</f>
        <v>2.53 [82.85, 90.73]</v>
      </c>
    </row>
    <row r="68" spans="1:28" x14ac:dyDescent="0.35">
      <c r="A68">
        <v>308</v>
      </c>
      <c r="B68">
        <v>32</v>
      </c>
      <c r="C68" t="s">
        <v>53</v>
      </c>
      <c r="D68" t="s">
        <v>27</v>
      </c>
      <c r="E68" t="s">
        <v>54</v>
      </c>
      <c r="F68" t="s">
        <v>116</v>
      </c>
      <c r="G68" t="s">
        <v>30</v>
      </c>
      <c r="H68">
        <v>31</v>
      </c>
      <c r="I68">
        <v>89.87</v>
      </c>
      <c r="J68">
        <v>9.17</v>
      </c>
      <c r="P68">
        <v>25.2</v>
      </c>
      <c r="Q68">
        <v>5.48</v>
      </c>
      <c r="R68">
        <v>31</v>
      </c>
      <c r="S68">
        <v>0</v>
      </c>
      <c r="T68">
        <v>23</v>
      </c>
      <c r="U68">
        <v>8</v>
      </c>
      <c r="V68">
        <v>24</v>
      </c>
      <c r="W68">
        <v>2</v>
      </c>
      <c r="X68" t="s">
        <v>37</v>
      </c>
      <c r="Y68">
        <v>1.647</v>
      </c>
      <c r="Z68">
        <v>86.641999999999996</v>
      </c>
      <c r="AA68">
        <v>93.097999999999999</v>
      </c>
      <c r="AB68" t="str">
        <f t="shared" si="1"/>
        <v>2.87 [86.64, 93.10]</v>
      </c>
    </row>
    <row r="69" spans="1:28" x14ac:dyDescent="0.35">
      <c r="A69">
        <v>309</v>
      </c>
      <c r="B69">
        <v>32</v>
      </c>
      <c r="C69" t="s">
        <v>53</v>
      </c>
      <c r="D69" t="s">
        <v>35</v>
      </c>
      <c r="E69" t="s">
        <v>55</v>
      </c>
      <c r="F69" t="s">
        <v>116</v>
      </c>
      <c r="G69" t="s">
        <v>30</v>
      </c>
      <c r="H69">
        <v>31</v>
      </c>
      <c r="I69">
        <v>91.26</v>
      </c>
      <c r="J69">
        <v>9.36</v>
      </c>
      <c r="P69">
        <v>24.64</v>
      </c>
      <c r="Q69">
        <v>5.33</v>
      </c>
      <c r="R69">
        <v>31</v>
      </c>
      <c r="S69">
        <v>0</v>
      </c>
      <c r="T69">
        <v>19</v>
      </c>
      <c r="U69">
        <v>12</v>
      </c>
      <c r="V69">
        <v>24</v>
      </c>
      <c r="W69">
        <v>2</v>
      </c>
      <c r="X69" t="s">
        <v>37</v>
      </c>
      <c r="Y69">
        <v>1.681</v>
      </c>
      <c r="Z69">
        <v>87.965000000000003</v>
      </c>
      <c r="AA69">
        <v>94.555000000000007</v>
      </c>
      <c r="AB69" t="str">
        <f t="shared" si="1"/>
        <v>2.91 [87.97, 94.56]</v>
      </c>
    </row>
    <row r="70" spans="1:28" x14ac:dyDescent="0.35">
      <c r="A70">
        <v>310</v>
      </c>
      <c r="B70">
        <v>33</v>
      </c>
      <c r="C70" t="s">
        <v>124</v>
      </c>
      <c r="D70" t="s">
        <v>27</v>
      </c>
      <c r="E70" t="s">
        <v>125</v>
      </c>
      <c r="F70" t="s">
        <v>116</v>
      </c>
      <c r="G70" t="s">
        <v>30</v>
      </c>
      <c r="H70">
        <v>37</v>
      </c>
      <c r="I70">
        <v>89.11</v>
      </c>
      <c r="J70">
        <v>15.53</v>
      </c>
      <c r="K70">
        <v>34</v>
      </c>
      <c r="M70">
        <v>95</v>
      </c>
      <c r="O70">
        <v>100</v>
      </c>
      <c r="V70">
        <v>60.6</v>
      </c>
      <c r="W70">
        <v>5.0999999999999996</v>
      </c>
      <c r="X70" t="s">
        <v>31</v>
      </c>
      <c r="Y70">
        <v>2.5529999999999999</v>
      </c>
      <c r="Z70">
        <v>84.105999999999995</v>
      </c>
      <c r="AA70">
        <v>94.114000000000004</v>
      </c>
      <c r="AB70" t="str">
        <f t="shared" si="1"/>
        <v>2.39 [84.11, 94.11]</v>
      </c>
    </row>
    <row r="71" spans="1:28" x14ac:dyDescent="0.35">
      <c r="A71">
        <v>311</v>
      </c>
      <c r="B71">
        <v>33</v>
      </c>
      <c r="C71" t="s">
        <v>124</v>
      </c>
      <c r="D71" t="s">
        <v>35</v>
      </c>
      <c r="E71" t="s">
        <v>126</v>
      </c>
      <c r="F71" t="s">
        <v>116</v>
      </c>
      <c r="G71" t="s">
        <v>30</v>
      </c>
      <c r="H71">
        <v>37</v>
      </c>
      <c r="I71">
        <v>95</v>
      </c>
      <c r="J71">
        <v>15.53</v>
      </c>
      <c r="K71">
        <v>34</v>
      </c>
      <c r="M71">
        <v>95</v>
      </c>
      <c r="O71">
        <v>100</v>
      </c>
      <c r="V71">
        <v>60.6</v>
      </c>
      <c r="W71">
        <v>5.0999999999999996</v>
      </c>
      <c r="X71" t="s">
        <v>31</v>
      </c>
      <c r="Y71">
        <v>2.5529999999999999</v>
      </c>
      <c r="Z71">
        <v>89.995999999999995</v>
      </c>
      <c r="AA71">
        <v>100.004</v>
      </c>
      <c r="AB71" t="str">
        <f t="shared" si="1"/>
        <v>2.55 [90.00, 100.00]</v>
      </c>
    </row>
    <row r="72" spans="1:28" x14ac:dyDescent="0.35">
      <c r="A72">
        <v>312</v>
      </c>
      <c r="B72">
        <v>35</v>
      </c>
      <c r="C72" t="s">
        <v>127</v>
      </c>
      <c r="D72" t="s">
        <v>27</v>
      </c>
      <c r="E72" t="s">
        <v>128</v>
      </c>
      <c r="F72" t="s">
        <v>116</v>
      </c>
      <c r="G72" t="s">
        <v>30</v>
      </c>
      <c r="H72">
        <v>28</v>
      </c>
      <c r="I72">
        <v>84.2</v>
      </c>
      <c r="J72">
        <v>15.4</v>
      </c>
      <c r="P72">
        <v>33.9</v>
      </c>
      <c r="Q72">
        <v>6.2</v>
      </c>
      <c r="R72">
        <v>28</v>
      </c>
      <c r="S72">
        <v>0</v>
      </c>
      <c r="T72">
        <v>18</v>
      </c>
      <c r="U72">
        <v>10</v>
      </c>
      <c r="V72">
        <v>10.199999999999999</v>
      </c>
      <c r="W72">
        <v>0.9</v>
      </c>
      <c r="X72" t="s">
        <v>61</v>
      </c>
      <c r="Y72">
        <v>2.91</v>
      </c>
      <c r="Z72">
        <v>78.495999999999995</v>
      </c>
      <c r="AA72">
        <v>89.903999999999996</v>
      </c>
      <c r="AB72" t="str">
        <f t="shared" si="1"/>
        <v>2.97 [78.50, 89.90]</v>
      </c>
    </row>
    <row r="73" spans="1:28" x14ac:dyDescent="0.35">
      <c r="A73">
        <v>313</v>
      </c>
      <c r="B73">
        <v>35</v>
      </c>
      <c r="C73" t="s">
        <v>127</v>
      </c>
      <c r="D73" t="s">
        <v>35</v>
      </c>
      <c r="E73" t="s">
        <v>129</v>
      </c>
      <c r="F73" t="s">
        <v>116</v>
      </c>
      <c r="G73" t="s">
        <v>30</v>
      </c>
      <c r="H73">
        <v>29</v>
      </c>
      <c r="I73">
        <v>86.1</v>
      </c>
      <c r="J73">
        <v>15.1</v>
      </c>
      <c r="P73">
        <v>37.9</v>
      </c>
      <c r="Q73">
        <v>9.1</v>
      </c>
      <c r="R73">
        <v>29</v>
      </c>
      <c r="S73">
        <v>0</v>
      </c>
      <c r="T73">
        <v>15</v>
      </c>
      <c r="U73">
        <v>14</v>
      </c>
      <c r="V73">
        <v>10.7</v>
      </c>
      <c r="W73">
        <v>0.9</v>
      </c>
      <c r="X73" t="s">
        <v>61</v>
      </c>
      <c r="Y73">
        <v>2.8039999999999998</v>
      </c>
      <c r="Z73">
        <v>80.603999999999999</v>
      </c>
      <c r="AA73">
        <v>91.596000000000004</v>
      </c>
      <c r="AB73" t="str">
        <f t="shared" si="1"/>
        <v>2.94 [80.60, 91.60]</v>
      </c>
    </row>
    <row r="74" spans="1:28" x14ac:dyDescent="0.35">
      <c r="A74">
        <v>314</v>
      </c>
      <c r="B74">
        <v>36</v>
      </c>
      <c r="C74" t="s">
        <v>56</v>
      </c>
      <c r="D74" t="s">
        <v>35</v>
      </c>
      <c r="E74" t="s">
        <v>57</v>
      </c>
      <c r="F74" t="s">
        <v>116</v>
      </c>
      <c r="G74" t="s">
        <v>30</v>
      </c>
      <c r="H74">
        <v>26</v>
      </c>
      <c r="I74">
        <v>83.5</v>
      </c>
      <c r="J74">
        <v>17.399999999999999</v>
      </c>
      <c r="P74">
        <v>32.700000000000003</v>
      </c>
      <c r="Q74">
        <v>11.4</v>
      </c>
      <c r="R74">
        <v>27</v>
      </c>
      <c r="S74">
        <v>1</v>
      </c>
      <c r="T74">
        <v>12</v>
      </c>
      <c r="U74">
        <v>15</v>
      </c>
      <c r="V74">
        <v>24</v>
      </c>
      <c r="W74">
        <v>2</v>
      </c>
      <c r="X74" t="s">
        <v>37</v>
      </c>
      <c r="Y74">
        <v>3.4119999999999999</v>
      </c>
      <c r="Z74">
        <v>76.811999999999998</v>
      </c>
      <c r="AA74">
        <v>90.188000000000002</v>
      </c>
      <c r="AB74" t="str">
        <f t="shared" si="1"/>
        <v>3.17 [76.81, 90.19]</v>
      </c>
    </row>
    <row r="75" spans="1:28" x14ac:dyDescent="0.35">
      <c r="A75">
        <v>315</v>
      </c>
      <c r="B75">
        <v>36</v>
      </c>
      <c r="C75" t="s">
        <v>56</v>
      </c>
      <c r="D75" t="s">
        <v>32</v>
      </c>
      <c r="E75" t="s">
        <v>58</v>
      </c>
      <c r="F75" t="s">
        <v>116</v>
      </c>
      <c r="G75" t="s">
        <v>30</v>
      </c>
      <c r="H75">
        <v>23</v>
      </c>
      <c r="I75">
        <v>90.4</v>
      </c>
      <c r="J75">
        <v>11.9</v>
      </c>
      <c r="P75">
        <v>24.1</v>
      </c>
      <c r="Q75">
        <v>3.6</v>
      </c>
      <c r="R75">
        <v>24</v>
      </c>
      <c r="S75">
        <v>1</v>
      </c>
      <c r="T75">
        <v>21</v>
      </c>
      <c r="U75">
        <v>3</v>
      </c>
      <c r="V75">
        <v>24</v>
      </c>
      <c r="W75">
        <v>2</v>
      </c>
      <c r="X75" t="s">
        <v>37</v>
      </c>
      <c r="Y75">
        <v>2.4809999999999999</v>
      </c>
      <c r="Z75">
        <v>85.537000000000006</v>
      </c>
      <c r="AA75">
        <v>95.263000000000005</v>
      </c>
      <c r="AB75" t="str">
        <f t="shared" si="1"/>
        <v>3.87 [85.54, 95.26]</v>
      </c>
    </row>
    <row r="76" spans="1:28" x14ac:dyDescent="0.35">
      <c r="A76">
        <v>316</v>
      </c>
      <c r="B76">
        <v>37</v>
      </c>
      <c r="C76" t="s">
        <v>130</v>
      </c>
      <c r="D76" t="s">
        <v>27</v>
      </c>
      <c r="E76" t="s">
        <v>131</v>
      </c>
      <c r="F76" t="s">
        <v>116</v>
      </c>
      <c r="G76" t="s">
        <v>30</v>
      </c>
      <c r="H76">
        <v>40</v>
      </c>
      <c r="I76">
        <v>91.6</v>
      </c>
      <c r="J76">
        <v>3.94</v>
      </c>
      <c r="K76">
        <v>79</v>
      </c>
      <c r="O76">
        <v>96</v>
      </c>
      <c r="P76">
        <v>22.3</v>
      </c>
      <c r="Q76">
        <v>3.94</v>
      </c>
      <c r="R76">
        <v>40</v>
      </c>
      <c r="S76">
        <v>0</v>
      </c>
      <c r="T76">
        <v>40</v>
      </c>
      <c r="U76">
        <v>0</v>
      </c>
      <c r="V76">
        <v>81</v>
      </c>
      <c r="W76">
        <v>6.8</v>
      </c>
      <c r="X76" t="s">
        <v>31</v>
      </c>
      <c r="Y76">
        <v>0.623</v>
      </c>
      <c r="Z76">
        <v>90.379000000000005</v>
      </c>
      <c r="AA76">
        <v>92.820999999999998</v>
      </c>
      <c r="AB76" t="str">
        <f t="shared" si="1"/>
        <v>2.27 [90.38, 92.82]</v>
      </c>
    </row>
    <row r="77" spans="1:28" x14ac:dyDescent="0.35">
      <c r="A77">
        <v>317</v>
      </c>
      <c r="B77">
        <v>37</v>
      </c>
      <c r="C77" t="s">
        <v>130</v>
      </c>
      <c r="D77" t="s">
        <v>35</v>
      </c>
      <c r="E77" t="s">
        <v>132</v>
      </c>
      <c r="F77" t="s">
        <v>116</v>
      </c>
      <c r="G77" t="s">
        <v>30</v>
      </c>
      <c r="H77">
        <v>46</v>
      </c>
      <c r="I77">
        <v>92.7</v>
      </c>
      <c r="J77">
        <v>3.62</v>
      </c>
      <c r="K77">
        <v>81</v>
      </c>
      <c r="O77">
        <v>97</v>
      </c>
      <c r="P77">
        <v>22.3</v>
      </c>
      <c r="Q77">
        <v>3.84</v>
      </c>
      <c r="R77">
        <v>46</v>
      </c>
      <c r="S77">
        <v>0</v>
      </c>
      <c r="T77">
        <v>46</v>
      </c>
      <c r="U77">
        <v>0</v>
      </c>
      <c r="V77">
        <v>81</v>
      </c>
      <c r="W77">
        <v>6.8</v>
      </c>
      <c r="X77" t="s">
        <v>31</v>
      </c>
      <c r="Y77">
        <v>0.53400000000000003</v>
      </c>
      <c r="Z77">
        <v>91.653000000000006</v>
      </c>
      <c r="AA77">
        <v>93.747</v>
      </c>
      <c r="AB77" t="str">
        <f t="shared" si="1"/>
        <v>2.00 [91.65, 93.75]</v>
      </c>
    </row>
    <row r="78" spans="1:28" x14ac:dyDescent="0.35">
      <c r="A78">
        <v>318</v>
      </c>
      <c r="B78">
        <v>38</v>
      </c>
      <c r="C78" t="s">
        <v>59</v>
      </c>
      <c r="D78" t="s">
        <v>27</v>
      </c>
      <c r="E78" t="s">
        <v>60</v>
      </c>
      <c r="F78" t="s">
        <v>116</v>
      </c>
      <c r="G78" t="s">
        <v>30</v>
      </c>
      <c r="H78">
        <v>45</v>
      </c>
      <c r="I78">
        <v>95.8</v>
      </c>
      <c r="J78">
        <v>2.4</v>
      </c>
      <c r="P78">
        <v>24.8</v>
      </c>
      <c r="Q78">
        <v>5</v>
      </c>
      <c r="R78">
        <v>10</v>
      </c>
      <c r="S78">
        <v>-35</v>
      </c>
      <c r="T78">
        <v>10</v>
      </c>
      <c r="U78">
        <v>0</v>
      </c>
      <c r="V78">
        <v>9</v>
      </c>
      <c r="W78">
        <v>0.8</v>
      </c>
      <c r="X78" t="s">
        <v>61</v>
      </c>
      <c r="Y78">
        <v>0.35799999999999998</v>
      </c>
      <c r="Z78">
        <v>95.097999999999999</v>
      </c>
      <c r="AA78">
        <v>96.501999999999995</v>
      </c>
      <c r="AB78" t="str">
        <f t="shared" si="1"/>
        <v>2.12 [95.10, 96.50]</v>
      </c>
    </row>
    <row r="79" spans="1:28" x14ac:dyDescent="0.35">
      <c r="A79">
        <v>319</v>
      </c>
      <c r="B79">
        <v>38</v>
      </c>
      <c r="C79" t="s">
        <v>59</v>
      </c>
      <c r="D79" t="s">
        <v>35</v>
      </c>
      <c r="E79" t="s">
        <v>62</v>
      </c>
      <c r="F79" t="s">
        <v>116</v>
      </c>
      <c r="G79" t="s">
        <v>30</v>
      </c>
      <c r="H79">
        <v>45</v>
      </c>
      <c r="I79">
        <v>94</v>
      </c>
      <c r="J79">
        <v>3.6</v>
      </c>
      <c r="P79">
        <v>26.7</v>
      </c>
      <c r="Q79">
        <v>7.2</v>
      </c>
      <c r="R79">
        <v>10</v>
      </c>
      <c r="S79">
        <v>-35</v>
      </c>
      <c r="T79">
        <v>10</v>
      </c>
      <c r="U79">
        <v>0</v>
      </c>
      <c r="V79">
        <v>9</v>
      </c>
      <c r="W79">
        <v>0.8</v>
      </c>
      <c r="X79" t="s">
        <v>61</v>
      </c>
      <c r="Y79">
        <v>0.53700000000000003</v>
      </c>
      <c r="Z79">
        <v>92.947000000000003</v>
      </c>
      <c r="AA79">
        <v>95.052999999999997</v>
      </c>
      <c r="AB79" t="str">
        <f t="shared" si="1"/>
        <v>2.08 [92.95, 95.05]</v>
      </c>
    </row>
    <row r="80" spans="1:28" x14ac:dyDescent="0.35">
      <c r="A80">
        <v>322</v>
      </c>
      <c r="B80">
        <v>43</v>
      </c>
      <c r="C80" t="s">
        <v>133</v>
      </c>
      <c r="D80" t="s">
        <v>27</v>
      </c>
      <c r="E80" t="s">
        <v>134</v>
      </c>
      <c r="F80" t="s">
        <v>116</v>
      </c>
      <c r="G80" t="s">
        <v>30</v>
      </c>
      <c r="H80">
        <v>74</v>
      </c>
      <c r="I80">
        <v>88</v>
      </c>
      <c r="J80">
        <v>7.5</v>
      </c>
      <c r="P80">
        <v>26</v>
      </c>
      <c r="Q80">
        <v>6.28</v>
      </c>
      <c r="R80">
        <v>74</v>
      </c>
      <c r="S80">
        <v>0</v>
      </c>
      <c r="T80">
        <v>0</v>
      </c>
      <c r="U80">
        <v>74</v>
      </c>
      <c r="V80">
        <v>24</v>
      </c>
      <c r="W80">
        <v>2</v>
      </c>
      <c r="X80" t="s">
        <v>37</v>
      </c>
      <c r="Y80">
        <v>0.872</v>
      </c>
      <c r="Z80">
        <v>86.290999999999997</v>
      </c>
      <c r="AA80">
        <v>89.709000000000003</v>
      </c>
      <c r="AB80" t="str">
        <f t="shared" si="1"/>
        <v>1.19 [86.29, 89.71]</v>
      </c>
    </row>
    <row r="81" spans="1:28" x14ac:dyDescent="0.35">
      <c r="A81">
        <v>323</v>
      </c>
      <c r="B81">
        <v>43</v>
      </c>
      <c r="C81" t="s">
        <v>133</v>
      </c>
      <c r="D81" t="s">
        <v>35</v>
      </c>
      <c r="E81" t="s">
        <v>135</v>
      </c>
      <c r="F81" t="s">
        <v>116</v>
      </c>
      <c r="G81" t="s">
        <v>30</v>
      </c>
      <c r="H81">
        <v>73</v>
      </c>
      <c r="I81">
        <v>90</v>
      </c>
      <c r="J81">
        <v>7.6</v>
      </c>
      <c r="P81">
        <v>26</v>
      </c>
      <c r="Q81">
        <v>6.29</v>
      </c>
      <c r="R81">
        <v>73</v>
      </c>
      <c r="S81">
        <v>0</v>
      </c>
      <c r="T81">
        <v>0</v>
      </c>
      <c r="U81">
        <v>73</v>
      </c>
      <c r="V81">
        <v>24</v>
      </c>
      <c r="W81">
        <v>2</v>
      </c>
      <c r="X81" t="s">
        <v>37</v>
      </c>
      <c r="Y81">
        <v>0.89</v>
      </c>
      <c r="Z81">
        <v>88.256</v>
      </c>
      <c r="AA81">
        <v>91.744</v>
      </c>
      <c r="AB81" t="str">
        <f t="shared" si="1"/>
        <v>1.23 [88.26, 91.74]</v>
      </c>
    </row>
    <row r="82" spans="1:28" x14ac:dyDescent="0.35">
      <c r="A82">
        <v>324</v>
      </c>
      <c r="B82">
        <v>44</v>
      </c>
      <c r="C82" t="s">
        <v>63</v>
      </c>
      <c r="D82" t="s">
        <v>27</v>
      </c>
      <c r="E82" t="s">
        <v>64</v>
      </c>
      <c r="F82" t="s">
        <v>116</v>
      </c>
      <c r="G82" t="s">
        <v>30</v>
      </c>
      <c r="H82">
        <v>36</v>
      </c>
      <c r="I82">
        <v>93.4</v>
      </c>
      <c r="J82">
        <v>9.6</v>
      </c>
      <c r="P82">
        <v>31</v>
      </c>
      <c r="Q82">
        <v>9.4600000000000009</v>
      </c>
      <c r="R82">
        <v>40</v>
      </c>
      <c r="S82">
        <v>4</v>
      </c>
      <c r="T82">
        <v>23</v>
      </c>
      <c r="U82">
        <v>17</v>
      </c>
      <c r="V82">
        <v>28</v>
      </c>
      <c r="W82">
        <v>2.2999999999999998</v>
      </c>
      <c r="X82" t="s">
        <v>37</v>
      </c>
      <c r="Y82">
        <v>1.6</v>
      </c>
      <c r="Z82">
        <v>90.263999999999996</v>
      </c>
      <c r="AA82">
        <v>96.536000000000001</v>
      </c>
      <c r="AB82" t="str">
        <f t="shared" si="1"/>
        <v>2.57 [90.26, 96.54]</v>
      </c>
    </row>
    <row r="83" spans="1:28" x14ac:dyDescent="0.35">
      <c r="A83">
        <v>325</v>
      </c>
      <c r="B83">
        <v>44</v>
      </c>
      <c r="C83" t="s">
        <v>63</v>
      </c>
      <c r="D83" t="s">
        <v>32</v>
      </c>
      <c r="E83" t="s">
        <v>65</v>
      </c>
      <c r="F83" t="s">
        <v>116</v>
      </c>
      <c r="G83" t="s">
        <v>30</v>
      </c>
      <c r="H83">
        <v>36</v>
      </c>
      <c r="I83">
        <v>90.1</v>
      </c>
      <c r="J83">
        <v>6.7</v>
      </c>
      <c r="P83">
        <v>29.8</v>
      </c>
      <c r="Q83">
        <v>9.4600000000000009</v>
      </c>
      <c r="R83">
        <v>40</v>
      </c>
      <c r="S83">
        <v>4</v>
      </c>
      <c r="T83">
        <v>21</v>
      </c>
      <c r="U83">
        <v>19</v>
      </c>
      <c r="V83">
        <v>28</v>
      </c>
      <c r="W83">
        <v>2.2999999999999998</v>
      </c>
      <c r="X83" t="s">
        <v>37</v>
      </c>
      <c r="Y83">
        <v>1.117</v>
      </c>
      <c r="Z83">
        <v>87.911000000000001</v>
      </c>
      <c r="AA83">
        <v>92.289000000000001</v>
      </c>
      <c r="AB83" t="str">
        <f t="shared" si="1"/>
        <v>2.48 [87.91, 92.29]</v>
      </c>
    </row>
    <row r="84" spans="1:28" x14ac:dyDescent="0.35">
      <c r="A84">
        <v>326</v>
      </c>
      <c r="B84">
        <v>45</v>
      </c>
      <c r="C84" t="s">
        <v>136</v>
      </c>
      <c r="D84" t="s">
        <v>27</v>
      </c>
      <c r="E84" t="s">
        <v>137</v>
      </c>
      <c r="F84" t="s">
        <v>116</v>
      </c>
      <c r="G84" t="s">
        <v>30</v>
      </c>
      <c r="H84">
        <v>24</v>
      </c>
      <c r="I84">
        <v>92</v>
      </c>
      <c r="J84">
        <v>8.99</v>
      </c>
      <c r="K84">
        <v>63</v>
      </c>
      <c r="O84">
        <v>98</v>
      </c>
      <c r="P84">
        <v>29.8</v>
      </c>
      <c r="Q84">
        <v>6.33</v>
      </c>
      <c r="R84">
        <v>31</v>
      </c>
      <c r="S84">
        <v>7</v>
      </c>
      <c r="T84">
        <v>22</v>
      </c>
      <c r="U84">
        <v>9</v>
      </c>
      <c r="V84">
        <v>120</v>
      </c>
      <c r="W84">
        <v>10</v>
      </c>
      <c r="X84" t="s">
        <v>31</v>
      </c>
      <c r="Y84">
        <v>1.835</v>
      </c>
      <c r="Z84">
        <v>88.403000000000006</v>
      </c>
      <c r="AA84">
        <v>95.596999999999994</v>
      </c>
      <c r="AB84" t="str">
        <f t="shared" si="1"/>
        <v>3.78 [88.40, 95.60]</v>
      </c>
    </row>
    <row r="85" spans="1:28" x14ac:dyDescent="0.35">
      <c r="A85">
        <v>327</v>
      </c>
      <c r="B85">
        <v>45</v>
      </c>
      <c r="C85" t="s">
        <v>136</v>
      </c>
      <c r="D85" t="s">
        <v>35</v>
      </c>
      <c r="E85" t="s">
        <v>138</v>
      </c>
      <c r="F85" t="s">
        <v>116</v>
      </c>
      <c r="G85" t="s">
        <v>30</v>
      </c>
      <c r="H85">
        <v>23</v>
      </c>
      <c r="I85">
        <v>91.8</v>
      </c>
      <c r="J85">
        <v>9.33</v>
      </c>
      <c r="K85">
        <v>62</v>
      </c>
      <c r="O85">
        <v>98</v>
      </c>
      <c r="P85">
        <v>29.8</v>
      </c>
      <c r="Q85">
        <v>6.33</v>
      </c>
      <c r="R85">
        <v>31</v>
      </c>
      <c r="S85">
        <v>8</v>
      </c>
      <c r="T85">
        <v>23</v>
      </c>
      <c r="U85">
        <v>8</v>
      </c>
      <c r="V85">
        <v>120</v>
      </c>
      <c r="W85">
        <v>10</v>
      </c>
      <c r="X85" t="s">
        <v>31</v>
      </c>
      <c r="Y85">
        <v>1.9450000000000001</v>
      </c>
      <c r="Z85">
        <v>87.988</v>
      </c>
      <c r="AA85">
        <v>95.611999999999995</v>
      </c>
      <c r="AB85" t="str">
        <f t="shared" si="1"/>
        <v>3.93 [87.99, 95.61]</v>
      </c>
    </row>
    <row r="86" spans="1:28" x14ac:dyDescent="0.35">
      <c r="A86">
        <v>330</v>
      </c>
      <c r="B86">
        <v>49</v>
      </c>
      <c r="C86" t="s">
        <v>139</v>
      </c>
      <c r="D86" t="s">
        <v>27</v>
      </c>
      <c r="E86" t="s">
        <v>140</v>
      </c>
      <c r="F86" t="s">
        <v>116</v>
      </c>
      <c r="G86" t="s">
        <v>30</v>
      </c>
      <c r="H86">
        <v>40</v>
      </c>
      <c r="I86">
        <v>94</v>
      </c>
      <c r="J86">
        <v>18.09</v>
      </c>
      <c r="K86">
        <v>22</v>
      </c>
      <c r="O86">
        <v>100</v>
      </c>
      <c r="P86">
        <v>28</v>
      </c>
      <c r="Q86">
        <v>8.35</v>
      </c>
      <c r="V86">
        <v>26</v>
      </c>
      <c r="W86">
        <v>2.2000000000000002</v>
      </c>
      <c r="X86" t="s">
        <v>37</v>
      </c>
      <c r="Y86">
        <v>2.86</v>
      </c>
      <c r="Z86">
        <v>88.394000000000005</v>
      </c>
      <c r="AA86">
        <v>99.605999999999995</v>
      </c>
      <c r="AB86" t="str">
        <f t="shared" si="1"/>
        <v>2.33 [88.39, 99.61]</v>
      </c>
    </row>
    <row r="87" spans="1:28" x14ac:dyDescent="0.35">
      <c r="A87">
        <v>331</v>
      </c>
      <c r="B87">
        <v>49</v>
      </c>
      <c r="C87" t="s">
        <v>139</v>
      </c>
      <c r="D87" t="s">
        <v>35</v>
      </c>
      <c r="E87" t="s">
        <v>141</v>
      </c>
      <c r="F87" t="s">
        <v>116</v>
      </c>
      <c r="G87" t="s">
        <v>30</v>
      </c>
      <c r="H87">
        <v>78</v>
      </c>
      <c r="I87">
        <v>92</v>
      </c>
      <c r="J87">
        <v>13.4</v>
      </c>
      <c r="P87">
        <v>25</v>
      </c>
      <c r="Q87">
        <v>5.6</v>
      </c>
      <c r="V87">
        <v>26</v>
      </c>
      <c r="W87">
        <v>2.2000000000000002</v>
      </c>
      <c r="X87" t="s">
        <v>37</v>
      </c>
      <c r="Y87">
        <v>1.5169999999999999</v>
      </c>
      <c r="Z87">
        <v>89.027000000000001</v>
      </c>
      <c r="AA87">
        <v>94.972999999999999</v>
      </c>
      <c r="AB87" t="str">
        <f t="shared" si="1"/>
        <v>1.18 [89.03, 94.97]</v>
      </c>
    </row>
    <row r="88" spans="1:28" x14ac:dyDescent="0.35">
      <c r="A88">
        <v>332</v>
      </c>
      <c r="B88">
        <v>51</v>
      </c>
      <c r="C88" t="s">
        <v>66</v>
      </c>
      <c r="D88" t="s">
        <v>35</v>
      </c>
      <c r="E88" t="s">
        <v>67</v>
      </c>
      <c r="F88" t="s">
        <v>116</v>
      </c>
      <c r="G88" t="s">
        <v>30</v>
      </c>
      <c r="H88">
        <v>32</v>
      </c>
      <c r="I88">
        <v>91.3</v>
      </c>
      <c r="J88">
        <v>11.5</v>
      </c>
      <c r="P88">
        <v>29.8</v>
      </c>
      <c r="Q88">
        <v>7.9</v>
      </c>
      <c r="R88">
        <v>32</v>
      </c>
      <c r="S88">
        <v>0</v>
      </c>
      <c r="T88">
        <v>17</v>
      </c>
      <c r="U88">
        <v>15</v>
      </c>
      <c r="V88">
        <v>69.599999999999994</v>
      </c>
      <c r="W88">
        <v>5.8</v>
      </c>
      <c r="X88" t="s">
        <v>31</v>
      </c>
      <c r="Y88">
        <v>2.0329999999999999</v>
      </c>
      <c r="Z88">
        <v>87.314999999999998</v>
      </c>
      <c r="AA88">
        <v>95.284999999999997</v>
      </c>
      <c r="AB88" t="str">
        <f t="shared" si="1"/>
        <v>2.82 [87.32, 95.29]</v>
      </c>
    </row>
    <row r="89" spans="1:28" x14ac:dyDescent="0.35">
      <c r="A89">
        <v>333</v>
      </c>
      <c r="B89">
        <v>51</v>
      </c>
      <c r="C89" t="s">
        <v>66</v>
      </c>
      <c r="D89" t="s">
        <v>45</v>
      </c>
      <c r="E89" t="s">
        <v>68</v>
      </c>
      <c r="F89" t="s">
        <v>116</v>
      </c>
      <c r="G89" t="s">
        <v>30</v>
      </c>
      <c r="H89">
        <v>32</v>
      </c>
      <c r="I89">
        <v>88.7</v>
      </c>
      <c r="J89">
        <v>8.6</v>
      </c>
      <c r="P89">
        <v>30.5</v>
      </c>
      <c r="Q89">
        <v>6.1</v>
      </c>
      <c r="R89">
        <v>32</v>
      </c>
      <c r="S89">
        <v>0</v>
      </c>
      <c r="T89">
        <v>15</v>
      </c>
      <c r="U89">
        <v>17</v>
      </c>
      <c r="V89">
        <v>73.2</v>
      </c>
      <c r="W89">
        <v>6.1</v>
      </c>
      <c r="X89" t="s">
        <v>31</v>
      </c>
      <c r="Y89">
        <v>1.52</v>
      </c>
      <c r="Z89">
        <v>85.721000000000004</v>
      </c>
      <c r="AA89">
        <v>91.679000000000002</v>
      </c>
      <c r="AB89" t="str">
        <f t="shared" si="1"/>
        <v>2.74 [85.72, 91.68]</v>
      </c>
    </row>
    <row r="90" spans="1:28" x14ac:dyDescent="0.35">
      <c r="A90">
        <v>334</v>
      </c>
      <c r="B90">
        <v>52</v>
      </c>
      <c r="C90" t="s">
        <v>142</v>
      </c>
      <c r="D90" t="s">
        <v>27</v>
      </c>
      <c r="E90" t="s">
        <v>143</v>
      </c>
      <c r="F90" t="s">
        <v>116</v>
      </c>
      <c r="G90" t="s">
        <v>30</v>
      </c>
      <c r="H90">
        <v>30</v>
      </c>
      <c r="I90">
        <v>81</v>
      </c>
      <c r="J90">
        <v>18.38</v>
      </c>
      <c r="K90">
        <v>25</v>
      </c>
      <c r="O90">
        <v>100</v>
      </c>
      <c r="P90">
        <v>28</v>
      </c>
      <c r="Q90">
        <v>8.3699999999999992</v>
      </c>
      <c r="R90">
        <v>34</v>
      </c>
      <c r="S90">
        <v>4</v>
      </c>
      <c r="T90">
        <v>23</v>
      </c>
      <c r="U90">
        <v>11</v>
      </c>
      <c r="V90">
        <v>87.11</v>
      </c>
      <c r="W90">
        <v>7.3</v>
      </c>
      <c r="X90" t="s">
        <v>31</v>
      </c>
      <c r="Y90">
        <v>3.3559999999999999</v>
      </c>
      <c r="Z90">
        <v>74.421999999999997</v>
      </c>
      <c r="AA90">
        <v>87.578000000000003</v>
      </c>
      <c r="AB90" t="str">
        <f t="shared" si="1"/>
        <v>2.67 [74.42, 87.58]</v>
      </c>
    </row>
    <row r="91" spans="1:28" x14ac:dyDescent="0.35">
      <c r="A91">
        <v>335</v>
      </c>
      <c r="B91">
        <v>52</v>
      </c>
      <c r="C91" t="s">
        <v>142</v>
      </c>
      <c r="D91" t="s">
        <v>35</v>
      </c>
      <c r="E91" t="s">
        <v>144</v>
      </c>
      <c r="F91" t="s">
        <v>116</v>
      </c>
      <c r="G91" t="s">
        <v>30</v>
      </c>
      <c r="H91">
        <v>32</v>
      </c>
      <c r="I91">
        <v>90</v>
      </c>
      <c r="J91">
        <v>12.1</v>
      </c>
      <c r="K91">
        <v>50</v>
      </c>
      <c r="O91">
        <v>100</v>
      </c>
      <c r="P91">
        <v>29</v>
      </c>
      <c r="Q91">
        <v>10.35</v>
      </c>
      <c r="R91">
        <v>37</v>
      </c>
      <c r="S91">
        <v>5</v>
      </c>
      <c r="T91">
        <v>26</v>
      </c>
      <c r="U91">
        <v>11</v>
      </c>
      <c r="V91">
        <v>87.05</v>
      </c>
      <c r="W91">
        <v>7.3</v>
      </c>
      <c r="X91" t="s">
        <v>31</v>
      </c>
      <c r="Y91">
        <v>2.1389999999999998</v>
      </c>
      <c r="Z91">
        <v>85.808000000000007</v>
      </c>
      <c r="AA91">
        <v>94.191999999999993</v>
      </c>
      <c r="AB91" t="str">
        <f t="shared" si="1"/>
        <v>2.78 [85.81, 94.19]</v>
      </c>
    </row>
    <row r="92" spans="1:28" x14ac:dyDescent="0.35">
      <c r="A92">
        <v>336</v>
      </c>
      <c r="B92">
        <v>54</v>
      </c>
      <c r="C92" t="s">
        <v>72</v>
      </c>
      <c r="D92" t="s">
        <v>27</v>
      </c>
      <c r="E92" t="s">
        <v>73</v>
      </c>
      <c r="F92" t="s">
        <v>116</v>
      </c>
      <c r="G92" t="s">
        <v>30</v>
      </c>
      <c r="H92">
        <v>19</v>
      </c>
      <c r="I92">
        <v>84.8</v>
      </c>
      <c r="J92">
        <v>10.3</v>
      </c>
      <c r="P92">
        <v>52.8</v>
      </c>
      <c r="Q92">
        <v>7.3</v>
      </c>
      <c r="V92">
        <v>240</v>
      </c>
      <c r="W92">
        <v>20</v>
      </c>
      <c r="X92" t="s">
        <v>31</v>
      </c>
      <c r="Y92">
        <v>2.363</v>
      </c>
      <c r="Z92">
        <v>80.168999999999997</v>
      </c>
      <c r="AA92">
        <v>89.430999999999997</v>
      </c>
      <c r="AB92" t="str">
        <f t="shared" si="1"/>
        <v>4.37 [80.17, 89.43]</v>
      </c>
    </row>
    <row r="93" spans="1:28" x14ac:dyDescent="0.35">
      <c r="A93">
        <v>337</v>
      </c>
      <c r="B93">
        <v>54</v>
      </c>
      <c r="C93" t="s">
        <v>72</v>
      </c>
      <c r="D93" t="s">
        <v>35</v>
      </c>
      <c r="E93" t="s">
        <v>74</v>
      </c>
      <c r="F93" t="s">
        <v>116</v>
      </c>
      <c r="G93" t="s">
        <v>30</v>
      </c>
      <c r="H93">
        <v>20</v>
      </c>
      <c r="I93">
        <v>88.6</v>
      </c>
      <c r="J93">
        <v>8.3000000000000007</v>
      </c>
      <c r="P93">
        <v>54.5</v>
      </c>
      <c r="Q93">
        <v>7.5</v>
      </c>
      <c r="V93">
        <v>240</v>
      </c>
      <c r="W93">
        <v>20</v>
      </c>
      <c r="X93" t="s">
        <v>31</v>
      </c>
      <c r="Y93">
        <v>1.8560000000000001</v>
      </c>
      <c r="Z93">
        <v>84.962000000000003</v>
      </c>
      <c r="AA93">
        <v>92.238</v>
      </c>
      <c r="AB93" t="str">
        <f t="shared" si="1"/>
        <v>4.35 [84.96, 92.24]</v>
      </c>
    </row>
    <row r="94" spans="1:28" x14ac:dyDescent="0.35">
      <c r="A94">
        <v>338</v>
      </c>
      <c r="B94">
        <v>55</v>
      </c>
      <c r="C94" t="s">
        <v>75</v>
      </c>
      <c r="D94" t="s">
        <v>27</v>
      </c>
      <c r="E94" t="s">
        <v>76</v>
      </c>
      <c r="F94" t="s">
        <v>116</v>
      </c>
      <c r="G94" t="s">
        <v>30</v>
      </c>
      <c r="H94">
        <v>14</v>
      </c>
      <c r="I94">
        <v>84</v>
      </c>
      <c r="J94">
        <v>13.47</v>
      </c>
      <c r="K94">
        <v>54</v>
      </c>
      <c r="O94">
        <v>100</v>
      </c>
      <c r="P94">
        <v>26.5</v>
      </c>
      <c r="Q94">
        <v>5</v>
      </c>
      <c r="R94">
        <v>14</v>
      </c>
      <c r="S94">
        <v>0</v>
      </c>
      <c r="T94">
        <v>14</v>
      </c>
      <c r="U94">
        <v>0</v>
      </c>
      <c r="V94">
        <v>12</v>
      </c>
      <c r="W94">
        <v>1</v>
      </c>
      <c r="X94" t="s">
        <v>61</v>
      </c>
      <c r="Y94">
        <v>3.6</v>
      </c>
      <c r="Z94">
        <v>76.944000000000003</v>
      </c>
      <c r="AA94">
        <v>91.055999999999997</v>
      </c>
      <c r="AB94" t="str">
        <f t="shared" si="1"/>
        <v>5.83 [76.94, 91.06]</v>
      </c>
    </row>
    <row r="95" spans="1:28" x14ac:dyDescent="0.35">
      <c r="A95">
        <v>339</v>
      </c>
      <c r="B95">
        <v>55</v>
      </c>
      <c r="C95" t="s">
        <v>75</v>
      </c>
      <c r="D95" t="s">
        <v>35</v>
      </c>
      <c r="E95" t="s">
        <v>77</v>
      </c>
      <c r="F95" t="s">
        <v>116</v>
      </c>
      <c r="G95" t="s">
        <v>30</v>
      </c>
      <c r="H95">
        <v>17</v>
      </c>
      <c r="I95">
        <v>80</v>
      </c>
      <c r="J95">
        <v>15.59</v>
      </c>
      <c r="K95">
        <v>43</v>
      </c>
      <c r="O95">
        <v>99</v>
      </c>
      <c r="P95">
        <v>24.63</v>
      </c>
      <c r="Q95">
        <v>4.5999999999999996</v>
      </c>
      <c r="R95">
        <v>38</v>
      </c>
      <c r="S95">
        <v>21</v>
      </c>
      <c r="T95">
        <v>38</v>
      </c>
      <c r="U95">
        <v>0</v>
      </c>
      <c r="V95">
        <v>12</v>
      </c>
      <c r="W95">
        <v>1</v>
      </c>
      <c r="X95" t="s">
        <v>61</v>
      </c>
      <c r="Y95">
        <v>3.7810000000000001</v>
      </c>
      <c r="Z95">
        <v>72.588999999999999</v>
      </c>
      <c r="AA95">
        <v>87.411000000000001</v>
      </c>
      <c r="AB95" t="str">
        <f t="shared" si="1"/>
        <v>4.60 [72.59, 87.41]</v>
      </c>
    </row>
    <row r="96" spans="1:28" x14ac:dyDescent="0.35">
      <c r="A96">
        <v>342</v>
      </c>
      <c r="B96">
        <v>58</v>
      </c>
      <c r="C96" t="s">
        <v>81</v>
      </c>
      <c r="D96" t="s">
        <v>35</v>
      </c>
      <c r="E96" t="s">
        <v>82</v>
      </c>
      <c r="F96" t="s">
        <v>116</v>
      </c>
      <c r="G96" t="s">
        <v>30</v>
      </c>
      <c r="H96">
        <v>25</v>
      </c>
      <c r="I96">
        <v>85.1</v>
      </c>
      <c r="J96">
        <v>6.4</v>
      </c>
      <c r="P96">
        <v>28.12</v>
      </c>
      <c r="Q96">
        <v>5.21</v>
      </c>
      <c r="R96">
        <v>25</v>
      </c>
      <c r="S96">
        <v>0</v>
      </c>
      <c r="T96">
        <v>18</v>
      </c>
      <c r="U96">
        <v>7</v>
      </c>
      <c r="V96">
        <v>6</v>
      </c>
      <c r="W96">
        <v>0.5</v>
      </c>
      <c r="X96" t="s">
        <v>61</v>
      </c>
      <c r="Y96">
        <v>1.28</v>
      </c>
      <c r="Z96">
        <v>82.590999999999994</v>
      </c>
      <c r="AA96">
        <v>87.608999999999995</v>
      </c>
      <c r="AB96" t="str">
        <f t="shared" si="1"/>
        <v>3.36 [82.59, 87.61]</v>
      </c>
    </row>
    <row r="97" spans="1:28" x14ac:dyDescent="0.35">
      <c r="A97">
        <v>343</v>
      </c>
      <c r="B97">
        <v>58</v>
      </c>
      <c r="C97" t="s">
        <v>81</v>
      </c>
      <c r="D97" t="s">
        <v>38</v>
      </c>
      <c r="E97" t="s">
        <v>83</v>
      </c>
      <c r="F97" t="s">
        <v>116</v>
      </c>
      <c r="G97" t="s">
        <v>30</v>
      </c>
      <c r="H97">
        <v>25</v>
      </c>
      <c r="I97">
        <v>89.4</v>
      </c>
      <c r="J97">
        <v>5.8</v>
      </c>
      <c r="P97">
        <v>27.84</v>
      </c>
      <c r="Q97">
        <v>4.92</v>
      </c>
      <c r="R97">
        <v>25</v>
      </c>
      <c r="S97">
        <v>0</v>
      </c>
      <c r="T97">
        <v>17</v>
      </c>
      <c r="U97">
        <v>8</v>
      </c>
      <c r="V97">
        <v>6</v>
      </c>
      <c r="W97">
        <v>0.5</v>
      </c>
      <c r="X97" t="s">
        <v>61</v>
      </c>
      <c r="Y97">
        <v>1.1599999999999999</v>
      </c>
      <c r="Z97">
        <v>87.126000000000005</v>
      </c>
      <c r="AA97">
        <v>91.674000000000007</v>
      </c>
      <c r="AB97" t="str">
        <f t="shared" si="1"/>
        <v>3.53 [87.13, 91.67]</v>
      </c>
    </row>
    <row r="98" spans="1:28" x14ac:dyDescent="0.35">
      <c r="A98">
        <v>344</v>
      </c>
      <c r="B98">
        <v>68</v>
      </c>
      <c r="C98" t="s">
        <v>87</v>
      </c>
      <c r="D98" t="s">
        <v>27</v>
      </c>
      <c r="E98" t="s">
        <v>88</v>
      </c>
      <c r="F98" t="s">
        <v>116</v>
      </c>
      <c r="G98" t="s">
        <v>30</v>
      </c>
      <c r="H98">
        <v>6</v>
      </c>
      <c r="I98">
        <v>96</v>
      </c>
      <c r="J98">
        <v>3</v>
      </c>
      <c r="P98">
        <v>23</v>
      </c>
      <c r="Q98">
        <v>2</v>
      </c>
      <c r="R98">
        <v>6</v>
      </c>
      <c r="S98">
        <v>0</v>
      </c>
      <c r="T98">
        <v>6</v>
      </c>
      <c r="U98">
        <v>0</v>
      </c>
      <c r="V98">
        <v>21</v>
      </c>
      <c r="W98">
        <v>1.8</v>
      </c>
      <c r="X98" t="s">
        <v>37</v>
      </c>
      <c r="Y98">
        <v>1.2250000000000001</v>
      </c>
      <c r="Z98">
        <v>93.599000000000004</v>
      </c>
      <c r="AA98">
        <v>98.400999999999996</v>
      </c>
      <c r="AB98" t="str">
        <f t="shared" si="1"/>
        <v>14.85 [93.60, 98.40]</v>
      </c>
    </row>
    <row r="99" spans="1:28" x14ac:dyDescent="0.35">
      <c r="A99">
        <v>345</v>
      </c>
      <c r="B99">
        <v>68</v>
      </c>
      <c r="C99" t="s">
        <v>87</v>
      </c>
      <c r="D99" t="s">
        <v>35</v>
      </c>
      <c r="E99" t="s">
        <v>89</v>
      </c>
      <c r="F99" t="s">
        <v>116</v>
      </c>
      <c r="G99" t="s">
        <v>30</v>
      </c>
      <c r="H99">
        <v>6</v>
      </c>
      <c r="I99">
        <v>95</v>
      </c>
      <c r="J99">
        <v>5</v>
      </c>
      <c r="P99">
        <v>24</v>
      </c>
      <c r="Q99">
        <v>3</v>
      </c>
      <c r="R99">
        <v>6</v>
      </c>
      <c r="S99">
        <v>0</v>
      </c>
      <c r="T99">
        <v>6</v>
      </c>
      <c r="U99">
        <v>0</v>
      </c>
      <c r="V99">
        <v>25</v>
      </c>
      <c r="W99">
        <v>2.1</v>
      </c>
      <c r="X99" t="s">
        <v>37</v>
      </c>
      <c r="Y99">
        <v>2.0409999999999999</v>
      </c>
      <c r="Z99">
        <v>91</v>
      </c>
      <c r="AA99">
        <v>99</v>
      </c>
      <c r="AB99" t="str">
        <f t="shared" si="1"/>
        <v>14.69 [91.00, 99.00]</v>
      </c>
    </row>
    <row r="100" spans="1:28" x14ac:dyDescent="0.35">
      <c r="A100">
        <v>346</v>
      </c>
      <c r="B100">
        <v>70</v>
      </c>
      <c r="C100" t="s">
        <v>145</v>
      </c>
      <c r="D100" t="s">
        <v>35</v>
      </c>
      <c r="E100" t="s">
        <v>146</v>
      </c>
      <c r="F100" t="s">
        <v>116</v>
      </c>
      <c r="G100" t="s">
        <v>30</v>
      </c>
      <c r="H100">
        <v>33</v>
      </c>
      <c r="I100">
        <v>98</v>
      </c>
      <c r="J100">
        <v>3.61</v>
      </c>
      <c r="K100">
        <v>85</v>
      </c>
      <c r="O100">
        <v>100</v>
      </c>
      <c r="P100">
        <v>25.81</v>
      </c>
      <c r="Q100">
        <v>7.46</v>
      </c>
      <c r="R100">
        <v>33</v>
      </c>
      <c r="S100">
        <v>0</v>
      </c>
      <c r="T100">
        <v>30</v>
      </c>
      <c r="U100">
        <v>3</v>
      </c>
      <c r="V100">
        <v>28.1</v>
      </c>
      <c r="W100">
        <v>2.2999999999999998</v>
      </c>
      <c r="X100" t="s">
        <v>37</v>
      </c>
      <c r="Y100">
        <v>0.628</v>
      </c>
      <c r="Z100">
        <v>96.769000000000005</v>
      </c>
      <c r="AA100">
        <v>99.230999999999995</v>
      </c>
      <c r="AB100" t="str">
        <f t="shared" si="1"/>
        <v>2.94 [96.77, 99.23]</v>
      </c>
    </row>
    <row r="101" spans="1:28" x14ac:dyDescent="0.35">
      <c r="A101">
        <v>347</v>
      </c>
      <c r="B101">
        <v>70</v>
      </c>
      <c r="C101" t="s">
        <v>145</v>
      </c>
      <c r="D101" t="s">
        <v>147</v>
      </c>
      <c r="E101" t="s">
        <v>148</v>
      </c>
      <c r="F101" t="s">
        <v>116</v>
      </c>
      <c r="G101" t="s">
        <v>30</v>
      </c>
      <c r="H101">
        <v>32</v>
      </c>
      <c r="I101">
        <v>99</v>
      </c>
      <c r="J101">
        <v>3.63</v>
      </c>
      <c r="K101">
        <v>85</v>
      </c>
      <c r="O101">
        <v>100</v>
      </c>
      <c r="P101">
        <v>25.55</v>
      </c>
      <c r="Q101">
        <v>8.4700000000000006</v>
      </c>
      <c r="R101">
        <v>32</v>
      </c>
      <c r="S101">
        <v>0</v>
      </c>
      <c r="T101">
        <v>26</v>
      </c>
      <c r="U101">
        <v>6</v>
      </c>
      <c r="V101">
        <v>31.6</v>
      </c>
      <c r="W101">
        <v>2.6</v>
      </c>
      <c r="X101" t="s">
        <v>37</v>
      </c>
      <c r="Y101">
        <v>0.64200000000000002</v>
      </c>
      <c r="Z101">
        <v>97.742000000000004</v>
      </c>
      <c r="AA101">
        <v>100.258</v>
      </c>
      <c r="AB101" t="str">
        <f t="shared" si="1"/>
        <v>3.06 [97.74, 100.26]</v>
      </c>
    </row>
    <row r="102" spans="1:28" x14ac:dyDescent="0.35">
      <c r="A102">
        <v>350</v>
      </c>
      <c r="B102">
        <v>73</v>
      </c>
      <c r="C102" t="s">
        <v>90</v>
      </c>
      <c r="D102" t="s">
        <v>27</v>
      </c>
      <c r="E102" t="s">
        <v>91</v>
      </c>
      <c r="F102" t="s">
        <v>116</v>
      </c>
      <c r="G102" t="s">
        <v>30</v>
      </c>
      <c r="H102">
        <v>20</v>
      </c>
      <c r="I102">
        <v>87.4</v>
      </c>
      <c r="J102">
        <v>13.8</v>
      </c>
      <c r="P102">
        <v>24.7</v>
      </c>
      <c r="R102">
        <v>20</v>
      </c>
      <c r="S102">
        <v>0</v>
      </c>
      <c r="T102">
        <v>0</v>
      </c>
      <c r="U102">
        <v>20</v>
      </c>
      <c r="V102">
        <v>6</v>
      </c>
      <c r="W102">
        <v>0.5</v>
      </c>
      <c r="X102" t="s">
        <v>61</v>
      </c>
      <c r="Y102">
        <v>3.0859999999999999</v>
      </c>
      <c r="Z102">
        <v>81.350999999999999</v>
      </c>
      <c r="AA102">
        <v>93.448999999999998</v>
      </c>
      <c r="AB102" t="str">
        <f t="shared" si="1"/>
        <v>4.29 [81.35, 93.45]</v>
      </c>
    </row>
    <row r="103" spans="1:28" x14ac:dyDescent="0.35">
      <c r="A103">
        <v>351</v>
      </c>
      <c r="B103">
        <v>73</v>
      </c>
      <c r="C103" t="s">
        <v>90</v>
      </c>
      <c r="D103" t="s">
        <v>35</v>
      </c>
      <c r="E103" t="s">
        <v>92</v>
      </c>
      <c r="F103" t="s">
        <v>116</v>
      </c>
      <c r="G103" t="s">
        <v>30</v>
      </c>
      <c r="H103">
        <v>20</v>
      </c>
      <c r="I103">
        <v>93.17</v>
      </c>
      <c r="J103">
        <v>10.3</v>
      </c>
      <c r="P103">
        <v>25.4</v>
      </c>
      <c r="R103">
        <v>20</v>
      </c>
      <c r="S103">
        <v>0</v>
      </c>
      <c r="T103">
        <v>0</v>
      </c>
      <c r="U103">
        <v>20</v>
      </c>
      <c r="V103">
        <v>6</v>
      </c>
      <c r="W103">
        <v>0.5</v>
      </c>
      <c r="X103" t="s">
        <v>61</v>
      </c>
      <c r="Y103">
        <v>2.3029999999999999</v>
      </c>
      <c r="Z103">
        <v>88.656000000000006</v>
      </c>
      <c r="AA103">
        <v>97.683999999999997</v>
      </c>
      <c r="AB103" t="str">
        <f t="shared" si="1"/>
        <v>4.57 [88.66, 97.68]</v>
      </c>
    </row>
    <row r="104" spans="1:28" x14ac:dyDescent="0.35">
      <c r="A104">
        <v>354</v>
      </c>
      <c r="B104">
        <v>77</v>
      </c>
      <c r="C104" t="s">
        <v>149</v>
      </c>
      <c r="D104" t="s">
        <v>27</v>
      </c>
      <c r="E104" t="s">
        <v>150</v>
      </c>
      <c r="F104" t="s">
        <v>116</v>
      </c>
      <c r="G104" t="s">
        <v>30</v>
      </c>
      <c r="H104">
        <v>38</v>
      </c>
      <c r="I104">
        <v>82</v>
      </c>
      <c r="J104">
        <v>15.45</v>
      </c>
      <c r="K104">
        <v>34</v>
      </c>
      <c r="O104">
        <v>100</v>
      </c>
      <c r="P104">
        <v>27</v>
      </c>
      <c r="Q104">
        <v>6.82</v>
      </c>
      <c r="R104">
        <v>0</v>
      </c>
      <c r="S104">
        <v>-38</v>
      </c>
      <c r="T104" t="s">
        <v>151</v>
      </c>
      <c r="V104">
        <v>228</v>
      </c>
      <c r="W104">
        <v>19</v>
      </c>
      <c r="X104" t="s">
        <v>31</v>
      </c>
      <c r="Y104">
        <v>2.5059999999999998</v>
      </c>
      <c r="Z104">
        <v>77.087999999999994</v>
      </c>
      <c r="AA104">
        <v>86.912000000000006</v>
      </c>
      <c r="AB104" t="str">
        <f t="shared" si="1"/>
        <v>2.14 [77.09, 86.91]</v>
      </c>
    </row>
    <row r="105" spans="1:28" x14ac:dyDescent="0.35">
      <c r="A105">
        <v>355</v>
      </c>
      <c r="B105">
        <v>77</v>
      </c>
      <c r="C105" t="s">
        <v>149</v>
      </c>
      <c r="D105" t="s">
        <v>35</v>
      </c>
      <c r="E105" t="s">
        <v>152</v>
      </c>
      <c r="F105" t="s">
        <v>116</v>
      </c>
      <c r="G105" t="s">
        <v>30</v>
      </c>
      <c r="H105">
        <v>33</v>
      </c>
      <c r="I105">
        <v>85</v>
      </c>
      <c r="J105">
        <v>14.67</v>
      </c>
      <c r="K105">
        <v>39</v>
      </c>
      <c r="O105">
        <v>100</v>
      </c>
      <c r="P105">
        <v>27</v>
      </c>
      <c r="Q105">
        <v>6.3</v>
      </c>
      <c r="V105">
        <v>228</v>
      </c>
      <c r="W105">
        <v>19</v>
      </c>
      <c r="X105" t="s">
        <v>31</v>
      </c>
      <c r="Y105">
        <v>2.5539999999999998</v>
      </c>
      <c r="Z105">
        <v>79.994</v>
      </c>
      <c r="AA105">
        <v>90.006</v>
      </c>
      <c r="AB105" t="str">
        <f t="shared" si="1"/>
        <v>2.55 [79.99, 90.01]</v>
      </c>
    </row>
    <row r="106" spans="1:28" x14ac:dyDescent="0.35">
      <c r="A106">
        <v>356</v>
      </c>
      <c r="B106">
        <v>87</v>
      </c>
      <c r="C106" t="s">
        <v>99</v>
      </c>
      <c r="D106" t="s">
        <v>27</v>
      </c>
      <c r="E106" t="s">
        <v>100</v>
      </c>
      <c r="F106" t="s">
        <v>116</v>
      </c>
      <c r="G106" t="s">
        <v>30</v>
      </c>
      <c r="H106">
        <v>296</v>
      </c>
      <c r="I106">
        <v>89</v>
      </c>
      <c r="J106">
        <v>12.4</v>
      </c>
      <c r="P106">
        <v>24.8</v>
      </c>
      <c r="Q106">
        <v>4.4000000000000004</v>
      </c>
      <c r="R106">
        <v>283</v>
      </c>
      <c r="S106">
        <v>-13</v>
      </c>
      <c r="T106">
        <v>214</v>
      </c>
      <c r="U106">
        <v>69</v>
      </c>
      <c r="V106">
        <v>61.5</v>
      </c>
      <c r="W106">
        <v>5.0999999999999996</v>
      </c>
      <c r="X106" t="s">
        <v>31</v>
      </c>
      <c r="Y106">
        <v>0.72099999999999997</v>
      </c>
      <c r="Z106">
        <v>87.587000000000003</v>
      </c>
      <c r="AA106">
        <v>90.412999999999997</v>
      </c>
      <c r="AB106" t="str">
        <f t="shared" si="1"/>
        <v>0.30 [87.59, 90.41]</v>
      </c>
    </row>
    <row r="107" spans="1:28" x14ac:dyDescent="0.35">
      <c r="A107">
        <v>357</v>
      </c>
      <c r="B107">
        <v>87</v>
      </c>
      <c r="C107" t="s">
        <v>99</v>
      </c>
      <c r="D107" t="s">
        <v>35</v>
      </c>
      <c r="E107" t="s">
        <v>101</v>
      </c>
      <c r="F107" t="s">
        <v>116</v>
      </c>
      <c r="G107" t="s">
        <v>30</v>
      </c>
      <c r="H107">
        <v>297</v>
      </c>
      <c r="I107">
        <v>91.1</v>
      </c>
      <c r="J107">
        <v>11.9</v>
      </c>
      <c r="P107">
        <v>25.2</v>
      </c>
      <c r="Q107">
        <v>4.5999999999999996</v>
      </c>
      <c r="R107">
        <v>273</v>
      </c>
      <c r="S107">
        <v>-24</v>
      </c>
      <c r="T107">
        <v>233</v>
      </c>
      <c r="U107">
        <v>40</v>
      </c>
      <c r="V107">
        <v>63.9</v>
      </c>
      <c r="W107">
        <v>5.3</v>
      </c>
      <c r="X107" t="s">
        <v>31</v>
      </c>
      <c r="Y107">
        <v>0.69099999999999995</v>
      </c>
      <c r="Z107">
        <v>89.745999999999995</v>
      </c>
      <c r="AA107">
        <v>92.453999999999994</v>
      </c>
      <c r="AB107" t="str">
        <f t="shared" si="1"/>
        <v>0.31 [89.75, 92.45]</v>
      </c>
    </row>
    <row r="108" spans="1:28" x14ac:dyDescent="0.35">
      <c r="A108">
        <v>358</v>
      </c>
      <c r="B108">
        <v>89</v>
      </c>
      <c r="C108" t="s">
        <v>102</v>
      </c>
      <c r="D108" t="s">
        <v>35</v>
      </c>
      <c r="E108" t="s">
        <v>103</v>
      </c>
      <c r="F108" t="s">
        <v>116</v>
      </c>
      <c r="G108" t="s">
        <v>30</v>
      </c>
      <c r="H108">
        <v>16</v>
      </c>
      <c r="I108">
        <v>90.06</v>
      </c>
      <c r="J108">
        <v>7.33</v>
      </c>
      <c r="P108">
        <v>28.31</v>
      </c>
      <c r="Q108">
        <v>8.5500000000000007</v>
      </c>
      <c r="R108">
        <v>16</v>
      </c>
      <c r="S108">
        <v>0</v>
      </c>
      <c r="T108">
        <v>13</v>
      </c>
      <c r="U108">
        <v>3</v>
      </c>
      <c r="V108">
        <v>24</v>
      </c>
      <c r="W108">
        <v>2</v>
      </c>
      <c r="X108" t="s">
        <v>37</v>
      </c>
      <c r="Y108">
        <v>1.8320000000000001</v>
      </c>
      <c r="Z108">
        <v>86.468999999999994</v>
      </c>
      <c r="AA108">
        <v>93.650999999999996</v>
      </c>
      <c r="AB108" t="str">
        <f t="shared" si="1"/>
        <v>5.49 [86.47, 93.65]</v>
      </c>
    </row>
    <row r="109" spans="1:28" x14ac:dyDescent="0.35">
      <c r="A109">
        <v>359</v>
      </c>
      <c r="B109">
        <v>89</v>
      </c>
      <c r="C109" t="s">
        <v>102</v>
      </c>
      <c r="D109" t="s">
        <v>32</v>
      </c>
      <c r="E109" t="s">
        <v>104</v>
      </c>
      <c r="F109" t="s">
        <v>116</v>
      </c>
      <c r="G109" t="s">
        <v>30</v>
      </c>
      <c r="H109">
        <v>17</v>
      </c>
      <c r="I109">
        <v>90</v>
      </c>
      <c r="J109">
        <v>4.26</v>
      </c>
      <c r="P109">
        <v>28.06</v>
      </c>
      <c r="Q109">
        <v>6.24</v>
      </c>
      <c r="R109">
        <v>17</v>
      </c>
      <c r="S109">
        <v>0</v>
      </c>
      <c r="T109">
        <v>17</v>
      </c>
      <c r="U109">
        <v>0</v>
      </c>
      <c r="V109">
        <v>24</v>
      </c>
      <c r="W109">
        <v>2</v>
      </c>
      <c r="X109" t="s">
        <v>37</v>
      </c>
      <c r="Y109">
        <v>1.0329999999999999</v>
      </c>
      <c r="Z109">
        <v>87.974999999999994</v>
      </c>
      <c r="AA109">
        <v>92.025000000000006</v>
      </c>
      <c r="AB109" t="str">
        <f t="shared" si="1"/>
        <v>5.17 [87.98, 92.03]</v>
      </c>
    </row>
    <row r="110" spans="1:28" x14ac:dyDescent="0.35">
      <c r="A110">
        <v>360</v>
      </c>
      <c r="B110">
        <v>90</v>
      </c>
      <c r="C110" t="s">
        <v>153</v>
      </c>
      <c r="D110" t="s">
        <v>27</v>
      </c>
      <c r="E110" t="s">
        <v>154</v>
      </c>
      <c r="F110" t="s">
        <v>116</v>
      </c>
      <c r="G110" t="s">
        <v>30</v>
      </c>
      <c r="H110">
        <v>21</v>
      </c>
      <c r="I110">
        <v>90.3</v>
      </c>
      <c r="J110">
        <v>12.19</v>
      </c>
      <c r="P110">
        <v>21.7</v>
      </c>
      <c r="Q110">
        <v>4.5999999999999996</v>
      </c>
      <c r="R110">
        <v>32</v>
      </c>
      <c r="S110">
        <v>11</v>
      </c>
      <c r="T110">
        <v>25</v>
      </c>
      <c r="U110">
        <v>7</v>
      </c>
      <c r="V110">
        <v>32.4</v>
      </c>
      <c r="W110">
        <v>2.7</v>
      </c>
      <c r="X110" t="s">
        <v>37</v>
      </c>
      <c r="Y110">
        <v>2.66</v>
      </c>
      <c r="Z110">
        <v>85.085999999999999</v>
      </c>
      <c r="AA110">
        <v>95.513999999999996</v>
      </c>
      <c r="AB110" t="str">
        <f t="shared" si="1"/>
        <v>4.22 [85.09, 95.51]</v>
      </c>
    </row>
    <row r="111" spans="1:28" x14ac:dyDescent="0.35">
      <c r="A111">
        <v>361</v>
      </c>
      <c r="B111">
        <v>90</v>
      </c>
      <c r="C111" t="s">
        <v>153</v>
      </c>
      <c r="D111" t="s">
        <v>35</v>
      </c>
      <c r="E111" t="s">
        <v>155</v>
      </c>
      <c r="F111" t="s">
        <v>116</v>
      </c>
      <c r="G111" t="s">
        <v>30</v>
      </c>
      <c r="H111">
        <v>23</v>
      </c>
      <c r="I111">
        <v>90.4</v>
      </c>
      <c r="J111">
        <v>12.75</v>
      </c>
      <c r="P111">
        <v>22.1</v>
      </c>
      <c r="Q111">
        <v>6.53</v>
      </c>
      <c r="R111">
        <v>32</v>
      </c>
      <c r="S111">
        <v>9</v>
      </c>
      <c r="T111">
        <v>28</v>
      </c>
      <c r="U111">
        <v>4</v>
      </c>
      <c r="V111">
        <v>38.4</v>
      </c>
      <c r="W111">
        <v>3.2</v>
      </c>
      <c r="X111" t="s">
        <v>31</v>
      </c>
      <c r="Y111">
        <v>2.6589999999999998</v>
      </c>
      <c r="Z111">
        <v>85.188000000000002</v>
      </c>
      <c r="AA111">
        <v>95.611999999999995</v>
      </c>
      <c r="AB111" t="str">
        <f t="shared" si="1"/>
        <v>3.87 [85.19, 95.61]</v>
      </c>
    </row>
    <row r="112" spans="1:28" x14ac:dyDescent="0.35">
      <c r="A112">
        <v>362</v>
      </c>
      <c r="B112">
        <v>93</v>
      </c>
      <c r="C112" t="s">
        <v>156</v>
      </c>
      <c r="D112" t="s">
        <v>27</v>
      </c>
      <c r="E112" t="s">
        <v>157</v>
      </c>
      <c r="F112" t="s">
        <v>116</v>
      </c>
      <c r="G112" t="s">
        <v>30</v>
      </c>
      <c r="H112">
        <v>14</v>
      </c>
      <c r="I112">
        <v>96</v>
      </c>
      <c r="J112">
        <v>2.93</v>
      </c>
      <c r="L112">
        <v>90</v>
      </c>
      <c r="M112">
        <v>98</v>
      </c>
      <c r="N112">
        <v>100</v>
      </c>
      <c r="Y112">
        <v>0.78300000000000003</v>
      </c>
      <c r="Z112">
        <v>94.465000000000003</v>
      </c>
      <c r="AA112">
        <v>97.534999999999997</v>
      </c>
      <c r="AB112" t="str">
        <f t="shared" si="1"/>
        <v>6.66 [94.47, 97.54]</v>
      </c>
    </row>
    <row r="113" spans="1:28" x14ac:dyDescent="0.35">
      <c r="A113">
        <v>363</v>
      </c>
      <c r="B113">
        <v>93</v>
      </c>
      <c r="C113" t="s">
        <v>156</v>
      </c>
      <c r="D113" t="s">
        <v>32</v>
      </c>
      <c r="E113" t="s">
        <v>158</v>
      </c>
      <c r="F113" t="s">
        <v>116</v>
      </c>
      <c r="G113" t="s">
        <v>30</v>
      </c>
      <c r="H113">
        <v>14</v>
      </c>
      <c r="I113">
        <v>95.33</v>
      </c>
      <c r="J113">
        <v>2.64</v>
      </c>
      <c r="L113">
        <v>91</v>
      </c>
      <c r="M113">
        <v>95</v>
      </c>
      <c r="N113">
        <v>100</v>
      </c>
      <c r="P113">
        <v>24.46</v>
      </c>
      <c r="Q113">
        <v>9.06</v>
      </c>
      <c r="R113">
        <v>14</v>
      </c>
      <c r="S113">
        <v>0</v>
      </c>
      <c r="T113">
        <v>11</v>
      </c>
      <c r="U113">
        <v>3</v>
      </c>
      <c r="V113">
        <v>12</v>
      </c>
      <c r="W113">
        <v>1</v>
      </c>
      <c r="X113" t="s">
        <v>61</v>
      </c>
      <c r="Y113">
        <v>0.70599999999999996</v>
      </c>
      <c r="Z113">
        <v>93.945999999999998</v>
      </c>
      <c r="AA113">
        <v>96.713999999999999</v>
      </c>
      <c r="AB113" t="str">
        <f t="shared" si="1"/>
        <v>6.61 [93.95, 96.71]</v>
      </c>
    </row>
    <row r="114" spans="1:28" x14ac:dyDescent="0.35">
      <c r="A114">
        <v>364</v>
      </c>
      <c r="B114">
        <v>96</v>
      </c>
      <c r="C114" t="s">
        <v>108</v>
      </c>
      <c r="D114" t="s">
        <v>27</v>
      </c>
      <c r="E114" t="s">
        <v>109</v>
      </c>
      <c r="F114" t="s">
        <v>116</v>
      </c>
      <c r="G114" t="s">
        <v>30</v>
      </c>
      <c r="H114">
        <v>29</v>
      </c>
      <c r="I114">
        <v>87.28</v>
      </c>
      <c r="J114">
        <v>1.76</v>
      </c>
      <c r="P114">
        <v>29.87</v>
      </c>
      <c r="Q114">
        <v>7.3</v>
      </c>
      <c r="R114">
        <v>31</v>
      </c>
      <c r="S114">
        <v>2</v>
      </c>
      <c r="T114">
        <v>19</v>
      </c>
      <c r="U114">
        <v>12</v>
      </c>
      <c r="V114">
        <v>108</v>
      </c>
      <c r="W114">
        <v>9</v>
      </c>
      <c r="X114" t="s">
        <v>31</v>
      </c>
      <c r="Y114">
        <v>0.32700000000000001</v>
      </c>
      <c r="Z114">
        <v>86.638999999999996</v>
      </c>
      <c r="AA114">
        <v>87.921000000000006</v>
      </c>
      <c r="AB114" t="str">
        <f t="shared" si="1"/>
        <v>2.98 [86.64, 87.92]</v>
      </c>
    </row>
    <row r="115" spans="1:28" x14ac:dyDescent="0.35">
      <c r="A115">
        <v>365</v>
      </c>
      <c r="B115">
        <v>96</v>
      </c>
      <c r="C115" t="s">
        <v>108</v>
      </c>
      <c r="D115" t="s">
        <v>35</v>
      </c>
      <c r="E115" t="s">
        <v>110</v>
      </c>
      <c r="F115" t="s">
        <v>116</v>
      </c>
      <c r="G115" t="s">
        <v>30</v>
      </c>
      <c r="H115">
        <v>25</v>
      </c>
      <c r="I115">
        <v>91.82</v>
      </c>
      <c r="J115">
        <v>1.71</v>
      </c>
      <c r="P115">
        <v>34.229999999999997</v>
      </c>
      <c r="Q115">
        <v>9.25</v>
      </c>
      <c r="R115">
        <v>31</v>
      </c>
      <c r="S115">
        <v>6</v>
      </c>
      <c r="T115">
        <v>18</v>
      </c>
      <c r="U115">
        <v>13</v>
      </c>
      <c r="V115">
        <v>108</v>
      </c>
      <c r="W115">
        <v>9</v>
      </c>
      <c r="X115" t="s">
        <v>31</v>
      </c>
      <c r="Y115">
        <v>0.34200000000000003</v>
      </c>
      <c r="Z115">
        <v>91.15</v>
      </c>
      <c r="AA115">
        <v>92.49</v>
      </c>
      <c r="AB115" t="str">
        <f t="shared" si="1"/>
        <v>3.62 [91.15, 92.49]</v>
      </c>
    </row>
    <row r="116" spans="1:28" x14ac:dyDescent="0.35">
      <c r="A116">
        <v>366</v>
      </c>
      <c r="B116">
        <v>97</v>
      </c>
      <c r="C116" t="s">
        <v>159</v>
      </c>
      <c r="D116" t="s">
        <v>35</v>
      </c>
      <c r="E116" t="s">
        <v>160</v>
      </c>
      <c r="F116" t="s">
        <v>116</v>
      </c>
      <c r="G116" t="s">
        <v>30</v>
      </c>
      <c r="H116">
        <v>36</v>
      </c>
      <c r="I116">
        <v>92.4</v>
      </c>
      <c r="J116">
        <v>4.32</v>
      </c>
      <c r="P116">
        <v>30.06</v>
      </c>
      <c r="Q116">
        <v>8.8699999999999992</v>
      </c>
      <c r="R116">
        <v>36</v>
      </c>
      <c r="S116">
        <v>0</v>
      </c>
      <c r="T116">
        <v>32</v>
      </c>
      <c r="U116">
        <v>4</v>
      </c>
      <c r="V116">
        <v>12</v>
      </c>
      <c r="W116">
        <v>1</v>
      </c>
      <c r="X116" t="s">
        <v>61</v>
      </c>
      <c r="Y116">
        <v>0.72</v>
      </c>
      <c r="Z116">
        <v>90.989000000000004</v>
      </c>
      <c r="AA116">
        <v>93.811000000000007</v>
      </c>
      <c r="AB116" t="str">
        <f t="shared" si="1"/>
        <v>2.55 [90.99, 93.81]</v>
      </c>
    </row>
    <row r="117" spans="1:28" x14ac:dyDescent="0.35">
      <c r="A117">
        <v>367</v>
      </c>
      <c r="B117">
        <v>97</v>
      </c>
      <c r="C117" t="s">
        <v>159</v>
      </c>
      <c r="D117" t="s">
        <v>32</v>
      </c>
      <c r="E117" t="s">
        <v>161</v>
      </c>
      <c r="F117" t="s">
        <v>116</v>
      </c>
      <c r="G117" t="s">
        <v>30</v>
      </c>
      <c r="H117">
        <v>33</v>
      </c>
      <c r="I117">
        <v>88.2</v>
      </c>
      <c r="J117">
        <v>3.36</v>
      </c>
      <c r="P117">
        <v>28.73</v>
      </c>
      <c r="Q117">
        <v>8.8000000000000007</v>
      </c>
      <c r="R117">
        <v>33</v>
      </c>
      <c r="S117">
        <v>0</v>
      </c>
      <c r="T117">
        <v>30</v>
      </c>
      <c r="U117">
        <v>3</v>
      </c>
      <c r="V117">
        <v>12</v>
      </c>
      <c r="W117">
        <v>1</v>
      </c>
      <c r="X117" t="s">
        <v>61</v>
      </c>
      <c r="Y117">
        <v>0.58499999999999996</v>
      </c>
      <c r="Z117">
        <v>87.052999999999997</v>
      </c>
      <c r="AA117">
        <v>89.346999999999994</v>
      </c>
      <c r="AB117" t="str">
        <f t="shared" si="1"/>
        <v>2.65 [87.05, 89.35]</v>
      </c>
    </row>
    <row r="118" spans="1:28" x14ac:dyDescent="0.35">
      <c r="A118">
        <v>368</v>
      </c>
      <c r="B118">
        <v>98</v>
      </c>
      <c r="C118" t="s">
        <v>162</v>
      </c>
      <c r="D118" t="s">
        <v>35</v>
      </c>
      <c r="E118" t="s">
        <v>163</v>
      </c>
      <c r="F118" t="s">
        <v>116</v>
      </c>
      <c r="G118" t="s">
        <v>30</v>
      </c>
      <c r="H118">
        <v>68</v>
      </c>
      <c r="I118">
        <v>96</v>
      </c>
      <c r="J118">
        <v>6.99</v>
      </c>
      <c r="K118">
        <v>67</v>
      </c>
      <c r="O118">
        <v>100</v>
      </c>
      <c r="P118">
        <v>30</v>
      </c>
      <c r="Q118">
        <v>9.9600000000000009</v>
      </c>
      <c r="R118">
        <v>68</v>
      </c>
      <c r="S118">
        <v>0</v>
      </c>
      <c r="T118">
        <v>61</v>
      </c>
      <c r="U118">
        <v>7</v>
      </c>
      <c r="V118">
        <v>32.799999999999997</v>
      </c>
      <c r="W118">
        <v>2.7</v>
      </c>
      <c r="X118" t="s">
        <v>37</v>
      </c>
      <c r="Y118">
        <v>0.84799999999999998</v>
      </c>
      <c r="Z118">
        <v>94.337999999999994</v>
      </c>
      <c r="AA118">
        <v>97.662000000000006</v>
      </c>
      <c r="AB118" t="str">
        <f t="shared" si="1"/>
        <v>1.41 [94.34, 97.66]</v>
      </c>
    </row>
    <row r="119" spans="1:28" x14ac:dyDescent="0.35">
      <c r="A119">
        <v>369</v>
      </c>
      <c r="B119">
        <v>98</v>
      </c>
      <c r="C119" t="s">
        <v>162</v>
      </c>
      <c r="D119" t="s">
        <v>45</v>
      </c>
      <c r="E119" t="s">
        <v>164</v>
      </c>
      <c r="F119" t="s">
        <v>116</v>
      </c>
      <c r="G119" t="s">
        <v>30</v>
      </c>
      <c r="H119">
        <v>64</v>
      </c>
      <c r="I119">
        <v>93</v>
      </c>
      <c r="J119">
        <v>5.78</v>
      </c>
      <c r="K119">
        <v>73</v>
      </c>
      <c r="O119">
        <v>100</v>
      </c>
      <c r="P119">
        <v>24</v>
      </c>
      <c r="Q119">
        <v>8.35</v>
      </c>
      <c r="R119">
        <v>64</v>
      </c>
      <c r="S119">
        <v>0</v>
      </c>
      <c r="T119">
        <v>59</v>
      </c>
      <c r="U119">
        <v>5</v>
      </c>
      <c r="V119">
        <v>34.5</v>
      </c>
      <c r="W119">
        <v>2.9</v>
      </c>
      <c r="X119" t="s">
        <v>37</v>
      </c>
      <c r="Y119">
        <v>0.72199999999999998</v>
      </c>
      <c r="Z119">
        <v>91.584999999999994</v>
      </c>
      <c r="AA119">
        <v>94.415000000000006</v>
      </c>
      <c r="AB119" t="str">
        <f t="shared" si="1"/>
        <v>1.45 [91.59, 94.42]</v>
      </c>
    </row>
    <row r="120" spans="1:28" x14ac:dyDescent="0.35">
      <c r="A120">
        <v>434</v>
      </c>
      <c r="B120">
        <v>1</v>
      </c>
      <c r="C120" t="s">
        <v>165</v>
      </c>
      <c r="D120" t="s">
        <v>27</v>
      </c>
      <c r="E120" t="s">
        <v>166</v>
      </c>
      <c r="F120" t="s">
        <v>167</v>
      </c>
      <c r="G120" t="s">
        <v>30</v>
      </c>
      <c r="H120">
        <v>16</v>
      </c>
      <c r="I120">
        <v>4.17</v>
      </c>
      <c r="J120">
        <v>1.41</v>
      </c>
      <c r="K120">
        <v>2</v>
      </c>
      <c r="M120">
        <v>4</v>
      </c>
      <c r="O120">
        <v>7</v>
      </c>
      <c r="P120">
        <v>32</v>
      </c>
      <c r="Q120">
        <v>5</v>
      </c>
      <c r="R120">
        <v>20</v>
      </c>
      <c r="S120">
        <v>4</v>
      </c>
      <c r="T120">
        <v>15</v>
      </c>
      <c r="U120">
        <v>5</v>
      </c>
      <c r="V120">
        <v>36</v>
      </c>
      <c r="W120">
        <v>3</v>
      </c>
      <c r="X120" t="s">
        <v>37</v>
      </c>
      <c r="Y120">
        <v>0.35199999999999998</v>
      </c>
      <c r="Z120">
        <v>3.48</v>
      </c>
      <c r="AA120">
        <v>4.8600000000000003</v>
      </c>
      <c r="AB120" t="str">
        <f t="shared" si="1"/>
        <v>0.28 [3.48, 4.86]</v>
      </c>
    </row>
    <row r="121" spans="1:28" x14ac:dyDescent="0.35">
      <c r="A121">
        <v>435</v>
      </c>
      <c r="B121">
        <v>1</v>
      </c>
      <c r="C121" t="s">
        <v>165</v>
      </c>
      <c r="D121" t="s">
        <v>35</v>
      </c>
      <c r="E121" t="s">
        <v>168</v>
      </c>
      <c r="F121" t="s">
        <v>167</v>
      </c>
      <c r="G121" t="s">
        <v>30</v>
      </c>
      <c r="H121">
        <v>20</v>
      </c>
      <c r="I121">
        <v>3.15</v>
      </c>
      <c r="J121">
        <v>1.34</v>
      </c>
      <c r="K121">
        <v>1</v>
      </c>
      <c r="M121">
        <v>3</v>
      </c>
      <c r="O121">
        <v>6</v>
      </c>
      <c r="P121">
        <v>28</v>
      </c>
      <c r="Q121">
        <v>4.4000000000000004</v>
      </c>
      <c r="R121">
        <v>16</v>
      </c>
      <c r="S121">
        <v>-4</v>
      </c>
      <c r="T121">
        <v>12</v>
      </c>
      <c r="U121">
        <v>4</v>
      </c>
      <c r="V121">
        <v>36</v>
      </c>
      <c r="W121">
        <v>3</v>
      </c>
      <c r="X121" t="s">
        <v>37</v>
      </c>
      <c r="Y121">
        <v>0.3</v>
      </c>
      <c r="Z121">
        <v>2.5619999999999998</v>
      </c>
      <c r="AA121">
        <v>3.738</v>
      </c>
      <c r="AB121" t="str">
        <f t="shared" si="1"/>
        <v>0.18 [2.56, 3.74]</v>
      </c>
    </row>
    <row r="122" spans="1:28" x14ac:dyDescent="0.35">
      <c r="A122">
        <v>436</v>
      </c>
      <c r="B122">
        <v>3</v>
      </c>
      <c r="C122" t="s">
        <v>114</v>
      </c>
      <c r="D122" t="s">
        <v>27</v>
      </c>
      <c r="E122" t="s">
        <v>115</v>
      </c>
      <c r="F122" t="s">
        <v>167</v>
      </c>
      <c r="G122" t="s">
        <v>30</v>
      </c>
      <c r="H122">
        <v>25</v>
      </c>
      <c r="I122">
        <v>4.87</v>
      </c>
      <c r="J122">
        <v>2.29</v>
      </c>
      <c r="K122">
        <v>0</v>
      </c>
      <c r="M122">
        <v>5</v>
      </c>
      <c r="O122">
        <v>9</v>
      </c>
      <c r="P122">
        <v>27.41</v>
      </c>
      <c r="Q122">
        <v>8.9</v>
      </c>
      <c r="R122">
        <v>22</v>
      </c>
      <c r="S122">
        <v>-3</v>
      </c>
      <c r="T122">
        <v>14</v>
      </c>
      <c r="U122">
        <v>8</v>
      </c>
      <c r="V122">
        <v>90.27</v>
      </c>
      <c r="W122">
        <v>7.5</v>
      </c>
      <c r="X122" t="s">
        <v>31</v>
      </c>
      <c r="Y122">
        <v>0.45800000000000002</v>
      </c>
      <c r="Z122">
        <v>3.972</v>
      </c>
      <c r="AA122">
        <v>5.7679999999999998</v>
      </c>
      <c r="AB122" t="str">
        <f t="shared" si="1"/>
        <v>0.21 [3.97, 5.77]</v>
      </c>
    </row>
    <row r="123" spans="1:28" x14ac:dyDescent="0.35">
      <c r="A123">
        <v>437</v>
      </c>
      <c r="B123">
        <v>3</v>
      </c>
      <c r="C123" t="s">
        <v>114</v>
      </c>
      <c r="D123" t="s">
        <v>35</v>
      </c>
      <c r="E123" t="s">
        <v>117</v>
      </c>
      <c r="F123" t="s">
        <v>167</v>
      </c>
      <c r="G123" t="s">
        <v>30</v>
      </c>
      <c r="H123">
        <v>22</v>
      </c>
      <c r="I123">
        <v>4.8600000000000003</v>
      </c>
      <c r="J123">
        <v>1.31</v>
      </c>
      <c r="K123">
        <v>2</v>
      </c>
      <c r="M123">
        <v>5</v>
      </c>
      <c r="O123">
        <v>7</v>
      </c>
      <c r="P123">
        <v>28.6</v>
      </c>
      <c r="Q123">
        <v>6.36</v>
      </c>
      <c r="R123">
        <v>25</v>
      </c>
      <c r="S123">
        <v>3</v>
      </c>
      <c r="T123">
        <v>18</v>
      </c>
      <c r="U123">
        <v>7</v>
      </c>
      <c r="V123">
        <v>86.79</v>
      </c>
      <c r="W123">
        <v>7.2</v>
      </c>
      <c r="X123" t="s">
        <v>31</v>
      </c>
      <c r="Y123">
        <v>0.27900000000000003</v>
      </c>
      <c r="Z123">
        <v>4.3129999999999997</v>
      </c>
      <c r="AA123">
        <v>5.407</v>
      </c>
      <c r="AB123" t="str">
        <f t="shared" si="1"/>
        <v>0.24 [4.31, 5.41]</v>
      </c>
    </row>
    <row r="124" spans="1:28" x14ac:dyDescent="0.35">
      <c r="A124">
        <v>438</v>
      </c>
      <c r="B124">
        <v>9</v>
      </c>
      <c r="C124" t="s">
        <v>118</v>
      </c>
      <c r="D124" t="s">
        <v>27</v>
      </c>
      <c r="E124" t="s">
        <v>119</v>
      </c>
      <c r="F124" t="s">
        <v>167</v>
      </c>
      <c r="G124" t="s">
        <v>30</v>
      </c>
      <c r="H124">
        <v>78</v>
      </c>
      <c r="I124">
        <v>5.8</v>
      </c>
      <c r="J124">
        <v>1.87</v>
      </c>
      <c r="K124">
        <v>0</v>
      </c>
      <c r="M124">
        <v>6</v>
      </c>
      <c r="O124">
        <v>9</v>
      </c>
      <c r="P124">
        <v>33</v>
      </c>
      <c r="Q124">
        <v>6.3</v>
      </c>
      <c r="R124">
        <v>78</v>
      </c>
      <c r="S124">
        <v>0</v>
      </c>
      <c r="T124">
        <v>38</v>
      </c>
      <c r="U124">
        <v>40</v>
      </c>
      <c r="V124">
        <v>96</v>
      </c>
      <c r="W124">
        <v>8</v>
      </c>
      <c r="X124" t="s">
        <v>31</v>
      </c>
      <c r="Y124">
        <v>0.21199999999999999</v>
      </c>
      <c r="Z124">
        <v>5.3840000000000003</v>
      </c>
      <c r="AA124">
        <v>6.2160000000000002</v>
      </c>
      <c r="AB124" t="str">
        <f t="shared" si="1"/>
        <v>0.08 [5.38, 6.22]</v>
      </c>
    </row>
    <row r="125" spans="1:28" x14ac:dyDescent="0.35">
      <c r="A125">
        <v>439</v>
      </c>
      <c r="B125">
        <v>9</v>
      </c>
      <c r="C125" t="s">
        <v>118</v>
      </c>
      <c r="D125" t="s">
        <v>35</v>
      </c>
      <c r="E125" t="s">
        <v>120</v>
      </c>
      <c r="F125" t="s">
        <v>167</v>
      </c>
      <c r="G125" t="s">
        <v>30</v>
      </c>
      <c r="H125">
        <v>75</v>
      </c>
      <c r="I125">
        <v>4.07</v>
      </c>
      <c r="J125">
        <v>1.88</v>
      </c>
      <c r="K125">
        <v>0</v>
      </c>
      <c r="M125">
        <v>4</v>
      </c>
      <c r="O125">
        <v>9</v>
      </c>
      <c r="P125">
        <v>35</v>
      </c>
      <c r="Q125">
        <v>7.5</v>
      </c>
      <c r="R125">
        <v>75</v>
      </c>
      <c r="S125">
        <v>0</v>
      </c>
      <c r="T125">
        <v>51</v>
      </c>
      <c r="U125">
        <v>24</v>
      </c>
      <c r="V125">
        <v>96</v>
      </c>
      <c r="W125">
        <v>8</v>
      </c>
      <c r="X125" t="s">
        <v>31</v>
      </c>
      <c r="Y125">
        <v>0.217</v>
      </c>
      <c r="Z125">
        <v>3.645</v>
      </c>
      <c r="AA125">
        <v>4.4950000000000001</v>
      </c>
      <c r="AB125" t="str">
        <f t="shared" si="1"/>
        <v>0.06 [3.65, 4.50]</v>
      </c>
    </row>
    <row r="126" spans="1:28" x14ac:dyDescent="0.35">
      <c r="A126">
        <v>440</v>
      </c>
      <c r="B126">
        <v>10</v>
      </c>
      <c r="C126" t="s">
        <v>26</v>
      </c>
      <c r="D126" t="s">
        <v>27</v>
      </c>
      <c r="E126" t="s">
        <v>28</v>
      </c>
      <c r="F126" t="s">
        <v>167</v>
      </c>
      <c r="G126" t="s">
        <v>30</v>
      </c>
      <c r="H126">
        <v>43</v>
      </c>
      <c r="I126">
        <v>6.1</v>
      </c>
      <c r="J126">
        <v>1.1399999999999999</v>
      </c>
      <c r="K126">
        <v>4</v>
      </c>
      <c r="M126">
        <v>6</v>
      </c>
      <c r="O126">
        <v>9</v>
      </c>
      <c r="P126">
        <v>30.6</v>
      </c>
      <c r="Q126">
        <v>7.5</v>
      </c>
      <c r="R126">
        <v>30</v>
      </c>
      <c r="S126">
        <v>-13</v>
      </c>
      <c r="T126">
        <v>17</v>
      </c>
      <c r="U126">
        <v>13</v>
      </c>
      <c r="V126">
        <v>122.4</v>
      </c>
      <c r="W126">
        <v>10.199999999999999</v>
      </c>
      <c r="X126" t="s">
        <v>31</v>
      </c>
      <c r="Y126">
        <v>0.17399999999999999</v>
      </c>
      <c r="Z126">
        <v>5.7590000000000003</v>
      </c>
      <c r="AA126">
        <v>6.4409999999999998</v>
      </c>
      <c r="AB126" t="str">
        <f t="shared" si="1"/>
        <v>0.15 [5.76, 6.44]</v>
      </c>
    </row>
    <row r="127" spans="1:28" x14ac:dyDescent="0.35">
      <c r="A127">
        <v>441</v>
      </c>
      <c r="B127">
        <v>10</v>
      </c>
      <c r="C127" t="s">
        <v>26</v>
      </c>
      <c r="D127" t="s">
        <v>32</v>
      </c>
      <c r="E127" t="s">
        <v>33</v>
      </c>
      <c r="F127" t="s">
        <v>167</v>
      </c>
      <c r="G127" t="s">
        <v>30</v>
      </c>
      <c r="H127">
        <v>43</v>
      </c>
      <c r="I127">
        <v>6.1</v>
      </c>
      <c r="J127">
        <v>1.1399999999999999</v>
      </c>
      <c r="K127">
        <v>4</v>
      </c>
      <c r="M127">
        <v>6</v>
      </c>
      <c r="O127">
        <v>9</v>
      </c>
      <c r="P127">
        <v>30.5</v>
      </c>
      <c r="Q127">
        <v>7.8</v>
      </c>
      <c r="R127">
        <v>30</v>
      </c>
      <c r="S127">
        <v>-13</v>
      </c>
      <c r="T127">
        <v>17</v>
      </c>
      <c r="U127">
        <v>13</v>
      </c>
      <c r="V127">
        <v>123.6</v>
      </c>
      <c r="W127">
        <v>10.3</v>
      </c>
      <c r="X127" t="s">
        <v>31</v>
      </c>
      <c r="Y127">
        <v>0.17399999999999999</v>
      </c>
      <c r="Z127">
        <v>5.7590000000000003</v>
      </c>
      <c r="AA127">
        <v>6.4409999999999998</v>
      </c>
      <c r="AB127" t="str">
        <f t="shared" si="1"/>
        <v>0.15 [5.76, 6.44]</v>
      </c>
    </row>
    <row r="128" spans="1:28" x14ac:dyDescent="0.35">
      <c r="A128">
        <v>444</v>
      </c>
      <c r="B128">
        <v>13</v>
      </c>
      <c r="C128" t="s">
        <v>40</v>
      </c>
      <c r="D128" t="s">
        <v>27</v>
      </c>
      <c r="E128" t="s">
        <v>41</v>
      </c>
      <c r="F128" t="s">
        <v>167</v>
      </c>
      <c r="G128" t="s">
        <v>30</v>
      </c>
      <c r="H128">
        <v>61</v>
      </c>
      <c r="I128">
        <v>4.0999999999999996</v>
      </c>
      <c r="J128">
        <v>1.7</v>
      </c>
      <c r="P128">
        <v>28.2</v>
      </c>
      <c r="Q128">
        <v>9.1</v>
      </c>
      <c r="R128">
        <v>61</v>
      </c>
      <c r="S128">
        <v>0</v>
      </c>
      <c r="T128">
        <v>42</v>
      </c>
      <c r="U128">
        <v>19</v>
      </c>
      <c r="V128">
        <v>202.6</v>
      </c>
      <c r="W128">
        <v>16.899999999999999</v>
      </c>
      <c r="X128" t="s">
        <v>31</v>
      </c>
      <c r="Y128">
        <v>0.218</v>
      </c>
      <c r="Z128">
        <v>3.673</v>
      </c>
      <c r="AA128">
        <v>4.5270000000000001</v>
      </c>
      <c r="AB128" t="str">
        <f t="shared" si="1"/>
        <v>0.07 [3.67, 4.53]</v>
      </c>
    </row>
    <row r="129" spans="1:28" x14ac:dyDescent="0.35">
      <c r="A129">
        <v>445</v>
      </c>
      <c r="B129">
        <v>13</v>
      </c>
      <c r="C129" t="s">
        <v>40</v>
      </c>
      <c r="D129" t="s">
        <v>35</v>
      </c>
      <c r="E129" t="s">
        <v>42</v>
      </c>
      <c r="F129" t="s">
        <v>167</v>
      </c>
      <c r="G129" t="s">
        <v>30</v>
      </c>
      <c r="H129">
        <v>86</v>
      </c>
      <c r="I129">
        <v>4</v>
      </c>
      <c r="J129">
        <v>1.7</v>
      </c>
      <c r="P129">
        <v>26.8</v>
      </c>
      <c r="Q129">
        <v>7.6</v>
      </c>
      <c r="R129">
        <v>86</v>
      </c>
      <c r="S129">
        <v>0</v>
      </c>
      <c r="T129">
        <v>53</v>
      </c>
      <c r="U129">
        <v>33</v>
      </c>
      <c r="V129">
        <v>191.9</v>
      </c>
      <c r="W129">
        <v>16</v>
      </c>
      <c r="X129" t="s">
        <v>31</v>
      </c>
      <c r="Y129">
        <v>0.183</v>
      </c>
      <c r="Z129">
        <v>3.641</v>
      </c>
      <c r="AA129">
        <v>4.359</v>
      </c>
      <c r="AB129" t="str">
        <f t="shared" si="1"/>
        <v>0.05 [3.64, 4.36]</v>
      </c>
    </row>
    <row r="130" spans="1:28" x14ac:dyDescent="0.35">
      <c r="A130">
        <v>446</v>
      </c>
      <c r="B130">
        <v>14</v>
      </c>
      <c r="C130" t="s">
        <v>43</v>
      </c>
      <c r="D130" t="s">
        <v>35</v>
      </c>
      <c r="E130" t="s">
        <v>44</v>
      </c>
      <c r="F130" t="s">
        <v>167</v>
      </c>
      <c r="G130" t="s">
        <v>30</v>
      </c>
      <c r="H130">
        <v>44</v>
      </c>
      <c r="I130">
        <v>5.0999999999999996</v>
      </c>
      <c r="J130">
        <v>2.2000000000000002</v>
      </c>
      <c r="P130">
        <v>28.9</v>
      </c>
      <c r="Q130">
        <v>5.8</v>
      </c>
      <c r="R130">
        <v>48</v>
      </c>
      <c r="S130">
        <v>4</v>
      </c>
      <c r="T130">
        <v>41</v>
      </c>
      <c r="U130">
        <v>7</v>
      </c>
      <c r="V130">
        <v>120</v>
      </c>
      <c r="W130">
        <v>10</v>
      </c>
      <c r="X130" t="s">
        <v>31</v>
      </c>
      <c r="Y130">
        <v>0.33200000000000002</v>
      </c>
      <c r="Z130">
        <v>4.4489999999999998</v>
      </c>
      <c r="AA130">
        <v>5.7510000000000003</v>
      </c>
      <c r="AB130" t="str">
        <f t="shared" si="1"/>
        <v>0.13 [4.45, 5.75]</v>
      </c>
    </row>
    <row r="131" spans="1:28" x14ac:dyDescent="0.35">
      <c r="A131">
        <v>447</v>
      </c>
      <c r="B131">
        <v>14</v>
      </c>
      <c r="C131" t="s">
        <v>43</v>
      </c>
      <c r="D131" t="s">
        <v>45</v>
      </c>
      <c r="E131" t="s">
        <v>46</v>
      </c>
      <c r="F131" t="s">
        <v>167</v>
      </c>
      <c r="G131" t="s">
        <v>30</v>
      </c>
      <c r="H131">
        <v>36</v>
      </c>
      <c r="I131">
        <v>5.0999999999999996</v>
      </c>
      <c r="J131">
        <v>2</v>
      </c>
      <c r="P131">
        <v>29.2</v>
      </c>
      <c r="Q131">
        <v>5.5</v>
      </c>
      <c r="R131">
        <v>49</v>
      </c>
      <c r="S131">
        <v>13</v>
      </c>
      <c r="T131">
        <v>43</v>
      </c>
      <c r="U131">
        <v>6</v>
      </c>
      <c r="V131">
        <v>120</v>
      </c>
      <c r="W131">
        <v>10</v>
      </c>
      <c r="X131" t="s">
        <v>31</v>
      </c>
      <c r="Y131">
        <v>0.33300000000000002</v>
      </c>
      <c r="Z131">
        <v>4.4470000000000001</v>
      </c>
      <c r="AA131">
        <v>5.7530000000000001</v>
      </c>
      <c r="AB131" t="str">
        <f t="shared" ref="AB131:AB194" si="2">TEXT((I131+0.5)/(H131+0.5), "#0.00")&amp;" ["&amp;TEXT(Z131, "#0.00")&amp;", "&amp;TEXT(AA131, "#0.00")&amp;"]"</f>
        <v>0.15 [4.45, 5.75]</v>
      </c>
    </row>
    <row r="132" spans="1:28" x14ac:dyDescent="0.35">
      <c r="A132">
        <v>448</v>
      </c>
      <c r="B132">
        <v>23</v>
      </c>
      <c r="C132" t="s">
        <v>121</v>
      </c>
      <c r="D132" t="s">
        <v>27</v>
      </c>
      <c r="E132" t="s">
        <v>122</v>
      </c>
      <c r="F132" t="s">
        <v>167</v>
      </c>
      <c r="G132" t="s">
        <v>30</v>
      </c>
      <c r="H132">
        <v>32</v>
      </c>
      <c r="I132">
        <v>5.77</v>
      </c>
      <c r="J132">
        <v>1.94</v>
      </c>
      <c r="K132">
        <v>1</v>
      </c>
      <c r="M132">
        <v>6</v>
      </c>
      <c r="O132">
        <v>9</v>
      </c>
      <c r="P132">
        <v>27.26</v>
      </c>
      <c r="Q132">
        <v>8.4700000000000006</v>
      </c>
      <c r="R132">
        <v>32</v>
      </c>
      <c r="S132">
        <v>0</v>
      </c>
      <c r="T132">
        <v>21</v>
      </c>
      <c r="U132">
        <v>11</v>
      </c>
      <c r="V132">
        <v>24</v>
      </c>
      <c r="W132">
        <v>2</v>
      </c>
      <c r="X132" t="s">
        <v>37</v>
      </c>
      <c r="Y132">
        <v>0.34300000000000003</v>
      </c>
      <c r="Z132">
        <v>5.0979999999999999</v>
      </c>
      <c r="AA132">
        <v>6.4420000000000002</v>
      </c>
      <c r="AB132" t="str">
        <f t="shared" si="2"/>
        <v>0.19 [5.10, 6.44]</v>
      </c>
    </row>
    <row r="133" spans="1:28" x14ac:dyDescent="0.35">
      <c r="A133">
        <v>449</v>
      </c>
      <c r="B133">
        <v>23</v>
      </c>
      <c r="C133" t="s">
        <v>121</v>
      </c>
      <c r="D133" t="s">
        <v>35</v>
      </c>
      <c r="E133" t="s">
        <v>123</v>
      </c>
      <c r="F133" t="s">
        <v>167</v>
      </c>
      <c r="G133" t="s">
        <v>30</v>
      </c>
      <c r="H133">
        <v>34</v>
      </c>
      <c r="I133">
        <v>6.39</v>
      </c>
      <c r="J133">
        <v>1.43</v>
      </c>
      <c r="K133">
        <v>3</v>
      </c>
      <c r="M133">
        <v>6.5</v>
      </c>
      <c r="O133">
        <v>9</v>
      </c>
      <c r="P133">
        <v>30.77</v>
      </c>
      <c r="Q133">
        <v>10.52</v>
      </c>
      <c r="R133">
        <v>34</v>
      </c>
      <c r="S133">
        <v>0</v>
      </c>
      <c r="T133">
        <v>25</v>
      </c>
      <c r="U133">
        <v>9</v>
      </c>
      <c r="V133">
        <v>24</v>
      </c>
      <c r="W133">
        <v>2</v>
      </c>
      <c r="X133" t="s">
        <v>37</v>
      </c>
      <c r="Y133">
        <v>0.245</v>
      </c>
      <c r="Z133">
        <v>5.91</v>
      </c>
      <c r="AA133">
        <v>6.87</v>
      </c>
      <c r="AB133" t="str">
        <f t="shared" si="2"/>
        <v>0.20 [5.91, 6.87]</v>
      </c>
    </row>
    <row r="134" spans="1:28" x14ac:dyDescent="0.35">
      <c r="A134">
        <v>454</v>
      </c>
      <c r="B134">
        <v>33</v>
      </c>
      <c r="C134" t="s">
        <v>124</v>
      </c>
      <c r="D134" t="s">
        <v>27</v>
      </c>
      <c r="E134" t="s">
        <v>125</v>
      </c>
      <c r="F134" t="s">
        <v>167</v>
      </c>
      <c r="G134" t="s">
        <v>30</v>
      </c>
      <c r="H134">
        <v>37</v>
      </c>
      <c r="I134">
        <v>5.89</v>
      </c>
      <c r="J134">
        <v>2.12</v>
      </c>
      <c r="K134">
        <v>1</v>
      </c>
      <c r="M134">
        <v>6</v>
      </c>
      <c r="O134">
        <v>10</v>
      </c>
      <c r="V134">
        <v>60.6</v>
      </c>
      <c r="W134">
        <v>5.0999999999999996</v>
      </c>
      <c r="X134" t="s">
        <v>31</v>
      </c>
      <c r="Y134">
        <v>0.34899999999999998</v>
      </c>
      <c r="Z134">
        <v>5.2060000000000004</v>
      </c>
      <c r="AA134">
        <v>6.5739999999999998</v>
      </c>
      <c r="AB134" t="str">
        <f t="shared" si="2"/>
        <v>0.17 [5.21, 6.57]</v>
      </c>
    </row>
    <row r="135" spans="1:28" x14ac:dyDescent="0.35">
      <c r="A135">
        <v>455</v>
      </c>
      <c r="B135">
        <v>33</v>
      </c>
      <c r="C135" t="s">
        <v>124</v>
      </c>
      <c r="D135" t="s">
        <v>35</v>
      </c>
      <c r="E135" t="s">
        <v>126</v>
      </c>
      <c r="F135" t="s">
        <v>167</v>
      </c>
      <c r="G135" t="s">
        <v>30</v>
      </c>
      <c r="H135">
        <v>37</v>
      </c>
      <c r="I135">
        <v>6</v>
      </c>
      <c r="J135">
        <v>1.41</v>
      </c>
      <c r="K135">
        <v>3</v>
      </c>
      <c r="M135">
        <v>6</v>
      </c>
      <c r="O135">
        <v>9</v>
      </c>
      <c r="V135">
        <v>60.6</v>
      </c>
      <c r="W135">
        <v>5.0999999999999996</v>
      </c>
      <c r="X135" t="s">
        <v>31</v>
      </c>
      <c r="Y135">
        <v>0.23200000000000001</v>
      </c>
      <c r="Z135">
        <v>5.5449999999999999</v>
      </c>
      <c r="AA135">
        <v>6.4550000000000001</v>
      </c>
      <c r="AB135" t="str">
        <f t="shared" si="2"/>
        <v>0.17 [5.55, 6.46]</v>
      </c>
    </row>
    <row r="136" spans="1:28" x14ac:dyDescent="0.35">
      <c r="A136">
        <v>456</v>
      </c>
      <c r="B136">
        <v>34</v>
      </c>
      <c r="C136" t="s">
        <v>169</v>
      </c>
      <c r="D136" t="s">
        <v>27</v>
      </c>
      <c r="E136" t="s">
        <v>170</v>
      </c>
      <c r="F136" t="s">
        <v>167</v>
      </c>
      <c r="G136" t="s">
        <v>30</v>
      </c>
      <c r="H136">
        <v>30</v>
      </c>
      <c r="I136">
        <v>6.64</v>
      </c>
      <c r="J136">
        <v>2.21</v>
      </c>
      <c r="K136">
        <v>1</v>
      </c>
      <c r="M136">
        <v>7</v>
      </c>
      <c r="O136">
        <v>10</v>
      </c>
      <c r="P136">
        <v>29</v>
      </c>
      <c r="Q136">
        <v>7</v>
      </c>
      <c r="R136">
        <v>34</v>
      </c>
      <c r="S136">
        <v>4</v>
      </c>
      <c r="T136">
        <v>22</v>
      </c>
      <c r="U136">
        <v>12</v>
      </c>
      <c r="V136">
        <v>24.7</v>
      </c>
      <c r="W136">
        <v>2.1</v>
      </c>
      <c r="X136" t="s">
        <v>37</v>
      </c>
      <c r="Y136">
        <v>0.40300000000000002</v>
      </c>
      <c r="Z136">
        <v>5.85</v>
      </c>
      <c r="AA136">
        <v>7.43</v>
      </c>
      <c r="AB136" t="str">
        <f t="shared" si="2"/>
        <v>0.23 [5.85, 7.43]</v>
      </c>
    </row>
    <row r="137" spans="1:28" x14ac:dyDescent="0.35">
      <c r="A137">
        <v>457</v>
      </c>
      <c r="B137">
        <v>34</v>
      </c>
      <c r="C137" t="s">
        <v>169</v>
      </c>
      <c r="D137" t="s">
        <v>35</v>
      </c>
      <c r="E137" t="s">
        <v>171</v>
      </c>
      <c r="F137" t="s">
        <v>167</v>
      </c>
      <c r="G137" t="s">
        <v>30</v>
      </c>
      <c r="H137">
        <v>29</v>
      </c>
      <c r="I137">
        <v>5</v>
      </c>
      <c r="J137">
        <v>1.48</v>
      </c>
      <c r="K137">
        <v>2</v>
      </c>
      <c r="M137">
        <v>5</v>
      </c>
      <c r="O137">
        <v>8</v>
      </c>
      <c r="P137">
        <v>30</v>
      </c>
      <c r="Q137">
        <v>9</v>
      </c>
      <c r="R137">
        <v>34</v>
      </c>
      <c r="S137">
        <v>5</v>
      </c>
      <c r="T137">
        <v>14</v>
      </c>
      <c r="U137">
        <v>20</v>
      </c>
      <c r="V137">
        <v>24.7</v>
      </c>
      <c r="W137">
        <v>2.1</v>
      </c>
      <c r="X137" t="s">
        <v>37</v>
      </c>
      <c r="Y137">
        <v>0.27500000000000002</v>
      </c>
      <c r="Z137">
        <v>4.4610000000000003</v>
      </c>
      <c r="AA137">
        <v>5.5389999999999997</v>
      </c>
      <c r="AB137" t="str">
        <f t="shared" si="2"/>
        <v>0.19 [4.46, 5.54]</v>
      </c>
    </row>
    <row r="138" spans="1:28" x14ac:dyDescent="0.35">
      <c r="A138">
        <v>458</v>
      </c>
      <c r="B138">
        <v>41</v>
      </c>
      <c r="C138" t="s">
        <v>172</v>
      </c>
      <c r="D138" t="s">
        <v>27</v>
      </c>
      <c r="E138" t="s">
        <v>173</v>
      </c>
      <c r="F138" t="s">
        <v>167</v>
      </c>
      <c r="G138" t="s">
        <v>30</v>
      </c>
      <c r="H138">
        <v>43</v>
      </c>
      <c r="I138">
        <v>5.98</v>
      </c>
      <c r="J138">
        <v>1.6</v>
      </c>
      <c r="K138">
        <v>2</v>
      </c>
      <c r="M138">
        <v>6.1</v>
      </c>
      <c r="O138">
        <v>9</v>
      </c>
      <c r="V138">
        <v>24</v>
      </c>
      <c r="W138">
        <v>2</v>
      </c>
      <c r="X138" t="s">
        <v>37</v>
      </c>
      <c r="Y138">
        <v>0.24399999999999999</v>
      </c>
      <c r="Z138">
        <v>5.5019999999999998</v>
      </c>
      <c r="AA138">
        <v>6.4580000000000002</v>
      </c>
      <c r="AB138" t="str">
        <f t="shared" si="2"/>
        <v>0.15 [5.50, 6.46]</v>
      </c>
    </row>
    <row r="139" spans="1:28" x14ac:dyDescent="0.35">
      <c r="A139">
        <v>459</v>
      </c>
      <c r="B139">
        <v>41</v>
      </c>
      <c r="C139" t="s">
        <v>172</v>
      </c>
      <c r="D139" t="s">
        <v>35</v>
      </c>
      <c r="E139" t="s">
        <v>174</v>
      </c>
      <c r="F139" t="s">
        <v>167</v>
      </c>
      <c r="G139" t="s">
        <v>30</v>
      </c>
      <c r="H139">
        <v>46</v>
      </c>
      <c r="I139">
        <v>5.82</v>
      </c>
      <c r="J139">
        <v>2.2599999999999998</v>
      </c>
      <c r="K139">
        <v>0</v>
      </c>
      <c r="M139">
        <v>6</v>
      </c>
      <c r="O139">
        <v>10</v>
      </c>
      <c r="V139">
        <v>24</v>
      </c>
      <c r="W139">
        <v>2</v>
      </c>
      <c r="X139" t="s">
        <v>37</v>
      </c>
      <c r="Y139">
        <v>0.33300000000000002</v>
      </c>
      <c r="Z139">
        <v>5.1669999999999998</v>
      </c>
      <c r="AA139">
        <v>6.4729999999999999</v>
      </c>
      <c r="AB139" t="str">
        <f t="shared" si="2"/>
        <v>0.14 [5.17, 6.47]</v>
      </c>
    </row>
    <row r="140" spans="1:28" x14ac:dyDescent="0.35">
      <c r="A140">
        <v>460</v>
      </c>
      <c r="B140">
        <v>45</v>
      </c>
      <c r="C140" t="s">
        <v>136</v>
      </c>
      <c r="D140" t="s">
        <v>27</v>
      </c>
      <c r="E140" t="s">
        <v>137</v>
      </c>
      <c r="F140" t="s">
        <v>167</v>
      </c>
      <c r="G140" t="s">
        <v>30</v>
      </c>
      <c r="H140">
        <v>24</v>
      </c>
      <c r="I140">
        <v>5.9</v>
      </c>
      <c r="J140">
        <v>1.28</v>
      </c>
      <c r="K140">
        <v>4</v>
      </c>
      <c r="O140">
        <v>9</v>
      </c>
      <c r="P140">
        <v>29.8</v>
      </c>
      <c r="Q140">
        <v>6.33</v>
      </c>
      <c r="R140">
        <v>31</v>
      </c>
      <c r="S140">
        <v>7</v>
      </c>
      <c r="T140">
        <v>22</v>
      </c>
      <c r="U140">
        <v>9</v>
      </c>
      <c r="V140">
        <v>120</v>
      </c>
      <c r="W140">
        <v>10</v>
      </c>
      <c r="X140" t="s">
        <v>31</v>
      </c>
      <c r="Y140">
        <v>0.26100000000000001</v>
      </c>
      <c r="Z140">
        <v>5.3879999999999999</v>
      </c>
      <c r="AA140">
        <v>6.4119999999999999</v>
      </c>
      <c r="AB140" t="str">
        <f t="shared" si="2"/>
        <v>0.26 [5.39, 6.41]</v>
      </c>
    </row>
    <row r="141" spans="1:28" x14ac:dyDescent="0.35">
      <c r="A141">
        <v>461</v>
      </c>
      <c r="B141">
        <v>45</v>
      </c>
      <c r="C141" t="s">
        <v>136</v>
      </c>
      <c r="D141" t="s">
        <v>35</v>
      </c>
      <c r="E141" t="s">
        <v>138</v>
      </c>
      <c r="F141" t="s">
        <v>167</v>
      </c>
      <c r="G141" t="s">
        <v>30</v>
      </c>
      <c r="H141">
        <v>23</v>
      </c>
      <c r="I141">
        <v>5.0999999999999996</v>
      </c>
      <c r="J141">
        <v>1.04</v>
      </c>
      <c r="K141">
        <v>3</v>
      </c>
      <c r="O141">
        <v>7</v>
      </c>
      <c r="P141">
        <v>29.8</v>
      </c>
      <c r="Q141">
        <v>6.33</v>
      </c>
      <c r="R141">
        <v>31</v>
      </c>
      <c r="S141">
        <v>8</v>
      </c>
      <c r="T141">
        <v>23</v>
      </c>
      <c r="U141">
        <v>8</v>
      </c>
      <c r="V141">
        <v>120</v>
      </c>
      <c r="W141">
        <v>10</v>
      </c>
      <c r="X141" t="s">
        <v>31</v>
      </c>
      <c r="Y141">
        <v>0.217</v>
      </c>
      <c r="Z141">
        <v>4.6749999999999998</v>
      </c>
      <c r="AA141">
        <v>5.5250000000000004</v>
      </c>
      <c r="AB141" t="str">
        <f t="shared" si="2"/>
        <v>0.24 [4.68, 5.53]</v>
      </c>
    </row>
    <row r="142" spans="1:28" x14ac:dyDescent="0.35">
      <c r="A142">
        <v>462</v>
      </c>
      <c r="B142">
        <v>49</v>
      </c>
      <c r="C142" t="s">
        <v>139</v>
      </c>
      <c r="D142" t="s">
        <v>27</v>
      </c>
      <c r="E142" t="s">
        <v>140</v>
      </c>
      <c r="F142" t="s">
        <v>167</v>
      </c>
      <c r="G142" t="s">
        <v>30</v>
      </c>
      <c r="H142">
        <v>40</v>
      </c>
      <c r="I142">
        <v>6</v>
      </c>
      <c r="J142">
        <v>1.86</v>
      </c>
      <c r="K142">
        <v>2</v>
      </c>
      <c r="O142">
        <v>10</v>
      </c>
      <c r="P142">
        <v>28</v>
      </c>
      <c r="Q142">
        <v>8.35</v>
      </c>
      <c r="V142">
        <v>26</v>
      </c>
      <c r="W142">
        <v>2.2000000000000002</v>
      </c>
      <c r="X142" t="s">
        <v>37</v>
      </c>
      <c r="Y142">
        <v>0.29399999999999998</v>
      </c>
      <c r="Z142">
        <v>5.4240000000000004</v>
      </c>
      <c r="AA142">
        <v>6.5759999999999996</v>
      </c>
      <c r="AB142" t="str">
        <f t="shared" si="2"/>
        <v>0.16 [5.42, 6.58]</v>
      </c>
    </row>
    <row r="143" spans="1:28" x14ac:dyDescent="0.35">
      <c r="A143">
        <v>463</v>
      </c>
      <c r="B143">
        <v>49</v>
      </c>
      <c r="C143" t="s">
        <v>139</v>
      </c>
      <c r="D143" t="s">
        <v>35</v>
      </c>
      <c r="E143" t="s">
        <v>141</v>
      </c>
      <c r="F143" t="s">
        <v>167</v>
      </c>
      <c r="G143" t="s">
        <v>30</v>
      </c>
      <c r="H143">
        <v>78</v>
      </c>
      <c r="I143">
        <v>4</v>
      </c>
      <c r="J143">
        <v>1.64</v>
      </c>
      <c r="P143">
        <v>25</v>
      </c>
      <c r="Q143">
        <v>5.6</v>
      </c>
      <c r="V143">
        <v>26</v>
      </c>
      <c r="W143">
        <v>2.2000000000000002</v>
      </c>
      <c r="X143" t="s">
        <v>37</v>
      </c>
      <c r="Y143">
        <v>0.186</v>
      </c>
      <c r="Z143">
        <v>3.6349999999999998</v>
      </c>
      <c r="AA143">
        <v>4.3650000000000002</v>
      </c>
      <c r="AB143" t="str">
        <f t="shared" si="2"/>
        <v>0.06 [3.64, 4.37]</v>
      </c>
    </row>
    <row r="144" spans="1:28" x14ac:dyDescent="0.35">
      <c r="A144">
        <v>464</v>
      </c>
      <c r="B144">
        <v>51</v>
      </c>
      <c r="C144" t="s">
        <v>66</v>
      </c>
      <c r="D144" t="s">
        <v>35</v>
      </c>
      <c r="E144" t="s">
        <v>67</v>
      </c>
      <c r="F144" t="s">
        <v>167</v>
      </c>
      <c r="G144" t="s">
        <v>30</v>
      </c>
      <c r="H144">
        <v>32</v>
      </c>
      <c r="I144">
        <v>7.3</v>
      </c>
      <c r="J144">
        <v>1.3</v>
      </c>
      <c r="P144">
        <v>29.8</v>
      </c>
      <c r="Q144">
        <v>7.9</v>
      </c>
      <c r="R144">
        <v>32</v>
      </c>
      <c r="S144">
        <v>0</v>
      </c>
      <c r="T144">
        <v>17</v>
      </c>
      <c r="U144">
        <v>15</v>
      </c>
      <c r="V144">
        <v>69.599999999999994</v>
      </c>
      <c r="W144">
        <v>5.8</v>
      </c>
      <c r="X144" t="s">
        <v>31</v>
      </c>
      <c r="Y144">
        <v>0.23</v>
      </c>
      <c r="Z144">
        <v>6.8490000000000002</v>
      </c>
      <c r="AA144">
        <v>7.7510000000000003</v>
      </c>
      <c r="AB144" t="str">
        <f t="shared" si="2"/>
        <v>0.24 [6.85, 7.75]</v>
      </c>
    </row>
    <row r="145" spans="1:28" x14ac:dyDescent="0.35">
      <c r="A145">
        <v>465</v>
      </c>
      <c r="B145">
        <v>51</v>
      </c>
      <c r="C145" t="s">
        <v>66</v>
      </c>
      <c r="D145" t="s">
        <v>45</v>
      </c>
      <c r="E145" t="s">
        <v>68</v>
      </c>
      <c r="F145" t="s">
        <v>167</v>
      </c>
      <c r="G145" t="s">
        <v>30</v>
      </c>
      <c r="H145">
        <v>32</v>
      </c>
      <c r="I145">
        <v>7</v>
      </c>
      <c r="J145">
        <v>2.1</v>
      </c>
      <c r="P145">
        <v>30.5</v>
      </c>
      <c r="Q145">
        <v>6.1</v>
      </c>
      <c r="R145">
        <v>32</v>
      </c>
      <c r="S145">
        <v>0</v>
      </c>
      <c r="T145">
        <v>15</v>
      </c>
      <c r="U145">
        <v>17</v>
      </c>
      <c r="V145">
        <v>73.2</v>
      </c>
      <c r="W145">
        <v>6.1</v>
      </c>
      <c r="X145" t="s">
        <v>31</v>
      </c>
      <c r="Y145">
        <v>0.371</v>
      </c>
      <c r="Z145">
        <v>6.2729999999999997</v>
      </c>
      <c r="AA145">
        <v>7.7270000000000003</v>
      </c>
      <c r="AB145" t="str">
        <f t="shared" si="2"/>
        <v>0.23 [6.27, 7.73]</v>
      </c>
    </row>
    <row r="146" spans="1:28" x14ac:dyDescent="0.35">
      <c r="A146">
        <v>466</v>
      </c>
      <c r="B146">
        <v>52</v>
      </c>
      <c r="C146" t="s">
        <v>142</v>
      </c>
      <c r="D146" t="s">
        <v>27</v>
      </c>
      <c r="E146" t="s">
        <v>143</v>
      </c>
      <c r="F146" t="s">
        <v>167</v>
      </c>
      <c r="G146" t="s">
        <v>30</v>
      </c>
      <c r="H146">
        <v>30</v>
      </c>
      <c r="I146">
        <v>5</v>
      </c>
      <c r="J146">
        <v>1.72</v>
      </c>
      <c r="K146">
        <v>0</v>
      </c>
      <c r="O146">
        <v>7</v>
      </c>
      <c r="P146">
        <v>28</v>
      </c>
      <c r="Q146">
        <v>8.3699999999999992</v>
      </c>
      <c r="R146">
        <v>34</v>
      </c>
      <c r="S146">
        <v>4</v>
      </c>
      <c r="T146">
        <v>23</v>
      </c>
      <c r="U146">
        <v>11</v>
      </c>
      <c r="V146">
        <v>87.11</v>
      </c>
      <c r="W146">
        <v>7.3</v>
      </c>
      <c r="X146" t="s">
        <v>31</v>
      </c>
      <c r="Y146">
        <v>0.314</v>
      </c>
      <c r="Z146">
        <v>4.3849999999999998</v>
      </c>
      <c r="AA146">
        <v>5.6150000000000002</v>
      </c>
      <c r="AB146" t="str">
        <f t="shared" si="2"/>
        <v>0.18 [4.39, 5.62]</v>
      </c>
    </row>
    <row r="147" spans="1:28" x14ac:dyDescent="0.35">
      <c r="A147">
        <v>467</v>
      </c>
      <c r="B147">
        <v>52</v>
      </c>
      <c r="C147" t="s">
        <v>142</v>
      </c>
      <c r="D147" t="s">
        <v>35</v>
      </c>
      <c r="E147" t="s">
        <v>144</v>
      </c>
      <c r="F147" t="s">
        <v>167</v>
      </c>
      <c r="G147" t="s">
        <v>30</v>
      </c>
      <c r="H147">
        <v>32</v>
      </c>
      <c r="I147">
        <v>6</v>
      </c>
      <c r="J147">
        <v>1.69</v>
      </c>
      <c r="K147">
        <v>2</v>
      </c>
      <c r="O147">
        <v>9</v>
      </c>
      <c r="P147">
        <v>29</v>
      </c>
      <c r="Q147">
        <v>10.35</v>
      </c>
      <c r="R147">
        <v>37</v>
      </c>
      <c r="S147">
        <v>5</v>
      </c>
      <c r="T147">
        <v>26</v>
      </c>
      <c r="U147">
        <v>11</v>
      </c>
      <c r="V147">
        <v>87.05</v>
      </c>
      <c r="W147">
        <v>7.3</v>
      </c>
      <c r="X147" t="s">
        <v>31</v>
      </c>
      <c r="Y147">
        <v>0.29899999999999999</v>
      </c>
      <c r="Z147">
        <v>5.4139999999999997</v>
      </c>
      <c r="AA147">
        <v>6.5860000000000003</v>
      </c>
      <c r="AB147" t="str">
        <f t="shared" si="2"/>
        <v>0.20 [5.41, 6.59]</v>
      </c>
    </row>
    <row r="148" spans="1:28" x14ac:dyDescent="0.35">
      <c r="A148">
        <v>468</v>
      </c>
      <c r="B148">
        <v>53</v>
      </c>
      <c r="C148" t="s">
        <v>69</v>
      </c>
      <c r="D148" t="s">
        <v>35</v>
      </c>
      <c r="E148" t="s">
        <v>70</v>
      </c>
      <c r="F148" t="s">
        <v>167</v>
      </c>
      <c r="G148" t="s">
        <v>30</v>
      </c>
      <c r="H148">
        <v>49</v>
      </c>
      <c r="I148">
        <v>5.9</v>
      </c>
      <c r="J148">
        <v>1.3</v>
      </c>
      <c r="P148">
        <v>27.1</v>
      </c>
      <c r="Q148">
        <v>6.1</v>
      </c>
      <c r="R148">
        <v>49</v>
      </c>
      <c r="S148">
        <v>0</v>
      </c>
      <c r="T148">
        <v>25</v>
      </c>
      <c r="U148">
        <v>24</v>
      </c>
      <c r="V148">
        <v>24</v>
      </c>
      <c r="W148">
        <v>2</v>
      </c>
      <c r="X148" t="s">
        <v>37</v>
      </c>
      <c r="Y148">
        <v>0.186</v>
      </c>
      <c r="Z148">
        <v>5.5350000000000001</v>
      </c>
      <c r="AA148">
        <v>6.2649999999999997</v>
      </c>
      <c r="AB148" t="str">
        <f t="shared" si="2"/>
        <v>0.13 [5.54, 6.27]</v>
      </c>
    </row>
    <row r="149" spans="1:28" x14ac:dyDescent="0.35">
      <c r="A149">
        <v>469</v>
      </c>
      <c r="B149">
        <v>53</v>
      </c>
      <c r="C149" t="s">
        <v>69</v>
      </c>
      <c r="D149" t="s">
        <v>32</v>
      </c>
      <c r="E149" t="s">
        <v>71</v>
      </c>
      <c r="F149" t="s">
        <v>167</v>
      </c>
      <c r="G149" t="s">
        <v>30</v>
      </c>
      <c r="H149">
        <v>47</v>
      </c>
      <c r="I149">
        <v>6</v>
      </c>
      <c r="J149">
        <v>1.5</v>
      </c>
      <c r="P149">
        <v>27.2</v>
      </c>
      <c r="Q149">
        <v>6.2</v>
      </c>
      <c r="R149">
        <v>50</v>
      </c>
      <c r="S149">
        <v>3</v>
      </c>
      <c r="T149">
        <v>29</v>
      </c>
      <c r="U149">
        <v>21</v>
      </c>
      <c r="V149">
        <v>24</v>
      </c>
      <c r="W149">
        <v>2</v>
      </c>
      <c r="X149" t="s">
        <v>37</v>
      </c>
      <c r="Y149">
        <v>0.219</v>
      </c>
      <c r="Z149">
        <v>5.5709999999999997</v>
      </c>
      <c r="AA149">
        <v>6.4290000000000003</v>
      </c>
      <c r="AB149" t="str">
        <f t="shared" si="2"/>
        <v>0.14 [5.57, 6.43]</v>
      </c>
    </row>
    <row r="150" spans="1:28" x14ac:dyDescent="0.35">
      <c r="A150">
        <v>470</v>
      </c>
      <c r="B150">
        <v>54</v>
      </c>
      <c r="C150" t="s">
        <v>72</v>
      </c>
      <c r="D150" t="s">
        <v>27</v>
      </c>
      <c r="E150" t="s">
        <v>73</v>
      </c>
      <c r="F150" t="s">
        <v>167</v>
      </c>
      <c r="G150" t="s">
        <v>30</v>
      </c>
      <c r="H150">
        <v>19</v>
      </c>
      <c r="I150">
        <v>3</v>
      </c>
      <c r="J150">
        <v>1.08</v>
      </c>
      <c r="K150">
        <v>1</v>
      </c>
      <c r="O150">
        <v>5</v>
      </c>
      <c r="P150">
        <v>52.8</v>
      </c>
      <c r="Q150">
        <v>7.3</v>
      </c>
      <c r="V150">
        <v>240</v>
      </c>
      <c r="W150">
        <v>20</v>
      </c>
      <c r="X150" t="s">
        <v>31</v>
      </c>
      <c r="Y150">
        <v>0.248</v>
      </c>
      <c r="Z150">
        <v>2.5139999999999998</v>
      </c>
      <c r="AA150">
        <v>3.4860000000000002</v>
      </c>
      <c r="AB150" t="str">
        <f t="shared" si="2"/>
        <v>0.18 [2.51, 3.49]</v>
      </c>
    </row>
    <row r="151" spans="1:28" x14ac:dyDescent="0.35">
      <c r="A151">
        <v>471</v>
      </c>
      <c r="B151">
        <v>54</v>
      </c>
      <c r="C151" t="s">
        <v>72</v>
      </c>
      <c r="D151" t="s">
        <v>35</v>
      </c>
      <c r="E151" t="s">
        <v>74</v>
      </c>
      <c r="F151" t="s">
        <v>167</v>
      </c>
      <c r="G151" t="s">
        <v>30</v>
      </c>
      <c r="H151">
        <v>20</v>
      </c>
      <c r="I151">
        <v>4</v>
      </c>
      <c r="J151">
        <v>0.8</v>
      </c>
      <c r="K151">
        <v>3</v>
      </c>
      <c r="O151">
        <v>6</v>
      </c>
      <c r="P151">
        <v>54.5</v>
      </c>
      <c r="Q151">
        <v>7.5</v>
      </c>
      <c r="V151">
        <v>240</v>
      </c>
      <c r="W151">
        <v>20</v>
      </c>
      <c r="X151" t="s">
        <v>31</v>
      </c>
      <c r="Y151">
        <v>0.17899999999999999</v>
      </c>
      <c r="Z151">
        <v>3.649</v>
      </c>
      <c r="AA151">
        <v>4.351</v>
      </c>
      <c r="AB151" t="str">
        <f t="shared" si="2"/>
        <v>0.22 [3.65, 4.35]</v>
      </c>
    </row>
    <row r="152" spans="1:28" x14ac:dyDescent="0.35">
      <c r="A152">
        <v>474</v>
      </c>
      <c r="B152">
        <v>58</v>
      </c>
      <c r="C152" t="s">
        <v>81</v>
      </c>
      <c r="D152" t="s">
        <v>35</v>
      </c>
      <c r="E152" t="s">
        <v>82</v>
      </c>
      <c r="F152" t="s">
        <v>167</v>
      </c>
      <c r="G152" t="s">
        <v>30</v>
      </c>
      <c r="H152">
        <v>25</v>
      </c>
      <c r="I152">
        <v>5.0999999999999996</v>
      </c>
      <c r="J152">
        <v>1</v>
      </c>
      <c r="P152">
        <v>28.12</v>
      </c>
      <c r="Q152">
        <v>5.21</v>
      </c>
      <c r="R152">
        <v>25</v>
      </c>
      <c r="S152">
        <v>0</v>
      </c>
      <c r="T152">
        <v>18</v>
      </c>
      <c r="U152">
        <v>7</v>
      </c>
      <c r="V152">
        <v>6</v>
      </c>
      <c r="W152">
        <v>0.5</v>
      </c>
      <c r="X152" t="s">
        <v>61</v>
      </c>
      <c r="Y152">
        <v>0.2</v>
      </c>
      <c r="Z152">
        <v>4.7080000000000002</v>
      </c>
      <c r="AA152">
        <v>5.492</v>
      </c>
      <c r="AB152" t="str">
        <f t="shared" si="2"/>
        <v>0.22 [4.71, 5.49]</v>
      </c>
    </row>
    <row r="153" spans="1:28" x14ac:dyDescent="0.35">
      <c r="A153">
        <v>475</v>
      </c>
      <c r="B153">
        <v>58</v>
      </c>
      <c r="C153" t="s">
        <v>81</v>
      </c>
      <c r="D153" t="s">
        <v>38</v>
      </c>
      <c r="E153" t="s">
        <v>83</v>
      </c>
      <c r="F153" t="s">
        <v>167</v>
      </c>
      <c r="G153" t="s">
        <v>30</v>
      </c>
      <c r="H153">
        <v>25</v>
      </c>
      <c r="I153">
        <v>5.6</v>
      </c>
      <c r="J153">
        <v>0.9</v>
      </c>
      <c r="P153">
        <v>27.84</v>
      </c>
      <c r="Q153">
        <v>4.92</v>
      </c>
      <c r="R153">
        <v>25</v>
      </c>
      <c r="S153">
        <v>0</v>
      </c>
      <c r="T153">
        <v>17</v>
      </c>
      <c r="U153">
        <v>8</v>
      </c>
      <c r="V153">
        <v>6</v>
      </c>
      <c r="W153">
        <v>0.5</v>
      </c>
      <c r="X153" t="s">
        <v>61</v>
      </c>
      <c r="Y153">
        <v>0.18</v>
      </c>
      <c r="Z153">
        <v>5.2469999999999999</v>
      </c>
      <c r="AA153">
        <v>5.9530000000000003</v>
      </c>
      <c r="AB153" t="str">
        <f t="shared" si="2"/>
        <v>0.24 [5.25, 5.95]</v>
      </c>
    </row>
    <row r="154" spans="1:28" x14ac:dyDescent="0.35">
      <c r="A154">
        <v>478</v>
      </c>
      <c r="B154">
        <v>70</v>
      </c>
      <c r="C154" t="s">
        <v>145</v>
      </c>
      <c r="D154" t="s">
        <v>35</v>
      </c>
      <c r="E154" t="s">
        <v>146</v>
      </c>
      <c r="F154" t="s">
        <v>167</v>
      </c>
      <c r="G154" t="s">
        <v>30</v>
      </c>
      <c r="H154">
        <v>33</v>
      </c>
      <c r="I154">
        <v>6</v>
      </c>
      <c r="J154">
        <v>0.96</v>
      </c>
      <c r="K154">
        <v>5</v>
      </c>
      <c r="O154">
        <v>9</v>
      </c>
      <c r="P154">
        <v>25.81</v>
      </c>
      <c r="Q154">
        <v>7.46</v>
      </c>
      <c r="R154">
        <v>33</v>
      </c>
      <c r="S154">
        <v>0</v>
      </c>
      <c r="T154">
        <v>30</v>
      </c>
      <c r="U154">
        <v>3</v>
      </c>
      <c r="V154">
        <v>28.1</v>
      </c>
      <c r="W154">
        <v>2.2999999999999998</v>
      </c>
      <c r="X154" t="s">
        <v>37</v>
      </c>
      <c r="Y154">
        <v>0.16700000000000001</v>
      </c>
      <c r="Z154">
        <v>5.673</v>
      </c>
      <c r="AA154">
        <v>6.327</v>
      </c>
      <c r="AB154" t="str">
        <f t="shared" si="2"/>
        <v>0.19 [5.67, 6.33]</v>
      </c>
    </row>
    <row r="155" spans="1:28" x14ac:dyDescent="0.35">
      <c r="A155">
        <v>479</v>
      </c>
      <c r="B155">
        <v>70</v>
      </c>
      <c r="C155" t="s">
        <v>145</v>
      </c>
      <c r="D155" t="s">
        <v>147</v>
      </c>
      <c r="E155" t="s">
        <v>148</v>
      </c>
      <c r="F155" t="s">
        <v>167</v>
      </c>
      <c r="G155" t="s">
        <v>30</v>
      </c>
      <c r="H155">
        <v>32</v>
      </c>
      <c r="I155">
        <v>6</v>
      </c>
      <c r="J155">
        <v>1.21</v>
      </c>
      <c r="K155">
        <v>4</v>
      </c>
      <c r="O155">
        <v>9</v>
      </c>
      <c r="P155">
        <v>25.55</v>
      </c>
      <c r="Q155">
        <v>8.4700000000000006</v>
      </c>
      <c r="R155">
        <v>32</v>
      </c>
      <c r="S155">
        <v>0</v>
      </c>
      <c r="T155">
        <v>26</v>
      </c>
      <c r="U155">
        <v>6</v>
      </c>
      <c r="V155">
        <v>31.6</v>
      </c>
      <c r="W155">
        <v>2.6</v>
      </c>
      <c r="X155" t="s">
        <v>37</v>
      </c>
      <c r="Y155">
        <v>0.214</v>
      </c>
      <c r="Z155">
        <v>5.5810000000000004</v>
      </c>
      <c r="AA155">
        <v>6.4189999999999996</v>
      </c>
      <c r="AB155" t="str">
        <f t="shared" si="2"/>
        <v>0.20 [5.58, 6.42]</v>
      </c>
    </row>
    <row r="156" spans="1:28" x14ac:dyDescent="0.35">
      <c r="A156">
        <v>480</v>
      </c>
      <c r="B156">
        <v>77</v>
      </c>
      <c r="C156" t="s">
        <v>149</v>
      </c>
      <c r="D156" t="s">
        <v>27</v>
      </c>
      <c r="E156" t="s">
        <v>150</v>
      </c>
      <c r="F156" t="s">
        <v>167</v>
      </c>
      <c r="G156" t="s">
        <v>30</v>
      </c>
      <c r="H156">
        <v>38</v>
      </c>
      <c r="I156">
        <v>4</v>
      </c>
      <c r="J156">
        <v>1.64</v>
      </c>
      <c r="K156">
        <v>0</v>
      </c>
      <c r="O156">
        <v>7</v>
      </c>
      <c r="P156">
        <v>27</v>
      </c>
      <c r="Q156">
        <v>6.82</v>
      </c>
      <c r="R156">
        <v>0</v>
      </c>
      <c r="S156">
        <v>-38</v>
      </c>
      <c r="T156" t="s">
        <v>151</v>
      </c>
      <c r="V156">
        <v>228</v>
      </c>
      <c r="W156">
        <v>19</v>
      </c>
      <c r="X156" t="s">
        <v>31</v>
      </c>
      <c r="Y156">
        <v>0.26600000000000001</v>
      </c>
      <c r="Z156">
        <v>3.4790000000000001</v>
      </c>
      <c r="AA156">
        <v>4.5209999999999999</v>
      </c>
      <c r="AB156" t="str">
        <f t="shared" si="2"/>
        <v>0.12 [3.48, 4.52]</v>
      </c>
    </row>
    <row r="157" spans="1:28" x14ac:dyDescent="0.35">
      <c r="A157">
        <v>481</v>
      </c>
      <c r="B157">
        <v>77</v>
      </c>
      <c r="C157" t="s">
        <v>149</v>
      </c>
      <c r="D157" t="s">
        <v>35</v>
      </c>
      <c r="E157" t="s">
        <v>152</v>
      </c>
      <c r="F157" t="s">
        <v>167</v>
      </c>
      <c r="G157" t="s">
        <v>30</v>
      </c>
      <c r="H157">
        <v>33</v>
      </c>
      <c r="I157">
        <v>5</v>
      </c>
      <c r="J157">
        <v>2.16</v>
      </c>
      <c r="K157">
        <v>0</v>
      </c>
      <c r="O157">
        <v>9</v>
      </c>
      <c r="P157">
        <v>27</v>
      </c>
      <c r="Q157">
        <v>6.3</v>
      </c>
      <c r="V157">
        <v>228</v>
      </c>
      <c r="W157">
        <v>19</v>
      </c>
      <c r="X157" t="s">
        <v>31</v>
      </c>
      <c r="Y157">
        <v>0.376</v>
      </c>
      <c r="Z157">
        <v>4.2629999999999999</v>
      </c>
      <c r="AA157">
        <v>5.7370000000000001</v>
      </c>
      <c r="AB157" t="str">
        <f t="shared" si="2"/>
        <v>0.16 [4.26, 5.74]</v>
      </c>
    </row>
    <row r="158" spans="1:28" x14ac:dyDescent="0.35">
      <c r="A158">
        <v>482</v>
      </c>
      <c r="B158">
        <v>87</v>
      </c>
      <c r="C158" t="s">
        <v>99</v>
      </c>
      <c r="D158" t="s">
        <v>27</v>
      </c>
      <c r="E158" t="s">
        <v>100</v>
      </c>
      <c r="F158" t="s">
        <v>167</v>
      </c>
      <c r="G158" t="s">
        <v>30</v>
      </c>
      <c r="H158">
        <v>296</v>
      </c>
      <c r="I158">
        <v>6.6</v>
      </c>
      <c r="J158">
        <v>1.6</v>
      </c>
      <c r="P158">
        <v>24.8</v>
      </c>
      <c r="Q158">
        <v>4.4000000000000004</v>
      </c>
      <c r="R158">
        <v>283</v>
      </c>
      <c r="S158">
        <v>-13</v>
      </c>
      <c r="T158">
        <v>214</v>
      </c>
      <c r="U158">
        <v>69</v>
      </c>
      <c r="V158">
        <v>61.5</v>
      </c>
      <c r="W158">
        <v>5.0999999999999996</v>
      </c>
      <c r="X158" t="s">
        <v>31</v>
      </c>
      <c r="Y158">
        <v>9.2999999999999999E-2</v>
      </c>
      <c r="Z158">
        <v>6.4180000000000001</v>
      </c>
      <c r="AA158">
        <v>6.782</v>
      </c>
      <c r="AB158" t="str">
        <f t="shared" si="2"/>
        <v>0.02 [6.42, 6.78]</v>
      </c>
    </row>
    <row r="159" spans="1:28" x14ac:dyDescent="0.35">
      <c r="A159">
        <v>483</v>
      </c>
      <c r="B159">
        <v>87</v>
      </c>
      <c r="C159" t="s">
        <v>99</v>
      </c>
      <c r="D159" t="s">
        <v>35</v>
      </c>
      <c r="E159" t="s">
        <v>101</v>
      </c>
      <c r="F159" t="s">
        <v>167</v>
      </c>
      <c r="G159" t="s">
        <v>30</v>
      </c>
      <c r="H159">
        <v>297</v>
      </c>
      <c r="I159">
        <v>6.7</v>
      </c>
      <c r="J159">
        <v>1.7</v>
      </c>
      <c r="P159">
        <v>25.2</v>
      </c>
      <c r="Q159">
        <v>4.5999999999999996</v>
      </c>
      <c r="R159">
        <v>273</v>
      </c>
      <c r="S159">
        <v>-24</v>
      </c>
      <c r="T159">
        <v>233</v>
      </c>
      <c r="U159">
        <v>40</v>
      </c>
      <c r="V159">
        <v>63.9</v>
      </c>
      <c r="W159">
        <v>5.3</v>
      </c>
      <c r="X159" t="s">
        <v>31</v>
      </c>
      <c r="Y159">
        <v>9.9000000000000005E-2</v>
      </c>
      <c r="Z159">
        <v>6.5060000000000002</v>
      </c>
      <c r="AA159">
        <v>6.8940000000000001</v>
      </c>
      <c r="AB159" t="str">
        <f t="shared" si="2"/>
        <v>0.02 [6.51, 6.89]</v>
      </c>
    </row>
    <row r="160" spans="1:28" x14ac:dyDescent="0.35">
      <c r="A160">
        <v>484</v>
      </c>
      <c r="B160">
        <v>90</v>
      </c>
      <c r="C160" t="s">
        <v>153</v>
      </c>
      <c r="D160" t="s">
        <v>27</v>
      </c>
      <c r="E160" t="s">
        <v>154</v>
      </c>
      <c r="F160" t="s">
        <v>167</v>
      </c>
      <c r="G160" t="s">
        <v>30</v>
      </c>
      <c r="H160">
        <v>20</v>
      </c>
      <c r="I160">
        <v>6.8</v>
      </c>
      <c r="J160">
        <v>3.27</v>
      </c>
      <c r="P160">
        <v>21.7</v>
      </c>
      <c r="Q160">
        <v>4.5999999999999996</v>
      </c>
      <c r="R160">
        <v>32</v>
      </c>
      <c r="S160">
        <v>12</v>
      </c>
      <c r="T160">
        <v>25</v>
      </c>
      <c r="U160">
        <v>7</v>
      </c>
      <c r="V160">
        <v>32.4</v>
      </c>
      <c r="W160">
        <v>2.7</v>
      </c>
      <c r="X160" t="s">
        <v>37</v>
      </c>
      <c r="Y160">
        <v>0.73099999999999998</v>
      </c>
      <c r="Z160">
        <v>5.367</v>
      </c>
      <c r="AA160">
        <v>8.2330000000000005</v>
      </c>
      <c r="AB160" t="str">
        <f t="shared" si="2"/>
        <v>0.36 [5.37, 8.23]</v>
      </c>
    </row>
    <row r="161" spans="1:28" x14ac:dyDescent="0.35">
      <c r="A161">
        <v>485</v>
      </c>
      <c r="B161">
        <v>90</v>
      </c>
      <c r="C161" t="s">
        <v>153</v>
      </c>
      <c r="D161" t="s">
        <v>35</v>
      </c>
      <c r="E161" t="s">
        <v>155</v>
      </c>
      <c r="F161" t="s">
        <v>167</v>
      </c>
      <c r="G161" t="s">
        <v>30</v>
      </c>
      <c r="H161">
        <v>24</v>
      </c>
      <c r="I161">
        <v>5.3</v>
      </c>
      <c r="J161">
        <v>3.58</v>
      </c>
      <c r="P161">
        <v>22.1</v>
      </c>
      <c r="Q161">
        <v>6.53</v>
      </c>
      <c r="R161">
        <v>32</v>
      </c>
      <c r="S161">
        <v>8</v>
      </c>
      <c r="T161">
        <v>28</v>
      </c>
      <c r="U161">
        <v>4</v>
      </c>
      <c r="V161">
        <v>38.4</v>
      </c>
      <c r="W161">
        <v>3.2</v>
      </c>
      <c r="X161" t="s">
        <v>31</v>
      </c>
      <c r="Y161">
        <v>0.73099999999999998</v>
      </c>
      <c r="Z161">
        <v>3.867</v>
      </c>
      <c r="AA161">
        <v>6.7329999999999997</v>
      </c>
      <c r="AB161" t="str">
        <f t="shared" si="2"/>
        <v>0.24 [3.87, 6.73]</v>
      </c>
    </row>
    <row r="162" spans="1:28" x14ac:dyDescent="0.35">
      <c r="A162">
        <v>488</v>
      </c>
      <c r="B162">
        <v>96</v>
      </c>
      <c r="C162" t="s">
        <v>108</v>
      </c>
      <c r="D162" t="s">
        <v>27</v>
      </c>
      <c r="E162" t="s">
        <v>109</v>
      </c>
      <c r="F162" t="s">
        <v>167</v>
      </c>
      <c r="G162" t="s">
        <v>30</v>
      </c>
      <c r="H162">
        <v>29</v>
      </c>
      <c r="I162">
        <v>6.2</v>
      </c>
      <c r="J162">
        <v>0.35</v>
      </c>
      <c r="P162">
        <v>29.87</v>
      </c>
      <c r="Q162">
        <v>7.3</v>
      </c>
      <c r="R162">
        <v>31</v>
      </c>
      <c r="S162">
        <v>2</v>
      </c>
      <c r="T162">
        <v>19</v>
      </c>
      <c r="U162">
        <v>12</v>
      </c>
      <c r="V162">
        <v>108</v>
      </c>
      <c r="W162">
        <v>9</v>
      </c>
      <c r="X162" t="s">
        <v>31</v>
      </c>
      <c r="Y162">
        <v>6.5000000000000002E-2</v>
      </c>
      <c r="Z162">
        <v>6.0730000000000004</v>
      </c>
      <c r="AA162">
        <v>6.327</v>
      </c>
      <c r="AB162" t="str">
        <f t="shared" si="2"/>
        <v>0.23 [6.07, 6.33]</v>
      </c>
    </row>
    <row r="163" spans="1:28" x14ac:dyDescent="0.35">
      <c r="A163">
        <v>489</v>
      </c>
      <c r="B163">
        <v>96</v>
      </c>
      <c r="C163" t="s">
        <v>108</v>
      </c>
      <c r="D163" t="s">
        <v>35</v>
      </c>
      <c r="E163" t="s">
        <v>110</v>
      </c>
      <c r="F163" t="s">
        <v>167</v>
      </c>
      <c r="G163" t="s">
        <v>30</v>
      </c>
      <c r="H163">
        <v>25</v>
      </c>
      <c r="I163">
        <v>6.14</v>
      </c>
      <c r="J163">
        <v>0.37</v>
      </c>
      <c r="P163">
        <v>34.229999999999997</v>
      </c>
      <c r="Q163">
        <v>9.25</v>
      </c>
      <c r="R163">
        <v>31</v>
      </c>
      <c r="S163">
        <v>6</v>
      </c>
      <c r="T163">
        <v>18</v>
      </c>
      <c r="U163">
        <v>13</v>
      </c>
      <c r="V163">
        <v>108</v>
      </c>
      <c r="W163">
        <v>9</v>
      </c>
      <c r="X163" t="s">
        <v>31</v>
      </c>
      <c r="Y163">
        <v>7.3999999999999996E-2</v>
      </c>
      <c r="Z163">
        <v>5.9950000000000001</v>
      </c>
      <c r="AA163">
        <v>6.2850000000000001</v>
      </c>
      <c r="AB163" t="str">
        <f t="shared" si="2"/>
        <v>0.26 [6.00, 6.29]</v>
      </c>
    </row>
    <row r="164" spans="1:28" x14ac:dyDescent="0.35">
      <c r="A164">
        <v>490</v>
      </c>
      <c r="B164">
        <v>98</v>
      </c>
      <c r="C164" t="s">
        <v>162</v>
      </c>
      <c r="D164" t="s">
        <v>35</v>
      </c>
      <c r="E164" t="s">
        <v>163</v>
      </c>
      <c r="F164" t="s">
        <v>167</v>
      </c>
      <c r="G164" t="s">
        <v>30</v>
      </c>
      <c r="H164">
        <v>68</v>
      </c>
      <c r="I164">
        <v>5</v>
      </c>
      <c r="J164">
        <v>1.48</v>
      </c>
      <c r="K164">
        <v>2</v>
      </c>
      <c r="O164">
        <v>9</v>
      </c>
      <c r="P164">
        <v>30</v>
      </c>
      <c r="Q164">
        <v>9.9600000000000009</v>
      </c>
      <c r="R164">
        <v>68</v>
      </c>
      <c r="S164">
        <v>0</v>
      </c>
      <c r="T164">
        <v>61</v>
      </c>
      <c r="U164">
        <v>7</v>
      </c>
      <c r="V164">
        <v>32.799999999999997</v>
      </c>
      <c r="W164">
        <v>2.7</v>
      </c>
      <c r="X164" t="s">
        <v>37</v>
      </c>
      <c r="Y164">
        <v>0.17899999999999999</v>
      </c>
      <c r="Z164">
        <v>4.649</v>
      </c>
      <c r="AA164">
        <v>5.351</v>
      </c>
      <c r="AB164" t="str">
        <f t="shared" si="2"/>
        <v>0.08 [4.65, 5.35]</v>
      </c>
    </row>
    <row r="165" spans="1:28" x14ac:dyDescent="0.35">
      <c r="A165">
        <v>491</v>
      </c>
      <c r="B165">
        <v>98</v>
      </c>
      <c r="C165" t="s">
        <v>162</v>
      </c>
      <c r="D165" t="s">
        <v>45</v>
      </c>
      <c r="E165" t="s">
        <v>164</v>
      </c>
      <c r="F165" t="s">
        <v>167</v>
      </c>
      <c r="G165" t="s">
        <v>30</v>
      </c>
      <c r="H165">
        <v>64</v>
      </c>
      <c r="I165">
        <v>5</v>
      </c>
      <c r="J165">
        <v>1.07</v>
      </c>
      <c r="K165">
        <v>3</v>
      </c>
      <c r="O165">
        <v>8</v>
      </c>
      <c r="P165">
        <v>24</v>
      </c>
      <c r="Q165">
        <v>8.35</v>
      </c>
      <c r="R165">
        <v>64</v>
      </c>
      <c r="S165">
        <v>0</v>
      </c>
      <c r="T165">
        <v>59</v>
      </c>
      <c r="U165">
        <v>5</v>
      </c>
      <c r="V165">
        <v>34.5</v>
      </c>
      <c r="W165">
        <v>2.9</v>
      </c>
      <c r="X165" t="s">
        <v>37</v>
      </c>
      <c r="Y165">
        <v>0.13400000000000001</v>
      </c>
      <c r="Z165">
        <v>4.7370000000000001</v>
      </c>
      <c r="AA165">
        <v>5.2629999999999999</v>
      </c>
      <c r="AB165" t="str">
        <f t="shared" si="2"/>
        <v>0.09 [4.74, 5.26]</v>
      </c>
    </row>
    <row r="166" spans="1:28" x14ac:dyDescent="0.35">
      <c r="A166">
        <v>124</v>
      </c>
      <c r="B166">
        <v>2</v>
      </c>
      <c r="C166" t="s">
        <v>175</v>
      </c>
      <c r="D166" t="s">
        <v>27</v>
      </c>
      <c r="E166" t="s">
        <v>176</v>
      </c>
      <c r="F166" t="s">
        <v>177</v>
      </c>
      <c r="G166" t="s">
        <v>30</v>
      </c>
      <c r="H166">
        <v>60</v>
      </c>
      <c r="I166">
        <v>2.2000000000000002</v>
      </c>
      <c r="J166">
        <v>1.08</v>
      </c>
      <c r="K166">
        <v>0</v>
      </c>
      <c r="O166">
        <v>5</v>
      </c>
      <c r="P166">
        <v>25</v>
      </c>
      <c r="Q166">
        <v>4.97</v>
      </c>
      <c r="R166">
        <v>60</v>
      </c>
      <c r="S166">
        <v>0</v>
      </c>
      <c r="T166">
        <v>46</v>
      </c>
      <c r="U166">
        <v>14</v>
      </c>
      <c r="V166">
        <v>24</v>
      </c>
      <c r="W166">
        <v>2</v>
      </c>
      <c r="X166" t="s">
        <v>37</v>
      </c>
      <c r="Y166">
        <v>0.13900000000000001</v>
      </c>
      <c r="Z166">
        <v>1.9279999999999999</v>
      </c>
      <c r="AA166">
        <v>2.472</v>
      </c>
      <c r="AB166" t="str">
        <f t="shared" si="2"/>
        <v>0.04 [1.93, 2.47]</v>
      </c>
    </row>
    <row r="167" spans="1:28" x14ac:dyDescent="0.35">
      <c r="A167">
        <v>125</v>
      </c>
      <c r="B167">
        <v>2</v>
      </c>
      <c r="C167" t="s">
        <v>175</v>
      </c>
      <c r="D167" t="s">
        <v>35</v>
      </c>
      <c r="E167" t="s">
        <v>178</v>
      </c>
      <c r="F167" t="s">
        <v>177</v>
      </c>
      <c r="G167" t="s">
        <v>30</v>
      </c>
      <c r="H167">
        <v>60</v>
      </c>
      <c r="I167">
        <v>1.95</v>
      </c>
      <c r="J167">
        <v>1.3</v>
      </c>
      <c r="K167">
        <v>-1</v>
      </c>
      <c r="O167">
        <v>5</v>
      </c>
      <c r="P167">
        <v>25</v>
      </c>
      <c r="Q167">
        <v>5.19</v>
      </c>
      <c r="R167">
        <v>60</v>
      </c>
      <c r="S167">
        <v>0</v>
      </c>
      <c r="T167">
        <v>46</v>
      </c>
      <c r="U167">
        <v>14</v>
      </c>
      <c r="V167">
        <v>24</v>
      </c>
      <c r="W167">
        <v>2</v>
      </c>
      <c r="X167" t="s">
        <v>37</v>
      </c>
      <c r="Y167">
        <v>0.16800000000000001</v>
      </c>
      <c r="Z167">
        <v>1.621</v>
      </c>
      <c r="AA167">
        <v>2.2789999999999999</v>
      </c>
      <c r="AB167" t="str">
        <f t="shared" si="2"/>
        <v>0.04 [1.62, 2.28]</v>
      </c>
    </row>
    <row r="168" spans="1:28" x14ac:dyDescent="0.35">
      <c r="A168">
        <v>126</v>
      </c>
      <c r="B168">
        <v>3</v>
      </c>
      <c r="C168" t="s">
        <v>114</v>
      </c>
      <c r="D168" t="s">
        <v>27</v>
      </c>
      <c r="E168" t="s">
        <v>115</v>
      </c>
      <c r="F168" t="s">
        <v>177</v>
      </c>
      <c r="G168" t="s">
        <v>30</v>
      </c>
      <c r="H168">
        <v>25</v>
      </c>
      <c r="I168">
        <v>2.6</v>
      </c>
      <c r="J168">
        <v>3.3</v>
      </c>
      <c r="P168">
        <v>27.41</v>
      </c>
      <c r="Q168">
        <v>8.9</v>
      </c>
      <c r="R168">
        <v>22</v>
      </c>
      <c r="S168">
        <v>-3</v>
      </c>
      <c r="T168">
        <v>14</v>
      </c>
      <c r="U168">
        <v>8</v>
      </c>
      <c r="V168">
        <v>90.27</v>
      </c>
      <c r="W168">
        <v>7.5</v>
      </c>
      <c r="X168" t="s">
        <v>31</v>
      </c>
      <c r="Y168">
        <v>0.66</v>
      </c>
      <c r="Z168">
        <v>1.306</v>
      </c>
      <c r="AA168">
        <v>3.8940000000000001</v>
      </c>
      <c r="AB168" t="str">
        <f t="shared" si="2"/>
        <v>0.12 [1.31, 3.89]</v>
      </c>
    </row>
    <row r="169" spans="1:28" x14ac:dyDescent="0.35">
      <c r="A169">
        <v>127</v>
      </c>
      <c r="B169">
        <v>3</v>
      </c>
      <c r="C169" t="s">
        <v>114</v>
      </c>
      <c r="D169" t="s">
        <v>35</v>
      </c>
      <c r="E169" t="s">
        <v>117</v>
      </c>
      <c r="F169" t="s">
        <v>177</v>
      </c>
      <c r="G169" t="s">
        <v>30</v>
      </c>
      <c r="H169">
        <v>22</v>
      </c>
      <c r="I169">
        <v>1.4</v>
      </c>
      <c r="J169">
        <v>2.6</v>
      </c>
      <c r="P169">
        <v>28.6</v>
      </c>
      <c r="Q169">
        <v>6.36</v>
      </c>
      <c r="R169">
        <v>25</v>
      </c>
      <c r="S169">
        <v>3</v>
      </c>
      <c r="T169">
        <v>18</v>
      </c>
      <c r="U169">
        <v>7</v>
      </c>
      <c r="V169">
        <v>86.79</v>
      </c>
      <c r="W169">
        <v>7.2</v>
      </c>
      <c r="X169" t="s">
        <v>31</v>
      </c>
      <c r="Y169">
        <v>0.55400000000000005</v>
      </c>
      <c r="Z169">
        <v>0.314</v>
      </c>
      <c r="AA169">
        <v>2.4860000000000002</v>
      </c>
      <c r="AB169" t="str">
        <f t="shared" si="2"/>
        <v>0.08 [0.31, 2.49]</v>
      </c>
    </row>
    <row r="170" spans="1:28" x14ac:dyDescent="0.35">
      <c r="A170">
        <v>130</v>
      </c>
      <c r="B170">
        <v>5</v>
      </c>
      <c r="C170" t="s">
        <v>179</v>
      </c>
      <c r="D170" t="s">
        <v>27</v>
      </c>
      <c r="E170" t="s">
        <v>180</v>
      </c>
      <c r="F170" t="s">
        <v>177</v>
      </c>
      <c r="G170" t="s">
        <v>30</v>
      </c>
      <c r="H170">
        <v>35</v>
      </c>
      <c r="I170">
        <v>2.1</v>
      </c>
      <c r="J170">
        <v>2</v>
      </c>
      <c r="P170">
        <v>23.6</v>
      </c>
      <c r="Q170">
        <v>7.13</v>
      </c>
      <c r="R170">
        <v>35</v>
      </c>
      <c r="S170">
        <v>0</v>
      </c>
      <c r="T170">
        <v>23</v>
      </c>
      <c r="U170">
        <v>12</v>
      </c>
      <c r="V170">
        <v>34.6</v>
      </c>
      <c r="W170">
        <v>2.9</v>
      </c>
      <c r="X170" t="s">
        <v>37</v>
      </c>
      <c r="Y170">
        <v>0.33800000000000002</v>
      </c>
      <c r="Z170">
        <v>1.4379999999999999</v>
      </c>
      <c r="AA170">
        <v>2.762</v>
      </c>
      <c r="AB170" t="str">
        <f t="shared" si="2"/>
        <v>0.07 [1.44, 2.76]</v>
      </c>
    </row>
    <row r="171" spans="1:28" x14ac:dyDescent="0.35">
      <c r="A171">
        <v>131</v>
      </c>
      <c r="B171">
        <v>5</v>
      </c>
      <c r="C171" t="s">
        <v>179</v>
      </c>
      <c r="D171" t="s">
        <v>35</v>
      </c>
      <c r="E171" t="s">
        <v>181</v>
      </c>
      <c r="F171" t="s">
        <v>177</v>
      </c>
      <c r="G171" t="s">
        <v>30</v>
      </c>
      <c r="H171">
        <v>33</v>
      </c>
      <c r="I171">
        <v>3.1</v>
      </c>
      <c r="J171">
        <v>2.2999999999999998</v>
      </c>
      <c r="P171">
        <v>21.02</v>
      </c>
      <c r="Q171">
        <v>5.81</v>
      </c>
      <c r="R171">
        <v>68</v>
      </c>
      <c r="S171">
        <v>35</v>
      </c>
      <c r="T171">
        <v>45</v>
      </c>
      <c r="U171">
        <v>23</v>
      </c>
      <c r="V171">
        <v>35.799999999999997</v>
      </c>
      <c r="W171">
        <v>3</v>
      </c>
      <c r="X171" t="s">
        <v>37</v>
      </c>
      <c r="Y171">
        <v>0.4</v>
      </c>
      <c r="Z171">
        <v>2.3159999999999998</v>
      </c>
      <c r="AA171">
        <v>3.8839999999999999</v>
      </c>
      <c r="AB171" t="str">
        <f t="shared" si="2"/>
        <v>0.11 [2.32, 3.88]</v>
      </c>
    </row>
    <row r="172" spans="1:28" x14ac:dyDescent="0.35">
      <c r="A172">
        <v>132</v>
      </c>
      <c r="B172">
        <v>7</v>
      </c>
      <c r="C172" t="s">
        <v>182</v>
      </c>
      <c r="D172" t="s">
        <v>27</v>
      </c>
      <c r="E172" t="s">
        <v>183</v>
      </c>
      <c r="F172" t="s">
        <v>177</v>
      </c>
      <c r="G172" t="s">
        <v>30</v>
      </c>
      <c r="H172">
        <v>32</v>
      </c>
      <c r="I172">
        <v>3.3</v>
      </c>
      <c r="J172">
        <v>2.6</v>
      </c>
      <c r="P172">
        <v>25</v>
      </c>
      <c r="Q172">
        <v>7</v>
      </c>
      <c r="R172">
        <v>35</v>
      </c>
      <c r="S172">
        <v>3</v>
      </c>
      <c r="T172">
        <v>19</v>
      </c>
      <c r="U172">
        <v>16</v>
      </c>
      <c r="V172">
        <v>24</v>
      </c>
      <c r="W172">
        <v>2</v>
      </c>
      <c r="X172" t="s">
        <v>37</v>
      </c>
      <c r="Y172">
        <v>0.46</v>
      </c>
      <c r="Z172">
        <v>2.3980000000000001</v>
      </c>
      <c r="AA172">
        <v>4.202</v>
      </c>
      <c r="AB172" t="str">
        <f t="shared" si="2"/>
        <v>0.12 [2.40, 4.20]</v>
      </c>
    </row>
    <row r="173" spans="1:28" x14ac:dyDescent="0.35">
      <c r="A173">
        <v>133</v>
      </c>
      <c r="B173">
        <v>7</v>
      </c>
      <c r="C173" t="s">
        <v>182</v>
      </c>
      <c r="D173" t="s">
        <v>35</v>
      </c>
      <c r="E173" t="s">
        <v>184</v>
      </c>
      <c r="F173" t="s">
        <v>177</v>
      </c>
      <c r="G173" t="s">
        <v>30</v>
      </c>
      <c r="H173">
        <v>29</v>
      </c>
      <c r="I173">
        <v>2.9</v>
      </c>
      <c r="J173">
        <v>2.4</v>
      </c>
      <c r="P173">
        <v>27</v>
      </c>
      <c r="Q173">
        <v>9</v>
      </c>
      <c r="R173">
        <v>37</v>
      </c>
      <c r="S173">
        <v>8</v>
      </c>
      <c r="T173">
        <v>21</v>
      </c>
      <c r="U173">
        <v>16</v>
      </c>
      <c r="V173">
        <v>24</v>
      </c>
      <c r="W173">
        <v>2</v>
      </c>
      <c r="X173" t="s">
        <v>37</v>
      </c>
      <c r="Y173">
        <v>0.44600000000000001</v>
      </c>
      <c r="Z173">
        <v>2.0259999999999998</v>
      </c>
      <c r="AA173">
        <v>3.774</v>
      </c>
      <c r="AB173" t="str">
        <f t="shared" si="2"/>
        <v>0.12 [2.03, 3.77]</v>
      </c>
    </row>
    <row r="174" spans="1:28" x14ac:dyDescent="0.35">
      <c r="A174">
        <v>136</v>
      </c>
      <c r="B174">
        <v>10</v>
      </c>
      <c r="C174" t="s">
        <v>26</v>
      </c>
      <c r="D174" t="s">
        <v>27</v>
      </c>
      <c r="E174" t="s">
        <v>28</v>
      </c>
      <c r="F174" t="s">
        <v>177</v>
      </c>
      <c r="G174" t="s">
        <v>30</v>
      </c>
      <c r="H174">
        <v>43</v>
      </c>
      <c r="I174">
        <v>1.05</v>
      </c>
      <c r="J174">
        <v>1.36</v>
      </c>
      <c r="P174">
        <v>30.6</v>
      </c>
      <c r="Q174">
        <v>7.5</v>
      </c>
      <c r="R174">
        <v>30</v>
      </c>
      <c r="S174">
        <v>-13</v>
      </c>
      <c r="T174">
        <v>17</v>
      </c>
      <c r="U174">
        <v>13</v>
      </c>
      <c r="V174">
        <v>122.4</v>
      </c>
      <c r="W174">
        <v>10.199999999999999</v>
      </c>
      <c r="X174" t="s">
        <v>31</v>
      </c>
      <c r="Y174">
        <v>0.20699999999999999</v>
      </c>
      <c r="Z174">
        <v>0.64400000000000002</v>
      </c>
      <c r="AA174">
        <v>1.456</v>
      </c>
      <c r="AB174" t="str">
        <f t="shared" si="2"/>
        <v>0.04 [0.64, 1.46]</v>
      </c>
    </row>
    <row r="175" spans="1:28" x14ac:dyDescent="0.35">
      <c r="A175">
        <v>137</v>
      </c>
      <c r="B175">
        <v>10</v>
      </c>
      <c r="C175" t="s">
        <v>26</v>
      </c>
      <c r="D175" t="s">
        <v>32</v>
      </c>
      <c r="E175" t="s">
        <v>33</v>
      </c>
      <c r="F175" t="s">
        <v>177</v>
      </c>
      <c r="G175" t="s">
        <v>30</v>
      </c>
      <c r="H175">
        <v>43</v>
      </c>
      <c r="I175">
        <v>1</v>
      </c>
      <c r="J175">
        <v>1.1000000000000001</v>
      </c>
      <c r="P175">
        <v>30.5</v>
      </c>
      <c r="Q175">
        <v>7.8</v>
      </c>
      <c r="R175">
        <v>30</v>
      </c>
      <c r="S175">
        <v>-13</v>
      </c>
      <c r="T175">
        <v>17</v>
      </c>
      <c r="U175">
        <v>13</v>
      </c>
      <c r="V175">
        <v>123.6</v>
      </c>
      <c r="W175">
        <v>10.3</v>
      </c>
      <c r="X175" t="s">
        <v>31</v>
      </c>
      <c r="Y175">
        <v>0.16800000000000001</v>
      </c>
      <c r="Z175">
        <v>0.67100000000000004</v>
      </c>
      <c r="AA175">
        <v>1.329</v>
      </c>
      <c r="AB175" t="str">
        <f t="shared" si="2"/>
        <v>0.03 [0.67, 1.33]</v>
      </c>
    </row>
    <row r="176" spans="1:28" x14ac:dyDescent="0.35">
      <c r="A176">
        <v>140</v>
      </c>
      <c r="B176">
        <v>12</v>
      </c>
      <c r="C176" t="s">
        <v>34</v>
      </c>
      <c r="D176" t="s">
        <v>35</v>
      </c>
      <c r="E176" t="s">
        <v>36</v>
      </c>
      <c r="F176" t="s">
        <v>177</v>
      </c>
      <c r="G176" t="s">
        <v>30</v>
      </c>
      <c r="H176">
        <v>62</v>
      </c>
      <c r="I176">
        <v>1.71</v>
      </c>
      <c r="J176">
        <v>0.56999999999999995</v>
      </c>
      <c r="P176">
        <v>27.9</v>
      </c>
      <c r="Q176">
        <v>6.7</v>
      </c>
      <c r="R176">
        <v>62</v>
      </c>
      <c r="S176">
        <v>0</v>
      </c>
      <c r="T176">
        <v>31</v>
      </c>
      <c r="U176">
        <v>31</v>
      </c>
      <c r="V176">
        <v>30.3</v>
      </c>
      <c r="W176">
        <v>2.5</v>
      </c>
      <c r="X176" t="s">
        <v>37</v>
      </c>
      <c r="Y176">
        <v>7.1999999999999995E-2</v>
      </c>
      <c r="Z176">
        <v>1.569</v>
      </c>
      <c r="AA176">
        <v>1.851</v>
      </c>
      <c r="AB176" t="str">
        <f t="shared" si="2"/>
        <v>0.04 [1.57, 1.85]</v>
      </c>
    </row>
    <row r="177" spans="1:28" x14ac:dyDescent="0.35">
      <c r="A177">
        <v>141</v>
      </c>
      <c r="B177">
        <v>12</v>
      </c>
      <c r="C177" t="s">
        <v>34</v>
      </c>
      <c r="D177" t="s">
        <v>38</v>
      </c>
      <c r="E177" t="s">
        <v>39</v>
      </c>
      <c r="F177" t="s">
        <v>177</v>
      </c>
      <c r="G177" t="s">
        <v>30</v>
      </c>
      <c r="H177">
        <v>62</v>
      </c>
      <c r="I177">
        <v>1.85</v>
      </c>
      <c r="J177">
        <v>0.77</v>
      </c>
      <c r="P177">
        <v>29.1</v>
      </c>
      <c r="Q177">
        <v>6.5</v>
      </c>
      <c r="R177">
        <v>62</v>
      </c>
      <c r="S177">
        <v>0</v>
      </c>
      <c r="T177">
        <v>34</v>
      </c>
      <c r="U177">
        <v>28</v>
      </c>
      <c r="V177">
        <v>29.7</v>
      </c>
      <c r="W177">
        <v>2.5</v>
      </c>
      <c r="X177" t="s">
        <v>37</v>
      </c>
      <c r="Y177">
        <v>9.8000000000000004E-2</v>
      </c>
      <c r="Z177">
        <v>1.6579999999999999</v>
      </c>
      <c r="AA177">
        <v>2.0419999999999998</v>
      </c>
      <c r="AB177" t="str">
        <f t="shared" si="2"/>
        <v>0.04 [1.66, 2.04]</v>
      </c>
    </row>
    <row r="178" spans="1:28" x14ac:dyDescent="0.35">
      <c r="A178">
        <v>146</v>
      </c>
      <c r="B178">
        <v>23</v>
      </c>
      <c r="C178" t="s">
        <v>121</v>
      </c>
      <c r="D178" t="s">
        <v>27</v>
      </c>
      <c r="E178" t="s">
        <v>122</v>
      </c>
      <c r="F178" t="s">
        <v>177</v>
      </c>
      <c r="G178" t="s">
        <v>30</v>
      </c>
      <c r="H178">
        <v>32</v>
      </c>
      <c r="I178">
        <v>2.29</v>
      </c>
      <c r="J178">
        <v>3.99</v>
      </c>
      <c r="K178">
        <v>-5</v>
      </c>
      <c r="M178">
        <v>2</v>
      </c>
      <c r="O178">
        <v>11.5</v>
      </c>
      <c r="P178">
        <v>27.26</v>
      </c>
      <c r="Q178">
        <v>8.4700000000000006</v>
      </c>
      <c r="R178">
        <v>32</v>
      </c>
      <c r="S178">
        <v>0</v>
      </c>
      <c r="T178">
        <v>21</v>
      </c>
      <c r="U178">
        <v>11</v>
      </c>
      <c r="V178">
        <v>24</v>
      </c>
      <c r="W178">
        <v>2</v>
      </c>
      <c r="X178" t="s">
        <v>37</v>
      </c>
      <c r="Y178">
        <v>0.70499999999999996</v>
      </c>
      <c r="Z178">
        <v>0.90800000000000003</v>
      </c>
      <c r="AA178">
        <v>3.6720000000000002</v>
      </c>
      <c r="AB178" t="str">
        <f t="shared" si="2"/>
        <v>0.09 [0.91, 3.67]</v>
      </c>
    </row>
    <row r="179" spans="1:28" x14ac:dyDescent="0.35">
      <c r="A179">
        <v>147</v>
      </c>
      <c r="B179">
        <v>23</v>
      </c>
      <c r="C179" t="s">
        <v>121</v>
      </c>
      <c r="D179" t="s">
        <v>35</v>
      </c>
      <c r="E179" t="s">
        <v>123</v>
      </c>
      <c r="F179" t="s">
        <v>177</v>
      </c>
      <c r="G179" t="s">
        <v>30</v>
      </c>
      <c r="H179">
        <v>34</v>
      </c>
      <c r="I179">
        <v>2.4700000000000002</v>
      </c>
      <c r="J179">
        <v>3.47</v>
      </c>
      <c r="K179">
        <v>-4</v>
      </c>
      <c r="M179">
        <v>2.25</v>
      </c>
      <c r="O179">
        <v>10.5</v>
      </c>
      <c r="P179">
        <v>30.77</v>
      </c>
      <c r="Q179">
        <v>10.52</v>
      </c>
      <c r="R179">
        <v>34</v>
      </c>
      <c r="S179">
        <v>0</v>
      </c>
      <c r="T179">
        <v>25</v>
      </c>
      <c r="U179">
        <v>9</v>
      </c>
      <c r="V179">
        <v>24</v>
      </c>
      <c r="W179">
        <v>2</v>
      </c>
      <c r="X179" t="s">
        <v>37</v>
      </c>
      <c r="Y179">
        <v>0.59499999999999997</v>
      </c>
      <c r="Z179">
        <v>1.304</v>
      </c>
      <c r="AA179">
        <v>3.6360000000000001</v>
      </c>
      <c r="AB179" t="str">
        <f t="shared" si="2"/>
        <v>0.09 [1.30, 3.64]</v>
      </c>
    </row>
    <row r="180" spans="1:28" x14ac:dyDescent="0.35">
      <c r="A180">
        <v>148</v>
      </c>
      <c r="B180">
        <v>25</v>
      </c>
      <c r="C180" t="s">
        <v>185</v>
      </c>
      <c r="D180" t="s">
        <v>27</v>
      </c>
      <c r="E180" t="s">
        <v>186</v>
      </c>
      <c r="F180" t="s">
        <v>177</v>
      </c>
      <c r="G180" t="s">
        <v>30</v>
      </c>
      <c r="H180">
        <v>42</v>
      </c>
      <c r="I180">
        <v>0.95</v>
      </c>
      <c r="J180">
        <v>0.91</v>
      </c>
      <c r="P180">
        <v>27</v>
      </c>
      <c r="Q180">
        <v>6</v>
      </c>
      <c r="V180">
        <v>6.7</v>
      </c>
      <c r="W180">
        <v>0.6</v>
      </c>
      <c r="X180" t="s">
        <v>61</v>
      </c>
      <c r="Y180">
        <v>0.14000000000000001</v>
      </c>
      <c r="Z180">
        <v>0.67600000000000005</v>
      </c>
      <c r="AA180">
        <v>1.224</v>
      </c>
      <c r="AB180" t="str">
        <f t="shared" si="2"/>
        <v>0.03 [0.68, 1.22]</v>
      </c>
    </row>
    <row r="181" spans="1:28" x14ac:dyDescent="0.35">
      <c r="A181">
        <v>149</v>
      </c>
      <c r="B181">
        <v>25</v>
      </c>
      <c r="C181" t="s">
        <v>185</v>
      </c>
      <c r="D181" t="s">
        <v>35</v>
      </c>
      <c r="E181" t="s">
        <v>187</v>
      </c>
      <c r="F181" t="s">
        <v>177</v>
      </c>
      <c r="G181" t="s">
        <v>30</v>
      </c>
      <c r="H181">
        <v>47</v>
      </c>
      <c r="I181">
        <v>1.1000000000000001</v>
      </c>
      <c r="J181">
        <v>0.95</v>
      </c>
      <c r="P181">
        <v>27</v>
      </c>
      <c r="Q181">
        <v>6</v>
      </c>
      <c r="V181">
        <v>6.7</v>
      </c>
      <c r="W181">
        <v>0.6</v>
      </c>
      <c r="X181" t="s">
        <v>61</v>
      </c>
      <c r="Y181">
        <v>0.13900000000000001</v>
      </c>
      <c r="Z181">
        <v>0.82799999999999996</v>
      </c>
      <c r="AA181">
        <v>1.3720000000000001</v>
      </c>
      <c r="AB181" t="str">
        <f t="shared" si="2"/>
        <v>0.03 [0.83, 1.37]</v>
      </c>
    </row>
    <row r="182" spans="1:28" x14ac:dyDescent="0.35">
      <c r="A182">
        <v>150</v>
      </c>
      <c r="B182">
        <v>26</v>
      </c>
      <c r="C182" t="s">
        <v>188</v>
      </c>
      <c r="D182" t="s">
        <v>27</v>
      </c>
      <c r="E182" t="s">
        <v>189</v>
      </c>
      <c r="F182" t="s">
        <v>177</v>
      </c>
      <c r="G182" t="s">
        <v>30</v>
      </c>
      <c r="H182">
        <v>27</v>
      </c>
      <c r="I182">
        <v>0.5</v>
      </c>
      <c r="J182">
        <v>1</v>
      </c>
      <c r="P182">
        <v>25.8</v>
      </c>
      <c r="Q182">
        <v>6</v>
      </c>
      <c r="R182">
        <v>31</v>
      </c>
      <c r="S182">
        <v>4</v>
      </c>
      <c r="T182">
        <v>23</v>
      </c>
      <c r="U182">
        <v>8</v>
      </c>
      <c r="V182">
        <v>36</v>
      </c>
      <c r="W182">
        <v>3</v>
      </c>
      <c r="X182" t="s">
        <v>37</v>
      </c>
      <c r="Y182">
        <v>0.192</v>
      </c>
      <c r="Z182">
        <v>0.124</v>
      </c>
      <c r="AA182">
        <v>0.876</v>
      </c>
      <c r="AB182" t="str">
        <f t="shared" si="2"/>
        <v>0.04 [0.12, 0.88]</v>
      </c>
    </row>
    <row r="183" spans="1:28" x14ac:dyDescent="0.35">
      <c r="A183">
        <v>151</v>
      </c>
      <c r="B183">
        <v>26</v>
      </c>
      <c r="C183" t="s">
        <v>188</v>
      </c>
      <c r="D183" t="s">
        <v>35</v>
      </c>
      <c r="E183" t="s">
        <v>190</v>
      </c>
      <c r="F183" t="s">
        <v>177</v>
      </c>
      <c r="G183" t="s">
        <v>30</v>
      </c>
      <c r="H183">
        <v>21</v>
      </c>
      <c r="I183">
        <v>1.1000000000000001</v>
      </c>
      <c r="J183">
        <v>1.2</v>
      </c>
      <c r="P183">
        <v>26.3</v>
      </c>
      <c r="Q183">
        <v>6</v>
      </c>
      <c r="R183">
        <v>34</v>
      </c>
      <c r="S183">
        <v>13</v>
      </c>
      <c r="T183">
        <v>24</v>
      </c>
      <c r="U183">
        <v>10</v>
      </c>
      <c r="V183">
        <v>36</v>
      </c>
      <c r="W183">
        <v>3</v>
      </c>
      <c r="X183" t="s">
        <v>37</v>
      </c>
      <c r="Y183">
        <v>0.26200000000000001</v>
      </c>
      <c r="Z183">
        <v>0.58599999999999997</v>
      </c>
      <c r="AA183">
        <v>1.6140000000000001</v>
      </c>
      <c r="AB183" t="str">
        <f t="shared" si="2"/>
        <v>0.07 [0.59, 1.61]</v>
      </c>
    </row>
    <row r="184" spans="1:28" x14ac:dyDescent="0.35">
      <c r="A184">
        <v>154</v>
      </c>
      <c r="B184">
        <v>30</v>
      </c>
      <c r="C184" t="s">
        <v>191</v>
      </c>
      <c r="D184" t="s">
        <v>27</v>
      </c>
      <c r="E184" t="s">
        <v>192</v>
      </c>
      <c r="F184" t="s">
        <v>177</v>
      </c>
      <c r="G184" t="s">
        <v>30</v>
      </c>
      <c r="H184">
        <v>41</v>
      </c>
      <c r="I184">
        <v>1.4</v>
      </c>
      <c r="J184">
        <v>1.8</v>
      </c>
      <c r="P184">
        <v>27</v>
      </c>
      <c r="Q184">
        <v>6.74</v>
      </c>
      <c r="V184">
        <v>84</v>
      </c>
      <c r="W184">
        <v>7</v>
      </c>
      <c r="X184" t="s">
        <v>31</v>
      </c>
      <c r="Y184">
        <v>0.28100000000000003</v>
      </c>
      <c r="Z184">
        <v>0.84899999999999998</v>
      </c>
      <c r="AA184">
        <v>1.9510000000000001</v>
      </c>
      <c r="AB184" t="str">
        <f t="shared" si="2"/>
        <v>0.05 [0.85, 1.95]</v>
      </c>
    </row>
    <row r="185" spans="1:28" x14ac:dyDescent="0.35">
      <c r="A185">
        <v>155</v>
      </c>
      <c r="B185">
        <v>30</v>
      </c>
      <c r="C185" t="s">
        <v>191</v>
      </c>
      <c r="D185" t="s">
        <v>35</v>
      </c>
      <c r="E185" t="s">
        <v>193</v>
      </c>
      <c r="F185" t="s">
        <v>177</v>
      </c>
      <c r="G185" t="s">
        <v>30</v>
      </c>
      <c r="H185">
        <v>36</v>
      </c>
      <c r="I185">
        <v>1.4</v>
      </c>
      <c r="J185">
        <v>1.4</v>
      </c>
      <c r="P185">
        <v>27</v>
      </c>
      <c r="Q185">
        <v>6.78</v>
      </c>
      <c r="V185">
        <v>84</v>
      </c>
      <c r="W185">
        <v>7</v>
      </c>
      <c r="X185" t="s">
        <v>31</v>
      </c>
      <c r="Y185">
        <v>0.23300000000000001</v>
      </c>
      <c r="Z185">
        <v>0.94299999999999995</v>
      </c>
      <c r="AA185">
        <v>1.857</v>
      </c>
      <c r="AB185" t="str">
        <f t="shared" si="2"/>
        <v>0.05 [0.94, 1.86]</v>
      </c>
    </row>
    <row r="186" spans="1:28" x14ac:dyDescent="0.35">
      <c r="A186">
        <v>158</v>
      </c>
      <c r="B186">
        <v>33</v>
      </c>
      <c r="C186" t="s">
        <v>124</v>
      </c>
      <c r="D186" t="s">
        <v>27</v>
      </c>
      <c r="E186" t="s">
        <v>125</v>
      </c>
      <c r="F186" t="s">
        <v>177</v>
      </c>
      <c r="G186" t="s">
        <v>30</v>
      </c>
      <c r="H186">
        <v>37</v>
      </c>
      <c r="I186">
        <v>1.5</v>
      </c>
      <c r="J186">
        <v>3</v>
      </c>
      <c r="V186">
        <v>60.6</v>
      </c>
      <c r="W186">
        <v>5.0999999999999996</v>
      </c>
      <c r="X186" t="s">
        <v>31</v>
      </c>
      <c r="Y186">
        <v>0.49299999999999999</v>
      </c>
      <c r="Z186">
        <v>0.53400000000000003</v>
      </c>
      <c r="AA186">
        <v>2.4660000000000002</v>
      </c>
      <c r="AB186" t="str">
        <f t="shared" si="2"/>
        <v>0.05 [0.53, 2.47]</v>
      </c>
    </row>
    <row r="187" spans="1:28" x14ac:dyDescent="0.35">
      <c r="A187">
        <v>159</v>
      </c>
      <c r="B187">
        <v>33</v>
      </c>
      <c r="C187" t="s">
        <v>124</v>
      </c>
      <c r="D187" t="s">
        <v>35</v>
      </c>
      <c r="E187" t="s">
        <v>126</v>
      </c>
      <c r="F187" t="s">
        <v>177</v>
      </c>
      <c r="G187" t="s">
        <v>30</v>
      </c>
      <c r="H187">
        <v>37</v>
      </c>
      <c r="I187">
        <v>1.2</v>
      </c>
      <c r="J187">
        <v>3.9</v>
      </c>
      <c r="V187">
        <v>60.6</v>
      </c>
      <c r="W187">
        <v>5.0999999999999996</v>
      </c>
      <c r="X187" t="s">
        <v>31</v>
      </c>
      <c r="Y187">
        <v>0.64100000000000001</v>
      </c>
      <c r="Z187">
        <v>-5.6000000000000001E-2</v>
      </c>
      <c r="AA187">
        <v>2.456</v>
      </c>
      <c r="AB187" t="str">
        <f t="shared" si="2"/>
        <v>0.05 [-0.06, 2.46]</v>
      </c>
    </row>
    <row r="188" spans="1:28" x14ac:dyDescent="0.35">
      <c r="A188">
        <v>162</v>
      </c>
      <c r="B188">
        <v>35</v>
      </c>
      <c r="C188" t="s">
        <v>127</v>
      </c>
      <c r="D188" t="s">
        <v>27</v>
      </c>
      <c r="E188" t="s">
        <v>128</v>
      </c>
      <c r="F188" t="s">
        <v>177</v>
      </c>
      <c r="G188" t="s">
        <v>30</v>
      </c>
      <c r="H188">
        <v>28</v>
      </c>
      <c r="I188">
        <v>3</v>
      </c>
      <c r="J188">
        <v>3.2</v>
      </c>
      <c r="P188">
        <v>33.9</v>
      </c>
      <c r="Q188">
        <v>6.2</v>
      </c>
      <c r="R188">
        <v>28</v>
      </c>
      <c r="S188">
        <v>0</v>
      </c>
      <c r="T188">
        <v>18</v>
      </c>
      <c r="U188">
        <v>10</v>
      </c>
      <c r="V188">
        <v>10.199999999999999</v>
      </c>
      <c r="W188">
        <v>0.9</v>
      </c>
      <c r="X188" t="s">
        <v>61</v>
      </c>
      <c r="Y188">
        <v>0.60499999999999998</v>
      </c>
      <c r="Z188">
        <v>1.8140000000000001</v>
      </c>
      <c r="AA188">
        <v>4.1859999999999999</v>
      </c>
      <c r="AB188" t="str">
        <f t="shared" si="2"/>
        <v>0.12 [1.81, 4.19]</v>
      </c>
    </row>
    <row r="189" spans="1:28" x14ac:dyDescent="0.35">
      <c r="A189">
        <v>163</v>
      </c>
      <c r="B189">
        <v>35</v>
      </c>
      <c r="C189" t="s">
        <v>127</v>
      </c>
      <c r="D189" t="s">
        <v>35</v>
      </c>
      <c r="E189" t="s">
        <v>129</v>
      </c>
      <c r="F189" t="s">
        <v>177</v>
      </c>
      <c r="G189" t="s">
        <v>30</v>
      </c>
      <c r="H189">
        <v>29</v>
      </c>
      <c r="I189">
        <v>2</v>
      </c>
      <c r="J189">
        <v>3.5</v>
      </c>
      <c r="P189">
        <v>37.9</v>
      </c>
      <c r="Q189">
        <v>9.1</v>
      </c>
      <c r="R189">
        <v>29</v>
      </c>
      <c r="S189">
        <v>0</v>
      </c>
      <c r="T189">
        <v>15</v>
      </c>
      <c r="U189">
        <v>14</v>
      </c>
      <c r="V189">
        <v>10.7</v>
      </c>
      <c r="W189">
        <v>0.9</v>
      </c>
      <c r="X189" t="s">
        <v>61</v>
      </c>
      <c r="Y189">
        <v>0.65</v>
      </c>
      <c r="Z189">
        <v>0.72599999999999998</v>
      </c>
      <c r="AA189">
        <v>3.274</v>
      </c>
      <c r="AB189" t="str">
        <f t="shared" si="2"/>
        <v>0.08 [0.73, 3.27]</v>
      </c>
    </row>
    <row r="190" spans="1:28" x14ac:dyDescent="0.35">
      <c r="A190">
        <v>164</v>
      </c>
      <c r="B190">
        <v>36</v>
      </c>
      <c r="C190" t="s">
        <v>56</v>
      </c>
      <c r="D190" t="s">
        <v>35</v>
      </c>
      <c r="E190" t="s">
        <v>57</v>
      </c>
      <c r="F190" t="s">
        <v>177</v>
      </c>
      <c r="G190" t="s">
        <v>30</v>
      </c>
      <c r="H190">
        <v>26</v>
      </c>
      <c r="I190">
        <v>0.2</v>
      </c>
      <c r="J190">
        <v>2.2000000000000002</v>
      </c>
      <c r="P190">
        <v>32.700000000000003</v>
      </c>
      <c r="Q190">
        <v>11.4</v>
      </c>
      <c r="R190">
        <v>27</v>
      </c>
      <c r="S190">
        <v>1</v>
      </c>
      <c r="T190">
        <v>12</v>
      </c>
      <c r="U190">
        <v>15</v>
      </c>
      <c r="V190">
        <v>24</v>
      </c>
      <c r="W190">
        <v>2</v>
      </c>
      <c r="X190" t="s">
        <v>37</v>
      </c>
      <c r="Y190">
        <v>0.43099999999999999</v>
      </c>
      <c r="Z190">
        <v>-0.64500000000000002</v>
      </c>
      <c r="AA190">
        <v>1.0449999999999999</v>
      </c>
      <c r="AB190" t="str">
        <f t="shared" si="2"/>
        <v>0.03 [-0.65, 1.05]</v>
      </c>
    </row>
    <row r="191" spans="1:28" x14ac:dyDescent="0.35">
      <c r="A191">
        <v>165</v>
      </c>
      <c r="B191">
        <v>36</v>
      </c>
      <c r="C191" t="s">
        <v>56</v>
      </c>
      <c r="D191" t="s">
        <v>32</v>
      </c>
      <c r="E191" t="s">
        <v>58</v>
      </c>
      <c r="F191" t="s">
        <v>177</v>
      </c>
      <c r="G191" t="s">
        <v>30</v>
      </c>
      <c r="H191">
        <v>23</v>
      </c>
      <c r="I191">
        <v>0.7</v>
      </c>
      <c r="J191">
        <v>1.1000000000000001</v>
      </c>
      <c r="P191">
        <v>24.1</v>
      </c>
      <c r="Q191">
        <v>3.6</v>
      </c>
      <c r="R191">
        <v>24</v>
      </c>
      <c r="S191">
        <v>1</v>
      </c>
      <c r="T191">
        <v>21</v>
      </c>
      <c r="U191">
        <v>3</v>
      </c>
      <c r="V191">
        <v>24</v>
      </c>
      <c r="W191">
        <v>2</v>
      </c>
      <c r="X191" t="s">
        <v>37</v>
      </c>
      <c r="Y191">
        <v>0.22900000000000001</v>
      </c>
      <c r="Z191">
        <v>0.251</v>
      </c>
      <c r="AA191">
        <v>1.149</v>
      </c>
      <c r="AB191" t="str">
        <f t="shared" si="2"/>
        <v>0.05 [0.25, 1.15]</v>
      </c>
    </row>
    <row r="192" spans="1:28" x14ac:dyDescent="0.35">
      <c r="A192">
        <v>168</v>
      </c>
      <c r="B192">
        <v>41</v>
      </c>
      <c r="C192" t="s">
        <v>172</v>
      </c>
      <c r="D192" t="s">
        <v>27</v>
      </c>
      <c r="E192" t="s">
        <v>173</v>
      </c>
      <c r="F192" t="s">
        <v>177</v>
      </c>
      <c r="G192" t="s">
        <v>30</v>
      </c>
      <c r="H192">
        <v>43</v>
      </c>
      <c r="I192">
        <v>1.7</v>
      </c>
      <c r="J192">
        <v>2.63</v>
      </c>
      <c r="K192">
        <v>-3.7</v>
      </c>
      <c r="O192">
        <v>7.8</v>
      </c>
      <c r="V192">
        <v>24</v>
      </c>
      <c r="W192">
        <v>2</v>
      </c>
      <c r="X192" t="s">
        <v>37</v>
      </c>
      <c r="Y192">
        <v>0.40100000000000002</v>
      </c>
      <c r="Z192">
        <v>0.91400000000000003</v>
      </c>
      <c r="AA192">
        <v>2.4860000000000002</v>
      </c>
      <c r="AB192" t="str">
        <f t="shared" si="2"/>
        <v>0.05 [0.91, 2.49]</v>
      </c>
    </row>
    <row r="193" spans="1:28" x14ac:dyDescent="0.35">
      <c r="A193">
        <v>169</v>
      </c>
      <c r="B193">
        <v>41</v>
      </c>
      <c r="C193" t="s">
        <v>172</v>
      </c>
      <c r="D193" t="s">
        <v>35</v>
      </c>
      <c r="E193" t="s">
        <v>174</v>
      </c>
      <c r="F193" t="s">
        <v>177</v>
      </c>
      <c r="G193" t="s">
        <v>30</v>
      </c>
      <c r="H193">
        <v>46</v>
      </c>
      <c r="I193">
        <v>1.2</v>
      </c>
      <c r="J193">
        <v>2.65</v>
      </c>
      <c r="K193">
        <v>-4.3</v>
      </c>
      <c r="O193">
        <v>7.4</v>
      </c>
      <c r="V193">
        <v>24</v>
      </c>
      <c r="W193">
        <v>2</v>
      </c>
      <c r="X193" t="s">
        <v>37</v>
      </c>
      <c r="Y193">
        <v>0.39100000000000001</v>
      </c>
      <c r="Z193">
        <v>0.434</v>
      </c>
      <c r="AA193">
        <v>1.966</v>
      </c>
      <c r="AB193" t="str">
        <f t="shared" si="2"/>
        <v>0.04 [0.43, 1.97]</v>
      </c>
    </row>
    <row r="194" spans="1:28" x14ac:dyDescent="0.35">
      <c r="A194">
        <v>170</v>
      </c>
      <c r="B194">
        <v>43</v>
      </c>
      <c r="C194" t="s">
        <v>133</v>
      </c>
      <c r="D194" t="s">
        <v>27</v>
      </c>
      <c r="E194" t="s">
        <v>134</v>
      </c>
      <c r="F194" t="s">
        <v>177</v>
      </c>
      <c r="G194" t="s">
        <v>30</v>
      </c>
      <c r="H194">
        <v>74</v>
      </c>
      <c r="I194">
        <v>0.6</v>
      </c>
      <c r="J194">
        <v>0.21</v>
      </c>
      <c r="K194">
        <v>0</v>
      </c>
      <c r="O194">
        <v>1</v>
      </c>
      <c r="P194">
        <v>26</v>
      </c>
      <c r="Q194">
        <v>6.28</v>
      </c>
      <c r="R194">
        <v>74</v>
      </c>
      <c r="S194">
        <v>0</v>
      </c>
      <c r="T194">
        <v>0</v>
      </c>
      <c r="U194">
        <v>74</v>
      </c>
      <c r="V194">
        <v>24</v>
      </c>
      <c r="W194">
        <v>2</v>
      </c>
      <c r="X194" t="s">
        <v>37</v>
      </c>
      <c r="Y194">
        <v>2.4E-2</v>
      </c>
      <c r="Z194">
        <v>0.55300000000000005</v>
      </c>
      <c r="AA194">
        <v>0.64700000000000002</v>
      </c>
      <c r="AB194" t="str">
        <f t="shared" si="2"/>
        <v>0.01 [0.55, 0.65]</v>
      </c>
    </row>
    <row r="195" spans="1:28" x14ac:dyDescent="0.35">
      <c r="A195">
        <v>171</v>
      </c>
      <c r="B195">
        <v>43</v>
      </c>
      <c r="C195" t="s">
        <v>133</v>
      </c>
      <c r="D195" t="s">
        <v>35</v>
      </c>
      <c r="E195" t="s">
        <v>135</v>
      </c>
      <c r="F195" t="s">
        <v>177</v>
      </c>
      <c r="G195" t="s">
        <v>30</v>
      </c>
      <c r="H195">
        <v>73</v>
      </c>
      <c r="I195">
        <v>0.5</v>
      </c>
      <c r="J195">
        <v>0.42</v>
      </c>
      <c r="K195">
        <v>0</v>
      </c>
      <c r="O195">
        <v>2</v>
      </c>
      <c r="P195">
        <v>26</v>
      </c>
      <c r="Q195">
        <v>6.29</v>
      </c>
      <c r="R195">
        <v>73</v>
      </c>
      <c r="S195">
        <v>0</v>
      </c>
      <c r="T195">
        <v>0</v>
      </c>
      <c r="U195">
        <v>73</v>
      </c>
      <c r="V195">
        <v>24</v>
      </c>
      <c r="W195">
        <v>2</v>
      </c>
      <c r="X195" t="s">
        <v>37</v>
      </c>
      <c r="Y195">
        <v>4.9000000000000002E-2</v>
      </c>
      <c r="Z195">
        <v>0.40400000000000003</v>
      </c>
      <c r="AA195">
        <v>0.59599999999999997</v>
      </c>
      <c r="AB195" t="str">
        <f t="shared" ref="AB195:AB258" si="3">TEXT((I195+0.5)/(H195+0.5), "#0.00")&amp;" ["&amp;TEXT(Z195, "#0.00")&amp;", "&amp;TEXT(AA195, "#0.00")&amp;"]"</f>
        <v>0.01 [0.40, 0.60]</v>
      </c>
    </row>
    <row r="196" spans="1:28" x14ac:dyDescent="0.35">
      <c r="A196">
        <v>172</v>
      </c>
      <c r="B196">
        <v>45</v>
      </c>
      <c r="C196" t="s">
        <v>136</v>
      </c>
      <c r="D196" t="s">
        <v>27</v>
      </c>
      <c r="E196" t="s">
        <v>137</v>
      </c>
      <c r="F196" t="s">
        <v>177</v>
      </c>
      <c r="G196" t="s">
        <v>30</v>
      </c>
      <c r="H196">
        <v>24</v>
      </c>
      <c r="I196">
        <v>1.8</v>
      </c>
      <c r="J196">
        <v>0.51</v>
      </c>
      <c r="K196">
        <v>1</v>
      </c>
      <c r="O196">
        <v>3</v>
      </c>
      <c r="P196">
        <v>29.8</v>
      </c>
      <c r="Q196">
        <v>6.33</v>
      </c>
      <c r="R196">
        <v>31</v>
      </c>
      <c r="S196">
        <v>7</v>
      </c>
      <c r="T196">
        <v>22</v>
      </c>
      <c r="U196">
        <v>9</v>
      </c>
      <c r="V196">
        <v>120</v>
      </c>
      <c r="W196">
        <v>10</v>
      </c>
      <c r="X196" t="s">
        <v>31</v>
      </c>
      <c r="Y196">
        <v>0.104</v>
      </c>
      <c r="Z196">
        <v>1.5960000000000001</v>
      </c>
      <c r="AA196">
        <v>2.004</v>
      </c>
      <c r="AB196" t="str">
        <f t="shared" si="3"/>
        <v>0.09 [1.60, 2.00]</v>
      </c>
    </row>
    <row r="197" spans="1:28" x14ac:dyDescent="0.35">
      <c r="A197">
        <v>173</v>
      </c>
      <c r="B197">
        <v>45</v>
      </c>
      <c r="C197" t="s">
        <v>136</v>
      </c>
      <c r="D197" t="s">
        <v>35</v>
      </c>
      <c r="E197" t="s">
        <v>138</v>
      </c>
      <c r="F197" t="s">
        <v>177</v>
      </c>
      <c r="G197" t="s">
        <v>30</v>
      </c>
      <c r="H197">
        <v>23</v>
      </c>
      <c r="I197">
        <v>2.2000000000000002</v>
      </c>
      <c r="J197">
        <v>0.78</v>
      </c>
      <c r="K197">
        <v>1</v>
      </c>
      <c r="O197">
        <v>4</v>
      </c>
      <c r="P197">
        <v>29.8</v>
      </c>
      <c r="Q197">
        <v>6.33</v>
      </c>
      <c r="R197">
        <v>31</v>
      </c>
      <c r="S197">
        <v>8</v>
      </c>
      <c r="T197">
        <v>23</v>
      </c>
      <c r="U197">
        <v>8</v>
      </c>
      <c r="V197">
        <v>120</v>
      </c>
      <c r="W197">
        <v>10</v>
      </c>
      <c r="X197" t="s">
        <v>31</v>
      </c>
      <c r="Y197">
        <v>0.16300000000000001</v>
      </c>
      <c r="Z197">
        <v>1.881</v>
      </c>
      <c r="AA197">
        <v>2.5190000000000001</v>
      </c>
      <c r="AB197" t="str">
        <f t="shared" si="3"/>
        <v>0.11 [1.88, 2.52]</v>
      </c>
    </row>
    <row r="198" spans="1:28" x14ac:dyDescent="0.35">
      <c r="A198">
        <v>174</v>
      </c>
      <c r="B198">
        <v>46</v>
      </c>
      <c r="C198" t="s">
        <v>194</v>
      </c>
      <c r="D198" t="s">
        <v>27</v>
      </c>
      <c r="E198" t="s">
        <v>195</v>
      </c>
      <c r="F198" t="s">
        <v>177</v>
      </c>
      <c r="G198" t="s">
        <v>30</v>
      </c>
      <c r="H198">
        <v>15</v>
      </c>
      <c r="I198">
        <v>1.22</v>
      </c>
      <c r="J198">
        <v>0.69</v>
      </c>
      <c r="K198">
        <v>0.3</v>
      </c>
      <c r="O198">
        <v>2.7</v>
      </c>
      <c r="P198">
        <v>29.93</v>
      </c>
      <c r="Q198">
        <v>8.91</v>
      </c>
      <c r="V198">
        <v>19</v>
      </c>
      <c r="W198">
        <v>1.6</v>
      </c>
      <c r="X198" t="s">
        <v>37</v>
      </c>
      <c r="Y198">
        <v>0.17799999999999999</v>
      </c>
      <c r="Z198">
        <v>0.871</v>
      </c>
      <c r="AA198">
        <v>1.569</v>
      </c>
      <c r="AB198" t="str">
        <f t="shared" si="3"/>
        <v>0.11 [0.87, 1.57]</v>
      </c>
    </row>
    <row r="199" spans="1:28" x14ac:dyDescent="0.35">
      <c r="A199">
        <v>175</v>
      </c>
      <c r="B199">
        <v>46</v>
      </c>
      <c r="C199" t="s">
        <v>194</v>
      </c>
      <c r="D199" t="s">
        <v>35</v>
      </c>
      <c r="E199" t="s">
        <v>196</v>
      </c>
      <c r="F199" t="s">
        <v>177</v>
      </c>
      <c r="G199" t="s">
        <v>30</v>
      </c>
      <c r="H199">
        <v>13</v>
      </c>
      <c r="I199">
        <v>0.96</v>
      </c>
      <c r="J199">
        <v>0.42</v>
      </c>
      <c r="K199">
        <v>0.2</v>
      </c>
      <c r="O199">
        <v>1.6</v>
      </c>
      <c r="P199">
        <v>28.65</v>
      </c>
      <c r="Q199">
        <v>9.27</v>
      </c>
      <c r="V199">
        <v>19</v>
      </c>
      <c r="W199">
        <v>1.6</v>
      </c>
      <c r="X199" t="s">
        <v>37</v>
      </c>
      <c r="Y199">
        <v>0.11600000000000001</v>
      </c>
      <c r="Z199">
        <v>0.73299999999999998</v>
      </c>
      <c r="AA199">
        <v>1.1870000000000001</v>
      </c>
      <c r="AB199" t="str">
        <f t="shared" si="3"/>
        <v>0.11 [0.73, 1.19]</v>
      </c>
    </row>
    <row r="200" spans="1:28" x14ac:dyDescent="0.35">
      <c r="A200">
        <v>178</v>
      </c>
      <c r="B200">
        <v>49</v>
      </c>
      <c r="C200" t="s">
        <v>139</v>
      </c>
      <c r="D200" t="s">
        <v>27</v>
      </c>
      <c r="E200" t="s">
        <v>140</v>
      </c>
      <c r="F200" t="s">
        <v>177</v>
      </c>
      <c r="G200" t="s">
        <v>30</v>
      </c>
      <c r="H200">
        <v>40</v>
      </c>
      <c r="I200">
        <v>1</v>
      </c>
      <c r="J200">
        <v>3.01</v>
      </c>
      <c r="K200">
        <v>-5</v>
      </c>
      <c r="O200">
        <v>8</v>
      </c>
      <c r="P200">
        <v>28</v>
      </c>
      <c r="Q200">
        <v>8.35</v>
      </c>
      <c r="V200">
        <v>26</v>
      </c>
      <c r="W200">
        <v>2.2000000000000002</v>
      </c>
      <c r="X200" t="s">
        <v>37</v>
      </c>
      <c r="Y200">
        <v>0.47599999999999998</v>
      </c>
      <c r="Z200">
        <v>6.7000000000000004E-2</v>
      </c>
      <c r="AA200">
        <v>1.9330000000000001</v>
      </c>
      <c r="AB200" t="str">
        <f t="shared" si="3"/>
        <v>0.04 [0.07, 1.93]</v>
      </c>
    </row>
    <row r="201" spans="1:28" x14ac:dyDescent="0.35">
      <c r="A201">
        <v>179</v>
      </c>
      <c r="B201">
        <v>49</v>
      </c>
      <c r="C201" t="s">
        <v>139</v>
      </c>
      <c r="D201" t="s">
        <v>35</v>
      </c>
      <c r="E201" t="s">
        <v>141</v>
      </c>
      <c r="F201" t="s">
        <v>177</v>
      </c>
      <c r="G201" t="s">
        <v>30</v>
      </c>
      <c r="H201">
        <v>78</v>
      </c>
      <c r="I201">
        <v>1.5</v>
      </c>
      <c r="J201">
        <v>3.12</v>
      </c>
      <c r="P201">
        <v>25</v>
      </c>
      <c r="Q201">
        <v>5.6</v>
      </c>
      <c r="V201">
        <v>26</v>
      </c>
      <c r="W201">
        <v>2.2000000000000002</v>
      </c>
      <c r="X201" t="s">
        <v>37</v>
      </c>
      <c r="Y201">
        <v>0.35299999999999998</v>
      </c>
      <c r="Z201">
        <v>0.80800000000000005</v>
      </c>
      <c r="AA201">
        <v>2.1920000000000002</v>
      </c>
      <c r="AB201" t="str">
        <f t="shared" si="3"/>
        <v>0.03 [0.81, 2.19]</v>
      </c>
    </row>
    <row r="202" spans="1:28" x14ac:dyDescent="0.35">
      <c r="A202">
        <v>182</v>
      </c>
      <c r="B202">
        <v>51</v>
      </c>
      <c r="C202" t="s">
        <v>66</v>
      </c>
      <c r="D202" t="s">
        <v>35</v>
      </c>
      <c r="E202" t="s">
        <v>67</v>
      </c>
      <c r="F202" t="s">
        <v>177</v>
      </c>
      <c r="G202" t="s">
        <v>30</v>
      </c>
      <c r="H202">
        <v>32</v>
      </c>
      <c r="I202">
        <v>2.1</v>
      </c>
      <c r="J202">
        <v>1.6</v>
      </c>
      <c r="P202">
        <v>29.8</v>
      </c>
      <c r="Q202">
        <v>7.9</v>
      </c>
      <c r="R202">
        <v>32</v>
      </c>
      <c r="S202">
        <v>0</v>
      </c>
      <c r="T202">
        <v>17</v>
      </c>
      <c r="U202">
        <v>15</v>
      </c>
      <c r="V202">
        <v>69.599999999999994</v>
      </c>
      <c r="W202">
        <v>5.8</v>
      </c>
      <c r="X202" t="s">
        <v>31</v>
      </c>
      <c r="Y202">
        <v>0.28299999999999997</v>
      </c>
      <c r="Z202">
        <v>1.5449999999999999</v>
      </c>
      <c r="AA202">
        <v>2.6549999999999998</v>
      </c>
      <c r="AB202" t="str">
        <f t="shared" si="3"/>
        <v>0.08 [1.55, 2.66]</v>
      </c>
    </row>
    <row r="203" spans="1:28" x14ac:dyDescent="0.35">
      <c r="A203">
        <v>183</v>
      </c>
      <c r="B203">
        <v>51</v>
      </c>
      <c r="C203" t="s">
        <v>66</v>
      </c>
      <c r="D203" t="s">
        <v>45</v>
      </c>
      <c r="E203" t="s">
        <v>68</v>
      </c>
      <c r="F203" t="s">
        <v>177</v>
      </c>
      <c r="G203" t="s">
        <v>30</v>
      </c>
      <c r="H203">
        <v>32</v>
      </c>
      <c r="I203">
        <v>3.5</v>
      </c>
      <c r="J203">
        <v>1.2</v>
      </c>
      <c r="P203">
        <v>30.5</v>
      </c>
      <c r="Q203">
        <v>6.1</v>
      </c>
      <c r="R203">
        <v>32</v>
      </c>
      <c r="S203">
        <v>0</v>
      </c>
      <c r="T203">
        <v>15</v>
      </c>
      <c r="U203">
        <v>17</v>
      </c>
      <c r="V203">
        <v>73.2</v>
      </c>
      <c r="W203">
        <v>6.1</v>
      </c>
      <c r="X203" t="s">
        <v>31</v>
      </c>
      <c r="Y203">
        <v>0.21199999999999999</v>
      </c>
      <c r="Z203">
        <v>3.0840000000000001</v>
      </c>
      <c r="AA203">
        <v>3.9159999999999999</v>
      </c>
      <c r="AB203" t="str">
        <f t="shared" si="3"/>
        <v>0.12 [3.08, 3.92]</v>
      </c>
    </row>
    <row r="204" spans="1:28" x14ac:dyDescent="0.35">
      <c r="A204">
        <v>184</v>
      </c>
      <c r="B204">
        <v>52</v>
      </c>
      <c r="C204" t="s">
        <v>142</v>
      </c>
      <c r="D204" t="s">
        <v>27</v>
      </c>
      <c r="E204" t="s">
        <v>143</v>
      </c>
      <c r="F204" t="s">
        <v>177</v>
      </c>
      <c r="G204" t="s">
        <v>30</v>
      </c>
      <c r="H204">
        <v>30</v>
      </c>
      <c r="I204">
        <v>2.2999999999999998</v>
      </c>
      <c r="J204">
        <v>3.06</v>
      </c>
      <c r="K204">
        <v>-3.5</v>
      </c>
      <c r="O204">
        <v>9</v>
      </c>
      <c r="P204">
        <v>28</v>
      </c>
      <c r="Q204">
        <v>8.3699999999999992</v>
      </c>
      <c r="R204">
        <v>34</v>
      </c>
      <c r="S204">
        <v>4</v>
      </c>
      <c r="T204">
        <v>23</v>
      </c>
      <c r="U204">
        <v>11</v>
      </c>
      <c r="V204">
        <v>87.11</v>
      </c>
      <c r="W204">
        <v>7.3</v>
      </c>
      <c r="X204" t="s">
        <v>31</v>
      </c>
      <c r="Y204">
        <v>0.55900000000000005</v>
      </c>
      <c r="Z204">
        <v>1.204</v>
      </c>
      <c r="AA204">
        <v>3.3959999999999999</v>
      </c>
      <c r="AB204" t="str">
        <f t="shared" si="3"/>
        <v>0.09 [1.20, 3.40]</v>
      </c>
    </row>
    <row r="205" spans="1:28" x14ac:dyDescent="0.35">
      <c r="A205">
        <v>185</v>
      </c>
      <c r="B205">
        <v>52</v>
      </c>
      <c r="C205" t="s">
        <v>142</v>
      </c>
      <c r="D205" t="s">
        <v>35</v>
      </c>
      <c r="E205" t="s">
        <v>144</v>
      </c>
      <c r="F205" t="s">
        <v>177</v>
      </c>
      <c r="G205" t="s">
        <v>30</v>
      </c>
      <c r="H205">
        <v>32</v>
      </c>
      <c r="I205">
        <v>2.7</v>
      </c>
      <c r="J205">
        <v>3.39</v>
      </c>
      <c r="K205">
        <v>-4.5</v>
      </c>
      <c r="O205">
        <v>9.5</v>
      </c>
      <c r="P205">
        <v>29</v>
      </c>
      <c r="Q205">
        <v>10.35</v>
      </c>
      <c r="R205">
        <v>37</v>
      </c>
      <c r="S205">
        <v>5</v>
      </c>
      <c r="T205">
        <v>26</v>
      </c>
      <c r="U205">
        <v>11</v>
      </c>
      <c r="V205">
        <v>87.05</v>
      </c>
      <c r="W205">
        <v>7.3</v>
      </c>
      <c r="X205" t="s">
        <v>31</v>
      </c>
      <c r="Y205">
        <v>0.59899999999999998</v>
      </c>
      <c r="Z205">
        <v>1.526</v>
      </c>
      <c r="AA205">
        <v>3.8740000000000001</v>
      </c>
      <c r="AB205" t="str">
        <f t="shared" si="3"/>
        <v>0.10 [1.53, 3.87]</v>
      </c>
    </row>
    <row r="206" spans="1:28" x14ac:dyDescent="0.35">
      <c r="A206">
        <v>186</v>
      </c>
      <c r="B206">
        <v>53</v>
      </c>
      <c r="C206" t="s">
        <v>69</v>
      </c>
      <c r="D206" t="s">
        <v>35</v>
      </c>
      <c r="E206" t="s">
        <v>70</v>
      </c>
      <c r="F206" t="s">
        <v>177</v>
      </c>
      <c r="G206" t="s">
        <v>30</v>
      </c>
      <c r="H206">
        <v>49</v>
      </c>
      <c r="I206">
        <v>1.9</v>
      </c>
      <c r="J206">
        <v>1.7</v>
      </c>
      <c r="P206">
        <v>27.1</v>
      </c>
      <c r="Q206">
        <v>6.1</v>
      </c>
      <c r="R206">
        <v>49</v>
      </c>
      <c r="S206">
        <v>0</v>
      </c>
      <c r="T206">
        <v>25</v>
      </c>
      <c r="U206">
        <v>24</v>
      </c>
      <c r="V206">
        <v>24</v>
      </c>
      <c r="W206">
        <v>2</v>
      </c>
      <c r="X206" t="s">
        <v>37</v>
      </c>
      <c r="Y206">
        <v>0.24299999999999999</v>
      </c>
      <c r="Z206">
        <v>1.4239999999999999</v>
      </c>
      <c r="AA206">
        <v>2.3759999999999999</v>
      </c>
      <c r="AB206" t="str">
        <f t="shared" si="3"/>
        <v>0.05 [1.42, 2.38]</v>
      </c>
    </row>
    <row r="207" spans="1:28" x14ac:dyDescent="0.35">
      <c r="A207">
        <v>187</v>
      </c>
      <c r="B207">
        <v>53</v>
      </c>
      <c r="C207" t="s">
        <v>69</v>
      </c>
      <c r="D207" t="s">
        <v>32</v>
      </c>
      <c r="E207" t="s">
        <v>71</v>
      </c>
      <c r="F207" t="s">
        <v>177</v>
      </c>
      <c r="G207" t="s">
        <v>30</v>
      </c>
      <c r="H207">
        <v>47</v>
      </c>
      <c r="I207">
        <v>1.8</v>
      </c>
      <c r="J207">
        <v>1</v>
      </c>
      <c r="P207">
        <v>27.2</v>
      </c>
      <c r="Q207">
        <v>6.2</v>
      </c>
      <c r="R207">
        <v>50</v>
      </c>
      <c r="S207">
        <v>3</v>
      </c>
      <c r="T207">
        <v>29</v>
      </c>
      <c r="U207">
        <v>21</v>
      </c>
      <c r="V207">
        <v>24</v>
      </c>
      <c r="W207">
        <v>2</v>
      </c>
      <c r="X207" t="s">
        <v>37</v>
      </c>
      <c r="Y207">
        <v>0.14599999999999999</v>
      </c>
      <c r="Z207">
        <v>1.514</v>
      </c>
      <c r="AA207">
        <v>2.0859999999999999</v>
      </c>
      <c r="AB207" t="str">
        <f t="shared" si="3"/>
        <v>0.05 [1.51, 2.09]</v>
      </c>
    </row>
    <row r="208" spans="1:28" x14ac:dyDescent="0.35">
      <c r="A208">
        <v>188</v>
      </c>
      <c r="B208">
        <v>54</v>
      </c>
      <c r="C208" t="s">
        <v>72</v>
      </c>
      <c r="D208" t="s">
        <v>27</v>
      </c>
      <c r="E208" t="s">
        <v>73</v>
      </c>
      <c r="F208" t="s">
        <v>177</v>
      </c>
      <c r="G208" t="s">
        <v>30</v>
      </c>
      <c r="H208">
        <v>19</v>
      </c>
      <c r="I208">
        <v>-0.1</v>
      </c>
      <c r="J208">
        <v>1.6</v>
      </c>
      <c r="P208">
        <v>52.8</v>
      </c>
      <c r="Q208">
        <v>7.3</v>
      </c>
      <c r="V208">
        <v>240</v>
      </c>
      <c r="W208">
        <v>20</v>
      </c>
      <c r="X208" t="s">
        <v>31</v>
      </c>
      <c r="Y208">
        <v>0.36699999999999999</v>
      </c>
      <c r="Z208">
        <v>-0.81899999999999995</v>
      </c>
      <c r="AA208">
        <v>0.61899999999999999</v>
      </c>
      <c r="AB208" t="str">
        <f t="shared" si="3"/>
        <v>0.02 [-0.82, 0.62]</v>
      </c>
    </row>
    <row r="209" spans="1:28" x14ac:dyDescent="0.35">
      <c r="A209">
        <v>189</v>
      </c>
      <c r="B209">
        <v>54</v>
      </c>
      <c r="C209" t="s">
        <v>72</v>
      </c>
      <c r="D209" t="s">
        <v>35</v>
      </c>
      <c r="E209" t="s">
        <v>74</v>
      </c>
      <c r="F209" t="s">
        <v>177</v>
      </c>
      <c r="G209" t="s">
        <v>30</v>
      </c>
      <c r="H209">
        <v>20</v>
      </c>
      <c r="I209">
        <v>1.5</v>
      </c>
      <c r="J209">
        <v>1.2</v>
      </c>
      <c r="P209">
        <v>54.5</v>
      </c>
      <c r="Q209">
        <v>7.5</v>
      </c>
      <c r="V209">
        <v>240</v>
      </c>
      <c r="W209">
        <v>20</v>
      </c>
      <c r="X209" t="s">
        <v>31</v>
      </c>
      <c r="Y209">
        <v>0.26800000000000002</v>
      </c>
      <c r="Z209">
        <v>0.97499999999999998</v>
      </c>
      <c r="AA209">
        <v>2.0249999999999999</v>
      </c>
      <c r="AB209" t="str">
        <f t="shared" si="3"/>
        <v>0.10 [0.98, 2.03]</v>
      </c>
    </row>
    <row r="210" spans="1:28" x14ac:dyDescent="0.35">
      <c r="A210">
        <v>190</v>
      </c>
      <c r="B210">
        <v>55</v>
      </c>
      <c r="C210" t="s">
        <v>75</v>
      </c>
      <c r="D210" t="s">
        <v>27</v>
      </c>
      <c r="E210" t="s">
        <v>76</v>
      </c>
      <c r="F210" t="s">
        <v>177</v>
      </c>
      <c r="G210" t="s">
        <v>30</v>
      </c>
      <c r="H210">
        <v>14</v>
      </c>
      <c r="I210">
        <v>3.7</v>
      </c>
      <c r="J210">
        <v>1.4</v>
      </c>
      <c r="P210">
        <v>26.5</v>
      </c>
      <c r="Q210">
        <v>5</v>
      </c>
      <c r="R210">
        <v>14</v>
      </c>
      <c r="S210">
        <v>0</v>
      </c>
      <c r="T210">
        <v>14</v>
      </c>
      <c r="U210">
        <v>0</v>
      </c>
      <c r="V210">
        <v>12</v>
      </c>
      <c r="W210">
        <v>1</v>
      </c>
      <c r="X210" t="s">
        <v>61</v>
      </c>
      <c r="Y210">
        <v>0.374</v>
      </c>
      <c r="Z210">
        <v>2.9670000000000001</v>
      </c>
      <c r="AA210">
        <v>4.4329999999999998</v>
      </c>
      <c r="AB210" t="str">
        <f t="shared" si="3"/>
        <v>0.29 [2.97, 4.43]</v>
      </c>
    </row>
    <row r="211" spans="1:28" x14ac:dyDescent="0.35">
      <c r="A211">
        <v>191</v>
      </c>
      <c r="B211">
        <v>55</v>
      </c>
      <c r="C211" t="s">
        <v>75</v>
      </c>
      <c r="D211" t="s">
        <v>35</v>
      </c>
      <c r="E211" t="s">
        <v>77</v>
      </c>
      <c r="F211" t="s">
        <v>177</v>
      </c>
      <c r="G211" t="s">
        <v>30</v>
      </c>
      <c r="H211">
        <v>17</v>
      </c>
      <c r="I211">
        <v>3.1</v>
      </c>
      <c r="J211">
        <v>1.6</v>
      </c>
      <c r="P211">
        <v>24.63</v>
      </c>
      <c r="Q211">
        <v>4.5999999999999996</v>
      </c>
      <c r="R211">
        <v>38</v>
      </c>
      <c r="S211">
        <v>21</v>
      </c>
      <c r="T211">
        <v>38</v>
      </c>
      <c r="U211">
        <v>0</v>
      </c>
      <c r="V211">
        <v>12</v>
      </c>
      <c r="W211">
        <v>1</v>
      </c>
      <c r="X211" t="s">
        <v>61</v>
      </c>
      <c r="Y211">
        <v>0.38800000000000001</v>
      </c>
      <c r="Z211">
        <v>2.34</v>
      </c>
      <c r="AA211">
        <v>3.86</v>
      </c>
      <c r="AB211" t="str">
        <f t="shared" si="3"/>
        <v>0.21 [2.34, 3.86]</v>
      </c>
    </row>
    <row r="212" spans="1:28" x14ac:dyDescent="0.35">
      <c r="A212">
        <v>192</v>
      </c>
      <c r="B212">
        <v>56</v>
      </c>
      <c r="C212" t="s">
        <v>78</v>
      </c>
      <c r="D212" t="s">
        <v>27</v>
      </c>
      <c r="E212" t="s">
        <v>79</v>
      </c>
      <c r="F212" t="s">
        <v>177</v>
      </c>
      <c r="G212" t="s">
        <v>30</v>
      </c>
      <c r="H212">
        <v>18</v>
      </c>
      <c r="I212">
        <v>1.1000000000000001</v>
      </c>
      <c r="J212">
        <v>1.4</v>
      </c>
      <c r="P212">
        <v>31</v>
      </c>
      <c r="Q212">
        <v>8</v>
      </c>
      <c r="R212">
        <v>18</v>
      </c>
      <c r="S212">
        <v>0</v>
      </c>
      <c r="T212">
        <v>15</v>
      </c>
      <c r="U212">
        <v>3</v>
      </c>
      <c r="V212">
        <v>24</v>
      </c>
      <c r="W212">
        <v>2</v>
      </c>
      <c r="X212" t="s">
        <v>37</v>
      </c>
      <c r="Y212">
        <v>0.33</v>
      </c>
      <c r="Z212">
        <v>0.45300000000000001</v>
      </c>
      <c r="AA212">
        <v>1.7470000000000001</v>
      </c>
      <c r="AB212" t="str">
        <f t="shared" si="3"/>
        <v>0.09 [0.45, 1.75]</v>
      </c>
    </row>
    <row r="213" spans="1:28" x14ac:dyDescent="0.35">
      <c r="A213">
        <v>193</v>
      </c>
      <c r="B213">
        <v>56</v>
      </c>
      <c r="C213" t="s">
        <v>78</v>
      </c>
      <c r="D213" t="s">
        <v>32</v>
      </c>
      <c r="E213" t="s">
        <v>80</v>
      </c>
      <c r="F213" t="s">
        <v>177</v>
      </c>
      <c r="G213" t="s">
        <v>30</v>
      </c>
      <c r="H213">
        <v>21</v>
      </c>
      <c r="I213">
        <v>0.8</v>
      </c>
      <c r="J213">
        <v>1.7</v>
      </c>
      <c r="P213">
        <v>30</v>
      </c>
      <c r="Q213">
        <v>9</v>
      </c>
      <c r="R213">
        <v>21</v>
      </c>
      <c r="S213">
        <v>0</v>
      </c>
      <c r="T213">
        <v>17</v>
      </c>
      <c r="U213">
        <v>4</v>
      </c>
      <c r="V213">
        <v>24</v>
      </c>
      <c r="W213">
        <v>2</v>
      </c>
      <c r="X213" t="s">
        <v>37</v>
      </c>
      <c r="Y213">
        <v>0.371</v>
      </c>
      <c r="Z213">
        <v>7.2999999999999995E-2</v>
      </c>
      <c r="AA213">
        <v>1.5269999999999999</v>
      </c>
      <c r="AB213" t="str">
        <f t="shared" si="3"/>
        <v>0.06 [0.07, 1.53]</v>
      </c>
    </row>
    <row r="214" spans="1:28" x14ac:dyDescent="0.35">
      <c r="A214">
        <v>196</v>
      </c>
      <c r="B214">
        <v>58</v>
      </c>
      <c r="C214" t="s">
        <v>81</v>
      </c>
      <c r="D214" t="s">
        <v>35</v>
      </c>
      <c r="E214" t="s">
        <v>82</v>
      </c>
      <c r="F214" t="s">
        <v>177</v>
      </c>
      <c r="G214" t="s">
        <v>30</v>
      </c>
      <c r="H214">
        <v>25</v>
      </c>
      <c r="I214">
        <v>2.1</v>
      </c>
      <c r="J214">
        <v>1</v>
      </c>
      <c r="P214">
        <v>28.12</v>
      </c>
      <c r="Q214">
        <v>5.21</v>
      </c>
      <c r="R214">
        <v>25</v>
      </c>
      <c r="S214">
        <v>0</v>
      </c>
      <c r="T214">
        <v>18</v>
      </c>
      <c r="U214">
        <v>7</v>
      </c>
      <c r="V214">
        <v>6</v>
      </c>
      <c r="W214">
        <v>0.5</v>
      </c>
      <c r="X214" t="s">
        <v>61</v>
      </c>
      <c r="Y214">
        <v>0.2</v>
      </c>
      <c r="Z214">
        <v>1.708</v>
      </c>
      <c r="AA214">
        <v>2.492</v>
      </c>
      <c r="AB214" t="str">
        <f t="shared" si="3"/>
        <v>0.10 [1.71, 2.49]</v>
      </c>
    </row>
    <row r="215" spans="1:28" x14ac:dyDescent="0.35">
      <c r="A215">
        <v>197</v>
      </c>
      <c r="B215">
        <v>58</v>
      </c>
      <c r="C215" t="s">
        <v>81</v>
      </c>
      <c r="D215" t="s">
        <v>38</v>
      </c>
      <c r="E215" t="s">
        <v>83</v>
      </c>
      <c r="F215" t="s">
        <v>177</v>
      </c>
      <c r="G215" t="s">
        <v>30</v>
      </c>
      <c r="H215">
        <v>25</v>
      </c>
      <c r="I215">
        <v>1.8</v>
      </c>
      <c r="J215">
        <v>0.9</v>
      </c>
      <c r="P215">
        <v>27.84</v>
      </c>
      <c r="Q215">
        <v>4.92</v>
      </c>
      <c r="R215">
        <v>25</v>
      </c>
      <c r="S215">
        <v>0</v>
      </c>
      <c r="T215">
        <v>17</v>
      </c>
      <c r="U215">
        <v>8</v>
      </c>
      <c r="V215">
        <v>6</v>
      </c>
      <c r="W215">
        <v>0.5</v>
      </c>
      <c r="X215" t="s">
        <v>61</v>
      </c>
      <c r="Y215">
        <v>0.18</v>
      </c>
      <c r="Z215">
        <v>1.4470000000000001</v>
      </c>
      <c r="AA215">
        <v>2.153</v>
      </c>
      <c r="AB215" t="str">
        <f t="shared" si="3"/>
        <v>0.09 [1.45, 2.15]</v>
      </c>
    </row>
    <row r="216" spans="1:28" x14ac:dyDescent="0.35">
      <c r="A216">
        <v>198</v>
      </c>
      <c r="B216">
        <v>62</v>
      </c>
      <c r="C216" t="s">
        <v>84</v>
      </c>
      <c r="D216" t="s">
        <v>27</v>
      </c>
      <c r="E216" t="s">
        <v>85</v>
      </c>
      <c r="F216" t="s">
        <v>177</v>
      </c>
      <c r="G216" t="s">
        <v>30</v>
      </c>
      <c r="H216">
        <v>37</v>
      </c>
      <c r="I216">
        <v>1.2</v>
      </c>
      <c r="J216">
        <v>2.1</v>
      </c>
      <c r="P216">
        <v>23.7</v>
      </c>
      <c r="Q216">
        <v>7.7</v>
      </c>
      <c r="R216">
        <v>37</v>
      </c>
      <c r="S216">
        <v>0</v>
      </c>
      <c r="T216">
        <v>21</v>
      </c>
      <c r="U216">
        <v>16</v>
      </c>
      <c r="V216">
        <v>87</v>
      </c>
      <c r="W216">
        <v>7.3</v>
      </c>
      <c r="X216" t="s">
        <v>31</v>
      </c>
      <c r="Y216">
        <v>0.34499999999999997</v>
      </c>
      <c r="Z216">
        <v>0.52400000000000002</v>
      </c>
      <c r="AA216">
        <v>1.8759999999999999</v>
      </c>
      <c r="AB216" t="str">
        <f t="shared" si="3"/>
        <v>0.05 [0.52, 1.88]</v>
      </c>
    </row>
    <row r="217" spans="1:28" x14ac:dyDescent="0.35">
      <c r="A217">
        <v>199</v>
      </c>
      <c r="B217">
        <v>62</v>
      </c>
      <c r="C217" t="s">
        <v>84</v>
      </c>
      <c r="D217" t="s">
        <v>35</v>
      </c>
      <c r="E217" t="s">
        <v>86</v>
      </c>
      <c r="F217" t="s">
        <v>177</v>
      </c>
      <c r="G217" t="s">
        <v>30</v>
      </c>
      <c r="H217">
        <v>35</v>
      </c>
      <c r="I217">
        <v>1.7</v>
      </c>
      <c r="J217">
        <v>1.4</v>
      </c>
      <c r="P217">
        <v>24.4</v>
      </c>
      <c r="Q217">
        <v>9.6999999999999993</v>
      </c>
      <c r="R217">
        <v>35</v>
      </c>
      <c r="S217">
        <v>0</v>
      </c>
      <c r="T217">
        <v>20</v>
      </c>
      <c r="U217">
        <v>15</v>
      </c>
      <c r="V217">
        <v>80.7</v>
      </c>
      <c r="W217">
        <v>6.7</v>
      </c>
      <c r="X217" t="s">
        <v>31</v>
      </c>
      <c r="Y217">
        <v>0.23699999999999999</v>
      </c>
      <c r="Z217">
        <v>1.2350000000000001</v>
      </c>
      <c r="AA217">
        <v>2.165</v>
      </c>
      <c r="AB217" t="str">
        <f t="shared" si="3"/>
        <v>0.06 [1.24, 2.17]</v>
      </c>
    </row>
    <row r="218" spans="1:28" x14ac:dyDescent="0.35">
      <c r="A218">
        <v>210</v>
      </c>
      <c r="B218">
        <v>76</v>
      </c>
      <c r="C218" t="s">
        <v>197</v>
      </c>
      <c r="D218" t="s">
        <v>27</v>
      </c>
      <c r="E218" t="s">
        <v>198</v>
      </c>
      <c r="F218" t="s">
        <v>177</v>
      </c>
      <c r="G218" t="s">
        <v>30</v>
      </c>
      <c r="H218">
        <v>54</v>
      </c>
      <c r="I218">
        <v>1.2</v>
      </c>
      <c r="J218">
        <v>1.69</v>
      </c>
      <c r="P218">
        <v>25</v>
      </c>
      <c r="Q218">
        <v>5.49</v>
      </c>
      <c r="R218">
        <v>90</v>
      </c>
      <c r="S218">
        <v>36</v>
      </c>
      <c r="T218">
        <v>48</v>
      </c>
      <c r="U218">
        <v>42</v>
      </c>
      <c r="V218">
        <v>120</v>
      </c>
      <c r="W218">
        <v>10</v>
      </c>
      <c r="X218" t="s">
        <v>31</v>
      </c>
      <c r="Y218">
        <v>0.23</v>
      </c>
      <c r="Z218">
        <v>0.749</v>
      </c>
      <c r="AA218">
        <v>1.651</v>
      </c>
      <c r="AB218" t="str">
        <f t="shared" si="3"/>
        <v>0.03 [0.75, 1.65]</v>
      </c>
    </row>
    <row r="219" spans="1:28" x14ac:dyDescent="0.35">
      <c r="A219">
        <v>211</v>
      </c>
      <c r="B219">
        <v>76</v>
      </c>
      <c r="C219" t="s">
        <v>197</v>
      </c>
      <c r="D219" t="s">
        <v>35</v>
      </c>
      <c r="E219" t="s">
        <v>199</v>
      </c>
      <c r="F219" t="s">
        <v>177</v>
      </c>
      <c r="G219" t="s">
        <v>30</v>
      </c>
      <c r="H219">
        <v>58</v>
      </c>
      <c r="I219">
        <v>1.6</v>
      </c>
      <c r="J219">
        <v>1.55</v>
      </c>
      <c r="P219">
        <v>24</v>
      </c>
      <c r="Q219">
        <v>7.92</v>
      </c>
      <c r="R219">
        <v>90</v>
      </c>
      <c r="S219">
        <v>32</v>
      </c>
      <c r="T219">
        <v>47</v>
      </c>
      <c r="U219">
        <v>43</v>
      </c>
      <c r="V219">
        <v>120</v>
      </c>
      <c r="W219">
        <v>10</v>
      </c>
      <c r="X219" t="s">
        <v>31</v>
      </c>
      <c r="Y219">
        <v>0.20399999999999999</v>
      </c>
      <c r="Z219">
        <v>1.2</v>
      </c>
      <c r="AA219">
        <v>2</v>
      </c>
      <c r="AB219" t="str">
        <f t="shared" si="3"/>
        <v>0.04 [1.20, 2.00]</v>
      </c>
    </row>
    <row r="220" spans="1:28" x14ac:dyDescent="0.35">
      <c r="A220">
        <v>212</v>
      </c>
      <c r="B220">
        <v>77</v>
      </c>
      <c r="C220" t="s">
        <v>149</v>
      </c>
      <c r="D220" t="s">
        <v>27</v>
      </c>
      <c r="E220" t="s">
        <v>150</v>
      </c>
      <c r="F220" t="s">
        <v>177</v>
      </c>
      <c r="G220" t="s">
        <v>30</v>
      </c>
      <c r="H220">
        <v>38</v>
      </c>
      <c r="I220">
        <v>1.3</v>
      </c>
      <c r="J220">
        <v>2.2000000000000002</v>
      </c>
      <c r="K220">
        <v>-3</v>
      </c>
      <c r="O220">
        <v>5</v>
      </c>
      <c r="P220">
        <v>27</v>
      </c>
      <c r="Q220">
        <v>6.82</v>
      </c>
      <c r="R220">
        <v>0</v>
      </c>
      <c r="S220">
        <v>-38</v>
      </c>
      <c r="T220" t="s">
        <v>151</v>
      </c>
      <c r="V220">
        <v>228</v>
      </c>
      <c r="W220">
        <v>19</v>
      </c>
      <c r="X220" t="s">
        <v>31</v>
      </c>
      <c r="Y220">
        <v>0.35699999999999998</v>
      </c>
      <c r="Z220">
        <v>0.6</v>
      </c>
      <c r="AA220">
        <v>2</v>
      </c>
      <c r="AB220" t="str">
        <f t="shared" si="3"/>
        <v>0.05 [0.60, 2.00]</v>
      </c>
    </row>
    <row r="221" spans="1:28" x14ac:dyDescent="0.35">
      <c r="A221">
        <v>213</v>
      </c>
      <c r="B221">
        <v>77</v>
      </c>
      <c r="C221" t="s">
        <v>149</v>
      </c>
      <c r="D221" t="s">
        <v>35</v>
      </c>
      <c r="E221" t="s">
        <v>152</v>
      </c>
      <c r="F221" t="s">
        <v>177</v>
      </c>
      <c r="G221" t="s">
        <v>30</v>
      </c>
      <c r="H221">
        <v>33</v>
      </c>
      <c r="I221">
        <v>1.5</v>
      </c>
      <c r="J221">
        <v>3.3</v>
      </c>
      <c r="K221">
        <v>-3</v>
      </c>
      <c r="O221">
        <v>12</v>
      </c>
      <c r="P221">
        <v>27</v>
      </c>
      <c r="Q221">
        <v>6.3</v>
      </c>
      <c r="V221">
        <v>228</v>
      </c>
      <c r="W221">
        <v>19</v>
      </c>
      <c r="X221" t="s">
        <v>31</v>
      </c>
      <c r="Y221">
        <v>0.57399999999999995</v>
      </c>
      <c r="Z221">
        <v>0.375</v>
      </c>
      <c r="AA221">
        <v>2.625</v>
      </c>
      <c r="AB221" t="str">
        <f t="shared" si="3"/>
        <v>0.06 [0.38, 2.63]</v>
      </c>
    </row>
    <row r="222" spans="1:28" x14ac:dyDescent="0.35">
      <c r="A222">
        <v>214</v>
      </c>
      <c r="B222">
        <v>85</v>
      </c>
      <c r="C222" t="s">
        <v>96</v>
      </c>
      <c r="D222" t="s">
        <v>27</v>
      </c>
      <c r="E222" t="s">
        <v>97</v>
      </c>
      <c r="F222" t="s">
        <v>177</v>
      </c>
      <c r="G222" t="s">
        <v>30</v>
      </c>
      <c r="H222">
        <v>32</v>
      </c>
      <c r="I222">
        <v>0</v>
      </c>
      <c r="J222">
        <v>0.8</v>
      </c>
      <c r="P222">
        <v>17.7</v>
      </c>
      <c r="Q222">
        <v>2.4</v>
      </c>
      <c r="R222">
        <v>32</v>
      </c>
      <c r="S222">
        <v>0</v>
      </c>
      <c r="T222">
        <v>15</v>
      </c>
      <c r="U222">
        <v>17</v>
      </c>
      <c r="V222">
        <v>24</v>
      </c>
      <c r="W222">
        <v>2</v>
      </c>
      <c r="X222" t="s">
        <v>37</v>
      </c>
      <c r="Y222">
        <v>0.14099999999999999</v>
      </c>
      <c r="Z222">
        <v>-0.27600000000000002</v>
      </c>
      <c r="AA222">
        <v>0.27600000000000002</v>
      </c>
      <c r="AB222" t="str">
        <f t="shared" si="3"/>
        <v>0.02 [-0.28, 0.28]</v>
      </c>
    </row>
    <row r="223" spans="1:28" x14ac:dyDescent="0.35">
      <c r="A223">
        <v>215</v>
      </c>
      <c r="B223">
        <v>85</v>
      </c>
      <c r="C223" t="s">
        <v>96</v>
      </c>
      <c r="D223" t="s">
        <v>35</v>
      </c>
      <c r="E223" t="s">
        <v>98</v>
      </c>
      <c r="F223" t="s">
        <v>177</v>
      </c>
      <c r="G223" t="s">
        <v>30</v>
      </c>
      <c r="H223">
        <v>32</v>
      </c>
      <c r="I223">
        <v>0.3</v>
      </c>
      <c r="J223">
        <v>0.7</v>
      </c>
      <c r="P223">
        <v>17.7</v>
      </c>
      <c r="Q223">
        <v>2.4</v>
      </c>
      <c r="R223">
        <v>32</v>
      </c>
      <c r="S223">
        <v>0</v>
      </c>
      <c r="T223">
        <v>13</v>
      </c>
      <c r="U223">
        <v>19</v>
      </c>
      <c r="V223">
        <v>24</v>
      </c>
      <c r="W223">
        <v>2</v>
      </c>
      <c r="X223" t="s">
        <v>37</v>
      </c>
      <c r="Y223">
        <v>0.124</v>
      </c>
      <c r="Z223">
        <v>5.7000000000000002E-2</v>
      </c>
      <c r="AA223">
        <v>0.54300000000000004</v>
      </c>
      <c r="AB223" t="str">
        <f t="shared" si="3"/>
        <v>0.02 [0.06, 0.54]</v>
      </c>
    </row>
    <row r="224" spans="1:28" x14ac:dyDescent="0.35">
      <c r="A224">
        <v>216</v>
      </c>
      <c r="B224">
        <v>87</v>
      </c>
      <c r="C224" t="s">
        <v>99</v>
      </c>
      <c r="D224" t="s">
        <v>27</v>
      </c>
      <c r="E224" t="s">
        <v>100</v>
      </c>
      <c r="F224" t="s">
        <v>177</v>
      </c>
      <c r="G224" t="s">
        <v>30</v>
      </c>
      <c r="H224">
        <v>296</v>
      </c>
      <c r="I224">
        <v>1.2</v>
      </c>
      <c r="J224">
        <v>1.4</v>
      </c>
      <c r="P224">
        <v>24.8</v>
      </c>
      <c r="Q224">
        <v>4.4000000000000004</v>
      </c>
      <c r="R224">
        <v>283</v>
      </c>
      <c r="S224">
        <v>-13</v>
      </c>
      <c r="T224">
        <v>214</v>
      </c>
      <c r="U224">
        <v>69</v>
      </c>
      <c r="V224">
        <v>61.5</v>
      </c>
      <c r="W224">
        <v>5.0999999999999996</v>
      </c>
      <c r="X224" t="s">
        <v>31</v>
      </c>
      <c r="Y224">
        <v>8.1000000000000003E-2</v>
      </c>
      <c r="Z224">
        <v>1.0409999999999999</v>
      </c>
      <c r="AA224">
        <v>1.359</v>
      </c>
      <c r="AB224" t="str">
        <f t="shared" si="3"/>
        <v>0.01 [1.04, 1.36]</v>
      </c>
    </row>
    <row r="225" spans="1:28" x14ac:dyDescent="0.35">
      <c r="A225">
        <v>217</v>
      </c>
      <c r="B225">
        <v>87</v>
      </c>
      <c r="C225" t="s">
        <v>99</v>
      </c>
      <c r="D225" t="s">
        <v>35</v>
      </c>
      <c r="E225" t="s">
        <v>101</v>
      </c>
      <c r="F225" t="s">
        <v>177</v>
      </c>
      <c r="G225" t="s">
        <v>30</v>
      </c>
      <c r="H225">
        <v>297</v>
      </c>
      <c r="I225">
        <v>0.9</v>
      </c>
      <c r="J225">
        <v>1</v>
      </c>
      <c r="P225">
        <v>25.2</v>
      </c>
      <c r="Q225">
        <v>4.5999999999999996</v>
      </c>
      <c r="R225">
        <v>273</v>
      </c>
      <c r="S225">
        <v>-24</v>
      </c>
      <c r="T225">
        <v>233</v>
      </c>
      <c r="U225">
        <v>40</v>
      </c>
      <c r="V225">
        <v>63.9</v>
      </c>
      <c r="W225">
        <v>5.3</v>
      </c>
      <c r="X225" t="s">
        <v>31</v>
      </c>
      <c r="Y225">
        <v>5.8000000000000003E-2</v>
      </c>
      <c r="Z225">
        <v>0.78600000000000003</v>
      </c>
      <c r="AA225">
        <v>1.014</v>
      </c>
      <c r="AB225" t="str">
        <f t="shared" si="3"/>
        <v>0.00 [0.79, 1.01]</v>
      </c>
    </row>
    <row r="226" spans="1:28" x14ac:dyDescent="0.35">
      <c r="A226">
        <v>224</v>
      </c>
      <c r="B226">
        <v>95</v>
      </c>
      <c r="C226" t="s">
        <v>200</v>
      </c>
      <c r="D226" t="s">
        <v>27</v>
      </c>
      <c r="E226" t="s">
        <v>201</v>
      </c>
      <c r="F226" t="s">
        <v>177</v>
      </c>
      <c r="G226" t="s">
        <v>30</v>
      </c>
      <c r="H226">
        <v>23</v>
      </c>
      <c r="I226">
        <v>1.1000000000000001</v>
      </c>
      <c r="J226">
        <v>0.65</v>
      </c>
      <c r="K226">
        <v>1</v>
      </c>
      <c r="O226">
        <v>3.5</v>
      </c>
      <c r="P226">
        <v>26</v>
      </c>
      <c r="Q226">
        <v>6.3</v>
      </c>
      <c r="R226">
        <v>28</v>
      </c>
      <c r="S226">
        <v>5</v>
      </c>
      <c r="T226">
        <v>20</v>
      </c>
      <c r="U226">
        <v>8</v>
      </c>
      <c r="V226">
        <v>24</v>
      </c>
      <c r="W226">
        <v>2</v>
      </c>
      <c r="X226" t="s">
        <v>37</v>
      </c>
      <c r="Y226">
        <v>0.13600000000000001</v>
      </c>
      <c r="Z226">
        <v>0.83299999999999996</v>
      </c>
      <c r="AA226">
        <v>1.367</v>
      </c>
      <c r="AB226" t="str">
        <f t="shared" si="3"/>
        <v>0.07 [0.83, 1.37]</v>
      </c>
    </row>
    <row r="227" spans="1:28" x14ac:dyDescent="0.35">
      <c r="A227">
        <v>225</v>
      </c>
      <c r="B227">
        <v>95</v>
      </c>
      <c r="C227" t="s">
        <v>200</v>
      </c>
      <c r="D227" t="s">
        <v>35</v>
      </c>
      <c r="E227" t="s">
        <v>202</v>
      </c>
      <c r="F227" t="s">
        <v>177</v>
      </c>
      <c r="G227" t="s">
        <v>30</v>
      </c>
      <c r="H227">
        <v>31</v>
      </c>
      <c r="I227">
        <v>1.7</v>
      </c>
      <c r="J227">
        <v>0.97</v>
      </c>
      <c r="K227">
        <v>0</v>
      </c>
      <c r="O227">
        <v>4</v>
      </c>
      <c r="P227">
        <v>27</v>
      </c>
      <c r="Q227">
        <v>6.1</v>
      </c>
      <c r="R227">
        <v>33</v>
      </c>
      <c r="S227">
        <v>2</v>
      </c>
      <c r="T227">
        <v>23</v>
      </c>
      <c r="U227">
        <v>10</v>
      </c>
      <c r="V227">
        <v>24</v>
      </c>
      <c r="W227">
        <v>2</v>
      </c>
      <c r="X227" t="s">
        <v>37</v>
      </c>
      <c r="Y227">
        <v>0.17399999999999999</v>
      </c>
      <c r="Z227">
        <v>1.359</v>
      </c>
      <c r="AA227">
        <v>2.0409999999999999</v>
      </c>
      <c r="AB227" t="str">
        <f t="shared" si="3"/>
        <v>0.07 [1.36, 2.04]</v>
      </c>
    </row>
    <row r="228" spans="1:28" x14ac:dyDescent="0.35">
      <c r="A228">
        <v>226</v>
      </c>
      <c r="B228">
        <v>96</v>
      </c>
      <c r="C228" t="s">
        <v>108</v>
      </c>
      <c r="D228" t="s">
        <v>27</v>
      </c>
      <c r="E228" t="s">
        <v>109</v>
      </c>
      <c r="F228" t="s">
        <v>177</v>
      </c>
      <c r="G228" t="s">
        <v>30</v>
      </c>
      <c r="H228">
        <v>29</v>
      </c>
      <c r="I228">
        <v>0.9</v>
      </c>
      <c r="J228">
        <v>0.27</v>
      </c>
      <c r="P228">
        <v>29.87</v>
      </c>
      <c r="Q228">
        <v>7.3</v>
      </c>
      <c r="R228">
        <v>31</v>
      </c>
      <c r="S228">
        <v>2</v>
      </c>
      <c r="T228">
        <v>19</v>
      </c>
      <c r="U228">
        <v>12</v>
      </c>
      <c r="V228">
        <v>108</v>
      </c>
      <c r="W228">
        <v>9</v>
      </c>
      <c r="X228" t="s">
        <v>31</v>
      </c>
      <c r="Y228">
        <v>0.05</v>
      </c>
      <c r="Z228">
        <v>0.80200000000000005</v>
      </c>
      <c r="AA228">
        <v>0.998</v>
      </c>
      <c r="AB228" t="str">
        <f t="shared" si="3"/>
        <v>0.05 [0.80, 1.00]</v>
      </c>
    </row>
    <row r="229" spans="1:28" x14ac:dyDescent="0.35">
      <c r="A229">
        <v>227</v>
      </c>
      <c r="B229">
        <v>96</v>
      </c>
      <c r="C229" t="s">
        <v>108</v>
      </c>
      <c r="D229" t="s">
        <v>35</v>
      </c>
      <c r="E229" t="s">
        <v>110</v>
      </c>
      <c r="F229" t="s">
        <v>177</v>
      </c>
      <c r="G229" t="s">
        <v>30</v>
      </c>
      <c r="H229">
        <v>25</v>
      </c>
      <c r="I229">
        <v>0.64</v>
      </c>
      <c r="J229">
        <v>0.36</v>
      </c>
      <c r="P229">
        <v>34.229999999999997</v>
      </c>
      <c r="Q229">
        <v>9.25</v>
      </c>
      <c r="R229">
        <v>31</v>
      </c>
      <c r="S229">
        <v>6</v>
      </c>
      <c r="T229">
        <v>18</v>
      </c>
      <c r="U229">
        <v>13</v>
      </c>
      <c r="V229">
        <v>108</v>
      </c>
      <c r="W229">
        <v>9</v>
      </c>
      <c r="X229" t="s">
        <v>31</v>
      </c>
      <c r="Y229">
        <v>7.1999999999999995E-2</v>
      </c>
      <c r="Z229">
        <v>0.499</v>
      </c>
      <c r="AA229">
        <v>0.78100000000000003</v>
      </c>
      <c r="AB229" t="str">
        <f t="shared" si="3"/>
        <v>0.04 [0.50, 0.78]</v>
      </c>
    </row>
    <row r="230" spans="1:28" x14ac:dyDescent="0.35">
      <c r="A230">
        <v>228</v>
      </c>
      <c r="B230">
        <v>97</v>
      </c>
      <c r="C230" t="s">
        <v>159</v>
      </c>
      <c r="D230" t="s">
        <v>35</v>
      </c>
      <c r="E230" t="s">
        <v>160</v>
      </c>
      <c r="F230" t="s">
        <v>177</v>
      </c>
      <c r="G230" t="s">
        <v>30</v>
      </c>
      <c r="H230">
        <v>36</v>
      </c>
      <c r="I230">
        <v>3.77</v>
      </c>
      <c r="J230">
        <v>2.0099999999999998</v>
      </c>
      <c r="P230">
        <v>30.06</v>
      </c>
      <c r="Q230">
        <v>8.8699999999999992</v>
      </c>
      <c r="R230">
        <v>36</v>
      </c>
      <c r="S230">
        <v>0</v>
      </c>
      <c r="T230">
        <v>32</v>
      </c>
      <c r="U230">
        <v>4</v>
      </c>
      <c r="V230">
        <v>12</v>
      </c>
      <c r="W230">
        <v>1</v>
      </c>
      <c r="X230" t="s">
        <v>61</v>
      </c>
      <c r="Y230">
        <v>0.33500000000000002</v>
      </c>
      <c r="Z230">
        <v>3.113</v>
      </c>
      <c r="AA230">
        <v>4.4269999999999996</v>
      </c>
      <c r="AB230" t="str">
        <f t="shared" si="3"/>
        <v>0.12 [3.11, 4.43]</v>
      </c>
    </row>
    <row r="231" spans="1:28" x14ac:dyDescent="0.35">
      <c r="A231">
        <v>229</v>
      </c>
      <c r="B231">
        <v>97</v>
      </c>
      <c r="C231" t="s">
        <v>159</v>
      </c>
      <c r="D231" t="s">
        <v>32</v>
      </c>
      <c r="E231" t="s">
        <v>161</v>
      </c>
      <c r="F231" t="s">
        <v>177</v>
      </c>
      <c r="G231" t="s">
        <v>30</v>
      </c>
      <c r="H231">
        <v>33</v>
      </c>
      <c r="I231">
        <v>2.73</v>
      </c>
      <c r="J231">
        <v>1.64</v>
      </c>
      <c r="P231">
        <v>28.73</v>
      </c>
      <c r="Q231">
        <v>8.8000000000000007</v>
      </c>
      <c r="R231">
        <v>33</v>
      </c>
      <c r="S231">
        <v>0</v>
      </c>
      <c r="T231">
        <v>30</v>
      </c>
      <c r="U231">
        <v>3</v>
      </c>
      <c r="V231">
        <v>12</v>
      </c>
      <c r="W231">
        <v>1</v>
      </c>
      <c r="X231" t="s">
        <v>61</v>
      </c>
      <c r="Y231">
        <v>0.28499999999999998</v>
      </c>
      <c r="Z231">
        <v>2.1709999999999998</v>
      </c>
      <c r="AA231">
        <v>3.2890000000000001</v>
      </c>
      <c r="AB231" t="str">
        <f t="shared" si="3"/>
        <v>0.10 [2.17, 3.29]</v>
      </c>
    </row>
    <row r="232" spans="1:28" x14ac:dyDescent="0.35">
      <c r="A232">
        <v>232</v>
      </c>
      <c r="B232">
        <v>100</v>
      </c>
      <c r="C232" t="s">
        <v>111</v>
      </c>
      <c r="D232" t="s">
        <v>27</v>
      </c>
      <c r="E232" t="s">
        <v>112</v>
      </c>
      <c r="F232" t="s">
        <v>177</v>
      </c>
      <c r="G232" t="s">
        <v>30</v>
      </c>
      <c r="H232">
        <v>40</v>
      </c>
      <c r="I232">
        <v>0.4</v>
      </c>
      <c r="J232">
        <v>0.6</v>
      </c>
      <c r="P232">
        <v>26</v>
      </c>
      <c r="Q232">
        <v>9.5</v>
      </c>
      <c r="R232">
        <v>39</v>
      </c>
      <c r="S232">
        <v>-1</v>
      </c>
      <c r="T232">
        <v>20</v>
      </c>
      <c r="U232">
        <v>19</v>
      </c>
      <c r="V232">
        <v>103.2</v>
      </c>
      <c r="W232">
        <v>8.6</v>
      </c>
      <c r="X232" t="s">
        <v>31</v>
      </c>
      <c r="Y232">
        <v>9.5000000000000001E-2</v>
      </c>
      <c r="Z232">
        <v>0.214</v>
      </c>
      <c r="AA232">
        <v>0.58599999999999997</v>
      </c>
      <c r="AB232" t="str">
        <f t="shared" si="3"/>
        <v>0.02 [0.21, 0.59]</v>
      </c>
    </row>
    <row r="233" spans="1:28" x14ac:dyDescent="0.35">
      <c r="A233">
        <v>233</v>
      </c>
      <c r="B233">
        <v>100</v>
      </c>
      <c r="C233" t="s">
        <v>111</v>
      </c>
      <c r="D233" t="s">
        <v>35</v>
      </c>
      <c r="E233" t="s">
        <v>113</v>
      </c>
      <c r="F233" t="s">
        <v>177</v>
      </c>
      <c r="G233" t="s">
        <v>30</v>
      </c>
      <c r="H233">
        <v>39</v>
      </c>
      <c r="I233">
        <v>1.1000000000000001</v>
      </c>
      <c r="J233">
        <v>1.9</v>
      </c>
      <c r="P233">
        <v>27</v>
      </c>
      <c r="Q233">
        <v>9</v>
      </c>
      <c r="R233">
        <v>40</v>
      </c>
      <c r="S233">
        <v>1</v>
      </c>
      <c r="T233">
        <v>22</v>
      </c>
      <c r="U233">
        <v>18</v>
      </c>
      <c r="V233">
        <v>103.2</v>
      </c>
      <c r="W233">
        <v>8.6</v>
      </c>
      <c r="X233" t="s">
        <v>31</v>
      </c>
      <c r="Y233">
        <v>0.30399999999999999</v>
      </c>
      <c r="Z233">
        <v>0.504</v>
      </c>
      <c r="AA233">
        <v>1.696</v>
      </c>
      <c r="AB233" t="str">
        <f t="shared" si="3"/>
        <v>0.04 [0.50, 1.70]</v>
      </c>
    </row>
    <row r="234" spans="1:28" x14ac:dyDescent="0.35">
      <c r="A234">
        <v>370</v>
      </c>
      <c r="B234">
        <v>2</v>
      </c>
      <c r="C234" t="s">
        <v>175</v>
      </c>
      <c r="D234" t="s">
        <v>27</v>
      </c>
      <c r="E234" t="s">
        <v>176</v>
      </c>
      <c r="F234" t="s">
        <v>203</v>
      </c>
      <c r="G234" t="s">
        <v>204</v>
      </c>
      <c r="H234">
        <v>60</v>
      </c>
      <c r="I234">
        <v>10</v>
      </c>
      <c r="J234">
        <v>7.0000000000000007E-2</v>
      </c>
      <c r="P234">
        <v>25</v>
      </c>
      <c r="Q234">
        <v>4.97</v>
      </c>
      <c r="R234">
        <v>60</v>
      </c>
      <c r="S234">
        <v>0</v>
      </c>
      <c r="T234">
        <v>46</v>
      </c>
      <c r="U234">
        <v>14</v>
      </c>
      <c r="V234">
        <v>24</v>
      </c>
      <c r="W234">
        <v>2</v>
      </c>
      <c r="X234" t="s">
        <v>37</v>
      </c>
      <c r="Y234">
        <v>8.9999999999999993E-3</v>
      </c>
      <c r="Z234">
        <v>9.9819999999999993</v>
      </c>
      <c r="AA234">
        <v>10.018000000000001</v>
      </c>
      <c r="AB234" t="str">
        <f t="shared" si="3"/>
        <v>0.17 [9.98, 10.02]</v>
      </c>
    </row>
    <row r="235" spans="1:28" x14ac:dyDescent="0.35">
      <c r="A235">
        <v>371</v>
      </c>
      <c r="B235">
        <v>2</v>
      </c>
      <c r="C235" t="s">
        <v>175</v>
      </c>
      <c r="D235" t="s">
        <v>35</v>
      </c>
      <c r="E235" t="s">
        <v>178</v>
      </c>
      <c r="F235" t="s">
        <v>203</v>
      </c>
      <c r="G235" t="s">
        <v>204</v>
      </c>
      <c r="H235">
        <v>60</v>
      </c>
      <c r="I235">
        <v>11</v>
      </c>
      <c r="J235">
        <v>7.0000000000000007E-2</v>
      </c>
      <c r="P235">
        <v>25</v>
      </c>
      <c r="Q235">
        <v>5.19</v>
      </c>
      <c r="R235">
        <v>60</v>
      </c>
      <c r="S235">
        <v>0</v>
      </c>
      <c r="T235">
        <v>46</v>
      </c>
      <c r="U235">
        <v>14</v>
      </c>
      <c r="V235">
        <v>24</v>
      </c>
      <c r="W235">
        <v>2</v>
      </c>
      <c r="X235" t="s">
        <v>37</v>
      </c>
      <c r="Y235">
        <v>8.9999999999999993E-3</v>
      </c>
      <c r="Z235">
        <v>10.981999999999999</v>
      </c>
      <c r="AA235">
        <v>11.018000000000001</v>
      </c>
      <c r="AB235" t="str">
        <f t="shared" si="3"/>
        <v>0.19 [10.98, 11.02]</v>
      </c>
    </row>
    <row r="236" spans="1:28" x14ac:dyDescent="0.35">
      <c r="A236">
        <v>372</v>
      </c>
      <c r="B236">
        <v>5</v>
      </c>
      <c r="C236" t="s">
        <v>179</v>
      </c>
      <c r="D236" t="s">
        <v>27</v>
      </c>
      <c r="E236" t="s">
        <v>180</v>
      </c>
      <c r="F236" t="s">
        <v>203</v>
      </c>
      <c r="G236" t="s">
        <v>204</v>
      </c>
      <c r="H236">
        <v>35</v>
      </c>
      <c r="I236">
        <v>18</v>
      </c>
      <c r="J236">
        <v>1.59</v>
      </c>
      <c r="P236">
        <v>23.6</v>
      </c>
      <c r="Q236">
        <v>7.13</v>
      </c>
      <c r="R236">
        <v>35</v>
      </c>
      <c r="S236">
        <v>0</v>
      </c>
      <c r="T236">
        <v>23</v>
      </c>
      <c r="U236">
        <v>12</v>
      </c>
      <c r="V236">
        <v>34.6</v>
      </c>
      <c r="W236">
        <v>2.9</v>
      </c>
      <c r="X236" t="s">
        <v>37</v>
      </c>
      <c r="Y236">
        <v>0.26900000000000002</v>
      </c>
      <c r="Z236">
        <v>17.472999999999999</v>
      </c>
      <c r="AA236">
        <v>18.527000000000001</v>
      </c>
      <c r="AB236" t="str">
        <f t="shared" si="3"/>
        <v>0.52 [17.47, 18.53]</v>
      </c>
    </row>
    <row r="237" spans="1:28" x14ac:dyDescent="0.35">
      <c r="A237">
        <v>373</v>
      </c>
      <c r="B237">
        <v>5</v>
      </c>
      <c r="C237" t="s">
        <v>179</v>
      </c>
      <c r="D237" t="s">
        <v>35</v>
      </c>
      <c r="E237" t="s">
        <v>181</v>
      </c>
      <c r="F237" t="s">
        <v>203</v>
      </c>
      <c r="G237" t="s">
        <v>204</v>
      </c>
      <c r="H237">
        <v>33</v>
      </c>
      <c r="I237">
        <v>36</v>
      </c>
      <c r="J237">
        <v>1.95</v>
      </c>
      <c r="P237">
        <v>21.02</v>
      </c>
      <c r="Q237">
        <v>5.81</v>
      </c>
      <c r="R237">
        <v>68</v>
      </c>
      <c r="S237">
        <v>35</v>
      </c>
      <c r="T237">
        <v>45</v>
      </c>
      <c r="U237">
        <v>23</v>
      </c>
      <c r="V237">
        <v>35.799999999999997</v>
      </c>
      <c r="W237">
        <v>3</v>
      </c>
      <c r="X237" t="s">
        <v>37</v>
      </c>
      <c r="Y237">
        <v>0.33900000000000002</v>
      </c>
      <c r="Z237">
        <v>35.335999999999999</v>
      </c>
      <c r="AA237">
        <v>36.664000000000001</v>
      </c>
      <c r="AB237" t="str">
        <f t="shared" si="3"/>
        <v>1.09 [35.34, 36.66]</v>
      </c>
    </row>
    <row r="238" spans="1:28" x14ac:dyDescent="0.35">
      <c r="A238">
        <v>376</v>
      </c>
      <c r="B238">
        <v>11</v>
      </c>
      <c r="C238" t="s">
        <v>205</v>
      </c>
      <c r="D238" t="s">
        <v>27</v>
      </c>
      <c r="E238" t="s">
        <v>206</v>
      </c>
      <c r="F238" t="s">
        <v>203</v>
      </c>
      <c r="G238" t="s">
        <v>204</v>
      </c>
      <c r="H238">
        <v>22</v>
      </c>
      <c r="I238">
        <v>3</v>
      </c>
      <c r="J238">
        <v>0.11</v>
      </c>
      <c r="P238">
        <v>28.5</v>
      </c>
      <c r="Q238">
        <v>6.96</v>
      </c>
      <c r="R238">
        <v>28</v>
      </c>
      <c r="S238">
        <v>6</v>
      </c>
      <c r="T238">
        <v>18</v>
      </c>
      <c r="U238">
        <v>10</v>
      </c>
      <c r="V238">
        <v>36</v>
      </c>
      <c r="W238">
        <v>3</v>
      </c>
      <c r="X238" t="s">
        <v>37</v>
      </c>
      <c r="Y238">
        <v>2.3E-2</v>
      </c>
      <c r="Z238">
        <v>2.9550000000000001</v>
      </c>
      <c r="AA238">
        <v>3.0449999999999999</v>
      </c>
      <c r="AB238" t="str">
        <f t="shared" si="3"/>
        <v>0.16 [2.96, 3.05]</v>
      </c>
    </row>
    <row r="239" spans="1:28" x14ac:dyDescent="0.35">
      <c r="A239">
        <v>377</v>
      </c>
      <c r="B239">
        <v>11</v>
      </c>
      <c r="C239" t="s">
        <v>205</v>
      </c>
      <c r="D239" t="s">
        <v>35</v>
      </c>
      <c r="E239" t="s">
        <v>207</v>
      </c>
      <c r="F239" t="s">
        <v>203</v>
      </c>
      <c r="G239" t="s">
        <v>204</v>
      </c>
      <c r="H239">
        <v>22</v>
      </c>
      <c r="I239">
        <v>9</v>
      </c>
      <c r="J239">
        <v>1.91</v>
      </c>
      <c r="P239">
        <v>29.9</v>
      </c>
      <c r="Q239">
        <v>5.72</v>
      </c>
      <c r="R239">
        <v>28</v>
      </c>
      <c r="S239">
        <v>6</v>
      </c>
      <c r="T239">
        <v>13</v>
      </c>
      <c r="U239">
        <v>15</v>
      </c>
      <c r="V239">
        <v>36</v>
      </c>
      <c r="W239">
        <v>3</v>
      </c>
      <c r="X239" t="s">
        <v>37</v>
      </c>
      <c r="Y239">
        <v>0.40699999999999997</v>
      </c>
      <c r="Z239">
        <v>8.202</v>
      </c>
      <c r="AA239">
        <v>9.798</v>
      </c>
      <c r="AB239" t="str">
        <f t="shared" si="3"/>
        <v>0.42 [8.20, 9.80]</v>
      </c>
    </row>
    <row r="240" spans="1:28" x14ac:dyDescent="0.35">
      <c r="A240">
        <v>378</v>
      </c>
      <c r="B240">
        <v>12</v>
      </c>
      <c r="C240" t="s">
        <v>34</v>
      </c>
      <c r="D240" t="s">
        <v>35</v>
      </c>
      <c r="E240" t="s">
        <v>36</v>
      </c>
      <c r="F240" t="s">
        <v>203</v>
      </c>
      <c r="G240" t="s">
        <v>204</v>
      </c>
      <c r="H240">
        <v>62</v>
      </c>
      <c r="I240">
        <v>4</v>
      </c>
      <c r="J240">
        <v>0.06</v>
      </c>
      <c r="P240">
        <v>27.9</v>
      </c>
      <c r="Q240">
        <v>6.7</v>
      </c>
      <c r="R240">
        <v>62</v>
      </c>
      <c r="S240">
        <v>0</v>
      </c>
      <c r="T240">
        <v>31</v>
      </c>
      <c r="U240">
        <v>31</v>
      </c>
      <c r="V240">
        <v>30.3</v>
      </c>
      <c r="W240">
        <v>2.5</v>
      </c>
      <c r="X240" t="s">
        <v>37</v>
      </c>
      <c r="Y240">
        <v>8.0000000000000002E-3</v>
      </c>
      <c r="Z240">
        <v>3.984</v>
      </c>
      <c r="AA240">
        <v>4.016</v>
      </c>
      <c r="AB240" t="str">
        <f t="shared" si="3"/>
        <v>0.07 [3.98, 4.02]</v>
      </c>
    </row>
    <row r="241" spans="1:28" x14ac:dyDescent="0.35">
      <c r="A241">
        <v>379</v>
      </c>
      <c r="B241">
        <v>12</v>
      </c>
      <c r="C241" t="s">
        <v>34</v>
      </c>
      <c r="D241" t="s">
        <v>38</v>
      </c>
      <c r="E241" t="s">
        <v>39</v>
      </c>
      <c r="F241" t="s">
        <v>203</v>
      </c>
      <c r="G241" t="s">
        <v>204</v>
      </c>
      <c r="H241">
        <v>62</v>
      </c>
      <c r="I241">
        <v>5</v>
      </c>
      <c r="J241">
        <v>0.06</v>
      </c>
      <c r="P241">
        <v>29.1</v>
      </c>
      <c r="Q241">
        <v>6.5</v>
      </c>
      <c r="R241">
        <v>62</v>
      </c>
      <c r="S241">
        <v>0</v>
      </c>
      <c r="T241">
        <v>34</v>
      </c>
      <c r="U241">
        <v>28</v>
      </c>
      <c r="V241">
        <v>29.7</v>
      </c>
      <c r="W241">
        <v>2.5</v>
      </c>
      <c r="X241" t="s">
        <v>37</v>
      </c>
      <c r="Y241">
        <v>8.0000000000000002E-3</v>
      </c>
      <c r="Z241">
        <v>4.984</v>
      </c>
      <c r="AA241">
        <v>5.016</v>
      </c>
      <c r="AB241" t="str">
        <f t="shared" si="3"/>
        <v>0.09 [4.98, 5.02]</v>
      </c>
    </row>
    <row r="242" spans="1:28" x14ac:dyDescent="0.35">
      <c r="A242">
        <v>380</v>
      </c>
      <c r="B242">
        <v>13</v>
      </c>
      <c r="C242" t="s">
        <v>40</v>
      </c>
      <c r="D242" t="s">
        <v>27</v>
      </c>
      <c r="E242" t="s">
        <v>41</v>
      </c>
      <c r="F242" t="s">
        <v>203</v>
      </c>
      <c r="G242" t="s">
        <v>204</v>
      </c>
      <c r="H242">
        <v>61</v>
      </c>
      <c r="I242">
        <v>26</v>
      </c>
      <c r="J242">
        <v>1.99</v>
      </c>
      <c r="P242">
        <v>28.2</v>
      </c>
      <c r="Q242">
        <v>9.1</v>
      </c>
      <c r="R242">
        <v>61</v>
      </c>
      <c r="S242">
        <v>0</v>
      </c>
      <c r="T242">
        <v>42</v>
      </c>
      <c r="U242">
        <v>19</v>
      </c>
      <c r="V242">
        <v>202.6</v>
      </c>
      <c r="W242">
        <v>16.899999999999999</v>
      </c>
      <c r="X242" t="s">
        <v>31</v>
      </c>
      <c r="Y242">
        <v>0.255</v>
      </c>
      <c r="Z242">
        <v>25.5</v>
      </c>
      <c r="AA242">
        <v>26.5</v>
      </c>
      <c r="AB242" t="str">
        <f t="shared" si="3"/>
        <v>0.43 [25.50, 26.50]</v>
      </c>
    </row>
    <row r="243" spans="1:28" x14ac:dyDescent="0.35">
      <c r="A243">
        <v>381</v>
      </c>
      <c r="B243">
        <v>13</v>
      </c>
      <c r="C243" t="s">
        <v>40</v>
      </c>
      <c r="D243" t="s">
        <v>35</v>
      </c>
      <c r="E243" t="s">
        <v>42</v>
      </c>
      <c r="F243" t="s">
        <v>203</v>
      </c>
      <c r="G243" t="s">
        <v>204</v>
      </c>
      <c r="H243">
        <v>86</v>
      </c>
      <c r="I243">
        <v>28</v>
      </c>
      <c r="J243">
        <v>1.72</v>
      </c>
      <c r="P243">
        <v>26.8</v>
      </c>
      <c r="Q243">
        <v>7.6</v>
      </c>
      <c r="R243">
        <v>86</v>
      </c>
      <c r="S243">
        <v>0</v>
      </c>
      <c r="T243">
        <v>53</v>
      </c>
      <c r="U243">
        <v>33</v>
      </c>
      <c r="V243">
        <v>191.9</v>
      </c>
      <c r="W243">
        <v>16</v>
      </c>
      <c r="X243" t="s">
        <v>31</v>
      </c>
      <c r="Y243">
        <v>0.185</v>
      </c>
      <c r="Z243">
        <v>27.637</v>
      </c>
      <c r="AA243">
        <v>28.363</v>
      </c>
      <c r="AB243" t="str">
        <f t="shared" si="3"/>
        <v>0.33 [27.64, 28.36]</v>
      </c>
    </row>
    <row r="244" spans="1:28" x14ac:dyDescent="0.35">
      <c r="A244">
        <v>384</v>
      </c>
      <c r="B244">
        <v>25</v>
      </c>
      <c r="C244" t="s">
        <v>185</v>
      </c>
      <c r="D244" t="s">
        <v>27</v>
      </c>
      <c r="E244" t="s">
        <v>186</v>
      </c>
      <c r="F244" t="s">
        <v>203</v>
      </c>
      <c r="G244" t="s">
        <v>204</v>
      </c>
      <c r="H244">
        <v>42</v>
      </c>
      <c r="I244">
        <v>6</v>
      </c>
      <c r="J244">
        <v>0.41</v>
      </c>
      <c r="P244">
        <v>27</v>
      </c>
      <c r="Q244">
        <v>6</v>
      </c>
      <c r="V244">
        <v>6.7</v>
      </c>
      <c r="W244">
        <v>0.6</v>
      </c>
      <c r="X244" t="s">
        <v>61</v>
      </c>
      <c r="Y244">
        <v>6.3E-2</v>
      </c>
      <c r="Z244">
        <v>5.8769999999999998</v>
      </c>
      <c r="AA244">
        <v>6.1230000000000002</v>
      </c>
      <c r="AB244" t="str">
        <f t="shared" si="3"/>
        <v>0.15 [5.88, 6.12]</v>
      </c>
    </row>
    <row r="245" spans="1:28" x14ac:dyDescent="0.35">
      <c r="A245">
        <v>385</v>
      </c>
      <c r="B245">
        <v>25</v>
      </c>
      <c r="C245" t="s">
        <v>185</v>
      </c>
      <c r="D245" t="s">
        <v>35</v>
      </c>
      <c r="E245" t="s">
        <v>187</v>
      </c>
      <c r="F245" t="s">
        <v>203</v>
      </c>
      <c r="G245" t="s">
        <v>204</v>
      </c>
      <c r="H245">
        <v>47</v>
      </c>
      <c r="I245">
        <v>19</v>
      </c>
      <c r="J245">
        <v>1.71</v>
      </c>
      <c r="P245">
        <v>27</v>
      </c>
      <c r="Q245">
        <v>6</v>
      </c>
      <c r="V245">
        <v>6.7</v>
      </c>
      <c r="W245">
        <v>0.6</v>
      </c>
      <c r="X245" t="s">
        <v>61</v>
      </c>
      <c r="Y245">
        <v>0.249</v>
      </c>
      <c r="Z245">
        <v>18.512</v>
      </c>
      <c r="AA245">
        <v>19.488</v>
      </c>
      <c r="AB245" t="str">
        <f t="shared" si="3"/>
        <v>0.41 [18.51, 19.49]</v>
      </c>
    </row>
    <row r="246" spans="1:28" x14ac:dyDescent="0.35">
      <c r="A246">
        <v>386</v>
      </c>
      <c r="B246">
        <v>26</v>
      </c>
      <c r="C246" t="s">
        <v>188</v>
      </c>
      <c r="D246" t="s">
        <v>27</v>
      </c>
      <c r="E246" t="s">
        <v>189</v>
      </c>
      <c r="F246" t="s">
        <v>203</v>
      </c>
      <c r="G246" t="s">
        <v>204</v>
      </c>
      <c r="H246">
        <v>27</v>
      </c>
      <c r="I246">
        <v>2</v>
      </c>
      <c r="J246">
        <v>0.1</v>
      </c>
      <c r="P246">
        <v>25.8</v>
      </c>
      <c r="Q246">
        <v>6</v>
      </c>
      <c r="R246">
        <v>31</v>
      </c>
      <c r="S246">
        <v>4</v>
      </c>
      <c r="T246">
        <v>23</v>
      </c>
      <c r="U246">
        <v>8</v>
      </c>
      <c r="V246">
        <v>36</v>
      </c>
      <c r="W246">
        <v>3</v>
      </c>
      <c r="X246" t="s">
        <v>37</v>
      </c>
      <c r="Y246">
        <v>1.9E-2</v>
      </c>
      <c r="Z246">
        <v>1.9630000000000001</v>
      </c>
      <c r="AA246">
        <v>2.0369999999999999</v>
      </c>
      <c r="AB246" t="str">
        <f t="shared" si="3"/>
        <v>0.09 [1.96, 2.04]</v>
      </c>
    </row>
    <row r="247" spans="1:28" x14ac:dyDescent="0.35">
      <c r="A247">
        <v>387</v>
      </c>
      <c r="B247">
        <v>26</v>
      </c>
      <c r="C247" t="s">
        <v>188</v>
      </c>
      <c r="D247" t="s">
        <v>35</v>
      </c>
      <c r="E247" t="s">
        <v>190</v>
      </c>
      <c r="F247" t="s">
        <v>203</v>
      </c>
      <c r="G247" t="s">
        <v>204</v>
      </c>
      <c r="H247">
        <v>21</v>
      </c>
      <c r="I247">
        <v>9</v>
      </c>
      <c r="J247">
        <v>1.58</v>
      </c>
      <c r="P247">
        <v>26.3</v>
      </c>
      <c r="Q247">
        <v>6</v>
      </c>
      <c r="R247">
        <v>34</v>
      </c>
      <c r="S247">
        <v>13</v>
      </c>
      <c r="T247">
        <v>24</v>
      </c>
      <c r="U247">
        <v>10</v>
      </c>
      <c r="V247">
        <v>36</v>
      </c>
      <c r="W247">
        <v>3</v>
      </c>
      <c r="X247" t="s">
        <v>37</v>
      </c>
      <c r="Y247">
        <v>0.34499999999999997</v>
      </c>
      <c r="Z247">
        <v>8.3239999999999998</v>
      </c>
      <c r="AA247">
        <v>9.6760000000000002</v>
      </c>
      <c r="AB247" t="str">
        <f t="shared" si="3"/>
        <v>0.44 [8.32, 9.68]</v>
      </c>
    </row>
    <row r="248" spans="1:28" x14ac:dyDescent="0.35">
      <c r="A248">
        <v>388</v>
      </c>
      <c r="B248">
        <v>32</v>
      </c>
      <c r="C248" t="s">
        <v>53</v>
      </c>
      <c r="D248" t="s">
        <v>27</v>
      </c>
      <c r="E248" t="s">
        <v>54</v>
      </c>
      <c r="F248" t="s">
        <v>203</v>
      </c>
      <c r="G248" t="s">
        <v>204</v>
      </c>
      <c r="H248">
        <v>31</v>
      </c>
      <c r="I248">
        <v>7</v>
      </c>
      <c r="J248">
        <v>0.48</v>
      </c>
      <c r="P248">
        <v>25.2</v>
      </c>
      <c r="Q248">
        <v>5.48</v>
      </c>
      <c r="R248">
        <v>31</v>
      </c>
      <c r="S248">
        <v>0</v>
      </c>
      <c r="T248">
        <v>23</v>
      </c>
      <c r="U248">
        <v>8</v>
      </c>
      <c r="V248">
        <v>24</v>
      </c>
      <c r="W248">
        <v>2</v>
      </c>
      <c r="X248" t="s">
        <v>37</v>
      </c>
      <c r="Y248">
        <v>8.5999999999999993E-2</v>
      </c>
      <c r="Z248">
        <v>6.8310000000000004</v>
      </c>
      <c r="AA248">
        <v>7.1689999999999996</v>
      </c>
      <c r="AB248" t="str">
        <f t="shared" si="3"/>
        <v>0.24 [6.83, 7.17]</v>
      </c>
    </row>
    <row r="249" spans="1:28" x14ac:dyDescent="0.35">
      <c r="A249">
        <v>389</v>
      </c>
      <c r="B249">
        <v>32</v>
      </c>
      <c r="C249" t="s">
        <v>53</v>
      </c>
      <c r="D249" t="s">
        <v>35</v>
      </c>
      <c r="E249" t="s">
        <v>55</v>
      </c>
      <c r="F249" t="s">
        <v>203</v>
      </c>
      <c r="G249" t="s">
        <v>204</v>
      </c>
      <c r="H249">
        <v>31</v>
      </c>
      <c r="I249">
        <v>10</v>
      </c>
      <c r="J249">
        <v>0.7</v>
      </c>
      <c r="P249">
        <v>24.64</v>
      </c>
      <c r="Q249">
        <v>5.33</v>
      </c>
      <c r="R249">
        <v>31</v>
      </c>
      <c r="S249">
        <v>0</v>
      </c>
      <c r="T249">
        <v>19</v>
      </c>
      <c r="U249">
        <v>12</v>
      </c>
      <c r="V249">
        <v>24</v>
      </c>
      <c r="W249">
        <v>2</v>
      </c>
      <c r="X249" t="s">
        <v>37</v>
      </c>
      <c r="Y249">
        <v>0.126</v>
      </c>
      <c r="Z249">
        <v>9.7530000000000001</v>
      </c>
      <c r="AA249">
        <v>10.247</v>
      </c>
      <c r="AB249" t="str">
        <f t="shared" si="3"/>
        <v>0.33 [9.75, 10.25]</v>
      </c>
    </row>
    <row r="250" spans="1:28" x14ac:dyDescent="0.35">
      <c r="A250">
        <v>390</v>
      </c>
      <c r="B250">
        <v>33</v>
      </c>
      <c r="C250" t="s">
        <v>124</v>
      </c>
      <c r="D250" t="s">
        <v>27</v>
      </c>
      <c r="E250" t="s">
        <v>125</v>
      </c>
      <c r="F250" t="s">
        <v>203</v>
      </c>
      <c r="G250" t="s">
        <v>204</v>
      </c>
      <c r="H250">
        <v>37</v>
      </c>
      <c r="I250">
        <v>4</v>
      </c>
      <c r="J250">
        <v>0.08</v>
      </c>
      <c r="V250">
        <v>60.6</v>
      </c>
      <c r="W250">
        <v>5.0999999999999996</v>
      </c>
      <c r="X250" t="s">
        <v>31</v>
      </c>
      <c r="Y250">
        <v>1.2999999999999999E-2</v>
      </c>
      <c r="Z250">
        <v>3.9750000000000001</v>
      </c>
      <c r="AA250">
        <v>4.0250000000000004</v>
      </c>
      <c r="AB250" t="str">
        <f t="shared" si="3"/>
        <v>0.12 [3.98, 4.03]</v>
      </c>
    </row>
    <row r="251" spans="1:28" x14ac:dyDescent="0.35">
      <c r="A251">
        <v>391</v>
      </c>
      <c r="B251">
        <v>33</v>
      </c>
      <c r="C251" t="s">
        <v>124</v>
      </c>
      <c r="D251" t="s">
        <v>35</v>
      </c>
      <c r="E251" t="s">
        <v>126</v>
      </c>
      <c r="F251" t="s">
        <v>203</v>
      </c>
      <c r="G251" t="s">
        <v>204</v>
      </c>
      <c r="H251">
        <v>37</v>
      </c>
      <c r="I251">
        <v>4</v>
      </c>
      <c r="J251">
        <v>0.25</v>
      </c>
      <c r="V251">
        <v>60.6</v>
      </c>
      <c r="W251">
        <v>5.0999999999999996</v>
      </c>
      <c r="X251" t="s">
        <v>31</v>
      </c>
      <c r="Y251">
        <v>4.1000000000000002E-2</v>
      </c>
      <c r="Z251">
        <v>3.92</v>
      </c>
      <c r="AA251">
        <v>4.08</v>
      </c>
      <c r="AB251" t="str">
        <f t="shared" si="3"/>
        <v>0.12 [3.92, 4.08]</v>
      </c>
    </row>
    <row r="252" spans="1:28" x14ac:dyDescent="0.35">
      <c r="A252">
        <v>392</v>
      </c>
      <c r="B252">
        <v>34</v>
      </c>
      <c r="C252" t="s">
        <v>169</v>
      </c>
      <c r="D252" t="s">
        <v>27</v>
      </c>
      <c r="E252" t="s">
        <v>170</v>
      </c>
      <c r="F252" t="s">
        <v>203</v>
      </c>
      <c r="G252" t="s">
        <v>204</v>
      </c>
      <c r="H252">
        <v>30</v>
      </c>
      <c r="I252">
        <v>13</v>
      </c>
      <c r="J252">
        <v>0.71</v>
      </c>
      <c r="P252">
        <v>29</v>
      </c>
      <c r="Q252">
        <v>7</v>
      </c>
      <c r="R252">
        <v>34</v>
      </c>
      <c r="S252">
        <v>4</v>
      </c>
      <c r="T252">
        <v>22</v>
      </c>
      <c r="U252">
        <v>12</v>
      </c>
      <c r="V252">
        <v>24.7</v>
      </c>
      <c r="W252">
        <v>2.1</v>
      </c>
      <c r="X252" t="s">
        <v>37</v>
      </c>
      <c r="Y252">
        <v>0.13</v>
      </c>
      <c r="Z252">
        <v>12.744999999999999</v>
      </c>
      <c r="AA252">
        <v>13.255000000000001</v>
      </c>
      <c r="AB252" t="str">
        <f t="shared" si="3"/>
        <v>0.44 [12.75, 13.26]</v>
      </c>
    </row>
    <row r="253" spans="1:28" x14ac:dyDescent="0.35">
      <c r="A253">
        <v>393</v>
      </c>
      <c r="B253">
        <v>34</v>
      </c>
      <c r="C253" t="s">
        <v>169</v>
      </c>
      <c r="D253" t="s">
        <v>35</v>
      </c>
      <c r="E253" t="s">
        <v>171</v>
      </c>
      <c r="F253" t="s">
        <v>203</v>
      </c>
      <c r="G253" t="s">
        <v>204</v>
      </c>
      <c r="H253">
        <v>29</v>
      </c>
      <c r="I253">
        <v>22</v>
      </c>
      <c r="J253">
        <v>2.1800000000000002</v>
      </c>
      <c r="P253">
        <v>30</v>
      </c>
      <c r="Q253">
        <v>9</v>
      </c>
      <c r="R253">
        <v>34</v>
      </c>
      <c r="S253">
        <v>5</v>
      </c>
      <c r="T253">
        <v>14</v>
      </c>
      <c r="U253">
        <v>20</v>
      </c>
      <c r="V253">
        <v>24.7</v>
      </c>
      <c r="W253">
        <v>2.1</v>
      </c>
      <c r="X253" t="s">
        <v>37</v>
      </c>
      <c r="Y253">
        <v>0.40500000000000003</v>
      </c>
      <c r="Z253">
        <v>21.206</v>
      </c>
      <c r="AA253">
        <v>22.794</v>
      </c>
      <c r="AB253" t="str">
        <f t="shared" si="3"/>
        <v>0.76 [21.21, 22.79]</v>
      </c>
    </row>
    <row r="254" spans="1:28" x14ac:dyDescent="0.35">
      <c r="A254">
        <v>394</v>
      </c>
      <c r="B254">
        <v>36</v>
      </c>
      <c r="C254" t="s">
        <v>56</v>
      </c>
      <c r="D254" t="s">
        <v>35</v>
      </c>
      <c r="E254" t="s">
        <v>57</v>
      </c>
      <c r="F254" t="s">
        <v>203</v>
      </c>
      <c r="G254" t="s">
        <v>204</v>
      </c>
      <c r="H254">
        <v>26</v>
      </c>
      <c r="I254">
        <v>0</v>
      </c>
      <c r="J254">
        <v>0.1</v>
      </c>
      <c r="P254">
        <v>32.700000000000003</v>
      </c>
      <c r="Q254">
        <v>11.4</v>
      </c>
      <c r="R254">
        <v>27</v>
      </c>
      <c r="S254">
        <v>1</v>
      </c>
      <c r="T254">
        <v>12</v>
      </c>
      <c r="U254">
        <v>15</v>
      </c>
      <c r="V254">
        <v>24</v>
      </c>
      <c r="W254">
        <v>2</v>
      </c>
      <c r="X254" t="s">
        <v>37</v>
      </c>
      <c r="Y254">
        <v>0.02</v>
      </c>
      <c r="Z254">
        <v>-3.9E-2</v>
      </c>
      <c r="AA254">
        <v>3.9E-2</v>
      </c>
      <c r="AB254" t="str">
        <f t="shared" si="3"/>
        <v>0.02 [-0.04, 0.04]</v>
      </c>
    </row>
    <row r="255" spans="1:28" x14ac:dyDescent="0.35">
      <c r="A255">
        <v>395</v>
      </c>
      <c r="B255">
        <v>36</v>
      </c>
      <c r="C255" t="s">
        <v>56</v>
      </c>
      <c r="D255" t="s">
        <v>32</v>
      </c>
      <c r="E255" t="s">
        <v>58</v>
      </c>
      <c r="F255" t="s">
        <v>203</v>
      </c>
      <c r="G255" t="s">
        <v>204</v>
      </c>
      <c r="H255">
        <v>23</v>
      </c>
      <c r="I255">
        <v>0</v>
      </c>
      <c r="J255">
        <v>0.1</v>
      </c>
      <c r="P255">
        <v>24.1</v>
      </c>
      <c r="Q255">
        <v>3.6</v>
      </c>
      <c r="R255">
        <v>24</v>
      </c>
      <c r="S255">
        <v>1</v>
      </c>
      <c r="T255">
        <v>21</v>
      </c>
      <c r="U255">
        <v>3</v>
      </c>
      <c r="V255">
        <v>24</v>
      </c>
      <c r="W255">
        <v>2</v>
      </c>
      <c r="X255" t="s">
        <v>37</v>
      </c>
      <c r="Y255">
        <v>2.1000000000000001E-2</v>
      </c>
      <c r="Z255">
        <v>-4.1000000000000002E-2</v>
      </c>
      <c r="AA255">
        <v>4.1000000000000002E-2</v>
      </c>
      <c r="AB255" t="str">
        <f t="shared" si="3"/>
        <v>0.02 [-0.04, 0.04]</v>
      </c>
    </row>
    <row r="256" spans="1:28" x14ac:dyDescent="0.35">
      <c r="A256">
        <v>396</v>
      </c>
      <c r="B256">
        <v>37</v>
      </c>
      <c r="C256" t="s">
        <v>130</v>
      </c>
      <c r="D256" t="s">
        <v>27</v>
      </c>
      <c r="E256" t="s">
        <v>131</v>
      </c>
      <c r="F256" t="s">
        <v>203</v>
      </c>
      <c r="G256" t="s">
        <v>204</v>
      </c>
      <c r="H256">
        <v>40</v>
      </c>
      <c r="I256">
        <v>5</v>
      </c>
      <c r="J256">
        <v>0.99</v>
      </c>
      <c r="P256">
        <v>22.3</v>
      </c>
      <c r="Q256">
        <v>3.94</v>
      </c>
      <c r="R256">
        <v>40</v>
      </c>
      <c r="S256">
        <v>0</v>
      </c>
      <c r="T256">
        <v>40</v>
      </c>
      <c r="U256">
        <v>0</v>
      </c>
      <c r="V256">
        <v>81</v>
      </c>
      <c r="W256">
        <v>6.8</v>
      </c>
      <c r="X256" t="s">
        <v>31</v>
      </c>
      <c r="Y256">
        <v>0.157</v>
      </c>
      <c r="Z256">
        <v>4.6920000000000002</v>
      </c>
      <c r="AA256">
        <v>5.3079999999999998</v>
      </c>
      <c r="AB256" t="str">
        <f t="shared" si="3"/>
        <v>0.14 [4.69, 5.31]</v>
      </c>
    </row>
    <row r="257" spans="1:28" x14ac:dyDescent="0.35">
      <c r="A257">
        <v>397</v>
      </c>
      <c r="B257">
        <v>37</v>
      </c>
      <c r="C257" t="s">
        <v>130</v>
      </c>
      <c r="D257" t="s">
        <v>35</v>
      </c>
      <c r="E257" t="s">
        <v>132</v>
      </c>
      <c r="F257" t="s">
        <v>203</v>
      </c>
      <c r="G257" t="s">
        <v>204</v>
      </c>
      <c r="H257">
        <v>45</v>
      </c>
      <c r="I257">
        <v>8</v>
      </c>
      <c r="J257">
        <v>1.54</v>
      </c>
      <c r="P257">
        <v>22.3</v>
      </c>
      <c r="Q257">
        <v>3.84</v>
      </c>
      <c r="R257">
        <v>46</v>
      </c>
      <c r="S257">
        <v>1</v>
      </c>
      <c r="T257">
        <v>46</v>
      </c>
      <c r="U257">
        <v>0</v>
      </c>
      <c r="V257">
        <v>81</v>
      </c>
      <c r="W257">
        <v>6.8</v>
      </c>
      <c r="X257" t="s">
        <v>31</v>
      </c>
      <c r="Y257">
        <v>0.23</v>
      </c>
      <c r="Z257">
        <v>7.5490000000000004</v>
      </c>
      <c r="AA257">
        <v>8.4510000000000005</v>
      </c>
      <c r="AB257" t="str">
        <f t="shared" si="3"/>
        <v>0.19 [7.55, 8.45]</v>
      </c>
    </row>
    <row r="258" spans="1:28" x14ac:dyDescent="0.35">
      <c r="A258">
        <v>400</v>
      </c>
      <c r="B258">
        <v>41</v>
      </c>
      <c r="C258" t="s">
        <v>172</v>
      </c>
      <c r="D258" t="s">
        <v>27</v>
      </c>
      <c r="E258" t="s">
        <v>173</v>
      </c>
      <c r="F258" t="s">
        <v>203</v>
      </c>
      <c r="G258" t="s">
        <v>204</v>
      </c>
      <c r="H258">
        <v>43</v>
      </c>
      <c r="I258">
        <v>3</v>
      </c>
      <c r="J258">
        <v>0.56999999999999995</v>
      </c>
      <c r="V258">
        <v>24</v>
      </c>
      <c r="W258">
        <v>2</v>
      </c>
      <c r="X258" t="s">
        <v>37</v>
      </c>
      <c r="Y258">
        <v>8.6999999999999994E-2</v>
      </c>
      <c r="Z258">
        <v>2.8290000000000002</v>
      </c>
      <c r="AA258">
        <v>3.1709999999999998</v>
      </c>
      <c r="AB258" t="str">
        <f t="shared" si="3"/>
        <v>0.08 [2.83, 3.17]</v>
      </c>
    </row>
    <row r="259" spans="1:28" x14ac:dyDescent="0.35">
      <c r="A259">
        <v>401</v>
      </c>
      <c r="B259">
        <v>41</v>
      </c>
      <c r="C259" t="s">
        <v>172</v>
      </c>
      <c r="D259" t="s">
        <v>35</v>
      </c>
      <c r="E259" t="s">
        <v>174</v>
      </c>
      <c r="F259" t="s">
        <v>203</v>
      </c>
      <c r="G259" t="s">
        <v>204</v>
      </c>
      <c r="H259">
        <v>46</v>
      </c>
      <c r="I259">
        <v>3</v>
      </c>
      <c r="J259">
        <v>0.55000000000000004</v>
      </c>
      <c r="V259">
        <v>24</v>
      </c>
      <c r="W259">
        <v>2</v>
      </c>
      <c r="X259" t="s">
        <v>37</v>
      </c>
      <c r="Y259">
        <v>8.1000000000000003E-2</v>
      </c>
      <c r="Z259">
        <v>2.8410000000000002</v>
      </c>
      <c r="AA259">
        <v>3.1589999999999998</v>
      </c>
      <c r="AB259" t="str">
        <f t="shared" ref="AB259:AB322" si="4">TEXT((I259+0.5)/(H259+0.5), "#0.00")&amp;" ["&amp;TEXT(Z259, "#0.00")&amp;", "&amp;TEXT(AA259, "#0.00")&amp;"]"</f>
        <v>0.08 [2.84, 3.16]</v>
      </c>
    </row>
    <row r="260" spans="1:28" x14ac:dyDescent="0.35">
      <c r="A260">
        <v>404</v>
      </c>
      <c r="B260">
        <v>46</v>
      </c>
      <c r="C260" t="s">
        <v>194</v>
      </c>
      <c r="D260" t="s">
        <v>27</v>
      </c>
      <c r="E260" t="s">
        <v>195</v>
      </c>
      <c r="F260" t="s">
        <v>203</v>
      </c>
      <c r="G260" t="s">
        <v>204</v>
      </c>
      <c r="H260">
        <v>15</v>
      </c>
      <c r="I260">
        <v>2</v>
      </c>
      <c r="J260">
        <v>0.75</v>
      </c>
      <c r="P260">
        <v>29.93</v>
      </c>
      <c r="Q260">
        <v>8.91</v>
      </c>
      <c r="V260">
        <v>19</v>
      </c>
      <c r="W260">
        <v>1.6</v>
      </c>
      <c r="X260" t="s">
        <v>37</v>
      </c>
      <c r="Y260">
        <v>0.19400000000000001</v>
      </c>
      <c r="Z260">
        <v>1.62</v>
      </c>
      <c r="AA260">
        <v>2.38</v>
      </c>
      <c r="AB260" t="str">
        <f t="shared" si="4"/>
        <v>0.16 [1.62, 2.38]</v>
      </c>
    </row>
    <row r="261" spans="1:28" x14ac:dyDescent="0.35">
      <c r="A261">
        <v>405</v>
      </c>
      <c r="B261">
        <v>46</v>
      </c>
      <c r="C261" t="s">
        <v>194</v>
      </c>
      <c r="D261" t="s">
        <v>35</v>
      </c>
      <c r="E261" t="s">
        <v>196</v>
      </c>
      <c r="F261" t="s">
        <v>203</v>
      </c>
      <c r="G261" t="s">
        <v>204</v>
      </c>
      <c r="H261">
        <v>13</v>
      </c>
      <c r="I261">
        <v>2</v>
      </c>
      <c r="J261">
        <v>0.82</v>
      </c>
      <c r="P261">
        <v>28.65</v>
      </c>
      <c r="Q261">
        <v>9.27</v>
      </c>
      <c r="V261">
        <v>19</v>
      </c>
      <c r="W261">
        <v>1.6</v>
      </c>
      <c r="X261" t="s">
        <v>37</v>
      </c>
      <c r="Y261">
        <v>0.22700000000000001</v>
      </c>
      <c r="Z261">
        <v>1.5549999999999999</v>
      </c>
      <c r="AA261">
        <v>2.4449999999999998</v>
      </c>
      <c r="AB261" t="str">
        <f t="shared" si="4"/>
        <v>0.19 [1.56, 2.45]</v>
      </c>
    </row>
    <row r="262" spans="1:28" x14ac:dyDescent="0.35">
      <c r="A262">
        <v>406</v>
      </c>
      <c r="B262">
        <v>47</v>
      </c>
      <c r="C262" t="s">
        <v>208</v>
      </c>
      <c r="D262" t="s">
        <v>35</v>
      </c>
      <c r="E262" t="s">
        <v>209</v>
      </c>
      <c r="F262" t="s">
        <v>203</v>
      </c>
      <c r="G262" t="s">
        <v>204</v>
      </c>
      <c r="H262">
        <v>44</v>
      </c>
      <c r="I262">
        <v>6</v>
      </c>
      <c r="J262">
        <v>1.07</v>
      </c>
      <c r="P262">
        <v>32</v>
      </c>
      <c r="Q262">
        <v>8.43</v>
      </c>
      <c r="R262">
        <v>54</v>
      </c>
      <c r="S262">
        <v>10</v>
      </c>
      <c r="T262">
        <v>32</v>
      </c>
      <c r="U262">
        <v>22</v>
      </c>
      <c r="V262">
        <v>24</v>
      </c>
      <c r="W262">
        <v>2</v>
      </c>
      <c r="X262" t="s">
        <v>37</v>
      </c>
      <c r="Y262">
        <v>0.161</v>
      </c>
      <c r="Z262">
        <v>5.6840000000000002</v>
      </c>
      <c r="AA262">
        <v>6.3159999999999998</v>
      </c>
      <c r="AB262" t="str">
        <f t="shared" si="4"/>
        <v>0.15 [5.68, 6.32]</v>
      </c>
    </row>
    <row r="263" spans="1:28" x14ac:dyDescent="0.35">
      <c r="A263">
        <v>407</v>
      </c>
      <c r="B263">
        <v>47</v>
      </c>
      <c r="C263" t="s">
        <v>208</v>
      </c>
      <c r="D263" t="s">
        <v>45</v>
      </c>
      <c r="E263" t="s">
        <v>210</v>
      </c>
      <c r="F263" t="s">
        <v>203</v>
      </c>
      <c r="G263" t="s">
        <v>204</v>
      </c>
      <c r="H263">
        <v>48</v>
      </c>
      <c r="I263">
        <v>4</v>
      </c>
      <c r="J263">
        <v>0.75</v>
      </c>
      <c r="P263">
        <v>33</v>
      </c>
      <c r="Q263">
        <v>8.31</v>
      </c>
      <c r="R263">
        <v>48</v>
      </c>
      <c r="S263">
        <v>0</v>
      </c>
      <c r="T263">
        <v>38</v>
      </c>
      <c r="U263">
        <v>10</v>
      </c>
      <c r="V263">
        <v>24</v>
      </c>
      <c r="W263">
        <v>2</v>
      </c>
      <c r="X263" t="s">
        <v>37</v>
      </c>
      <c r="Y263">
        <v>0.108</v>
      </c>
      <c r="Z263">
        <v>3.7879999999999998</v>
      </c>
      <c r="AA263">
        <v>4.2119999999999997</v>
      </c>
      <c r="AB263" t="str">
        <f t="shared" si="4"/>
        <v>0.09 [3.79, 4.21]</v>
      </c>
    </row>
    <row r="264" spans="1:28" x14ac:dyDescent="0.35">
      <c r="A264">
        <v>408</v>
      </c>
      <c r="B264">
        <v>51</v>
      </c>
      <c r="C264" t="s">
        <v>66</v>
      </c>
      <c r="D264" t="s">
        <v>35</v>
      </c>
      <c r="E264" t="s">
        <v>67</v>
      </c>
      <c r="F264" t="s">
        <v>203</v>
      </c>
      <c r="G264" t="s">
        <v>204</v>
      </c>
      <c r="H264">
        <v>32</v>
      </c>
      <c r="I264">
        <v>4</v>
      </c>
      <c r="J264">
        <v>0.91</v>
      </c>
      <c r="P264">
        <v>29.8</v>
      </c>
      <c r="Q264">
        <v>7.9</v>
      </c>
      <c r="R264">
        <v>32</v>
      </c>
      <c r="S264">
        <v>0</v>
      </c>
      <c r="T264">
        <v>17</v>
      </c>
      <c r="U264">
        <v>15</v>
      </c>
      <c r="V264">
        <v>69.599999999999994</v>
      </c>
      <c r="W264">
        <v>5.8</v>
      </c>
      <c r="X264" t="s">
        <v>31</v>
      </c>
      <c r="Y264">
        <v>0.161</v>
      </c>
      <c r="Z264">
        <v>3.6840000000000002</v>
      </c>
      <c r="AA264">
        <v>4.3159999999999998</v>
      </c>
      <c r="AB264" t="str">
        <f t="shared" si="4"/>
        <v>0.14 [3.68, 4.32]</v>
      </c>
    </row>
    <row r="265" spans="1:28" x14ac:dyDescent="0.35">
      <c r="A265">
        <v>409</v>
      </c>
      <c r="B265">
        <v>51</v>
      </c>
      <c r="C265" t="s">
        <v>66</v>
      </c>
      <c r="D265" t="s">
        <v>45</v>
      </c>
      <c r="E265" t="s">
        <v>68</v>
      </c>
      <c r="F265" t="s">
        <v>203</v>
      </c>
      <c r="G265" t="s">
        <v>204</v>
      </c>
      <c r="H265">
        <v>32</v>
      </c>
      <c r="I265">
        <v>9</v>
      </c>
      <c r="J265">
        <v>2.34</v>
      </c>
      <c r="P265">
        <v>30.5</v>
      </c>
      <c r="Q265">
        <v>6.1</v>
      </c>
      <c r="R265">
        <v>32</v>
      </c>
      <c r="S265">
        <v>0</v>
      </c>
      <c r="T265">
        <v>15</v>
      </c>
      <c r="U265">
        <v>17</v>
      </c>
      <c r="V265">
        <v>73.2</v>
      </c>
      <c r="W265">
        <v>6.1</v>
      </c>
      <c r="X265" t="s">
        <v>31</v>
      </c>
      <c r="Y265">
        <v>0.41399999999999998</v>
      </c>
      <c r="Z265">
        <v>8.1890000000000001</v>
      </c>
      <c r="AA265">
        <v>9.8109999999999999</v>
      </c>
      <c r="AB265" t="str">
        <f t="shared" si="4"/>
        <v>0.29 [8.19, 9.81]</v>
      </c>
    </row>
    <row r="266" spans="1:28" x14ac:dyDescent="0.35">
      <c r="A266">
        <v>410</v>
      </c>
      <c r="B266">
        <v>53</v>
      </c>
      <c r="C266" t="s">
        <v>69</v>
      </c>
      <c r="D266" t="s">
        <v>35</v>
      </c>
      <c r="E266" t="s">
        <v>70</v>
      </c>
      <c r="F266" t="s">
        <v>203</v>
      </c>
      <c r="G266" t="s">
        <v>204</v>
      </c>
      <c r="H266">
        <v>49</v>
      </c>
      <c r="I266">
        <v>11</v>
      </c>
      <c r="J266">
        <v>2.12</v>
      </c>
      <c r="P266">
        <v>27.1</v>
      </c>
      <c r="Q266">
        <v>6.1</v>
      </c>
      <c r="R266">
        <v>49</v>
      </c>
      <c r="S266">
        <v>0</v>
      </c>
      <c r="T266">
        <v>25</v>
      </c>
      <c r="U266">
        <v>24</v>
      </c>
      <c r="V266">
        <v>24</v>
      </c>
      <c r="W266">
        <v>2</v>
      </c>
      <c r="X266" t="s">
        <v>37</v>
      </c>
      <c r="Y266">
        <v>0.30299999999999999</v>
      </c>
      <c r="Z266">
        <v>10.406000000000001</v>
      </c>
      <c r="AA266">
        <v>11.593999999999999</v>
      </c>
      <c r="AB266" t="str">
        <f t="shared" si="4"/>
        <v>0.23 [10.41, 11.59]</v>
      </c>
    </row>
    <row r="267" spans="1:28" x14ac:dyDescent="0.35">
      <c r="A267">
        <v>411</v>
      </c>
      <c r="B267">
        <v>53</v>
      </c>
      <c r="C267" t="s">
        <v>69</v>
      </c>
      <c r="D267" t="s">
        <v>32</v>
      </c>
      <c r="E267" t="s">
        <v>71</v>
      </c>
      <c r="F267" t="s">
        <v>203</v>
      </c>
      <c r="G267" t="s">
        <v>204</v>
      </c>
      <c r="H267">
        <v>47</v>
      </c>
      <c r="I267">
        <v>8</v>
      </c>
      <c r="J267">
        <v>1.49</v>
      </c>
      <c r="P267">
        <v>27.2</v>
      </c>
      <c r="Q267">
        <v>6.2</v>
      </c>
      <c r="R267">
        <v>50</v>
      </c>
      <c r="S267">
        <v>3</v>
      </c>
      <c r="T267">
        <v>29</v>
      </c>
      <c r="U267">
        <v>21</v>
      </c>
      <c r="V267">
        <v>24</v>
      </c>
      <c r="W267">
        <v>2</v>
      </c>
      <c r="X267" t="s">
        <v>37</v>
      </c>
      <c r="Y267">
        <v>0.217</v>
      </c>
      <c r="Z267">
        <v>7.5750000000000002</v>
      </c>
      <c r="AA267">
        <v>8.4250000000000007</v>
      </c>
      <c r="AB267" t="str">
        <f t="shared" si="4"/>
        <v>0.18 [7.58, 8.43]</v>
      </c>
    </row>
    <row r="268" spans="1:28" x14ac:dyDescent="0.35">
      <c r="A268">
        <v>412</v>
      </c>
      <c r="B268">
        <v>54</v>
      </c>
      <c r="C268" t="s">
        <v>72</v>
      </c>
      <c r="D268" t="s">
        <v>27</v>
      </c>
      <c r="E268" t="s">
        <v>73</v>
      </c>
      <c r="F268" t="s">
        <v>203</v>
      </c>
      <c r="G268" t="s">
        <v>204</v>
      </c>
      <c r="H268">
        <v>19</v>
      </c>
      <c r="I268">
        <v>7</v>
      </c>
      <c r="J268">
        <v>2.72</v>
      </c>
      <c r="P268">
        <v>52.8</v>
      </c>
      <c r="Q268">
        <v>7.3</v>
      </c>
      <c r="V268">
        <v>240</v>
      </c>
      <c r="W268">
        <v>20</v>
      </c>
      <c r="X268" t="s">
        <v>31</v>
      </c>
      <c r="Y268">
        <v>0.624</v>
      </c>
      <c r="Z268">
        <v>5.7770000000000001</v>
      </c>
      <c r="AA268">
        <v>8.2230000000000008</v>
      </c>
      <c r="AB268" t="str">
        <f t="shared" si="4"/>
        <v>0.38 [5.78, 8.22]</v>
      </c>
    </row>
    <row r="269" spans="1:28" x14ac:dyDescent="0.35">
      <c r="A269">
        <v>413</v>
      </c>
      <c r="B269">
        <v>54</v>
      </c>
      <c r="C269" t="s">
        <v>72</v>
      </c>
      <c r="D269" t="s">
        <v>35</v>
      </c>
      <c r="E269" t="s">
        <v>74</v>
      </c>
      <c r="F269" t="s">
        <v>203</v>
      </c>
      <c r="G269" t="s">
        <v>204</v>
      </c>
      <c r="H269">
        <v>20</v>
      </c>
      <c r="I269">
        <v>5</v>
      </c>
      <c r="J269">
        <v>1.64</v>
      </c>
      <c r="P269">
        <v>54.5</v>
      </c>
      <c r="Q269">
        <v>7.5</v>
      </c>
      <c r="V269">
        <v>240</v>
      </c>
      <c r="W269">
        <v>20</v>
      </c>
      <c r="X269" t="s">
        <v>31</v>
      </c>
      <c r="Y269">
        <v>0.36699999999999999</v>
      </c>
      <c r="Z269">
        <v>4.2809999999999997</v>
      </c>
      <c r="AA269">
        <v>5.7190000000000003</v>
      </c>
      <c r="AB269" t="str">
        <f t="shared" si="4"/>
        <v>0.27 [4.28, 5.72]</v>
      </c>
    </row>
    <row r="270" spans="1:28" x14ac:dyDescent="0.35">
      <c r="A270">
        <v>414</v>
      </c>
      <c r="B270">
        <v>56</v>
      </c>
      <c r="C270" t="s">
        <v>78</v>
      </c>
      <c r="D270" t="s">
        <v>27</v>
      </c>
      <c r="E270" t="s">
        <v>79</v>
      </c>
      <c r="F270" t="s">
        <v>203</v>
      </c>
      <c r="G270" t="s">
        <v>204</v>
      </c>
      <c r="H270">
        <v>18</v>
      </c>
      <c r="I270">
        <v>3</v>
      </c>
      <c r="J270">
        <v>0.99</v>
      </c>
      <c r="P270">
        <v>31</v>
      </c>
      <c r="Q270">
        <v>8</v>
      </c>
      <c r="R270">
        <v>18</v>
      </c>
      <c r="S270">
        <v>0</v>
      </c>
      <c r="T270">
        <v>15</v>
      </c>
      <c r="U270">
        <v>3</v>
      </c>
      <c r="V270">
        <v>24</v>
      </c>
      <c r="W270">
        <v>2</v>
      </c>
      <c r="X270" t="s">
        <v>37</v>
      </c>
      <c r="Y270">
        <v>0.23300000000000001</v>
      </c>
      <c r="Z270">
        <v>2.5430000000000001</v>
      </c>
      <c r="AA270">
        <v>3.4569999999999999</v>
      </c>
      <c r="AB270" t="str">
        <f t="shared" si="4"/>
        <v>0.19 [2.54, 3.46]</v>
      </c>
    </row>
    <row r="271" spans="1:28" x14ac:dyDescent="0.35">
      <c r="A271">
        <v>415</v>
      </c>
      <c r="B271">
        <v>56</v>
      </c>
      <c r="C271" t="s">
        <v>78</v>
      </c>
      <c r="D271" t="s">
        <v>32</v>
      </c>
      <c r="E271" t="s">
        <v>80</v>
      </c>
      <c r="F271" t="s">
        <v>203</v>
      </c>
      <c r="G271" t="s">
        <v>204</v>
      </c>
      <c r="H271">
        <v>21</v>
      </c>
      <c r="I271">
        <v>8</v>
      </c>
      <c r="J271">
        <v>3</v>
      </c>
      <c r="P271">
        <v>30</v>
      </c>
      <c r="Q271">
        <v>9</v>
      </c>
      <c r="R271">
        <v>21</v>
      </c>
      <c r="S271">
        <v>0</v>
      </c>
      <c r="T271">
        <v>17</v>
      </c>
      <c r="U271">
        <v>4</v>
      </c>
      <c r="V271">
        <v>24</v>
      </c>
      <c r="W271">
        <v>2</v>
      </c>
      <c r="X271" t="s">
        <v>37</v>
      </c>
      <c r="Y271">
        <v>0.65500000000000003</v>
      </c>
      <c r="Z271">
        <v>6.7160000000000002</v>
      </c>
      <c r="AA271">
        <v>9.2840000000000007</v>
      </c>
      <c r="AB271" t="str">
        <f t="shared" si="4"/>
        <v>0.40 [6.72, 9.28]</v>
      </c>
    </row>
    <row r="272" spans="1:28" x14ac:dyDescent="0.35">
      <c r="A272">
        <v>416</v>
      </c>
      <c r="B272">
        <v>58</v>
      </c>
      <c r="C272" t="s">
        <v>81</v>
      </c>
      <c r="D272" t="s">
        <v>35</v>
      </c>
      <c r="E272" t="s">
        <v>82</v>
      </c>
      <c r="F272" t="s">
        <v>203</v>
      </c>
      <c r="G272" t="s">
        <v>204</v>
      </c>
      <c r="H272">
        <v>25</v>
      </c>
      <c r="I272">
        <v>4</v>
      </c>
      <c r="J272">
        <v>1.07</v>
      </c>
      <c r="P272">
        <v>28.12</v>
      </c>
      <c r="Q272">
        <v>5.21</v>
      </c>
      <c r="R272">
        <v>25</v>
      </c>
      <c r="S272">
        <v>0</v>
      </c>
      <c r="T272">
        <v>18</v>
      </c>
      <c r="U272">
        <v>7</v>
      </c>
      <c r="V272">
        <v>6</v>
      </c>
      <c r="W272">
        <v>0.5</v>
      </c>
      <c r="X272" t="s">
        <v>61</v>
      </c>
      <c r="Y272">
        <v>0.214</v>
      </c>
      <c r="Z272">
        <v>3.581</v>
      </c>
      <c r="AA272">
        <v>4.4189999999999996</v>
      </c>
      <c r="AB272" t="str">
        <f t="shared" si="4"/>
        <v>0.18 [3.58, 4.42]</v>
      </c>
    </row>
    <row r="273" spans="1:28" x14ac:dyDescent="0.35">
      <c r="A273">
        <v>417</v>
      </c>
      <c r="B273">
        <v>58</v>
      </c>
      <c r="C273" t="s">
        <v>81</v>
      </c>
      <c r="D273" t="s">
        <v>38</v>
      </c>
      <c r="E273" t="s">
        <v>83</v>
      </c>
      <c r="F273" t="s">
        <v>203</v>
      </c>
      <c r="G273" t="s">
        <v>204</v>
      </c>
      <c r="H273">
        <v>25</v>
      </c>
      <c r="I273">
        <v>3</v>
      </c>
      <c r="J273">
        <v>0.8</v>
      </c>
      <c r="P273">
        <v>27.84</v>
      </c>
      <c r="Q273">
        <v>4.92</v>
      </c>
      <c r="R273">
        <v>25</v>
      </c>
      <c r="S273">
        <v>0</v>
      </c>
      <c r="T273">
        <v>17</v>
      </c>
      <c r="U273">
        <v>8</v>
      </c>
      <c r="V273">
        <v>6</v>
      </c>
      <c r="W273">
        <v>0.5</v>
      </c>
      <c r="X273" t="s">
        <v>61</v>
      </c>
      <c r="Y273">
        <v>0.16</v>
      </c>
      <c r="Z273">
        <v>2.6859999999999999</v>
      </c>
      <c r="AA273">
        <v>3.3140000000000001</v>
      </c>
      <c r="AB273" t="str">
        <f t="shared" si="4"/>
        <v>0.14 [2.69, 3.31]</v>
      </c>
    </row>
    <row r="274" spans="1:28" x14ac:dyDescent="0.35">
      <c r="A274">
        <v>420</v>
      </c>
      <c r="B274">
        <v>70</v>
      </c>
      <c r="C274" t="s">
        <v>145</v>
      </c>
      <c r="D274" t="s">
        <v>35</v>
      </c>
      <c r="E274" t="s">
        <v>146</v>
      </c>
      <c r="F274" t="s">
        <v>203</v>
      </c>
      <c r="G274" t="s">
        <v>204</v>
      </c>
      <c r="H274">
        <v>33</v>
      </c>
      <c r="I274">
        <v>6</v>
      </c>
      <c r="J274">
        <v>1.38</v>
      </c>
      <c r="P274">
        <v>25.81</v>
      </c>
      <c r="Q274">
        <v>7.46</v>
      </c>
      <c r="R274">
        <v>33</v>
      </c>
      <c r="S274">
        <v>0</v>
      </c>
      <c r="T274">
        <v>30</v>
      </c>
      <c r="U274">
        <v>3</v>
      </c>
      <c r="V274">
        <v>28.1</v>
      </c>
      <c r="W274">
        <v>2.2999999999999998</v>
      </c>
      <c r="X274" t="s">
        <v>37</v>
      </c>
      <c r="Y274">
        <v>0.24</v>
      </c>
      <c r="Z274">
        <v>5.53</v>
      </c>
      <c r="AA274">
        <v>6.47</v>
      </c>
      <c r="AB274" t="str">
        <f t="shared" si="4"/>
        <v>0.19 [5.53, 6.47]</v>
      </c>
    </row>
    <row r="275" spans="1:28" x14ac:dyDescent="0.35">
      <c r="A275">
        <v>421</v>
      </c>
      <c r="B275">
        <v>70</v>
      </c>
      <c r="C275" t="s">
        <v>145</v>
      </c>
      <c r="D275" t="s">
        <v>147</v>
      </c>
      <c r="E275" t="s">
        <v>148</v>
      </c>
      <c r="F275" t="s">
        <v>203</v>
      </c>
      <c r="G275" t="s">
        <v>204</v>
      </c>
      <c r="H275">
        <v>32</v>
      </c>
      <c r="I275">
        <v>11</v>
      </c>
      <c r="J275">
        <v>1.41</v>
      </c>
      <c r="P275">
        <v>25.55</v>
      </c>
      <c r="Q275">
        <v>8.4700000000000006</v>
      </c>
      <c r="R275">
        <v>32</v>
      </c>
      <c r="S275">
        <v>0</v>
      </c>
      <c r="T275">
        <v>26</v>
      </c>
      <c r="U275">
        <v>6</v>
      </c>
      <c r="V275">
        <v>31.6</v>
      </c>
      <c r="W275">
        <v>2.6</v>
      </c>
      <c r="X275" t="s">
        <v>37</v>
      </c>
      <c r="Y275">
        <v>0.249</v>
      </c>
      <c r="Z275">
        <v>10.512</v>
      </c>
      <c r="AA275">
        <v>11.488</v>
      </c>
      <c r="AB275" t="str">
        <f t="shared" si="4"/>
        <v>0.35 [10.51, 11.49]</v>
      </c>
    </row>
    <row r="276" spans="1:28" x14ac:dyDescent="0.35">
      <c r="A276">
        <v>422</v>
      </c>
      <c r="B276">
        <v>76</v>
      </c>
      <c r="C276" t="s">
        <v>197</v>
      </c>
      <c r="D276" t="s">
        <v>27</v>
      </c>
      <c r="E276" t="s">
        <v>198</v>
      </c>
      <c r="F276" t="s">
        <v>203</v>
      </c>
      <c r="G276" t="s">
        <v>204</v>
      </c>
      <c r="H276">
        <v>53</v>
      </c>
      <c r="I276">
        <v>5</v>
      </c>
      <c r="J276">
        <v>0.83</v>
      </c>
      <c r="P276">
        <v>25</v>
      </c>
      <c r="Q276">
        <v>5.49</v>
      </c>
      <c r="R276">
        <v>90</v>
      </c>
      <c r="S276">
        <v>37</v>
      </c>
      <c r="T276">
        <v>48</v>
      </c>
      <c r="U276">
        <v>42</v>
      </c>
      <c r="V276">
        <v>120</v>
      </c>
      <c r="W276">
        <v>10</v>
      </c>
      <c r="X276" t="s">
        <v>31</v>
      </c>
      <c r="Y276">
        <v>0.114</v>
      </c>
      <c r="Z276">
        <v>4.7770000000000001</v>
      </c>
      <c r="AA276">
        <v>5.2229999999999999</v>
      </c>
      <c r="AB276" t="str">
        <f t="shared" si="4"/>
        <v>0.10 [4.78, 5.22]</v>
      </c>
    </row>
    <row r="277" spans="1:28" x14ac:dyDescent="0.35">
      <c r="A277">
        <v>423</v>
      </c>
      <c r="B277">
        <v>76</v>
      </c>
      <c r="C277" t="s">
        <v>197</v>
      </c>
      <c r="D277" t="s">
        <v>35</v>
      </c>
      <c r="E277" t="s">
        <v>199</v>
      </c>
      <c r="F277" t="s">
        <v>203</v>
      </c>
      <c r="G277" t="s">
        <v>204</v>
      </c>
      <c r="H277">
        <v>58</v>
      </c>
      <c r="I277">
        <v>8</v>
      </c>
      <c r="J277">
        <v>1.3</v>
      </c>
      <c r="P277">
        <v>24</v>
      </c>
      <c r="Q277">
        <v>7.92</v>
      </c>
      <c r="R277">
        <v>90</v>
      </c>
      <c r="S277">
        <v>32</v>
      </c>
      <c r="T277">
        <v>47</v>
      </c>
      <c r="U277">
        <v>43</v>
      </c>
      <c r="V277">
        <v>120</v>
      </c>
      <c r="W277">
        <v>10</v>
      </c>
      <c r="X277" t="s">
        <v>31</v>
      </c>
      <c r="Y277">
        <v>0.17100000000000001</v>
      </c>
      <c r="Z277">
        <v>7.665</v>
      </c>
      <c r="AA277">
        <v>8.3350000000000009</v>
      </c>
      <c r="AB277" t="str">
        <f t="shared" si="4"/>
        <v>0.15 [7.67, 8.34]</v>
      </c>
    </row>
    <row r="278" spans="1:28" x14ac:dyDescent="0.35">
      <c r="A278">
        <v>424</v>
      </c>
      <c r="B278">
        <v>77</v>
      </c>
      <c r="C278" t="s">
        <v>149</v>
      </c>
      <c r="D278" t="s">
        <v>27</v>
      </c>
      <c r="E278" t="s">
        <v>150</v>
      </c>
      <c r="F278" t="s">
        <v>203</v>
      </c>
      <c r="G278" t="s">
        <v>204</v>
      </c>
      <c r="H278">
        <v>38</v>
      </c>
      <c r="I278">
        <v>1</v>
      </c>
      <c r="J278">
        <v>0.62</v>
      </c>
      <c r="P278">
        <v>27</v>
      </c>
      <c r="Q278">
        <v>6.82</v>
      </c>
      <c r="R278">
        <v>0</v>
      </c>
      <c r="S278">
        <v>-38</v>
      </c>
      <c r="T278" t="s">
        <v>151</v>
      </c>
      <c r="V278">
        <v>228</v>
      </c>
      <c r="W278">
        <v>19</v>
      </c>
      <c r="X278" t="s">
        <v>31</v>
      </c>
      <c r="Y278">
        <v>0.10100000000000001</v>
      </c>
      <c r="Z278">
        <v>0.80200000000000005</v>
      </c>
      <c r="AA278">
        <v>1.198</v>
      </c>
      <c r="AB278" t="str">
        <f t="shared" si="4"/>
        <v>0.04 [0.80, 1.20]</v>
      </c>
    </row>
    <row r="279" spans="1:28" x14ac:dyDescent="0.35">
      <c r="A279">
        <v>425</v>
      </c>
      <c r="B279">
        <v>77</v>
      </c>
      <c r="C279" t="s">
        <v>149</v>
      </c>
      <c r="D279" t="s">
        <v>35</v>
      </c>
      <c r="E279" t="s">
        <v>152</v>
      </c>
      <c r="F279" t="s">
        <v>203</v>
      </c>
      <c r="G279" t="s">
        <v>204</v>
      </c>
      <c r="H279">
        <v>33</v>
      </c>
      <c r="I279">
        <v>3</v>
      </c>
      <c r="J279">
        <v>0.09</v>
      </c>
      <c r="P279">
        <v>27</v>
      </c>
      <c r="Q279">
        <v>6.3</v>
      </c>
      <c r="V279">
        <v>228</v>
      </c>
      <c r="W279">
        <v>19</v>
      </c>
      <c r="X279" t="s">
        <v>31</v>
      </c>
      <c r="Y279">
        <v>1.6E-2</v>
      </c>
      <c r="Z279">
        <v>2.9689999999999999</v>
      </c>
      <c r="AA279">
        <v>3.0310000000000001</v>
      </c>
      <c r="AB279" t="str">
        <f t="shared" si="4"/>
        <v>0.10 [2.97, 3.03]</v>
      </c>
    </row>
    <row r="280" spans="1:28" x14ac:dyDescent="0.35">
      <c r="A280">
        <v>426</v>
      </c>
      <c r="B280">
        <v>82</v>
      </c>
      <c r="C280" t="s">
        <v>211</v>
      </c>
      <c r="D280" t="s">
        <v>27</v>
      </c>
      <c r="E280" t="s">
        <v>212</v>
      </c>
      <c r="F280" t="s">
        <v>203</v>
      </c>
      <c r="G280" t="s">
        <v>204</v>
      </c>
      <c r="H280">
        <v>24</v>
      </c>
      <c r="I280">
        <v>5</v>
      </c>
      <c r="J280">
        <v>1.77</v>
      </c>
      <c r="P280">
        <v>45.5</v>
      </c>
      <c r="Q280">
        <v>8.6999999999999993</v>
      </c>
      <c r="R280">
        <v>24</v>
      </c>
      <c r="S280">
        <v>0</v>
      </c>
      <c r="T280">
        <v>15</v>
      </c>
      <c r="U280">
        <v>9</v>
      </c>
      <c r="V280">
        <v>204</v>
      </c>
      <c r="W280">
        <v>17</v>
      </c>
      <c r="X280" t="s">
        <v>31</v>
      </c>
      <c r="Y280">
        <v>0.36099999999999999</v>
      </c>
      <c r="Z280">
        <v>4.2919999999999998</v>
      </c>
      <c r="AA280">
        <v>5.7080000000000002</v>
      </c>
      <c r="AB280" t="str">
        <f t="shared" si="4"/>
        <v>0.22 [4.29, 5.71]</v>
      </c>
    </row>
    <row r="281" spans="1:28" x14ac:dyDescent="0.35">
      <c r="A281">
        <v>427</v>
      </c>
      <c r="B281">
        <v>82</v>
      </c>
      <c r="C281" t="s">
        <v>211</v>
      </c>
      <c r="D281" t="s">
        <v>35</v>
      </c>
      <c r="E281" t="s">
        <v>213</v>
      </c>
      <c r="F281" t="s">
        <v>203</v>
      </c>
      <c r="G281" t="s">
        <v>204</v>
      </c>
      <c r="H281">
        <v>24</v>
      </c>
      <c r="I281">
        <v>6</v>
      </c>
      <c r="J281">
        <v>1.42</v>
      </c>
      <c r="P281">
        <v>42.5</v>
      </c>
      <c r="Q281">
        <v>7.5</v>
      </c>
      <c r="R281">
        <v>24</v>
      </c>
      <c r="S281">
        <v>0</v>
      </c>
      <c r="T281">
        <v>13</v>
      </c>
      <c r="U281">
        <v>11</v>
      </c>
      <c r="V281">
        <v>204</v>
      </c>
      <c r="W281">
        <v>17</v>
      </c>
      <c r="X281" t="s">
        <v>31</v>
      </c>
      <c r="Y281">
        <v>0.28999999999999998</v>
      </c>
      <c r="Z281">
        <v>5.4320000000000004</v>
      </c>
      <c r="AA281">
        <v>6.5679999999999996</v>
      </c>
      <c r="AB281" t="str">
        <f t="shared" si="4"/>
        <v>0.27 [5.43, 6.57]</v>
      </c>
    </row>
    <row r="282" spans="1:28" x14ac:dyDescent="0.35">
      <c r="A282">
        <v>430</v>
      </c>
      <c r="B282">
        <v>97</v>
      </c>
      <c r="C282" t="s">
        <v>159</v>
      </c>
      <c r="D282" t="s">
        <v>35</v>
      </c>
      <c r="E282" t="s">
        <v>160</v>
      </c>
      <c r="F282" t="s">
        <v>203</v>
      </c>
      <c r="G282" t="s">
        <v>204</v>
      </c>
      <c r="H282">
        <v>36</v>
      </c>
      <c r="I282">
        <v>5</v>
      </c>
      <c r="J282">
        <v>1.07</v>
      </c>
      <c r="P282">
        <v>30.06</v>
      </c>
      <c r="Q282">
        <v>8.8699999999999992</v>
      </c>
      <c r="R282">
        <v>36</v>
      </c>
      <c r="S282">
        <v>0</v>
      </c>
      <c r="T282">
        <v>32</v>
      </c>
      <c r="U282">
        <v>4</v>
      </c>
      <c r="V282">
        <v>12</v>
      </c>
      <c r="W282">
        <v>1</v>
      </c>
      <c r="X282" t="s">
        <v>61</v>
      </c>
      <c r="Y282">
        <v>0.17799999999999999</v>
      </c>
      <c r="Z282">
        <v>4.6509999999999998</v>
      </c>
      <c r="AA282">
        <v>5.3490000000000002</v>
      </c>
      <c r="AB282" t="str">
        <f t="shared" si="4"/>
        <v>0.15 [4.65, 5.35]</v>
      </c>
    </row>
    <row r="283" spans="1:28" x14ac:dyDescent="0.35">
      <c r="A283">
        <v>431</v>
      </c>
      <c r="B283">
        <v>97</v>
      </c>
      <c r="C283" t="s">
        <v>159</v>
      </c>
      <c r="D283" t="s">
        <v>32</v>
      </c>
      <c r="E283" t="s">
        <v>161</v>
      </c>
      <c r="F283" t="s">
        <v>203</v>
      </c>
      <c r="G283" t="s">
        <v>204</v>
      </c>
      <c r="H283">
        <v>33</v>
      </c>
      <c r="I283">
        <v>0</v>
      </c>
      <c r="J283">
        <v>0.09</v>
      </c>
      <c r="P283">
        <v>28.73</v>
      </c>
      <c r="Q283">
        <v>8.8000000000000007</v>
      </c>
      <c r="R283">
        <v>33</v>
      </c>
      <c r="S283">
        <v>0</v>
      </c>
      <c r="T283">
        <v>30</v>
      </c>
      <c r="U283">
        <v>3</v>
      </c>
      <c r="V283">
        <v>12</v>
      </c>
      <c r="W283">
        <v>1</v>
      </c>
      <c r="X283" t="s">
        <v>61</v>
      </c>
      <c r="Y283">
        <v>1.6E-2</v>
      </c>
      <c r="Z283">
        <v>-3.1E-2</v>
      </c>
      <c r="AA283">
        <v>3.1E-2</v>
      </c>
      <c r="AB283" t="str">
        <f t="shared" si="4"/>
        <v>0.01 [-0.03, 0.03]</v>
      </c>
    </row>
    <row r="284" spans="1:28" x14ac:dyDescent="0.35">
      <c r="A284">
        <v>432</v>
      </c>
      <c r="B284">
        <v>98</v>
      </c>
      <c r="C284" t="s">
        <v>162</v>
      </c>
      <c r="D284" t="s">
        <v>35</v>
      </c>
      <c r="E284" t="s">
        <v>163</v>
      </c>
      <c r="F284" t="s">
        <v>203</v>
      </c>
      <c r="G284" t="s">
        <v>204</v>
      </c>
      <c r="H284">
        <v>68</v>
      </c>
      <c r="I284">
        <v>26</v>
      </c>
      <c r="J284">
        <v>0.31</v>
      </c>
      <c r="P284">
        <v>30</v>
      </c>
      <c r="Q284">
        <v>9.9600000000000009</v>
      </c>
      <c r="R284">
        <v>68</v>
      </c>
      <c r="S284">
        <v>0</v>
      </c>
      <c r="T284">
        <v>61</v>
      </c>
      <c r="U284">
        <v>7</v>
      </c>
      <c r="V284">
        <v>32.799999999999997</v>
      </c>
      <c r="W284">
        <v>2.7</v>
      </c>
      <c r="X284" t="s">
        <v>37</v>
      </c>
      <c r="Y284">
        <v>3.7999999999999999E-2</v>
      </c>
      <c r="Z284">
        <v>25.925999999999998</v>
      </c>
      <c r="AA284">
        <v>26.074000000000002</v>
      </c>
      <c r="AB284" t="str">
        <f t="shared" si="4"/>
        <v>0.39 [25.93, 26.07]</v>
      </c>
    </row>
    <row r="285" spans="1:28" x14ac:dyDescent="0.35">
      <c r="A285">
        <v>433</v>
      </c>
      <c r="B285">
        <v>98</v>
      </c>
      <c r="C285" t="s">
        <v>162</v>
      </c>
      <c r="D285" t="s">
        <v>45</v>
      </c>
      <c r="E285" t="s">
        <v>164</v>
      </c>
      <c r="F285" t="s">
        <v>203</v>
      </c>
      <c r="G285" t="s">
        <v>204</v>
      </c>
      <c r="H285">
        <v>64</v>
      </c>
      <c r="I285">
        <v>33</v>
      </c>
      <c r="J285">
        <v>0.46</v>
      </c>
      <c r="P285">
        <v>24</v>
      </c>
      <c r="Q285">
        <v>8.35</v>
      </c>
      <c r="R285">
        <v>64</v>
      </c>
      <c r="S285">
        <v>0</v>
      </c>
      <c r="T285">
        <v>59</v>
      </c>
      <c r="U285">
        <v>5</v>
      </c>
      <c r="V285">
        <v>34.5</v>
      </c>
      <c r="W285">
        <v>2.9</v>
      </c>
      <c r="X285" t="s">
        <v>37</v>
      </c>
      <c r="Y285">
        <v>5.8000000000000003E-2</v>
      </c>
      <c r="Z285">
        <v>32.886000000000003</v>
      </c>
      <c r="AA285">
        <v>33.113999999999997</v>
      </c>
      <c r="AB285" t="str">
        <f t="shared" si="4"/>
        <v>0.52 [32.89, 33.11]</v>
      </c>
    </row>
    <row r="286" spans="1:28" x14ac:dyDescent="0.35">
      <c r="A286">
        <v>548</v>
      </c>
      <c r="B286">
        <v>2</v>
      </c>
      <c r="C286" t="s">
        <v>175</v>
      </c>
      <c r="D286" t="s">
        <v>27</v>
      </c>
      <c r="E286" t="s">
        <v>176</v>
      </c>
      <c r="F286" t="s">
        <v>214</v>
      </c>
      <c r="G286" t="s">
        <v>204</v>
      </c>
      <c r="H286">
        <v>60</v>
      </c>
      <c r="I286">
        <v>0</v>
      </c>
      <c r="J286">
        <v>7.0000000000000007E-2</v>
      </c>
      <c r="P286">
        <v>25</v>
      </c>
      <c r="Q286">
        <v>4.97</v>
      </c>
      <c r="R286">
        <v>60</v>
      </c>
      <c r="S286">
        <v>0</v>
      </c>
      <c r="T286">
        <v>46</v>
      </c>
      <c r="U286">
        <v>14</v>
      </c>
      <c r="V286">
        <v>24</v>
      </c>
      <c r="W286">
        <v>2</v>
      </c>
      <c r="X286" t="s">
        <v>37</v>
      </c>
      <c r="Y286">
        <v>8.9999999999999993E-3</v>
      </c>
      <c r="Z286">
        <v>-1.7999999999999999E-2</v>
      </c>
      <c r="AA286">
        <v>1.7999999999999999E-2</v>
      </c>
      <c r="AB286" t="str">
        <f t="shared" si="4"/>
        <v>0.01 [-0.02, 0.02]</v>
      </c>
    </row>
    <row r="287" spans="1:28" x14ac:dyDescent="0.35">
      <c r="A287">
        <v>549</v>
      </c>
      <c r="B287">
        <v>2</v>
      </c>
      <c r="C287" t="s">
        <v>175</v>
      </c>
      <c r="D287" t="s">
        <v>35</v>
      </c>
      <c r="E287" t="s">
        <v>178</v>
      </c>
      <c r="F287" t="s">
        <v>214</v>
      </c>
      <c r="G287" t="s">
        <v>204</v>
      </c>
      <c r="H287">
        <v>60</v>
      </c>
      <c r="I287">
        <v>0</v>
      </c>
      <c r="J287">
        <v>7.0000000000000007E-2</v>
      </c>
      <c r="P287">
        <v>25</v>
      </c>
      <c r="Q287">
        <v>5.19</v>
      </c>
      <c r="R287">
        <v>60</v>
      </c>
      <c r="S287">
        <v>0</v>
      </c>
      <c r="T287">
        <v>46</v>
      </c>
      <c r="U287">
        <v>14</v>
      </c>
      <c r="V287">
        <v>24</v>
      </c>
      <c r="W287">
        <v>2</v>
      </c>
      <c r="X287" t="s">
        <v>37</v>
      </c>
      <c r="Y287">
        <v>8.9999999999999993E-3</v>
      </c>
      <c r="Z287">
        <v>-1.7999999999999999E-2</v>
      </c>
      <c r="AA287">
        <v>1.7999999999999999E-2</v>
      </c>
      <c r="AB287" t="str">
        <f t="shared" si="4"/>
        <v>0.01 [-0.02, 0.02]</v>
      </c>
    </row>
    <row r="288" spans="1:28" x14ac:dyDescent="0.35">
      <c r="A288">
        <v>550</v>
      </c>
      <c r="B288">
        <v>5</v>
      </c>
      <c r="C288" t="s">
        <v>179</v>
      </c>
      <c r="D288" t="s">
        <v>27</v>
      </c>
      <c r="E288" t="s">
        <v>180</v>
      </c>
      <c r="F288" t="s">
        <v>214</v>
      </c>
      <c r="G288" t="s">
        <v>204</v>
      </c>
      <c r="H288">
        <v>35</v>
      </c>
      <c r="I288">
        <v>15</v>
      </c>
      <c r="J288">
        <v>1.59</v>
      </c>
      <c r="P288">
        <v>23.6</v>
      </c>
      <c r="Q288">
        <v>7.13</v>
      </c>
      <c r="R288">
        <v>35</v>
      </c>
      <c r="S288">
        <v>0</v>
      </c>
      <c r="T288">
        <v>23</v>
      </c>
      <c r="U288">
        <v>12</v>
      </c>
      <c r="V288">
        <v>34.6</v>
      </c>
      <c r="W288">
        <v>2.9</v>
      </c>
      <c r="X288" t="s">
        <v>37</v>
      </c>
      <c r="Y288">
        <v>0.26900000000000002</v>
      </c>
      <c r="Z288">
        <v>14.473000000000001</v>
      </c>
      <c r="AA288">
        <v>15.526999999999999</v>
      </c>
      <c r="AB288" t="str">
        <f t="shared" si="4"/>
        <v>0.44 [14.47, 15.53]</v>
      </c>
    </row>
    <row r="289" spans="1:28" x14ac:dyDescent="0.35">
      <c r="A289">
        <v>551</v>
      </c>
      <c r="B289">
        <v>5</v>
      </c>
      <c r="C289" t="s">
        <v>179</v>
      </c>
      <c r="D289" t="s">
        <v>35</v>
      </c>
      <c r="E289" t="s">
        <v>181</v>
      </c>
      <c r="F289" t="s">
        <v>214</v>
      </c>
      <c r="G289" t="s">
        <v>204</v>
      </c>
      <c r="H289">
        <v>33</v>
      </c>
      <c r="I289">
        <v>27</v>
      </c>
      <c r="J289">
        <v>1.95</v>
      </c>
      <c r="P289">
        <v>21.02</v>
      </c>
      <c r="Q289">
        <v>5.81</v>
      </c>
      <c r="R289">
        <v>68</v>
      </c>
      <c r="S289">
        <v>35</v>
      </c>
      <c r="T289">
        <v>45</v>
      </c>
      <c r="U289">
        <v>23</v>
      </c>
      <c r="V289">
        <v>35.799999999999997</v>
      </c>
      <c r="W289">
        <v>3</v>
      </c>
      <c r="X289" t="s">
        <v>37</v>
      </c>
      <c r="Y289">
        <v>0.33900000000000002</v>
      </c>
      <c r="Z289">
        <v>26.335999999999999</v>
      </c>
      <c r="AA289">
        <v>27.664000000000001</v>
      </c>
      <c r="AB289" t="str">
        <f t="shared" si="4"/>
        <v>0.82 [26.34, 27.66]</v>
      </c>
    </row>
    <row r="290" spans="1:28" x14ac:dyDescent="0.35">
      <c r="A290">
        <v>554</v>
      </c>
      <c r="B290">
        <v>11</v>
      </c>
      <c r="C290" t="s">
        <v>205</v>
      </c>
      <c r="D290" t="s">
        <v>27</v>
      </c>
      <c r="E290" t="s">
        <v>206</v>
      </c>
      <c r="F290" t="s">
        <v>214</v>
      </c>
      <c r="G290" t="s">
        <v>204</v>
      </c>
      <c r="H290">
        <v>22</v>
      </c>
      <c r="I290">
        <v>6</v>
      </c>
      <c r="J290">
        <v>0.11</v>
      </c>
      <c r="P290">
        <v>28.5</v>
      </c>
      <c r="Q290">
        <v>6.96</v>
      </c>
      <c r="R290">
        <v>28</v>
      </c>
      <c r="S290">
        <v>6</v>
      </c>
      <c r="T290">
        <v>18</v>
      </c>
      <c r="U290">
        <v>10</v>
      </c>
      <c r="V290">
        <v>36</v>
      </c>
      <c r="W290">
        <v>3</v>
      </c>
      <c r="X290" t="s">
        <v>37</v>
      </c>
      <c r="Y290">
        <v>2.3E-2</v>
      </c>
      <c r="Z290">
        <v>5.9550000000000001</v>
      </c>
      <c r="AA290">
        <v>6.0449999999999999</v>
      </c>
      <c r="AB290" t="str">
        <f t="shared" si="4"/>
        <v>0.29 [5.96, 6.05]</v>
      </c>
    </row>
    <row r="291" spans="1:28" x14ac:dyDescent="0.35">
      <c r="A291">
        <v>555</v>
      </c>
      <c r="B291">
        <v>11</v>
      </c>
      <c r="C291" t="s">
        <v>205</v>
      </c>
      <c r="D291" t="s">
        <v>35</v>
      </c>
      <c r="E291" t="s">
        <v>207</v>
      </c>
      <c r="F291" t="s">
        <v>214</v>
      </c>
      <c r="G291" t="s">
        <v>204</v>
      </c>
      <c r="H291">
        <v>22</v>
      </c>
      <c r="I291">
        <v>1</v>
      </c>
      <c r="J291">
        <v>1.91</v>
      </c>
      <c r="P291">
        <v>29.9</v>
      </c>
      <c r="Q291">
        <v>5.72</v>
      </c>
      <c r="R291">
        <v>28</v>
      </c>
      <c r="S291">
        <v>6</v>
      </c>
      <c r="T291">
        <v>13</v>
      </c>
      <c r="U291">
        <v>15</v>
      </c>
      <c r="V291">
        <v>36</v>
      </c>
      <c r="W291">
        <v>3</v>
      </c>
      <c r="X291" t="s">
        <v>37</v>
      </c>
      <c r="Y291">
        <v>0.40699999999999997</v>
      </c>
      <c r="Z291">
        <v>0.20200000000000001</v>
      </c>
      <c r="AA291">
        <v>1.798</v>
      </c>
      <c r="AB291" t="str">
        <f t="shared" si="4"/>
        <v>0.07 [0.20, 1.80]</v>
      </c>
    </row>
    <row r="292" spans="1:28" x14ac:dyDescent="0.35">
      <c r="A292">
        <v>556</v>
      </c>
      <c r="B292">
        <v>12</v>
      </c>
      <c r="C292" t="s">
        <v>34</v>
      </c>
      <c r="D292" t="s">
        <v>35</v>
      </c>
      <c r="E292" t="s">
        <v>36</v>
      </c>
      <c r="F292" t="s">
        <v>214</v>
      </c>
      <c r="G292" t="s">
        <v>204</v>
      </c>
      <c r="H292">
        <v>62</v>
      </c>
      <c r="I292">
        <v>1</v>
      </c>
      <c r="J292">
        <v>0.06</v>
      </c>
      <c r="P292">
        <v>27.9</v>
      </c>
      <c r="Q292">
        <v>6.7</v>
      </c>
      <c r="R292">
        <v>62</v>
      </c>
      <c r="S292">
        <v>0</v>
      </c>
      <c r="T292">
        <v>31</v>
      </c>
      <c r="U292">
        <v>31</v>
      </c>
      <c r="V292">
        <v>30.3</v>
      </c>
      <c r="W292">
        <v>2.5</v>
      </c>
      <c r="X292" t="s">
        <v>37</v>
      </c>
      <c r="Y292">
        <v>8.0000000000000002E-3</v>
      </c>
      <c r="Z292">
        <v>0.98399999999999999</v>
      </c>
      <c r="AA292">
        <v>1.016</v>
      </c>
      <c r="AB292" t="str">
        <f t="shared" si="4"/>
        <v>0.02 [0.98, 1.02]</v>
      </c>
    </row>
    <row r="293" spans="1:28" x14ac:dyDescent="0.35">
      <c r="A293">
        <v>557</v>
      </c>
      <c r="B293">
        <v>12</v>
      </c>
      <c r="C293" t="s">
        <v>34</v>
      </c>
      <c r="D293" t="s">
        <v>38</v>
      </c>
      <c r="E293" t="s">
        <v>39</v>
      </c>
      <c r="F293" t="s">
        <v>214</v>
      </c>
      <c r="G293" t="s">
        <v>204</v>
      </c>
      <c r="H293">
        <v>62</v>
      </c>
      <c r="I293">
        <v>0</v>
      </c>
      <c r="J293">
        <v>0.06</v>
      </c>
      <c r="P293">
        <v>29.1</v>
      </c>
      <c r="Q293">
        <v>6.5</v>
      </c>
      <c r="R293">
        <v>62</v>
      </c>
      <c r="S293">
        <v>0</v>
      </c>
      <c r="T293">
        <v>34</v>
      </c>
      <c r="U293">
        <v>28</v>
      </c>
      <c r="V293">
        <v>29.7</v>
      </c>
      <c r="W293">
        <v>2.5</v>
      </c>
      <c r="X293" t="s">
        <v>37</v>
      </c>
      <c r="Y293">
        <v>8.0000000000000002E-3</v>
      </c>
      <c r="Z293">
        <v>-1.6E-2</v>
      </c>
      <c r="AA293">
        <v>1.6E-2</v>
      </c>
      <c r="AB293" t="str">
        <f t="shared" si="4"/>
        <v>0.01 [-0.02, 0.02]</v>
      </c>
    </row>
    <row r="294" spans="1:28" x14ac:dyDescent="0.35">
      <c r="A294">
        <v>558</v>
      </c>
      <c r="B294">
        <v>13</v>
      </c>
      <c r="C294" t="s">
        <v>40</v>
      </c>
      <c r="D294" t="s">
        <v>27</v>
      </c>
      <c r="E294" t="s">
        <v>41</v>
      </c>
      <c r="F294" t="s">
        <v>214</v>
      </c>
      <c r="G294" t="s">
        <v>204</v>
      </c>
      <c r="H294">
        <v>61</v>
      </c>
      <c r="I294">
        <v>12</v>
      </c>
      <c r="J294">
        <v>1.99</v>
      </c>
      <c r="P294">
        <v>28.2</v>
      </c>
      <c r="Q294">
        <v>9.1</v>
      </c>
      <c r="R294">
        <v>61</v>
      </c>
      <c r="S294">
        <v>0</v>
      </c>
      <c r="T294">
        <v>42</v>
      </c>
      <c r="U294">
        <v>19</v>
      </c>
      <c r="V294">
        <v>202.6</v>
      </c>
      <c r="W294">
        <v>16.899999999999999</v>
      </c>
      <c r="X294" t="s">
        <v>31</v>
      </c>
      <c r="Y294">
        <v>0.255</v>
      </c>
      <c r="Z294">
        <v>11.5</v>
      </c>
      <c r="AA294">
        <v>12.5</v>
      </c>
      <c r="AB294" t="str">
        <f t="shared" si="4"/>
        <v>0.20 [11.50, 12.50]</v>
      </c>
    </row>
    <row r="295" spans="1:28" x14ac:dyDescent="0.35">
      <c r="A295">
        <v>559</v>
      </c>
      <c r="B295">
        <v>13</v>
      </c>
      <c r="C295" t="s">
        <v>40</v>
      </c>
      <c r="D295" t="s">
        <v>35</v>
      </c>
      <c r="E295" t="s">
        <v>42</v>
      </c>
      <c r="F295" t="s">
        <v>214</v>
      </c>
      <c r="G295" t="s">
        <v>204</v>
      </c>
      <c r="H295">
        <v>86</v>
      </c>
      <c r="I295">
        <v>13</v>
      </c>
      <c r="J295">
        <v>1.72</v>
      </c>
      <c r="P295">
        <v>26.8</v>
      </c>
      <c r="Q295">
        <v>7.6</v>
      </c>
      <c r="R295">
        <v>86</v>
      </c>
      <c r="S295">
        <v>0</v>
      </c>
      <c r="T295">
        <v>53</v>
      </c>
      <c r="U295">
        <v>33</v>
      </c>
      <c r="V295">
        <v>191.9</v>
      </c>
      <c r="W295">
        <v>16</v>
      </c>
      <c r="X295" t="s">
        <v>31</v>
      </c>
      <c r="Y295">
        <v>0.185</v>
      </c>
      <c r="Z295">
        <v>12.637</v>
      </c>
      <c r="AA295">
        <v>13.363</v>
      </c>
      <c r="AB295" t="str">
        <f t="shared" si="4"/>
        <v>0.16 [12.64, 13.36]</v>
      </c>
    </row>
    <row r="296" spans="1:28" x14ac:dyDescent="0.35">
      <c r="A296">
        <v>562</v>
      </c>
      <c r="B296">
        <v>25</v>
      </c>
      <c r="C296" t="s">
        <v>185</v>
      </c>
      <c r="D296" t="s">
        <v>27</v>
      </c>
      <c r="E296" t="s">
        <v>186</v>
      </c>
      <c r="F296" t="s">
        <v>214</v>
      </c>
      <c r="G296" t="s">
        <v>204</v>
      </c>
      <c r="H296">
        <v>42</v>
      </c>
      <c r="I296">
        <v>0</v>
      </c>
      <c r="J296">
        <v>0.41</v>
      </c>
      <c r="P296">
        <v>27</v>
      </c>
      <c r="Q296">
        <v>6</v>
      </c>
      <c r="V296">
        <v>6.7</v>
      </c>
      <c r="W296">
        <v>0.6</v>
      </c>
      <c r="X296" t="s">
        <v>61</v>
      </c>
      <c r="Y296">
        <v>6.3E-2</v>
      </c>
      <c r="Z296">
        <v>-0.123</v>
      </c>
      <c r="AA296">
        <v>0.123</v>
      </c>
      <c r="AB296" t="str">
        <f t="shared" si="4"/>
        <v>0.01 [-0.12, 0.12]</v>
      </c>
    </row>
    <row r="297" spans="1:28" x14ac:dyDescent="0.35">
      <c r="A297">
        <v>563</v>
      </c>
      <c r="B297">
        <v>25</v>
      </c>
      <c r="C297" t="s">
        <v>185</v>
      </c>
      <c r="D297" t="s">
        <v>35</v>
      </c>
      <c r="E297" t="s">
        <v>187</v>
      </c>
      <c r="F297" t="s">
        <v>214</v>
      </c>
      <c r="G297" t="s">
        <v>204</v>
      </c>
      <c r="H297">
        <v>47</v>
      </c>
      <c r="I297">
        <v>0</v>
      </c>
      <c r="J297">
        <v>1.71</v>
      </c>
      <c r="P297">
        <v>27</v>
      </c>
      <c r="Q297">
        <v>6</v>
      </c>
      <c r="V297">
        <v>6.7</v>
      </c>
      <c r="W297">
        <v>0.6</v>
      </c>
      <c r="X297" t="s">
        <v>61</v>
      </c>
      <c r="Y297">
        <v>0.249</v>
      </c>
      <c r="Z297">
        <v>-0.48799999999999999</v>
      </c>
      <c r="AA297">
        <v>0.48799999999999999</v>
      </c>
      <c r="AB297" t="str">
        <f t="shared" si="4"/>
        <v>0.01 [-0.49, 0.49]</v>
      </c>
    </row>
    <row r="298" spans="1:28" x14ac:dyDescent="0.35">
      <c r="A298">
        <v>564</v>
      </c>
      <c r="B298">
        <v>26</v>
      </c>
      <c r="C298" t="s">
        <v>188</v>
      </c>
      <c r="D298" t="s">
        <v>27</v>
      </c>
      <c r="E298" t="s">
        <v>189</v>
      </c>
      <c r="F298" t="s">
        <v>214</v>
      </c>
      <c r="G298" t="s">
        <v>204</v>
      </c>
      <c r="H298">
        <v>27</v>
      </c>
      <c r="I298">
        <v>0</v>
      </c>
      <c r="J298">
        <v>0.1</v>
      </c>
      <c r="P298">
        <v>25.8</v>
      </c>
      <c r="Q298">
        <v>6</v>
      </c>
      <c r="R298">
        <v>31</v>
      </c>
      <c r="S298">
        <v>4</v>
      </c>
      <c r="T298">
        <v>23</v>
      </c>
      <c r="U298">
        <v>8</v>
      </c>
      <c r="V298">
        <v>36</v>
      </c>
      <c r="W298">
        <v>3</v>
      </c>
      <c r="X298" t="s">
        <v>37</v>
      </c>
      <c r="Y298">
        <v>1.9E-2</v>
      </c>
      <c r="Z298">
        <v>-3.6999999999999998E-2</v>
      </c>
      <c r="AA298">
        <v>3.6999999999999998E-2</v>
      </c>
      <c r="AB298" t="str">
        <f t="shared" si="4"/>
        <v>0.02 [-0.04, 0.04]</v>
      </c>
    </row>
    <row r="299" spans="1:28" x14ac:dyDescent="0.35">
      <c r="A299">
        <v>565</v>
      </c>
      <c r="B299">
        <v>26</v>
      </c>
      <c r="C299" t="s">
        <v>188</v>
      </c>
      <c r="D299" t="s">
        <v>35</v>
      </c>
      <c r="E299" t="s">
        <v>190</v>
      </c>
      <c r="F299" t="s">
        <v>214</v>
      </c>
      <c r="G299" t="s">
        <v>204</v>
      </c>
      <c r="H299">
        <v>21</v>
      </c>
      <c r="I299">
        <v>0</v>
      </c>
      <c r="J299">
        <v>1.58</v>
      </c>
      <c r="P299">
        <v>26.3</v>
      </c>
      <c r="Q299">
        <v>6</v>
      </c>
      <c r="R299">
        <v>34</v>
      </c>
      <c r="S299">
        <v>13</v>
      </c>
      <c r="T299">
        <v>24</v>
      </c>
      <c r="U299">
        <v>10</v>
      </c>
      <c r="V299">
        <v>36</v>
      </c>
      <c r="W299">
        <v>3</v>
      </c>
      <c r="X299" t="s">
        <v>37</v>
      </c>
      <c r="Y299">
        <v>0.34499999999999997</v>
      </c>
      <c r="Z299">
        <v>-0.67600000000000005</v>
      </c>
      <c r="AA299">
        <v>0.67600000000000005</v>
      </c>
      <c r="AB299" t="str">
        <f t="shared" si="4"/>
        <v>0.02 [-0.68, 0.68]</v>
      </c>
    </row>
    <row r="300" spans="1:28" x14ac:dyDescent="0.35">
      <c r="A300">
        <v>566</v>
      </c>
      <c r="B300">
        <v>32</v>
      </c>
      <c r="C300" t="s">
        <v>53</v>
      </c>
      <c r="D300" t="s">
        <v>27</v>
      </c>
      <c r="E300" t="s">
        <v>54</v>
      </c>
      <c r="F300" t="s">
        <v>214</v>
      </c>
      <c r="G300" t="s">
        <v>204</v>
      </c>
      <c r="H300">
        <v>31</v>
      </c>
      <c r="I300">
        <v>2</v>
      </c>
      <c r="J300">
        <v>0.48</v>
      </c>
      <c r="P300">
        <v>25.2</v>
      </c>
      <c r="Q300">
        <v>5.48</v>
      </c>
      <c r="R300">
        <v>31</v>
      </c>
      <c r="S300">
        <v>0</v>
      </c>
      <c r="T300">
        <v>23</v>
      </c>
      <c r="U300">
        <v>8</v>
      </c>
      <c r="V300">
        <v>24</v>
      </c>
      <c r="W300">
        <v>2</v>
      </c>
      <c r="X300" t="s">
        <v>37</v>
      </c>
      <c r="Y300">
        <v>8.5999999999999993E-2</v>
      </c>
      <c r="Z300">
        <v>1.831</v>
      </c>
      <c r="AA300">
        <v>2.169</v>
      </c>
      <c r="AB300" t="str">
        <f t="shared" si="4"/>
        <v>0.08 [1.83, 2.17]</v>
      </c>
    </row>
    <row r="301" spans="1:28" x14ac:dyDescent="0.35">
      <c r="A301">
        <v>567</v>
      </c>
      <c r="B301">
        <v>32</v>
      </c>
      <c r="C301" t="s">
        <v>53</v>
      </c>
      <c r="D301" t="s">
        <v>35</v>
      </c>
      <c r="E301" t="s">
        <v>55</v>
      </c>
      <c r="F301" t="s">
        <v>214</v>
      </c>
      <c r="G301" t="s">
        <v>204</v>
      </c>
      <c r="H301">
        <v>31</v>
      </c>
      <c r="I301">
        <v>1</v>
      </c>
      <c r="J301">
        <v>0.7</v>
      </c>
      <c r="P301">
        <v>24.64</v>
      </c>
      <c r="Q301">
        <v>5.33</v>
      </c>
      <c r="R301">
        <v>31</v>
      </c>
      <c r="S301">
        <v>0</v>
      </c>
      <c r="T301">
        <v>19</v>
      </c>
      <c r="U301">
        <v>12</v>
      </c>
      <c r="V301">
        <v>24</v>
      </c>
      <c r="W301">
        <v>2</v>
      </c>
      <c r="X301" t="s">
        <v>37</v>
      </c>
      <c r="Y301">
        <v>0.126</v>
      </c>
      <c r="Z301">
        <v>0.753</v>
      </c>
      <c r="AA301">
        <v>1.2470000000000001</v>
      </c>
      <c r="AB301" t="str">
        <f t="shared" si="4"/>
        <v>0.05 [0.75, 1.25]</v>
      </c>
    </row>
    <row r="302" spans="1:28" x14ac:dyDescent="0.35">
      <c r="A302">
        <v>568</v>
      </c>
      <c r="B302">
        <v>33</v>
      </c>
      <c r="C302" t="s">
        <v>124</v>
      </c>
      <c r="D302" t="s">
        <v>27</v>
      </c>
      <c r="E302" t="s">
        <v>125</v>
      </c>
      <c r="F302" t="s">
        <v>214</v>
      </c>
      <c r="G302" t="s">
        <v>204</v>
      </c>
      <c r="H302">
        <v>37</v>
      </c>
      <c r="I302">
        <v>0</v>
      </c>
      <c r="J302">
        <v>0.08</v>
      </c>
      <c r="V302">
        <v>60.6</v>
      </c>
      <c r="W302">
        <v>5.0999999999999996</v>
      </c>
      <c r="X302" t="s">
        <v>31</v>
      </c>
      <c r="Y302">
        <v>1.2999999999999999E-2</v>
      </c>
      <c r="Z302">
        <v>-2.5000000000000001E-2</v>
      </c>
      <c r="AA302">
        <v>2.5000000000000001E-2</v>
      </c>
      <c r="AB302" t="str">
        <f t="shared" si="4"/>
        <v>0.01 [-0.03, 0.03]</v>
      </c>
    </row>
    <row r="303" spans="1:28" x14ac:dyDescent="0.35">
      <c r="A303">
        <v>569</v>
      </c>
      <c r="B303">
        <v>33</v>
      </c>
      <c r="C303" t="s">
        <v>124</v>
      </c>
      <c r="D303" t="s">
        <v>35</v>
      </c>
      <c r="E303" t="s">
        <v>126</v>
      </c>
      <c r="F303" t="s">
        <v>214</v>
      </c>
      <c r="G303" t="s">
        <v>204</v>
      </c>
      <c r="H303">
        <v>37</v>
      </c>
      <c r="I303">
        <v>1</v>
      </c>
      <c r="J303">
        <v>0.25</v>
      </c>
      <c r="V303">
        <v>60.6</v>
      </c>
      <c r="W303">
        <v>5.0999999999999996</v>
      </c>
      <c r="X303" t="s">
        <v>31</v>
      </c>
      <c r="Y303">
        <v>4.1000000000000002E-2</v>
      </c>
      <c r="Z303">
        <v>0.92</v>
      </c>
      <c r="AA303">
        <v>1.08</v>
      </c>
      <c r="AB303" t="str">
        <f t="shared" si="4"/>
        <v>0.04 [0.92, 1.08]</v>
      </c>
    </row>
    <row r="304" spans="1:28" x14ac:dyDescent="0.35">
      <c r="A304">
        <v>570</v>
      </c>
      <c r="B304">
        <v>34</v>
      </c>
      <c r="C304" t="s">
        <v>169</v>
      </c>
      <c r="D304" t="s">
        <v>27</v>
      </c>
      <c r="E304" t="s">
        <v>170</v>
      </c>
      <c r="F304" t="s">
        <v>214</v>
      </c>
      <c r="G304" t="s">
        <v>204</v>
      </c>
      <c r="H304">
        <v>30</v>
      </c>
      <c r="I304">
        <v>3</v>
      </c>
      <c r="J304">
        <v>0.71</v>
      </c>
      <c r="P304">
        <v>29</v>
      </c>
      <c r="Q304">
        <v>7</v>
      </c>
      <c r="R304">
        <v>34</v>
      </c>
      <c r="S304">
        <v>4</v>
      </c>
      <c r="T304">
        <v>22</v>
      </c>
      <c r="U304">
        <v>12</v>
      </c>
      <c r="V304">
        <v>24.7</v>
      </c>
      <c r="W304">
        <v>2.1</v>
      </c>
      <c r="X304" t="s">
        <v>37</v>
      </c>
      <c r="Y304">
        <v>0.13</v>
      </c>
      <c r="Z304">
        <v>2.7450000000000001</v>
      </c>
      <c r="AA304">
        <v>3.2549999999999999</v>
      </c>
      <c r="AB304" t="str">
        <f t="shared" si="4"/>
        <v>0.11 [2.75, 3.26]</v>
      </c>
    </row>
    <row r="305" spans="1:28" x14ac:dyDescent="0.35">
      <c r="A305">
        <v>571</v>
      </c>
      <c r="B305">
        <v>34</v>
      </c>
      <c r="C305" t="s">
        <v>169</v>
      </c>
      <c r="D305" t="s">
        <v>35</v>
      </c>
      <c r="E305" t="s">
        <v>171</v>
      </c>
      <c r="F305" t="s">
        <v>214</v>
      </c>
      <c r="G305" t="s">
        <v>204</v>
      </c>
      <c r="H305">
        <v>29</v>
      </c>
      <c r="I305">
        <v>8</v>
      </c>
      <c r="J305">
        <v>2.1800000000000002</v>
      </c>
      <c r="P305">
        <v>30</v>
      </c>
      <c r="Q305">
        <v>9</v>
      </c>
      <c r="R305">
        <v>34</v>
      </c>
      <c r="S305">
        <v>5</v>
      </c>
      <c r="T305">
        <v>14</v>
      </c>
      <c r="U305">
        <v>20</v>
      </c>
      <c r="V305">
        <v>24.7</v>
      </c>
      <c r="W305">
        <v>2.1</v>
      </c>
      <c r="X305" t="s">
        <v>37</v>
      </c>
      <c r="Y305">
        <v>0.40500000000000003</v>
      </c>
      <c r="Z305">
        <v>7.2060000000000004</v>
      </c>
      <c r="AA305">
        <v>8.7940000000000005</v>
      </c>
      <c r="AB305" t="str">
        <f t="shared" si="4"/>
        <v>0.29 [7.21, 8.79]</v>
      </c>
    </row>
    <row r="306" spans="1:28" x14ac:dyDescent="0.35">
      <c r="A306">
        <v>572</v>
      </c>
      <c r="B306">
        <v>36</v>
      </c>
      <c r="C306" t="s">
        <v>56</v>
      </c>
      <c r="D306" t="s">
        <v>35</v>
      </c>
      <c r="E306" t="s">
        <v>57</v>
      </c>
      <c r="F306" t="s">
        <v>214</v>
      </c>
      <c r="G306" t="s">
        <v>204</v>
      </c>
      <c r="H306">
        <v>26</v>
      </c>
      <c r="I306">
        <v>0</v>
      </c>
      <c r="J306">
        <v>0.1</v>
      </c>
      <c r="P306">
        <v>32.700000000000003</v>
      </c>
      <c r="Q306">
        <v>11.4</v>
      </c>
      <c r="R306">
        <v>27</v>
      </c>
      <c r="S306">
        <v>1</v>
      </c>
      <c r="T306">
        <v>12</v>
      </c>
      <c r="U306">
        <v>15</v>
      </c>
      <c r="V306">
        <v>24</v>
      </c>
      <c r="W306">
        <v>2</v>
      </c>
      <c r="X306" t="s">
        <v>37</v>
      </c>
      <c r="Y306">
        <v>0.02</v>
      </c>
      <c r="Z306">
        <v>-3.9E-2</v>
      </c>
      <c r="AA306">
        <v>3.9E-2</v>
      </c>
      <c r="AB306" t="str">
        <f t="shared" si="4"/>
        <v>0.02 [-0.04, 0.04]</v>
      </c>
    </row>
    <row r="307" spans="1:28" x14ac:dyDescent="0.35">
      <c r="A307">
        <v>573</v>
      </c>
      <c r="B307">
        <v>36</v>
      </c>
      <c r="C307" t="s">
        <v>56</v>
      </c>
      <c r="D307" t="s">
        <v>32</v>
      </c>
      <c r="E307" t="s">
        <v>58</v>
      </c>
      <c r="F307" t="s">
        <v>214</v>
      </c>
      <c r="G307" t="s">
        <v>204</v>
      </c>
      <c r="H307">
        <v>23</v>
      </c>
      <c r="I307">
        <v>0</v>
      </c>
      <c r="J307">
        <v>0.1</v>
      </c>
      <c r="P307">
        <v>24.1</v>
      </c>
      <c r="Q307">
        <v>3.6</v>
      </c>
      <c r="R307">
        <v>24</v>
      </c>
      <c r="S307">
        <v>1</v>
      </c>
      <c r="T307">
        <v>21</v>
      </c>
      <c r="U307">
        <v>3</v>
      </c>
      <c r="V307">
        <v>24</v>
      </c>
      <c r="W307">
        <v>2</v>
      </c>
      <c r="X307" t="s">
        <v>37</v>
      </c>
      <c r="Y307">
        <v>2.1000000000000001E-2</v>
      </c>
      <c r="Z307">
        <v>-4.1000000000000002E-2</v>
      </c>
      <c r="AA307">
        <v>4.1000000000000002E-2</v>
      </c>
      <c r="AB307" t="str">
        <f t="shared" si="4"/>
        <v>0.02 [-0.04, 0.04]</v>
      </c>
    </row>
    <row r="308" spans="1:28" x14ac:dyDescent="0.35">
      <c r="A308">
        <v>574</v>
      </c>
      <c r="B308">
        <v>37</v>
      </c>
      <c r="C308" t="s">
        <v>130</v>
      </c>
      <c r="D308" t="s">
        <v>27</v>
      </c>
      <c r="E308" t="s">
        <v>131</v>
      </c>
      <c r="F308" t="s">
        <v>214</v>
      </c>
      <c r="G308" t="s">
        <v>204</v>
      </c>
      <c r="H308">
        <v>40</v>
      </c>
      <c r="I308">
        <v>0</v>
      </c>
      <c r="J308">
        <v>0.99</v>
      </c>
      <c r="P308">
        <v>22.3</v>
      </c>
      <c r="Q308">
        <v>3.94</v>
      </c>
      <c r="R308">
        <v>40</v>
      </c>
      <c r="S308">
        <v>0</v>
      </c>
      <c r="T308">
        <v>40</v>
      </c>
      <c r="U308">
        <v>0</v>
      </c>
      <c r="V308">
        <v>81</v>
      </c>
      <c r="W308">
        <v>6.8</v>
      </c>
      <c r="X308" t="s">
        <v>31</v>
      </c>
      <c r="Y308">
        <v>0.157</v>
      </c>
      <c r="Z308">
        <v>-0.308</v>
      </c>
      <c r="AA308">
        <v>0.308</v>
      </c>
      <c r="AB308" t="str">
        <f t="shared" si="4"/>
        <v>0.01 [-0.31, 0.31]</v>
      </c>
    </row>
    <row r="309" spans="1:28" x14ac:dyDescent="0.35">
      <c r="A309">
        <v>575</v>
      </c>
      <c r="B309">
        <v>37</v>
      </c>
      <c r="C309" t="s">
        <v>130</v>
      </c>
      <c r="D309" t="s">
        <v>35</v>
      </c>
      <c r="E309" t="s">
        <v>132</v>
      </c>
      <c r="F309" t="s">
        <v>214</v>
      </c>
      <c r="G309" t="s">
        <v>204</v>
      </c>
      <c r="H309">
        <v>45</v>
      </c>
      <c r="I309">
        <v>0</v>
      </c>
      <c r="J309">
        <v>1.54</v>
      </c>
      <c r="P309">
        <v>22.3</v>
      </c>
      <c r="Q309">
        <v>3.84</v>
      </c>
      <c r="R309">
        <v>46</v>
      </c>
      <c r="S309">
        <v>1</v>
      </c>
      <c r="T309">
        <v>46</v>
      </c>
      <c r="U309">
        <v>0</v>
      </c>
      <c r="V309">
        <v>81</v>
      </c>
      <c r="W309">
        <v>6.8</v>
      </c>
      <c r="X309" t="s">
        <v>31</v>
      </c>
      <c r="Y309">
        <v>0.23</v>
      </c>
      <c r="Z309">
        <v>-0.45100000000000001</v>
      </c>
      <c r="AA309">
        <v>0.45100000000000001</v>
      </c>
      <c r="AB309" t="str">
        <f t="shared" si="4"/>
        <v>0.01 [-0.45, 0.45]</v>
      </c>
    </row>
    <row r="310" spans="1:28" x14ac:dyDescent="0.35">
      <c r="A310">
        <v>578</v>
      </c>
      <c r="B310">
        <v>41</v>
      </c>
      <c r="C310" t="s">
        <v>172</v>
      </c>
      <c r="D310" t="s">
        <v>27</v>
      </c>
      <c r="E310" t="s">
        <v>173</v>
      </c>
      <c r="F310" t="s">
        <v>214</v>
      </c>
      <c r="G310" t="s">
        <v>204</v>
      </c>
      <c r="H310">
        <v>43</v>
      </c>
      <c r="I310">
        <v>0</v>
      </c>
      <c r="J310">
        <v>0.56999999999999995</v>
      </c>
      <c r="V310">
        <v>24</v>
      </c>
      <c r="W310">
        <v>2</v>
      </c>
      <c r="X310" t="s">
        <v>37</v>
      </c>
      <c r="Y310">
        <v>8.6999999999999994E-2</v>
      </c>
      <c r="Z310">
        <v>-0.17100000000000001</v>
      </c>
      <c r="AA310">
        <v>0.17100000000000001</v>
      </c>
      <c r="AB310" t="str">
        <f t="shared" si="4"/>
        <v>0.01 [-0.17, 0.17]</v>
      </c>
    </row>
    <row r="311" spans="1:28" x14ac:dyDescent="0.35">
      <c r="A311">
        <v>579</v>
      </c>
      <c r="B311">
        <v>41</v>
      </c>
      <c r="C311" t="s">
        <v>172</v>
      </c>
      <c r="D311" t="s">
        <v>35</v>
      </c>
      <c r="E311" t="s">
        <v>174</v>
      </c>
      <c r="F311" t="s">
        <v>214</v>
      </c>
      <c r="G311" t="s">
        <v>204</v>
      </c>
      <c r="H311">
        <v>46</v>
      </c>
      <c r="I311">
        <v>0</v>
      </c>
      <c r="J311">
        <v>0.55000000000000004</v>
      </c>
      <c r="V311">
        <v>24</v>
      </c>
      <c r="W311">
        <v>2</v>
      </c>
      <c r="X311" t="s">
        <v>37</v>
      </c>
      <c r="Y311">
        <v>8.1000000000000003E-2</v>
      </c>
      <c r="Z311">
        <v>-0.159</v>
      </c>
      <c r="AA311">
        <v>0.159</v>
      </c>
      <c r="AB311" t="str">
        <f t="shared" si="4"/>
        <v>0.01 [-0.16, 0.16]</v>
      </c>
    </row>
    <row r="312" spans="1:28" x14ac:dyDescent="0.35">
      <c r="A312">
        <v>582</v>
      </c>
      <c r="B312">
        <v>46</v>
      </c>
      <c r="C312" t="s">
        <v>194</v>
      </c>
      <c r="D312" t="s">
        <v>27</v>
      </c>
      <c r="E312" t="s">
        <v>195</v>
      </c>
      <c r="F312" t="s">
        <v>214</v>
      </c>
      <c r="G312" t="s">
        <v>204</v>
      </c>
      <c r="H312">
        <v>15</v>
      </c>
      <c r="I312">
        <v>0</v>
      </c>
      <c r="J312">
        <v>0.75</v>
      </c>
      <c r="P312">
        <v>29.93</v>
      </c>
      <c r="Q312">
        <v>8.91</v>
      </c>
      <c r="V312">
        <v>19</v>
      </c>
      <c r="W312">
        <v>1.6</v>
      </c>
      <c r="X312" t="s">
        <v>37</v>
      </c>
      <c r="Y312">
        <v>0.19400000000000001</v>
      </c>
      <c r="Z312">
        <v>-0.38</v>
      </c>
      <c r="AA312">
        <v>0.38</v>
      </c>
      <c r="AB312" t="str">
        <f t="shared" si="4"/>
        <v>0.03 [-0.38, 0.38]</v>
      </c>
    </row>
    <row r="313" spans="1:28" x14ac:dyDescent="0.35">
      <c r="A313">
        <v>583</v>
      </c>
      <c r="B313">
        <v>46</v>
      </c>
      <c r="C313" t="s">
        <v>194</v>
      </c>
      <c r="D313" t="s">
        <v>35</v>
      </c>
      <c r="E313" t="s">
        <v>196</v>
      </c>
      <c r="F313" t="s">
        <v>214</v>
      </c>
      <c r="G313" t="s">
        <v>204</v>
      </c>
      <c r="H313">
        <v>13</v>
      </c>
      <c r="I313">
        <v>0</v>
      </c>
      <c r="J313">
        <v>0.82</v>
      </c>
      <c r="P313">
        <v>28.65</v>
      </c>
      <c r="Q313">
        <v>9.27</v>
      </c>
      <c r="V313">
        <v>19</v>
      </c>
      <c r="W313">
        <v>1.6</v>
      </c>
      <c r="X313" t="s">
        <v>37</v>
      </c>
      <c r="Y313">
        <v>0.22700000000000001</v>
      </c>
      <c r="Z313">
        <v>-0.44500000000000001</v>
      </c>
      <c r="AA313">
        <v>0.44500000000000001</v>
      </c>
      <c r="AB313" t="str">
        <f t="shared" si="4"/>
        <v>0.04 [-0.45, 0.45]</v>
      </c>
    </row>
    <row r="314" spans="1:28" x14ac:dyDescent="0.35">
      <c r="A314">
        <v>584</v>
      </c>
      <c r="B314">
        <v>47</v>
      </c>
      <c r="C314" t="s">
        <v>208</v>
      </c>
      <c r="D314" t="s">
        <v>35</v>
      </c>
      <c r="E314" t="s">
        <v>209</v>
      </c>
      <c r="F314" t="s">
        <v>214</v>
      </c>
      <c r="G314" t="s">
        <v>204</v>
      </c>
      <c r="H314">
        <v>44</v>
      </c>
      <c r="I314">
        <v>1</v>
      </c>
      <c r="J314">
        <v>1.07</v>
      </c>
      <c r="P314">
        <v>32</v>
      </c>
      <c r="Q314">
        <v>8.43</v>
      </c>
      <c r="R314">
        <v>54</v>
      </c>
      <c r="S314">
        <v>10</v>
      </c>
      <c r="T314">
        <v>32</v>
      </c>
      <c r="U314">
        <v>22</v>
      </c>
      <c r="V314">
        <v>24</v>
      </c>
      <c r="W314">
        <v>2</v>
      </c>
      <c r="X314" t="s">
        <v>37</v>
      </c>
      <c r="Y314">
        <v>0.161</v>
      </c>
      <c r="Z314">
        <v>0.68400000000000005</v>
      </c>
      <c r="AA314">
        <v>1.3160000000000001</v>
      </c>
      <c r="AB314" t="str">
        <f t="shared" si="4"/>
        <v>0.03 [0.68, 1.32]</v>
      </c>
    </row>
    <row r="315" spans="1:28" x14ac:dyDescent="0.35">
      <c r="A315">
        <v>585</v>
      </c>
      <c r="B315">
        <v>47</v>
      </c>
      <c r="C315" t="s">
        <v>208</v>
      </c>
      <c r="D315" t="s">
        <v>45</v>
      </c>
      <c r="E315" t="s">
        <v>210</v>
      </c>
      <c r="F315" t="s">
        <v>214</v>
      </c>
      <c r="G315" t="s">
        <v>204</v>
      </c>
      <c r="H315">
        <v>48</v>
      </c>
      <c r="I315">
        <v>0</v>
      </c>
      <c r="J315">
        <v>0.75</v>
      </c>
      <c r="P315">
        <v>33</v>
      </c>
      <c r="Q315">
        <v>8.31</v>
      </c>
      <c r="R315">
        <v>48</v>
      </c>
      <c r="S315">
        <v>0</v>
      </c>
      <c r="T315">
        <v>38</v>
      </c>
      <c r="U315">
        <v>10</v>
      </c>
      <c r="V315">
        <v>24</v>
      </c>
      <c r="W315">
        <v>2</v>
      </c>
      <c r="X315" t="s">
        <v>37</v>
      </c>
      <c r="Y315">
        <v>0.108</v>
      </c>
      <c r="Z315">
        <v>-0.21199999999999999</v>
      </c>
      <c r="AA315">
        <v>0.21199999999999999</v>
      </c>
      <c r="AB315" t="str">
        <f t="shared" si="4"/>
        <v>0.01 [-0.21, 0.21]</v>
      </c>
    </row>
    <row r="316" spans="1:28" x14ac:dyDescent="0.35">
      <c r="A316">
        <v>586</v>
      </c>
      <c r="B316">
        <v>51</v>
      </c>
      <c r="C316" t="s">
        <v>66</v>
      </c>
      <c r="D316" t="s">
        <v>35</v>
      </c>
      <c r="E316" t="s">
        <v>67</v>
      </c>
      <c r="F316" t="s">
        <v>214</v>
      </c>
      <c r="G316" t="s">
        <v>204</v>
      </c>
      <c r="H316">
        <v>32</v>
      </c>
      <c r="I316">
        <v>0</v>
      </c>
      <c r="J316">
        <v>0.91</v>
      </c>
      <c r="P316">
        <v>29.8</v>
      </c>
      <c r="Q316">
        <v>7.9</v>
      </c>
      <c r="R316">
        <v>32</v>
      </c>
      <c r="S316">
        <v>0</v>
      </c>
      <c r="T316">
        <v>17</v>
      </c>
      <c r="U316">
        <v>15</v>
      </c>
      <c r="V316">
        <v>69.599999999999994</v>
      </c>
      <c r="W316">
        <v>5.8</v>
      </c>
      <c r="X316" t="s">
        <v>31</v>
      </c>
      <c r="Y316">
        <v>0.161</v>
      </c>
      <c r="Z316">
        <v>-0.316</v>
      </c>
      <c r="AA316">
        <v>0.316</v>
      </c>
      <c r="AB316" t="str">
        <f t="shared" si="4"/>
        <v>0.02 [-0.32, 0.32]</v>
      </c>
    </row>
    <row r="317" spans="1:28" x14ac:dyDescent="0.35">
      <c r="A317">
        <v>587</v>
      </c>
      <c r="B317">
        <v>51</v>
      </c>
      <c r="C317" t="s">
        <v>66</v>
      </c>
      <c r="D317" t="s">
        <v>45</v>
      </c>
      <c r="E317" t="s">
        <v>68</v>
      </c>
      <c r="F317" t="s">
        <v>214</v>
      </c>
      <c r="G317" t="s">
        <v>204</v>
      </c>
      <c r="H317">
        <v>32</v>
      </c>
      <c r="I317">
        <v>1</v>
      </c>
      <c r="J317">
        <v>2.34</v>
      </c>
      <c r="P317">
        <v>30.5</v>
      </c>
      <c r="Q317">
        <v>6.1</v>
      </c>
      <c r="R317">
        <v>32</v>
      </c>
      <c r="S317">
        <v>0</v>
      </c>
      <c r="T317">
        <v>15</v>
      </c>
      <c r="U317">
        <v>17</v>
      </c>
      <c r="V317">
        <v>73.2</v>
      </c>
      <c r="W317">
        <v>6.1</v>
      </c>
      <c r="X317" t="s">
        <v>31</v>
      </c>
      <c r="Y317">
        <v>0.41399999999999998</v>
      </c>
      <c r="Z317">
        <v>0.189</v>
      </c>
      <c r="AA317">
        <v>1.8109999999999999</v>
      </c>
      <c r="AB317" t="str">
        <f t="shared" si="4"/>
        <v>0.05 [0.19, 1.81]</v>
      </c>
    </row>
    <row r="318" spans="1:28" x14ac:dyDescent="0.35">
      <c r="A318">
        <v>588</v>
      </c>
      <c r="B318">
        <v>53</v>
      </c>
      <c r="C318" t="s">
        <v>69</v>
      </c>
      <c r="D318" t="s">
        <v>35</v>
      </c>
      <c r="E318" t="s">
        <v>70</v>
      </c>
      <c r="F318" t="s">
        <v>214</v>
      </c>
      <c r="G318" t="s">
        <v>204</v>
      </c>
      <c r="H318">
        <v>49</v>
      </c>
      <c r="I318">
        <v>0</v>
      </c>
      <c r="J318">
        <v>2.12</v>
      </c>
      <c r="P318">
        <v>27.1</v>
      </c>
      <c r="Q318">
        <v>6.1</v>
      </c>
      <c r="R318">
        <v>49</v>
      </c>
      <c r="S318">
        <v>0</v>
      </c>
      <c r="T318">
        <v>25</v>
      </c>
      <c r="U318">
        <v>24</v>
      </c>
      <c r="V318">
        <v>24</v>
      </c>
      <c r="W318">
        <v>2</v>
      </c>
      <c r="X318" t="s">
        <v>37</v>
      </c>
      <c r="Y318">
        <v>0.30299999999999999</v>
      </c>
      <c r="Z318">
        <v>-0.59399999999999997</v>
      </c>
      <c r="AA318">
        <v>0.59399999999999997</v>
      </c>
      <c r="AB318" t="str">
        <f t="shared" si="4"/>
        <v>0.01 [-0.59, 0.59]</v>
      </c>
    </row>
    <row r="319" spans="1:28" x14ac:dyDescent="0.35">
      <c r="A319">
        <v>589</v>
      </c>
      <c r="B319">
        <v>53</v>
      </c>
      <c r="C319" t="s">
        <v>69</v>
      </c>
      <c r="D319" t="s">
        <v>32</v>
      </c>
      <c r="E319" t="s">
        <v>71</v>
      </c>
      <c r="F319" t="s">
        <v>214</v>
      </c>
      <c r="G319" t="s">
        <v>204</v>
      </c>
      <c r="H319">
        <v>47</v>
      </c>
      <c r="I319">
        <v>0</v>
      </c>
      <c r="J319">
        <v>1.49</v>
      </c>
      <c r="P319">
        <v>27.2</v>
      </c>
      <c r="Q319">
        <v>6.2</v>
      </c>
      <c r="R319">
        <v>50</v>
      </c>
      <c r="S319">
        <v>3</v>
      </c>
      <c r="T319">
        <v>29</v>
      </c>
      <c r="U319">
        <v>21</v>
      </c>
      <c r="V319">
        <v>24</v>
      </c>
      <c r="W319">
        <v>2</v>
      </c>
      <c r="X319" t="s">
        <v>37</v>
      </c>
      <c r="Y319">
        <v>0.217</v>
      </c>
      <c r="Z319">
        <v>-0.42499999999999999</v>
      </c>
      <c r="AA319">
        <v>0.42499999999999999</v>
      </c>
      <c r="AB319" t="str">
        <f t="shared" si="4"/>
        <v>0.01 [-0.43, 0.43]</v>
      </c>
    </row>
    <row r="320" spans="1:28" x14ac:dyDescent="0.35">
      <c r="A320">
        <v>590</v>
      </c>
      <c r="B320">
        <v>54</v>
      </c>
      <c r="C320" t="s">
        <v>72</v>
      </c>
      <c r="D320" t="s">
        <v>27</v>
      </c>
      <c r="E320" t="s">
        <v>73</v>
      </c>
      <c r="F320" t="s">
        <v>214</v>
      </c>
      <c r="G320" t="s">
        <v>204</v>
      </c>
      <c r="H320">
        <v>19</v>
      </c>
      <c r="I320">
        <v>7</v>
      </c>
      <c r="J320">
        <v>2.72</v>
      </c>
      <c r="P320">
        <v>52.8</v>
      </c>
      <c r="Q320">
        <v>7.3</v>
      </c>
      <c r="V320">
        <v>240</v>
      </c>
      <c r="W320">
        <v>20</v>
      </c>
      <c r="X320" t="s">
        <v>31</v>
      </c>
      <c r="Y320">
        <v>0.624</v>
      </c>
      <c r="Z320">
        <v>5.7770000000000001</v>
      </c>
      <c r="AA320">
        <v>8.2230000000000008</v>
      </c>
      <c r="AB320" t="str">
        <f t="shared" si="4"/>
        <v>0.38 [5.78, 8.22]</v>
      </c>
    </row>
    <row r="321" spans="1:28" x14ac:dyDescent="0.35">
      <c r="A321">
        <v>591</v>
      </c>
      <c r="B321">
        <v>54</v>
      </c>
      <c r="C321" t="s">
        <v>72</v>
      </c>
      <c r="D321" t="s">
        <v>35</v>
      </c>
      <c r="E321" t="s">
        <v>74</v>
      </c>
      <c r="F321" t="s">
        <v>214</v>
      </c>
      <c r="G321" t="s">
        <v>204</v>
      </c>
      <c r="H321">
        <v>20</v>
      </c>
      <c r="I321">
        <v>5</v>
      </c>
      <c r="J321">
        <v>1.64</v>
      </c>
      <c r="P321">
        <v>54.5</v>
      </c>
      <c r="Q321">
        <v>7.5</v>
      </c>
      <c r="V321">
        <v>240</v>
      </c>
      <c r="W321">
        <v>20</v>
      </c>
      <c r="X321" t="s">
        <v>31</v>
      </c>
      <c r="Y321">
        <v>0.36699999999999999</v>
      </c>
      <c r="Z321">
        <v>4.2809999999999997</v>
      </c>
      <c r="AA321">
        <v>5.7190000000000003</v>
      </c>
      <c r="AB321" t="str">
        <f t="shared" si="4"/>
        <v>0.27 [4.28, 5.72]</v>
      </c>
    </row>
    <row r="322" spans="1:28" x14ac:dyDescent="0.35">
      <c r="A322">
        <v>592</v>
      </c>
      <c r="B322">
        <v>56</v>
      </c>
      <c r="C322" t="s">
        <v>78</v>
      </c>
      <c r="D322" t="s">
        <v>27</v>
      </c>
      <c r="E322" t="s">
        <v>79</v>
      </c>
      <c r="F322" t="s">
        <v>214</v>
      </c>
      <c r="G322" t="s">
        <v>204</v>
      </c>
      <c r="H322">
        <v>18</v>
      </c>
      <c r="I322">
        <v>3</v>
      </c>
      <c r="J322">
        <v>0.99</v>
      </c>
      <c r="P322">
        <v>31</v>
      </c>
      <c r="Q322">
        <v>8</v>
      </c>
      <c r="R322">
        <v>18</v>
      </c>
      <c r="S322">
        <v>0</v>
      </c>
      <c r="T322">
        <v>15</v>
      </c>
      <c r="U322">
        <v>3</v>
      </c>
      <c r="V322">
        <v>24</v>
      </c>
      <c r="W322">
        <v>2</v>
      </c>
      <c r="X322" t="s">
        <v>37</v>
      </c>
      <c r="Y322">
        <v>0.23300000000000001</v>
      </c>
      <c r="Z322">
        <v>2.5430000000000001</v>
      </c>
      <c r="AA322">
        <v>3.4569999999999999</v>
      </c>
      <c r="AB322" t="str">
        <f t="shared" si="4"/>
        <v>0.19 [2.54, 3.46]</v>
      </c>
    </row>
    <row r="323" spans="1:28" x14ac:dyDescent="0.35">
      <c r="A323">
        <v>593</v>
      </c>
      <c r="B323">
        <v>56</v>
      </c>
      <c r="C323" t="s">
        <v>78</v>
      </c>
      <c r="D323" t="s">
        <v>32</v>
      </c>
      <c r="E323" t="s">
        <v>80</v>
      </c>
      <c r="F323" t="s">
        <v>214</v>
      </c>
      <c r="G323" t="s">
        <v>204</v>
      </c>
      <c r="H323">
        <v>21</v>
      </c>
      <c r="I323">
        <v>8</v>
      </c>
      <c r="J323">
        <v>3</v>
      </c>
      <c r="P323">
        <v>30</v>
      </c>
      <c r="Q323">
        <v>9</v>
      </c>
      <c r="R323">
        <v>21</v>
      </c>
      <c r="S323">
        <v>0</v>
      </c>
      <c r="T323">
        <v>17</v>
      </c>
      <c r="U323">
        <v>4</v>
      </c>
      <c r="V323">
        <v>24</v>
      </c>
      <c r="W323">
        <v>2</v>
      </c>
      <c r="X323" t="s">
        <v>37</v>
      </c>
      <c r="Y323">
        <v>0.65500000000000003</v>
      </c>
      <c r="Z323">
        <v>6.7160000000000002</v>
      </c>
      <c r="AA323">
        <v>9.2840000000000007</v>
      </c>
      <c r="AB323" t="str">
        <f t="shared" ref="AB323:AB386" si="5">TEXT((I323+0.5)/(H323+0.5), "#0.00")&amp;" ["&amp;TEXT(Z323, "#0.00")&amp;", "&amp;TEXT(AA323, "#0.00")&amp;"]"</f>
        <v>0.40 [6.72, 9.28]</v>
      </c>
    </row>
    <row r="324" spans="1:28" x14ac:dyDescent="0.35">
      <c r="A324">
        <v>594</v>
      </c>
      <c r="B324">
        <v>58</v>
      </c>
      <c r="C324" t="s">
        <v>81</v>
      </c>
      <c r="D324" t="s">
        <v>35</v>
      </c>
      <c r="E324" t="s">
        <v>82</v>
      </c>
      <c r="F324" t="s">
        <v>214</v>
      </c>
      <c r="G324" t="s">
        <v>204</v>
      </c>
      <c r="H324">
        <v>25</v>
      </c>
      <c r="I324">
        <v>4</v>
      </c>
      <c r="J324">
        <v>1.07</v>
      </c>
      <c r="P324">
        <v>28.12</v>
      </c>
      <c r="Q324">
        <v>5.21</v>
      </c>
      <c r="R324">
        <v>25</v>
      </c>
      <c r="S324">
        <v>0</v>
      </c>
      <c r="T324">
        <v>18</v>
      </c>
      <c r="U324">
        <v>7</v>
      </c>
      <c r="V324">
        <v>6</v>
      </c>
      <c r="W324">
        <v>0.5</v>
      </c>
      <c r="X324" t="s">
        <v>61</v>
      </c>
      <c r="Y324">
        <v>0.214</v>
      </c>
      <c r="Z324">
        <v>3.581</v>
      </c>
      <c r="AA324">
        <v>4.4189999999999996</v>
      </c>
      <c r="AB324" t="str">
        <f t="shared" si="5"/>
        <v>0.18 [3.58, 4.42]</v>
      </c>
    </row>
    <row r="325" spans="1:28" x14ac:dyDescent="0.35">
      <c r="A325">
        <v>595</v>
      </c>
      <c r="B325">
        <v>58</v>
      </c>
      <c r="C325" t="s">
        <v>81</v>
      </c>
      <c r="D325" t="s">
        <v>38</v>
      </c>
      <c r="E325" t="s">
        <v>83</v>
      </c>
      <c r="F325" t="s">
        <v>214</v>
      </c>
      <c r="G325" t="s">
        <v>204</v>
      </c>
      <c r="H325">
        <v>25</v>
      </c>
      <c r="I325">
        <v>3</v>
      </c>
      <c r="J325">
        <v>0.8</v>
      </c>
      <c r="P325">
        <v>27.84</v>
      </c>
      <c r="Q325">
        <v>4.92</v>
      </c>
      <c r="R325">
        <v>25</v>
      </c>
      <c r="S325">
        <v>0</v>
      </c>
      <c r="T325">
        <v>17</v>
      </c>
      <c r="U325">
        <v>8</v>
      </c>
      <c r="V325">
        <v>6</v>
      </c>
      <c r="W325">
        <v>0.5</v>
      </c>
      <c r="X325" t="s">
        <v>61</v>
      </c>
      <c r="Y325">
        <v>0.16</v>
      </c>
      <c r="Z325">
        <v>2.6859999999999999</v>
      </c>
      <c r="AA325">
        <v>3.3140000000000001</v>
      </c>
      <c r="AB325" t="str">
        <f t="shared" si="5"/>
        <v>0.14 [2.69, 3.31]</v>
      </c>
    </row>
    <row r="326" spans="1:28" x14ac:dyDescent="0.35">
      <c r="A326">
        <v>598</v>
      </c>
      <c r="B326">
        <v>70</v>
      </c>
      <c r="C326" t="s">
        <v>145</v>
      </c>
      <c r="D326" t="s">
        <v>35</v>
      </c>
      <c r="E326" t="s">
        <v>146</v>
      </c>
      <c r="F326" t="s">
        <v>214</v>
      </c>
      <c r="G326" t="s">
        <v>204</v>
      </c>
      <c r="H326">
        <v>33</v>
      </c>
      <c r="I326">
        <v>1</v>
      </c>
      <c r="J326">
        <v>1.38</v>
      </c>
      <c r="P326">
        <v>25.81</v>
      </c>
      <c r="Q326">
        <v>7.46</v>
      </c>
      <c r="R326">
        <v>33</v>
      </c>
      <c r="S326">
        <v>0</v>
      </c>
      <c r="T326">
        <v>30</v>
      </c>
      <c r="U326">
        <v>3</v>
      </c>
      <c r="V326">
        <v>28.1</v>
      </c>
      <c r="W326">
        <v>2.2999999999999998</v>
      </c>
      <c r="X326" t="s">
        <v>37</v>
      </c>
      <c r="Y326">
        <v>0.24</v>
      </c>
      <c r="Z326">
        <v>0.53</v>
      </c>
      <c r="AA326">
        <v>1.47</v>
      </c>
      <c r="AB326" t="str">
        <f t="shared" si="5"/>
        <v>0.04 [0.53, 1.47]</v>
      </c>
    </row>
    <row r="327" spans="1:28" x14ac:dyDescent="0.35">
      <c r="A327">
        <v>599</v>
      </c>
      <c r="B327">
        <v>70</v>
      </c>
      <c r="C327" t="s">
        <v>145</v>
      </c>
      <c r="D327" t="s">
        <v>147</v>
      </c>
      <c r="E327" t="s">
        <v>148</v>
      </c>
      <c r="F327" t="s">
        <v>214</v>
      </c>
      <c r="G327" t="s">
        <v>204</v>
      </c>
      <c r="H327">
        <v>32</v>
      </c>
      <c r="I327">
        <v>3</v>
      </c>
      <c r="J327">
        <v>1.41</v>
      </c>
      <c r="P327">
        <v>25.55</v>
      </c>
      <c r="Q327">
        <v>8.4700000000000006</v>
      </c>
      <c r="R327">
        <v>32</v>
      </c>
      <c r="S327">
        <v>0</v>
      </c>
      <c r="T327">
        <v>26</v>
      </c>
      <c r="U327">
        <v>6</v>
      </c>
      <c r="V327">
        <v>31.6</v>
      </c>
      <c r="W327">
        <v>2.6</v>
      </c>
      <c r="X327" t="s">
        <v>37</v>
      </c>
      <c r="Y327">
        <v>0.249</v>
      </c>
      <c r="Z327">
        <v>2.512</v>
      </c>
      <c r="AA327">
        <v>3.488</v>
      </c>
      <c r="AB327" t="str">
        <f t="shared" si="5"/>
        <v>0.11 [2.51, 3.49]</v>
      </c>
    </row>
    <row r="328" spans="1:28" x14ac:dyDescent="0.35">
      <c r="A328">
        <v>600</v>
      </c>
      <c r="B328">
        <v>76</v>
      </c>
      <c r="C328" t="s">
        <v>197</v>
      </c>
      <c r="D328" t="s">
        <v>27</v>
      </c>
      <c r="E328" t="s">
        <v>198</v>
      </c>
      <c r="F328" t="s">
        <v>214</v>
      </c>
      <c r="G328" t="s">
        <v>204</v>
      </c>
      <c r="H328">
        <v>53</v>
      </c>
      <c r="I328">
        <v>0</v>
      </c>
      <c r="J328">
        <v>0.83</v>
      </c>
      <c r="P328">
        <v>25</v>
      </c>
      <c r="Q328">
        <v>5.49</v>
      </c>
      <c r="R328">
        <v>90</v>
      </c>
      <c r="S328">
        <v>37</v>
      </c>
      <c r="T328">
        <v>48</v>
      </c>
      <c r="U328">
        <v>42</v>
      </c>
      <c r="V328">
        <v>120</v>
      </c>
      <c r="W328">
        <v>10</v>
      </c>
      <c r="X328" t="s">
        <v>31</v>
      </c>
      <c r="Y328">
        <v>0.114</v>
      </c>
      <c r="Z328">
        <v>-0.223</v>
      </c>
      <c r="AA328">
        <v>0.223</v>
      </c>
      <c r="AB328" t="str">
        <f t="shared" si="5"/>
        <v>0.01 [-0.22, 0.22]</v>
      </c>
    </row>
    <row r="329" spans="1:28" x14ac:dyDescent="0.35">
      <c r="A329">
        <v>601</v>
      </c>
      <c r="B329">
        <v>76</v>
      </c>
      <c r="C329" t="s">
        <v>197</v>
      </c>
      <c r="D329" t="s">
        <v>35</v>
      </c>
      <c r="E329" t="s">
        <v>199</v>
      </c>
      <c r="F329" t="s">
        <v>214</v>
      </c>
      <c r="G329" t="s">
        <v>204</v>
      </c>
      <c r="H329">
        <v>58</v>
      </c>
      <c r="I329">
        <v>0</v>
      </c>
      <c r="J329">
        <v>1.3</v>
      </c>
      <c r="P329">
        <v>24</v>
      </c>
      <c r="Q329">
        <v>7.92</v>
      </c>
      <c r="R329">
        <v>90</v>
      </c>
      <c r="S329">
        <v>32</v>
      </c>
      <c r="T329">
        <v>47</v>
      </c>
      <c r="U329">
        <v>43</v>
      </c>
      <c r="V329">
        <v>120</v>
      </c>
      <c r="W329">
        <v>10</v>
      </c>
      <c r="X329" t="s">
        <v>31</v>
      </c>
      <c r="Y329">
        <v>0.17100000000000001</v>
      </c>
      <c r="Z329">
        <v>-0.33500000000000002</v>
      </c>
      <c r="AA329">
        <v>0.33500000000000002</v>
      </c>
      <c r="AB329" t="str">
        <f t="shared" si="5"/>
        <v>0.01 [-0.34, 0.34]</v>
      </c>
    </row>
    <row r="330" spans="1:28" x14ac:dyDescent="0.35">
      <c r="A330">
        <v>602</v>
      </c>
      <c r="B330">
        <v>77</v>
      </c>
      <c r="C330" t="s">
        <v>149</v>
      </c>
      <c r="D330" t="s">
        <v>27</v>
      </c>
      <c r="E330" t="s">
        <v>150</v>
      </c>
      <c r="F330" t="s">
        <v>214</v>
      </c>
      <c r="G330" t="s">
        <v>204</v>
      </c>
      <c r="H330">
        <v>38</v>
      </c>
      <c r="I330">
        <v>1</v>
      </c>
      <c r="J330">
        <v>0.62</v>
      </c>
      <c r="P330">
        <v>27</v>
      </c>
      <c r="Q330">
        <v>6.82</v>
      </c>
      <c r="R330">
        <v>0</v>
      </c>
      <c r="S330">
        <v>-38</v>
      </c>
      <c r="T330" t="s">
        <v>151</v>
      </c>
      <c r="V330">
        <v>228</v>
      </c>
      <c r="W330">
        <v>19</v>
      </c>
      <c r="X330" t="s">
        <v>31</v>
      </c>
      <c r="Y330">
        <v>0.10100000000000001</v>
      </c>
      <c r="Z330">
        <v>0.80200000000000005</v>
      </c>
      <c r="AA330">
        <v>1.198</v>
      </c>
      <c r="AB330" t="str">
        <f t="shared" si="5"/>
        <v>0.04 [0.80, 1.20]</v>
      </c>
    </row>
    <row r="331" spans="1:28" x14ac:dyDescent="0.35">
      <c r="A331">
        <v>603</v>
      </c>
      <c r="B331">
        <v>77</v>
      </c>
      <c r="C331" t="s">
        <v>149</v>
      </c>
      <c r="D331" t="s">
        <v>35</v>
      </c>
      <c r="E331" t="s">
        <v>152</v>
      </c>
      <c r="F331" t="s">
        <v>214</v>
      </c>
      <c r="G331" t="s">
        <v>204</v>
      </c>
      <c r="H331">
        <v>33</v>
      </c>
      <c r="I331">
        <v>3</v>
      </c>
      <c r="J331">
        <v>0.09</v>
      </c>
      <c r="P331">
        <v>27</v>
      </c>
      <c r="Q331">
        <v>6.3</v>
      </c>
      <c r="V331">
        <v>228</v>
      </c>
      <c r="W331">
        <v>19</v>
      </c>
      <c r="X331" t="s">
        <v>31</v>
      </c>
      <c r="Y331">
        <v>1.6E-2</v>
      </c>
      <c r="Z331">
        <v>2.9689999999999999</v>
      </c>
      <c r="AA331">
        <v>3.0310000000000001</v>
      </c>
      <c r="AB331" t="str">
        <f t="shared" si="5"/>
        <v>0.10 [2.97, 3.03]</v>
      </c>
    </row>
    <row r="332" spans="1:28" x14ac:dyDescent="0.35">
      <c r="A332">
        <v>604</v>
      </c>
      <c r="B332">
        <v>82</v>
      </c>
      <c r="C332" t="s">
        <v>211</v>
      </c>
      <c r="D332" t="s">
        <v>27</v>
      </c>
      <c r="E332" t="s">
        <v>212</v>
      </c>
      <c r="F332" t="s">
        <v>214</v>
      </c>
      <c r="G332" t="s">
        <v>204</v>
      </c>
      <c r="H332">
        <v>24</v>
      </c>
      <c r="I332">
        <v>0</v>
      </c>
      <c r="J332">
        <v>1.77</v>
      </c>
      <c r="P332">
        <v>45.5</v>
      </c>
      <c r="Q332">
        <v>8.6999999999999993</v>
      </c>
      <c r="R332">
        <v>24</v>
      </c>
      <c r="S332">
        <v>0</v>
      </c>
      <c r="T332">
        <v>15</v>
      </c>
      <c r="U332">
        <v>9</v>
      </c>
      <c r="V332">
        <v>204</v>
      </c>
      <c r="W332">
        <v>17</v>
      </c>
      <c r="X332" t="s">
        <v>31</v>
      </c>
      <c r="Y332">
        <v>0.36099999999999999</v>
      </c>
      <c r="Z332">
        <v>-0.70799999999999996</v>
      </c>
      <c r="AA332">
        <v>0.70799999999999996</v>
      </c>
      <c r="AB332" t="str">
        <f t="shared" si="5"/>
        <v>0.02 [-0.71, 0.71]</v>
      </c>
    </row>
    <row r="333" spans="1:28" x14ac:dyDescent="0.35">
      <c r="A333">
        <v>605</v>
      </c>
      <c r="B333">
        <v>82</v>
      </c>
      <c r="C333" t="s">
        <v>211</v>
      </c>
      <c r="D333" t="s">
        <v>35</v>
      </c>
      <c r="E333" t="s">
        <v>213</v>
      </c>
      <c r="F333" t="s">
        <v>214</v>
      </c>
      <c r="G333" t="s">
        <v>204</v>
      </c>
      <c r="H333">
        <v>24</v>
      </c>
      <c r="I333">
        <v>0</v>
      </c>
      <c r="J333">
        <v>1.42</v>
      </c>
      <c r="P333">
        <v>42.5</v>
      </c>
      <c r="Q333">
        <v>7.5</v>
      </c>
      <c r="R333">
        <v>24</v>
      </c>
      <c r="S333">
        <v>0</v>
      </c>
      <c r="T333">
        <v>13</v>
      </c>
      <c r="U333">
        <v>11</v>
      </c>
      <c r="V333">
        <v>204</v>
      </c>
      <c r="W333">
        <v>17</v>
      </c>
      <c r="X333" t="s">
        <v>31</v>
      </c>
      <c r="Y333">
        <v>0.28999999999999998</v>
      </c>
      <c r="Z333">
        <v>-0.56799999999999995</v>
      </c>
      <c r="AA333">
        <v>0.56799999999999995</v>
      </c>
      <c r="AB333" t="str">
        <f t="shared" si="5"/>
        <v>0.02 [-0.57, 0.57]</v>
      </c>
    </row>
    <row r="334" spans="1:28" x14ac:dyDescent="0.35">
      <c r="A334">
        <v>608</v>
      </c>
      <c r="B334">
        <v>97</v>
      </c>
      <c r="C334" t="s">
        <v>159</v>
      </c>
      <c r="D334" t="s">
        <v>35</v>
      </c>
      <c r="E334" t="s">
        <v>160</v>
      </c>
      <c r="F334" t="s">
        <v>214</v>
      </c>
      <c r="G334" t="s">
        <v>204</v>
      </c>
      <c r="H334">
        <v>36</v>
      </c>
      <c r="I334">
        <v>1</v>
      </c>
      <c r="J334">
        <v>1.07</v>
      </c>
      <c r="P334">
        <v>30.06</v>
      </c>
      <c r="Q334">
        <v>8.8699999999999992</v>
      </c>
      <c r="R334">
        <v>36</v>
      </c>
      <c r="S334">
        <v>0</v>
      </c>
      <c r="T334">
        <v>32</v>
      </c>
      <c r="U334">
        <v>4</v>
      </c>
      <c r="V334">
        <v>12</v>
      </c>
      <c r="W334">
        <v>1</v>
      </c>
      <c r="X334" t="s">
        <v>61</v>
      </c>
      <c r="Y334">
        <v>0.17799999999999999</v>
      </c>
      <c r="Z334">
        <v>0.65100000000000002</v>
      </c>
      <c r="AA334">
        <v>1.349</v>
      </c>
      <c r="AB334" t="str">
        <f t="shared" si="5"/>
        <v>0.04 [0.65, 1.35]</v>
      </c>
    </row>
    <row r="335" spans="1:28" x14ac:dyDescent="0.35">
      <c r="A335">
        <v>609</v>
      </c>
      <c r="B335">
        <v>97</v>
      </c>
      <c r="C335" t="s">
        <v>159</v>
      </c>
      <c r="D335" t="s">
        <v>32</v>
      </c>
      <c r="E335" t="s">
        <v>161</v>
      </c>
      <c r="F335" t="s">
        <v>214</v>
      </c>
      <c r="G335" t="s">
        <v>204</v>
      </c>
      <c r="H335">
        <v>33</v>
      </c>
      <c r="I335">
        <v>0</v>
      </c>
      <c r="J335">
        <v>0.09</v>
      </c>
      <c r="P335">
        <v>28.73</v>
      </c>
      <c r="Q335">
        <v>8.8000000000000007</v>
      </c>
      <c r="R335">
        <v>33</v>
      </c>
      <c r="S335">
        <v>0</v>
      </c>
      <c r="T335">
        <v>30</v>
      </c>
      <c r="U335">
        <v>3</v>
      </c>
      <c r="V335">
        <v>12</v>
      </c>
      <c r="W335">
        <v>1</v>
      </c>
      <c r="X335" t="s">
        <v>61</v>
      </c>
      <c r="Y335">
        <v>1.6E-2</v>
      </c>
      <c r="Z335">
        <v>-3.1E-2</v>
      </c>
      <c r="AA335">
        <v>3.1E-2</v>
      </c>
      <c r="AB335" t="str">
        <f t="shared" si="5"/>
        <v>0.01 [-0.03, 0.03]</v>
      </c>
    </row>
    <row r="336" spans="1:28" x14ac:dyDescent="0.35">
      <c r="A336">
        <v>610</v>
      </c>
      <c r="B336">
        <v>98</v>
      </c>
      <c r="C336" t="s">
        <v>162</v>
      </c>
      <c r="D336" t="s">
        <v>35</v>
      </c>
      <c r="E336" t="s">
        <v>163</v>
      </c>
      <c r="F336" t="s">
        <v>214</v>
      </c>
      <c r="G336" t="s">
        <v>204</v>
      </c>
      <c r="H336">
        <v>68</v>
      </c>
      <c r="I336">
        <v>2</v>
      </c>
      <c r="J336">
        <v>0.31</v>
      </c>
      <c r="P336">
        <v>30</v>
      </c>
      <c r="Q336">
        <v>9.9600000000000009</v>
      </c>
      <c r="R336">
        <v>68</v>
      </c>
      <c r="S336">
        <v>0</v>
      </c>
      <c r="T336">
        <v>61</v>
      </c>
      <c r="U336">
        <v>7</v>
      </c>
      <c r="V336">
        <v>32.799999999999997</v>
      </c>
      <c r="W336">
        <v>2.7</v>
      </c>
      <c r="X336" t="s">
        <v>37</v>
      </c>
      <c r="Y336">
        <v>3.7999999999999999E-2</v>
      </c>
      <c r="Z336">
        <v>1.9259999999999999</v>
      </c>
      <c r="AA336">
        <v>2.0739999999999998</v>
      </c>
      <c r="AB336" t="str">
        <f t="shared" si="5"/>
        <v>0.04 [1.93, 2.07]</v>
      </c>
    </row>
    <row r="337" spans="1:28" x14ac:dyDescent="0.35">
      <c r="A337">
        <v>611</v>
      </c>
      <c r="B337">
        <v>98</v>
      </c>
      <c r="C337" t="s">
        <v>162</v>
      </c>
      <c r="D337" t="s">
        <v>45</v>
      </c>
      <c r="E337" t="s">
        <v>164</v>
      </c>
      <c r="F337" t="s">
        <v>214</v>
      </c>
      <c r="G337" t="s">
        <v>204</v>
      </c>
      <c r="H337">
        <v>64</v>
      </c>
      <c r="I337">
        <v>3</v>
      </c>
      <c r="J337">
        <v>0.46</v>
      </c>
      <c r="P337">
        <v>24</v>
      </c>
      <c r="Q337">
        <v>8.35</v>
      </c>
      <c r="R337">
        <v>64</v>
      </c>
      <c r="S337">
        <v>0</v>
      </c>
      <c r="T337">
        <v>59</v>
      </c>
      <c r="U337">
        <v>5</v>
      </c>
      <c r="V337">
        <v>34.5</v>
      </c>
      <c r="W337">
        <v>2.9</v>
      </c>
      <c r="X337" t="s">
        <v>37</v>
      </c>
      <c r="Y337">
        <v>5.8000000000000003E-2</v>
      </c>
      <c r="Z337">
        <v>2.8860000000000001</v>
      </c>
      <c r="AA337">
        <v>3.1139999999999999</v>
      </c>
      <c r="AB337" t="str">
        <f t="shared" si="5"/>
        <v>0.05 [2.89, 3.11]</v>
      </c>
    </row>
    <row r="338" spans="1:28" x14ac:dyDescent="0.35">
      <c r="A338">
        <v>234</v>
      </c>
      <c r="B338">
        <v>2</v>
      </c>
      <c r="C338" t="s">
        <v>175</v>
      </c>
      <c r="D338" t="s">
        <v>27</v>
      </c>
      <c r="E338" t="s">
        <v>176</v>
      </c>
      <c r="F338" t="s">
        <v>215</v>
      </c>
      <c r="G338" t="s">
        <v>204</v>
      </c>
      <c r="H338">
        <v>60</v>
      </c>
      <c r="I338">
        <v>0</v>
      </c>
      <c r="J338">
        <v>0.06</v>
      </c>
      <c r="P338">
        <v>25</v>
      </c>
      <c r="Q338">
        <v>4.97</v>
      </c>
      <c r="R338">
        <v>60</v>
      </c>
      <c r="S338">
        <v>0</v>
      </c>
      <c r="T338">
        <v>46</v>
      </c>
      <c r="U338">
        <v>14</v>
      </c>
      <c r="V338">
        <v>24</v>
      </c>
      <c r="W338">
        <v>2</v>
      </c>
      <c r="X338" t="s">
        <v>37</v>
      </c>
      <c r="Y338">
        <v>8.0000000000000002E-3</v>
      </c>
      <c r="Z338">
        <v>-1.6E-2</v>
      </c>
      <c r="AA338">
        <v>1.6E-2</v>
      </c>
      <c r="AB338" t="str">
        <f t="shared" si="5"/>
        <v>0.01 [-0.02, 0.02]</v>
      </c>
    </row>
    <row r="339" spans="1:28" x14ac:dyDescent="0.35">
      <c r="A339">
        <v>235</v>
      </c>
      <c r="B339">
        <v>2</v>
      </c>
      <c r="C339" t="s">
        <v>175</v>
      </c>
      <c r="D339" t="s">
        <v>35</v>
      </c>
      <c r="E339" t="s">
        <v>178</v>
      </c>
      <c r="F339" t="s">
        <v>215</v>
      </c>
      <c r="G339" t="s">
        <v>204</v>
      </c>
      <c r="H339">
        <v>60</v>
      </c>
      <c r="I339">
        <v>0</v>
      </c>
      <c r="J339">
        <v>0.06</v>
      </c>
      <c r="P339">
        <v>25</v>
      </c>
      <c r="Q339">
        <v>5.19</v>
      </c>
      <c r="R339">
        <v>60</v>
      </c>
      <c r="S339">
        <v>0</v>
      </c>
      <c r="T339">
        <v>46</v>
      </c>
      <c r="U339">
        <v>14</v>
      </c>
      <c r="V339">
        <v>24</v>
      </c>
      <c r="W339">
        <v>2</v>
      </c>
      <c r="X339" t="s">
        <v>37</v>
      </c>
      <c r="Y339">
        <v>8.0000000000000002E-3</v>
      </c>
      <c r="Z339">
        <v>-1.6E-2</v>
      </c>
      <c r="AA339">
        <v>1.6E-2</v>
      </c>
      <c r="AB339" t="str">
        <f t="shared" si="5"/>
        <v>0.01 [-0.02, 0.02]</v>
      </c>
    </row>
    <row r="340" spans="1:28" x14ac:dyDescent="0.35">
      <c r="A340">
        <v>238</v>
      </c>
      <c r="B340">
        <v>11</v>
      </c>
      <c r="C340" t="s">
        <v>205</v>
      </c>
      <c r="D340" t="s">
        <v>27</v>
      </c>
      <c r="E340" t="s">
        <v>206</v>
      </c>
      <c r="F340" t="s">
        <v>215</v>
      </c>
      <c r="G340" t="s">
        <v>204</v>
      </c>
      <c r="H340">
        <v>22</v>
      </c>
      <c r="I340">
        <v>13</v>
      </c>
      <c r="J340">
        <v>0.59</v>
      </c>
      <c r="P340">
        <v>28.5</v>
      </c>
      <c r="Q340">
        <v>6.96</v>
      </c>
      <c r="R340">
        <v>28</v>
      </c>
      <c r="S340">
        <v>6</v>
      </c>
      <c r="T340">
        <v>18</v>
      </c>
      <c r="U340">
        <v>10</v>
      </c>
      <c r="V340">
        <v>36</v>
      </c>
      <c r="W340">
        <v>3</v>
      </c>
      <c r="X340" t="s">
        <v>37</v>
      </c>
      <c r="Y340">
        <v>0.126</v>
      </c>
      <c r="Z340">
        <v>12.753</v>
      </c>
      <c r="AA340">
        <v>13.247</v>
      </c>
      <c r="AB340" t="str">
        <f t="shared" si="5"/>
        <v>0.60 [12.75, 13.25]</v>
      </c>
    </row>
    <row r="341" spans="1:28" x14ac:dyDescent="0.35">
      <c r="A341">
        <v>239</v>
      </c>
      <c r="B341">
        <v>11</v>
      </c>
      <c r="C341" t="s">
        <v>205</v>
      </c>
      <c r="D341" t="s">
        <v>35</v>
      </c>
      <c r="E341" t="s">
        <v>207</v>
      </c>
      <c r="F341" t="s">
        <v>215</v>
      </c>
      <c r="G341" t="s">
        <v>204</v>
      </c>
      <c r="H341">
        <v>22</v>
      </c>
      <c r="I341">
        <v>20</v>
      </c>
      <c r="J341">
        <v>7.04</v>
      </c>
      <c r="P341">
        <v>29.9</v>
      </c>
      <c r="Q341">
        <v>5.72</v>
      </c>
      <c r="R341">
        <v>28</v>
      </c>
      <c r="S341">
        <v>6</v>
      </c>
      <c r="T341">
        <v>13</v>
      </c>
      <c r="U341">
        <v>15</v>
      </c>
      <c r="V341">
        <v>36</v>
      </c>
      <c r="W341">
        <v>3</v>
      </c>
      <c r="X341" t="s">
        <v>37</v>
      </c>
      <c r="Y341">
        <v>1.5009999999999999</v>
      </c>
      <c r="Z341">
        <v>17.058</v>
      </c>
      <c r="AA341">
        <v>22.942</v>
      </c>
      <c r="AB341" t="str">
        <f t="shared" si="5"/>
        <v>0.91 [17.06, 22.94]</v>
      </c>
    </row>
    <row r="342" spans="1:28" x14ac:dyDescent="0.35">
      <c r="A342">
        <v>240</v>
      </c>
      <c r="B342">
        <v>13</v>
      </c>
      <c r="C342" t="s">
        <v>40</v>
      </c>
      <c r="D342" t="s">
        <v>27</v>
      </c>
      <c r="E342" t="s">
        <v>41</v>
      </c>
      <c r="F342" t="s">
        <v>215</v>
      </c>
      <c r="G342" t="s">
        <v>204</v>
      </c>
      <c r="H342">
        <v>61</v>
      </c>
      <c r="I342">
        <v>31</v>
      </c>
      <c r="J342">
        <v>1.0900000000000001</v>
      </c>
      <c r="P342">
        <v>28.2</v>
      </c>
      <c r="Q342">
        <v>9.1</v>
      </c>
      <c r="R342">
        <v>61</v>
      </c>
      <c r="S342">
        <v>0</v>
      </c>
      <c r="T342">
        <v>42</v>
      </c>
      <c r="U342">
        <v>19</v>
      </c>
      <c r="V342">
        <v>202.6</v>
      </c>
      <c r="W342">
        <v>16.899999999999999</v>
      </c>
      <c r="X342" t="s">
        <v>31</v>
      </c>
      <c r="Y342">
        <v>0.14000000000000001</v>
      </c>
      <c r="Z342">
        <v>30.725999999999999</v>
      </c>
      <c r="AA342">
        <v>31.274000000000001</v>
      </c>
      <c r="AB342" t="str">
        <f t="shared" si="5"/>
        <v>0.51 [30.73, 31.27]</v>
      </c>
    </row>
    <row r="343" spans="1:28" x14ac:dyDescent="0.35">
      <c r="A343">
        <v>241</v>
      </c>
      <c r="B343">
        <v>13</v>
      </c>
      <c r="C343" t="s">
        <v>40</v>
      </c>
      <c r="D343" t="s">
        <v>35</v>
      </c>
      <c r="E343" t="s">
        <v>42</v>
      </c>
      <c r="F343" t="s">
        <v>215</v>
      </c>
      <c r="G343" t="s">
        <v>204</v>
      </c>
      <c r="H343">
        <v>86</v>
      </c>
      <c r="I343">
        <v>68</v>
      </c>
      <c r="J343">
        <v>2.88</v>
      </c>
      <c r="P343">
        <v>26.8</v>
      </c>
      <c r="Q343">
        <v>7.6</v>
      </c>
      <c r="R343">
        <v>86</v>
      </c>
      <c r="S343">
        <v>0</v>
      </c>
      <c r="T343">
        <v>53</v>
      </c>
      <c r="U343">
        <v>33</v>
      </c>
      <c r="V343">
        <v>191.9</v>
      </c>
      <c r="W343">
        <v>16</v>
      </c>
      <c r="X343" t="s">
        <v>31</v>
      </c>
      <c r="Y343">
        <v>0.311</v>
      </c>
      <c r="Z343">
        <v>67.39</v>
      </c>
      <c r="AA343">
        <v>68.61</v>
      </c>
      <c r="AB343" t="str">
        <f t="shared" si="5"/>
        <v>0.79 [67.39, 68.61]</v>
      </c>
    </row>
    <row r="344" spans="1:28" x14ac:dyDescent="0.35">
      <c r="A344">
        <v>244</v>
      </c>
      <c r="B344">
        <v>23</v>
      </c>
      <c r="C344" t="s">
        <v>121</v>
      </c>
      <c r="D344" t="s">
        <v>27</v>
      </c>
      <c r="E344" t="s">
        <v>122</v>
      </c>
      <c r="F344" t="s">
        <v>215</v>
      </c>
      <c r="G344" t="s">
        <v>204</v>
      </c>
      <c r="H344">
        <v>32</v>
      </c>
      <c r="I344">
        <v>14</v>
      </c>
      <c r="J344">
        <v>5.16</v>
      </c>
      <c r="P344">
        <v>27.26</v>
      </c>
      <c r="Q344">
        <v>8.4700000000000006</v>
      </c>
      <c r="R344">
        <v>32</v>
      </c>
      <c r="S344">
        <v>0</v>
      </c>
      <c r="T344">
        <v>21</v>
      </c>
      <c r="U344">
        <v>11</v>
      </c>
      <c r="V344">
        <v>24</v>
      </c>
      <c r="W344">
        <v>2</v>
      </c>
      <c r="X344" t="s">
        <v>37</v>
      </c>
      <c r="Y344">
        <v>0.91200000000000003</v>
      </c>
      <c r="Z344">
        <v>12.212</v>
      </c>
      <c r="AA344">
        <v>15.788</v>
      </c>
      <c r="AB344" t="str">
        <f t="shared" si="5"/>
        <v>0.45 [12.21, 15.79]</v>
      </c>
    </row>
    <row r="345" spans="1:28" x14ac:dyDescent="0.35">
      <c r="A345">
        <v>245</v>
      </c>
      <c r="B345">
        <v>23</v>
      </c>
      <c r="C345" t="s">
        <v>121</v>
      </c>
      <c r="D345" t="s">
        <v>35</v>
      </c>
      <c r="E345" t="s">
        <v>123</v>
      </c>
      <c r="F345" t="s">
        <v>215</v>
      </c>
      <c r="G345" t="s">
        <v>204</v>
      </c>
      <c r="H345">
        <v>34</v>
      </c>
      <c r="I345">
        <v>18</v>
      </c>
      <c r="J345">
        <v>4.2300000000000004</v>
      </c>
      <c r="P345">
        <v>30.77</v>
      </c>
      <c r="Q345">
        <v>10.52</v>
      </c>
      <c r="R345">
        <v>34</v>
      </c>
      <c r="S345">
        <v>0</v>
      </c>
      <c r="T345">
        <v>25</v>
      </c>
      <c r="U345">
        <v>9</v>
      </c>
      <c r="V345">
        <v>24</v>
      </c>
      <c r="W345">
        <v>2</v>
      </c>
      <c r="X345" t="s">
        <v>37</v>
      </c>
      <c r="Y345">
        <v>0.72499999999999998</v>
      </c>
      <c r="Z345">
        <v>16.579000000000001</v>
      </c>
      <c r="AA345">
        <v>19.420999999999999</v>
      </c>
      <c r="AB345" t="str">
        <f t="shared" si="5"/>
        <v>0.54 [16.58, 19.42]</v>
      </c>
    </row>
    <row r="346" spans="1:28" x14ac:dyDescent="0.35">
      <c r="A346">
        <v>246</v>
      </c>
      <c r="B346">
        <v>26</v>
      </c>
      <c r="C346" t="s">
        <v>188</v>
      </c>
      <c r="D346" t="s">
        <v>27</v>
      </c>
      <c r="E346" t="s">
        <v>189</v>
      </c>
      <c r="F346" t="s">
        <v>215</v>
      </c>
      <c r="G346" t="s">
        <v>204</v>
      </c>
      <c r="H346">
        <v>27</v>
      </c>
      <c r="I346">
        <v>6</v>
      </c>
      <c r="J346">
        <v>0.3</v>
      </c>
      <c r="P346">
        <v>25.8</v>
      </c>
      <c r="Q346">
        <v>6</v>
      </c>
      <c r="R346">
        <v>31</v>
      </c>
      <c r="S346">
        <v>4</v>
      </c>
      <c r="T346">
        <v>23</v>
      </c>
      <c r="U346">
        <v>8</v>
      </c>
      <c r="V346">
        <v>36</v>
      </c>
      <c r="W346">
        <v>3</v>
      </c>
      <c r="X346" t="s">
        <v>37</v>
      </c>
      <c r="Y346">
        <v>5.8000000000000003E-2</v>
      </c>
      <c r="Z346">
        <v>5.8860000000000001</v>
      </c>
      <c r="AA346">
        <v>6.1139999999999999</v>
      </c>
      <c r="AB346" t="str">
        <f t="shared" si="5"/>
        <v>0.24 [5.89, 6.11]</v>
      </c>
    </row>
    <row r="347" spans="1:28" x14ac:dyDescent="0.35">
      <c r="A347">
        <v>247</v>
      </c>
      <c r="B347">
        <v>26</v>
      </c>
      <c r="C347" t="s">
        <v>188</v>
      </c>
      <c r="D347" t="s">
        <v>35</v>
      </c>
      <c r="E347" t="s">
        <v>190</v>
      </c>
      <c r="F347" t="s">
        <v>215</v>
      </c>
      <c r="G347" t="s">
        <v>204</v>
      </c>
      <c r="H347">
        <v>21</v>
      </c>
      <c r="I347">
        <v>19</v>
      </c>
      <c r="J347">
        <v>0.11</v>
      </c>
      <c r="P347">
        <v>26.3</v>
      </c>
      <c r="Q347">
        <v>6</v>
      </c>
      <c r="R347">
        <v>34</v>
      </c>
      <c r="S347">
        <v>13</v>
      </c>
      <c r="T347">
        <v>24</v>
      </c>
      <c r="U347">
        <v>10</v>
      </c>
      <c r="V347">
        <v>36</v>
      </c>
      <c r="W347">
        <v>3</v>
      </c>
      <c r="X347" t="s">
        <v>37</v>
      </c>
      <c r="Y347">
        <v>2.4E-2</v>
      </c>
      <c r="Z347">
        <v>18.952999999999999</v>
      </c>
      <c r="AA347">
        <v>19.047000000000001</v>
      </c>
      <c r="AB347" t="str">
        <f t="shared" si="5"/>
        <v>0.91 [18.95, 19.05]</v>
      </c>
    </row>
    <row r="348" spans="1:28" x14ac:dyDescent="0.35">
      <c r="A348">
        <v>248</v>
      </c>
      <c r="B348">
        <v>30</v>
      </c>
      <c r="C348" t="s">
        <v>191</v>
      </c>
      <c r="D348" t="s">
        <v>27</v>
      </c>
      <c r="E348" t="s">
        <v>192</v>
      </c>
      <c r="F348" t="s">
        <v>215</v>
      </c>
      <c r="G348" t="s">
        <v>204</v>
      </c>
      <c r="H348">
        <v>41</v>
      </c>
      <c r="I348">
        <v>16</v>
      </c>
      <c r="J348">
        <v>0.24</v>
      </c>
      <c r="P348">
        <v>27</v>
      </c>
      <c r="Q348">
        <v>6.74</v>
      </c>
      <c r="V348">
        <v>84</v>
      </c>
      <c r="W348">
        <v>7</v>
      </c>
      <c r="X348" t="s">
        <v>31</v>
      </c>
      <c r="Y348">
        <v>3.6999999999999998E-2</v>
      </c>
      <c r="Z348">
        <v>15.927</v>
      </c>
      <c r="AA348">
        <v>16.073</v>
      </c>
      <c r="AB348" t="str">
        <f t="shared" si="5"/>
        <v>0.40 [15.93, 16.07]</v>
      </c>
    </row>
    <row r="349" spans="1:28" x14ac:dyDescent="0.35">
      <c r="A349">
        <v>249</v>
      </c>
      <c r="B349">
        <v>30</v>
      </c>
      <c r="C349" t="s">
        <v>191</v>
      </c>
      <c r="D349" t="s">
        <v>35</v>
      </c>
      <c r="E349" t="s">
        <v>193</v>
      </c>
      <c r="F349" t="s">
        <v>215</v>
      </c>
      <c r="G349" t="s">
        <v>204</v>
      </c>
      <c r="H349">
        <v>36</v>
      </c>
      <c r="I349">
        <v>13</v>
      </c>
      <c r="J349">
        <v>0.26</v>
      </c>
      <c r="P349">
        <v>27</v>
      </c>
      <c r="Q349">
        <v>6.78</v>
      </c>
      <c r="V349">
        <v>84</v>
      </c>
      <c r="W349">
        <v>7</v>
      </c>
      <c r="X349" t="s">
        <v>31</v>
      </c>
      <c r="Y349">
        <v>4.2999999999999997E-2</v>
      </c>
      <c r="Z349">
        <v>12.916</v>
      </c>
      <c r="AA349">
        <v>13.084</v>
      </c>
      <c r="AB349" t="str">
        <f t="shared" si="5"/>
        <v>0.37 [12.92, 13.08]</v>
      </c>
    </row>
    <row r="350" spans="1:28" x14ac:dyDescent="0.35">
      <c r="A350">
        <v>250</v>
      </c>
      <c r="B350">
        <v>32</v>
      </c>
      <c r="C350" t="s">
        <v>53</v>
      </c>
      <c r="D350" t="s">
        <v>27</v>
      </c>
      <c r="E350" t="s">
        <v>54</v>
      </c>
      <c r="F350" t="s">
        <v>215</v>
      </c>
      <c r="G350" t="s">
        <v>204</v>
      </c>
      <c r="H350">
        <v>31</v>
      </c>
      <c r="I350">
        <v>9</v>
      </c>
      <c r="J350">
        <v>0.48</v>
      </c>
      <c r="P350">
        <v>25.2</v>
      </c>
      <c r="Q350">
        <v>5.48</v>
      </c>
      <c r="R350">
        <v>31</v>
      </c>
      <c r="S350">
        <v>0</v>
      </c>
      <c r="T350">
        <v>23</v>
      </c>
      <c r="U350">
        <v>8</v>
      </c>
      <c r="V350">
        <v>24</v>
      </c>
      <c r="W350">
        <v>2</v>
      </c>
      <c r="X350" t="s">
        <v>37</v>
      </c>
      <c r="Y350">
        <v>8.5999999999999993E-2</v>
      </c>
      <c r="Z350">
        <v>8.8309999999999995</v>
      </c>
      <c r="AA350">
        <v>9.1690000000000005</v>
      </c>
      <c r="AB350" t="str">
        <f t="shared" si="5"/>
        <v>0.30 [8.83, 9.17]</v>
      </c>
    </row>
    <row r="351" spans="1:28" x14ac:dyDescent="0.35">
      <c r="A351">
        <v>251</v>
      </c>
      <c r="B351">
        <v>32</v>
      </c>
      <c r="C351" t="s">
        <v>53</v>
      </c>
      <c r="D351" t="s">
        <v>35</v>
      </c>
      <c r="E351" t="s">
        <v>55</v>
      </c>
      <c r="F351" t="s">
        <v>215</v>
      </c>
      <c r="G351" t="s">
        <v>204</v>
      </c>
      <c r="H351">
        <v>31</v>
      </c>
      <c r="I351">
        <v>9</v>
      </c>
      <c r="J351">
        <v>0.7</v>
      </c>
      <c r="P351">
        <v>24.64</v>
      </c>
      <c r="Q351">
        <v>5.33</v>
      </c>
      <c r="R351">
        <v>31</v>
      </c>
      <c r="S351">
        <v>0</v>
      </c>
      <c r="T351">
        <v>19</v>
      </c>
      <c r="U351">
        <v>12</v>
      </c>
      <c r="V351">
        <v>24</v>
      </c>
      <c r="W351">
        <v>2</v>
      </c>
      <c r="X351" t="s">
        <v>37</v>
      </c>
      <c r="Y351">
        <v>0.126</v>
      </c>
      <c r="Z351">
        <v>8.7530000000000001</v>
      </c>
      <c r="AA351">
        <v>9.2469999999999999</v>
      </c>
      <c r="AB351" t="str">
        <f t="shared" si="5"/>
        <v>0.30 [8.75, 9.25]</v>
      </c>
    </row>
    <row r="352" spans="1:28" x14ac:dyDescent="0.35">
      <c r="A352">
        <v>252</v>
      </c>
      <c r="B352">
        <v>33</v>
      </c>
      <c r="C352" t="s">
        <v>124</v>
      </c>
      <c r="D352" t="s">
        <v>27</v>
      </c>
      <c r="E352" t="s">
        <v>125</v>
      </c>
      <c r="F352" t="s">
        <v>215</v>
      </c>
      <c r="G352" t="s">
        <v>204</v>
      </c>
      <c r="H352">
        <v>37</v>
      </c>
      <c r="I352">
        <v>8</v>
      </c>
      <c r="J352">
        <v>0.08</v>
      </c>
      <c r="V352">
        <v>60.6</v>
      </c>
      <c r="W352">
        <v>5.0999999999999996</v>
      </c>
      <c r="X352" t="s">
        <v>31</v>
      </c>
      <c r="Y352">
        <v>1.2999999999999999E-2</v>
      </c>
      <c r="Z352">
        <v>7.9749999999999996</v>
      </c>
      <c r="AA352">
        <v>8.0250000000000004</v>
      </c>
      <c r="AB352" t="str">
        <f t="shared" si="5"/>
        <v>0.23 [7.98, 8.03]</v>
      </c>
    </row>
    <row r="353" spans="1:28" x14ac:dyDescent="0.35">
      <c r="A353">
        <v>253</v>
      </c>
      <c r="B353">
        <v>33</v>
      </c>
      <c r="C353" t="s">
        <v>124</v>
      </c>
      <c r="D353" t="s">
        <v>35</v>
      </c>
      <c r="E353" t="s">
        <v>126</v>
      </c>
      <c r="F353" t="s">
        <v>215</v>
      </c>
      <c r="G353" t="s">
        <v>204</v>
      </c>
      <c r="H353">
        <v>37</v>
      </c>
      <c r="I353">
        <v>6</v>
      </c>
      <c r="J353">
        <v>0.25</v>
      </c>
      <c r="V353">
        <v>60.6</v>
      </c>
      <c r="W353">
        <v>5.0999999999999996</v>
      </c>
      <c r="X353" t="s">
        <v>31</v>
      </c>
      <c r="Y353">
        <v>4.1000000000000002E-2</v>
      </c>
      <c r="Z353">
        <v>5.92</v>
      </c>
      <c r="AA353">
        <v>6.08</v>
      </c>
      <c r="AB353" t="str">
        <f t="shared" si="5"/>
        <v>0.17 [5.92, 6.08]</v>
      </c>
    </row>
    <row r="354" spans="1:28" x14ac:dyDescent="0.35">
      <c r="A354">
        <v>254</v>
      </c>
      <c r="B354">
        <v>37</v>
      </c>
      <c r="C354" t="s">
        <v>130</v>
      </c>
      <c r="D354" t="s">
        <v>27</v>
      </c>
      <c r="E354" t="s">
        <v>131</v>
      </c>
      <c r="F354" t="s">
        <v>215</v>
      </c>
      <c r="G354" t="s">
        <v>204</v>
      </c>
      <c r="H354">
        <v>40</v>
      </c>
      <c r="I354">
        <v>5</v>
      </c>
      <c r="J354">
        <v>0.99</v>
      </c>
      <c r="P354">
        <v>22.3</v>
      </c>
      <c r="Q354">
        <v>3.94</v>
      </c>
      <c r="R354">
        <v>40</v>
      </c>
      <c r="S354">
        <v>0</v>
      </c>
      <c r="T354">
        <v>40</v>
      </c>
      <c r="U354">
        <v>0</v>
      </c>
      <c r="V354">
        <v>81</v>
      </c>
      <c r="W354">
        <v>6.8</v>
      </c>
      <c r="X354" t="s">
        <v>31</v>
      </c>
      <c r="Y354">
        <v>0.157</v>
      </c>
      <c r="Z354">
        <v>4.6920000000000002</v>
      </c>
      <c r="AA354">
        <v>5.3079999999999998</v>
      </c>
      <c r="AB354" t="str">
        <f t="shared" si="5"/>
        <v>0.14 [4.69, 5.31]</v>
      </c>
    </row>
    <row r="355" spans="1:28" x14ac:dyDescent="0.35">
      <c r="A355">
        <v>255</v>
      </c>
      <c r="B355">
        <v>37</v>
      </c>
      <c r="C355" t="s">
        <v>130</v>
      </c>
      <c r="D355" t="s">
        <v>35</v>
      </c>
      <c r="E355" t="s">
        <v>132</v>
      </c>
      <c r="F355" t="s">
        <v>215</v>
      </c>
      <c r="G355" t="s">
        <v>204</v>
      </c>
      <c r="H355">
        <v>46</v>
      </c>
      <c r="I355">
        <v>7</v>
      </c>
      <c r="J355">
        <v>1.3</v>
      </c>
      <c r="P355">
        <v>22.3</v>
      </c>
      <c r="Q355">
        <v>3.84</v>
      </c>
      <c r="R355">
        <v>46</v>
      </c>
      <c r="S355">
        <v>0</v>
      </c>
      <c r="T355">
        <v>46</v>
      </c>
      <c r="U355">
        <v>0</v>
      </c>
      <c r="V355">
        <v>81</v>
      </c>
      <c r="W355">
        <v>6.8</v>
      </c>
      <c r="X355" t="s">
        <v>31</v>
      </c>
      <c r="Y355">
        <v>0.192</v>
      </c>
      <c r="Z355">
        <v>6.6239999999999997</v>
      </c>
      <c r="AA355">
        <v>7.3760000000000003</v>
      </c>
      <c r="AB355" t="str">
        <f t="shared" si="5"/>
        <v>0.16 [6.62, 7.38]</v>
      </c>
    </row>
    <row r="356" spans="1:28" x14ac:dyDescent="0.35">
      <c r="A356">
        <v>258</v>
      </c>
      <c r="B356">
        <v>41</v>
      </c>
      <c r="C356" t="s">
        <v>172</v>
      </c>
      <c r="D356" t="s">
        <v>27</v>
      </c>
      <c r="E356" t="s">
        <v>173</v>
      </c>
      <c r="F356" t="s">
        <v>215</v>
      </c>
      <c r="G356" t="s">
        <v>204</v>
      </c>
      <c r="H356">
        <v>43</v>
      </c>
      <c r="I356">
        <v>8</v>
      </c>
      <c r="J356">
        <v>1.59</v>
      </c>
      <c r="V356">
        <v>24</v>
      </c>
      <c r="W356">
        <v>2</v>
      </c>
      <c r="X356" t="s">
        <v>37</v>
      </c>
      <c r="Y356">
        <v>0.24199999999999999</v>
      </c>
      <c r="Z356">
        <v>7.5259999999999998</v>
      </c>
      <c r="AA356">
        <v>8.4740000000000002</v>
      </c>
      <c r="AB356" t="str">
        <f t="shared" si="5"/>
        <v>0.20 [7.53, 8.47]</v>
      </c>
    </row>
    <row r="357" spans="1:28" x14ac:dyDescent="0.35">
      <c r="A357">
        <v>259</v>
      </c>
      <c r="B357">
        <v>41</v>
      </c>
      <c r="C357" t="s">
        <v>172</v>
      </c>
      <c r="D357" t="s">
        <v>35</v>
      </c>
      <c r="E357" t="s">
        <v>174</v>
      </c>
      <c r="F357" t="s">
        <v>215</v>
      </c>
      <c r="G357" t="s">
        <v>204</v>
      </c>
      <c r="H357">
        <v>46</v>
      </c>
      <c r="I357">
        <v>8</v>
      </c>
      <c r="J357">
        <v>1.52</v>
      </c>
      <c r="V357">
        <v>24</v>
      </c>
      <c r="W357">
        <v>2</v>
      </c>
      <c r="X357" t="s">
        <v>37</v>
      </c>
      <c r="Y357">
        <v>0.224</v>
      </c>
      <c r="Z357">
        <v>7.5609999999999999</v>
      </c>
      <c r="AA357">
        <v>8.4390000000000001</v>
      </c>
      <c r="AB357" t="str">
        <f t="shared" si="5"/>
        <v>0.18 [7.56, 8.44]</v>
      </c>
    </row>
    <row r="358" spans="1:28" x14ac:dyDescent="0.35">
      <c r="A358">
        <v>260</v>
      </c>
      <c r="B358">
        <v>45</v>
      </c>
      <c r="C358" t="s">
        <v>136</v>
      </c>
      <c r="D358" t="s">
        <v>27</v>
      </c>
      <c r="E358" t="s">
        <v>137</v>
      </c>
      <c r="F358" t="s">
        <v>215</v>
      </c>
      <c r="G358" t="s">
        <v>204</v>
      </c>
      <c r="H358">
        <v>24</v>
      </c>
      <c r="I358">
        <v>8</v>
      </c>
      <c r="J358">
        <v>2.6</v>
      </c>
      <c r="P358">
        <v>29.8</v>
      </c>
      <c r="Q358">
        <v>6.33</v>
      </c>
      <c r="R358">
        <v>31</v>
      </c>
      <c r="S358">
        <v>7</v>
      </c>
      <c r="T358">
        <v>22</v>
      </c>
      <c r="U358">
        <v>9</v>
      </c>
      <c r="V358">
        <v>120</v>
      </c>
      <c r="W358">
        <v>10</v>
      </c>
      <c r="X358" t="s">
        <v>31</v>
      </c>
      <c r="Y358">
        <v>0.53100000000000003</v>
      </c>
      <c r="Z358">
        <v>6.9589999999999996</v>
      </c>
      <c r="AA358">
        <v>9.0410000000000004</v>
      </c>
      <c r="AB358" t="str">
        <f t="shared" si="5"/>
        <v>0.35 [6.96, 9.04]</v>
      </c>
    </row>
    <row r="359" spans="1:28" x14ac:dyDescent="0.35">
      <c r="A359">
        <v>261</v>
      </c>
      <c r="B359">
        <v>45</v>
      </c>
      <c r="C359" t="s">
        <v>136</v>
      </c>
      <c r="D359" t="s">
        <v>35</v>
      </c>
      <c r="E359" t="s">
        <v>138</v>
      </c>
      <c r="F359" t="s">
        <v>215</v>
      </c>
      <c r="G359" t="s">
        <v>204</v>
      </c>
      <c r="H359">
        <v>23</v>
      </c>
      <c r="I359">
        <v>11</v>
      </c>
      <c r="J359">
        <v>4.5999999999999996</v>
      </c>
      <c r="P359">
        <v>29.8</v>
      </c>
      <c r="Q359">
        <v>6.33</v>
      </c>
      <c r="R359">
        <v>31</v>
      </c>
      <c r="S359">
        <v>8</v>
      </c>
      <c r="T359">
        <v>23</v>
      </c>
      <c r="U359">
        <v>8</v>
      </c>
      <c r="V359">
        <v>120</v>
      </c>
      <c r="W359">
        <v>10</v>
      </c>
      <c r="X359" t="s">
        <v>31</v>
      </c>
      <c r="Y359">
        <v>0.95899999999999996</v>
      </c>
      <c r="Z359">
        <v>9.1199999999999992</v>
      </c>
      <c r="AA359">
        <v>12.88</v>
      </c>
      <c r="AB359" t="str">
        <f t="shared" si="5"/>
        <v>0.49 [9.12, 12.88]</v>
      </c>
    </row>
    <row r="360" spans="1:28" x14ac:dyDescent="0.35">
      <c r="A360">
        <v>264</v>
      </c>
      <c r="B360">
        <v>51</v>
      </c>
      <c r="C360" t="s">
        <v>66</v>
      </c>
      <c r="D360" t="s">
        <v>35</v>
      </c>
      <c r="E360" t="s">
        <v>67</v>
      </c>
      <c r="F360" t="s">
        <v>215</v>
      </c>
      <c r="G360" t="s">
        <v>204</v>
      </c>
      <c r="H360">
        <v>32</v>
      </c>
      <c r="I360">
        <v>6</v>
      </c>
      <c r="J360">
        <v>1.41</v>
      </c>
      <c r="P360">
        <v>29.8</v>
      </c>
      <c r="Q360">
        <v>7.9</v>
      </c>
      <c r="R360">
        <v>32</v>
      </c>
      <c r="S360">
        <v>0</v>
      </c>
      <c r="T360">
        <v>17</v>
      </c>
      <c r="U360">
        <v>15</v>
      </c>
      <c r="V360">
        <v>69.599999999999994</v>
      </c>
      <c r="W360">
        <v>5.8</v>
      </c>
      <c r="X360" t="s">
        <v>31</v>
      </c>
      <c r="Y360">
        <v>0.249</v>
      </c>
      <c r="Z360">
        <v>5.5119999999999996</v>
      </c>
      <c r="AA360">
        <v>6.4880000000000004</v>
      </c>
      <c r="AB360" t="str">
        <f t="shared" si="5"/>
        <v>0.20 [5.51, 6.49]</v>
      </c>
    </row>
    <row r="361" spans="1:28" x14ac:dyDescent="0.35">
      <c r="A361">
        <v>265</v>
      </c>
      <c r="B361">
        <v>51</v>
      </c>
      <c r="C361" t="s">
        <v>66</v>
      </c>
      <c r="D361" t="s">
        <v>45</v>
      </c>
      <c r="E361" t="s">
        <v>68</v>
      </c>
      <c r="F361" t="s">
        <v>215</v>
      </c>
      <c r="G361" t="s">
        <v>204</v>
      </c>
      <c r="H361">
        <v>32</v>
      </c>
      <c r="I361">
        <v>13</v>
      </c>
      <c r="J361">
        <v>4.0199999999999996</v>
      </c>
      <c r="P361">
        <v>30.5</v>
      </c>
      <c r="Q361">
        <v>6.1</v>
      </c>
      <c r="R361">
        <v>32</v>
      </c>
      <c r="S361">
        <v>0</v>
      </c>
      <c r="T361">
        <v>15</v>
      </c>
      <c r="U361">
        <v>17</v>
      </c>
      <c r="V361">
        <v>73.2</v>
      </c>
      <c r="W361">
        <v>6.1</v>
      </c>
      <c r="X361" t="s">
        <v>31</v>
      </c>
      <c r="Y361">
        <v>0.71099999999999997</v>
      </c>
      <c r="Z361">
        <v>11.606</v>
      </c>
      <c r="AA361">
        <v>14.394</v>
      </c>
      <c r="AB361" t="str">
        <f t="shared" si="5"/>
        <v>0.42 [11.61, 14.39]</v>
      </c>
    </row>
    <row r="362" spans="1:28" x14ac:dyDescent="0.35">
      <c r="A362">
        <v>266</v>
      </c>
      <c r="B362">
        <v>52</v>
      </c>
      <c r="C362" t="s">
        <v>142</v>
      </c>
      <c r="D362" t="s">
        <v>27</v>
      </c>
      <c r="E362" t="s">
        <v>143</v>
      </c>
      <c r="F362" t="s">
        <v>215</v>
      </c>
      <c r="G362" t="s">
        <v>204</v>
      </c>
      <c r="H362">
        <v>30</v>
      </c>
      <c r="I362">
        <v>23</v>
      </c>
      <c r="J362">
        <v>15.41</v>
      </c>
      <c r="P362">
        <v>28</v>
      </c>
      <c r="Q362">
        <v>8.3699999999999992</v>
      </c>
      <c r="R362">
        <v>34</v>
      </c>
      <c r="S362">
        <v>4</v>
      </c>
      <c r="T362">
        <v>23</v>
      </c>
      <c r="U362">
        <v>11</v>
      </c>
      <c r="V362">
        <v>87.11</v>
      </c>
      <c r="W362">
        <v>7.3</v>
      </c>
      <c r="X362" t="s">
        <v>31</v>
      </c>
      <c r="Y362">
        <v>2.8130000000000002</v>
      </c>
      <c r="Z362">
        <v>17.486999999999998</v>
      </c>
      <c r="AA362">
        <v>28.513000000000002</v>
      </c>
      <c r="AB362" t="str">
        <f t="shared" si="5"/>
        <v>0.77 [17.49, 28.51]</v>
      </c>
    </row>
    <row r="363" spans="1:28" x14ac:dyDescent="0.35">
      <c r="A363">
        <v>267</v>
      </c>
      <c r="B363">
        <v>52</v>
      </c>
      <c r="C363" t="s">
        <v>142</v>
      </c>
      <c r="D363" t="s">
        <v>35</v>
      </c>
      <c r="E363" t="s">
        <v>144</v>
      </c>
      <c r="F363" t="s">
        <v>215</v>
      </c>
      <c r="G363" t="s">
        <v>204</v>
      </c>
      <c r="H363">
        <v>32</v>
      </c>
      <c r="I363">
        <v>26</v>
      </c>
      <c r="J363">
        <v>20.61</v>
      </c>
      <c r="P363">
        <v>29</v>
      </c>
      <c r="Q363">
        <v>10.35</v>
      </c>
      <c r="R363">
        <v>37</v>
      </c>
      <c r="S363">
        <v>5</v>
      </c>
      <c r="T363">
        <v>26</v>
      </c>
      <c r="U363">
        <v>11</v>
      </c>
      <c r="V363">
        <v>87.05</v>
      </c>
      <c r="W363">
        <v>7.3</v>
      </c>
      <c r="X363" t="s">
        <v>31</v>
      </c>
      <c r="Y363">
        <v>3.6429999999999998</v>
      </c>
      <c r="Z363">
        <v>18.86</v>
      </c>
      <c r="AA363">
        <v>33.14</v>
      </c>
      <c r="AB363" t="str">
        <f t="shared" si="5"/>
        <v>0.82 [18.86, 33.14]</v>
      </c>
    </row>
    <row r="364" spans="1:28" x14ac:dyDescent="0.35">
      <c r="A364">
        <v>268</v>
      </c>
      <c r="B364">
        <v>55</v>
      </c>
      <c r="C364" t="s">
        <v>75</v>
      </c>
      <c r="D364" t="s">
        <v>27</v>
      </c>
      <c r="E364" t="s">
        <v>76</v>
      </c>
      <c r="F364" t="s">
        <v>215</v>
      </c>
      <c r="G364" t="s">
        <v>204</v>
      </c>
      <c r="H364">
        <v>14</v>
      </c>
      <c r="I364">
        <v>4</v>
      </c>
      <c r="J364">
        <v>1.68</v>
      </c>
      <c r="P364">
        <v>26.5</v>
      </c>
      <c r="Q364">
        <v>5</v>
      </c>
      <c r="R364">
        <v>14</v>
      </c>
      <c r="S364">
        <v>0</v>
      </c>
      <c r="T364">
        <v>14</v>
      </c>
      <c r="U364">
        <v>0</v>
      </c>
      <c r="V364">
        <v>12</v>
      </c>
      <c r="W364">
        <v>1</v>
      </c>
      <c r="X364" t="s">
        <v>61</v>
      </c>
      <c r="Y364">
        <v>0.44900000000000001</v>
      </c>
      <c r="Z364">
        <v>3.12</v>
      </c>
      <c r="AA364">
        <v>4.88</v>
      </c>
      <c r="AB364" t="str">
        <f t="shared" si="5"/>
        <v>0.31 [3.12, 4.88]</v>
      </c>
    </row>
    <row r="365" spans="1:28" x14ac:dyDescent="0.35">
      <c r="A365">
        <v>269</v>
      </c>
      <c r="B365">
        <v>55</v>
      </c>
      <c r="C365" t="s">
        <v>75</v>
      </c>
      <c r="D365" t="s">
        <v>35</v>
      </c>
      <c r="E365" t="s">
        <v>77</v>
      </c>
      <c r="F365" t="s">
        <v>215</v>
      </c>
      <c r="G365" t="s">
        <v>204</v>
      </c>
      <c r="H365">
        <v>17</v>
      </c>
      <c r="I365">
        <v>6</v>
      </c>
      <c r="J365">
        <v>1.03</v>
      </c>
      <c r="P365">
        <v>24.63</v>
      </c>
      <c r="Q365">
        <v>4.5999999999999996</v>
      </c>
      <c r="R365">
        <v>38</v>
      </c>
      <c r="S365">
        <v>21</v>
      </c>
      <c r="T365">
        <v>38</v>
      </c>
      <c r="U365">
        <v>0</v>
      </c>
      <c r="V365">
        <v>12</v>
      </c>
      <c r="W365">
        <v>1</v>
      </c>
      <c r="X365" t="s">
        <v>61</v>
      </c>
      <c r="Y365">
        <v>0.25</v>
      </c>
      <c r="Z365">
        <v>5.51</v>
      </c>
      <c r="AA365">
        <v>6.49</v>
      </c>
      <c r="AB365" t="str">
        <f t="shared" si="5"/>
        <v>0.37 [5.51, 6.49]</v>
      </c>
    </row>
    <row r="366" spans="1:28" x14ac:dyDescent="0.35">
      <c r="A366">
        <v>270</v>
      </c>
      <c r="B366">
        <v>58</v>
      </c>
      <c r="C366" t="s">
        <v>81</v>
      </c>
      <c r="D366" t="s">
        <v>35</v>
      </c>
      <c r="E366" t="s">
        <v>82</v>
      </c>
      <c r="F366" t="s">
        <v>215</v>
      </c>
      <c r="G366" t="s">
        <v>204</v>
      </c>
      <c r="H366">
        <v>25</v>
      </c>
      <c r="I366">
        <v>3</v>
      </c>
      <c r="J366">
        <v>0.8</v>
      </c>
      <c r="P366">
        <v>28.12</v>
      </c>
      <c r="Q366">
        <v>5.21</v>
      </c>
      <c r="R366">
        <v>25</v>
      </c>
      <c r="S366">
        <v>0</v>
      </c>
      <c r="T366">
        <v>18</v>
      </c>
      <c r="U366">
        <v>7</v>
      </c>
      <c r="V366">
        <v>6</v>
      </c>
      <c r="W366">
        <v>0.5</v>
      </c>
      <c r="X366" t="s">
        <v>61</v>
      </c>
      <c r="Y366">
        <v>0.16</v>
      </c>
      <c r="Z366">
        <v>2.6859999999999999</v>
      </c>
      <c r="AA366">
        <v>3.3140000000000001</v>
      </c>
      <c r="AB366" t="str">
        <f t="shared" si="5"/>
        <v>0.14 [2.69, 3.31]</v>
      </c>
    </row>
    <row r="367" spans="1:28" x14ac:dyDescent="0.35">
      <c r="A367">
        <v>271</v>
      </c>
      <c r="B367">
        <v>58</v>
      </c>
      <c r="C367" t="s">
        <v>81</v>
      </c>
      <c r="D367" t="s">
        <v>38</v>
      </c>
      <c r="E367" t="s">
        <v>83</v>
      </c>
      <c r="F367" t="s">
        <v>215</v>
      </c>
      <c r="G367" t="s">
        <v>204</v>
      </c>
      <c r="H367">
        <v>25</v>
      </c>
      <c r="I367">
        <v>2</v>
      </c>
      <c r="J367">
        <v>0.54</v>
      </c>
      <c r="P367">
        <v>27.84</v>
      </c>
      <c r="Q367">
        <v>4.92</v>
      </c>
      <c r="R367">
        <v>25</v>
      </c>
      <c r="S367">
        <v>0</v>
      </c>
      <c r="T367">
        <v>17</v>
      </c>
      <c r="U367">
        <v>8</v>
      </c>
      <c r="V367">
        <v>6</v>
      </c>
      <c r="W367">
        <v>0.5</v>
      </c>
      <c r="X367" t="s">
        <v>61</v>
      </c>
      <c r="Y367">
        <v>0.108</v>
      </c>
      <c r="Z367">
        <v>1.788</v>
      </c>
      <c r="AA367">
        <v>2.2120000000000002</v>
      </c>
      <c r="AB367" t="str">
        <f t="shared" si="5"/>
        <v>0.10 [1.79, 2.21]</v>
      </c>
    </row>
    <row r="368" spans="1:28" x14ac:dyDescent="0.35">
      <c r="A368">
        <v>278</v>
      </c>
      <c r="B368">
        <v>70</v>
      </c>
      <c r="C368" t="s">
        <v>145</v>
      </c>
      <c r="D368" t="s">
        <v>35</v>
      </c>
      <c r="E368" t="s">
        <v>146</v>
      </c>
      <c r="F368" t="s">
        <v>215</v>
      </c>
      <c r="G368" t="s">
        <v>204</v>
      </c>
      <c r="H368">
        <v>33</v>
      </c>
      <c r="I368">
        <v>6</v>
      </c>
      <c r="J368">
        <v>1.38</v>
      </c>
      <c r="P368">
        <v>25.81</v>
      </c>
      <c r="Q368">
        <v>7.46</v>
      </c>
      <c r="R368">
        <v>33</v>
      </c>
      <c r="S368">
        <v>0</v>
      </c>
      <c r="T368">
        <v>30</v>
      </c>
      <c r="U368">
        <v>3</v>
      </c>
      <c r="V368">
        <v>28.1</v>
      </c>
      <c r="W368">
        <v>2.2999999999999998</v>
      </c>
      <c r="X368" t="s">
        <v>37</v>
      </c>
      <c r="Y368">
        <v>0.24</v>
      </c>
      <c r="Z368">
        <v>5.53</v>
      </c>
      <c r="AA368">
        <v>6.47</v>
      </c>
      <c r="AB368" t="str">
        <f t="shared" si="5"/>
        <v>0.19 [5.53, 6.47]</v>
      </c>
    </row>
    <row r="369" spans="1:28" x14ac:dyDescent="0.35">
      <c r="A369">
        <v>279</v>
      </c>
      <c r="B369">
        <v>70</v>
      </c>
      <c r="C369" t="s">
        <v>145</v>
      </c>
      <c r="D369" t="s">
        <v>147</v>
      </c>
      <c r="E369" t="s">
        <v>148</v>
      </c>
      <c r="F369" t="s">
        <v>215</v>
      </c>
      <c r="G369" t="s">
        <v>204</v>
      </c>
      <c r="H369">
        <v>32</v>
      </c>
      <c r="I369">
        <v>6</v>
      </c>
      <c r="J369">
        <v>3.1</v>
      </c>
      <c r="P369">
        <v>25.55</v>
      </c>
      <c r="Q369">
        <v>8.4700000000000006</v>
      </c>
      <c r="R369">
        <v>32</v>
      </c>
      <c r="S369">
        <v>0</v>
      </c>
      <c r="T369">
        <v>26</v>
      </c>
      <c r="U369">
        <v>6</v>
      </c>
      <c r="V369">
        <v>31.6</v>
      </c>
      <c r="W369">
        <v>2.6</v>
      </c>
      <c r="X369" t="s">
        <v>37</v>
      </c>
      <c r="Y369">
        <v>0.54800000000000004</v>
      </c>
      <c r="Z369">
        <v>4.9260000000000002</v>
      </c>
      <c r="AA369">
        <v>7.0739999999999998</v>
      </c>
      <c r="AB369" t="str">
        <f t="shared" si="5"/>
        <v>0.20 [4.93, 7.07]</v>
      </c>
    </row>
    <row r="370" spans="1:28" x14ac:dyDescent="0.35">
      <c r="A370">
        <v>280</v>
      </c>
      <c r="B370">
        <v>76</v>
      </c>
      <c r="C370" t="s">
        <v>197</v>
      </c>
      <c r="D370" t="s">
        <v>27</v>
      </c>
      <c r="E370" t="s">
        <v>198</v>
      </c>
      <c r="F370" t="s">
        <v>215</v>
      </c>
      <c r="G370" t="s">
        <v>204</v>
      </c>
      <c r="H370">
        <v>53</v>
      </c>
      <c r="I370">
        <v>10</v>
      </c>
      <c r="J370">
        <v>1.78</v>
      </c>
      <c r="P370">
        <v>25</v>
      </c>
      <c r="Q370">
        <v>5.49</v>
      </c>
      <c r="R370">
        <v>90</v>
      </c>
      <c r="S370">
        <v>37</v>
      </c>
      <c r="T370">
        <v>48</v>
      </c>
      <c r="U370">
        <v>42</v>
      </c>
      <c r="V370">
        <v>120</v>
      </c>
      <c r="W370">
        <v>10</v>
      </c>
      <c r="X370" t="s">
        <v>31</v>
      </c>
      <c r="Y370">
        <v>0.245</v>
      </c>
      <c r="Z370">
        <v>9.52</v>
      </c>
      <c r="AA370">
        <v>10.48</v>
      </c>
      <c r="AB370" t="str">
        <f t="shared" si="5"/>
        <v>0.20 [9.52, 10.48]</v>
      </c>
    </row>
    <row r="371" spans="1:28" x14ac:dyDescent="0.35">
      <c r="A371">
        <v>281</v>
      </c>
      <c r="B371">
        <v>76</v>
      </c>
      <c r="C371" t="s">
        <v>197</v>
      </c>
      <c r="D371" t="s">
        <v>35</v>
      </c>
      <c r="E371" t="s">
        <v>199</v>
      </c>
      <c r="F371" t="s">
        <v>215</v>
      </c>
      <c r="G371" t="s">
        <v>204</v>
      </c>
      <c r="H371">
        <v>58</v>
      </c>
      <c r="I371">
        <v>12</v>
      </c>
      <c r="J371">
        <v>2.0699999999999998</v>
      </c>
      <c r="P371">
        <v>24</v>
      </c>
      <c r="Q371">
        <v>7.92</v>
      </c>
      <c r="R371">
        <v>90</v>
      </c>
      <c r="S371">
        <v>32</v>
      </c>
      <c r="T371">
        <v>47</v>
      </c>
      <c r="U371">
        <v>43</v>
      </c>
      <c r="V371">
        <v>120</v>
      </c>
      <c r="W371">
        <v>10</v>
      </c>
      <c r="X371" t="s">
        <v>31</v>
      </c>
      <c r="Y371">
        <v>0.27200000000000002</v>
      </c>
      <c r="Z371">
        <v>11.467000000000001</v>
      </c>
      <c r="AA371">
        <v>12.532999999999999</v>
      </c>
      <c r="AB371" t="str">
        <f t="shared" si="5"/>
        <v>0.21 [11.47, 12.53]</v>
      </c>
    </row>
    <row r="372" spans="1:28" x14ac:dyDescent="0.35">
      <c r="A372">
        <v>282</v>
      </c>
      <c r="B372">
        <v>77</v>
      </c>
      <c r="C372" t="s">
        <v>149</v>
      </c>
      <c r="D372" t="s">
        <v>27</v>
      </c>
      <c r="E372" t="s">
        <v>150</v>
      </c>
      <c r="F372" t="s">
        <v>215</v>
      </c>
      <c r="G372" t="s">
        <v>204</v>
      </c>
      <c r="H372">
        <v>38</v>
      </c>
      <c r="I372">
        <v>0</v>
      </c>
      <c r="J372">
        <v>0.08</v>
      </c>
      <c r="P372">
        <v>27</v>
      </c>
      <c r="Q372">
        <v>6.82</v>
      </c>
      <c r="R372">
        <v>0</v>
      </c>
      <c r="S372">
        <v>-38</v>
      </c>
      <c r="T372" t="s">
        <v>151</v>
      </c>
      <c r="V372">
        <v>228</v>
      </c>
      <c r="W372">
        <v>19</v>
      </c>
      <c r="X372" t="s">
        <v>31</v>
      </c>
      <c r="Y372">
        <v>1.2999999999999999E-2</v>
      </c>
      <c r="Z372">
        <v>-2.5000000000000001E-2</v>
      </c>
      <c r="AA372">
        <v>2.5000000000000001E-2</v>
      </c>
      <c r="AB372" t="str">
        <f t="shared" si="5"/>
        <v>0.01 [-0.03, 0.03]</v>
      </c>
    </row>
    <row r="373" spans="1:28" x14ac:dyDescent="0.35">
      <c r="A373">
        <v>283</v>
      </c>
      <c r="B373">
        <v>77</v>
      </c>
      <c r="C373" t="s">
        <v>149</v>
      </c>
      <c r="D373" t="s">
        <v>35</v>
      </c>
      <c r="E373" t="s">
        <v>152</v>
      </c>
      <c r="F373" t="s">
        <v>215</v>
      </c>
      <c r="G373" t="s">
        <v>204</v>
      </c>
      <c r="H373">
        <v>33</v>
      </c>
      <c r="I373">
        <v>5</v>
      </c>
      <c r="J373">
        <v>0.09</v>
      </c>
      <c r="P373">
        <v>27</v>
      </c>
      <c r="Q373">
        <v>6.3</v>
      </c>
      <c r="V373">
        <v>228</v>
      </c>
      <c r="W373">
        <v>19</v>
      </c>
      <c r="X373" t="s">
        <v>31</v>
      </c>
      <c r="Y373">
        <v>1.6E-2</v>
      </c>
      <c r="Z373">
        <v>4.9690000000000003</v>
      </c>
      <c r="AA373">
        <v>5.0309999999999997</v>
      </c>
      <c r="AB373" t="str">
        <f t="shared" si="5"/>
        <v>0.16 [4.97, 5.03]</v>
      </c>
    </row>
    <row r="374" spans="1:28" x14ac:dyDescent="0.35">
      <c r="A374">
        <v>284</v>
      </c>
      <c r="B374">
        <v>82</v>
      </c>
      <c r="C374" t="s">
        <v>211</v>
      </c>
      <c r="D374" t="s">
        <v>27</v>
      </c>
      <c r="E374" t="s">
        <v>212</v>
      </c>
      <c r="F374" t="s">
        <v>215</v>
      </c>
      <c r="G374" t="s">
        <v>204</v>
      </c>
      <c r="H374">
        <v>24</v>
      </c>
      <c r="I374">
        <v>5</v>
      </c>
      <c r="J374">
        <v>1.42</v>
      </c>
      <c r="P374">
        <v>45.5</v>
      </c>
      <c r="Q374">
        <v>8.6999999999999993</v>
      </c>
      <c r="R374">
        <v>24</v>
      </c>
      <c r="S374">
        <v>0</v>
      </c>
      <c r="T374">
        <v>15</v>
      </c>
      <c r="U374">
        <v>9</v>
      </c>
      <c r="V374">
        <v>204</v>
      </c>
      <c r="W374">
        <v>17</v>
      </c>
      <c r="X374" t="s">
        <v>31</v>
      </c>
      <c r="Y374">
        <v>0.28999999999999998</v>
      </c>
      <c r="Z374">
        <v>4.4320000000000004</v>
      </c>
      <c r="AA374">
        <v>5.5679999999999996</v>
      </c>
      <c r="AB374" t="str">
        <f t="shared" si="5"/>
        <v>0.22 [4.43, 5.57]</v>
      </c>
    </row>
    <row r="375" spans="1:28" x14ac:dyDescent="0.35">
      <c r="A375">
        <v>285</v>
      </c>
      <c r="B375">
        <v>82</v>
      </c>
      <c r="C375" t="s">
        <v>211</v>
      </c>
      <c r="D375" t="s">
        <v>35</v>
      </c>
      <c r="E375" t="s">
        <v>213</v>
      </c>
      <c r="F375" t="s">
        <v>215</v>
      </c>
      <c r="G375" t="s">
        <v>204</v>
      </c>
      <c r="H375">
        <v>24</v>
      </c>
      <c r="I375">
        <v>5</v>
      </c>
      <c r="J375">
        <v>1.42</v>
      </c>
      <c r="P375">
        <v>42.5</v>
      </c>
      <c r="Q375">
        <v>7.5</v>
      </c>
      <c r="R375">
        <v>24</v>
      </c>
      <c r="S375">
        <v>0</v>
      </c>
      <c r="T375">
        <v>13</v>
      </c>
      <c r="U375">
        <v>11</v>
      </c>
      <c r="V375">
        <v>204</v>
      </c>
      <c r="W375">
        <v>17</v>
      </c>
      <c r="X375" t="s">
        <v>31</v>
      </c>
      <c r="Y375">
        <v>0.28999999999999998</v>
      </c>
      <c r="Z375">
        <v>4.4320000000000004</v>
      </c>
      <c r="AA375">
        <v>5.5679999999999996</v>
      </c>
      <c r="AB375" t="str">
        <f t="shared" si="5"/>
        <v>0.22 [4.43, 5.57]</v>
      </c>
    </row>
    <row r="376" spans="1:28" x14ac:dyDescent="0.35">
      <c r="A376">
        <v>288</v>
      </c>
      <c r="B376">
        <v>98</v>
      </c>
      <c r="C376" t="s">
        <v>162</v>
      </c>
      <c r="D376" t="s">
        <v>35</v>
      </c>
      <c r="E376" t="s">
        <v>163</v>
      </c>
      <c r="F376" t="s">
        <v>215</v>
      </c>
      <c r="G376" t="s">
        <v>204</v>
      </c>
      <c r="H376">
        <v>68</v>
      </c>
      <c r="I376">
        <v>36</v>
      </c>
      <c r="J376">
        <v>0.57999999999999996</v>
      </c>
      <c r="P376">
        <v>30</v>
      </c>
      <c r="Q376">
        <v>9.9600000000000009</v>
      </c>
      <c r="R376">
        <v>68</v>
      </c>
      <c r="S376">
        <v>0</v>
      </c>
      <c r="T376">
        <v>61</v>
      </c>
      <c r="U376">
        <v>7</v>
      </c>
      <c r="V376">
        <v>32.799999999999997</v>
      </c>
      <c r="W376">
        <v>2.7</v>
      </c>
      <c r="X376" t="s">
        <v>37</v>
      </c>
      <c r="Y376">
        <v>7.0000000000000007E-2</v>
      </c>
      <c r="Z376">
        <v>35.863</v>
      </c>
      <c r="AA376">
        <v>36.137</v>
      </c>
      <c r="AB376" t="str">
        <f t="shared" si="5"/>
        <v>0.53 [35.86, 36.14]</v>
      </c>
    </row>
    <row r="377" spans="1:28" x14ac:dyDescent="0.35">
      <c r="A377">
        <v>289</v>
      </c>
      <c r="B377">
        <v>98</v>
      </c>
      <c r="C377" t="s">
        <v>162</v>
      </c>
      <c r="D377" t="s">
        <v>45</v>
      </c>
      <c r="E377" t="s">
        <v>164</v>
      </c>
      <c r="F377" t="s">
        <v>215</v>
      </c>
      <c r="G377" t="s">
        <v>204</v>
      </c>
      <c r="H377">
        <v>64</v>
      </c>
      <c r="I377">
        <v>35</v>
      </c>
      <c r="J377">
        <v>0.9</v>
      </c>
      <c r="P377">
        <v>24</v>
      </c>
      <c r="Q377">
        <v>8.35</v>
      </c>
      <c r="R377">
        <v>64</v>
      </c>
      <c r="S377">
        <v>0</v>
      </c>
      <c r="T377">
        <v>59</v>
      </c>
      <c r="U377">
        <v>5</v>
      </c>
      <c r="V377">
        <v>34.5</v>
      </c>
      <c r="W377">
        <v>2.9</v>
      </c>
      <c r="X377" t="s">
        <v>37</v>
      </c>
      <c r="Y377">
        <v>0.112</v>
      </c>
      <c r="Z377">
        <v>34.78</v>
      </c>
      <c r="AA377">
        <v>35.22</v>
      </c>
      <c r="AB377" t="str">
        <f t="shared" si="5"/>
        <v>0.55 [34.78, 35.22]</v>
      </c>
    </row>
    <row r="378" spans="1:28" x14ac:dyDescent="0.35">
      <c r="A378">
        <v>492</v>
      </c>
      <c r="B378">
        <v>2</v>
      </c>
      <c r="C378" t="s">
        <v>175</v>
      </c>
      <c r="D378" t="s">
        <v>27</v>
      </c>
      <c r="E378" t="s">
        <v>176</v>
      </c>
      <c r="F378" t="s">
        <v>216</v>
      </c>
      <c r="G378" t="s">
        <v>204</v>
      </c>
      <c r="H378">
        <v>60</v>
      </c>
      <c r="I378">
        <v>0</v>
      </c>
      <c r="J378">
        <v>0.06</v>
      </c>
      <c r="P378">
        <v>25</v>
      </c>
      <c r="Q378">
        <v>4.97</v>
      </c>
      <c r="R378">
        <v>60</v>
      </c>
      <c r="S378">
        <v>0</v>
      </c>
      <c r="T378">
        <v>46</v>
      </c>
      <c r="U378">
        <v>14</v>
      </c>
      <c r="V378">
        <v>24</v>
      </c>
      <c r="W378">
        <v>2</v>
      </c>
      <c r="X378" t="s">
        <v>37</v>
      </c>
      <c r="Y378">
        <v>8.0000000000000002E-3</v>
      </c>
      <c r="Z378">
        <v>-1.6E-2</v>
      </c>
      <c r="AA378">
        <v>1.6E-2</v>
      </c>
      <c r="AB378" t="str">
        <f t="shared" si="5"/>
        <v>0.01 [-0.02, 0.02]</v>
      </c>
    </row>
    <row r="379" spans="1:28" x14ac:dyDescent="0.35">
      <c r="A379">
        <v>493</v>
      </c>
      <c r="B379">
        <v>2</v>
      </c>
      <c r="C379" t="s">
        <v>175</v>
      </c>
      <c r="D379" t="s">
        <v>35</v>
      </c>
      <c r="E379" t="s">
        <v>178</v>
      </c>
      <c r="F379" t="s">
        <v>216</v>
      </c>
      <c r="G379" t="s">
        <v>204</v>
      </c>
      <c r="H379">
        <v>60</v>
      </c>
      <c r="I379">
        <v>0</v>
      </c>
      <c r="J379">
        <v>0.06</v>
      </c>
      <c r="P379">
        <v>25</v>
      </c>
      <c r="Q379">
        <v>5.19</v>
      </c>
      <c r="R379">
        <v>60</v>
      </c>
      <c r="S379">
        <v>0</v>
      </c>
      <c r="T379">
        <v>46</v>
      </c>
      <c r="U379">
        <v>14</v>
      </c>
      <c r="V379">
        <v>24</v>
      </c>
      <c r="W379">
        <v>2</v>
      </c>
      <c r="X379" t="s">
        <v>37</v>
      </c>
      <c r="Y379">
        <v>8.0000000000000002E-3</v>
      </c>
      <c r="Z379">
        <v>-1.6E-2</v>
      </c>
      <c r="AA379">
        <v>1.6E-2</v>
      </c>
      <c r="AB379" t="str">
        <f t="shared" si="5"/>
        <v>0.01 [-0.02, 0.02]</v>
      </c>
    </row>
    <row r="380" spans="1:28" x14ac:dyDescent="0.35">
      <c r="A380">
        <v>496</v>
      </c>
      <c r="B380">
        <v>11</v>
      </c>
      <c r="C380" t="s">
        <v>205</v>
      </c>
      <c r="D380" t="s">
        <v>27</v>
      </c>
      <c r="E380" t="s">
        <v>206</v>
      </c>
      <c r="F380" t="s">
        <v>216</v>
      </c>
      <c r="G380" t="s">
        <v>204</v>
      </c>
      <c r="H380">
        <v>22</v>
      </c>
      <c r="I380">
        <v>13</v>
      </c>
      <c r="J380">
        <v>0.59</v>
      </c>
      <c r="P380">
        <v>28.5</v>
      </c>
      <c r="Q380">
        <v>6.96</v>
      </c>
      <c r="R380">
        <v>28</v>
      </c>
      <c r="S380">
        <v>6</v>
      </c>
      <c r="T380">
        <v>18</v>
      </c>
      <c r="U380">
        <v>10</v>
      </c>
      <c r="V380">
        <v>36</v>
      </c>
      <c r="W380">
        <v>3</v>
      </c>
      <c r="X380" t="s">
        <v>37</v>
      </c>
      <c r="Y380">
        <v>0.126</v>
      </c>
      <c r="Z380">
        <v>12.753</v>
      </c>
      <c r="AA380">
        <v>13.247</v>
      </c>
      <c r="AB380" t="str">
        <f t="shared" si="5"/>
        <v>0.60 [12.75, 13.25]</v>
      </c>
    </row>
    <row r="381" spans="1:28" x14ac:dyDescent="0.35">
      <c r="A381">
        <v>497</v>
      </c>
      <c r="B381">
        <v>11</v>
      </c>
      <c r="C381" t="s">
        <v>205</v>
      </c>
      <c r="D381" t="s">
        <v>35</v>
      </c>
      <c r="E381" t="s">
        <v>207</v>
      </c>
      <c r="F381" t="s">
        <v>216</v>
      </c>
      <c r="G381" t="s">
        <v>204</v>
      </c>
      <c r="H381">
        <v>22</v>
      </c>
      <c r="I381">
        <v>7</v>
      </c>
      <c r="J381">
        <v>7.04</v>
      </c>
      <c r="P381">
        <v>29.9</v>
      </c>
      <c r="Q381">
        <v>5.72</v>
      </c>
      <c r="R381">
        <v>28</v>
      </c>
      <c r="S381">
        <v>6</v>
      </c>
      <c r="T381">
        <v>13</v>
      </c>
      <c r="U381">
        <v>15</v>
      </c>
      <c r="V381">
        <v>36</v>
      </c>
      <c r="W381">
        <v>3</v>
      </c>
      <c r="X381" t="s">
        <v>37</v>
      </c>
      <c r="Y381">
        <v>1.5009999999999999</v>
      </c>
      <c r="Z381">
        <v>4.0579999999999998</v>
      </c>
      <c r="AA381">
        <v>9.9420000000000002</v>
      </c>
      <c r="AB381" t="str">
        <f t="shared" si="5"/>
        <v>0.33 [4.06, 9.94]</v>
      </c>
    </row>
    <row r="382" spans="1:28" x14ac:dyDescent="0.35">
      <c r="A382">
        <v>498</v>
      </c>
      <c r="B382">
        <v>13</v>
      </c>
      <c r="C382" t="s">
        <v>40</v>
      </c>
      <c r="D382" t="s">
        <v>27</v>
      </c>
      <c r="E382" t="s">
        <v>41</v>
      </c>
      <c r="F382" t="s">
        <v>216</v>
      </c>
      <c r="G382" t="s">
        <v>204</v>
      </c>
      <c r="H382">
        <v>61</v>
      </c>
      <c r="I382">
        <v>7</v>
      </c>
      <c r="J382">
        <v>1.0900000000000001</v>
      </c>
      <c r="P382">
        <v>28.2</v>
      </c>
      <c r="Q382">
        <v>9.1</v>
      </c>
      <c r="R382">
        <v>61</v>
      </c>
      <c r="S382">
        <v>0</v>
      </c>
      <c r="T382">
        <v>42</v>
      </c>
      <c r="U382">
        <v>19</v>
      </c>
      <c r="V382">
        <v>202.6</v>
      </c>
      <c r="W382">
        <v>16.899999999999999</v>
      </c>
      <c r="X382" t="s">
        <v>31</v>
      </c>
      <c r="Y382">
        <v>0.14000000000000001</v>
      </c>
      <c r="Z382">
        <v>6.726</v>
      </c>
      <c r="AA382">
        <v>7.274</v>
      </c>
      <c r="AB382" t="str">
        <f t="shared" si="5"/>
        <v>0.12 [6.73, 7.27]</v>
      </c>
    </row>
    <row r="383" spans="1:28" x14ac:dyDescent="0.35">
      <c r="A383">
        <v>499</v>
      </c>
      <c r="B383">
        <v>13</v>
      </c>
      <c r="C383" t="s">
        <v>40</v>
      </c>
      <c r="D383" t="s">
        <v>35</v>
      </c>
      <c r="E383" t="s">
        <v>42</v>
      </c>
      <c r="F383" t="s">
        <v>216</v>
      </c>
      <c r="G383" t="s">
        <v>204</v>
      </c>
      <c r="H383">
        <v>86</v>
      </c>
      <c r="I383">
        <v>21</v>
      </c>
      <c r="J383">
        <v>2.88</v>
      </c>
      <c r="P383">
        <v>26.8</v>
      </c>
      <c r="Q383">
        <v>7.6</v>
      </c>
      <c r="R383">
        <v>86</v>
      </c>
      <c r="S383">
        <v>0</v>
      </c>
      <c r="T383">
        <v>53</v>
      </c>
      <c r="U383">
        <v>33</v>
      </c>
      <c r="V383">
        <v>191.9</v>
      </c>
      <c r="W383">
        <v>16</v>
      </c>
      <c r="X383" t="s">
        <v>31</v>
      </c>
      <c r="Y383">
        <v>0.311</v>
      </c>
      <c r="Z383">
        <v>20.39</v>
      </c>
      <c r="AA383">
        <v>21.61</v>
      </c>
      <c r="AB383" t="str">
        <f t="shared" si="5"/>
        <v>0.25 [20.39, 21.61]</v>
      </c>
    </row>
    <row r="384" spans="1:28" x14ac:dyDescent="0.35">
      <c r="A384">
        <v>502</v>
      </c>
      <c r="B384">
        <v>23</v>
      </c>
      <c r="C384" t="s">
        <v>121</v>
      </c>
      <c r="D384" t="s">
        <v>27</v>
      </c>
      <c r="E384" t="s">
        <v>122</v>
      </c>
      <c r="F384" t="s">
        <v>216</v>
      </c>
      <c r="G384" t="s">
        <v>204</v>
      </c>
      <c r="H384">
        <v>32</v>
      </c>
      <c r="I384">
        <v>2</v>
      </c>
      <c r="J384">
        <v>5.16</v>
      </c>
      <c r="P384">
        <v>27.26</v>
      </c>
      <c r="Q384">
        <v>8.4700000000000006</v>
      </c>
      <c r="R384">
        <v>32</v>
      </c>
      <c r="S384">
        <v>0</v>
      </c>
      <c r="T384">
        <v>21</v>
      </c>
      <c r="U384">
        <v>11</v>
      </c>
      <c r="V384">
        <v>24</v>
      </c>
      <c r="W384">
        <v>2</v>
      </c>
      <c r="X384" t="s">
        <v>37</v>
      </c>
      <c r="Y384">
        <v>0.91200000000000003</v>
      </c>
      <c r="Z384">
        <v>0.21199999999999999</v>
      </c>
      <c r="AA384">
        <v>3.7879999999999998</v>
      </c>
      <c r="AB384" t="str">
        <f t="shared" si="5"/>
        <v>0.08 [0.21, 3.79]</v>
      </c>
    </row>
    <row r="385" spans="1:28" x14ac:dyDescent="0.35">
      <c r="A385">
        <v>503</v>
      </c>
      <c r="B385">
        <v>23</v>
      </c>
      <c r="C385" t="s">
        <v>121</v>
      </c>
      <c r="D385" t="s">
        <v>35</v>
      </c>
      <c r="E385" t="s">
        <v>123</v>
      </c>
      <c r="F385" t="s">
        <v>216</v>
      </c>
      <c r="G385" t="s">
        <v>204</v>
      </c>
      <c r="H385">
        <v>34</v>
      </c>
      <c r="I385">
        <v>0</v>
      </c>
      <c r="J385">
        <v>4.2300000000000004</v>
      </c>
      <c r="P385">
        <v>30.77</v>
      </c>
      <c r="Q385">
        <v>10.52</v>
      </c>
      <c r="R385">
        <v>34</v>
      </c>
      <c r="S385">
        <v>0</v>
      </c>
      <c r="T385">
        <v>25</v>
      </c>
      <c r="U385">
        <v>9</v>
      </c>
      <c r="V385">
        <v>24</v>
      </c>
      <c r="W385">
        <v>2</v>
      </c>
      <c r="X385" t="s">
        <v>37</v>
      </c>
      <c r="Y385">
        <v>0.72499999999999998</v>
      </c>
      <c r="Z385">
        <v>-1.421</v>
      </c>
      <c r="AA385">
        <v>1.421</v>
      </c>
      <c r="AB385" t="str">
        <f t="shared" si="5"/>
        <v>0.01 [-1.42, 1.42]</v>
      </c>
    </row>
    <row r="386" spans="1:28" x14ac:dyDescent="0.35">
      <c r="A386">
        <v>504</v>
      </c>
      <c r="B386">
        <v>26</v>
      </c>
      <c r="C386" t="s">
        <v>188</v>
      </c>
      <c r="D386" t="s">
        <v>27</v>
      </c>
      <c r="E386" t="s">
        <v>189</v>
      </c>
      <c r="F386" t="s">
        <v>216</v>
      </c>
      <c r="G386" t="s">
        <v>204</v>
      </c>
      <c r="H386">
        <v>27</v>
      </c>
      <c r="I386">
        <v>0</v>
      </c>
      <c r="J386">
        <v>0.3</v>
      </c>
      <c r="P386">
        <v>25.8</v>
      </c>
      <c r="Q386">
        <v>6</v>
      </c>
      <c r="R386">
        <v>31</v>
      </c>
      <c r="S386">
        <v>4</v>
      </c>
      <c r="T386">
        <v>23</v>
      </c>
      <c r="U386">
        <v>8</v>
      </c>
      <c r="V386">
        <v>36</v>
      </c>
      <c r="W386">
        <v>3</v>
      </c>
      <c r="X386" t="s">
        <v>37</v>
      </c>
      <c r="Y386">
        <v>5.8000000000000003E-2</v>
      </c>
      <c r="Z386">
        <v>-0.114</v>
      </c>
      <c r="AA386">
        <v>0.114</v>
      </c>
      <c r="AB386" t="str">
        <f t="shared" si="5"/>
        <v>0.02 [-0.11, 0.11]</v>
      </c>
    </row>
    <row r="387" spans="1:28" x14ac:dyDescent="0.35">
      <c r="A387">
        <v>505</v>
      </c>
      <c r="B387">
        <v>26</v>
      </c>
      <c r="C387" t="s">
        <v>188</v>
      </c>
      <c r="D387" t="s">
        <v>35</v>
      </c>
      <c r="E387" t="s">
        <v>190</v>
      </c>
      <c r="F387" t="s">
        <v>216</v>
      </c>
      <c r="G387" t="s">
        <v>204</v>
      </c>
      <c r="H387">
        <v>21</v>
      </c>
      <c r="I387">
        <v>0</v>
      </c>
      <c r="J387">
        <v>0.11</v>
      </c>
      <c r="P387">
        <v>26.3</v>
      </c>
      <c r="Q387">
        <v>6</v>
      </c>
      <c r="R387">
        <v>34</v>
      </c>
      <c r="S387">
        <v>13</v>
      </c>
      <c r="T387">
        <v>24</v>
      </c>
      <c r="U387">
        <v>10</v>
      </c>
      <c r="V387">
        <v>36</v>
      </c>
      <c r="W387">
        <v>3</v>
      </c>
      <c r="X387" t="s">
        <v>37</v>
      </c>
      <c r="Y387">
        <v>2.4E-2</v>
      </c>
      <c r="Z387">
        <v>-4.7E-2</v>
      </c>
      <c r="AA387">
        <v>4.7E-2</v>
      </c>
      <c r="AB387" t="str">
        <f t="shared" ref="AB387:AB441" si="6">TEXT((I387+0.5)/(H387+0.5), "#0.00")&amp;" ["&amp;TEXT(Z387, "#0.00")&amp;", "&amp;TEXT(AA387, "#0.00")&amp;"]"</f>
        <v>0.02 [-0.05, 0.05]</v>
      </c>
    </row>
    <row r="388" spans="1:28" x14ac:dyDescent="0.35">
      <c r="A388">
        <v>506</v>
      </c>
      <c r="B388">
        <v>30</v>
      </c>
      <c r="C388" t="s">
        <v>191</v>
      </c>
      <c r="D388" t="s">
        <v>27</v>
      </c>
      <c r="E388" t="s">
        <v>192</v>
      </c>
      <c r="F388" t="s">
        <v>216</v>
      </c>
      <c r="G388" t="s">
        <v>204</v>
      </c>
      <c r="H388">
        <v>41</v>
      </c>
      <c r="I388">
        <v>1</v>
      </c>
      <c r="J388">
        <v>0.24</v>
      </c>
      <c r="P388">
        <v>27</v>
      </c>
      <c r="Q388">
        <v>6.74</v>
      </c>
      <c r="V388">
        <v>84</v>
      </c>
      <c r="W388">
        <v>7</v>
      </c>
      <c r="X388" t="s">
        <v>31</v>
      </c>
      <c r="Y388">
        <v>3.6999999999999998E-2</v>
      </c>
      <c r="Z388">
        <v>0.92700000000000005</v>
      </c>
      <c r="AA388">
        <v>1.073</v>
      </c>
      <c r="AB388" t="str">
        <f t="shared" si="6"/>
        <v>0.04 [0.93, 1.07]</v>
      </c>
    </row>
    <row r="389" spans="1:28" x14ac:dyDescent="0.35">
      <c r="A389">
        <v>507</v>
      </c>
      <c r="B389">
        <v>30</v>
      </c>
      <c r="C389" t="s">
        <v>191</v>
      </c>
      <c r="D389" t="s">
        <v>35</v>
      </c>
      <c r="E389" t="s">
        <v>193</v>
      </c>
      <c r="F389" t="s">
        <v>216</v>
      </c>
      <c r="G389" t="s">
        <v>204</v>
      </c>
      <c r="H389">
        <v>36</v>
      </c>
      <c r="I389">
        <v>1</v>
      </c>
      <c r="J389">
        <v>0.26</v>
      </c>
      <c r="P389">
        <v>27</v>
      </c>
      <c r="Q389">
        <v>6.78</v>
      </c>
      <c r="V389">
        <v>84</v>
      </c>
      <c r="W389">
        <v>7</v>
      </c>
      <c r="X389" t="s">
        <v>31</v>
      </c>
      <c r="Y389">
        <v>4.2999999999999997E-2</v>
      </c>
      <c r="Z389">
        <v>0.91600000000000004</v>
      </c>
      <c r="AA389">
        <v>1.0840000000000001</v>
      </c>
      <c r="AB389" t="str">
        <f t="shared" si="6"/>
        <v>0.04 [0.92, 1.08]</v>
      </c>
    </row>
    <row r="390" spans="1:28" x14ac:dyDescent="0.35">
      <c r="A390">
        <v>508</v>
      </c>
      <c r="B390">
        <v>32</v>
      </c>
      <c r="C390" t="s">
        <v>53</v>
      </c>
      <c r="D390" t="s">
        <v>27</v>
      </c>
      <c r="E390" t="s">
        <v>54</v>
      </c>
      <c r="F390" t="s">
        <v>216</v>
      </c>
      <c r="G390" t="s">
        <v>204</v>
      </c>
      <c r="H390">
        <v>31</v>
      </c>
      <c r="I390">
        <v>2</v>
      </c>
      <c r="J390">
        <v>0.48</v>
      </c>
      <c r="P390">
        <v>25.2</v>
      </c>
      <c r="Q390">
        <v>5.48</v>
      </c>
      <c r="R390">
        <v>31</v>
      </c>
      <c r="S390">
        <v>0</v>
      </c>
      <c r="T390">
        <v>23</v>
      </c>
      <c r="U390">
        <v>8</v>
      </c>
      <c r="V390">
        <v>24</v>
      </c>
      <c r="W390">
        <v>2</v>
      </c>
      <c r="X390" t="s">
        <v>37</v>
      </c>
      <c r="Y390">
        <v>8.5999999999999993E-2</v>
      </c>
      <c r="Z390">
        <v>1.831</v>
      </c>
      <c r="AA390">
        <v>2.169</v>
      </c>
      <c r="AB390" t="str">
        <f t="shared" si="6"/>
        <v>0.08 [1.83, 2.17]</v>
      </c>
    </row>
    <row r="391" spans="1:28" x14ac:dyDescent="0.35">
      <c r="A391">
        <v>509</v>
      </c>
      <c r="B391">
        <v>32</v>
      </c>
      <c r="C391" t="s">
        <v>53</v>
      </c>
      <c r="D391" t="s">
        <v>35</v>
      </c>
      <c r="E391" t="s">
        <v>55</v>
      </c>
      <c r="F391" t="s">
        <v>216</v>
      </c>
      <c r="G391" t="s">
        <v>204</v>
      </c>
      <c r="H391">
        <v>31</v>
      </c>
      <c r="I391">
        <v>3</v>
      </c>
      <c r="J391">
        <v>0.7</v>
      </c>
      <c r="P391">
        <v>24.64</v>
      </c>
      <c r="Q391">
        <v>5.33</v>
      </c>
      <c r="R391">
        <v>31</v>
      </c>
      <c r="S391">
        <v>0</v>
      </c>
      <c r="T391">
        <v>19</v>
      </c>
      <c r="U391">
        <v>12</v>
      </c>
      <c r="V391">
        <v>24</v>
      </c>
      <c r="W391">
        <v>2</v>
      </c>
      <c r="X391" t="s">
        <v>37</v>
      </c>
      <c r="Y391">
        <v>0.126</v>
      </c>
      <c r="Z391">
        <v>2.7530000000000001</v>
      </c>
      <c r="AA391">
        <v>3.2469999999999999</v>
      </c>
      <c r="AB391" t="str">
        <f t="shared" si="6"/>
        <v>0.11 [2.75, 3.25]</v>
      </c>
    </row>
    <row r="392" spans="1:28" x14ac:dyDescent="0.35">
      <c r="A392">
        <v>510</v>
      </c>
      <c r="B392">
        <v>33</v>
      </c>
      <c r="C392" t="s">
        <v>124</v>
      </c>
      <c r="D392" t="s">
        <v>27</v>
      </c>
      <c r="E392" t="s">
        <v>125</v>
      </c>
      <c r="F392" t="s">
        <v>216</v>
      </c>
      <c r="G392" t="s">
        <v>204</v>
      </c>
      <c r="H392">
        <v>37</v>
      </c>
      <c r="I392">
        <v>0</v>
      </c>
      <c r="J392">
        <v>0.08</v>
      </c>
      <c r="V392">
        <v>60.6</v>
      </c>
      <c r="W392">
        <v>5.0999999999999996</v>
      </c>
      <c r="X392" t="s">
        <v>31</v>
      </c>
      <c r="Y392">
        <v>1.2999999999999999E-2</v>
      </c>
      <c r="Z392">
        <v>-2.5000000000000001E-2</v>
      </c>
      <c r="AA392">
        <v>2.5000000000000001E-2</v>
      </c>
      <c r="AB392" t="str">
        <f t="shared" si="6"/>
        <v>0.01 [-0.03, 0.03]</v>
      </c>
    </row>
    <row r="393" spans="1:28" x14ac:dyDescent="0.35">
      <c r="A393">
        <v>511</v>
      </c>
      <c r="B393">
        <v>33</v>
      </c>
      <c r="C393" t="s">
        <v>124</v>
      </c>
      <c r="D393" t="s">
        <v>35</v>
      </c>
      <c r="E393" t="s">
        <v>126</v>
      </c>
      <c r="F393" t="s">
        <v>216</v>
      </c>
      <c r="G393" t="s">
        <v>204</v>
      </c>
      <c r="H393">
        <v>37</v>
      </c>
      <c r="I393">
        <v>1</v>
      </c>
      <c r="J393">
        <v>0.25</v>
      </c>
      <c r="V393">
        <v>60.6</v>
      </c>
      <c r="W393">
        <v>5.0999999999999996</v>
      </c>
      <c r="X393" t="s">
        <v>31</v>
      </c>
      <c r="Y393">
        <v>4.1000000000000002E-2</v>
      </c>
      <c r="Z393">
        <v>0.92</v>
      </c>
      <c r="AA393">
        <v>1.08</v>
      </c>
      <c r="AB393" t="str">
        <f t="shared" si="6"/>
        <v>0.04 [0.92, 1.08]</v>
      </c>
    </row>
    <row r="394" spans="1:28" x14ac:dyDescent="0.35">
      <c r="A394">
        <v>512</v>
      </c>
      <c r="B394">
        <v>37</v>
      </c>
      <c r="C394" t="s">
        <v>130</v>
      </c>
      <c r="D394" t="s">
        <v>27</v>
      </c>
      <c r="E394" t="s">
        <v>131</v>
      </c>
      <c r="F394" t="s">
        <v>216</v>
      </c>
      <c r="G394" t="s">
        <v>204</v>
      </c>
      <c r="H394">
        <v>40</v>
      </c>
      <c r="I394">
        <v>0</v>
      </c>
      <c r="J394">
        <v>0.99</v>
      </c>
      <c r="P394">
        <v>22.3</v>
      </c>
      <c r="Q394">
        <v>3.94</v>
      </c>
      <c r="R394">
        <v>40</v>
      </c>
      <c r="S394">
        <v>0</v>
      </c>
      <c r="T394">
        <v>40</v>
      </c>
      <c r="U394">
        <v>0</v>
      </c>
      <c r="V394">
        <v>81</v>
      </c>
      <c r="W394">
        <v>6.8</v>
      </c>
      <c r="X394" t="s">
        <v>31</v>
      </c>
      <c r="Y394">
        <v>0.157</v>
      </c>
      <c r="Z394">
        <v>-0.308</v>
      </c>
      <c r="AA394">
        <v>0.308</v>
      </c>
      <c r="AB394" t="str">
        <f t="shared" si="6"/>
        <v>0.01 [-0.31, 0.31]</v>
      </c>
    </row>
    <row r="395" spans="1:28" x14ac:dyDescent="0.35">
      <c r="A395">
        <v>513</v>
      </c>
      <c r="B395">
        <v>37</v>
      </c>
      <c r="C395" t="s">
        <v>130</v>
      </c>
      <c r="D395" t="s">
        <v>35</v>
      </c>
      <c r="E395" t="s">
        <v>132</v>
      </c>
      <c r="F395" t="s">
        <v>216</v>
      </c>
      <c r="G395" t="s">
        <v>204</v>
      </c>
      <c r="H395">
        <v>46</v>
      </c>
      <c r="I395">
        <v>0</v>
      </c>
      <c r="J395">
        <v>1.3</v>
      </c>
      <c r="P395">
        <v>22.3</v>
      </c>
      <c r="Q395">
        <v>3.84</v>
      </c>
      <c r="R395">
        <v>46</v>
      </c>
      <c r="S395">
        <v>0</v>
      </c>
      <c r="T395">
        <v>46</v>
      </c>
      <c r="U395">
        <v>0</v>
      </c>
      <c r="V395">
        <v>81</v>
      </c>
      <c r="W395">
        <v>6.8</v>
      </c>
      <c r="X395" t="s">
        <v>31</v>
      </c>
      <c r="Y395">
        <v>0.192</v>
      </c>
      <c r="Z395">
        <v>-0.376</v>
      </c>
      <c r="AA395">
        <v>0.376</v>
      </c>
      <c r="AB395" t="str">
        <f t="shared" si="6"/>
        <v>0.01 [-0.38, 0.38]</v>
      </c>
    </row>
    <row r="396" spans="1:28" x14ac:dyDescent="0.35">
      <c r="A396">
        <v>516</v>
      </c>
      <c r="B396">
        <v>41</v>
      </c>
      <c r="C396" t="s">
        <v>172</v>
      </c>
      <c r="D396" t="s">
        <v>27</v>
      </c>
      <c r="E396" t="s">
        <v>173</v>
      </c>
      <c r="F396" t="s">
        <v>216</v>
      </c>
      <c r="G396" t="s">
        <v>204</v>
      </c>
      <c r="H396">
        <v>43</v>
      </c>
      <c r="I396">
        <v>0</v>
      </c>
      <c r="J396">
        <v>1.59</v>
      </c>
      <c r="V396">
        <v>24</v>
      </c>
      <c r="W396">
        <v>2</v>
      </c>
      <c r="X396" t="s">
        <v>37</v>
      </c>
      <c r="Y396">
        <v>0.24199999999999999</v>
      </c>
      <c r="Z396">
        <v>-0.47399999999999998</v>
      </c>
      <c r="AA396">
        <v>0.47399999999999998</v>
      </c>
      <c r="AB396" t="str">
        <f t="shared" si="6"/>
        <v>0.01 [-0.47, 0.47]</v>
      </c>
    </row>
    <row r="397" spans="1:28" x14ac:dyDescent="0.35">
      <c r="A397">
        <v>517</v>
      </c>
      <c r="B397">
        <v>41</v>
      </c>
      <c r="C397" t="s">
        <v>172</v>
      </c>
      <c r="D397" t="s">
        <v>35</v>
      </c>
      <c r="E397" t="s">
        <v>174</v>
      </c>
      <c r="F397" t="s">
        <v>216</v>
      </c>
      <c r="G397" t="s">
        <v>204</v>
      </c>
      <c r="H397">
        <v>46</v>
      </c>
      <c r="I397">
        <v>0</v>
      </c>
      <c r="J397">
        <v>1.52</v>
      </c>
      <c r="V397">
        <v>24</v>
      </c>
      <c r="W397">
        <v>2</v>
      </c>
      <c r="X397" t="s">
        <v>37</v>
      </c>
      <c r="Y397">
        <v>0.224</v>
      </c>
      <c r="Z397">
        <v>-0.439</v>
      </c>
      <c r="AA397">
        <v>0.439</v>
      </c>
      <c r="AB397" t="str">
        <f t="shared" si="6"/>
        <v>0.01 [-0.44, 0.44]</v>
      </c>
    </row>
    <row r="398" spans="1:28" x14ac:dyDescent="0.35">
      <c r="A398">
        <v>518</v>
      </c>
      <c r="B398">
        <v>45</v>
      </c>
      <c r="C398" t="s">
        <v>136</v>
      </c>
      <c r="D398" t="s">
        <v>27</v>
      </c>
      <c r="E398" t="s">
        <v>137</v>
      </c>
      <c r="F398" t="s">
        <v>216</v>
      </c>
      <c r="G398" t="s">
        <v>204</v>
      </c>
      <c r="H398">
        <v>24</v>
      </c>
      <c r="I398">
        <v>0</v>
      </c>
      <c r="J398">
        <v>2.6</v>
      </c>
      <c r="P398">
        <v>29.8</v>
      </c>
      <c r="Q398">
        <v>6.33</v>
      </c>
      <c r="R398">
        <v>31</v>
      </c>
      <c r="S398">
        <v>7</v>
      </c>
      <c r="T398">
        <v>22</v>
      </c>
      <c r="U398">
        <v>9</v>
      </c>
      <c r="V398">
        <v>120</v>
      </c>
      <c r="W398">
        <v>10</v>
      </c>
      <c r="X398" t="s">
        <v>31</v>
      </c>
      <c r="Y398">
        <v>0.53100000000000003</v>
      </c>
      <c r="Z398">
        <v>-1.0409999999999999</v>
      </c>
      <c r="AA398">
        <v>1.0409999999999999</v>
      </c>
      <c r="AB398" t="str">
        <f t="shared" si="6"/>
        <v>0.02 [-1.04, 1.04]</v>
      </c>
    </row>
    <row r="399" spans="1:28" x14ac:dyDescent="0.35">
      <c r="A399">
        <v>519</v>
      </c>
      <c r="B399">
        <v>45</v>
      </c>
      <c r="C399" t="s">
        <v>136</v>
      </c>
      <c r="D399" t="s">
        <v>35</v>
      </c>
      <c r="E399" t="s">
        <v>138</v>
      </c>
      <c r="F399" t="s">
        <v>216</v>
      </c>
      <c r="G399" t="s">
        <v>204</v>
      </c>
      <c r="H399">
        <v>23</v>
      </c>
      <c r="I399">
        <v>2</v>
      </c>
      <c r="J399">
        <v>4.5999999999999996</v>
      </c>
      <c r="P399">
        <v>29.8</v>
      </c>
      <c r="Q399">
        <v>6.33</v>
      </c>
      <c r="R399">
        <v>31</v>
      </c>
      <c r="S399">
        <v>8</v>
      </c>
      <c r="T399">
        <v>23</v>
      </c>
      <c r="U399">
        <v>8</v>
      </c>
      <c r="V399">
        <v>120</v>
      </c>
      <c r="W399">
        <v>10</v>
      </c>
      <c r="X399" t="s">
        <v>31</v>
      </c>
      <c r="Y399">
        <v>0.95899999999999996</v>
      </c>
      <c r="Z399">
        <v>0.12</v>
      </c>
      <c r="AA399">
        <v>3.88</v>
      </c>
      <c r="AB399" t="str">
        <f t="shared" si="6"/>
        <v>0.11 [0.12, 3.88]</v>
      </c>
    </row>
    <row r="400" spans="1:28" x14ac:dyDescent="0.35">
      <c r="A400">
        <v>522</v>
      </c>
      <c r="B400">
        <v>51</v>
      </c>
      <c r="C400" t="s">
        <v>66</v>
      </c>
      <c r="D400" t="s">
        <v>35</v>
      </c>
      <c r="E400" t="s">
        <v>67</v>
      </c>
      <c r="F400" t="s">
        <v>216</v>
      </c>
      <c r="G400" t="s">
        <v>204</v>
      </c>
      <c r="H400">
        <v>32</v>
      </c>
      <c r="I400">
        <v>2</v>
      </c>
      <c r="J400">
        <v>1.41</v>
      </c>
      <c r="P400">
        <v>29.8</v>
      </c>
      <c r="Q400">
        <v>7.9</v>
      </c>
      <c r="R400">
        <v>32</v>
      </c>
      <c r="S400">
        <v>0</v>
      </c>
      <c r="T400">
        <v>17</v>
      </c>
      <c r="U400">
        <v>15</v>
      </c>
      <c r="V400">
        <v>69.599999999999994</v>
      </c>
      <c r="W400">
        <v>5.8</v>
      </c>
      <c r="X400" t="s">
        <v>31</v>
      </c>
      <c r="Y400">
        <v>0.249</v>
      </c>
      <c r="Z400">
        <v>1.512</v>
      </c>
      <c r="AA400">
        <v>2.488</v>
      </c>
      <c r="AB400" t="str">
        <f t="shared" si="6"/>
        <v>0.08 [1.51, 2.49]</v>
      </c>
    </row>
    <row r="401" spans="1:28" x14ac:dyDescent="0.35">
      <c r="A401">
        <v>523</v>
      </c>
      <c r="B401">
        <v>51</v>
      </c>
      <c r="C401" t="s">
        <v>66</v>
      </c>
      <c r="D401" t="s">
        <v>45</v>
      </c>
      <c r="E401" t="s">
        <v>68</v>
      </c>
      <c r="F401" t="s">
        <v>216</v>
      </c>
      <c r="G401" t="s">
        <v>204</v>
      </c>
      <c r="H401">
        <v>32</v>
      </c>
      <c r="I401">
        <v>4</v>
      </c>
      <c r="J401">
        <v>4.0199999999999996</v>
      </c>
      <c r="P401">
        <v>30.5</v>
      </c>
      <c r="Q401">
        <v>6.1</v>
      </c>
      <c r="R401">
        <v>32</v>
      </c>
      <c r="S401">
        <v>0</v>
      </c>
      <c r="T401">
        <v>15</v>
      </c>
      <c r="U401">
        <v>17</v>
      </c>
      <c r="V401">
        <v>73.2</v>
      </c>
      <c r="W401">
        <v>6.1</v>
      </c>
      <c r="X401" t="s">
        <v>31</v>
      </c>
      <c r="Y401">
        <v>0.71099999999999997</v>
      </c>
      <c r="Z401">
        <v>2.6059999999999999</v>
      </c>
      <c r="AA401">
        <v>5.3940000000000001</v>
      </c>
      <c r="AB401" t="str">
        <f t="shared" si="6"/>
        <v>0.14 [2.61, 5.39]</v>
      </c>
    </row>
    <row r="402" spans="1:28" x14ac:dyDescent="0.35">
      <c r="A402">
        <v>524</v>
      </c>
      <c r="B402">
        <v>52</v>
      </c>
      <c r="C402" t="s">
        <v>142</v>
      </c>
      <c r="D402" t="s">
        <v>27</v>
      </c>
      <c r="E402" t="s">
        <v>143</v>
      </c>
      <c r="F402" t="s">
        <v>216</v>
      </c>
      <c r="G402" t="s">
        <v>204</v>
      </c>
      <c r="H402">
        <v>30</v>
      </c>
      <c r="I402">
        <v>1</v>
      </c>
      <c r="J402">
        <v>15.41</v>
      </c>
      <c r="P402">
        <v>28</v>
      </c>
      <c r="Q402">
        <v>8.3699999999999992</v>
      </c>
      <c r="R402">
        <v>34</v>
      </c>
      <c r="S402">
        <v>4</v>
      </c>
      <c r="T402">
        <v>23</v>
      </c>
      <c r="U402">
        <v>11</v>
      </c>
      <c r="V402">
        <v>87.11</v>
      </c>
      <c r="W402">
        <v>7.3</v>
      </c>
      <c r="X402" t="s">
        <v>31</v>
      </c>
      <c r="Y402">
        <v>2.8130000000000002</v>
      </c>
      <c r="Z402">
        <v>-4.5129999999999999</v>
      </c>
      <c r="AA402">
        <v>6.5129999999999999</v>
      </c>
      <c r="AB402" t="str">
        <f t="shared" si="6"/>
        <v>0.05 [-4.51, 6.51]</v>
      </c>
    </row>
    <row r="403" spans="1:28" x14ac:dyDescent="0.35">
      <c r="A403">
        <v>525</v>
      </c>
      <c r="B403">
        <v>52</v>
      </c>
      <c r="C403" t="s">
        <v>142</v>
      </c>
      <c r="D403" t="s">
        <v>35</v>
      </c>
      <c r="E403" t="s">
        <v>144</v>
      </c>
      <c r="F403" t="s">
        <v>216</v>
      </c>
      <c r="G403" t="s">
        <v>204</v>
      </c>
      <c r="H403">
        <v>32</v>
      </c>
      <c r="I403">
        <v>2</v>
      </c>
      <c r="J403">
        <v>20.61</v>
      </c>
      <c r="P403">
        <v>29</v>
      </c>
      <c r="Q403">
        <v>10.35</v>
      </c>
      <c r="R403">
        <v>37</v>
      </c>
      <c r="S403">
        <v>5</v>
      </c>
      <c r="T403">
        <v>26</v>
      </c>
      <c r="U403">
        <v>11</v>
      </c>
      <c r="V403">
        <v>87.05</v>
      </c>
      <c r="W403">
        <v>7.3</v>
      </c>
      <c r="X403" t="s">
        <v>31</v>
      </c>
      <c r="Y403">
        <v>3.6429999999999998</v>
      </c>
      <c r="Z403">
        <v>-5.14</v>
      </c>
      <c r="AA403">
        <v>9.14</v>
      </c>
      <c r="AB403" t="str">
        <f t="shared" si="6"/>
        <v>0.08 [-5.14, 9.14]</v>
      </c>
    </row>
    <row r="404" spans="1:28" x14ac:dyDescent="0.35">
      <c r="A404">
        <v>526</v>
      </c>
      <c r="B404">
        <v>55</v>
      </c>
      <c r="C404" t="s">
        <v>75</v>
      </c>
      <c r="D404" t="s">
        <v>27</v>
      </c>
      <c r="E404" t="s">
        <v>76</v>
      </c>
      <c r="F404" t="s">
        <v>216</v>
      </c>
      <c r="G404" t="s">
        <v>204</v>
      </c>
      <c r="H404">
        <v>14</v>
      </c>
      <c r="I404">
        <v>0</v>
      </c>
      <c r="J404">
        <v>1.68</v>
      </c>
      <c r="P404">
        <v>26.5</v>
      </c>
      <c r="Q404">
        <v>5</v>
      </c>
      <c r="R404">
        <v>14</v>
      </c>
      <c r="S404">
        <v>0</v>
      </c>
      <c r="T404">
        <v>14</v>
      </c>
      <c r="U404">
        <v>0</v>
      </c>
      <c r="V404">
        <v>12</v>
      </c>
      <c r="W404">
        <v>1</v>
      </c>
      <c r="X404" t="s">
        <v>61</v>
      </c>
      <c r="Y404">
        <v>0.44900000000000001</v>
      </c>
      <c r="Z404">
        <v>-0.88</v>
      </c>
      <c r="AA404">
        <v>0.88</v>
      </c>
      <c r="AB404" t="str">
        <f t="shared" si="6"/>
        <v>0.03 [-0.88, 0.88]</v>
      </c>
    </row>
    <row r="405" spans="1:28" x14ac:dyDescent="0.35">
      <c r="A405">
        <v>527</v>
      </c>
      <c r="B405">
        <v>55</v>
      </c>
      <c r="C405" t="s">
        <v>75</v>
      </c>
      <c r="D405" t="s">
        <v>35</v>
      </c>
      <c r="E405" t="s">
        <v>77</v>
      </c>
      <c r="F405" t="s">
        <v>216</v>
      </c>
      <c r="G405" t="s">
        <v>204</v>
      </c>
      <c r="H405">
        <v>17</v>
      </c>
      <c r="I405">
        <v>0</v>
      </c>
      <c r="J405">
        <v>1.03</v>
      </c>
      <c r="P405">
        <v>24.63</v>
      </c>
      <c r="Q405">
        <v>4.5999999999999996</v>
      </c>
      <c r="R405">
        <v>38</v>
      </c>
      <c r="S405">
        <v>21</v>
      </c>
      <c r="T405">
        <v>38</v>
      </c>
      <c r="U405">
        <v>0</v>
      </c>
      <c r="V405">
        <v>12</v>
      </c>
      <c r="W405">
        <v>1</v>
      </c>
      <c r="X405" t="s">
        <v>61</v>
      </c>
      <c r="Y405">
        <v>0.25</v>
      </c>
      <c r="Z405">
        <v>-0.49</v>
      </c>
      <c r="AA405">
        <v>0.49</v>
      </c>
      <c r="AB405" t="str">
        <f t="shared" si="6"/>
        <v>0.03 [-0.49, 0.49]</v>
      </c>
    </row>
    <row r="406" spans="1:28" x14ac:dyDescent="0.35">
      <c r="A406">
        <v>528</v>
      </c>
      <c r="B406">
        <v>58</v>
      </c>
      <c r="C406" t="s">
        <v>81</v>
      </c>
      <c r="D406" t="s">
        <v>35</v>
      </c>
      <c r="E406" t="s">
        <v>82</v>
      </c>
      <c r="F406" t="s">
        <v>216</v>
      </c>
      <c r="G406" t="s">
        <v>204</v>
      </c>
      <c r="H406">
        <v>25</v>
      </c>
      <c r="I406">
        <v>3</v>
      </c>
      <c r="J406">
        <v>0.8</v>
      </c>
      <c r="P406">
        <v>28.12</v>
      </c>
      <c r="Q406">
        <v>5.21</v>
      </c>
      <c r="R406">
        <v>25</v>
      </c>
      <c r="S406">
        <v>0</v>
      </c>
      <c r="T406">
        <v>18</v>
      </c>
      <c r="U406">
        <v>7</v>
      </c>
      <c r="V406">
        <v>6</v>
      </c>
      <c r="W406">
        <v>0.5</v>
      </c>
      <c r="X406" t="s">
        <v>61</v>
      </c>
      <c r="Y406">
        <v>0.16</v>
      </c>
      <c r="Z406">
        <v>2.6859999999999999</v>
      </c>
      <c r="AA406">
        <v>3.3140000000000001</v>
      </c>
      <c r="AB406" t="str">
        <f t="shared" si="6"/>
        <v>0.14 [2.69, 3.31]</v>
      </c>
    </row>
    <row r="407" spans="1:28" x14ac:dyDescent="0.35">
      <c r="A407">
        <v>529</v>
      </c>
      <c r="B407">
        <v>58</v>
      </c>
      <c r="C407" t="s">
        <v>81</v>
      </c>
      <c r="D407" t="s">
        <v>38</v>
      </c>
      <c r="E407" t="s">
        <v>83</v>
      </c>
      <c r="F407" t="s">
        <v>216</v>
      </c>
      <c r="G407" t="s">
        <v>204</v>
      </c>
      <c r="H407">
        <v>25</v>
      </c>
      <c r="I407">
        <v>2</v>
      </c>
      <c r="J407">
        <v>0.54</v>
      </c>
      <c r="P407">
        <v>27.84</v>
      </c>
      <c r="Q407">
        <v>4.92</v>
      </c>
      <c r="R407">
        <v>25</v>
      </c>
      <c r="S407">
        <v>0</v>
      </c>
      <c r="T407">
        <v>17</v>
      </c>
      <c r="U407">
        <v>8</v>
      </c>
      <c r="V407">
        <v>6</v>
      </c>
      <c r="W407">
        <v>0.5</v>
      </c>
      <c r="X407" t="s">
        <v>61</v>
      </c>
      <c r="Y407">
        <v>0.108</v>
      </c>
      <c r="Z407">
        <v>1.788</v>
      </c>
      <c r="AA407">
        <v>2.2120000000000002</v>
      </c>
      <c r="AB407" t="str">
        <f t="shared" si="6"/>
        <v>0.10 [1.79, 2.21]</v>
      </c>
    </row>
    <row r="408" spans="1:28" x14ac:dyDescent="0.35">
      <c r="A408">
        <v>536</v>
      </c>
      <c r="B408">
        <v>70</v>
      </c>
      <c r="C408" t="s">
        <v>145</v>
      </c>
      <c r="D408" t="s">
        <v>35</v>
      </c>
      <c r="E408" t="s">
        <v>146</v>
      </c>
      <c r="F408" t="s">
        <v>216</v>
      </c>
      <c r="G408" t="s">
        <v>204</v>
      </c>
      <c r="H408">
        <v>33</v>
      </c>
      <c r="I408">
        <v>1</v>
      </c>
      <c r="J408">
        <v>1.38</v>
      </c>
      <c r="P408">
        <v>25.81</v>
      </c>
      <c r="Q408">
        <v>7.46</v>
      </c>
      <c r="R408">
        <v>33</v>
      </c>
      <c r="S408">
        <v>0</v>
      </c>
      <c r="T408">
        <v>30</v>
      </c>
      <c r="U408">
        <v>3</v>
      </c>
      <c r="V408">
        <v>28.1</v>
      </c>
      <c r="W408">
        <v>2.2999999999999998</v>
      </c>
      <c r="X408" t="s">
        <v>37</v>
      </c>
      <c r="Y408">
        <v>0.24</v>
      </c>
      <c r="Z408">
        <v>0.53</v>
      </c>
      <c r="AA408">
        <v>1.47</v>
      </c>
      <c r="AB408" t="str">
        <f t="shared" si="6"/>
        <v>0.04 [0.53, 1.47]</v>
      </c>
    </row>
    <row r="409" spans="1:28" x14ac:dyDescent="0.35">
      <c r="A409">
        <v>537</v>
      </c>
      <c r="B409">
        <v>70</v>
      </c>
      <c r="C409" t="s">
        <v>145</v>
      </c>
      <c r="D409" t="s">
        <v>147</v>
      </c>
      <c r="E409" t="s">
        <v>148</v>
      </c>
      <c r="F409" t="s">
        <v>216</v>
      </c>
      <c r="G409" t="s">
        <v>204</v>
      </c>
      <c r="H409">
        <v>32</v>
      </c>
      <c r="I409">
        <v>3</v>
      </c>
      <c r="J409">
        <v>3.1</v>
      </c>
      <c r="P409">
        <v>25.55</v>
      </c>
      <c r="Q409">
        <v>8.4700000000000006</v>
      </c>
      <c r="R409">
        <v>32</v>
      </c>
      <c r="S409">
        <v>0</v>
      </c>
      <c r="T409">
        <v>26</v>
      </c>
      <c r="U409">
        <v>6</v>
      </c>
      <c r="V409">
        <v>31.6</v>
      </c>
      <c r="W409">
        <v>2.6</v>
      </c>
      <c r="X409" t="s">
        <v>37</v>
      </c>
      <c r="Y409">
        <v>0.54800000000000004</v>
      </c>
      <c r="Z409">
        <v>1.9259999999999999</v>
      </c>
      <c r="AA409">
        <v>4.0739999999999998</v>
      </c>
      <c r="AB409" t="str">
        <f t="shared" si="6"/>
        <v>0.11 [1.93, 4.07]</v>
      </c>
    </row>
    <row r="410" spans="1:28" x14ac:dyDescent="0.35">
      <c r="A410">
        <v>538</v>
      </c>
      <c r="B410">
        <v>76</v>
      </c>
      <c r="C410" t="s">
        <v>197</v>
      </c>
      <c r="D410" t="s">
        <v>27</v>
      </c>
      <c r="E410" t="s">
        <v>198</v>
      </c>
      <c r="F410" t="s">
        <v>216</v>
      </c>
      <c r="G410" t="s">
        <v>204</v>
      </c>
      <c r="H410">
        <v>53</v>
      </c>
      <c r="I410">
        <v>0</v>
      </c>
      <c r="J410">
        <v>1.78</v>
      </c>
      <c r="P410">
        <v>25</v>
      </c>
      <c r="Q410">
        <v>5.49</v>
      </c>
      <c r="R410">
        <v>90</v>
      </c>
      <c r="S410">
        <v>37</v>
      </c>
      <c r="T410">
        <v>48</v>
      </c>
      <c r="U410">
        <v>42</v>
      </c>
      <c r="V410">
        <v>120</v>
      </c>
      <c r="W410">
        <v>10</v>
      </c>
      <c r="X410" t="s">
        <v>31</v>
      </c>
      <c r="Y410">
        <v>0.245</v>
      </c>
      <c r="Z410">
        <v>-0.48</v>
      </c>
      <c r="AA410">
        <v>0.48</v>
      </c>
      <c r="AB410" t="str">
        <f t="shared" si="6"/>
        <v>0.01 [-0.48, 0.48]</v>
      </c>
    </row>
    <row r="411" spans="1:28" x14ac:dyDescent="0.35">
      <c r="A411">
        <v>539</v>
      </c>
      <c r="B411">
        <v>76</v>
      </c>
      <c r="C411" t="s">
        <v>197</v>
      </c>
      <c r="D411" t="s">
        <v>35</v>
      </c>
      <c r="E411" t="s">
        <v>199</v>
      </c>
      <c r="F411" t="s">
        <v>216</v>
      </c>
      <c r="G411" t="s">
        <v>204</v>
      </c>
      <c r="H411">
        <v>58</v>
      </c>
      <c r="I411">
        <v>1</v>
      </c>
      <c r="J411">
        <v>2.0699999999999998</v>
      </c>
      <c r="P411">
        <v>24</v>
      </c>
      <c r="Q411">
        <v>7.92</v>
      </c>
      <c r="R411">
        <v>90</v>
      </c>
      <c r="S411">
        <v>32</v>
      </c>
      <c r="T411">
        <v>47</v>
      </c>
      <c r="U411">
        <v>43</v>
      </c>
      <c r="V411">
        <v>120</v>
      </c>
      <c r="W411">
        <v>10</v>
      </c>
      <c r="X411" t="s">
        <v>31</v>
      </c>
      <c r="Y411">
        <v>0.27200000000000002</v>
      </c>
      <c r="Z411">
        <v>0.46700000000000003</v>
      </c>
      <c r="AA411">
        <v>1.5329999999999999</v>
      </c>
      <c r="AB411" t="str">
        <f t="shared" si="6"/>
        <v>0.03 [0.47, 1.53]</v>
      </c>
    </row>
    <row r="412" spans="1:28" x14ac:dyDescent="0.35">
      <c r="A412">
        <v>540</v>
      </c>
      <c r="B412">
        <v>77</v>
      </c>
      <c r="C412" t="s">
        <v>149</v>
      </c>
      <c r="D412" t="s">
        <v>27</v>
      </c>
      <c r="E412" t="s">
        <v>150</v>
      </c>
      <c r="F412" t="s">
        <v>216</v>
      </c>
      <c r="G412" t="s">
        <v>204</v>
      </c>
      <c r="H412">
        <v>38</v>
      </c>
      <c r="I412">
        <v>9</v>
      </c>
      <c r="J412">
        <v>0.08</v>
      </c>
      <c r="P412">
        <v>27</v>
      </c>
      <c r="Q412">
        <v>6.82</v>
      </c>
      <c r="R412">
        <v>0</v>
      </c>
      <c r="S412">
        <v>-38</v>
      </c>
      <c r="T412" t="s">
        <v>151</v>
      </c>
      <c r="V412">
        <v>228</v>
      </c>
      <c r="W412">
        <v>19</v>
      </c>
      <c r="X412" t="s">
        <v>31</v>
      </c>
      <c r="Y412">
        <v>1.2999999999999999E-2</v>
      </c>
      <c r="Z412">
        <v>8.9749999999999996</v>
      </c>
      <c r="AA412">
        <v>9.0250000000000004</v>
      </c>
      <c r="AB412" t="str">
        <f t="shared" si="6"/>
        <v>0.25 [8.98, 9.03]</v>
      </c>
    </row>
    <row r="413" spans="1:28" x14ac:dyDescent="0.35">
      <c r="A413">
        <v>541</v>
      </c>
      <c r="B413">
        <v>77</v>
      </c>
      <c r="C413" t="s">
        <v>149</v>
      </c>
      <c r="D413" t="s">
        <v>35</v>
      </c>
      <c r="E413" t="s">
        <v>152</v>
      </c>
      <c r="F413" t="s">
        <v>216</v>
      </c>
      <c r="G413" t="s">
        <v>204</v>
      </c>
      <c r="H413">
        <v>33</v>
      </c>
      <c r="I413">
        <v>5</v>
      </c>
      <c r="J413">
        <v>0.09</v>
      </c>
      <c r="P413">
        <v>27</v>
      </c>
      <c r="Q413">
        <v>6.3</v>
      </c>
      <c r="V413">
        <v>228</v>
      </c>
      <c r="W413">
        <v>19</v>
      </c>
      <c r="X413" t="s">
        <v>31</v>
      </c>
      <c r="Y413">
        <v>1.6E-2</v>
      </c>
      <c r="Z413">
        <v>4.9690000000000003</v>
      </c>
      <c r="AA413">
        <v>5.0309999999999997</v>
      </c>
      <c r="AB413" t="str">
        <f t="shared" si="6"/>
        <v>0.16 [4.97, 5.03]</v>
      </c>
    </row>
    <row r="414" spans="1:28" x14ac:dyDescent="0.35">
      <c r="A414">
        <v>542</v>
      </c>
      <c r="B414">
        <v>82</v>
      </c>
      <c r="C414" t="s">
        <v>211</v>
      </c>
      <c r="D414" t="s">
        <v>27</v>
      </c>
      <c r="E414" t="s">
        <v>212</v>
      </c>
      <c r="F414" t="s">
        <v>216</v>
      </c>
      <c r="G414" t="s">
        <v>204</v>
      </c>
      <c r="H414">
        <v>24</v>
      </c>
      <c r="I414">
        <v>0</v>
      </c>
      <c r="J414">
        <v>1.42</v>
      </c>
      <c r="P414">
        <v>45.5</v>
      </c>
      <c r="Q414">
        <v>8.6999999999999993</v>
      </c>
      <c r="R414">
        <v>24</v>
      </c>
      <c r="S414">
        <v>0</v>
      </c>
      <c r="T414">
        <v>15</v>
      </c>
      <c r="U414">
        <v>9</v>
      </c>
      <c r="V414">
        <v>204</v>
      </c>
      <c r="W414">
        <v>17</v>
      </c>
      <c r="X414" t="s">
        <v>31</v>
      </c>
      <c r="Y414">
        <v>0.28999999999999998</v>
      </c>
      <c r="Z414">
        <v>-0.56799999999999995</v>
      </c>
      <c r="AA414">
        <v>0.56799999999999995</v>
      </c>
      <c r="AB414" t="str">
        <f t="shared" si="6"/>
        <v>0.02 [-0.57, 0.57]</v>
      </c>
    </row>
    <row r="415" spans="1:28" x14ac:dyDescent="0.35">
      <c r="A415">
        <v>543</v>
      </c>
      <c r="B415">
        <v>82</v>
      </c>
      <c r="C415" t="s">
        <v>211</v>
      </c>
      <c r="D415" t="s">
        <v>35</v>
      </c>
      <c r="E415" t="s">
        <v>213</v>
      </c>
      <c r="F415" t="s">
        <v>216</v>
      </c>
      <c r="G415" t="s">
        <v>204</v>
      </c>
      <c r="H415">
        <v>24</v>
      </c>
      <c r="I415">
        <v>0</v>
      </c>
      <c r="J415">
        <v>1.42</v>
      </c>
      <c r="P415">
        <v>42.5</v>
      </c>
      <c r="Q415">
        <v>7.5</v>
      </c>
      <c r="R415">
        <v>24</v>
      </c>
      <c r="S415">
        <v>0</v>
      </c>
      <c r="T415">
        <v>13</v>
      </c>
      <c r="U415">
        <v>11</v>
      </c>
      <c r="V415">
        <v>204</v>
      </c>
      <c r="W415">
        <v>17</v>
      </c>
      <c r="X415" t="s">
        <v>31</v>
      </c>
      <c r="Y415">
        <v>0.28999999999999998</v>
      </c>
      <c r="Z415">
        <v>-0.56799999999999995</v>
      </c>
      <c r="AA415">
        <v>0.56799999999999995</v>
      </c>
      <c r="AB415" t="str">
        <f t="shared" si="6"/>
        <v>0.02 [-0.57, 0.57]</v>
      </c>
    </row>
    <row r="416" spans="1:28" x14ac:dyDescent="0.35">
      <c r="A416">
        <v>546</v>
      </c>
      <c r="B416">
        <v>98</v>
      </c>
      <c r="C416" t="s">
        <v>162</v>
      </c>
      <c r="D416" t="s">
        <v>35</v>
      </c>
      <c r="E416" t="s">
        <v>163</v>
      </c>
      <c r="F416" t="s">
        <v>216</v>
      </c>
      <c r="G416" t="s">
        <v>204</v>
      </c>
      <c r="H416">
        <v>68</v>
      </c>
      <c r="I416">
        <v>4</v>
      </c>
      <c r="J416">
        <v>0.57999999999999996</v>
      </c>
      <c r="P416">
        <v>30</v>
      </c>
      <c r="Q416">
        <v>9.9600000000000009</v>
      </c>
      <c r="R416">
        <v>68</v>
      </c>
      <c r="S416">
        <v>0</v>
      </c>
      <c r="T416">
        <v>61</v>
      </c>
      <c r="U416">
        <v>7</v>
      </c>
      <c r="V416">
        <v>32.799999999999997</v>
      </c>
      <c r="W416">
        <v>2.7</v>
      </c>
      <c r="X416" t="s">
        <v>37</v>
      </c>
      <c r="Y416">
        <v>7.0000000000000007E-2</v>
      </c>
      <c r="Z416">
        <v>3.863</v>
      </c>
      <c r="AA416">
        <v>4.1369999999999996</v>
      </c>
      <c r="AB416" t="str">
        <f t="shared" si="6"/>
        <v>0.07 [3.86, 4.14]</v>
      </c>
    </row>
    <row r="417" spans="1:28" x14ac:dyDescent="0.35">
      <c r="A417">
        <v>547</v>
      </c>
      <c r="B417">
        <v>98</v>
      </c>
      <c r="C417" t="s">
        <v>162</v>
      </c>
      <c r="D417" t="s">
        <v>45</v>
      </c>
      <c r="E417" t="s">
        <v>164</v>
      </c>
      <c r="F417" t="s">
        <v>216</v>
      </c>
      <c r="G417" t="s">
        <v>204</v>
      </c>
      <c r="H417">
        <v>64</v>
      </c>
      <c r="I417">
        <v>6</v>
      </c>
      <c r="J417">
        <v>0.9</v>
      </c>
      <c r="P417">
        <v>24</v>
      </c>
      <c r="Q417">
        <v>8.35</v>
      </c>
      <c r="R417">
        <v>64</v>
      </c>
      <c r="S417">
        <v>0</v>
      </c>
      <c r="T417">
        <v>59</v>
      </c>
      <c r="U417">
        <v>5</v>
      </c>
      <c r="V417">
        <v>34.5</v>
      </c>
      <c r="W417">
        <v>2.9</v>
      </c>
      <c r="X417" t="s">
        <v>37</v>
      </c>
      <c r="Y417">
        <v>0.112</v>
      </c>
      <c r="Z417">
        <v>5.78</v>
      </c>
      <c r="AA417">
        <v>6.22</v>
      </c>
      <c r="AB417" t="str">
        <f t="shared" si="6"/>
        <v>0.10 [5.78, 6.22]</v>
      </c>
    </row>
    <row r="418" spans="1:28" x14ac:dyDescent="0.35">
      <c r="A418">
        <v>0</v>
      </c>
      <c r="B418">
        <v>6</v>
      </c>
      <c r="C418" t="s">
        <v>217</v>
      </c>
      <c r="D418" t="s">
        <v>27</v>
      </c>
      <c r="E418" t="s">
        <v>218</v>
      </c>
      <c r="F418" t="s">
        <v>219</v>
      </c>
      <c r="G418" t="s">
        <v>204</v>
      </c>
      <c r="H418">
        <v>8</v>
      </c>
      <c r="I418">
        <v>0</v>
      </c>
      <c r="J418">
        <v>0.18</v>
      </c>
      <c r="P418">
        <v>29.4</v>
      </c>
      <c r="Q418">
        <v>7.34</v>
      </c>
      <c r="R418">
        <v>10</v>
      </c>
      <c r="S418">
        <v>2</v>
      </c>
      <c r="T418">
        <v>4</v>
      </c>
      <c r="U418">
        <v>6</v>
      </c>
      <c r="V418">
        <v>12</v>
      </c>
      <c r="W418">
        <v>1</v>
      </c>
      <c r="X418" t="s">
        <v>61</v>
      </c>
      <c r="Y418">
        <v>6.4000000000000001E-2</v>
      </c>
      <c r="Z418">
        <v>-0.125</v>
      </c>
      <c r="AA418">
        <v>0.125</v>
      </c>
      <c r="AB418" t="str">
        <f t="shared" si="6"/>
        <v>0.06 [-0.13, 0.13]</v>
      </c>
    </row>
    <row r="419" spans="1:28" x14ac:dyDescent="0.35">
      <c r="A419">
        <v>1</v>
      </c>
      <c r="B419">
        <v>6</v>
      </c>
      <c r="C419" t="s">
        <v>217</v>
      </c>
      <c r="D419" t="s">
        <v>35</v>
      </c>
      <c r="E419" t="s">
        <v>220</v>
      </c>
      <c r="F419" t="s">
        <v>219</v>
      </c>
      <c r="G419" t="s">
        <v>204</v>
      </c>
      <c r="H419">
        <v>8</v>
      </c>
      <c r="I419">
        <v>0</v>
      </c>
      <c r="J419">
        <v>0.18</v>
      </c>
      <c r="P419">
        <v>27.55</v>
      </c>
      <c r="Q419">
        <v>8.64</v>
      </c>
      <c r="R419">
        <v>10</v>
      </c>
      <c r="S419">
        <v>2</v>
      </c>
      <c r="T419">
        <v>3</v>
      </c>
      <c r="U419">
        <v>7</v>
      </c>
      <c r="V419">
        <v>12</v>
      </c>
      <c r="W419">
        <v>1</v>
      </c>
      <c r="X419" t="s">
        <v>61</v>
      </c>
      <c r="Y419">
        <v>6.4000000000000001E-2</v>
      </c>
      <c r="Z419">
        <v>-0.125</v>
      </c>
      <c r="AA419">
        <v>0.125</v>
      </c>
      <c r="AB419" t="str">
        <f t="shared" si="6"/>
        <v>0.06 [-0.13, 0.13]</v>
      </c>
    </row>
    <row r="420" spans="1:28" x14ac:dyDescent="0.35">
      <c r="A420">
        <v>6</v>
      </c>
      <c r="B420">
        <v>43</v>
      </c>
      <c r="C420" t="s">
        <v>133</v>
      </c>
      <c r="D420" t="s">
        <v>27</v>
      </c>
      <c r="E420" t="s">
        <v>134</v>
      </c>
      <c r="F420" t="s">
        <v>219</v>
      </c>
      <c r="G420" t="s">
        <v>204</v>
      </c>
      <c r="H420">
        <v>74</v>
      </c>
      <c r="I420">
        <v>0</v>
      </c>
      <c r="J420">
        <v>0.06</v>
      </c>
      <c r="P420">
        <v>26</v>
      </c>
      <c r="Q420">
        <v>6.28</v>
      </c>
      <c r="R420">
        <v>74</v>
      </c>
      <c r="S420">
        <v>0</v>
      </c>
      <c r="T420">
        <v>0</v>
      </c>
      <c r="U420">
        <v>74</v>
      </c>
      <c r="V420">
        <v>24</v>
      </c>
      <c r="W420">
        <v>2</v>
      </c>
      <c r="X420" t="s">
        <v>37</v>
      </c>
      <c r="Y420">
        <v>7.0000000000000001E-3</v>
      </c>
      <c r="Z420">
        <v>-1.4E-2</v>
      </c>
      <c r="AA420">
        <v>1.4E-2</v>
      </c>
      <c r="AB420" t="str">
        <f t="shared" si="6"/>
        <v>0.01 [-0.01, 0.01]</v>
      </c>
    </row>
    <row r="421" spans="1:28" x14ac:dyDescent="0.35">
      <c r="A421">
        <v>7</v>
      </c>
      <c r="B421">
        <v>43</v>
      </c>
      <c r="C421" t="s">
        <v>133</v>
      </c>
      <c r="D421" t="s">
        <v>35</v>
      </c>
      <c r="E421" t="s">
        <v>135</v>
      </c>
      <c r="F421" t="s">
        <v>219</v>
      </c>
      <c r="G421" t="s">
        <v>204</v>
      </c>
      <c r="H421">
        <v>73</v>
      </c>
      <c r="I421">
        <v>2</v>
      </c>
      <c r="J421">
        <v>0.3</v>
      </c>
      <c r="P421">
        <v>26</v>
      </c>
      <c r="Q421">
        <v>6.29</v>
      </c>
      <c r="R421">
        <v>73</v>
      </c>
      <c r="S421">
        <v>0</v>
      </c>
      <c r="T421">
        <v>0</v>
      </c>
      <c r="U421">
        <v>73</v>
      </c>
      <c r="V421">
        <v>24</v>
      </c>
      <c r="W421">
        <v>2</v>
      </c>
      <c r="X421" t="s">
        <v>37</v>
      </c>
      <c r="Y421">
        <v>3.5000000000000003E-2</v>
      </c>
      <c r="Z421">
        <v>1.931</v>
      </c>
      <c r="AA421">
        <v>2.069</v>
      </c>
      <c r="AB421" t="str">
        <f t="shared" si="6"/>
        <v>0.03 [1.93, 2.07]</v>
      </c>
    </row>
    <row r="422" spans="1:28" x14ac:dyDescent="0.35">
      <c r="A422">
        <v>8</v>
      </c>
      <c r="B422">
        <v>49</v>
      </c>
      <c r="C422" t="s">
        <v>139</v>
      </c>
      <c r="D422" t="s">
        <v>27</v>
      </c>
      <c r="E422" t="s">
        <v>140</v>
      </c>
      <c r="F422" t="s">
        <v>219</v>
      </c>
      <c r="G422" t="s">
        <v>204</v>
      </c>
      <c r="H422">
        <v>40</v>
      </c>
      <c r="I422">
        <v>1</v>
      </c>
      <c r="J422">
        <v>0.24</v>
      </c>
      <c r="P422">
        <v>28</v>
      </c>
      <c r="Q422">
        <v>8.35</v>
      </c>
      <c r="V422">
        <v>26</v>
      </c>
      <c r="W422">
        <v>2.2000000000000002</v>
      </c>
      <c r="X422" t="s">
        <v>37</v>
      </c>
      <c r="Y422">
        <v>3.7999999999999999E-2</v>
      </c>
      <c r="Z422">
        <v>0.92600000000000005</v>
      </c>
      <c r="AA422">
        <v>1.0740000000000001</v>
      </c>
      <c r="AB422" t="str">
        <f t="shared" si="6"/>
        <v>0.04 [0.93, 1.07]</v>
      </c>
    </row>
    <row r="423" spans="1:28" x14ac:dyDescent="0.35">
      <c r="A423">
        <v>9</v>
      </c>
      <c r="B423">
        <v>49</v>
      </c>
      <c r="C423" t="s">
        <v>139</v>
      </c>
      <c r="D423" t="s">
        <v>35</v>
      </c>
      <c r="E423" t="s">
        <v>141</v>
      </c>
      <c r="F423" t="s">
        <v>219</v>
      </c>
      <c r="G423" t="s">
        <v>204</v>
      </c>
      <c r="H423">
        <v>78</v>
      </c>
      <c r="I423">
        <v>2</v>
      </c>
      <c r="J423">
        <v>0.42</v>
      </c>
      <c r="P423">
        <v>25</v>
      </c>
      <c r="Q423">
        <v>5.6</v>
      </c>
      <c r="V423">
        <v>26</v>
      </c>
      <c r="W423">
        <v>2.2000000000000002</v>
      </c>
      <c r="X423" t="s">
        <v>37</v>
      </c>
      <c r="Y423">
        <v>4.8000000000000001E-2</v>
      </c>
      <c r="Z423">
        <v>1.9059999999999999</v>
      </c>
      <c r="AA423">
        <v>2.0939999999999999</v>
      </c>
      <c r="AB423" t="str">
        <f t="shared" si="6"/>
        <v>0.03 [1.91, 2.09]</v>
      </c>
    </row>
    <row r="424" spans="1:28" x14ac:dyDescent="0.35">
      <c r="A424">
        <v>10</v>
      </c>
      <c r="B424">
        <v>54</v>
      </c>
      <c r="C424" t="s">
        <v>72</v>
      </c>
      <c r="D424" t="s">
        <v>27</v>
      </c>
      <c r="E424" t="s">
        <v>73</v>
      </c>
      <c r="F424" t="s">
        <v>219</v>
      </c>
      <c r="G424" t="s">
        <v>204</v>
      </c>
      <c r="H424">
        <v>19</v>
      </c>
      <c r="I424">
        <v>7</v>
      </c>
      <c r="J424">
        <v>2.72</v>
      </c>
      <c r="P424">
        <v>52.8</v>
      </c>
      <c r="Q424">
        <v>7.3</v>
      </c>
      <c r="V424">
        <v>240</v>
      </c>
      <c r="W424">
        <v>20</v>
      </c>
      <c r="X424" t="s">
        <v>31</v>
      </c>
      <c r="Y424">
        <v>0.624</v>
      </c>
      <c r="Z424">
        <v>5.7770000000000001</v>
      </c>
      <c r="AA424">
        <v>8.2230000000000008</v>
      </c>
      <c r="AB424" t="str">
        <f t="shared" si="6"/>
        <v>0.38 [5.78, 8.22]</v>
      </c>
    </row>
    <row r="425" spans="1:28" x14ac:dyDescent="0.35">
      <c r="A425">
        <v>11</v>
      </c>
      <c r="B425">
        <v>54</v>
      </c>
      <c r="C425" t="s">
        <v>72</v>
      </c>
      <c r="D425" t="s">
        <v>35</v>
      </c>
      <c r="E425" t="s">
        <v>74</v>
      </c>
      <c r="F425" t="s">
        <v>219</v>
      </c>
      <c r="G425" t="s">
        <v>204</v>
      </c>
      <c r="H425">
        <v>20</v>
      </c>
      <c r="I425">
        <v>3</v>
      </c>
      <c r="J425">
        <v>0.92</v>
      </c>
      <c r="P425">
        <v>54.5</v>
      </c>
      <c r="Q425">
        <v>7.5</v>
      </c>
      <c r="V425">
        <v>240</v>
      </c>
      <c r="W425">
        <v>20</v>
      </c>
      <c r="X425" t="s">
        <v>31</v>
      </c>
      <c r="Y425">
        <v>0.20599999999999999</v>
      </c>
      <c r="Z425">
        <v>2.5960000000000001</v>
      </c>
      <c r="AA425">
        <v>3.4039999999999999</v>
      </c>
      <c r="AB425" t="str">
        <f t="shared" si="6"/>
        <v>0.17 [2.60, 3.40]</v>
      </c>
    </row>
    <row r="426" spans="1:28" x14ac:dyDescent="0.35">
      <c r="A426">
        <v>12</v>
      </c>
      <c r="B426">
        <v>66</v>
      </c>
      <c r="C426" t="s">
        <v>221</v>
      </c>
      <c r="D426" t="s">
        <v>27</v>
      </c>
      <c r="E426" t="s">
        <v>222</v>
      </c>
      <c r="F426" t="s">
        <v>219</v>
      </c>
      <c r="G426" t="s">
        <v>204</v>
      </c>
      <c r="H426">
        <v>110</v>
      </c>
      <c r="I426">
        <v>19</v>
      </c>
      <c r="J426">
        <v>2.25</v>
      </c>
      <c r="P426">
        <v>28.7</v>
      </c>
      <c r="Q426">
        <v>9.9</v>
      </c>
      <c r="R426">
        <v>110</v>
      </c>
      <c r="S426">
        <v>0</v>
      </c>
      <c r="T426">
        <v>63</v>
      </c>
      <c r="U426">
        <v>47</v>
      </c>
      <c r="V426">
        <v>24</v>
      </c>
      <c r="W426">
        <v>2</v>
      </c>
      <c r="X426" t="s">
        <v>37</v>
      </c>
      <c r="Y426">
        <v>0.215</v>
      </c>
      <c r="Z426">
        <v>18.579000000000001</v>
      </c>
      <c r="AA426">
        <v>19.420999999999999</v>
      </c>
      <c r="AB426" t="str">
        <f t="shared" si="6"/>
        <v>0.18 [18.58, 19.42]</v>
      </c>
    </row>
    <row r="427" spans="1:28" x14ac:dyDescent="0.35">
      <c r="A427">
        <v>13</v>
      </c>
      <c r="B427">
        <v>66</v>
      </c>
      <c r="C427" t="s">
        <v>221</v>
      </c>
      <c r="D427" t="s">
        <v>35</v>
      </c>
      <c r="E427" t="s">
        <v>223</v>
      </c>
      <c r="F427" t="s">
        <v>219</v>
      </c>
      <c r="G427" t="s">
        <v>204</v>
      </c>
      <c r="H427">
        <v>110</v>
      </c>
      <c r="I427">
        <v>24</v>
      </c>
      <c r="J427">
        <v>2.99</v>
      </c>
      <c r="P427">
        <v>28.4</v>
      </c>
      <c r="Q427">
        <v>9.83</v>
      </c>
      <c r="R427">
        <v>220</v>
      </c>
      <c r="S427">
        <v>110</v>
      </c>
      <c r="T427">
        <v>120</v>
      </c>
      <c r="U427">
        <v>100</v>
      </c>
      <c r="V427">
        <v>24</v>
      </c>
      <c r="W427">
        <v>2</v>
      </c>
      <c r="X427" t="s">
        <v>37</v>
      </c>
      <c r="Y427">
        <v>0.28499999999999998</v>
      </c>
      <c r="Z427">
        <v>23.440999999999999</v>
      </c>
      <c r="AA427">
        <v>24.559000000000001</v>
      </c>
      <c r="AB427" t="str">
        <f t="shared" si="6"/>
        <v>0.22 [23.44, 24.56]</v>
      </c>
    </row>
    <row r="428" spans="1:28" x14ac:dyDescent="0.35">
      <c r="A428">
        <v>20</v>
      </c>
      <c r="B428">
        <v>76</v>
      </c>
      <c r="C428" t="s">
        <v>197</v>
      </c>
      <c r="D428" t="s">
        <v>27</v>
      </c>
      <c r="E428" t="s">
        <v>198</v>
      </c>
      <c r="F428" t="s">
        <v>219</v>
      </c>
      <c r="G428" t="s">
        <v>204</v>
      </c>
      <c r="H428">
        <v>90</v>
      </c>
      <c r="I428">
        <v>7</v>
      </c>
      <c r="J428">
        <v>0.86</v>
      </c>
      <c r="P428">
        <v>25</v>
      </c>
      <c r="Q428">
        <v>5.49</v>
      </c>
      <c r="R428">
        <v>90</v>
      </c>
      <c r="S428">
        <v>0</v>
      </c>
      <c r="T428">
        <v>48</v>
      </c>
      <c r="U428">
        <v>42</v>
      </c>
      <c r="V428">
        <v>120</v>
      </c>
      <c r="W428">
        <v>10</v>
      </c>
      <c r="X428" t="s">
        <v>31</v>
      </c>
      <c r="Y428">
        <v>9.0999999999999998E-2</v>
      </c>
      <c r="Z428">
        <v>6.8220000000000001</v>
      </c>
      <c r="AA428">
        <v>7.1779999999999999</v>
      </c>
      <c r="AB428" t="str">
        <f t="shared" si="6"/>
        <v>0.08 [6.82, 7.18]</v>
      </c>
    </row>
    <row r="429" spans="1:28" x14ac:dyDescent="0.35">
      <c r="A429">
        <v>21</v>
      </c>
      <c r="B429">
        <v>76</v>
      </c>
      <c r="C429" t="s">
        <v>197</v>
      </c>
      <c r="D429" t="s">
        <v>35</v>
      </c>
      <c r="E429" t="s">
        <v>199</v>
      </c>
      <c r="F429" t="s">
        <v>219</v>
      </c>
      <c r="G429" t="s">
        <v>204</v>
      </c>
      <c r="H429">
        <v>90</v>
      </c>
      <c r="I429">
        <v>12</v>
      </c>
      <c r="J429">
        <v>1.52</v>
      </c>
      <c r="P429">
        <v>24</v>
      </c>
      <c r="Q429">
        <v>7.92</v>
      </c>
      <c r="R429">
        <v>90</v>
      </c>
      <c r="S429">
        <v>0</v>
      </c>
      <c r="T429">
        <v>47</v>
      </c>
      <c r="U429">
        <v>43</v>
      </c>
      <c r="V429">
        <v>120</v>
      </c>
      <c r="W429">
        <v>10</v>
      </c>
      <c r="X429" t="s">
        <v>31</v>
      </c>
      <c r="Y429">
        <v>0.16</v>
      </c>
      <c r="Z429">
        <v>11.686</v>
      </c>
      <c r="AA429">
        <v>12.314</v>
      </c>
      <c r="AB429" t="str">
        <f t="shared" si="6"/>
        <v>0.14 [11.69, 12.31]</v>
      </c>
    </row>
    <row r="430" spans="1:28" x14ac:dyDescent="0.35">
      <c r="A430">
        <v>22</v>
      </c>
      <c r="B430">
        <v>77</v>
      </c>
      <c r="C430" t="s">
        <v>149</v>
      </c>
      <c r="D430" t="s">
        <v>27</v>
      </c>
      <c r="E430" t="s">
        <v>150</v>
      </c>
      <c r="F430" t="s">
        <v>219</v>
      </c>
      <c r="G430" t="s">
        <v>204</v>
      </c>
      <c r="H430">
        <v>38</v>
      </c>
      <c r="I430">
        <v>3</v>
      </c>
      <c r="J430">
        <v>0.62</v>
      </c>
      <c r="P430">
        <v>27</v>
      </c>
      <c r="Q430">
        <v>6.82</v>
      </c>
      <c r="T430" t="s">
        <v>151</v>
      </c>
      <c r="V430">
        <v>228</v>
      </c>
      <c r="W430">
        <v>19</v>
      </c>
      <c r="X430" t="s">
        <v>31</v>
      </c>
      <c r="Y430">
        <v>0.10100000000000001</v>
      </c>
      <c r="Z430">
        <v>2.802</v>
      </c>
      <c r="AA430">
        <v>3.198</v>
      </c>
      <c r="AB430" t="str">
        <f t="shared" si="6"/>
        <v>0.09 [2.80, 3.20]</v>
      </c>
    </row>
    <row r="431" spans="1:28" x14ac:dyDescent="0.35">
      <c r="A431">
        <v>23</v>
      </c>
      <c r="B431">
        <v>77</v>
      </c>
      <c r="C431" t="s">
        <v>149</v>
      </c>
      <c r="D431" t="s">
        <v>35</v>
      </c>
      <c r="E431" t="s">
        <v>152</v>
      </c>
      <c r="F431" t="s">
        <v>219</v>
      </c>
      <c r="G431" t="s">
        <v>204</v>
      </c>
      <c r="H431">
        <v>33</v>
      </c>
      <c r="I431">
        <v>4</v>
      </c>
      <c r="J431">
        <v>0.89</v>
      </c>
      <c r="P431">
        <v>27</v>
      </c>
      <c r="Q431">
        <v>6.3</v>
      </c>
      <c r="V431">
        <v>228</v>
      </c>
      <c r="W431">
        <v>19</v>
      </c>
      <c r="X431" t="s">
        <v>31</v>
      </c>
      <c r="Y431">
        <v>0.155</v>
      </c>
      <c r="Z431">
        <v>3.6960000000000002</v>
      </c>
      <c r="AA431">
        <v>4.3040000000000003</v>
      </c>
      <c r="AB431" t="str">
        <f t="shared" si="6"/>
        <v>0.13 [3.70, 4.30]</v>
      </c>
    </row>
    <row r="432" spans="1:28" x14ac:dyDescent="0.35">
      <c r="A432">
        <v>24</v>
      </c>
      <c r="B432">
        <v>85</v>
      </c>
      <c r="C432" t="s">
        <v>96</v>
      </c>
      <c r="D432" t="s">
        <v>27</v>
      </c>
      <c r="E432" t="s">
        <v>97</v>
      </c>
      <c r="F432" t="s">
        <v>219</v>
      </c>
      <c r="G432" t="s">
        <v>204</v>
      </c>
      <c r="H432">
        <v>32</v>
      </c>
      <c r="I432">
        <v>0</v>
      </c>
      <c r="J432">
        <v>0.09</v>
      </c>
      <c r="P432">
        <v>17.7</v>
      </c>
      <c r="Q432">
        <v>2.4</v>
      </c>
      <c r="R432">
        <v>32</v>
      </c>
      <c r="S432">
        <v>0</v>
      </c>
      <c r="T432">
        <v>15</v>
      </c>
      <c r="U432">
        <v>17</v>
      </c>
      <c r="V432">
        <v>24</v>
      </c>
      <c r="W432">
        <v>2</v>
      </c>
      <c r="X432" t="s">
        <v>37</v>
      </c>
      <c r="Y432">
        <v>1.6E-2</v>
      </c>
      <c r="Z432">
        <v>-3.1E-2</v>
      </c>
      <c r="AA432">
        <v>3.1E-2</v>
      </c>
      <c r="AB432" t="str">
        <f t="shared" si="6"/>
        <v>0.02 [-0.03, 0.03]</v>
      </c>
    </row>
    <row r="433" spans="1:28" x14ac:dyDescent="0.35">
      <c r="A433">
        <v>25</v>
      </c>
      <c r="B433">
        <v>85</v>
      </c>
      <c r="C433" t="s">
        <v>96</v>
      </c>
      <c r="D433" t="s">
        <v>35</v>
      </c>
      <c r="E433" t="s">
        <v>98</v>
      </c>
      <c r="F433" t="s">
        <v>219</v>
      </c>
      <c r="G433" t="s">
        <v>204</v>
      </c>
      <c r="H433">
        <v>32</v>
      </c>
      <c r="I433">
        <v>2</v>
      </c>
      <c r="J433">
        <v>0.47</v>
      </c>
      <c r="P433">
        <v>17.7</v>
      </c>
      <c r="Q433">
        <v>2.4</v>
      </c>
      <c r="R433">
        <v>32</v>
      </c>
      <c r="S433">
        <v>0</v>
      </c>
      <c r="T433">
        <v>13</v>
      </c>
      <c r="U433">
        <v>19</v>
      </c>
      <c r="V433">
        <v>24</v>
      </c>
      <c r="W433">
        <v>2</v>
      </c>
      <c r="X433" t="s">
        <v>37</v>
      </c>
      <c r="Y433">
        <v>8.3000000000000004E-2</v>
      </c>
      <c r="Z433">
        <v>1.837</v>
      </c>
      <c r="AA433">
        <v>2.1629999999999998</v>
      </c>
      <c r="AB433" t="str">
        <f t="shared" si="6"/>
        <v>0.08 [1.84, 2.16]</v>
      </c>
    </row>
    <row r="434" spans="1:28" x14ac:dyDescent="0.35">
      <c r="A434">
        <v>26</v>
      </c>
      <c r="B434">
        <v>87</v>
      </c>
      <c r="C434" t="s">
        <v>99</v>
      </c>
      <c r="D434" t="s">
        <v>27</v>
      </c>
      <c r="E434" t="s">
        <v>100</v>
      </c>
      <c r="F434" t="s">
        <v>219</v>
      </c>
      <c r="G434" t="s">
        <v>204</v>
      </c>
      <c r="H434">
        <v>273</v>
      </c>
      <c r="I434">
        <v>12</v>
      </c>
      <c r="J434">
        <v>0.79</v>
      </c>
      <c r="P434">
        <v>24.8</v>
      </c>
      <c r="Q434">
        <v>4.4000000000000004</v>
      </c>
      <c r="R434">
        <v>283</v>
      </c>
      <c r="S434">
        <v>10</v>
      </c>
      <c r="T434">
        <v>214</v>
      </c>
      <c r="U434">
        <v>69</v>
      </c>
      <c r="V434">
        <v>61.5</v>
      </c>
      <c r="W434">
        <v>5.0999999999999996</v>
      </c>
      <c r="X434" t="s">
        <v>31</v>
      </c>
      <c r="Y434">
        <v>4.8000000000000001E-2</v>
      </c>
      <c r="Z434">
        <v>11.906000000000001</v>
      </c>
      <c r="AA434">
        <v>12.093999999999999</v>
      </c>
      <c r="AB434" t="str">
        <f t="shared" si="6"/>
        <v>0.05 [11.91, 12.09]</v>
      </c>
    </row>
    <row r="435" spans="1:28" x14ac:dyDescent="0.35">
      <c r="A435">
        <v>27</v>
      </c>
      <c r="B435">
        <v>87</v>
      </c>
      <c r="C435" t="s">
        <v>99</v>
      </c>
      <c r="D435" t="s">
        <v>35</v>
      </c>
      <c r="E435" t="s">
        <v>101</v>
      </c>
      <c r="F435" t="s">
        <v>219</v>
      </c>
      <c r="G435" t="s">
        <v>204</v>
      </c>
      <c r="H435">
        <v>283</v>
      </c>
      <c r="I435">
        <v>12</v>
      </c>
      <c r="J435">
        <v>0.78</v>
      </c>
      <c r="P435">
        <v>25.2</v>
      </c>
      <c r="Q435">
        <v>4.5999999999999996</v>
      </c>
      <c r="R435">
        <v>273</v>
      </c>
      <c r="S435">
        <v>-10</v>
      </c>
      <c r="T435">
        <v>233</v>
      </c>
      <c r="U435">
        <v>40</v>
      </c>
      <c r="V435">
        <v>63.9</v>
      </c>
      <c r="W435">
        <v>5.3</v>
      </c>
      <c r="X435" t="s">
        <v>31</v>
      </c>
      <c r="Y435">
        <v>4.5999999999999999E-2</v>
      </c>
      <c r="Z435">
        <v>11.91</v>
      </c>
      <c r="AA435">
        <v>12.09</v>
      </c>
      <c r="AB435" t="str">
        <f t="shared" si="6"/>
        <v>0.04 [11.91, 12.09]</v>
      </c>
    </row>
    <row r="436" spans="1:28" x14ac:dyDescent="0.35">
      <c r="A436">
        <v>28</v>
      </c>
      <c r="B436">
        <v>90</v>
      </c>
      <c r="C436" t="s">
        <v>153</v>
      </c>
      <c r="D436" t="s">
        <v>27</v>
      </c>
      <c r="E436" t="s">
        <v>154</v>
      </c>
      <c r="F436" t="s">
        <v>219</v>
      </c>
      <c r="G436" t="s">
        <v>204</v>
      </c>
      <c r="H436">
        <v>32</v>
      </c>
      <c r="I436">
        <v>3</v>
      </c>
      <c r="J436">
        <v>0.68</v>
      </c>
      <c r="P436">
        <v>21.7</v>
      </c>
      <c r="Q436">
        <v>4.5999999999999996</v>
      </c>
      <c r="R436">
        <v>32</v>
      </c>
      <c r="S436">
        <v>0</v>
      </c>
      <c r="T436">
        <v>25</v>
      </c>
      <c r="U436">
        <v>7</v>
      </c>
      <c r="V436">
        <v>32.4</v>
      </c>
      <c r="W436">
        <v>2.7</v>
      </c>
      <c r="X436" t="s">
        <v>37</v>
      </c>
      <c r="Y436">
        <v>0.12</v>
      </c>
      <c r="Z436">
        <v>2.7650000000000001</v>
      </c>
      <c r="AA436">
        <v>3.2349999999999999</v>
      </c>
      <c r="AB436" t="str">
        <f t="shared" si="6"/>
        <v>0.11 [2.77, 3.24]</v>
      </c>
    </row>
    <row r="437" spans="1:28" x14ac:dyDescent="0.35">
      <c r="A437">
        <v>29</v>
      </c>
      <c r="B437">
        <v>90</v>
      </c>
      <c r="C437" t="s">
        <v>153</v>
      </c>
      <c r="D437" t="s">
        <v>35</v>
      </c>
      <c r="E437" t="s">
        <v>155</v>
      </c>
      <c r="F437" t="s">
        <v>219</v>
      </c>
      <c r="G437" t="s">
        <v>204</v>
      </c>
      <c r="H437">
        <v>32</v>
      </c>
      <c r="I437">
        <v>4</v>
      </c>
      <c r="J437">
        <v>0.91</v>
      </c>
      <c r="P437">
        <v>22.1</v>
      </c>
      <c r="Q437">
        <v>6.53</v>
      </c>
      <c r="R437">
        <v>32</v>
      </c>
      <c r="S437">
        <v>0</v>
      </c>
      <c r="T437">
        <v>28</v>
      </c>
      <c r="U437">
        <v>4</v>
      </c>
      <c r="V437">
        <v>38.4</v>
      </c>
      <c r="W437">
        <v>3.2</v>
      </c>
      <c r="X437" t="s">
        <v>31</v>
      </c>
      <c r="Y437">
        <v>0.161</v>
      </c>
      <c r="Z437">
        <v>3.6840000000000002</v>
      </c>
      <c r="AA437">
        <v>4.3159999999999998</v>
      </c>
      <c r="AB437" t="str">
        <f t="shared" si="6"/>
        <v>0.14 [3.68, 4.32]</v>
      </c>
    </row>
    <row r="438" spans="1:28" x14ac:dyDescent="0.35">
      <c r="A438">
        <v>30</v>
      </c>
      <c r="B438">
        <v>96</v>
      </c>
      <c r="C438" t="s">
        <v>108</v>
      </c>
      <c r="D438" t="s">
        <v>27</v>
      </c>
      <c r="E438" t="s">
        <v>109</v>
      </c>
      <c r="F438" t="s">
        <v>219</v>
      </c>
      <c r="G438" t="s">
        <v>204</v>
      </c>
      <c r="H438">
        <v>29</v>
      </c>
      <c r="I438">
        <v>3</v>
      </c>
      <c r="J438">
        <v>0.72</v>
      </c>
      <c r="P438">
        <v>29.87</v>
      </c>
      <c r="Q438">
        <v>7.3</v>
      </c>
      <c r="R438">
        <v>31</v>
      </c>
      <c r="S438">
        <v>2</v>
      </c>
      <c r="T438">
        <v>19</v>
      </c>
      <c r="U438">
        <v>12</v>
      </c>
      <c r="V438">
        <v>108</v>
      </c>
      <c r="W438">
        <v>9</v>
      </c>
      <c r="X438" t="s">
        <v>31</v>
      </c>
      <c r="Y438">
        <v>0.13400000000000001</v>
      </c>
      <c r="Z438">
        <v>2.7370000000000001</v>
      </c>
      <c r="AA438">
        <v>3.2629999999999999</v>
      </c>
      <c r="AB438" t="str">
        <f t="shared" si="6"/>
        <v>0.12 [2.74, 3.26]</v>
      </c>
    </row>
    <row r="439" spans="1:28" x14ac:dyDescent="0.35">
      <c r="A439">
        <v>31</v>
      </c>
      <c r="B439">
        <v>96</v>
      </c>
      <c r="C439" t="s">
        <v>108</v>
      </c>
      <c r="D439" t="s">
        <v>35</v>
      </c>
      <c r="E439" t="s">
        <v>110</v>
      </c>
      <c r="F439" t="s">
        <v>219</v>
      </c>
      <c r="G439" t="s">
        <v>204</v>
      </c>
      <c r="H439">
        <v>25</v>
      </c>
      <c r="I439">
        <v>3</v>
      </c>
      <c r="J439">
        <v>0.8</v>
      </c>
      <c r="P439">
        <v>34.229999999999997</v>
      </c>
      <c r="Q439">
        <v>9.25</v>
      </c>
      <c r="R439">
        <v>31</v>
      </c>
      <c r="S439">
        <v>6</v>
      </c>
      <c r="T439">
        <v>18</v>
      </c>
      <c r="U439">
        <v>13</v>
      </c>
      <c r="V439">
        <v>108</v>
      </c>
      <c r="W439">
        <v>9</v>
      </c>
      <c r="X439" t="s">
        <v>31</v>
      </c>
      <c r="Y439">
        <v>0.16</v>
      </c>
      <c r="Z439">
        <v>2.6859999999999999</v>
      </c>
      <c r="AA439">
        <v>3.3140000000000001</v>
      </c>
      <c r="AB439" t="str">
        <f t="shared" si="6"/>
        <v>0.14 [2.69, 3.31]</v>
      </c>
    </row>
    <row r="440" spans="1:28" x14ac:dyDescent="0.35">
      <c r="A440">
        <v>32</v>
      </c>
      <c r="B440">
        <v>97</v>
      </c>
      <c r="C440" t="s">
        <v>159</v>
      </c>
      <c r="D440" t="s">
        <v>35</v>
      </c>
      <c r="E440" t="s">
        <v>160</v>
      </c>
      <c r="F440" t="s">
        <v>219</v>
      </c>
      <c r="G440" t="s">
        <v>204</v>
      </c>
      <c r="H440">
        <v>36</v>
      </c>
      <c r="I440">
        <v>1</v>
      </c>
      <c r="J440">
        <v>0.26</v>
      </c>
      <c r="P440">
        <v>30.06</v>
      </c>
      <c r="Q440">
        <v>8.8699999999999992</v>
      </c>
      <c r="R440">
        <v>36</v>
      </c>
      <c r="S440">
        <v>0</v>
      </c>
      <c r="T440">
        <v>32</v>
      </c>
      <c r="U440">
        <v>4</v>
      </c>
      <c r="V440">
        <v>12</v>
      </c>
      <c r="W440">
        <v>1</v>
      </c>
      <c r="X440" t="s">
        <v>61</v>
      </c>
      <c r="Y440">
        <v>4.2999999999999997E-2</v>
      </c>
      <c r="Z440">
        <v>0.91600000000000004</v>
      </c>
      <c r="AA440">
        <v>1.0840000000000001</v>
      </c>
      <c r="AB440" t="str">
        <f t="shared" si="6"/>
        <v>0.04 [0.92, 1.08]</v>
      </c>
    </row>
    <row r="441" spans="1:28" x14ac:dyDescent="0.35">
      <c r="A441">
        <v>33</v>
      </c>
      <c r="B441">
        <v>97</v>
      </c>
      <c r="C441" t="s">
        <v>159</v>
      </c>
      <c r="D441" t="s">
        <v>32</v>
      </c>
      <c r="E441" t="s">
        <v>161</v>
      </c>
      <c r="F441" t="s">
        <v>219</v>
      </c>
      <c r="G441" t="s">
        <v>204</v>
      </c>
      <c r="H441">
        <v>33</v>
      </c>
      <c r="I441">
        <v>0</v>
      </c>
      <c r="J441">
        <v>0.09</v>
      </c>
      <c r="P441">
        <v>28.73</v>
      </c>
      <c r="Q441">
        <v>8.8000000000000007</v>
      </c>
      <c r="R441">
        <v>33</v>
      </c>
      <c r="S441">
        <v>0</v>
      </c>
      <c r="T441">
        <v>30</v>
      </c>
      <c r="U441">
        <v>3</v>
      </c>
      <c r="V441">
        <v>12</v>
      </c>
      <c r="W441">
        <v>1</v>
      </c>
      <c r="X441" t="s">
        <v>61</v>
      </c>
      <c r="Y441">
        <v>1.6E-2</v>
      </c>
      <c r="Z441">
        <v>-3.1E-2</v>
      </c>
      <c r="AA441">
        <v>3.1E-2</v>
      </c>
      <c r="AB441" t="str">
        <f t="shared" si="6"/>
        <v>0.01 [-0.03, 0.03]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3887-C180-406F-98EC-16C443684B7F}">
  <sheetPr filterMode="1"/>
  <dimension ref="A1:E441"/>
  <sheetViews>
    <sheetView tabSelected="1" workbookViewId="0">
      <selection activeCell="J448" sqref="J448"/>
    </sheetView>
  </sheetViews>
  <sheetFormatPr defaultRowHeight="11.5" x14ac:dyDescent="0.25"/>
  <cols>
    <col min="1" max="1" width="3.26953125" style="1" bestFit="1" customWidth="1"/>
    <col min="2" max="2" width="19.7265625" style="2" bestFit="1" customWidth="1"/>
    <col min="3" max="3" width="6.81640625" style="1" bestFit="1" customWidth="1"/>
    <col min="4" max="4" width="13.6328125" style="1" bestFit="1" customWidth="1"/>
    <col min="5" max="5" width="15.36328125" style="1" bestFit="1" customWidth="1"/>
    <col min="6" max="16384" width="8.7265625" style="1"/>
  </cols>
  <sheetData>
    <row r="1" spans="1:5" x14ac:dyDescent="0.25">
      <c r="A1" s="1" t="s">
        <v>609</v>
      </c>
      <c r="B1" s="2" t="s">
        <v>610</v>
      </c>
      <c r="C1" s="1" t="s">
        <v>611</v>
      </c>
      <c r="D1" s="1" t="s">
        <v>612</v>
      </c>
      <c r="E1" s="1" t="s">
        <v>613</v>
      </c>
    </row>
    <row r="2" spans="1:5" hidden="1" x14ac:dyDescent="0.25">
      <c r="A2" s="1">
        <v>1</v>
      </c>
      <c r="B2" s="2" t="s">
        <v>165</v>
      </c>
      <c r="C2" s="1" t="s">
        <v>27</v>
      </c>
      <c r="D2" s="1" t="s">
        <v>167</v>
      </c>
      <c r="E2" s="1" t="s">
        <v>343</v>
      </c>
    </row>
    <row r="3" spans="1:5" hidden="1" x14ac:dyDescent="0.25">
      <c r="A3" s="1">
        <v>1</v>
      </c>
      <c r="B3" s="2" t="s">
        <v>165</v>
      </c>
      <c r="C3" s="1" t="s">
        <v>35</v>
      </c>
      <c r="D3" s="1" t="s">
        <v>167</v>
      </c>
      <c r="E3" s="1" t="s">
        <v>344</v>
      </c>
    </row>
    <row r="4" spans="1:5" hidden="1" x14ac:dyDescent="0.25">
      <c r="A4" s="1">
        <v>2</v>
      </c>
      <c r="B4" s="2" t="s">
        <v>175</v>
      </c>
      <c r="C4" s="1" t="s">
        <v>27</v>
      </c>
      <c r="D4" s="1" t="s">
        <v>177</v>
      </c>
      <c r="E4" s="1" t="s">
        <v>387</v>
      </c>
    </row>
    <row r="5" spans="1:5" hidden="1" x14ac:dyDescent="0.25">
      <c r="A5" s="1">
        <v>2</v>
      </c>
      <c r="B5" s="2" t="s">
        <v>175</v>
      </c>
      <c r="C5" s="1" t="s">
        <v>35</v>
      </c>
      <c r="D5" s="1" t="s">
        <v>177</v>
      </c>
      <c r="E5" s="1" t="s">
        <v>388</v>
      </c>
    </row>
    <row r="6" spans="1:5" hidden="1" x14ac:dyDescent="0.25">
      <c r="A6" s="1">
        <v>2</v>
      </c>
      <c r="B6" s="2" t="s">
        <v>175</v>
      </c>
      <c r="C6" s="1" t="s">
        <v>27</v>
      </c>
      <c r="D6" s="1" t="s">
        <v>215</v>
      </c>
      <c r="E6" s="1" t="s">
        <v>504</v>
      </c>
    </row>
    <row r="7" spans="1:5" hidden="1" x14ac:dyDescent="0.25">
      <c r="A7" s="1">
        <v>2</v>
      </c>
      <c r="B7" s="2" t="s">
        <v>175</v>
      </c>
      <c r="C7" s="1" t="s">
        <v>35</v>
      </c>
      <c r="D7" s="1" t="s">
        <v>215</v>
      </c>
      <c r="E7" s="1" t="s">
        <v>504</v>
      </c>
    </row>
    <row r="8" spans="1:5" hidden="1" x14ac:dyDescent="0.25">
      <c r="A8" s="1">
        <v>2</v>
      </c>
      <c r="B8" s="2" t="s">
        <v>175</v>
      </c>
      <c r="C8" s="1" t="s">
        <v>27</v>
      </c>
      <c r="D8" s="1" t="s">
        <v>216</v>
      </c>
      <c r="E8" s="1" t="s">
        <v>504</v>
      </c>
    </row>
    <row r="9" spans="1:5" hidden="1" x14ac:dyDescent="0.25">
      <c r="A9" s="1">
        <v>2</v>
      </c>
      <c r="B9" s="2" t="s">
        <v>175</v>
      </c>
      <c r="C9" s="1" t="s">
        <v>35</v>
      </c>
      <c r="D9" s="1" t="s">
        <v>216</v>
      </c>
      <c r="E9" s="1" t="s">
        <v>504</v>
      </c>
    </row>
    <row r="10" spans="1:5" x14ac:dyDescent="0.25">
      <c r="A10" s="1">
        <v>2</v>
      </c>
      <c r="B10" s="2" t="s">
        <v>175</v>
      </c>
      <c r="C10" s="1" t="s">
        <v>27</v>
      </c>
      <c r="D10" s="1" t="s">
        <v>203</v>
      </c>
      <c r="E10" s="1" t="s">
        <v>454</v>
      </c>
    </row>
    <row r="11" spans="1:5" x14ac:dyDescent="0.25">
      <c r="A11" s="1">
        <v>2</v>
      </c>
      <c r="B11" s="2" t="s">
        <v>175</v>
      </c>
      <c r="C11" s="1" t="s">
        <v>35</v>
      </c>
      <c r="D11" s="1" t="s">
        <v>203</v>
      </c>
      <c r="E11" s="1" t="s">
        <v>455</v>
      </c>
    </row>
    <row r="12" spans="1:5" hidden="1" x14ac:dyDescent="0.25">
      <c r="A12" s="1">
        <v>2</v>
      </c>
      <c r="B12" s="2" t="s">
        <v>175</v>
      </c>
      <c r="C12" s="1" t="s">
        <v>27</v>
      </c>
      <c r="D12" s="1" t="s">
        <v>214</v>
      </c>
      <c r="E12" s="1" t="s">
        <v>504</v>
      </c>
    </row>
    <row r="13" spans="1:5" hidden="1" x14ac:dyDescent="0.25">
      <c r="A13" s="1">
        <v>2</v>
      </c>
      <c r="B13" s="2" t="s">
        <v>175</v>
      </c>
      <c r="C13" s="1" t="s">
        <v>35</v>
      </c>
      <c r="D13" s="1" t="s">
        <v>214</v>
      </c>
      <c r="E13" s="1" t="s">
        <v>504</v>
      </c>
    </row>
    <row r="14" spans="1:5" hidden="1" x14ac:dyDescent="0.25">
      <c r="A14" s="1">
        <v>3</v>
      </c>
      <c r="B14" s="2" t="s">
        <v>114</v>
      </c>
      <c r="C14" s="1" t="s">
        <v>27</v>
      </c>
      <c r="D14" s="1" t="s">
        <v>177</v>
      </c>
      <c r="E14" s="1" t="s">
        <v>389</v>
      </c>
    </row>
    <row r="15" spans="1:5" hidden="1" x14ac:dyDescent="0.25">
      <c r="A15" s="1">
        <v>3</v>
      </c>
      <c r="B15" s="2" t="s">
        <v>114</v>
      </c>
      <c r="C15" s="1" t="s">
        <v>35</v>
      </c>
      <c r="D15" s="1" t="s">
        <v>177</v>
      </c>
      <c r="E15" s="1" t="s">
        <v>390</v>
      </c>
    </row>
    <row r="16" spans="1:5" hidden="1" x14ac:dyDescent="0.25">
      <c r="A16" s="1">
        <v>3</v>
      </c>
      <c r="B16" s="2" t="s">
        <v>114</v>
      </c>
      <c r="C16" s="1" t="s">
        <v>27</v>
      </c>
      <c r="D16" s="1" t="s">
        <v>116</v>
      </c>
      <c r="E16" s="1" t="s">
        <v>277</v>
      </c>
    </row>
    <row r="17" spans="1:5" hidden="1" x14ac:dyDescent="0.25">
      <c r="A17" s="1">
        <v>3</v>
      </c>
      <c r="B17" s="2" t="s">
        <v>114</v>
      </c>
      <c r="C17" s="1" t="s">
        <v>35</v>
      </c>
      <c r="D17" s="1" t="s">
        <v>116</v>
      </c>
      <c r="E17" s="1" t="s">
        <v>278</v>
      </c>
    </row>
    <row r="18" spans="1:5" hidden="1" x14ac:dyDescent="0.25">
      <c r="A18" s="1">
        <v>3</v>
      </c>
      <c r="B18" s="2" t="s">
        <v>114</v>
      </c>
      <c r="C18" s="1" t="s">
        <v>27</v>
      </c>
      <c r="D18" s="1" t="s">
        <v>167</v>
      </c>
      <c r="E18" s="1" t="s">
        <v>345</v>
      </c>
    </row>
    <row r="19" spans="1:5" hidden="1" x14ac:dyDescent="0.25">
      <c r="A19" s="1">
        <v>3</v>
      </c>
      <c r="B19" s="2" t="s">
        <v>114</v>
      </c>
      <c r="C19" s="1" t="s">
        <v>35</v>
      </c>
      <c r="D19" s="1" t="s">
        <v>167</v>
      </c>
      <c r="E19" s="1" t="s">
        <v>346</v>
      </c>
    </row>
    <row r="20" spans="1:5" hidden="1" x14ac:dyDescent="0.25">
      <c r="A20" s="1">
        <v>5</v>
      </c>
      <c r="B20" s="2" t="s">
        <v>179</v>
      </c>
      <c r="C20" s="1" t="s">
        <v>27</v>
      </c>
      <c r="D20" s="1" t="s">
        <v>177</v>
      </c>
      <c r="E20" s="1" t="s">
        <v>391</v>
      </c>
    </row>
    <row r="21" spans="1:5" hidden="1" x14ac:dyDescent="0.25">
      <c r="A21" s="1">
        <v>5</v>
      </c>
      <c r="B21" s="2" t="s">
        <v>179</v>
      </c>
      <c r="C21" s="1" t="s">
        <v>35</v>
      </c>
      <c r="D21" s="1" t="s">
        <v>177</v>
      </c>
      <c r="E21" s="1" t="s">
        <v>392</v>
      </c>
    </row>
    <row r="22" spans="1:5" x14ac:dyDescent="0.25">
      <c r="A22" s="1">
        <v>5</v>
      </c>
      <c r="B22" s="2" t="s">
        <v>179</v>
      </c>
      <c r="C22" s="1" t="s">
        <v>27</v>
      </c>
      <c r="D22" s="1" t="s">
        <v>203</v>
      </c>
      <c r="E22" s="1" t="s">
        <v>456</v>
      </c>
    </row>
    <row r="23" spans="1:5" x14ac:dyDescent="0.25">
      <c r="A23" s="1">
        <v>5</v>
      </c>
      <c r="B23" s="2" t="s">
        <v>179</v>
      </c>
      <c r="C23" s="1" t="s">
        <v>35</v>
      </c>
      <c r="D23" s="1" t="s">
        <v>203</v>
      </c>
      <c r="E23" s="1" t="s">
        <v>457</v>
      </c>
    </row>
    <row r="24" spans="1:5" hidden="1" x14ac:dyDescent="0.25">
      <c r="A24" s="1">
        <v>5</v>
      </c>
      <c r="B24" s="2" t="s">
        <v>179</v>
      </c>
      <c r="C24" s="1" t="s">
        <v>27</v>
      </c>
      <c r="D24" s="1" t="s">
        <v>214</v>
      </c>
      <c r="E24" s="1" t="s">
        <v>505</v>
      </c>
    </row>
    <row r="25" spans="1:5" hidden="1" x14ac:dyDescent="0.25">
      <c r="A25" s="1">
        <v>5</v>
      </c>
      <c r="B25" s="2" t="s">
        <v>179</v>
      </c>
      <c r="C25" s="1" t="s">
        <v>35</v>
      </c>
      <c r="D25" s="1" t="s">
        <v>214</v>
      </c>
      <c r="E25" s="1" t="s">
        <v>506</v>
      </c>
    </row>
    <row r="26" spans="1:5" hidden="1" x14ac:dyDescent="0.25">
      <c r="A26" s="1">
        <v>6</v>
      </c>
      <c r="B26" s="2" t="s">
        <v>217</v>
      </c>
      <c r="C26" s="1" t="s">
        <v>27</v>
      </c>
      <c r="D26" s="1" t="s">
        <v>219</v>
      </c>
      <c r="E26" s="1" t="s">
        <v>595</v>
      </c>
    </row>
    <row r="27" spans="1:5" hidden="1" x14ac:dyDescent="0.25">
      <c r="A27" s="1">
        <v>6</v>
      </c>
      <c r="B27" s="2" t="s">
        <v>217</v>
      </c>
      <c r="C27" s="1" t="s">
        <v>35</v>
      </c>
      <c r="D27" s="1" t="s">
        <v>219</v>
      </c>
      <c r="E27" s="1" t="s">
        <v>595</v>
      </c>
    </row>
    <row r="28" spans="1:5" hidden="1" x14ac:dyDescent="0.25">
      <c r="A28" s="1">
        <v>7</v>
      </c>
      <c r="B28" s="2" t="s">
        <v>182</v>
      </c>
      <c r="C28" s="1" t="s">
        <v>27</v>
      </c>
      <c r="D28" s="1" t="s">
        <v>177</v>
      </c>
      <c r="E28" s="1" t="s">
        <v>393</v>
      </c>
    </row>
    <row r="29" spans="1:5" hidden="1" x14ac:dyDescent="0.25">
      <c r="A29" s="1">
        <v>7</v>
      </c>
      <c r="B29" s="2" t="s">
        <v>182</v>
      </c>
      <c r="C29" s="1" t="s">
        <v>35</v>
      </c>
      <c r="D29" s="1" t="s">
        <v>177</v>
      </c>
      <c r="E29" s="1" t="s">
        <v>394</v>
      </c>
    </row>
    <row r="30" spans="1:5" hidden="1" x14ac:dyDescent="0.25">
      <c r="A30" s="1">
        <v>9</v>
      </c>
      <c r="B30" s="2" t="s">
        <v>118</v>
      </c>
      <c r="C30" s="1" t="s">
        <v>27</v>
      </c>
      <c r="D30" s="1" t="s">
        <v>116</v>
      </c>
      <c r="E30" s="1" t="s">
        <v>279</v>
      </c>
    </row>
    <row r="31" spans="1:5" hidden="1" x14ac:dyDescent="0.25">
      <c r="A31" s="1">
        <v>9</v>
      </c>
      <c r="B31" s="2" t="s">
        <v>118</v>
      </c>
      <c r="C31" s="1" t="s">
        <v>35</v>
      </c>
      <c r="D31" s="1" t="s">
        <v>116</v>
      </c>
      <c r="E31" s="1" t="s">
        <v>280</v>
      </c>
    </row>
    <row r="32" spans="1:5" hidden="1" x14ac:dyDescent="0.25">
      <c r="A32" s="1">
        <v>9</v>
      </c>
      <c r="B32" s="2" t="s">
        <v>118</v>
      </c>
      <c r="C32" s="1" t="s">
        <v>27</v>
      </c>
      <c r="D32" s="1" t="s">
        <v>167</v>
      </c>
      <c r="E32" s="1" t="s">
        <v>347</v>
      </c>
    </row>
    <row r="33" spans="1:5" hidden="1" x14ac:dyDescent="0.25">
      <c r="A33" s="1">
        <v>9</v>
      </c>
      <c r="B33" s="2" t="s">
        <v>118</v>
      </c>
      <c r="C33" s="1" t="s">
        <v>35</v>
      </c>
      <c r="D33" s="1" t="s">
        <v>167</v>
      </c>
      <c r="E33" s="1" t="s">
        <v>348</v>
      </c>
    </row>
    <row r="34" spans="1:5" hidden="1" x14ac:dyDescent="0.25">
      <c r="A34" s="1">
        <v>10</v>
      </c>
      <c r="B34" s="2" t="s">
        <v>26</v>
      </c>
      <c r="C34" s="1" t="s">
        <v>27</v>
      </c>
      <c r="D34" s="1" t="s">
        <v>29</v>
      </c>
      <c r="E34" s="1" t="s">
        <v>225</v>
      </c>
    </row>
    <row r="35" spans="1:5" hidden="1" x14ac:dyDescent="0.25">
      <c r="A35" s="1">
        <v>10</v>
      </c>
      <c r="B35" s="2" t="s">
        <v>26</v>
      </c>
      <c r="C35" s="1" t="s">
        <v>32</v>
      </c>
      <c r="D35" s="1" t="s">
        <v>29</v>
      </c>
      <c r="E35" s="1" t="s">
        <v>226</v>
      </c>
    </row>
    <row r="36" spans="1:5" hidden="1" x14ac:dyDescent="0.25">
      <c r="A36" s="1">
        <v>10</v>
      </c>
      <c r="B36" s="2" t="s">
        <v>26</v>
      </c>
      <c r="C36" s="1" t="s">
        <v>27</v>
      </c>
      <c r="D36" s="1" t="s">
        <v>177</v>
      </c>
      <c r="E36" s="1" t="s">
        <v>395</v>
      </c>
    </row>
    <row r="37" spans="1:5" hidden="1" x14ac:dyDescent="0.25">
      <c r="A37" s="1">
        <v>10</v>
      </c>
      <c r="B37" s="2" t="s">
        <v>26</v>
      </c>
      <c r="C37" s="1" t="s">
        <v>32</v>
      </c>
      <c r="D37" s="1" t="s">
        <v>177</v>
      </c>
      <c r="E37" s="1" t="s">
        <v>396</v>
      </c>
    </row>
    <row r="38" spans="1:5" hidden="1" x14ac:dyDescent="0.25">
      <c r="A38" s="1">
        <v>10</v>
      </c>
      <c r="B38" s="2" t="s">
        <v>26</v>
      </c>
      <c r="C38" s="1" t="s">
        <v>27</v>
      </c>
      <c r="D38" s="1" t="s">
        <v>116</v>
      </c>
      <c r="E38" s="1" t="s">
        <v>281</v>
      </c>
    </row>
    <row r="39" spans="1:5" hidden="1" x14ac:dyDescent="0.25">
      <c r="A39" s="1">
        <v>10</v>
      </c>
      <c r="B39" s="2" t="s">
        <v>26</v>
      </c>
      <c r="C39" s="1" t="s">
        <v>32</v>
      </c>
      <c r="D39" s="1" t="s">
        <v>116</v>
      </c>
      <c r="E39" s="1" t="s">
        <v>282</v>
      </c>
    </row>
    <row r="40" spans="1:5" hidden="1" x14ac:dyDescent="0.25">
      <c r="A40" s="1">
        <v>10</v>
      </c>
      <c r="B40" s="2" t="s">
        <v>26</v>
      </c>
      <c r="C40" s="1" t="s">
        <v>27</v>
      </c>
      <c r="D40" s="1" t="s">
        <v>167</v>
      </c>
      <c r="E40" s="1" t="s">
        <v>349</v>
      </c>
    </row>
    <row r="41" spans="1:5" hidden="1" x14ac:dyDescent="0.25">
      <c r="A41" s="1">
        <v>10</v>
      </c>
      <c r="B41" s="2" t="s">
        <v>26</v>
      </c>
      <c r="C41" s="1" t="s">
        <v>32</v>
      </c>
      <c r="D41" s="1" t="s">
        <v>167</v>
      </c>
      <c r="E41" s="1" t="s">
        <v>349</v>
      </c>
    </row>
    <row r="42" spans="1:5" hidden="1" x14ac:dyDescent="0.25">
      <c r="A42" s="1">
        <v>11</v>
      </c>
      <c r="B42" s="2" t="s">
        <v>205</v>
      </c>
      <c r="C42" s="1" t="s">
        <v>27</v>
      </c>
      <c r="D42" s="1" t="s">
        <v>215</v>
      </c>
      <c r="E42" s="1" t="s">
        <v>539</v>
      </c>
    </row>
    <row r="43" spans="1:5" hidden="1" x14ac:dyDescent="0.25">
      <c r="A43" s="1">
        <v>11</v>
      </c>
      <c r="B43" s="2" t="s">
        <v>205</v>
      </c>
      <c r="C43" s="1" t="s">
        <v>35</v>
      </c>
      <c r="D43" s="1" t="s">
        <v>215</v>
      </c>
      <c r="E43" s="1" t="s">
        <v>540</v>
      </c>
    </row>
    <row r="44" spans="1:5" hidden="1" x14ac:dyDescent="0.25">
      <c r="A44" s="1">
        <v>11</v>
      </c>
      <c r="B44" s="2" t="s">
        <v>205</v>
      </c>
      <c r="C44" s="1" t="s">
        <v>27</v>
      </c>
      <c r="D44" s="1" t="s">
        <v>216</v>
      </c>
      <c r="E44" s="1" t="s">
        <v>539</v>
      </c>
    </row>
    <row r="45" spans="1:5" hidden="1" x14ac:dyDescent="0.25">
      <c r="A45" s="1">
        <v>11</v>
      </c>
      <c r="B45" s="2" t="s">
        <v>205</v>
      </c>
      <c r="C45" s="1" t="s">
        <v>35</v>
      </c>
      <c r="D45" s="1" t="s">
        <v>216</v>
      </c>
      <c r="E45" s="1" t="s">
        <v>571</v>
      </c>
    </row>
    <row r="46" spans="1:5" x14ac:dyDescent="0.25">
      <c r="A46" s="1">
        <v>11</v>
      </c>
      <c r="B46" s="2" t="s">
        <v>205</v>
      </c>
      <c r="C46" s="1" t="s">
        <v>27</v>
      </c>
      <c r="D46" s="1" t="s">
        <v>203</v>
      </c>
      <c r="E46" s="1" t="s">
        <v>458</v>
      </c>
    </row>
    <row r="47" spans="1:5" x14ac:dyDescent="0.25">
      <c r="A47" s="1">
        <v>11</v>
      </c>
      <c r="B47" s="2" t="s">
        <v>205</v>
      </c>
      <c r="C47" s="1" t="s">
        <v>35</v>
      </c>
      <c r="D47" s="1" t="s">
        <v>203</v>
      </c>
      <c r="E47" s="1" t="s">
        <v>459</v>
      </c>
    </row>
    <row r="48" spans="1:5" hidden="1" x14ac:dyDescent="0.25">
      <c r="A48" s="1">
        <v>11</v>
      </c>
      <c r="B48" s="2" t="s">
        <v>205</v>
      </c>
      <c r="C48" s="1" t="s">
        <v>27</v>
      </c>
      <c r="D48" s="1" t="s">
        <v>214</v>
      </c>
      <c r="E48" s="1" t="s">
        <v>507</v>
      </c>
    </row>
    <row r="49" spans="1:5" hidden="1" x14ac:dyDescent="0.25">
      <c r="A49" s="1">
        <v>11</v>
      </c>
      <c r="B49" s="2" t="s">
        <v>205</v>
      </c>
      <c r="C49" s="1" t="s">
        <v>35</v>
      </c>
      <c r="D49" s="1" t="s">
        <v>214</v>
      </c>
      <c r="E49" s="1" t="s">
        <v>508</v>
      </c>
    </row>
    <row r="50" spans="1:5" hidden="1" x14ac:dyDescent="0.25">
      <c r="A50" s="1">
        <v>12</v>
      </c>
      <c r="B50" s="2" t="s">
        <v>34</v>
      </c>
      <c r="C50" s="1" t="s">
        <v>35</v>
      </c>
      <c r="D50" s="1" t="s">
        <v>29</v>
      </c>
      <c r="E50" s="1" t="s">
        <v>227</v>
      </c>
    </row>
    <row r="51" spans="1:5" hidden="1" x14ac:dyDescent="0.25">
      <c r="A51" s="1">
        <v>12</v>
      </c>
      <c r="B51" s="2" t="s">
        <v>34</v>
      </c>
      <c r="C51" s="1" t="s">
        <v>38</v>
      </c>
      <c r="D51" s="1" t="s">
        <v>29</v>
      </c>
      <c r="E51" s="1" t="s">
        <v>228</v>
      </c>
    </row>
    <row r="52" spans="1:5" hidden="1" x14ac:dyDescent="0.25">
      <c r="A52" s="1">
        <v>12</v>
      </c>
      <c r="B52" s="2" t="s">
        <v>34</v>
      </c>
      <c r="C52" s="1" t="s">
        <v>35</v>
      </c>
      <c r="D52" s="1" t="s">
        <v>177</v>
      </c>
      <c r="E52" s="1" t="s">
        <v>397</v>
      </c>
    </row>
    <row r="53" spans="1:5" hidden="1" x14ac:dyDescent="0.25">
      <c r="A53" s="1">
        <v>12</v>
      </c>
      <c r="B53" s="2" t="s">
        <v>34</v>
      </c>
      <c r="C53" s="1" t="s">
        <v>38</v>
      </c>
      <c r="D53" s="1" t="s">
        <v>177</v>
      </c>
      <c r="E53" s="1" t="s">
        <v>398</v>
      </c>
    </row>
    <row r="54" spans="1:5" x14ac:dyDescent="0.25">
      <c r="A54" s="1">
        <v>12</v>
      </c>
      <c r="B54" s="2" t="s">
        <v>34</v>
      </c>
      <c r="C54" s="1" t="s">
        <v>35</v>
      </c>
      <c r="D54" s="1" t="s">
        <v>203</v>
      </c>
      <c r="E54" s="1" t="s">
        <v>460</v>
      </c>
    </row>
    <row r="55" spans="1:5" x14ac:dyDescent="0.25">
      <c r="A55" s="1">
        <v>12</v>
      </c>
      <c r="B55" s="2" t="s">
        <v>34</v>
      </c>
      <c r="C55" s="1" t="s">
        <v>38</v>
      </c>
      <c r="D55" s="1" t="s">
        <v>203</v>
      </c>
      <c r="E55" s="1" t="s">
        <v>461</v>
      </c>
    </row>
    <row r="56" spans="1:5" hidden="1" x14ac:dyDescent="0.25">
      <c r="A56" s="1">
        <v>12</v>
      </c>
      <c r="B56" s="2" t="s">
        <v>34</v>
      </c>
      <c r="C56" s="1" t="s">
        <v>35</v>
      </c>
      <c r="D56" s="1" t="s">
        <v>214</v>
      </c>
      <c r="E56" s="1" t="s">
        <v>509</v>
      </c>
    </row>
    <row r="57" spans="1:5" hidden="1" x14ac:dyDescent="0.25">
      <c r="A57" s="1">
        <v>12</v>
      </c>
      <c r="B57" s="2" t="s">
        <v>34</v>
      </c>
      <c r="C57" s="1" t="s">
        <v>38</v>
      </c>
      <c r="D57" s="1" t="s">
        <v>214</v>
      </c>
      <c r="E57" s="1" t="s">
        <v>504</v>
      </c>
    </row>
    <row r="58" spans="1:5" hidden="1" x14ac:dyDescent="0.25">
      <c r="A58" s="1">
        <v>13</v>
      </c>
      <c r="B58" s="2" t="s">
        <v>40</v>
      </c>
      <c r="C58" s="1" t="s">
        <v>27</v>
      </c>
      <c r="D58" s="1" t="s">
        <v>29</v>
      </c>
      <c r="E58" s="1" t="s">
        <v>229</v>
      </c>
    </row>
    <row r="59" spans="1:5" hidden="1" x14ac:dyDescent="0.25">
      <c r="A59" s="1">
        <v>13</v>
      </c>
      <c r="B59" s="2" t="s">
        <v>40</v>
      </c>
      <c r="C59" s="1" t="s">
        <v>35</v>
      </c>
      <c r="D59" s="1" t="s">
        <v>29</v>
      </c>
      <c r="E59" s="1" t="s">
        <v>230</v>
      </c>
    </row>
    <row r="60" spans="1:5" hidden="1" x14ac:dyDescent="0.25">
      <c r="A60" s="1">
        <v>13</v>
      </c>
      <c r="B60" s="2" t="s">
        <v>40</v>
      </c>
      <c r="C60" s="1" t="s">
        <v>27</v>
      </c>
      <c r="D60" s="1" t="s">
        <v>215</v>
      </c>
      <c r="E60" s="1" t="s">
        <v>541</v>
      </c>
    </row>
    <row r="61" spans="1:5" hidden="1" x14ac:dyDescent="0.25">
      <c r="A61" s="1">
        <v>13</v>
      </c>
      <c r="B61" s="2" t="s">
        <v>40</v>
      </c>
      <c r="C61" s="1" t="s">
        <v>35</v>
      </c>
      <c r="D61" s="1" t="s">
        <v>215</v>
      </c>
      <c r="E61" s="1" t="s">
        <v>542</v>
      </c>
    </row>
    <row r="62" spans="1:5" hidden="1" x14ac:dyDescent="0.25">
      <c r="A62" s="1">
        <v>13</v>
      </c>
      <c r="B62" s="2" t="s">
        <v>40</v>
      </c>
      <c r="C62" s="1" t="s">
        <v>27</v>
      </c>
      <c r="D62" s="1" t="s">
        <v>216</v>
      </c>
      <c r="E62" s="1" t="s">
        <v>572</v>
      </c>
    </row>
    <row r="63" spans="1:5" hidden="1" x14ac:dyDescent="0.25">
      <c r="A63" s="1">
        <v>13</v>
      </c>
      <c r="B63" s="2" t="s">
        <v>40</v>
      </c>
      <c r="C63" s="1" t="s">
        <v>35</v>
      </c>
      <c r="D63" s="1" t="s">
        <v>216</v>
      </c>
      <c r="E63" s="1" t="s">
        <v>573</v>
      </c>
    </row>
    <row r="64" spans="1:5" hidden="1" x14ac:dyDescent="0.25">
      <c r="A64" s="1">
        <v>13</v>
      </c>
      <c r="B64" s="2" t="s">
        <v>40</v>
      </c>
      <c r="C64" s="1" t="s">
        <v>27</v>
      </c>
      <c r="D64" s="1" t="s">
        <v>116</v>
      </c>
      <c r="E64" s="1" t="s">
        <v>283</v>
      </c>
    </row>
    <row r="65" spans="1:5" hidden="1" x14ac:dyDescent="0.25">
      <c r="A65" s="1">
        <v>13</v>
      </c>
      <c r="B65" s="2" t="s">
        <v>40</v>
      </c>
      <c r="C65" s="1" t="s">
        <v>35</v>
      </c>
      <c r="D65" s="1" t="s">
        <v>116</v>
      </c>
      <c r="E65" s="1" t="s">
        <v>284</v>
      </c>
    </row>
    <row r="66" spans="1:5" x14ac:dyDescent="0.25">
      <c r="A66" s="1">
        <v>13</v>
      </c>
      <c r="B66" s="2" t="s">
        <v>40</v>
      </c>
      <c r="C66" s="1" t="s">
        <v>27</v>
      </c>
      <c r="D66" s="1" t="s">
        <v>203</v>
      </c>
      <c r="E66" s="1" t="s">
        <v>462</v>
      </c>
    </row>
    <row r="67" spans="1:5" x14ac:dyDescent="0.25">
      <c r="A67" s="1">
        <v>13</v>
      </c>
      <c r="B67" s="2" t="s">
        <v>40</v>
      </c>
      <c r="C67" s="1" t="s">
        <v>35</v>
      </c>
      <c r="D67" s="1" t="s">
        <v>203</v>
      </c>
      <c r="E67" s="1" t="s">
        <v>463</v>
      </c>
    </row>
    <row r="68" spans="1:5" hidden="1" x14ac:dyDescent="0.25">
      <c r="A68" s="1">
        <v>13</v>
      </c>
      <c r="B68" s="2" t="s">
        <v>40</v>
      </c>
      <c r="C68" s="1" t="s">
        <v>27</v>
      </c>
      <c r="D68" s="1" t="s">
        <v>214</v>
      </c>
      <c r="E68" s="1" t="s">
        <v>510</v>
      </c>
    </row>
    <row r="69" spans="1:5" hidden="1" x14ac:dyDescent="0.25">
      <c r="A69" s="1">
        <v>13</v>
      </c>
      <c r="B69" s="2" t="s">
        <v>40</v>
      </c>
      <c r="C69" s="1" t="s">
        <v>35</v>
      </c>
      <c r="D69" s="1" t="s">
        <v>214</v>
      </c>
      <c r="E69" s="1" t="s">
        <v>511</v>
      </c>
    </row>
    <row r="70" spans="1:5" hidden="1" x14ac:dyDescent="0.25">
      <c r="A70" s="1">
        <v>13</v>
      </c>
      <c r="B70" s="2" t="s">
        <v>40</v>
      </c>
      <c r="C70" s="1" t="s">
        <v>27</v>
      </c>
      <c r="D70" s="1" t="s">
        <v>167</v>
      </c>
      <c r="E70" s="1" t="s">
        <v>350</v>
      </c>
    </row>
    <row r="71" spans="1:5" hidden="1" x14ac:dyDescent="0.25">
      <c r="A71" s="1">
        <v>13</v>
      </c>
      <c r="B71" s="2" t="s">
        <v>40</v>
      </c>
      <c r="C71" s="1" t="s">
        <v>35</v>
      </c>
      <c r="D71" s="1" t="s">
        <v>167</v>
      </c>
      <c r="E71" s="1" t="s">
        <v>351</v>
      </c>
    </row>
    <row r="72" spans="1:5" hidden="1" x14ac:dyDescent="0.25">
      <c r="A72" s="1">
        <v>14</v>
      </c>
      <c r="B72" s="2" t="s">
        <v>43</v>
      </c>
      <c r="C72" s="1" t="s">
        <v>35</v>
      </c>
      <c r="D72" s="1" t="s">
        <v>29</v>
      </c>
      <c r="E72" s="1" t="s">
        <v>231</v>
      </c>
    </row>
    <row r="73" spans="1:5" hidden="1" x14ac:dyDescent="0.25">
      <c r="A73" s="1">
        <v>14</v>
      </c>
      <c r="B73" s="2" t="s">
        <v>43</v>
      </c>
      <c r="C73" s="1" t="s">
        <v>45</v>
      </c>
      <c r="D73" s="1" t="s">
        <v>29</v>
      </c>
      <c r="E73" s="1" t="s">
        <v>232</v>
      </c>
    </row>
    <row r="74" spans="1:5" hidden="1" x14ac:dyDescent="0.25">
      <c r="A74" s="1">
        <v>14</v>
      </c>
      <c r="B74" s="2" t="s">
        <v>43</v>
      </c>
      <c r="C74" s="1" t="s">
        <v>35</v>
      </c>
      <c r="D74" s="1" t="s">
        <v>167</v>
      </c>
      <c r="E74" s="1" t="s">
        <v>352</v>
      </c>
    </row>
    <row r="75" spans="1:5" hidden="1" x14ac:dyDescent="0.25">
      <c r="A75" s="1">
        <v>14</v>
      </c>
      <c r="B75" s="2" t="s">
        <v>43</v>
      </c>
      <c r="C75" s="1" t="s">
        <v>45</v>
      </c>
      <c r="D75" s="1" t="s">
        <v>167</v>
      </c>
      <c r="E75" s="1" t="s">
        <v>352</v>
      </c>
    </row>
    <row r="76" spans="1:5" hidden="1" x14ac:dyDescent="0.25">
      <c r="A76" s="1">
        <v>18</v>
      </c>
      <c r="B76" s="2" t="s">
        <v>47</v>
      </c>
      <c r="C76" s="1" t="s">
        <v>35</v>
      </c>
      <c r="D76" s="1" t="s">
        <v>29</v>
      </c>
      <c r="E76" s="1" t="s">
        <v>233</v>
      </c>
    </row>
    <row r="77" spans="1:5" hidden="1" x14ac:dyDescent="0.25">
      <c r="A77" s="1">
        <v>18</v>
      </c>
      <c r="B77" s="2" t="s">
        <v>47</v>
      </c>
      <c r="C77" s="1" t="s">
        <v>38</v>
      </c>
      <c r="D77" s="1" t="s">
        <v>29</v>
      </c>
      <c r="E77" s="1" t="s">
        <v>234</v>
      </c>
    </row>
    <row r="78" spans="1:5" hidden="1" x14ac:dyDescent="0.25">
      <c r="A78" s="1">
        <v>18</v>
      </c>
      <c r="B78" s="2" t="s">
        <v>47</v>
      </c>
      <c r="C78" s="1" t="s">
        <v>35</v>
      </c>
      <c r="D78" s="1" t="s">
        <v>116</v>
      </c>
      <c r="E78" s="1" t="s">
        <v>285</v>
      </c>
    </row>
    <row r="79" spans="1:5" hidden="1" x14ac:dyDescent="0.25">
      <c r="A79" s="1">
        <v>18</v>
      </c>
      <c r="B79" s="2" t="s">
        <v>47</v>
      </c>
      <c r="C79" s="1" t="s">
        <v>38</v>
      </c>
      <c r="D79" s="1" t="s">
        <v>116</v>
      </c>
      <c r="E79" s="1" t="s">
        <v>286</v>
      </c>
    </row>
    <row r="80" spans="1:5" hidden="1" x14ac:dyDescent="0.25">
      <c r="A80" s="1">
        <v>19</v>
      </c>
      <c r="B80" s="2" t="s">
        <v>50</v>
      </c>
      <c r="C80" s="1" t="s">
        <v>35</v>
      </c>
      <c r="D80" s="1" t="s">
        <v>29</v>
      </c>
      <c r="E80" s="1" t="s">
        <v>235</v>
      </c>
    </row>
    <row r="81" spans="1:5" hidden="1" x14ac:dyDescent="0.25">
      <c r="A81" s="1">
        <v>19</v>
      </c>
      <c r="B81" s="2" t="s">
        <v>50</v>
      </c>
      <c r="C81" s="1" t="s">
        <v>32</v>
      </c>
      <c r="D81" s="1" t="s">
        <v>29</v>
      </c>
      <c r="E81" s="1" t="s">
        <v>236</v>
      </c>
    </row>
    <row r="82" spans="1:5" hidden="1" x14ac:dyDescent="0.25">
      <c r="A82" s="1">
        <v>19</v>
      </c>
      <c r="B82" s="2" t="s">
        <v>50</v>
      </c>
      <c r="C82" s="1" t="s">
        <v>35</v>
      </c>
      <c r="D82" s="1" t="s">
        <v>116</v>
      </c>
      <c r="E82" s="1" t="s">
        <v>287</v>
      </c>
    </row>
    <row r="83" spans="1:5" hidden="1" x14ac:dyDescent="0.25">
      <c r="A83" s="1">
        <v>19</v>
      </c>
      <c r="B83" s="2" t="s">
        <v>50</v>
      </c>
      <c r="C83" s="1" t="s">
        <v>32</v>
      </c>
      <c r="D83" s="1" t="s">
        <v>116</v>
      </c>
      <c r="E83" s="1" t="s">
        <v>288</v>
      </c>
    </row>
    <row r="84" spans="1:5" hidden="1" x14ac:dyDescent="0.25">
      <c r="A84" s="1">
        <v>23</v>
      </c>
      <c r="B84" s="2" t="s">
        <v>121</v>
      </c>
      <c r="C84" s="1" t="s">
        <v>27</v>
      </c>
      <c r="D84" s="1" t="s">
        <v>177</v>
      </c>
      <c r="E84" s="1" t="s">
        <v>399</v>
      </c>
    </row>
    <row r="85" spans="1:5" hidden="1" x14ac:dyDescent="0.25">
      <c r="A85" s="1">
        <v>23</v>
      </c>
      <c r="B85" s="2" t="s">
        <v>121</v>
      </c>
      <c r="C85" s="1" t="s">
        <v>35</v>
      </c>
      <c r="D85" s="1" t="s">
        <v>177</v>
      </c>
      <c r="E85" s="1" t="s">
        <v>400</v>
      </c>
    </row>
    <row r="86" spans="1:5" hidden="1" x14ac:dyDescent="0.25">
      <c r="A86" s="1">
        <v>23</v>
      </c>
      <c r="B86" s="2" t="s">
        <v>121</v>
      </c>
      <c r="C86" s="1" t="s">
        <v>27</v>
      </c>
      <c r="D86" s="1" t="s">
        <v>215</v>
      </c>
      <c r="E86" s="1" t="s">
        <v>543</v>
      </c>
    </row>
    <row r="87" spans="1:5" hidden="1" x14ac:dyDescent="0.25">
      <c r="A87" s="1">
        <v>23</v>
      </c>
      <c r="B87" s="2" t="s">
        <v>121</v>
      </c>
      <c r="C87" s="1" t="s">
        <v>35</v>
      </c>
      <c r="D87" s="1" t="s">
        <v>215</v>
      </c>
      <c r="E87" s="1" t="s">
        <v>544</v>
      </c>
    </row>
    <row r="88" spans="1:5" hidden="1" x14ac:dyDescent="0.25">
      <c r="A88" s="1">
        <v>23</v>
      </c>
      <c r="B88" s="2" t="s">
        <v>121</v>
      </c>
      <c r="C88" s="1" t="s">
        <v>27</v>
      </c>
      <c r="D88" s="1" t="s">
        <v>216</v>
      </c>
      <c r="E88" s="1" t="s">
        <v>574</v>
      </c>
    </row>
    <row r="89" spans="1:5" hidden="1" x14ac:dyDescent="0.25">
      <c r="A89" s="1">
        <v>23</v>
      </c>
      <c r="B89" s="2" t="s">
        <v>121</v>
      </c>
      <c r="C89" s="1" t="s">
        <v>35</v>
      </c>
      <c r="D89" s="1" t="s">
        <v>216</v>
      </c>
      <c r="E89" s="1" t="s">
        <v>575</v>
      </c>
    </row>
    <row r="90" spans="1:5" hidden="1" x14ac:dyDescent="0.25">
      <c r="A90" s="1">
        <v>23</v>
      </c>
      <c r="B90" s="2" t="s">
        <v>121</v>
      </c>
      <c r="C90" s="1" t="s">
        <v>27</v>
      </c>
      <c r="D90" s="1" t="s">
        <v>116</v>
      </c>
      <c r="E90" s="1" t="s">
        <v>289</v>
      </c>
    </row>
    <row r="91" spans="1:5" hidden="1" x14ac:dyDescent="0.25">
      <c r="A91" s="1">
        <v>23</v>
      </c>
      <c r="B91" s="2" t="s">
        <v>121</v>
      </c>
      <c r="C91" s="1" t="s">
        <v>35</v>
      </c>
      <c r="D91" s="1" t="s">
        <v>116</v>
      </c>
      <c r="E91" s="1" t="s">
        <v>290</v>
      </c>
    </row>
    <row r="92" spans="1:5" hidden="1" x14ac:dyDescent="0.25">
      <c r="A92" s="1">
        <v>23</v>
      </c>
      <c r="B92" s="2" t="s">
        <v>121</v>
      </c>
      <c r="C92" s="1" t="s">
        <v>27</v>
      </c>
      <c r="D92" s="1" t="s">
        <v>167</v>
      </c>
      <c r="E92" s="1" t="s">
        <v>353</v>
      </c>
    </row>
    <row r="93" spans="1:5" hidden="1" x14ac:dyDescent="0.25">
      <c r="A93" s="1">
        <v>23</v>
      </c>
      <c r="B93" s="2" t="s">
        <v>121</v>
      </c>
      <c r="C93" s="1" t="s">
        <v>35</v>
      </c>
      <c r="D93" s="1" t="s">
        <v>167</v>
      </c>
      <c r="E93" s="1" t="s">
        <v>354</v>
      </c>
    </row>
    <row r="94" spans="1:5" hidden="1" x14ac:dyDescent="0.25">
      <c r="A94" s="1">
        <v>25</v>
      </c>
      <c r="B94" s="2" t="s">
        <v>185</v>
      </c>
      <c r="C94" s="1" t="s">
        <v>27</v>
      </c>
      <c r="D94" s="1" t="s">
        <v>177</v>
      </c>
      <c r="E94" s="1" t="s">
        <v>401</v>
      </c>
    </row>
    <row r="95" spans="1:5" hidden="1" x14ac:dyDescent="0.25">
      <c r="A95" s="1">
        <v>25</v>
      </c>
      <c r="B95" s="2" t="s">
        <v>185</v>
      </c>
      <c r="C95" s="1" t="s">
        <v>35</v>
      </c>
      <c r="D95" s="1" t="s">
        <v>177</v>
      </c>
      <c r="E95" s="1" t="s">
        <v>402</v>
      </c>
    </row>
    <row r="96" spans="1:5" x14ac:dyDescent="0.25">
      <c r="A96" s="1">
        <v>25</v>
      </c>
      <c r="B96" s="2" t="s">
        <v>185</v>
      </c>
      <c r="C96" s="1" t="s">
        <v>27</v>
      </c>
      <c r="D96" s="1" t="s">
        <v>203</v>
      </c>
      <c r="E96" s="1" t="s">
        <v>464</v>
      </c>
    </row>
    <row r="97" spans="1:5" x14ac:dyDescent="0.25">
      <c r="A97" s="1">
        <v>25</v>
      </c>
      <c r="B97" s="2" t="s">
        <v>185</v>
      </c>
      <c r="C97" s="1" t="s">
        <v>35</v>
      </c>
      <c r="D97" s="1" t="s">
        <v>203</v>
      </c>
      <c r="E97" s="1" t="s">
        <v>465</v>
      </c>
    </row>
    <row r="98" spans="1:5" hidden="1" x14ac:dyDescent="0.25">
      <c r="A98" s="1">
        <v>25</v>
      </c>
      <c r="B98" s="2" t="s">
        <v>185</v>
      </c>
      <c r="C98" s="1" t="s">
        <v>27</v>
      </c>
      <c r="D98" s="1" t="s">
        <v>214</v>
      </c>
      <c r="E98" s="1" t="s">
        <v>512</v>
      </c>
    </row>
    <row r="99" spans="1:5" hidden="1" x14ac:dyDescent="0.25">
      <c r="A99" s="1">
        <v>25</v>
      </c>
      <c r="B99" s="2" t="s">
        <v>185</v>
      </c>
      <c r="C99" s="1" t="s">
        <v>35</v>
      </c>
      <c r="D99" s="1" t="s">
        <v>214</v>
      </c>
      <c r="E99" s="1" t="s">
        <v>513</v>
      </c>
    </row>
    <row r="100" spans="1:5" hidden="1" x14ac:dyDescent="0.25">
      <c r="A100" s="1">
        <v>26</v>
      </c>
      <c r="B100" s="2" t="s">
        <v>188</v>
      </c>
      <c r="C100" s="1" t="s">
        <v>27</v>
      </c>
      <c r="D100" s="1" t="s">
        <v>177</v>
      </c>
      <c r="E100" s="1" t="s">
        <v>403</v>
      </c>
    </row>
    <row r="101" spans="1:5" hidden="1" x14ac:dyDescent="0.25">
      <c r="A101" s="1">
        <v>26</v>
      </c>
      <c r="B101" s="2" t="s">
        <v>188</v>
      </c>
      <c r="C101" s="1" t="s">
        <v>35</v>
      </c>
      <c r="D101" s="1" t="s">
        <v>177</v>
      </c>
      <c r="E101" s="1" t="s">
        <v>404</v>
      </c>
    </row>
    <row r="102" spans="1:5" hidden="1" x14ac:dyDescent="0.25">
      <c r="A102" s="1">
        <v>26</v>
      </c>
      <c r="B102" s="2" t="s">
        <v>188</v>
      </c>
      <c r="C102" s="1" t="s">
        <v>27</v>
      </c>
      <c r="D102" s="1" t="s">
        <v>215</v>
      </c>
      <c r="E102" s="1" t="s">
        <v>545</v>
      </c>
    </row>
    <row r="103" spans="1:5" hidden="1" x14ac:dyDescent="0.25">
      <c r="A103" s="1">
        <v>26</v>
      </c>
      <c r="B103" s="2" t="s">
        <v>188</v>
      </c>
      <c r="C103" s="1" t="s">
        <v>35</v>
      </c>
      <c r="D103" s="1" t="s">
        <v>215</v>
      </c>
      <c r="E103" s="1" t="s">
        <v>546</v>
      </c>
    </row>
    <row r="104" spans="1:5" hidden="1" x14ac:dyDescent="0.25">
      <c r="A104" s="1">
        <v>26</v>
      </c>
      <c r="B104" s="2" t="s">
        <v>188</v>
      </c>
      <c r="C104" s="1" t="s">
        <v>27</v>
      </c>
      <c r="D104" s="1" t="s">
        <v>216</v>
      </c>
      <c r="E104" s="1" t="s">
        <v>576</v>
      </c>
    </row>
    <row r="105" spans="1:5" hidden="1" x14ac:dyDescent="0.25">
      <c r="A105" s="1">
        <v>26</v>
      </c>
      <c r="B105" s="2" t="s">
        <v>188</v>
      </c>
      <c r="C105" s="1" t="s">
        <v>35</v>
      </c>
      <c r="D105" s="1" t="s">
        <v>216</v>
      </c>
      <c r="E105" s="1" t="s">
        <v>577</v>
      </c>
    </row>
    <row r="106" spans="1:5" x14ac:dyDescent="0.25">
      <c r="A106" s="1">
        <v>26</v>
      </c>
      <c r="B106" s="2" t="s">
        <v>188</v>
      </c>
      <c r="C106" s="1" t="s">
        <v>27</v>
      </c>
      <c r="D106" s="1" t="s">
        <v>203</v>
      </c>
      <c r="E106" s="1" t="s">
        <v>466</v>
      </c>
    </row>
    <row r="107" spans="1:5" x14ac:dyDescent="0.25">
      <c r="A107" s="1">
        <v>26</v>
      </c>
      <c r="B107" s="2" t="s">
        <v>188</v>
      </c>
      <c r="C107" s="1" t="s">
        <v>35</v>
      </c>
      <c r="D107" s="1" t="s">
        <v>203</v>
      </c>
      <c r="E107" s="1" t="s">
        <v>467</v>
      </c>
    </row>
    <row r="108" spans="1:5" hidden="1" x14ac:dyDescent="0.25">
      <c r="A108" s="1">
        <v>26</v>
      </c>
      <c r="B108" s="2" t="s">
        <v>188</v>
      </c>
      <c r="C108" s="1" t="s">
        <v>27</v>
      </c>
      <c r="D108" s="1" t="s">
        <v>214</v>
      </c>
      <c r="E108" s="1" t="s">
        <v>474</v>
      </c>
    </row>
    <row r="109" spans="1:5" hidden="1" x14ac:dyDescent="0.25">
      <c r="A109" s="1">
        <v>26</v>
      </c>
      <c r="B109" s="2" t="s">
        <v>188</v>
      </c>
      <c r="C109" s="1" t="s">
        <v>35</v>
      </c>
      <c r="D109" s="1" t="s">
        <v>214</v>
      </c>
      <c r="E109" s="1" t="s">
        <v>514</v>
      </c>
    </row>
    <row r="110" spans="1:5" hidden="1" x14ac:dyDescent="0.25">
      <c r="A110" s="1">
        <v>30</v>
      </c>
      <c r="B110" s="2" t="s">
        <v>191</v>
      </c>
      <c r="C110" s="1" t="s">
        <v>27</v>
      </c>
      <c r="D110" s="1" t="s">
        <v>177</v>
      </c>
      <c r="E110" s="1" t="s">
        <v>405</v>
      </c>
    </row>
    <row r="111" spans="1:5" hidden="1" x14ac:dyDescent="0.25">
      <c r="A111" s="1">
        <v>30</v>
      </c>
      <c r="B111" s="2" t="s">
        <v>191</v>
      </c>
      <c r="C111" s="1" t="s">
        <v>35</v>
      </c>
      <c r="D111" s="1" t="s">
        <v>177</v>
      </c>
      <c r="E111" s="1" t="s">
        <v>406</v>
      </c>
    </row>
    <row r="112" spans="1:5" hidden="1" x14ac:dyDescent="0.25">
      <c r="A112" s="1">
        <v>30</v>
      </c>
      <c r="B112" s="2" t="s">
        <v>191</v>
      </c>
      <c r="C112" s="1" t="s">
        <v>27</v>
      </c>
      <c r="D112" s="1" t="s">
        <v>215</v>
      </c>
      <c r="E112" s="1" t="s">
        <v>547</v>
      </c>
    </row>
    <row r="113" spans="1:5" hidden="1" x14ac:dyDescent="0.25">
      <c r="A113" s="1">
        <v>30</v>
      </c>
      <c r="B113" s="2" t="s">
        <v>191</v>
      </c>
      <c r="C113" s="1" t="s">
        <v>35</v>
      </c>
      <c r="D113" s="1" t="s">
        <v>215</v>
      </c>
      <c r="E113" s="1" t="s">
        <v>548</v>
      </c>
    </row>
    <row r="114" spans="1:5" hidden="1" x14ac:dyDescent="0.25">
      <c r="A114" s="1">
        <v>30</v>
      </c>
      <c r="B114" s="2" t="s">
        <v>191</v>
      </c>
      <c r="C114" s="1" t="s">
        <v>27</v>
      </c>
      <c r="D114" s="1" t="s">
        <v>216</v>
      </c>
      <c r="E114" s="1" t="s">
        <v>578</v>
      </c>
    </row>
    <row r="115" spans="1:5" hidden="1" x14ac:dyDescent="0.25">
      <c r="A115" s="1">
        <v>30</v>
      </c>
      <c r="B115" s="2" t="s">
        <v>191</v>
      </c>
      <c r="C115" s="1" t="s">
        <v>35</v>
      </c>
      <c r="D115" s="1" t="s">
        <v>216</v>
      </c>
      <c r="E115" s="1" t="s">
        <v>517</v>
      </c>
    </row>
    <row r="116" spans="1:5" hidden="1" x14ac:dyDescent="0.25">
      <c r="A116" s="1">
        <v>32</v>
      </c>
      <c r="B116" s="2" t="s">
        <v>53</v>
      </c>
      <c r="C116" s="1" t="s">
        <v>27</v>
      </c>
      <c r="D116" s="1" t="s">
        <v>29</v>
      </c>
      <c r="E116" s="1" t="s">
        <v>237</v>
      </c>
    </row>
    <row r="117" spans="1:5" hidden="1" x14ac:dyDescent="0.25">
      <c r="A117" s="1">
        <v>32</v>
      </c>
      <c r="B117" s="2" t="s">
        <v>53</v>
      </c>
      <c r="C117" s="1" t="s">
        <v>35</v>
      </c>
      <c r="D117" s="1" t="s">
        <v>29</v>
      </c>
      <c r="E117" s="1" t="s">
        <v>238</v>
      </c>
    </row>
    <row r="118" spans="1:5" hidden="1" x14ac:dyDescent="0.25">
      <c r="A118" s="1">
        <v>32</v>
      </c>
      <c r="B118" s="2" t="s">
        <v>53</v>
      </c>
      <c r="C118" s="1" t="s">
        <v>27</v>
      </c>
      <c r="D118" s="1" t="s">
        <v>215</v>
      </c>
      <c r="E118" s="1" t="s">
        <v>549</v>
      </c>
    </row>
    <row r="119" spans="1:5" hidden="1" x14ac:dyDescent="0.25">
      <c r="A119" s="1">
        <v>32</v>
      </c>
      <c r="B119" s="2" t="s">
        <v>53</v>
      </c>
      <c r="C119" s="1" t="s">
        <v>35</v>
      </c>
      <c r="D119" s="1" t="s">
        <v>215</v>
      </c>
      <c r="E119" s="1" t="s">
        <v>550</v>
      </c>
    </row>
    <row r="120" spans="1:5" hidden="1" x14ac:dyDescent="0.25">
      <c r="A120" s="1">
        <v>32</v>
      </c>
      <c r="B120" s="2" t="s">
        <v>53</v>
      </c>
      <c r="C120" s="1" t="s">
        <v>27</v>
      </c>
      <c r="D120" s="1" t="s">
        <v>216</v>
      </c>
      <c r="E120" s="1" t="s">
        <v>515</v>
      </c>
    </row>
    <row r="121" spans="1:5" hidden="1" x14ac:dyDescent="0.25">
      <c r="A121" s="1">
        <v>32</v>
      </c>
      <c r="B121" s="2" t="s">
        <v>53</v>
      </c>
      <c r="C121" s="1" t="s">
        <v>35</v>
      </c>
      <c r="D121" s="1" t="s">
        <v>216</v>
      </c>
      <c r="E121" s="1" t="s">
        <v>579</v>
      </c>
    </row>
    <row r="122" spans="1:5" hidden="1" x14ac:dyDescent="0.25">
      <c r="A122" s="1">
        <v>32</v>
      </c>
      <c r="B122" s="2" t="s">
        <v>53</v>
      </c>
      <c r="C122" s="1" t="s">
        <v>27</v>
      </c>
      <c r="D122" s="1" t="s">
        <v>116</v>
      </c>
      <c r="E122" s="1" t="s">
        <v>291</v>
      </c>
    </row>
    <row r="123" spans="1:5" hidden="1" x14ac:dyDescent="0.25">
      <c r="A123" s="1">
        <v>32</v>
      </c>
      <c r="B123" s="2" t="s">
        <v>53</v>
      </c>
      <c r="C123" s="1" t="s">
        <v>35</v>
      </c>
      <c r="D123" s="1" t="s">
        <v>116</v>
      </c>
      <c r="E123" s="1" t="s">
        <v>292</v>
      </c>
    </row>
    <row r="124" spans="1:5" x14ac:dyDescent="0.25">
      <c r="A124" s="1">
        <v>32</v>
      </c>
      <c r="B124" s="2" t="s">
        <v>53</v>
      </c>
      <c r="C124" s="1" t="s">
        <v>27</v>
      </c>
      <c r="D124" s="1" t="s">
        <v>203</v>
      </c>
      <c r="E124" s="1" t="s">
        <v>468</v>
      </c>
    </row>
    <row r="125" spans="1:5" x14ac:dyDescent="0.25">
      <c r="A125" s="1">
        <v>32</v>
      </c>
      <c r="B125" s="2" t="s">
        <v>53</v>
      </c>
      <c r="C125" s="1" t="s">
        <v>35</v>
      </c>
      <c r="D125" s="1" t="s">
        <v>203</v>
      </c>
      <c r="E125" s="1" t="s">
        <v>469</v>
      </c>
    </row>
    <row r="126" spans="1:5" hidden="1" x14ac:dyDescent="0.25">
      <c r="A126" s="1">
        <v>32</v>
      </c>
      <c r="B126" s="2" t="s">
        <v>53</v>
      </c>
      <c r="C126" s="1" t="s">
        <v>27</v>
      </c>
      <c r="D126" s="1" t="s">
        <v>214</v>
      </c>
      <c r="E126" s="1" t="s">
        <v>515</v>
      </c>
    </row>
    <row r="127" spans="1:5" hidden="1" x14ac:dyDescent="0.25">
      <c r="A127" s="1">
        <v>32</v>
      </c>
      <c r="B127" s="2" t="s">
        <v>53</v>
      </c>
      <c r="C127" s="1" t="s">
        <v>35</v>
      </c>
      <c r="D127" s="1" t="s">
        <v>214</v>
      </c>
      <c r="E127" s="1" t="s">
        <v>516</v>
      </c>
    </row>
    <row r="128" spans="1:5" hidden="1" x14ac:dyDescent="0.25">
      <c r="A128" s="1">
        <v>33</v>
      </c>
      <c r="B128" s="2" t="s">
        <v>124</v>
      </c>
      <c r="C128" s="1" t="s">
        <v>27</v>
      </c>
      <c r="D128" s="1" t="s">
        <v>177</v>
      </c>
      <c r="E128" s="1" t="s">
        <v>407</v>
      </c>
    </row>
    <row r="129" spans="1:5" hidden="1" x14ac:dyDescent="0.25">
      <c r="A129" s="1">
        <v>33</v>
      </c>
      <c r="B129" s="2" t="s">
        <v>124</v>
      </c>
      <c r="C129" s="1" t="s">
        <v>35</v>
      </c>
      <c r="D129" s="1" t="s">
        <v>177</v>
      </c>
      <c r="E129" s="1" t="s">
        <v>408</v>
      </c>
    </row>
    <row r="130" spans="1:5" hidden="1" x14ac:dyDescent="0.25">
      <c r="A130" s="1">
        <v>33</v>
      </c>
      <c r="B130" s="2" t="s">
        <v>124</v>
      </c>
      <c r="C130" s="1" t="s">
        <v>27</v>
      </c>
      <c r="D130" s="1" t="s">
        <v>215</v>
      </c>
      <c r="E130" s="1" t="s">
        <v>551</v>
      </c>
    </row>
    <row r="131" spans="1:5" hidden="1" x14ac:dyDescent="0.25">
      <c r="A131" s="1">
        <v>33</v>
      </c>
      <c r="B131" s="2" t="s">
        <v>124</v>
      </c>
      <c r="C131" s="1" t="s">
        <v>35</v>
      </c>
      <c r="D131" s="1" t="s">
        <v>215</v>
      </c>
      <c r="E131" s="1" t="s">
        <v>552</v>
      </c>
    </row>
    <row r="132" spans="1:5" hidden="1" x14ac:dyDescent="0.25">
      <c r="A132" s="1">
        <v>33</v>
      </c>
      <c r="B132" s="2" t="s">
        <v>124</v>
      </c>
      <c r="C132" s="1" t="s">
        <v>27</v>
      </c>
      <c r="D132" s="1" t="s">
        <v>216</v>
      </c>
      <c r="E132" s="1" t="s">
        <v>501</v>
      </c>
    </row>
    <row r="133" spans="1:5" hidden="1" x14ac:dyDescent="0.25">
      <c r="A133" s="1">
        <v>33</v>
      </c>
      <c r="B133" s="2" t="s">
        <v>124</v>
      </c>
      <c r="C133" s="1" t="s">
        <v>35</v>
      </c>
      <c r="D133" s="1" t="s">
        <v>216</v>
      </c>
      <c r="E133" s="1" t="s">
        <v>517</v>
      </c>
    </row>
    <row r="134" spans="1:5" hidden="1" x14ac:dyDescent="0.25">
      <c r="A134" s="1">
        <v>33</v>
      </c>
      <c r="B134" s="2" t="s">
        <v>124</v>
      </c>
      <c r="C134" s="1" t="s">
        <v>27</v>
      </c>
      <c r="D134" s="1" t="s">
        <v>116</v>
      </c>
      <c r="E134" s="1" t="s">
        <v>293</v>
      </c>
    </row>
    <row r="135" spans="1:5" hidden="1" x14ac:dyDescent="0.25">
      <c r="A135" s="1">
        <v>33</v>
      </c>
      <c r="B135" s="2" t="s">
        <v>124</v>
      </c>
      <c r="C135" s="1" t="s">
        <v>35</v>
      </c>
      <c r="D135" s="1" t="s">
        <v>116</v>
      </c>
      <c r="E135" s="1" t="s">
        <v>294</v>
      </c>
    </row>
    <row r="136" spans="1:5" x14ac:dyDescent="0.25">
      <c r="A136" s="1">
        <v>33</v>
      </c>
      <c r="B136" s="2" t="s">
        <v>124</v>
      </c>
      <c r="C136" s="1" t="s">
        <v>27</v>
      </c>
      <c r="D136" s="1" t="s">
        <v>203</v>
      </c>
      <c r="E136" s="1" t="s">
        <v>470</v>
      </c>
    </row>
    <row r="137" spans="1:5" x14ac:dyDescent="0.25">
      <c r="A137" s="1">
        <v>33</v>
      </c>
      <c r="B137" s="2" t="s">
        <v>124</v>
      </c>
      <c r="C137" s="1" t="s">
        <v>35</v>
      </c>
      <c r="D137" s="1" t="s">
        <v>203</v>
      </c>
      <c r="E137" s="1" t="s">
        <v>471</v>
      </c>
    </row>
    <row r="138" spans="1:5" hidden="1" x14ac:dyDescent="0.25">
      <c r="A138" s="1">
        <v>33</v>
      </c>
      <c r="B138" s="2" t="s">
        <v>124</v>
      </c>
      <c r="C138" s="1" t="s">
        <v>27</v>
      </c>
      <c r="D138" s="1" t="s">
        <v>214</v>
      </c>
      <c r="E138" s="1" t="s">
        <v>501</v>
      </c>
    </row>
    <row r="139" spans="1:5" hidden="1" x14ac:dyDescent="0.25">
      <c r="A139" s="1">
        <v>33</v>
      </c>
      <c r="B139" s="2" t="s">
        <v>124</v>
      </c>
      <c r="C139" s="1" t="s">
        <v>35</v>
      </c>
      <c r="D139" s="1" t="s">
        <v>214</v>
      </c>
      <c r="E139" s="1" t="s">
        <v>517</v>
      </c>
    </row>
    <row r="140" spans="1:5" hidden="1" x14ac:dyDescent="0.25">
      <c r="A140" s="1">
        <v>33</v>
      </c>
      <c r="B140" s="2" t="s">
        <v>124</v>
      </c>
      <c r="C140" s="1" t="s">
        <v>27</v>
      </c>
      <c r="D140" s="1" t="s">
        <v>167</v>
      </c>
      <c r="E140" s="1" t="s">
        <v>355</v>
      </c>
    </row>
    <row r="141" spans="1:5" hidden="1" x14ac:dyDescent="0.25">
      <c r="A141" s="1">
        <v>33</v>
      </c>
      <c r="B141" s="2" t="s">
        <v>124</v>
      </c>
      <c r="C141" s="1" t="s">
        <v>35</v>
      </c>
      <c r="D141" s="1" t="s">
        <v>167</v>
      </c>
      <c r="E141" s="1" t="s">
        <v>356</v>
      </c>
    </row>
    <row r="142" spans="1:5" x14ac:dyDescent="0.25">
      <c r="A142" s="1">
        <v>34</v>
      </c>
      <c r="B142" s="2" t="s">
        <v>169</v>
      </c>
      <c r="C142" s="1" t="s">
        <v>27</v>
      </c>
      <c r="D142" s="1" t="s">
        <v>203</v>
      </c>
      <c r="E142" s="1" t="s">
        <v>472</v>
      </c>
    </row>
    <row r="143" spans="1:5" x14ac:dyDescent="0.25">
      <c r="A143" s="1">
        <v>34</v>
      </c>
      <c r="B143" s="2" t="s">
        <v>169</v>
      </c>
      <c r="C143" s="1" t="s">
        <v>35</v>
      </c>
      <c r="D143" s="1" t="s">
        <v>203</v>
      </c>
      <c r="E143" s="1" t="s">
        <v>473</v>
      </c>
    </row>
    <row r="144" spans="1:5" hidden="1" x14ac:dyDescent="0.25">
      <c r="A144" s="1">
        <v>34</v>
      </c>
      <c r="B144" s="2" t="s">
        <v>169</v>
      </c>
      <c r="C144" s="1" t="s">
        <v>27</v>
      </c>
      <c r="D144" s="1" t="s">
        <v>214</v>
      </c>
      <c r="E144" s="1" t="s">
        <v>518</v>
      </c>
    </row>
    <row r="145" spans="1:5" hidden="1" x14ac:dyDescent="0.25">
      <c r="A145" s="1">
        <v>34</v>
      </c>
      <c r="B145" s="2" t="s">
        <v>169</v>
      </c>
      <c r="C145" s="1" t="s">
        <v>35</v>
      </c>
      <c r="D145" s="1" t="s">
        <v>214</v>
      </c>
      <c r="E145" s="1" t="s">
        <v>519</v>
      </c>
    </row>
    <row r="146" spans="1:5" hidden="1" x14ac:dyDescent="0.25">
      <c r="A146" s="1">
        <v>34</v>
      </c>
      <c r="B146" s="2" t="s">
        <v>169</v>
      </c>
      <c r="C146" s="1" t="s">
        <v>27</v>
      </c>
      <c r="D146" s="1" t="s">
        <v>167</v>
      </c>
      <c r="E146" s="1" t="s">
        <v>357</v>
      </c>
    </row>
    <row r="147" spans="1:5" hidden="1" x14ac:dyDescent="0.25">
      <c r="A147" s="1">
        <v>34</v>
      </c>
      <c r="B147" s="2" t="s">
        <v>169</v>
      </c>
      <c r="C147" s="1" t="s">
        <v>35</v>
      </c>
      <c r="D147" s="1" t="s">
        <v>167</v>
      </c>
      <c r="E147" s="1" t="s">
        <v>358</v>
      </c>
    </row>
    <row r="148" spans="1:5" hidden="1" x14ac:dyDescent="0.25">
      <c r="A148" s="1">
        <v>35</v>
      </c>
      <c r="B148" s="2" t="s">
        <v>127</v>
      </c>
      <c r="C148" s="1" t="s">
        <v>27</v>
      </c>
      <c r="D148" s="1" t="s">
        <v>177</v>
      </c>
      <c r="E148" s="1" t="s">
        <v>409</v>
      </c>
    </row>
    <row r="149" spans="1:5" hidden="1" x14ac:dyDescent="0.25">
      <c r="A149" s="1">
        <v>35</v>
      </c>
      <c r="B149" s="2" t="s">
        <v>127</v>
      </c>
      <c r="C149" s="1" t="s">
        <v>35</v>
      </c>
      <c r="D149" s="1" t="s">
        <v>177</v>
      </c>
      <c r="E149" s="1" t="s">
        <v>410</v>
      </c>
    </row>
    <row r="150" spans="1:5" hidden="1" x14ac:dyDescent="0.25">
      <c r="A150" s="1">
        <v>35</v>
      </c>
      <c r="B150" s="2" t="s">
        <v>127</v>
      </c>
      <c r="C150" s="1" t="s">
        <v>27</v>
      </c>
      <c r="D150" s="1" t="s">
        <v>116</v>
      </c>
      <c r="E150" s="1" t="s">
        <v>295</v>
      </c>
    </row>
    <row r="151" spans="1:5" hidden="1" x14ac:dyDescent="0.25">
      <c r="A151" s="1">
        <v>35</v>
      </c>
      <c r="B151" s="2" t="s">
        <v>127</v>
      </c>
      <c r="C151" s="1" t="s">
        <v>35</v>
      </c>
      <c r="D151" s="1" t="s">
        <v>116</v>
      </c>
      <c r="E151" s="1" t="s">
        <v>296</v>
      </c>
    </row>
    <row r="152" spans="1:5" hidden="1" x14ac:dyDescent="0.25">
      <c r="A152" s="1">
        <v>36</v>
      </c>
      <c r="B152" s="2" t="s">
        <v>56</v>
      </c>
      <c r="C152" s="1" t="s">
        <v>35</v>
      </c>
      <c r="D152" s="1" t="s">
        <v>29</v>
      </c>
      <c r="E152" s="1" t="s">
        <v>239</v>
      </c>
    </row>
    <row r="153" spans="1:5" hidden="1" x14ac:dyDescent="0.25">
      <c r="A153" s="1">
        <v>36</v>
      </c>
      <c r="B153" s="2" t="s">
        <v>56</v>
      </c>
      <c r="C153" s="1" t="s">
        <v>32</v>
      </c>
      <c r="D153" s="1" t="s">
        <v>29</v>
      </c>
      <c r="E153" s="1" t="s">
        <v>240</v>
      </c>
    </row>
    <row r="154" spans="1:5" hidden="1" x14ac:dyDescent="0.25">
      <c r="A154" s="1">
        <v>36</v>
      </c>
      <c r="B154" s="2" t="s">
        <v>56</v>
      </c>
      <c r="C154" s="1" t="s">
        <v>35</v>
      </c>
      <c r="D154" s="1" t="s">
        <v>177</v>
      </c>
      <c r="E154" s="1" t="s">
        <v>411</v>
      </c>
    </row>
    <row r="155" spans="1:5" hidden="1" x14ac:dyDescent="0.25">
      <c r="A155" s="1">
        <v>36</v>
      </c>
      <c r="B155" s="2" t="s">
        <v>56</v>
      </c>
      <c r="C155" s="1" t="s">
        <v>32</v>
      </c>
      <c r="D155" s="1" t="s">
        <v>177</v>
      </c>
      <c r="E155" s="1" t="s">
        <v>412</v>
      </c>
    </row>
    <row r="156" spans="1:5" hidden="1" x14ac:dyDescent="0.25">
      <c r="A156" s="1">
        <v>36</v>
      </c>
      <c r="B156" s="2" t="s">
        <v>56</v>
      </c>
      <c r="C156" s="1" t="s">
        <v>35</v>
      </c>
      <c r="D156" s="1" t="s">
        <v>116</v>
      </c>
      <c r="E156" s="1" t="s">
        <v>297</v>
      </c>
    </row>
    <row r="157" spans="1:5" hidden="1" x14ac:dyDescent="0.25">
      <c r="A157" s="1">
        <v>36</v>
      </c>
      <c r="B157" s="2" t="s">
        <v>56</v>
      </c>
      <c r="C157" s="1" t="s">
        <v>32</v>
      </c>
      <c r="D157" s="1" t="s">
        <v>116</v>
      </c>
      <c r="E157" s="1" t="s">
        <v>298</v>
      </c>
    </row>
    <row r="158" spans="1:5" x14ac:dyDescent="0.25">
      <c r="A158" s="1">
        <v>36</v>
      </c>
      <c r="B158" s="2" t="s">
        <v>56</v>
      </c>
      <c r="C158" s="1" t="s">
        <v>35</v>
      </c>
      <c r="D158" s="1" t="s">
        <v>203</v>
      </c>
      <c r="E158" s="1" t="s">
        <v>474</v>
      </c>
    </row>
    <row r="159" spans="1:5" x14ac:dyDescent="0.25">
      <c r="A159" s="1">
        <v>36</v>
      </c>
      <c r="B159" s="2" t="s">
        <v>56</v>
      </c>
      <c r="C159" s="1" t="s">
        <v>32</v>
      </c>
      <c r="D159" s="1" t="s">
        <v>203</v>
      </c>
      <c r="E159" s="1" t="s">
        <v>474</v>
      </c>
    </row>
    <row r="160" spans="1:5" hidden="1" x14ac:dyDescent="0.25">
      <c r="A160" s="1">
        <v>36</v>
      </c>
      <c r="B160" s="2" t="s">
        <v>56</v>
      </c>
      <c r="C160" s="1" t="s">
        <v>35</v>
      </c>
      <c r="D160" s="1" t="s">
        <v>214</v>
      </c>
      <c r="E160" s="1" t="s">
        <v>474</v>
      </c>
    </row>
    <row r="161" spans="1:5" hidden="1" x14ac:dyDescent="0.25">
      <c r="A161" s="1">
        <v>36</v>
      </c>
      <c r="B161" s="2" t="s">
        <v>56</v>
      </c>
      <c r="C161" s="1" t="s">
        <v>32</v>
      </c>
      <c r="D161" s="1" t="s">
        <v>214</v>
      </c>
      <c r="E161" s="1" t="s">
        <v>474</v>
      </c>
    </row>
    <row r="162" spans="1:5" hidden="1" x14ac:dyDescent="0.25">
      <c r="A162" s="1">
        <v>37</v>
      </c>
      <c r="B162" s="2" t="s">
        <v>130</v>
      </c>
      <c r="C162" s="1" t="s">
        <v>27</v>
      </c>
      <c r="D162" s="1" t="s">
        <v>215</v>
      </c>
      <c r="E162" s="1" t="s">
        <v>475</v>
      </c>
    </row>
    <row r="163" spans="1:5" hidden="1" x14ac:dyDescent="0.25">
      <c r="A163" s="1">
        <v>37</v>
      </c>
      <c r="B163" s="2" t="s">
        <v>130</v>
      </c>
      <c r="C163" s="1" t="s">
        <v>35</v>
      </c>
      <c r="D163" s="1" t="s">
        <v>215</v>
      </c>
      <c r="E163" s="1" t="s">
        <v>553</v>
      </c>
    </row>
    <row r="164" spans="1:5" hidden="1" x14ac:dyDescent="0.25">
      <c r="A164" s="1">
        <v>37</v>
      </c>
      <c r="B164" s="2" t="s">
        <v>130</v>
      </c>
      <c r="C164" s="1" t="s">
        <v>27</v>
      </c>
      <c r="D164" s="1" t="s">
        <v>216</v>
      </c>
      <c r="E164" s="1" t="s">
        <v>520</v>
      </c>
    </row>
    <row r="165" spans="1:5" hidden="1" x14ac:dyDescent="0.25">
      <c r="A165" s="1">
        <v>37</v>
      </c>
      <c r="B165" s="2" t="s">
        <v>130</v>
      </c>
      <c r="C165" s="1" t="s">
        <v>35</v>
      </c>
      <c r="D165" s="1" t="s">
        <v>216</v>
      </c>
      <c r="E165" s="1" t="s">
        <v>524</v>
      </c>
    </row>
    <row r="166" spans="1:5" hidden="1" x14ac:dyDescent="0.25">
      <c r="A166" s="1">
        <v>37</v>
      </c>
      <c r="B166" s="2" t="s">
        <v>130</v>
      </c>
      <c r="C166" s="1" t="s">
        <v>27</v>
      </c>
      <c r="D166" s="1" t="s">
        <v>116</v>
      </c>
      <c r="E166" s="1" t="s">
        <v>299</v>
      </c>
    </row>
    <row r="167" spans="1:5" hidden="1" x14ac:dyDescent="0.25">
      <c r="A167" s="1">
        <v>37</v>
      </c>
      <c r="B167" s="2" t="s">
        <v>130</v>
      </c>
      <c r="C167" s="1" t="s">
        <v>35</v>
      </c>
      <c r="D167" s="1" t="s">
        <v>116</v>
      </c>
      <c r="E167" s="1" t="s">
        <v>300</v>
      </c>
    </row>
    <row r="168" spans="1:5" x14ac:dyDescent="0.25">
      <c r="A168" s="1">
        <v>37</v>
      </c>
      <c r="B168" s="2" t="s">
        <v>130</v>
      </c>
      <c r="C168" s="1" t="s">
        <v>27</v>
      </c>
      <c r="D168" s="1" t="s">
        <v>203</v>
      </c>
      <c r="E168" s="1" t="s">
        <v>475</v>
      </c>
    </row>
    <row r="169" spans="1:5" x14ac:dyDescent="0.25">
      <c r="A169" s="1">
        <v>37</v>
      </c>
      <c r="B169" s="2" t="s">
        <v>130</v>
      </c>
      <c r="C169" s="1" t="s">
        <v>35</v>
      </c>
      <c r="D169" s="1" t="s">
        <v>203</v>
      </c>
      <c r="E169" s="1" t="s">
        <v>476</v>
      </c>
    </row>
    <row r="170" spans="1:5" hidden="1" x14ac:dyDescent="0.25">
      <c r="A170" s="1">
        <v>37</v>
      </c>
      <c r="B170" s="2" t="s">
        <v>130</v>
      </c>
      <c r="C170" s="1" t="s">
        <v>27</v>
      </c>
      <c r="D170" s="1" t="s">
        <v>214</v>
      </c>
      <c r="E170" s="1" t="s">
        <v>520</v>
      </c>
    </row>
    <row r="171" spans="1:5" hidden="1" x14ac:dyDescent="0.25">
      <c r="A171" s="1">
        <v>37</v>
      </c>
      <c r="B171" s="2" t="s">
        <v>130</v>
      </c>
      <c r="C171" s="1" t="s">
        <v>35</v>
      </c>
      <c r="D171" s="1" t="s">
        <v>214</v>
      </c>
      <c r="E171" s="1" t="s">
        <v>521</v>
      </c>
    </row>
    <row r="172" spans="1:5" hidden="1" x14ac:dyDescent="0.25">
      <c r="A172" s="1">
        <v>38</v>
      </c>
      <c r="B172" s="2" t="s">
        <v>59</v>
      </c>
      <c r="C172" s="1" t="s">
        <v>27</v>
      </c>
      <c r="D172" s="1" t="s">
        <v>29</v>
      </c>
      <c r="E172" s="1" t="s">
        <v>241</v>
      </c>
    </row>
    <row r="173" spans="1:5" hidden="1" x14ac:dyDescent="0.25">
      <c r="A173" s="1">
        <v>38</v>
      </c>
      <c r="B173" s="2" t="s">
        <v>59</v>
      </c>
      <c r="C173" s="1" t="s">
        <v>35</v>
      </c>
      <c r="D173" s="1" t="s">
        <v>29</v>
      </c>
      <c r="E173" s="1" t="s">
        <v>242</v>
      </c>
    </row>
    <row r="174" spans="1:5" hidden="1" x14ac:dyDescent="0.25">
      <c r="A174" s="1">
        <v>38</v>
      </c>
      <c r="B174" s="2" t="s">
        <v>59</v>
      </c>
      <c r="C174" s="1" t="s">
        <v>27</v>
      </c>
      <c r="D174" s="1" t="s">
        <v>116</v>
      </c>
      <c r="E174" s="1" t="s">
        <v>301</v>
      </c>
    </row>
    <row r="175" spans="1:5" hidden="1" x14ac:dyDescent="0.25">
      <c r="A175" s="1">
        <v>38</v>
      </c>
      <c r="B175" s="2" t="s">
        <v>59</v>
      </c>
      <c r="C175" s="1" t="s">
        <v>35</v>
      </c>
      <c r="D175" s="1" t="s">
        <v>116</v>
      </c>
      <c r="E175" s="1" t="s">
        <v>302</v>
      </c>
    </row>
    <row r="176" spans="1:5" hidden="1" x14ac:dyDescent="0.25">
      <c r="A176" s="1">
        <v>41</v>
      </c>
      <c r="B176" s="2" t="s">
        <v>172</v>
      </c>
      <c r="C176" s="1" t="s">
        <v>27</v>
      </c>
      <c r="D176" s="1" t="s">
        <v>177</v>
      </c>
      <c r="E176" s="1" t="s">
        <v>413</v>
      </c>
    </row>
    <row r="177" spans="1:5" hidden="1" x14ac:dyDescent="0.25">
      <c r="A177" s="1">
        <v>41</v>
      </c>
      <c r="B177" s="2" t="s">
        <v>172</v>
      </c>
      <c r="C177" s="1" t="s">
        <v>35</v>
      </c>
      <c r="D177" s="1" t="s">
        <v>177</v>
      </c>
      <c r="E177" s="1" t="s">
        <v>414</v>
      </c>
    </row>
    <row r="178" spans="1:5" hidden="1" x14ac:dyDescent="0.25">
      <c r="A178" s="1">
        <v>41</v>
      </c>
      <c r="B178" s="2" t="s">
        <v>172</v>
      </c>
      <c r="C178" s="1" t="s">
        <v>27</v>
      </c>
      <c r="D178" s="1" t="s">
        <v>215</v>
      </c>
      <c r="E178" s="1" t="s">
        <v>554</v>
      </c>
    </row>
    <row r="179" spans="1:5" hidden="1" x14ac:dyDescent="0.25">
      <c r="A179" s="1">
        <v>41</v>
      </c>
      <c r="B179" s="2" t="s">
        <v>172</v>
      </c>
      <c r="C179" s="1" t="s">
        <v>35</v>
      </c>
      <c r="D179" s="1" t="s">
        <v>215</v>
      </c>
      <c r="E179" s="1" t="s">
        <v>555</v>
      </c>
    </row>
    <row r="180" spans="1:5" hidden="1" x14ac:dyDescent="0.25">
      <c r="A180" s="1">
        <v>41</v>
      </c>
      <c r="B180" s="2" t="s">
        <v>172</v>
      </c>
      <c r="C180" s="1" t="s">
        <v>27</v>
      </c>
      <c r="D180" s="1" t="s">
        <v>216</v>
      </c>
      <c r="E180" s="1" t="s">
        <v>580</v>
      </c>
    </row>
    <row r="181" spans="1:5" hidden="1" x14ac:dyDescent="0.25">
      <c r="A181" s="1">
        <v>41</v>
      </c>
      <c r="B181" s="2" t="s">
        <v>172</v>
      </c>
      <c r="C181" s="1" t="s">
        <v>35</v>
      </c>
      <c r="D181" s="1" t="s">
        <v>216</v>
      </c>
      <c r="E181" s="1" t="s">
        <v>581</v>
      </c>
    </row>
    <row r="182" spans="1:5" x14ac:dyDescent="0.25">
      <c r="A182" s="1">
        <v>41</v>
      </c>
      <c r="B182" s="2" t="s">
        <v>172</v>
      </c>
      <c r="C182" s="1" t="s">
        <v>27</v>
      </c>
      <c r="D182" s="1" t="s">
        <v>203</v>
      </c>
      <c r="E182" s="1" t="s">
        <v>477</v>
      </c>
    </row>
    <row r="183" spans="1:5" x14ac:dyDescent="0.25">
      <c r="A183" s="1">
        <v>41</v>
      </c>
      <c r="B183" s="2" t="s">
        <v>172</v>
      </c>
      <c r="C183" s="1" t="s">
        <v>35</v>
      </c>
      <c r="D183" s="1" t="s">
        <v>203</v>
      </c>
      <c r="E183" s="1" t="s">
        <v>478</v>
      </c>
    </row>
    <row r="184" spans="1:5" hidden="1" x14ac:dyDescent="0.25">
      <c r="A184" s="1">
        <v>41</v>
      </c>
      <c r="B184" s="2" t="s">
        <v>172</v>
      </c>
      <c r="C184" s="1" t="s">
        <v>27</v>
      </c>
      <c r="D184" s="1" t="s">
        <v>214</v>
      </c>
      <c r="E184" s="1" t="s">
        <v>522</v>
      </c>
    </row>
    <row r="185" spans="1:5" hidden="1" x14ac:dyDescent="0.25">
      <c r="A185" s="1">
        <v>41</v>
      </c>
      <c r="B185" s="2" t="s">
        <v>172</v>
      </c>
      <c r="C185" s="1" t="s">
        <v>35</v>
      </c>
      <c r="D185" s="1" t="s">
        <v>214</v>
      </c>
      <c r="E185" s="1" t="s">
        <v>523</v>
      </c>
    </row>
    <row r="186" spans="1:5" hidden="1" x14ac:dyDescent="0.25">
      <c r="A186" s="1">
        <v>41</v>
      </c>
      <c r="B186" s="2" t="s">
        <v>172</v>
      </c>
      <c r="C186" s="1" t="s">
        <v>27</v>
      </c>
      <c r="D186" s="1" t="s">
        <v>167</v>
      </c>
      <c r="E186" s="1" t="s">
        <v>359</v>
      </c>
    </row>
    <row r="187" spans="1:5" hidden="1" x14ac:dyDescent="0.25">
      <c r="A187" s="1">
        <v>41</v>
      </c>
      <c r="B187" s="2" t="s">
        <v>172</v>
      </c>
      <c r="C187" s="1" t="s">
        <v>35</v>
      </c>
      <c r="D187" s="1" t="s">
        <v>167</v>
      </c>
      <c r="E187" s="1" t="s">
        <v>360</v>
      </c>
    </row>
    <row r="188" spans="1:5" hidden="1" x14ac:dyDescent="0.25">
      <c r="A188" s="1">
        <v>43</v>
      </c>
      <c r="B188" s="2" t="s">
        <v>133</v>
      </c>
      <c r="C188" s="1" t="s">
        <v>27</v>
      </c>
      <c r="D188" s="1" t="s">
        <v>219</v>
      </c>
      <c r="E188" s="1" t="s">
        <v>596</v>
      </c>
    </row>
    <row r="189" spans="1:5" hidden="1" x14ac:dyDescent="0.25">
      <c r="A189" s="1">
        <v>43</v>
      </c>
      <c r="B189" s="2" t="s">
        <v>133</v>
      </c>
      <c r="C189" s="1" t="s">
        <v>35</v>
      </c>
      <c r="D189" s="1" t="s">
        <v>219</v>
      </c>
      <c r="E189" s="1" t="s">
        <v>537</v>
      </c>
    </row>
    <row r="190" spans="1:5" hidden="1" x14ac:dyDescent="0.25">
      <c r="A190" s="1">
        <v>43</v>
      </c>
      <c r="B190" s="2" t="s">
        <v>133</v>
      </c>
      <c r="C190" s="1" t="s">
        <v>27</v>
      </c>
      <c r="D190" s="1" t="s">
        <v>177</v>
      </c>
      <c r="E190" s="1" t="s">
        <v>415</v>
      </c>
    </row>
    <row r="191" spans="1:5" hidden="1" x14ac:dyDescent="0.25">
      <c r="A191" s="1">
        <v>43</v>
      </c>
      <c r="B191" s="2" t="s">
        <v>133</v>
      </c>
      <c r="C191" s="1" t="s">
        <v>35</v>
      </c>
      <c r="D191" s="1" t="s">
        <v>177</v>
      </c>
      <c r="E191" s="1" t="s">
        <v>416</v>
      </c>
    </row>
    <row r="192" spans="1:5" hidden="1" x14ac:dyDescent="0.25">
      <c r="A192" s="1">
        <v>43</v>
      </c>
      <c r="B192" s="2" t="s">
        <v>133</v>
      </c>
      <c r="C192" s="1" t="s">
        <v>27</v>
      </c>
      <c r="D192" s="1" t="s">
        <v>116</v>
      </c>
      <c r="E192" s="1" t="s">
        <v>303</v>
      </c>
    </row>
    <row r="193" spans="1:5" hidden="1" x14ac:dyDescent="0.25">
      <c r="A193" s="1">
        <v>43</v>
      </c>
      <c r="B193" s="2" t="s">
        <v>133</v>
      </c>
      <c r="C193" s="1" t="s">
        <v>35</v>
      </c>
      <c r="D193" s="1" t="s">
        <v>116</v>
      </c>
      <c r="E193" s="1" t="s">
        <v>304</v>
      </c>
    </row>
    <row r="194" spans="1:5" hidden="1" x14ac:dyDescent="0.25">
      <c r="A194" s="1">
        <v>44</v>
      </c>
      <c r="B194" s="2" t="s">
        <v>63</v>
      </c>
      <c r="C194" s="1" t="s">
        <v>27</v>
      </c>
      <c r="D194" s="1" t="s">
        <v>29</v>
      </c>
      <c r="E194" s="1" t="s">
        <v>243</v>
      </c>
    </row>
    <row r="195" spans="1:5" hidden="1" x14ac:dyDescent="0.25">
      <c r="A195" s="1">
        <v>44</v>
      </c>
      <c r="B195" s="2" t="s">
        <v>63</v>
      </c>
      <c r="C195" s="1" t="s">
        <v>32</v>
      </c>
      <c r="D195" s="1" t="s">
        <v>29</v>
      </c>
      <c r="E195" s="1" t="s">
        <v>244</v>
      </c>
    </row>
    <row r="196" spans="1:5" hidden="1" x14ac:dyDescent="0.25">
      <c r="A196" s="1">
        <v>44</v>
      </c>
      <c r="B196" s="2" t="s">
        <v>63</v>
      </c>
      <c r="C196" s="1" t="s">
        <v>27</v>
      </c>
      <c r="D196" s="1" t="s">
        <v>116</v>
      </c>
      <c r="E196" s="1" t="s">
        <v>305</v>
      </c>
    </row>
    <row r="197" spans="1:5" hidden="1" x14ac:dyDescent="0.25">
      <c r="A197" s="1">
        <v>44</v>
      </c>
      <c r="B197" s="2" t="s">
        <v>63</v>
      </c>
      <c r="C197" s="1" t="s">
        <v>32</v>
      </c>
      <c r="D197" s="1" t="s">
        <v>116</v>
      </c>
      <c r="E197" s="1" t="s">
        <v>306</v>
      </c>
    </row>
    <row r="198" spans="1:5" hidden="1" x14ac:dyDescent="0.25">
      <c r="A198" s="1">
        <v>45</v>
      </c>
      <c r="B198" s="2" t="s">
        <v>136</v>
      </c>
      <c r="C198" s="1" t="s">
        <v>27</v>
      </c>
      <c r="D198" s="1" t="s">
        <v>177</v>
      </c>
      <c r="E198" s="1" t="s">
        <v>417</v>
      </c>
    </row>
    <row r="199" spans="1:5" hidden="1" x14ac:dyDescent="0.25">
      <c r="A199" s="1">
        <v>45</v>
      </c>
      <c r="B199" s="2" t="s">
        <v>136</v>
      </c>
      <c r="C199" s="1" t="s">
        <v>35</v>
      </c>
      <c r="D199" s="1" t="s">
        <v>177</v>
      </c>
      <c r="E199" s="1" t="s">
        <v>418</v>
      </c>
    </row>
    <row r="200" spans="1:5" hidden="1" x14ac:dyDescent="0.25">
      <c r="A200" s="1">
        <v>45</v>
      </c>
      <c r="B200" s="2" t="s">
        <v>136</v>
      </c>
      <c r="C200" s="1" t="s">
        <v>27</v>
      </c>
      <c r="D200" s="1" t="s">
        <v>215</v>
      </c>
      <c r="E200" s="1" t="s">
        <v>556</v>
      </c>
    </row>
    <row r="201" spans="1:5" hidden="1" x14ac:dyDescent="0.25">
      <c r="A201" s="1">
        <v>45</v>
      </c>
      <c r="B201" s="2" t="s">
        <v>136</v>
      </c>
      <c r="C201" s="1" t="s">
        <v>35</v>
      </c>
      <c r="D201" s="1" t="s">
        <v>215</v>
      </c>
      <c r="E201" s="1" t="s">
        <v>557</v>
      </c>
    </row>
    <row r="202" spans="1:5" hidden="1" x14ac:dyDescent="0.25">
      <c r="A202" s="1">
        <v>45</v>
      </c>
      <c r="B202" s="2" t="s">
        <v>136</v>
      </c>
      <c r="C202" s="1" t="s">
        <v>27</v>
      </c>
      <c r="D202" s="1" t="s">
        <v>216</v>
      </c>
      <c r="E202" s="1" t="s">
        <v>582</v>
      </c>
    </row>
    <row r="203" spans="1:5" hidden="1" x14ac:dyDescent="0.25">
      <c r="A203" s="1">
        <v>45</v>
      </c>
      <c r="B203" s="2" t="s">
        <v>136</v>
      </c>
      <c r="C203" s="1" t="s">
        <v>35</v>
      </c>
      <c r="D203" s="1" t="s">
        <v>216</v>
      </c>
      <c r="E203" s="1" t="s">
        <v>583</v>
      </c>
    </row>
    <row r="204" spans="1:5" hidden="1" x14ac:dyDescent="0.25">
      <c r="A204" s="1">
        <v>45</v>
      </c>
      <c r="B204" s="2" t="s">
        <v>136</v>
      </c>
      <c r="C204" s="1" t="s">
        <v>27</v>
      </c>
      <c r="D204" s="1" t="s">
        <v>116</v>
      </c>
      <c r="E204" s="1" t="s">
        <v>307</v>
      </c>
    </row>
    <row r="205" spans="1:5" hidden="1" x14ac:dyDescent="0.25">
      <c r="A205" s="1">
        <v>45</v>
      </c>
      <c r="B205" s="2" t="s">
        <v>136</v>
      </c>
      <c r="C205" s="1" t="s">
        <v>35</v>
      </c>
      <c r="D205" s="1" t="s">
        <v>116</v>
      </c>
      <c r="E205" s="1" t="s">
        <v>308</v>
      </c>
    </row>
    <row r="206" spans="1:5" hidden="1" x14ac:dyDescent="0.25">
      <c r="A206" s="1">
        <v>45</v>
      </c>
      <c r="B206" s="2" t="s">
        <v>136</v>
      </c>
      <c r="C206" s="1" t="s">
        <v>27</v>
      </c>
      <c r="D206" s="1" t="s">
        <v>167</v>
      </c>
      <c r="E206" s="1" t="s">
        <v>361</v>
      </c>
    </row>
    <row r="207" spans="1:5" hidden="1" x14ac:dyDescent="0.25">
      <c r="A207" s="1">
        <v>45</v>
      </c>
      <c r="B207" s="2" t="s">
        <v>136</v>
      </c>
      <c r="C207" s="1" t="s">
        <v>35</v>
      </c>
      <c r="D207" s="1" t="s">
        <v>167</v>
      </c>
      <c r="E207" s="1" t="s">
        <v>362</v>
      </c>
    </row>
    <row r="208" spans="1:5" hidden="1" x14ac:dyDescent="0.25">
      <c r="A208" s="1">
        <v>46</v>
      </c>
      <c r="B208" s="2" t="s">
        <v>194</v>
      </c>
      <c r="C208" s="1" t="s">
        <v>27</v>
      </c>
      <c r="D208" s="1" t="s">
        <v>177</v>
      </c>
      <c r="E208" s="1" t="s">
        <v>419</v>
      </c>
    </row>
    <row r="209" spans="1:5" hidden="1" x14ac:dyDescent="0.25">
      <c r="A209" s="1">
        <v>46</v>
      </c>
      <c r="B209" s="2" t="s">
        <v>194</v>
      </c>
      <c r="C209" s="1" t="s">
        <v>35</v>
      </c>
      <c r="D209" s="1" t="s">
        <v>177</v>
      </c>
      <c r="E209" s="1" t="s">
        <v>420</v>
      </c>
    </row>
    <row r="210" spans="1:5" x14ac:dyDescent="0.25">
      <c r="A210" s="1">
        <v>46</v>
      </c>
      <c r="B210" s="2" t="s">
        <v>194</v>
      </c>
      <c r="C210" s="1" t="s">
        <v>27</v>
      </c>
      <c r="D210" s="1" t="s">
        <v>203</v>
      </c>
      <c r="E210" s="1" t="s">
        <v>479</v>
      </c>
    </row>
    <row r="211" spans="1:5" x14ac:dyDescent="0.25">
      <c r="A211" s="1">
        <v>46</v>
      </c>
      <c r="B211" s="2" t="s">
        <v>194</v>
      </c>
      <c r="C211" s="1" t="s">
        <v>35</v>
      </c>
      <c r="D211" s="1" t="s">
        <v>203</v>
      </c>
      <c r="E211" s="1" t="s">
        <v>480</v>
      </c>
    </row>
    <row r="212" spans="1:5" hidden="1" x14ac:dyDescent="0.25">
      <c r="A212" s="1">
        <v>46</v>
      </c>
      <c r="B212" s="2" t="s">
        <v>194</v>
      </c>
      <c r="C212" s="1" t="s">
        <v>27</v>
      </c>
      <c r="D212" s="1" t="s">
        <v>214</v>
      </c>
      <c r="E212" s="1" t="s">
        <v>524</v>
      </c>
    </row>
    <row r="213" spans="1:5" hidden="1" x14ac:dyDescent="0.25">
      <c r="A213" s="1">
        <v>46</v>
      </c>
      <c r="B213" s="2" t="s">
        <v>194</v>
      </c>
      <c r="C213" s="1" t="s">
        <v>35</v>
      </c>
      <c r="D213" s="1" t="s">
        <v>214</v>
      </c>
      <c r="E213" s="1" t="s">
        <v>521</v>
      </c>
    </row>
    <row r="214" spans="1:5" x14ac:dyDescent="0.25">
      <c r="A214" s="1">
        <v>47</v>
      </c>
      <c r="B214" s="2" t="s">
        <v>208</v>
      </c>
      <c r="C214" s="1" t="s">
        <v>35</v>
      </c>
      <c r="D214" s="1" t="s">
        <v>203</v>
      </c>
      <c r="E214" s="1" t="s">
        <v>481</v>
      </c>
    </row>
    <row r="215" spans="1:5" x14ac:dyDescent="0.25">
      <c r="A215" s="1">
        <v>47</v>
      </c>
      <c r="B215" s="2" t="s">
        <v>208</v>
      </c>
      <c r="C215" s="1" t="s">
        <v>45</v>
      </c>
      <c r="D215" s="1" t="s">
        <v>203</v>
      </c>
      <c r="E215" s="1" t="s">
        <v>482</v>
      </c>
    </row>
    <row r="216" spans="1:5" hidden="1" x14ac:dyDescent="0.25">
      <c r="A216" s="1">
        <v>47</v>
      </c>
      <c r="B216" s="2" t="s">
        <v>208</v>
      </c>
      <c r="C216" s="1" t="s">
        <v>35</v>
      </c>
      <c r="D216" s="1" t="s">
        <v>214</v>
      </c>
      <c r="E216" s="1" t="s">
        <v>525</v>
      </c>
    </row>
    <row r="217" spans="1:5" hidden="1" x14ac:dyDescent="0.25">
      <c r="A217" s="1">
        <v>47</v>
      </c>
      <c r="B217" s="2" t="s">
        <v>208</v>
      </c>
      <c r="C217" s="1" t="s">
        <v>45</v>
      </c>
      <c r="D217" s="1" t="s">
        <v>214</v>
      </c>
      <c r="E217" s="1" t="s">
        <v>526</v>
      </c>
    </row>
    <row r="218" spans="1:5" hidden="1" x14ac:dyDescent="0.25">
      <c r="A218" s="1">
        <v>49</v>
      </c>
      <c r="B218" s="2" t="s">
        <v>139</v>
      </c>
      <c r="C218" s="1" t="s">
        <v>27</v>
      </c>
      <c r="D218" s="1" t="s">
        <v>219</v>
      </c>
      <c r="E218" s="1" t="s">
        <v>578</v>
      </c>
    </row>
    <row r="219" spans="1:5" hidden="1" x14ac:dyDescent="0.25">
      <c r="A219" s="1">
        <v>49</v>
      </c>
      <c r="B219" s="2" t="s">
        <v>139</v>
      </c>
      <c r="C219" s="1" t="s">
        <v>35</v>
      </c>
      <c r="D219" s="1" t="s">
        <v>219</v>
      </c>
      <c r="E219" s="1" t="s">
        <v>597</v>
      </c>
    </row>
    <row r="220" spans="1:5" hidden="1" x14ac:dyDescent="0.25">
      <c r="A220" s="1">
        <v>49</v>
      </c>
      <c r="B220" s="2" t="s">
        <v>139</v>
      </c>
      <c r="C220" s="1" t="s">
        <v>27</v>
      </c>
      <c r="D220" s="1" t="s">
        <v>177</v>
      </c>
      <c r="E220" s="1" t="s">
        <v>421</v>
      </c>
    </row>
    <row r="221" spans="1:5" hidden="1" x14ac:dyDescent="0.25">
      <c r="A221" s="1">
        <v>49</v>
      </c>
      <c r="B221" s="2" t="s">
        <v>139</v>
      </c>
      <c r="C221" s="1" t="s">
        <v>35</v>
      </c>
      <c r="D221" s="1" t="s">
        <v>177</v>
      </c>
      <c r="E221" s="1" t="s">
        <v>422</v>
      </c>
    </row>
    <row r="222" spans="1:5" hidden="1" x14ac:dyDescent="0.25">
      <c r="A222" s="1">
        <v>49</v>
      </c>
      <c r="B222" s="2" t="s">
        <v>139</v>
      </c>
      <c r="C222" s="1" t="s">
        <v>27</v>
      </c>
      <c r="D222" s="1" t="s">
        <v>116</v>
      </c>
      <c r="E222" s="1" t="s">
        <v>309</v>
      </c>
    </row>
    <row r="223" spans="1:5" hidden="1" x14ac:dyDescent="0.25">
      <c r="A223" s="1">
        <v>49</v>
      </c>
      <c r="B223" s="2" t="s">
        <v>139</v>
      </c>
      <c r="C223" s="1" t="s">
        <v>35</v>
      </c>
      <c r="D223" s="1" t="s">
        <v>116</v>
      </c>
      <c r="E223" s="1" t="s">
        <v>310</v>
      </c>
    </row>
    <row r="224" spans="1:5" hidden="1" x14ac:dyDescent="0.25">
      <c r="A224" s="1">
        <v>49</v>
      </c>
      <c r="B224" s="2" t="s">
        <v>139</v>
      </c>
      <c r="C224" s="1" t="s">
        <v>27</v>
      </c>
      <c r="D224" s="1" t="s">
        <v>167</v>
      </c>
      <c r="E224" s="1" t="s">
        <v>363</v>
      </c>
    </row>
    <row r="225" spans="1:5" hidden="1" x14ac:dyDescent="0.25">
      <c r="A225" s="1">
        <v>49</v>
      </c>
      <c r="B225" s="2" t="s">
        <v>139</v>
      </c>
      <c r="C225" s="1" t="s">
        <v>35</v>
      </c>
      <c r="D225" s="1" t="s">
        <v>167</v>
      </c>
      <c r="E225" s="1" t="s">
        <v>364</v>
      </c>
    </row>
    <row r="226" spans="1:5" hidden="1" x14ac:dyDescent="0.25">
      <c r="A226" s="1">
        <v>51</v>
      </c>
      <c r="B226" s="2" t="s">
        <v>66</v>
      </c>
      <c r="C226" s="1" t="s">
        <v>35</v>
      </c>
      <c r="D226" s="1" t="s">
        <v>29</v>
      </c>
      <c r="E226" s="1" t="s">
        <v>245</v>
      </c>
    </row>
    <row r="227" spans="1:5" hidden="1" x14ac:dyDescent="0.25">
      <c r="A227" s="1">
        <v>51</v>
      </c>
      <c r="B227" s="2" t="s">
        <v>66</v>
      </c>
      <c r="C227" s="1" t="s">
        <v>45</v>
      </c>
      <c r="D227" s="1" t="s">
        <v>29</v>
      </c>
      <c r="E227" s="1" t="s">
        <v>246</v>
      </c>
    </row>
    <row r="228" spans="1:5" hidden="1" x14ac:dyDescent="0.25">
      <c r="A228" s="1">
        <v>51</v>
      </c>
      <c r="B228" s="2" t="s">
        <v>66</v>
      </c>
      <c r="C228" s="1" t="s">
        <v>35</v>
      </c>
      <c r="D228" s="1" t="s">
        <v>177</v>
      </c>
      <c r="E228" s="1" t="s">
        <v>423</v>
      </c>
    </row>
    <row r="229" spans="1:5" hidden="1" x14ac:dyDescent="0.25">
      <c r="A229" s="1">
        <v>51</v>
      </c>
      <c r="B229" s="2" t="s">
        <v>66</v>
      </c>
      <c r="C229" s="1" t="s">
        <v>45</v>
      </c>
      <c r="D229" s="1" t="s">
        <v>177</v>
      </c>
      <c r="E229" s="1" t="s">
        <v>424</v>
      </c>
    </row>
    <row r="230" spans="1:5" hidden="1" x14ac:dyDescent="0.25">
      <c r="A230" s="1">
        <v>51</v>
      </c>
      <c r="B230" s="2" t="s">
        <v>66</v>
      </c>
      <c r="C230" s="1" t="s">
        <v>35</v>
      </c>
      <c r="D230" s="1" t="s">
        <v>215</v>
      </c>
      <c r="E230" s="1" t="s">
        <v>558</v>
      </c>
    </row>
    <row r="231" spans="1:5" hidden="1" x14ac:dyDescent="0.25">
      <c r="A231" s="1">
        <v>51</v>
      </c>
      <c r="B231" s="2" t="s">
        <v>66</v>
      </c>
      <c r="C231" s="1" t="s">
        <v>45</v>
      </c>
      <c r="D231" s="1" t="s">
        <v>215</v>
      </c>
      <c r="E231" s="1" t="s">
        <v>559</v>
      </c>
    </row>
    <row r="232" spans="1:5" hidden="1" x14ac:dyDescent="0.25">
      <c r="A232" s="1">
        <v>51</v>
      </c>
      <c r="B232" s="2" t="s">
        <v>66</v>
      </c>
      <c r="C232" s="1" t="s">
        <v>35</v>
      </c>
      <c r="D232" s="1" t="s">
        <v>216</v>
      </c>
      <c r="E232" s="1" t="s">
        <v>584</v>
      </c>
    </row>
    <row r="233" spans="1:5" hidden="1" x14ac:dyDescent="0.25">
      <c r="A233" s="1">
        <v>51</v>
      </c>
      <c r="B233" s="2" t="s">
        <v>66</v>
      </c>
      <c r="C233" s="1" t="s">
        <v>45</v>
      </c>
      <c r="D233" s="1" t="s">
        <v>216</v>
      </c>
      <c r="E233" s="1" t="s">
        <v>585</v>
      </c>
    </row>
    <row r="234" spans="1:5" hidden="1" x14ac:dyDescent="0.25">
      <c r="A234" s="1">
        <v>51</v>
      </c>
      <c r="B234" s="2" t="s">
        <v>66</v>
      </c>
      <c r="C234" s="1" t="s">
        <v>35</v>
      </c>
      <c r="D234" s="1" t="s">
        <v>116</v>
      </c>
      <c r="E234" s="1" t="s">
        <v>311</v>
      </c>
    </row>
    <row r="235" spans="1:5" hidden="1" x14ac:dyDescent="0.25">
      <c r="A235" s="1">
        <v>51</v>
      </c>
      <c r="B235" s="2" t="s">
        <v>66</v>
      </c>
      <c r="C235" s="1" t="s">
        <v>45</v>
      </c>
      <c r="D235" s="1" t="s">
        <v>116</v>
      </c>
      <c r="E235" s="1" t="s">
        <v>312</v>
      </c>
    </row>
    <row r="236" spans="1:5" x14ac:dyDescent="0.25">
      <c r="A236" s="1">
        <v>51</v>
      </c>
      <c r="B236" s="2" t="s">
        <v>66</v>
      </c>
      <c r="C236" s="1" t="s">
        <v>35</v>
      </c>
      <c r="D236" s="1" t="s">
        <v>203</v>
      </c>
      <c r="E236" s="1" t="s">
        <v>483</v>
      </c>
    </row>
    <row r="237" spans="1:5" x14ac:dyDescent="0.25">
      <c r="A237" s="1">
        <v>51</v>
      </c>
      <c r="B237" s="2" t="s">
        <v>66</v>
      </c>
      <c r="C237" s="1" t="s">
        <v>45</v>
      </c>
      <c r="D237" s="1" t="s">
        <v>203</v>
      </c>
      <c r="E237" s="1" t="s">
        <v>484</v>
      </c>
    </row>
    <row r="238" spans="1:5" hidden="1" x14ac:dyDescent="0.25">
      <c r="A238" s="1">
        <v>51</v>
      </c>
      <c r="B238" s="2" t="s">
        <v>66</v>
      </c>
      <c r="C238" s="1" t="s">
        <v>35</v>
      </c>
      <c r="D238" s="1" t="s">
        <v>214</v>
      </c>
      <c r="E238" s="1" t="s">
        <v>527</v>
      </c>
    </row>
    <row r="239" spans="1:5" hidden="1" x14ac:dyDescent="0.25">
      <c r="A239" s="1">
        <v>51</v>
      </c>
      <c r="B239" s="2" t="s">
        <v>66</v>
      </c>
      <c r="C239" s="1" t="s">
        <v>45</v>
      </c>
      <c r="D239" s="1" t="s">
        <v>214</v>
      </c>
      <c r="E239" s="1" t="s">
        <v>528</v>
      </c>
    </row>
    <row r="240" spans="1:5" hidden="1" x14ac:dyDescent="0.25">
      <c r="A240" s="1">
        <v>51</v>
      </c>
      <c r="B240" s="2" t="s">
        <v>66</v>
      </c>
      <c r="C240" s="1" t="s">
        <v>35</v>
      </c>
      <c r="D240" s="1" t="s">
        <v>167</v>
      </c>
      <c r="E240" s="1" t="s">
        <v>365</v>
      </c>
    </row>
    <row r="241" spans="1:5" hidden="1" x14ac:dyDescent="0.25">
      <c r="A241" s="1">
        <v>51</v>
      </c>
      <c r="B241" s="2" t="s">
        <v>66</v>
      </c>
      <c r="C241" s="1" t="s">
        <v>45</v>
      </c>
      <c r="D241" s="1" t="s">
        <v>167</v>
      </c>
      <c r="E241" s="1" t="s">
        <v>366</v>
      </c>
    </row>
    <row r="242" spans="1:5" hidden="1" x14ac:dyDescent="0.25">
      <c r="A242" s="1">
        <v>52</v>
      </c>
      <c r="B242" s="2" t="s">
        <v>142</v>
      </c>
      <c r="C242" s="1" t="s">
        <v>27</v>
      </c>
      <c r="D242" s="1" t="s">
        <v>177</v>
      </c>
      <c r="E242" s="1" t="s">
        <v>425</v>
      </c>
    </row>
    <row r="243" spans="1:5" hidden="1" x14ac:dyDescent="0.25">
      <c r="A243" s="1">
        <v>52</v>
      </c>
      <c r="B243" s="2" t="s">
        <v>142</v>
      </c>
      <c r="C243" s="1" t="s">
        <v>35</v>
      </c>
      <c r="D243" s="1" t="s">
        <v>177</v>
      </c>
      <c r="E243" s="1" t="s">
        <v>426</v>
      </c>
    </row>
    <row r="244" spans="1:5" hidden="1" x14ac:dyDescent="0.25">
      <c r="A244" s="1">
        <v>52</v>
      </c>
      <c r="B244" s="2" t="s">
        <v>142</v>
      </c>
      <c r="C244" s="1" t="s">
        <v>27</v>
      </c>
      <c r="D244" s="1" t="s">
        <v>215</v>
      </c>
      <c r="E244" s="1" t="s">
        <v>560</v>
      </c>
    </row>
    <row r="245" spans="1:5" hidden="1" x14ac:dyDescent="0.25">
      <c r="A245" s="1">
        <v>52</v>
      </c>
      <c r="B245" s="2" t="s">
        <v>142</v>
      </c>
      <c r="C245" s="1" t="s">
        <v>35</v>
      </c>
      <c r="D245" s="1" t="s">
        <v>215</v>
      </c>
      <c r="E245" s="1" t="s">
        <v>561</v>
      </c>
    </row>
    <row r="246" spans="1:5" hidden="1" x14ac:dyDescent="0.25">
      <c r="A246" s="1">
        <v>52</v>
      </c>
      <c r="B246" s="2" t="s">
        <v>142</v>
      </c>
      <c r="C246" s="1" t="s">
        <v>27</v>
      </c>
      <c r="D246" s="1" t="s">
        <v>216</v>
      </c>
      <c r="E246" s="1" t="s">
        <v>586</v>
      </c>
    </row>
    <row r="247" spans="1:5" hidden="1" x14ac:dyDescent="0.25">
      <c r="A247" s="1">
        <v>52</v>
      </c>
      <c r="B247" s="2" t="s">
        <v>142</v>
      </c>
      <c r="C247" s="1" t="s">
        <v>35</v>
      </c>
      <c r="D247" s="1" t="s">
        <v>216</v>
      </c>
      <c r="E247" s="1" t="s">
        <v>587</v>
      </c>
    </row>
    <row r="248" spans="1:5" hidden="1" x14ac:dyDescent="0.25">
      <c r="A248" s="1">
        <v>52</v>
      </c>
      <c r="B248" s="2" t="s">
        <v>142</v>
      </c>
      <c r="C248" s="1" t="s">
        <v>27</v>
      </c>
      <c r="D248" s="1" t="s">
        <v>116</v>
      </c>
      <c r="E248" s="1" t="s">
        <v>313</v>
      </c>
    </row>
    <row r="249" spans="1:5" hidden="1" x14ac:dyDescent="0.25">
      <c r="A249" s="1">
        <v>52</v>
      </c>
      <c r="B249" s="2" t="s">
        <v>142</v>
      </c>
      <c r="C249" s="1" t="s">
        <v>35</v>
      </c>
      <c r="D249" s="1" t="s">
        <v>116</v>
      </c>
      <c r="E249" s="1" t="s">
        <v>314</v>
      </c>
    </row>
    <row r="250" spans="1:5" hidden="1" x14ac:dyDescent="0.25">
      <c r="A250" s="1">
        <v>52</v>
      </c>
      <c r="B250" s="2" t="s">
        <v>142</v>
      </c>
      <c r="C250" s="1" t="s">
        <v>27</v>
      </c>
      <c r="D250" s="1" t="s">
        <v>167</v>
      </c>
      <c r="E250" s="1" t="s">
        <v>367</v>
      </c>
    </row>
    <row r="251" spans="1:5" hidden="1" x14ac:dyDescent="0.25">
      <c r="A251" s="1">
        <v>52</v>
      </c>
      <c r="B251" s="2" t="s">
        <v>142</v>
      </c>
      <c r="C251" s="1" t="s">
        <v>35</v>
      </c>
      <c r="D251" s="1" t="s">
        <v>167</v>
      </c>
      <c r="E251" s="1" t="s">
        <v>368</v>
      </c>
    </row>
    <row r="252" spans="1:5" hidden="1" x14ac:dyDescent="0.25">
      <c r="A252" s="1">
        <v>53</v>
      </c>
      <c r="B252" s="2" t="s">
        <v>69</v>
      </c>
      <c r="C252" s="1" t="s">
        <v>35</v>
      </c>
      <c r="D252" s="1" t="s">
        <v>29</v>
      </c>
      <c r="E252" s="1" t="s">
        <v>247</v>
      </c>
    </row>
    <row r="253" spans="1:5" hidden="1" x14ac:dyDescent="0.25">
      <c r="A253" s="1">
        <v>53</v>
      </c>
      <c r="B253" s="2" t="s">
        <v>69</v>
      </c>
      <c r="C253" s="1" t="s">
        <v>32</v>
      </c>
      <c r="D253" s="1" t="s">
        <v>29</v>
      </c>
      <c r="E253" s="1" t="s">
        <v>248</v>
      </c>
    </row>
    <row r="254" spans="1:5" hidden="1" x14ac:dyDescent="0.25">
      <c r="A254" s="1">
        <v>53</v>
      </c>
      <c r="B254" s="2" t="s">
        <v>69</v>
      </c>
      <c r="C254" s="1" t="s">
        <v>35</v>
      </c>
      <c r="D254" s="1" t="s">
        <v>177</v>
      </c>
      <c r="E254" s="1" t="s">
        <v>427</v>
      </c>
    </row>
    <row r="255" spans="1:5" hidden="1" x14ac:dyDescent="0.25">
      <c r="A255" s="1">
        <v>53</v>
      </c>
      <c r="B255" s="2" t="s">
        <v>69</v>
      </c>
      <c r="C255" s="1" t="s">
        <v>32</v>
      </c>
      <c r="D255" s="1" t="s">
        <v>177</v>
      </c>
      <c r="E255" s="1" t="s">
        <v>428</v>
      </c>
    </row>
    <row r="256" spans="1:5" x14ac:dyDescent="0.25">
      <c r="A256" s="1">
        <v>53</v>
      </c>
      <c r="B256" s="2" t="s">
        <v>69</v>
      </c>
      <c r="C256" s="1" t="s">
        <v>35</v>
      </c>
      <c r="D256" s="1" t="s">
        <v>203</v>
      </c>
      <c r="E256" s="1" t="s">
        <v>485</v>
      </c>
    </row>
    <row r="257" spans="1:5" x14ac:dyDescent="0.25">
      <c r="A257" s="1">
        <v>53</v>
      </c>
      <c r="B257" s="2" t="s">
        <v>69</v>
      </c>
      <c r="C257" s="1" t="s">
        <v>32</v>
      </c>
      <c r="D257" s="1" t="s">
        <v>203</v>
      </c>
      <c r="E257" s="1" t="s">
        <v>486</v>
      </c>
    </row>
    <row r="258" spans="1:5" hidden="1" x14ac:dyDescent="0.25">
      <c r="A258" s="1">
        <v>53</v>
      </c>
      <c r="B258" s="2" t="s">
        <v>69</v>
      </c>
      <c r="C258" s="1" t="s">
        <v>35</v>
      </c>
      <c r="D258" s="1" t="s">
        <v>214</v>
      </c>
      <c r="E258" s="1" t="s">
        <v>529</v>
      </c>
    </row>
    <row r="259" spans="1:5" hidden="1" x14ac:dyDescent="0.25">
      <c r="A259" s="1">
        <v>53</v>
      </c>
      <c r="B259" s="2" t="s">
        <v>69</v>
      </c>
      <c r="C259" s="1" t="s">
        <v>32</v>
      </c>
      <c r="D259" s="1" t="s">
        <v>214</v>
      </c>
      <c r="E259" s="1" t="s">
        <v>530</v>
      </c>
    </row>
    <row r="260" spans="1:5" hidden="1" x14ac:dyDescent="0.25">
      <c r="A260" s="1">
        <v>53</v>
      </c>
      <c r="B260" s="2" t="s">
        <v>69</v>
      </c>
      <c r="C260" s="1" t="s">
        <v>35</v>
      </c>
      <c r="D260" s="1" t="s">
        <v>167</v>
      </c>
      <c r="E260" s="1" t="s">
        <v>369</v>
      </c>
    </row>
    <row r="261" spans="1:5" hidden="1" x14ac:dyDescent="0.25">
      <c r="A261" s="1">
        <v>53</v>
      </c>
      <c r="B261" s="2" t="s">
        <v>69</v>
      </c>
      <c r="C261" s="1" t="s">
        <v>32</v>
      </c>
      <c r="D261" s="1" t="s">
        <v>167</v>
      </c>
      <c r="E261" s="1" t="s">
        <v>370</v>
      </c>
    </row>
    <row r="262" spans="1:5" hidden="1" x14ac:dyDescent="0.25">
      <c r="A262" s="1">
        <v>54</v>
      </c>
      <c r="B262" s="2" t="s">
        <v>72</v>
      </c>
      <c r="C262" s="1" t="s">
        <v>27</v>
      </c>
      <c r="D262" s="1" t="s">
        <v>219</v>
      </c>
      <c r="E262" s="1" t="s">
        <v>487</v>
      </c>
    </row>
    <row r="263" spans="1:5" hidden="1" x14ac:dyDescent="0.25">
      <c r="A263" s="1">
        <v>54</v>
      </c>
      <c r="B263" s="2" t="s">
        <v>72</v>
      </c>
      <c r="C263" s="1" t="s">
        <v>35</v>
      </c>
      <c r="D263" s="1" t="s">
        <v>219</v>
      </c>
      <c r="E263" s="1" t="s">
        <v>598</v>
      </c>
    </row>
    <row r="264" spans="1:5" hidden="1" x14ac:dyDescent="0.25">
      <c r="A264" s="1">
        <v>54</v>
      </c>
      <c r="B264" s="2" t="s">
        <v>72</v>
      </c>
      <c r="C264" s="1" t="s">
        <v>27</v>
      </c>
      <c r="D264" s="1" t="s">
        <v>29</v>
      </c>
      <c r="E264" s="1" t="s">
        <v>249</v>
      </c>
    </row>
    <row r="265" spans="1:5" hidden="1" x14ac:dyDescent="0.25">
      <c r="A265" s="1">
        <v>54</v>
      </c>
      <c r="B265" s="2" t="s">
        <v>72</v>
      </c>
      <c r="C265" s="1" t="s">
        <v>35</v>
      </c>
      <c r="D265" s="1" t="s">
        <v>29</v>
      </c>
      <c r="E265" s="1" t="s">
        <v>250</v>
      </c>
    </row>
    <row r="266" spans="1:5" hidden="1" x14ac:dyDescent="0.25">
      <c r="A266" s="1">
        <v>54</v>
      </c>
      <c r="B266" s="2" t="s">
        <v>72</v>
      </c>
      <c r="C266" s="1" t="s">
        <v>27</v>
      </c>
      <c r="D266" s="1" t="s">
        <v>177</v>
      </c>
      <c r="E266" s="1" t="s">
        <v>429</v>
      </c>
    </row>
    <row r="267" spans="1:5" hidden="1" x14ac:dyDescent="0.25">
      <c r="A267" s="1">
        <v>54</v>
      </c>
      <c r="B267" s="2" t="s">
        <v>72</v>
      </c>
      <c r="C267" s="1" t="s">
        <v>35</v>
      </c>
      <c r="D267" s="1" t="s">
        <v>177</v>
      </c>
      <c r="E267" s="1" t="s">
        <v>430</v>
      </c>
    </row>
    <row r="268" spans="1:5" hidden="1" x14ac:dyDescent="0.25">
      <c r="A268" s="1">
        <v>54</v>
      </c>
      <c r="B268" s="2" t="s">
        <v>72</v>
      </c>
      <c r="C268" s="1" t="s">
        <v>27</v>
      </c>
      <c r="D268" s="1" t="s">
        <v>116</v>
      </c>
      <c r="E268" s="1" t="s">
        <v>315</v>
      </c>
    </row>
    <row r="269" spans="1:5" hidden="1" x14ac:dyDescent="0.25">
      <c r="A269" s="1">
        <v>54</v>
      </c>
      <c r="B269" s="2" t="s">
        <v>72</v>
      </c>
      <c r="C269" s="1" t="s">
        <v>35</v>
      </c>
      <c r="D269" s="1" t="s">
        <v>116</v>
      </c>
      <c r="E269" s="1" t="s">
        <v>316</v>
      </c>
    </row>
    <row r="270" spans="1:5" x14ac:dyDescent="0.25">
      <c r="A270" s="1">
        <v>54</v>
      </c>
      <c r="B270" s="2" t="s">
        <v>72</v>
      </c>
      <c r="C270" s="1" t="s">
        <v>27</v>
      </c>
      <c r="D270" s="1" t="s">
        <v>203</v>
      </c>
      <c r="E270" s="1" t="s">
        <v>487</v>
      </c>
    </row>
    <row r="271" spans="1:5" x14ac:dyDescent="0.25">
      <c r="A271" s="1">
        <v>54</v>
      </c>
      <c r="B271" s="2" t="s">
        <v>72</v>
      </c>
      <c r="C271" s="1" t="s">
        <v>35</v>
      </c>
      <c r="D271" s="1" t="s">
        <v>203</v>
      </c>
      <c r="E271" s="1" t="s">
        <v>488</v>
      </c>
    </row>
    <row r="272" spans="1:5" hidden="1" x14ac:dyDescent="0.25">
      <c r="A272" s="1">
        <v>54</v>
      </c>
      <c r="B272" s="2" t="s">
        <v>72</v>
      </c>
      <c r="C272" s="1" t="s">
        <v>27</v>
      </c>
      <c r="D272" s="1" t="s">
        <v>214</v>
      </c>
      <c r="E272" s="1" t="s">
        <v>487</v>
      </c>
    </row>
    <row r="273" spans="1:5" hidden="1" x14ac:dyDescent="0.25">
      <c r="A273" s="1">
        <v>54</v>
      </c>
      <c r="B273" s="2" t="s">
        <v>72</v>
      </c>
      <c r="C273" s="1" t="s">
        <v>35</v>
      </c>
      <c r="D273" s="1" t="s">
        <v>214</v>
      </c>
      <c r="E273" s="1" t="s">
        <v>488</v>
      </c>
    </row>
    <row r="274" spans="1:5" hidden="1" x14ac:dyDescent="0.25">
      <c r="A274" s="1">
        <v>54</v>
      </c>
      <c r="B274" s="2" t="s">
        <v>72</v>
      </c>
      <c r="C274" s="1" t="s">
        <v>27</v>
      </c>
      <c r="D274" s="1" t="s">
        <v>167</v>
      </c>
      <c r="E274" s="1" t="s">
        <v>371</v>
      </c>
    </row>
    <row r="275" spans="1:5" hidden="1" x14ac:dyDescent="0.25">
      <c r="A275" s="1">
        <v>54</v>
      </c>
      <c r="B275" s="2" t="s">
        <v>72</v>
      </c>
      <c r="C275" s="1" t="s">
        <v>35</v>
      </c>
      <c r="D275" s="1" t="s">
        <v>167</v>
      </c>
      <c r="E275" s="1" t="s">
        <v>372</v>
      </c>
    </row>
    <row r="276" spans="1:5" hidden="1" x14ac:dyDescent="0.25">
      <c r="A276" s="1">
        <v>55</v>
      </c>
      <c r="B276" s="2" t="s">
        <v>75</v>
      </c>
      <c r="C276" s="1" t="s">
        <v>27</v>
      </c>
      <c r="D276" s="1" t="s">
        <v>29</v>
      </c>
      <c r="E276" s="1" t="s">
        <v>251</v>
      </c>
    </row>
    <row r="277" spans="1:5" hidden="1" x14ac:dyDescent="0.25">
      <c r="A277" s="1">
        <v>55</v>
      </c>
      <c r="B277" s="2" t="s">
        <v>75</v>
      </c>
      <c r="C277" s="1" t="s">
        <v>35</v>
      </c>
      <c r="D277" s="1" t="s">
        <v>29</v>
      </c>
      <c r="E277" s="1" t="s">
        <v>252</v>
      </c>
    </row>
    <row r="278" spans="1:5" hidden="1" x14ac:dyDescent="0.25">
      <c r="A278" s="1">
        <v>55</v>
      </c>
      <c r="B278" s="2" t="s">
        <v>75</v>
      </c>
      <c r="C278" s="1" t="s">
        <v>27</v>
      </c>
      <c r="D278" s="1" t="s">
        <v>177</v>
      </c>
      <c r="E278" s="1" t="s">
        <v>431</v>
      </c>
    </row>
    <row r="279" spans="1:5" hidden="1" x14ac:dyDescent="0.25">
      <c r="A279" s="1">
        <v>55</v>
      </c>
      <c r="B279" s="2" t="s">
        <v>75</v>
      </c>
      <c r="C279" s="1" t="s">
        <v>35</v>
      </c>
      <c r="D279" s="1" t="s">
        <v>177</v>
      </c>
      <c r="E279" s="1" t="s">
        <v>432</v>
      </c>
    </row>
    <row r="280" spans="1:5" hidden="1" x14ac:dyDescent="0.25">
      <c r="A280" s="1">
        <v>55</v>
      </c>
      <c r="B280" s="2" t="s">
        <v>75</v>
      </c>
      <c r="C280" s="1" t="s">
        <v>27</v>
      </c>
      <c r="D280" s="1" t="s">
        <v>215</v>
      </c>
      <c r="E280" s="1" t="s">
        <v>562</v>
      </c>
    </row>
    <row r="281" spans="1:5" hidden="1" x14ac:dyDescent="0.25">
      <c r="A281" s="1">
        <v>55</v>
      </c>
      <c r="B281" s="2" t="s">
        <v>75</v>
      </c>
      <c r="C281" s="1" t="s">
        <v>35</v>
      </c>
      <c r="D281" s="1" t="s">
        <v>215</v>
      </c>
      <c r="E281" s="1" t="s">
        <v>558</v>
      </c>
    </row>
    <row r="282" spans="1:5" hidden="1" x14ac:dyDescent="0.25">
      <c r="A282" s="1">
        <v>55</v>
      </c>
      <c r="B282" s="2" t="s">
        <v>75</v>
      </c>
      <c r="C282" s="1" t="s">
        <v>27</v>
      </c>
      <c r="D282" s="1" t="s">
        <v>216</v>
      </c>
      <c r="E282" s="1" t="s">
        <v>588</v>
      </c>
    </row>
    <row r="283" spans="1:5" hidden="1" x14ac:dyDescent="0.25">
      <c r="A283" s="1">
        <v>55</v>
      </c>
      <c r="B283" s="2" t="s">
        <v>75</v>
      </c>
      <c r="C283" s="1" t="s">
        <v>35</v>
      </c>
      <c r="D283" s="1" t="s">
        <v>216</v>
      </c>
      <c r="E283" s="1" t="s">
        <v>513</v>
      </c>
    </row>
    <row r="284" spans="1:5" hidden="1" x14ac:dyDescent="0.25">
      <c r="A284" s="1">
        <v>55</v>
      </c>
      <c r="B284" s="2" t="s">
        <v>75</v>
      </c>
      <c r="C284" s="1" t="s">
        <v>27</v>
      </c>
      <c r="D284" s="1" t="s">
        <v>116</v>
      </c>
      <c r="E284" s="1" t="s">
        <v>317</v>
      </c>
    </row>
    <row r="285" spans="1:5" hidden="1" x14ac:dyDescent="0.25">
      <c r="A285" s="1">
        <v>55</v>
      </c>
      <c r="B285" s="2" t="s">
        <v>75</v>
      </c>
      <c r="C285" s="1" t="s">
        <v>35</v>
      </c>
      <c r="D285" s="1" t="s">
        <v>116</v>
      </c>
      <c r="E285" s="1" t="s">
        <v>318</v>
      </c>
    </row>
    <row r="286" spans="1:5" hidden="1" x14ac:dyDescent="0.25">
      <c r="A286" s="1">
        <v>56</v>
      </c>
      <c r="B286" s="2" t="s">
        <v>78</v>
      </c>
      <c r="C286" s="1" t="s">
        <v>27</v>
      </c>
      <c r="D286" s="1" t="s">
        <v>29</v>
      </c>
      <c r="E286" s="1" t="s">
        <v>253</v>
      </c>
    </row>
    <row r="287" spans="1:5" hidden="1" x14ac:dyDescent="0.25">
      <c r="A287" s="1">
        <v>56</v>
      </c>
      <c r="B287" s="2" t="s">
        <v>78</v>
      </c>
      <c r="C287" s="1" t="s">
        <v>32</v>
      </c>
      <c r="D287" s="1" t="s">
        <v>29</v>
      </c>
      <c r="E287" s="1" t="s">
        <v>254</v>
      </c>
    </row>
    <row r="288" spans="1:5" hidden="1" x14ac:dyDescent="0.25">
      <c r="A288" s="1">
        <v>56</v>
      </c>
      <c r="B288" s="2" t="s">
        <v>78</v>
      </c>
      <c r="C288" s="1" t="s">
        <v>27</v>
      </c>
      <c r="D288" s="1" t="s">
        <v>177</v>
      </c>
      <c r="E288" s="1" t="s">
        <v>433</v>
      </c>
    </row>
    <row r="289" spans="1:5" hidden="1" x14ac:dyDescent="0.25">
      <c r="A289" s="1">
        <v>56</v>
      </c>
      <c r="B289" s="2" t="s">
        <v>78</v>
      </c>
      <c r="C289" s="1" t="s">
        <v>32</v>
      </c>
      <c r="D289" s="1" t="s">
        <v>177</v>
      </c>
      <c r="E289" s="1" t="s">
        <v>434</v>
      </c>
    </row>
    <row r="290" spans="1:5" x14ac:dyDescent="0.25">
      <c r="A290" s="1">
        <v>56</v>
      </c>
      <c r="B290" s="2" t="s">
        <v>78</v>
      </c>
      <c r="C290" s="1" t="s">
        <v>27</v>
      </c>
      <c r="D290" s="1" t="s">
        <v>203</v>
      </c>
      <c r="E290" s="1" t="s">
        <v>489</v>
      </c>
    </row>
    <row r="291" spans="1:5" x14ac:dyDescent="0.25">
      <c r="A291" s="1">
        <v>56</v>
      </c>
      <c r="B291" s="2" t="s">
        <v>78</v>
      </c>
      <c r="C291" s="1" t="s">
        <v>32</v>
      </c>
      <c r="D291" s="1" t="s">
        <v>203</v>
      </c>
      <c r="E291" s="1" t="s">
        <v>490</v>
      </c>
    </row>
    <row r="292" spans="1:5" hidden="1" x14ac:dyDescent="0.25">
      <c r="A292" s="1">
        <v>56</v>
      </c>
      <c r="B292" s="2" t="s">
        <v>78</v>
      </c>
      <c r="C292" s="1" t="s">
        <v>27</v>
      </c>
      <c r="D292" s="1" t="s">
        <v>214</v>
      </c>
      <c r="E292" s="1" t="s">
        <v>489</v>
      </c>
    </row>
    <row r="293" spans="1:5" hidden="1" x14ac:dyDescent="0.25">
      <c r="A293" s="1">
        <v>56</v>
      </c>
      <c r="B293" s="2" t="s">
        <v>78</v>
      </c>
      <c r="C293" s="1" t="s">
        <v>32</v>
      </c>
      <c r="D293" s="1" t="s">
        <v>214</v>
      </c>
      <c r="E293" s="1" t="s">
        <v>490</v>
      </c>
    </row>
    <row r="294" spans="1:5" hidden="1" x14ac:dyDescent="0.25">
      <c r="A294" s="1">
        <v>58</v>
      </c>
      <c r="B294" s="2" t="s">
        <v>81</v>
      </c>
      <c r="C294" s="1" t="s">
        <v>35</v>
      </c>
      <c r="D294" s="1" t="s">
        <v>29</v>
      </c>
      <c r="E294" s="1" t="s">
        <v>255</v>
      </c>
    </row>
    <row r="295" spans="1:5" hidden="1" x14ac:dyDescent="0.25">
      <c r="A295" s="1">
        <v>58</v>
      </c>
      <c r="B295" s="2" t="s">
        <v>81</v>
      </c>
      <c r="C295" s="1" t="s">
        <v>38</v>
      </c>
      <c r="D295" s="1" t="s">
        <v>29</v>
      </c>
      <c r="E295" s="1" t="s">
        <v>256</v>
      </c>
    </row>
    <row r="296" spans="1:5" hidden="1" x14ac:dyDescent="0.25">
      <c r="A296" s="1">
        <v>58</v>
      </c>
      <c r="B296" s="2" t="s">
        <v>81</v>
      </c>
      <c r="C296" s="1" t="s">
        <v>35</v>
      </c>
      <c r="D296" s="1" t="s">
        <v>177</v>
      </c>
      <c r="E296" s="1" t="s">
        <v>435</v>
      </c>
    </row>
    <row r="297" spans="1:5" hidden="1" x14ac:dyDescent="0.25">
      <c r="A297" s="1">
        <v>58</v>
      </c>
      <c r="B297" s="2" t="s">
        <v>81</v>
      </c>
      <c r="C297" s="1" t="s">
        <v>38</v>
      </c>
      <c r="D297" s="1" t="s">
        <v>177</v>
      </c>
      <c r="E297" s="1" t="s">
        <v>436</v>
      </c>
    </row>
    <row r="298" spans="1:5" hidden="1" x14ac:dyDescent="0.25">
      <c r="A298" s="1">
        <v>58</v>
      </c>
      <c r="B298" s="2" t="s">
        <v>81</v>
      </c>
      <c r="C298" s="1" t="s">
        <v>35</v>
      </c>
      <c r="D298" s="1" t="s">
        <v>215</v>
      </c>
      <c r="E298" s="1" t="s">
        <v>492</v>
      </c>
    </row>
    <row r="299" spans="1:5" hidden="1" x14ac:dyDescent="0.25">
      <c r="A299" s="1">
        <v>58</v>
      </c>
      <c r="B299" s="2" t="s">
        <v>81</v>
      </c>
      <c r="C299" s="1" t="s">
        <v>38</v>
      </c>
      <c r="D299" s="1" t="s">
        <v>215</v>
      </c>
      <c r="E299" s="1" t="s">
        <v>563</v>
      </c>
    </row>
    <row r="300" spans="1:5" hidden="1" x14ac:dyDescent="0.25">
      <c r="A300" s="1">
        <v>58</v>
      </c>
      <c r="B300" s="2" t="s">
        <v>81</v>
      </c>
      <c r="C300" s="1" t="s">
        <v>35</v>
      </c>
      <c r="D300" s="1" t="s">
        <v>216</v>
      </c>
      <c r="E300" s="1" t="s">
        <v>492</v>
      </c>
    </row>
    <row r="301" spans="1:5" hidden="1" x14ac:dyDescent="0.25">
      <c r="A301" s="1">
        <v>58</v>
      </c>
      <c r="B301" s="2" t="s">
        <v>81</v>
      </c>
      <c r="C301" s="1" t="s">
        <v>38</v>
      </c>
      <c r="D301" s="1" t="s">
        <v>216</v>
      </c>
      <c r="E301" s="1" t="s">
        <v>563</v>
      </c>
    </row>
    <row r="302" spans="1:5" hidden="1" x14ac:dyDescent="0.25">
      <c r="A302" s="1">
        <v>58</v>
      </c>
      <c r="B302" s="2" t="s">
        <v>81</v>
      </c>
      <c r="C302" s="1" t="s">
        <v>35</v>
      </c>
      <c r="D302" s="1" t="s">
        <v>116</v>
      </c>
      <c r="E302" s="1" t="s">
        <v>319</v>
      </c>
    </row>
    <row r="303" spans="1:5" hidden="1" x14ac:dyDescent="0.25">
      <c r="A303" s="1">
        <v>58</v>
      </c>
      <c r="B303" s="2" t="s">
        <v>81</v>
      </c>
      <c r="C303" s="1" t="s">
        <v>38</v>
      </c>
      <c r="D303" s="1" t="s">
        <v>116</v>
      </c>
      <c r="E303" s="1" t="s">
        <v>320</v>
      </c>
    </row>
    <row r="304" spans="1:5" x14ac:dyDescent="0.25">
      <c r="A304" s="1">
        <v>58</v>
      </c>
      <c r="B304" s="2" t="s">
        <v>81</v>
      </c>
      <c r="C304" s="1" t="s">
        <v>35</v>
      </c>
      <c r="D304" s="1" t="s">
        <v>203</v>
      </c>
      <c r="E304" s="1" t="s">
        <v>491</v>
      </c>
    </row>
    <row r="305" spans="1:5" x14ac:dyDescent="0.25">
      <c r="A305" s="1">
        <v>58</v>
      </c>
      <c r="B305" s="2" t="s">
        <v>81</v>
      </c>
      <c r="C305" s="1" t="s">
        <v>38</v>
      </c>
      <c r="D305" s="1" t="s">
        <v>203</v>
      </c>
      <c r="E305" s="1" t="s">
        <v>492</v>
      </c>
    </row>
    <row r="306" spans="1:5" hidden="1" x14ac:dyDescent="0.25">
      <c r="A306" s="1">
        <v>58</v>
      </c>
      <c r="B306" s="2" t="s">
        <v>81</v>
      </c>
      <c r="C306" s="1" t="s">
        <v>35</v>
      </c>
      <c r="D306" s="1" t="s">
        <v>214</v>
      </c>
      <c r="E306" s="1" t="s">
        <v>491</v>
      </c>
    </row>
    <row r="307" spans="1:5" hidden="1" x14ac:dyDescent="0.25">
      <c r="A307" s="1">
        <v>58</v>
      </c>
      <c r="B307" s="2" t="s">
        <v>81</v>
      </c>
      <c r="C307" s="1" t="s">
        <v>38</v>
      </c>
      <c r="D307" s="1" t="s">
        <v>214</v>
      </c>
      <c r="E307" s="1" t="s">
        <v>492</v>
      </c>
    </row>
    <row r="308" spans="1:5" hidden="1" x14ac:dyDescent="0.25">
      <c r="A308" s="1">
        <v>58</v>
      </c>
      <c r="B308" s="2" t="s">
        <v>81</v>
      </c>
      <c r="C308" s="1" t="s">
        <v>35</v>
      </c>
      <c r="D308" s="1" t="s">
        <v>167</v>
      </c>
      <c r="E308" s="1" t="s">
        <v>373</v>
      </c>
    </row>
    <row r="309" spans="1:5" hidden="1" x14ac:dyDescent="0.25">
      <c r="A309" s="1">
        <v>58</v>
      </c>
      <c r="B309" s="2" t="s">
        <v>81</v>
      </c>
      <c r="C309" s="1" t="s">
        <v>38</v>
      </c>
      <c r="D309" s="1" t="s">
        <v>167</v>
      </c>
      <c r="E309" s="1" t="s">
        <v>374</v>
      </c>
    </row>
    <row r="310" spans="1:5" hidden="1" x14ac:dyDescent="0.25">
      <c r="A310" s="1">
        <v>62</v>
      </c>
      <c r="B310" s="2" t="s">
        <v>84</v>
      </c>
      <c r="C310" s="1" t="s">
        <v>27</v>
      </c>
      <c r="D310" s="1" t="s">
        <v>29</v>
      </c>
      <c r="E310" s="1" t="s">
        <v>257</v>
      </c>
    </row>
    <row r="311" spans="1:5" hidden="1" x14ac:dyDescent="0.25">
      <c r="A311" s="1">
        <v>62</v>
      </c>
      <c r="B311" s="2" t="s">
        <v>84</v>
      </c>
      <c r="C311" s="1" t="s">
        <v>35</v>
      </c>
      <c r="D311" s="1" t="s">
        <v>29</v>
      </c>
      <c r="E311" s="1" t="s">
        <v>258</v>
      </c>
    </row>
    <row r="312" spans="1:5" hidden="1" x14ac:dyDescent="0.25">
      <c r="A312" s="1">
        <v>62</v>
      </c>
      <c r="B312" s="2" t="s">
        <v>84</v>
      </c>
      <c r="C312" s="1" t="s">
        <v>27</v>
      </c>
      <c r="D312" s="1" t="s">
        <v>177</v>
      </c>
      <c r="E312" s="1" t="s">
        <v>437</v>
      </c>
    </row>
    <row r="313" spans="1:5" hidden="1" x14ac:dyDescent="0.25">
      <c r="A313" s="1">
        <v>62</v>
      </c>
      <c r="B313" s="2" t="s">
        <v>84</v>
      </c>
      <c r="C313" s="1" t="s">
        <v>35</v>
      </c>
      <c r="D313" s="1" t="s">
        <v>177</v>
      </c>
      <c r="E313" s="1" t="s">
        <v>438</v>
      </c>
    </row>
    <row r="314" spans="1:5" hidden="1" x14ac:dyDescent="0.25">
      <c r="A314" s="1">
        <v>66</v>
      </c>
      <c r="B314" s="2" t="s">
        <v>221</v>
      </c>
      <c r="C314" s="1" t="s">
        <v>27</v>
      </c>
      <c r="D314" s="1" t="s">
        <v>219</v>
      </c>
      <c r="E314" s="1" t="s">
        <v>599</v>
      </c>
    </row>
    <row r="315" spans="1:5" hidden="1" x14ac:dyDescent="0.25">
      <c r="A315" s="1">
        <v>66</v>
      </c>
      <c r="B315" s="2" t="s">
        <v>221</v>
      </c>
      <c r="C315" s="1" t="s">
        <v>35</v>
      </c>
      <c r="D315" s="1" t="s">
        <v>219</v>
      </c>
      <c r="E315" s="1" t="s">
        <v>600</v>
      </c>
    </row>
    <row r="316" spans="1:5" hidden="1" x14ac:dyDescent="0.25">
      <c r="A316" s="1">
        <v>68</v>
      </c>
      <c r="B316" s="2" t="s">
        <v>87</v>
      </c>
      <c r="C316" s="1" t="s">
        <v>27</v>
      </c>
      <c r="D316" s="1" t="s">
        <v>29</v>
      </c>
      <c r="E316" s="1" t="s">
        <v>259</v>
      </c>
    </row>
    <row r="317" spans="1:5" hidden="1" x14ac:dyDescent="0.25">
      <c r="A317" s="1">
        <v>68</v>
      </c>
      <c r="B317" s="2" t="s">
        <v>87</v>
      </c>
      <c r="C317" s="1" t="s">
        <v>35</v>
      </c>
      <c r="D317" s="1" t="s">
        <v>29</v>
      </c>
      <c r="E317" s="1" t="s">
        <v>260</v>
      </c>
    </row>
    <row r="318" spans="1:5" hidden="1" x14ac:dyDescent="0.25">
      <c r="A318" s="1">
        <v>68</v>
      </c>
      <c r="B318" s="2" t="s">
        <v>87</v>
      </c>
      <c r="C318" s="1" t="s">
        <v>27</v>
      </c>
      <c r="D318" s="1" t="s">
        <v>116</v>
      </c>
      <c r="E318" s="1" t="s">
        <v>321</v>
      </c>
    </row>
    <row r="319" spans="1:5" hidden="1" x14ac:dyDescent="0.25">
      <c r="A319" s="1">
        <v>68</v>
      </c>
      <c r="B319" s="2" t="s">
        <v>87</v>
      </c>
      <c r="C319" s="1" t="s">
        <v>35</v>
      </c>
      <c r="D319" s="1" t="s">
        <v>116</v>
      </c>
      <c r="E319" s="1" t="s">
        <v>322</v>
      </c>
    </row>
    <row r="320" spans="1:5" hidden="1" x14ac:dyDescent="0.25">
      <c r="A320" s="1">
        <v>70</v>
      </c>
      <c r="B320" s="2" t="s">
        <v>145</v>
      </c>
      <c r="C320" s="1" t="s">
        <v>35</v>
      </c>
      <c r="D320" s="1" t="s">
        <v>215</v>
      </c>
      <c r="E320" s="1" t="s">
        <v>493</v>
      </c>
    </row>
    <row r="321" spans="1:5" hidden="1" x14ac:dyDescent="0.25">
      <c r="A321" s="1">
        <v>70</v>
      </c>
      <c r="B321" s="2" t="s">
        <v>145</v>
      </c>
      <c r="C321" s="1" t="s">
        <v>147</v>
      </c>
      <c r="D321" s="1" t="s">
        <v>215</v>
      </c>
      <c r="E321" s="1" t="s">
        <v>564</v>
      </c>
    </row>
    <row r="322" spans="1:5" hidden="1" x14ac:dyDescent="0.25">
      <c r="A322" s="1">
        <v>70</v>
      </c>
      <c r="B322" s="2" t="s">
        <v>145</v>
      </c>
      <c r="C322" s="1" t="s">
        <v>35</v>
      </c>
      <c r="D322" s="1" t="s">
        <v>216</v>
      </c>
      <c r="E322" s="1" t="s">
        <v>531</v>
      </c>
    </row>
    <row r="323" spans="1:5" hidden="1" x14ac:dyDescent="0.25">
      <c r="A323" s="1">
        <v>70</v>
      </c>
      <c r="B323" s="2" t="s">
        <v>145</v>
      </c>
      <c r="C323" s="1" t="s">
        <v>147</v>
      </c>
      <c r="D323" s="1" t="s">
        <v>216</v>
      </c>
      <c r="E323" s="1" t="s">
        <v>589</v>
      </c>
    </row>
    <row r="324" spans="1:5" hidden="1" x14ac:dyDescent="0.25">
      <c r="A324" s="1">
        <v>70</v>
      </c>
      <c r="B324" s="2" t="s">
        <v>145</v>
      </c>
      <c r="C324" s="1" t="s">
        <v>35</v>
      </c>
      <c r="D324" s="1" t="s">
        <v>116</v>
      </c>
      <c r="E324" s="1" t="s">
        <v>323</v>
      </c>
    </row>
    <row r="325" spans="1:5" hidden="1" x14ac:dyDescent="0.25">
      <c r="A325" s="1">
        <v>70</v>
      </c>
      <c r="B325" s="2" t="s">
        <v>145</v>
      </c>
      <c r="C325" s="1" t="s">
        <v>147</v>
      </c>
      <c r="D325" s="1" t="s">
        <v>116</v>
      </c>
      <c r="E325" s="1" t="s">
        <v>324</v>
      </c>
    </row>
    <row r="326" spans="1:5" x14ac:dyDescent="0.25">
      <c r="A326" s="1">
        <v>70</v>
      </c>
      <c r="B326" s="2" t="s">
        <v>145</v>
      </c>
      <c r="C326" s="1" t="s">
        <v>35</v>
      </c>
      <c r="D326" s="1" t="s">
        <v>203</v>
      </c>
      <c r="E326" s="1" t="s">
        <v>493</v>
      </c>
    </row>
    <row r="327" spans="1:5" x14ac:dyDescent="0.25">
      <c r="A327" s="1">
        <v>70</v>
      </c>
      <c r="B327" s="2" t="s">
        <v>145</v>
      </c>
      <c r="C327" s="1" t="s">
        <v>147</v>
      </c>
      <c r="D327" s="1" t="s">
        <v>203</v>
      </c>
      <c r="E327" s="1" t="s">
        <v>494</v>
      </c>
    </row>
    <row r="328" spans="1:5" hidden="1" x14ac:dyDescent="0.25">
      <c r="A328" s="1">
        <v>70</v>
      </c>
      <c r="B328" s="2" t="s">
        <v>145</v>
      </c>
      <c r="C328" s="1" t="s">
        <v>35</v>
      </c>
      <c r="D328" s="1" t="s">
        <v>214</v>
      </c>
      <c r="E328" s="1" t="s">
        <v>531</v>
      </c>
    </row>
    <row r="329" spans="1:5" hidden="1" x14ac:dyDescent="0.25">
      <c r="A329" s="1">
        <v>70</v>
      </c>
      <c r="B329" s="2" t="s">
        <v>145</v>
      </c>
      <c r="C329" s="1" t="s">
        <v>147</v>
      </c>
      <c r="D329" s="1" t="s">
        <v>214</v>
      </c>
      <c r="E329" s="1" t="s">
        <v>371</v>
      </c>
    </row>
    <row r="330" spans="1:5" hidden="1" x14ac:dyDescent="0.25">
      <c r="A330" s="1">
        <v>70</v>
      </c>
      <c r="B330" s="2" t="s">
        <v>145</v>
      </c>
      <c r="C330" s="1" t="s">
        <v>35</v>
      </c>
      <c r="D330" s="1" t="s">
        <v>167</v>
      </c>
      <c r="E330" s="1" t="s">
        <v>375</v>
      </c>
    </row>
    <row r="331" spans="1:5" hidden="1" x14ac:dyDescent="0.25">
      <c r="A331" s="1">
        <v>70</v>
      </c>
      <c r="B331" s="2" t="s">
        <v>145</v>
      </c>
      <c r="C331" s="1" t="s">
        <v>147</v>
      </c>
      <c r="D331" s="1" t="s">
        <v>167</v>
      </c>
      <c r="E331" s="1" t="s">
        <v>376</v>
      </c>
    </row>
    <row r="332" spans="1:5" hidden="1" x14ac:dyDescent="0.25">
      <c r="A332" s="1">
        <v>73</v>
      </c>
      <c r="B332" s="2" t="s">
        <v>90</v>
      </c>
      <c r="C332" s="1" t="s">
        <v>27</v>
      </c>
      <c r="D332" s="1" t="s">
        <v>29</v>
      </c>
      <c r="E332" s="1" t="s">
        <v>261</v>
      </c>
    </row>
    <row r="333" spans="1:5" hidden="1" x14ac:dyDescent="0.25">
      <c r="A333" s="1">
        <v>73</v>
      </c>
      <c r="B333" s="2" t="s">
        <v>90</v>
      </c>
      <c r="C333" s="1" t="s">
        <v>35</v>
      </c>
      <c r="D333" s="1" t="s">
        <v>29</v>
      </c>
      <c r="E333" s="1" t="s">
        <v>262</v>
      </c>
    </row>
    <row r="334" spans="1:5" hidden="1" x14ac:dyDescent="0.25">
      <c r="A334" s="1">
        <v>73</v>
      </c>
      <c r="B334" s="2" t="s">
        <v>90</v>
      </c>
      <c r="C334" s="1" t="s">
        <v>27</v>
      </c>
      <c r="D334" s="1" t="s">
        <v>116</v>
      </c>
      <c r="E334" s="1" t="s">
        <v>325</v>
      </c>
    </row>
    <row r="335" spans="1:5" hidden="1" x14ac:dyDescent="0.25">
      <c r="A335" s="1">
        <v>73</v>
      </c>
      <c r="B335" s="2" t="s">
        <v>90</v>
      </c>
      <c r="C335" s="1" t="s">
        <v>35</v>
      </c>
      <c r="D335" s="1" t="s">
        <v>116</v>
      </c>
      <c r="E335" s="1" t="s">
        <v>326</v>
      </c>
    </row>
    <row r="336" spans="1:5" hidden="1" x14ac:dyDescent="0.25">
      <c r="A336" s="1">
        <v>76</v>
      </c>
      <c r="B336" s="2" t="s">
        <v>197</v>
      </c>
      <c r="C336" s="1" t="s">
        <v>27</v>
      </c>
      <c r="D336" s="1" t="s">
        <v>219</v>
      </c>
      <c r="E336" s="1" t="s">
        <v>601</v>
      </c>
    </row>
    <row r="337" spans="1:5" hidden="1" x14ac:dyDescent="0.25">
      <c r="A337" s="1">
        <v>76</v>
      </c>
      <c r="B337" s="2" t="s">
        <v>197</v>
      </c>
      <c r="C337" s="1" t="s">
        <v>35</v>
      </c>
      <c r="D337" s="1" t="s">
        <v>219</v>
      </c>
      <c r="E337" s="1" t="s">
        <v>602</v>
      </c>
    </row>
    <row r="338" spans="1:5" hidden="1" x14ac:dyDescent="0.25">
      <c r="A338" s="1">
        <v>76</v>
      </c>
      <c r="B338" s="2" t="s">
        <v>197</v>
      </c>
      <c r="C338" s="1" t="s">
        <v>27</v>
      </c>
      <c r="D338" s="1" t="s">
        <v>177</v>
      </c>
      <c r="E338" s="1" t="s">
        <v>439</v>
      </c>
    </row>
    <row r="339" spans="1:5" hidden="1" x14ac:dyDescent="0.25">
      <c r="A339" s="1">
        <v>76</v>
      </c>
      <c r="B339" s="2" t="s">
        <v>197</v>
      </c>
      <c r="C339" s="1" t="s">
        <v>35</v>
      </c>
      <c r="D339" s="1" t="s">
        <v>177</v>
      </c>
      <c r="E339" s="1" t="s">
        <v>440</v>
      </c>
    </row>
    <row r="340" spans="1:5" hidden="1" x14ac:dyDescent="0.25">
      <c r="A340" s="1">
        <v>76</v>
      </c>
      <c r="B340" s="2" t="s">
        <v>197</v>
      </c>
      <c r="C340" s="1" t="s">
        <v>27</v>
      </c>
      <c r="D340" s="1" t="s">
        <v>215</v>
      </c>
      <c r="E340" s="1" t="s">
        <v>565</v>
      </c>
    </row>
    <row r="341" spans="1:5" hidden="1" x14ac:dyDescent="0.25">
      <c r="A341" s="1">
        <v>76</v>
      </c>
      <c r="B341" s="2" t="s">
        <v>197</v>
      </c>
      <c r="C341" s="1" t="s">
        <v>35</v>
      </c>
      <c r="D341" s="1" t="s">
        <v>215</v>
      </c>
      <c r="E341" s="1" t="s">
        <v>566</v>
      </c>
    </row>
    <row r="342" spans="1:5" hidden="1" x14ac:dyDescent="0.25">
      <c r="A342" s="1">
        <v>76</v>
      </c>
      <c r="B342" s="2" t="s">
        <v>197</v>
      </c>
      <c r="C342" s="1" t="s">
        <v>27</v>
      </c>
      <c r="D342" s="1" t="s">
        <v>216</v>
      </c>
      <c r="E342" s="1" t="s">
        <v>590</v>
      </c>
    </row>
    <row r="343" spans="1:5" hidden="1" x14ac:dyDescent="0.25">
      <c r="A343" s="1">
        <v>76</v>
      </c>
      <c r="B343" s="2" t="s">
        <v>197</v>
      </c>
      <c r="C343" s="1" t="s">
        <v>35</v>
      </c>
      <c r="D343" s="1" t="s">
        <v>216</v>
      </c>
      <c r="E343" s="1" t="s">
        <v>591</v>
      </c>
    </row>
    <row r="344" spans="1:5" x14ac:dyDescent="0.25">
      <c r="A344" s="1">
        <v>76</v>
      </c>
      <c r="B344" s="2" t="s">
        <v>197</v>
      </c>
      <c r="C344" s="1" t="s">
        <v>27</v>
      </c>
      <c r="D344" s="1" t="s">
        <v>203</v>
      </c>
      <c r="E344" s="1" t="s">
        <v>495</v>
      </c>
    </row>
    <row r="345" spans="1:5" x14ac:dyDescent="0.25">
      <c r="A345" s="1">
        <v>76</v>
      </c>
      <c r="B345" s="2" t="s">
        <v>197</v>
      </c>
      <c r="C345" s="1" t="s">
        <v>35</v>
      </c>
      <c r="D345" s="1" t="s">
        <v>203</v>
      </c>
      <c r="E345" s="1" t="s">
        <v>496</v>
      </c>
    </row>
    <row r="346" spans="1:5" hidden="1" x14ac:dyDescent="0.25">
      <c r="A346" s="1">
        <v>76</v>
      </c>
      <c r="B346" s="2" t="s">
        <v>197</v>
      </c>
      <c r="C346" s="1" t="s">
        <v>27</v>
      </c>
      <c r="D346" s="1" t="s">
        <v>214</v>
      </c>
      <c r="E346" s="1" t="s">
        <v>532</v>
      </c>
    </row>
    <row r="347" spans="1:5" hidden="1" x14ac:dyDescent="0.25">
      <c r="A347" s="1">
        <v>76</v>
      </c>
      <c r="B347" s="2" t="s">
        <v>197</v>
      </c>
      <c r="C347" s="1" t="s">
        <v>35</v>
      </c>
      <c r="D347" s="1" t="s">
        <v>214</v>
      </c>
      <c r="E347" s="1" t="s">
        <v>533</v>
      </c>
    </row>
    <row r="348" spans="1:5" hidden="1" x14ac:dyDescent="0.25">
      <c r="A348" s="1">
        <v>77</v>
      </c>
      <c r="B348" s="2" t="s">
        <v>149</v>
      </c>
      <c r="C348" s="1" t="s">
        <v>27</v>
      </c>
      <c r="D348" s="1" t="s">
        <v>219</v>
      </c>
      <c r="E348" s="1" t="s">
        <v>603</v>
      </c>
    </row>
    <row r="349" spans="1:5" hidden="1" x14ac:dyDescent="0.25">
      <c r="A349" s="1">
        <v>77</v>
      </c>
      <c r="B349" s="2" t="s">
        <v>149</v>
      </c>
      <c r="C349" s="1" t="s">
        <v>35</v>
      </c>
      <c r="D349" s="1" t="s">
        <v>219</v>
      </c>
      <c r="E349" s="1" t="s">
        <v>604</v>
      </c>
    </row>
    <row r="350" spans="1:5" hidden="1" x14ac:dyDescent="0.25">
      <c r="A350" s="1">
        <v>77</v>
      </c>
      <c r="B350" s="2" t="s">
        <v>149</v>
      </c>
      <c r="C350" s="1" t="s">
        <v>27</v>
      </c>
      <c r="D350" s="1" t="s">
        <v>177</v>
      </c>
      <c r="E350" s="1" t="s">
        <v>441</v>
      </c>
    </row>
    <row r="351" spans="1:5" hidden="1" x14ac:dyDescent="0.25">
      <c r="A351" s="1">
        <v>77</v>
      </c>
      <c r="B351" s="2" t="s">
        <v>149</v>
      </c>
      <c r="C351" s="1" t="s">
        <v>35</v>
      </c>
      <c r="D351" s="1" t="s">
        <v>177</v>
      </c>
      <c r="E351" s="1" t="s">
        <v>442</v>
      </c>
    </row>
    <row r="352" spans="1:5" hidden="1" x14ac:dyDescent="0.25">
      <c r="A352" s="1">
        <v>77</v>
      </c>
      <c r="B352" s="2" t="s">
        <v>149</v>
      </c>
      <c r="C352" s="1" t="s">
        <v>27</v>
      </c>
      <c r="D352" s="1" t="s">
        <v>215</v>
      </c>
      <c r="E352" s="1" t="s">
        <v>501</v>
      </c>
    </row>
    <row r="353" spans="1:5" hidden="1" x14ac:dyDescent="0.25">
      <c r="A353" s="1">
        <v>77</v>
      </c>
      <c r="B353" s="2" t="s">
        <v>149</v>
      </c>
      <c r="C353" s="1" t="s">
        <v>35</v>
      </c>
      <c r="D353" s="1" t="s">
        <v>215</v>
      </c>
      <c r="E353" s="1" t="s">
        <v>567</v>
      </c>
    </row>
    <row r="354" spans="1:5" hidden="1" x14ac:dyDescent="0.25">
      <c r="A354" s="1">
        <v>77</v>
      </c>
      <c r="B354" s="2" t="s">
        <v>149</v>
      </c>
      <c r="C354" s="1" t="s">
        <v>27</v>
      </c>
      <c r="D354" s="1" t="s">
        <v>216</v>
      </c>
      <c r="E354" s="1" t="s">
        <v>592</v>
      </c>
    </row>
    <row r="355" spans="1:5" hidden="1" x14ac:dyDescent="0.25">
      <c r="A355" s="1">
        <v>77</v>
      </c>
      <c r="B355" s="2" t="s">
        <v>149</v>
      </c>
      <c r="C355" s="1" t="s">
        <v>35</v>
      </c>
      <c r="D355" s="1" t="s">
        <v>216</v>
      </c>
      <c r="E355" s="1" t="s">
        <v>567</v>
      </c>
    </row>
    <row r="356" spans="1:5" hidden="1" x14ac:dyDescent="0.25">
      <c r="A356" s="1">
        <v>77</v>
      </c>
      <c r="B356" s="2" t="s">
        <v>149</v>
      </c>
      <c r="C356" s="1" t="s">
        <v>27</v>
      </c>
      <c r="D356" s="1" t="s">
        <v>116</v>
      </c>
      <c r="E356" s="1" t="s">
        <v>327</v>
      </c>
    </row>
    <row r="357" spans="1:5" hidden="1" x14ac:dyDescent="0.25">
      <c r="A357" s="1">
        <v>77</v>
      </c>
      <c r="B357" s="2" t="s">
        <v>149</v>
      </c>
      <c r="C357" s="1" t="s">
        <v>35</v>
      </c>
      <c r="D357" s="1" t="s">
        <v>116</v>
      </c>
      <c r="E357" s="1" t="s">
        <v>328</v>
      </c>
    </row>
    <row r="358" spans="1:5" x14ac:dyDescent="0.25">
      <c r="A358" s="1">
        <v>77</v>
      </c>
      <c r="B358" s="2" t="s">
        <v>149</v>
      </c>
      <c r="C358" s="1" t="s">
        <v>27</v>
      </c>
      <c r="D358" s="1" t="s">
        <v>203</v>
      </c>
      <c r="E358" s="1" t="s">
        <v>497</v>
      </c>
    </row>
    <row r="359" spans="1:5" x14ac:dyDescent="0.25">
      <c r="A359" s="1">
        <v>77</v>
      </c>
      <c r="B359" s="2" t="s">
        <v>149</v>
      </c>
      <c r="C359" s="1" t="s">
        <v>35</v>
      </c>
      <c r="D359" s="1" t="s">
        <v>203</v>
      </c>
      <c r="E359" s="1" t="s">
        <v>498</v>
      </c>
    </row>
    <row r="360" spans="1:5" hidden="1" x14ac:dyDescent="0.25">
      <c r="A360" s="1">
        <v>77</v>
      </c>
      <c r="B360" s="2" t="s">
        <v>149</v>
      </c>
      <c r="C360" s="1" t="s">
        <v>27</v>
      </c>
      <c r="D360" s="1" t="s">
        <v>214</v>
      </c>
      <c r="E360" s="1" t="s">
        <v>497</v>
      </c>
    </row>
    <row r="361" spans="1:5" hidden="1" x14ac:dyDescent="0.25">
      <c r="A361" s="1">
        <v>77</v>
      </c>
      <c r="B361" s="2" t="s">
        <v>149</v>
      </c>
      <c r="C361" s="1" t="s">
        <v>35</v>
      </c>
      <c r="D361" s="1" t="s">
        <v>214</v>
      </c>
      <c r="E361" s="1" t="s">
        <v>498</v>
      </c>
    </row>
    <row r="362" spans="1:5" hidden="1" x14ac:dyDescent="0.25">
      <c r="A362" s="1">
        <v>77</v>
      </c>
      <c r="B362" s="2" t="s">
        <v>149</v>
      </c>
      <c r="C362" s="1" t="s">
        <v>27</v>
      </c>
      <c r="D362" s="1" t="s">
        <v>167</v>
      </c>
      <c r="E362" s="1" t="s">
        <v>377</v>
      </c>
    </row>
    <row r="363" spans="1:5" hidden="1" x14ac:dyDescent="0.25">
      <c r="A363" s="1">
        <v>77</v>
      </c>
      <c r="B363" s="2" t="s">
        <v>149</v>
      </c>
      <c r="C363" s="1" t="s">
        <v>35</v>
      </c>
      <c r="D363" s="1" t="s">
        <v>167</v>
      </c>
      <c r="E363" s="1" t="s">
        <v>378</v>
      </c>
    </row>
    <row r="364" spans="1:5" hidden="1" x14ac:dyDescent="0.25">
      <c r="A364" s="1">
        <v>82</v>
      </c>
      <c r="B364" s="2" t="s">
        <v>211</v>
      </c>
      <c r="C364" s="1" t="s">
        <v>27</v>
      </c>
      <c r="D364" s="1" t="s">
        <v>215</v>
      </c>
      <c r="E364" s="1" t="s">
        <v>568</v>
      </c>
    </row>
    <row r="365" spans="1:5" hidden="1" x14ac:dyDescent="0.25">
      <c r="A365" s="1">
        <v>82</v>
      </c>
      <c r="B365" s="2" t="s">
        <v>211</v>
      </c>
      <c r="C365" s="1" t="s">
        <v>35</v>
      </c>
      <c r="D365" s="1" t="s">
        <v>215</v>
      </c>
      <c r="E365" s="1" t="s">
        <v>568</v>
      </c>
    </row>
    <row r="366" spans="1:5" hidden="1" x14ac:dyDescent="0.25">
      <c r="A366" s="1">
        <v>82</v>
      </c>
      <c r="B366" s="2" t="s">
        <v>211</v>
      </c>
      <c r="C366" s="1" t="s">
        <v>27</v>
      </c>
      <c r="D366" s="1" t="s">
        <v>216</v>
      </c>
      <c r="E366" s="1" t="s">
        <v>535</v>
      </c>
    </row>
    <row r="367" spans="1:5" hidden="1" x14ac:dyDescent="0.25">
      <c r="A367" s="1">
        <v>82</v>
      </c>
      <c r="B367" s="2" t="s">
        <v>211</v>
      </c>
      <c r="C367" s="1" t="s">
        <v>35</v>
      </c>
      <c r="D367" s="1" t="s">
        <v>216</v>
      </c>
      <c r="E367" s="1" t="s">
        <v>535</v>
      </c>
    </row>
    <row r="368" spans="1:5" x14ac:dyDescent="0.25">
      <c r="A368" s="1">
        <v>82</v>
      </c>
      <c r="B368" s="2" t="s">
        <v>211</v>
      </c>
      <c r="C368" s="1" t="s">
        <v>27</v>
      </c>
      <c r="D368" s="1" t="s">
        <v>203</v>
      </c>
      <c r="E368" s="1" t="s">
        <v>499</v>
      </c>
    </row>
    <row r="369" spans="1:5" x14ac:dyDescent="0.25">
      <c r="A369" s="1">
        <v>82</v>
      </c>
      <c r="B369" s="2" t="s">
        <v>211</v>
      </c>
      <c r="C369" s="1" t="s">
        <v>35</v>
      </c>
      <c r="D369" s="1" t="s">
        <v>203</v>
      </c>
      <c r="E369" s="1" t="s">
        <v>500</v>
      </c>
    </row>
    <row r="370" spans="1:5" hidden="1" x14ac:dyDescent="0.25">
      <c r="A370" s="1">
        <v>82</v>
      </c>
      <c r="B370" s="2" t="s">
        <v>211</v>
      </c>
      <c r="C370" s="1" t="s">
        <v>27</v>
      </c>
      <c r="D370" s="1" t="s">
        <v>214</v>
      </c>
      <c r="E370" s="1" t="s">
        <v>534</v>
      </c>
    </row>
    <row r="371" spans="1:5" hidden="1" x14ac:dyDescent="0.25">
      <c r="A371" s="1">
        <v>82</v>
      </c>
      <c r="B371" s="2" t="s">
        <v>211</v>
      </c>
      <c r="C371" s="1" t="s">
        <v>35</v>
      </c>
      <c r="D371" s="1" t="s">
        <v>214</v>
      </c>
      <c r="E371" s="1" t="s">
        <v>535</v>
      </c>
    </row>
    <row r="372" spans="1:5" hidden="1" x14ac:dyDescent="0.25">
      <c r="A372" s="1">
        <v>84</v>
      </c>
      <c r="B372" s="2" t="s">
        <v>93</v>
      </c>
      <c r="C372" s="1" t="s">
        <v>35</v>
      </c>
      <c r="D372" s="1" t="s">
        <v>29</v>
      </c>
      <c r="E372" s="1" t="s">
        <v>263</v>
      </c>
    </row>
    <row r="373" spans="1:5" hidden="1" x14ac:dyDescent="0.25">
      <c r="A373" s="1">
        <v>84</v>
      </c>
      <c r="B373" s="2" t="s">
        <v>93</v>
      </c>
      <c r="C373" s="1" t="s">
        <v>32</v>
      </c>
      <c r="D373" s="1" t="s">
        <v>29</v>
      </c>
      <c r="E373" s="1" t="s">
        <v>264</v>
      </c>
    </row>
    <row r="374" spans="1:5" hidden="1" x14ac:dyDescent="0.25">
      <c r="A374" s="1">
        <v>85</v>
      </c>
      <c r="B374" s="2" t="s">
        <v>96</v>
      </c>
      <c r="C374" s="1" t="s">
        <v>27</v>
      </c>
      <c r="D374" s="1" t="s">
        <v>219</v>
      </c>
      <c r="E374" s="1" t="s">
        <v>501</v>
      </c>
    </row>
    <row r="375" spans="1:5" hidden="1" x14ac:dyDescent="0.25">
      <c r="A375" s="1">
        <v>85</v>
      </c>
      <c r="B375" s="2" t="s">
        <v>96</v>
      </c>
      <c r="C375" s="1" t="s">
        <v>35</v>
      </c>
      <c r="D375" s="1" t="s">
        <v>219</v>
      </c>
      <c r="E375" s="1" t="s">
        <v>605</v>
      </c>
    </row>
    <row r="376" spans="1:5" hidden="1" x14ac:dyDescent="0.25">
      <c r="A376" s="1">
        <v>85</v>
      </c>
      <c r="B376" s="2" t="s">
        <v>96</v>
      </c>
      <c r="C376" s="1" t="s">
        <v>27</v>
      </c>
      <c r="D376" s="1" t="s">
        <v>29</v>
      </c>
      <c r="E376" s="1" t="s">
        <v>265</v>
      </c>
    </row>
    <row r="377" spans="1:5" hidden="1" x14ac:dyDescent="0.25">
      <c r="A377" s="1">
        <v>85</v>
      </c>
      <c r="B377" s="2" t="s">
        <v>96</v>
      </c>
      <c r="C377" s="1" t="s">
        <v>35</v>
      </c>
      <c r="D377" s="1" t="s">
        <v>29</v>
      </c>
      <c r="E377" s="1" t="s">
        <v>266</v>
      </c>
    </row>
    <row r="378" spans="1:5" hidden="1" x14ac:dyDescent="0.25">
      <c r="A378" s="1">
        <v>85</v>
      </c>
      <c r="B378" s="2" t="s">
        <v>96</v>
      </c>
      <c r="C378" s="1" t="s">
        <v>27</v>
      </c>
      <c r="D378" s="1" t="s">
        <v>177</v>
      </c>
      <c r="E378" s="1" t="s">
        <v>443</v>
      </c>
    </row>
    <row r="379" spans="1:5" hidden="1" x14ac:dyDescent="0.25">
      <c r="A379" s="1">
        <v>85</v>
      </c>
      <c r="B379" s="2" t="s">
        <v>96</v>
      </c>
      <c r="C379" s="1" t="s">
        <v>35</v>
      </c>
      <c r="D379" s="1" t="s">
        <v>177</v>
      </c>
      <c r="E379" s="1" t="s">
        <v>444</v>
      </c>
    </row>
    <row r="380" spans="1:5" hidden="1" x14ac:dyDescent="0.25">
      <c r="A380" s="1">
        <v>87</v>
      </c>
      <c r="B380" s="2" t="s">
        <v>99</v>
      </c>
      <c r="C380" s="1" t="s">
        <v>27</v>
      </c>
      <c r="D380" s="1" t="s">
        <v>219</v>
      </c>
      <c r="E380" s="1" t="s">
        <v>606</v>
      </c>
    </row>
    <row r="381" spans="1:5" hidden="1" x14ac:dyDescent="0.25">
      <c r="A381" s="1">
        <v>87</v>
      </c>
      <c r="B381" s="2" t="s">
        <v>99</v>
      </c>
      <c r="C381" s="1" t="s">
        <v>35</v>
      </c>
      <c r="D381" s="1" t="s">
        <v>219</v>
      </c>
      <c r="E381" s="1" t="s">
        <v>606</v>
      </c>
    </row>
    <row r="382" spans="1:5" hidden="1" x14ac:dyDescent="0.25">
      <c r="A382" s="1">
        <v>87</v>
      </c>
      <c r="B382" s="2" t="s">
        <v>99</v>
      </c>
      <c r="C382" s="1" t="s">
        <v>27</v>
      </c>
      <c r="D382" s="1" t="s">
        <v>29</v>
      </c>
      <c r="E382" s="1" t="s">
        <v>267</v>
      </c>
    </row>
    <row r="383" spans="1:5" hidden="1" x14ac:dyDescent="0.25">
      <c r="A383" s="1">
        <v>87</v>
      </c>
      <c r="B383" s="2" t="s">
        <v>99</v>
      </c>
      <c r="C383" s="1" t="s">
        <v>35</v>
      </c>
      <c r="D383" s="1" t="s">
        <v>29</v>
      </c>
      <c r="E383" s="1" t="s">
        <v>268</v>
      </c>
    </row>
    <row r="384" spans="1:5" hidden="1" x14ac:dyDescent="0.25">
      <c r="A384" s="1">
        <v>87</v>
      </c>
      <c r="B384" s="2" t="s">
        <v>99</v>
      </c>
      <c r="C384" s="1" t="s">
        <v>27</v>
      </c>
      <c r="D384" s="1" t="s">
        <v>177</v>
      </c>
      <c r="E384" s="1" t="s">
        <v>445</v>
      </c>
    </row>
    <row r="385" spans="1:5" hidden="1" x14ac:dyDescent="0.25">
      <c r="A385" s="1">
        <v>87</v>
      </c>
      <c r="B385" s="2" t="s">
        <v>99</v>
      </c>
      <c r="C385" s="1" t="s">
        <v>35</v>
      </c>
      <c r="D385" s="1" t="s">
        <v>177</v>
      </c>
      <c r="E385" s="1" t="s">
        <v>446</v>
      </c>
    </row>
    <row r="386" spans="1:5" hidden="1" x14ac:dyDescent="0.25">
      <c r="A386" s="1">
        <v>87</v>
      </c>
      <c r="B386" s="2" t="s">
        <v>99</v>
      </c>
      <c r="C386" s="1" t="s">
        <v>27</v>
      </c>
      <c r="D386" s="1" t="s">
        <v>116</v>
      </c>
      <c r="E386" s="1" t="s">
        <v>329</v>
      </c>
    </row>
    <row r="387" spans="1:5" hidden="1" x14ac:dyDescent="0.25">
      <c r="A387" s="1">
        <v>87</v>
      </c>
      <c r="B387" s="2" t="s">
        <v>99</v>
      </c>
      <c r="C387" s="1" t="s">
        <v>35</v>
      </c>
      <c r="D387" s="1" t="s">
        <v>116</v>
      </c>
      <c r="E387" s="1" t="s">
        <v>330</v>
      </c>
    </row>
    <row r="388" spans="1:5" hidden="1" x14ac:dyDescent="0.25">
      <c r="A388" s="1">
        <v>87</v>
      </c>
      <c r="B388" s="2" t="s">
        <v>99</v>
      </c>
      <c r="C388" s="1" t="s">
        <v>27</v>
      </c>
      <c r="D388" s="1" t="s">
        <v>167</v>
      </c>
      <c r="E388" s="1" t="s">
        <v>379</v>
      </c>
    </row>
    <row r="389" spans="1:5" hidden="1" x14ac:dyDescent="0.25">
      <c r="A389" s="1">
        <v>87</v>
      </c>
      <c r="B389" s="2" t="s">
        <v>99</v>
      </c>
      <c r="C389" s="1" t="s">
        <v>35</v>
      </c>
      <c r="D389" s="1" t="s">
        <v>167</v>
      </c>
      <c r="E389" s="1" t="s">
        <v>380</v>
      </c>
    </row>
    <row r="390" spans="1:5" hidden="1" x14ac:dyDescent="0.25">
      <c r="A390" s="1">
        <v>89</v>
      </c>
      <c r="B390" s="2" t="s">
        <v>102</v>
      </c>
      <c r="C390" s="1" t="s">
        <v>35</v>
      </c>
      <c r="D390" s="1" t="s">
        <v>29</v>
      </c>
      <c r="E390" s="1" t="s">
        <v>269</v>
      </c>
    </row>
    <row r="391" spans="1:5" hidden="1" x14ac:dyDescent="0.25">
      <c r="A391" s="1">
        <v>89</v>
      </c>
      <c r="B391" s="2" t="s">
        <v>102</v>
      </c>
      <c r="C391" s="1" t="s">
        <v>32</v>
      </c>
      <c r="D391" s="1" t="s">
        <v>29</v>
      </c>
      <c r="E391" s="1" t="s">
        <v>270</v>
      </c>
    </row>
    <row r="392" spans="1:5" hidden="1" x14ac:dyDescent="0.25">
      <c r="A392" s="1">
        <v>89</v>
      </c>
      <c r="B392" s="2" t="s">
        <v>102</v>
      </c>
      <c r="C392" s="1" t="s">
        <v>35</v>
      </c>
      <c r="D392" s="1" t="s">
        <v>116</v>
      </c>
      <c r="E392" s="1" t="s">
        <v>331</v>
      </c>
    </row>
    <row r="393" spans="1:5" hidden="1" x14ac:dyDescent="0.25">
      <c r="A393" s="1">
        <v>89</v>
      </c>
      <c r="B393" s="2" t="s">
        <v>102</v>
      </c>
      <c r="C393" s="1" t="s">
        <v>32</v>
      </c>
      <c r="D393" s="1" t="s">
        <v>116</v>
      </c>
      <c r="E393" s="1" t="s">
        <v>332</v>
      </c>
    </row>
    <row r="394" spans="1:5" hidden="1" x14ac:dyDescent="0.25">
      <c r="A394" s="1">
        <v>90</v>
      </c>
      <c r="B394" s="2" t="s">
        <v>153</v>
      </c>
      <c r="C394" s="1" t="s">
        <v>27</v>
      </c>
      <c r="D394" s="1" t="s">
        <v>219</v>
      </c>
      <c r="E394" s="1" t="s">
        <v>607</v>
      </c>
    </row>
    <row r="395" spans="1:5" hidden="1" x14ac:dyDescent="0.25">
      <c r="A395" s="1">
        <v>90</v>
      </c>
      <c r="B395" s="2" t="s">
        <v>153</v>
      </c>
      <c r="C395" s="1" t="s">
        <v>35</v>
      </c>
      <c r="D395" s="1" t="s">
        <v>219</v>
      </c>
      <c r="E395" s="1" t="s">
        <v>483</v>
      </c>
    </row>
    <row r="396" spans="1:5" hidden="1" x14ac:dyDescent="0.25">
      <c r="A396" s="1">
        <v>90</v>
      </c>
      <c r="B396" s="2" t="s">
        <v>153</v>
      </c>
      <c r="C396" s="1" t="s">
        <v>27</v>
      </c>
      <c r="D396" s="1" t="s">
        <v>116</v>
      </c>
      <c r="E396" s="1" t="s">
        <v>333</v>
      </c>
    </row>
    <row r="397" spans="1:5" hidden="1" x14ac:dyDescent="0.25">
      <c r="A397" s="1">
        <v>90</v>
      </c>
      <c r="B397" s="2" t="s">
        <v>153</v>
      </c>
      <c r="C397" s="1" t="s">
        <v>35</v>
      </c>
      <c r="D397" s="1" t="s">
        <v>116</v>
      </c>
      <c r="E397" s="1" t="s">
        <v>334</v>
      </c>
    </row>
    <row r="398" spans="1:5" hidden="1" x14ac:dyDescent="0.25">
      <c r="A398" s="1">
        <v>90</v>
      </c>
      <c r="B398" s="2" t="s">
        <v>153</v>
      </c>
      <c r="C398" s="1" t="s">
        <v>27</v>
      </c>
      <c r="D398" s="1" t="s">
        <v>167</v>
      </c>
      <c r="E398" s="1" t="s">
        <v>381</v>
      </c>
    </row>
    <row r="399" spans="1:5" hidden="1" x14ac:dyDescent="0.25">
      <c r="A399" s="1">
        <v>90</v>
      </c>
      <c r="B399" s="2" t="s">
        <v>153</v>
      </c>
      <c r="C399" s="1" t="s">
        <v>35</v>
      </c>
      <c r="D399" s="1" t="s">
        <v>167</v>
      </c>
      <c r="E399" s="1" t="s">
        <v>382</v>
      </c>
    </row>
    <row r="400" spans="1:5" hidden="1" x14ac:dyDescent="0.25">
      <c r="A400" s="1">
        <v>93</v>
      </c>
      <c r="B400" s="2" t="s">
        <v>105</v>
      </c>
      <c r="C400" s="1" t="s">
        <v>35</v>
      </c>
      <c r="D400" s="1" t="s">
        <v>29</v>
      </c>
      <c r="E400" s="1" t="s">
        <v>271</v>
      </c>
    </row>
    <row r="401" spans="1:5" hidden="1" x14ac:dyDescent="0.25">
      <c r="A401" s="1">
        <v>93</v>
      </c>
      <c r="B401" s="2" t="s">
        <v>105</v>
      </c>
      <c r="C401" s="1" t="s">
        <v>32</v>
      </c>
      <c r="D401" s="1" t="s">
        <v>29</v>
      </c>
      <c r="E401" s="1" t="s">
        <v>272</v>
      </c>
    </row>
    <row r="402" spans="1:5" hidden="1" x14ac:dyDescent="0.25">
      <c r="A402" s="1">
        <v>93</v>
      </c>
      <c r="B402" s="2" t="s">
        <v>156</v>
      </c>
      <c r="C402" s="1" t="s">
        <v>27</v>
      </c>
      <c r="D402" s="1" t="s">
        <v>116</v>
      </c>
      <c r="E402" s="1" t="s">
        <v>335</v>
      </c>
    </row>
    <row r="403" spans="1:5" hidden="1" x14ac:dyDescent="0.25">
      <c r="A403" s="1">
        <v>93</v>
      </c>
      <c r="B403" s="2" t="s">
        <v>156</v>
      </c>
      <c r="C403" s="1" t="s">
        <v>32</v>
      </c>
      <c r="D403" s="1" t="s">
        <v>116</v>
      </c>
      <c r="E403" s="1" t="s">
        <v>336</v>
      </c>
    </row>
    <row r="404" spans="1:5" hidden="1" x14ac:dyDescent="0.25">
      <c r="A404" s="1">
        <v>95</v>
      </c>
      <c r="B404" s="2" t="s">
        <v>200</v>
      </c>
      <c r="C404" s="1" t="s">
        <v>27</v>
      </c>
      <c r="D404" s="1" t="s">
        <v>177</v>
      </c>
      <c r="E404" s="1" t="s">
        <v>402</v>
      </c>
    </row>
    <row r="405" spans="1:5" hidden="1" x14ac:dyDescent="0.25">
      <c r="A405" s="1">
        <v>95</v>
      </c>
      <c r="B405" s="2" t="s">
        <v>200</v>
      </c>
      <c r="C405" s="1" t="s">
        <v>35</v>
      </c>
      <c r="D405" s="1" t="s">
        <v>177</v>
      </c>
      <c r="E405" s="1" t="s">
        <v>447</v>
      </c>
    </row>
    <row r="406" spans="1:5" hidden="1" x14ac:dyDescent="0.25">
      <c r="A406" s="1">
        <v>96</v>
      </c>
      <c r="B406" s="2" t="s">
        <v>108</v>
      </c>
      <c r="C406" s="1" t="s">
        <v>27</v>
      </c>
      <c r="D406" s="1" t="s">
        <v>219</v>
      </c>
      <c r="E406" s="1" t="s">
        <v>608</v>
      </c>
    </row>
    <row r="407" spans="1:5" hidden="1" x14ac:dyDescent="0.25">
      <c r="A407" s="1">
        <v>96</v>
      </c>
      <c r="B407" s="2" t="s">
        <v>108</v>
      </c>
      <c r="C407" s="1" t="s">
        <v>35</v>
      </c>
      <c r="D407" s="1" t="s">
        <v>219</v>
      </c>
      <c r="E407" s="1" t="s">
        <v>492</v>
      </c>
    </row>
    <row r="408" spans="1:5" hidden="1" x14ac:dyDescent="0.25">
      <c r="A408" s="1">
        <v>96</v>
      </c>
      <c r="B408" s="2" t="s">
        <v>108</v>
      </c>
      <c r="C408" s="1" t="s">
        <v>27</v>
      </c>
      <c r="D408" s="1" t="s">
        <v>29</v>
      </c>
      <c r="E408" s="1" t="s">
        <v>273</v>
      </c>
    </row>
    <row r="409" spans="1:5" hidden="1" x14ac:dyDescent="0.25">
      <c r="A409" s="1">
        <v>96</v>
      </c>
      <c r="B409" s="2" t="s">
        <v>108</v>
      </c>
      <c r="C409" s="1" t="s">
        <v>35</v>
      </c>
      <c r="D409" s="1" t="s">
        <v>29</v>
      </c>
      <c r="E409" s="1" t="s">
        <v>274</v>
      </c>
    </row>
    <row r="410" spans="1:5" hidden="1" x14ac:dyDescent="0.25">
      <c r="A410" s="1">
        <v>96</v>
      </c>
      <c r="B410" s="2" t="s">
        <v>108</v>
      </c>
      <c r="C410" s="1" t="s">
        <v>27</v>
      </c>
      <c r="D410" s="1" t="s">
        <v>177</v>
      </c>
      <c r="E410" s="1" t="s">
        <v>448</v>
      </c>
    </row>
    <row r="411" spans="1:5" hidden="1" x14ac:dyDescent="0.25">
      <c r="A411" s="1">
        <v>96</v>
      </c>
      <c r="B411" s="2" t="s">
        <v>108</v>
      </c>
      <c r="C411" s="1" t="s">
        <v>35</v>
      </c>
      <c r="D411" s="1" t="s">
        <v>177</v>
      </c>
      <c r="E411" s="1" t="s">
        <v>449</v>
      </c>
    </row>
    <row r="412" spans="1:5" hidden="1" x14ac:dyDescent="0.25">
      <c r="A412" s="1">
        <v>96</v>
      </c>
      <c r="B412" s="2" t="s">
        <v>108</v>
      </c>
      <c r="C412" s="1" t="s">
        <v>27</v>
      </c>
      <c r="D412" s="1" t="s">
        <v>116</v>
      </c>
      <c r="E412" s="1" t="s">
        <v>337</v>
      </c>
    </row>
    <row r="413" spans="1:5" hidden="1" x14ac:dyDescent="0.25">
      <c r="A413" s="1">
        <v>96</v>
      </c>
      <c r="B413" s="2" t="s">
        <v>108</v>
      </c>
      <c r="C413" s="1" t="s">
        <v>35</v>
      </c>
      <c r="D413" s="1" t="s">
        <v>116</v>
      </c>
      <c r="E413" s="1" t="s">
        <v>338</v>
      </c>
    </row>
    <row r="414" spans="1:5" hidden="1" x14ac:dyDescent="0.25">
      <c r="A414" s="1">
        <v>96</v>
      </c>
      <c r="B414" s="2" t="s">
        <v>108</v>
      </c>
      <c r="C414" s="1" t="s">
        <v>27</v>
      </c>
      <c r="D414" s="1" t="s">
        <v>167</v>
      </c>
      <c r="E414" s="1" t="s">
        <v>383</v>
      </c>
    </row>
    <row r="415" spans="1:5" hidden="1" x14ac:dyDescent="0.25">
      <c r="A415" s="1">
        <v>96</v>
      </c>
      <c r="B415" s="2" t="s">
        <v>108</v>
      </c>
      <c r="C415" s="1" t="s">
        <v>35</v>
      </c>
      <c r="D415" s="1" t="s">
        <v>167</v>
      </c>
      <c r="E415" s="1" t="s">
        <v>384</v>
      </c>
    </row>
    <row r="416" spans="1:5" hidden="1" x14ac:dyDescent="0.25">
      <c r="A416" s="1">
        <v>97</v>
      </c>
      <c r="B416" s="2" t="s">
        <v>159</v>
      </c>
      <c r="C416" s="1" t="s">
        <v>35</v>
      </c>
      <c r="D416" s="1" t="s">
        <v>219</v>
      </c>
      <c r="E416" s="1" t="s">
        <v>517</v>
      </c>
    </row>
    <row r="417" spans="1:5" hidden="1" x14ac:dyDescent="0.25">
      <c r="A417" s="1">
        <v>97</v>
      </c>
      <c r="B417" s="2" t="s">
        <v>159</v>
      </c>
      <c r="C417" s="1" t="s">
        <v>32</v>
      </c>
      <c r="D417" s="1" t="s">
        <v>219</v>
      </c>
      <c r="E417" s="1" t="s">
        <v>501</v>
      </c>
    </row>
    <row r="418" spans="1:5" hidden="1" x14ac:dyDescent="0.25">
      <c r="A418" s="1">
        <v>97</v>
      </c>
      <c r="B418" s="2" t="s">
        <v>159</v>
      </c>
      <c r="C418" s="1" t="s">
        <v>35</v>
      </c>
      <c r="D418" s="1" t="s">
        <v>177</v>
      </c>
      <c r="E418" s="1" t="s">
        <v>450</v>
      </c>
    </row>
    <row r="419" spans="1:5" hidden="1" x14ac:dyDescent="0.25">
      <c r="A419" s="1">
        <v>97</v>
      </c>
      <c r="B419" s="2" t="s">
        <v>159</v>
      </c>
      <c r="C419" s="1" t="s">
        <v>32</v>
      </c>
      <c r="D419" s="1" t="s">
        <v>177</v>
      </c>
      <c r="E419" s="1" t="s">
        <v>451</v>
      </c>
    </row>
    <row r="420" spans="1:5" hidden="1" x14ac:dyDescent="0.25">
      <c r="A420" s="1">
        <v>97</v>
      </c>
      <c r="B420" s="2" t="s">
        <v>159</v>
      </c>
      <c r="C420" s="1" t="s">
        <v>35</v>
      </c>
      <c r="D420" s="1" t="s">
        <v>116</v>
      </c>
      <c r="E420" s="1" t="s">
        <v>339</v>
      </c>
    </row>
    <row r="421" spans="1:5" hidden="1" x14ac:dyDescent="0.25">
      <c r="A421" s="1">
        <v>97</v>
      </c>
      <c r="B421" s="2" t="s">
        <v>159</v>
      </c>
      <c r="C421" s="1" t="s">
        <v>32</v>
      </c>
      <c r="D421" s="1" t="s">
        <v>116</v>
      </c>
      <c r="E421" s="1" t="s">
        <v>340</v>
      </c>
    </row>
    <row r="422" spans="1:5" x14ac:dyDescent="0.25">
      <c r="A422" s="1">
        <v>97</v>
      </c>
      <c r="B422" s="2" t="s">
        <v>159</v>
      </c>
      <c r="C422" s="1" t="s">
        <v>35</v>
      </c>
      <c r="D422" s="1" t="s">
        <v>203</v>
      </c>
      <c r="E422" s="1" t="s">
        <v>385</v>
      </c>
    </row>
    <row r="423" spans="1:5" x14ac:dyDescent="0.25">
      <c r="A423" s="1">
        <v>97</v>
      </c>
      <c r="B423" s="2" t="s">
        <v>159</v>
      </c>
      <c r="C423" s="1" t="s">
        <v>32</v>
      </c>
      <c r="D423" s="1" t="s">
        <v>203</v>
      </c>
      <c r="E423" s="1" t="s">
        <v>501</v>
      </c>
    </row>
    <row r="424" spans="1:5" hidden="1" x14ac:dyDescent="0.25">
      <c r="A424" s="1">
        <v>97</v>
      </c>
      <c r="B424" s="2" t="s">
        <v>159</v>
      </c>
      <c r="C424" s="1" t="s">
        <v>35</v>
      </c>
      <c r="D424" s="1" t="s">
        <v>214</v>
      </c>
      <c r="E424" s="1" t="s">
        <v>536</v>
      </c>
    </row>
    <row r="425" spans="1:5" hidden="1" x14ac:dyDescent="0.25">
      <c r="A425" s="1">
        <v>97</v>
      </c>
      <c r="B425" s="2" t="s">
        <v>159</v>
      </c>
      <c r="C425" s="1" t="s">
        <v>32</v>
      </c>
      <c r="D425" s="1" t="s">
        <v>214</v>
      </c>
      <c r="E425" s="1" t="s">
        <v>501</v>
      </c>
    </row>
    <row r="426" spans="1:5" hidden="1" x14ac:dyDescent="0.25">
      <c r="A426" s="1">
        <v>98</v>
      </c>
      <c r="B426" s="2" t="s">
        <v>162</v>
      </c>
      <c r="C426" s="1" t="s">
        <v>35</v>
      </c>
      <c r="D426" s="1" t="s">
        <v>215</v>
      </c>
      <c r="E426" s="1" t="s">
        <v>569</v>
      </c>
    </row>
    <row r="427" spans="1:5" hidden="1" x14ac:dyDescent="0.25">
      <c r="A427" s="1">
        <v>98</v>
      </c>
      <c r="B427" s="2" t="s">
        <v>162</v>
      </c>
      <c r="C427" s="1" t="s">
        <v>45</v>
      </c>
      <c r="D427" s="1" t="s">
        <v>215</v>
      </c>
      <c r="E427" s="1" t="s">
        <v>570</v>
      </c>
    </row>
    <row r="428" spans="1:5" hidden="1" x14ac:dyDescent="0.25">
      <c r="A428" s="1">
        <v>98</v>
      </c>
      <c r="B428" s="2" t="s">
        <v>162</v>
      </c>
      <c r="C428" s="1" t="s">
        <v>35</v>
      </c>
      <c r="D428" s="1" t="s">
        <v>216</v>
      </c>
      <c r="E428" s="1" t="s">
        <v>593</v>
      </c>
    </row>
    <row r="429" spans="1:5" hidden="1" x14ac:dyDescent="0.25">
      <c r="A429" s="1">
        <v>98</v>
      </c>
      <c r="B429" s="2" t="s">
        <v>162</v>
      </c>
      <c r="C429" s="1" t="s">
        <v>45</v>
      </c>
      <c r="D429" s="1" t="s">
        <v>216</v>
      </c>
      <c r="E429" s="1" t="s">
        <v>594</v>
      </c>
    </row>
    <row r="430" spans="1:5" hidden="1" x14ac:dyDescent="0.25">
      <c r="A430" s="1">
        <v>98</v>
      </c>
      <c r="B430" s="2" t="s">
        <v>162</v>
      </c>
      <c r="C430" s="1" t="s">
        <v>35</v>
      </c>
      <c r="D430" s="1" t="s">
        <v>116</v>
      </c>
      <c r="E430" s="1" t="s">
        <v>341</v>
      </c>
    </row>
    <row r="431" spans="1:5" hidden="1" x14ac:dyDescent="0.25">
      <c r="A431" s="1">
        <v>98</v>
      </c>
      <c r="B431" s="2" t="s">
        <v>162</v>
      </c>
      <c r="C431" s="1" t="s">
        <v>45</v>
      </c>
      <c r="D431" s="1" t="s">
        <v>116</v>
      </c>
      <c r="E431" s="1" t="s">
        <v>342</v>
      </c>
    </row>
    <row r="432" spans="1:5" x14ac:dyDescent="0.25">
      <c r="A432" s="1">
        <v>98</v>
      </c>
      <c r="B432" s="2" t="s">
        <v>162</v>
      </c>
      <c r="C432" s="1" t="s">
        <v>35</v>
      </c>
      <c r="D432" s="1" t="s">
        <v>203</v>
      </c>
      <c r="E432" s="1" t="s">
        <v>502</v>
      </c>
    </row>
    <row r="433" spans="1:5" x14ac:dyDescent="0.25">
      <c r="A433" s="1">
        <v>98</v>
      </c>
      <c r="B433" s="2" t="s">
        <v>162</v>
      </c>
      <c r="C433" s="1" t="s">
        <v>45</v>
      </c>
      <c r="D433" s="1" t="s">
        <v>203</v>
      </c>
      <c r="E433" s="1" t="s">
        <v>503</v>
      </c>
    </row>
    <row r="434" spans="1:5" hidden="1" x14ac:dyDescent="0.25">
      <c r="A434" s="1">
        <v>98</v>
      </c>
      <c r="B434" s="2" t="s">
        <v>162</v>
      </c>
      <c r="C434" s="1" t="s">
        <v>35</v>
      </c>
      <c r="D434" s="1" t="s">
        <v>214</v>
      </c>
      <c r="E434" s="1" t="s">
        <v>537</v>
      </c>
    </row>
    <row r="435" spans="1:5" hidden="1" x14ac:dyDescent="0.25">
      <c r="A435" s="1">
        <v>98</v>
      </c>
      <c r="B435" s="2" t="s">
        <v>162</v>
      </c>
      <c r="C435" s="1" t="s">
        <v>45</v>
      </c>
      <c r="D435" s="1" t="s">
        <v>214</v>
      </c>
      <c r="E435" s="1" t="s">
        <v>538</v>
      </c>
    </row>
    <row r="436" spans="1:5" hidden="1" x14ac:dyDescent="0.25">
      <c r="A436" s="1">
        <v>98</v>
      </c>
      <c r="B436" s="2" t="s">
        <v>162</v>
      </c>
      <c r="C436" s="1" t="s">
        <v>35</v>
      </c>
      <c r="D436" s="1" t="s">
        <v>167</v>
      </c>
      <c r="E436" s="1" t="s">
        <v>385</v>
      </c>
    </row>
    <row r="437" spans="1:5" hidden="1" x14ac:dyDescent="0.25">
      <c r="A437" s="1">
        <v>98</v>
      </c>
      <c r="B437" s="2" t="s">
        <v>162</v>
      </c>
      <c r="C437" s="1" t="s">
        <v>45</v>
      </c>
      <c r="D437" s="1" t="s">
        <v>167</v>
      </c>
      <c r="E437" s="1" t="s">
        <v>386</v>
      </c>
    </row>
    <row r="438" spans="1:5" hidden="1" x14ac:dyDescent="0.25">
      <c r="A438" s="1">
        <v>100</v>
      </c>
      <c r="B438" s="2" t="s">
        <v>111</v>
      </c>
      <c r="C438" s="1" t="s">
        <v>27</v>
      </c>
      <c r="D438" s="1" t="s">
        <v>29</v>
      </c>
      <c r="E438" s="1" t="s">
        <v>275</v>
      </c>
    </row>
    <row r="439" spans="1:5" hidden="1" x14ac:dyDescent="0.25">
      <c r="A439" s="1">
        <v>100</v>
      </c>
      <c r="B439" s="2" t="s">
        <v>111</v>
      </c>
      <c r="C439" s="1" t="s">
        <v>35</v>
      </c>
      <c r="D439" s="1" t="s">
        <v>29</v>
      </c>
      <c r="E439" s="1" t="s">
        <v>276</v>
      </c>
    </row>
    <row r="440" spans="1:5" hidden="1" x14ac:dyDescent="0.25">
      <c r="A440" s="1">
        <v>100</v>
      </c>
      <c r="B440" s="2" t="s">
        <v>111</v>
      </c>
      <c r="C440" s="1" t="s">
        <v>27</v>
      </c>
      <c r="D440" s="1" t="s">
        <v>177</v>
      </c>
      <c r="E440" s="1" t="s">
        <v>452</v>
      </c>
    </row>
    <row r="441" spans="1:5" hidden="1" x14ac:dyDescent="0.25">
      <c r="A441" s="1">
        <v>100</v>
      </c>
      <c r="B441" s="2" t="s">
        <v>111</v>
      </c>
      <c r="C441" s="1" t="s">
        <v>35</v>
      </c>
      <c r="D441" s="1" t="s">
        <v>177</v>
      </c>
      <c r="E441" s="1" t="s">
        <v>453</v>
      </c>
    </row>
  </sheetData>
  <autoFilter ref="A1:E441" xr:uid="{7A973887-C180-406F-98EC-16C443684B7F}">
    <filterColumn colId="3">
      <filters>
        <filter val="pivot_shift_1"/>
      </filters>
    </filterColumn>
  </autoFilter>
  <sortState xmlns:xlrd2="http://schemas.microsoft.com/office/spreadsheetml/2017/richdata2" ref="A2:E441">
    <sortCondition ref="B2:B441"/>
    <sortCondition ref="D2:D4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</cp:lastModifiedBy>
  <dcterms:created xsi:type="dcterms:W3CDTF">2026-10-02T17:49:07Z</dcterms:created>
  <dcterms:modified xsi:type="dcterms:W3CDTF">2026-10-02T18:05:57Z</dcterms:modified>
</cp:coreProperties>
</file>