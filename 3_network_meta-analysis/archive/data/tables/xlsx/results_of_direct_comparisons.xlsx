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3_meta-analysis\data\tables\xlsx\"/>
    </mc:Choice>
  </mc:AlternateContent>
  <xr:revisionPtr revIDLastSave="0" documentId="13_ncr:1_{D1444B65-0155-4C88-B8E4-6EC95CD25546}" xr6:coauthVersionLast="47" xr6:coauthVersionMax="47" xr10:uidLastSave="{00000000-0000-0000-0000-000000000000}"/>
  <bookViews>
    <workbookView xWindow="0" yWindow="0" windowWidth="9600" windowHeight="10200" activeTab="1" xr2:uid="{00000000-000D-0000-FFFF-FFFF00000000}"/>
  </bookViews>
  <sheets>
    <sheet name="Sheet1" sheetId="1" r:id="rId1"/>
    <sheet name="Sheet3" sheetId="3" r:id="rId2"/>
    <sheet name="bptb vs. ht" sheetId="2" r:id="rId3"/>
  </sheets>
  <definedNames>
    <definedName name="_xlnm._FilterDatabase" localSheetId="1" hidden="1">Sheet3!$D$1:$E$661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9" i="3" l="1" a="1"/>
  <c r="D189" i="3" s="1"/>
  <c r="D185" i="3" a="1"/>
  <c r="D185" i="3" s="1"/>
  <c r="D184" i="3" a="1"/>
  <c r="D184" i="3" s="1"/>
  <c r="D183" i="3" a="1"/>
  <c r="D183" i="3" s="1"/>
  <c r="D182" i="3" a="1"/>
  <c r="D182" i="3" s="1"/>
  <c r="D181" i="3" a="1"/>
  <c r="D181" i="3" s="1"/>
  <c r="D180" i="3" a="1"/>
  <c r="D180" i="3" s="1"/>
  <c r="D188" i="3" a="1"/>
  <c r="D188" i="3" s="1"/>
  <c r="D187" i="3" a="1"/>
  <c r="D187" i="3" s="1"/>
  <c r="D179" i="3" a="1"/>
  <c r="D179" i="3" s="1"/>
  <c r="D178" i="3" a="1"/>
  <c r="D178" i="3" s="1"/>
  <c r="D186" i="3" a="1"/>
  <c r="D186" i="3" s="1"/>
  <c r="B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D662" i="1"/>
  <c r="C2" i="3" l="1" a="1"/>
  <c r="C2" i="3" l="1"/>
  <c r="D98" i="3" a="1"/>
  <c r="D98" i="3" s="1"/>
  <c r="D155" i="3" a="1"/>
  <c r="D155" i="3" s="1"/>
  <c r="D55" i="3" a="1"/>
  <c r="D55" i="3" s="1"/>
  <c r="D165" i="3" a="1"/>
  <c r="D165" i="3" s="1"/>
  <c r="D50" i="3" a="1"/>
  <c r="D50" i="3" s="1"/>
  <c r="D14" i="3" a="1"/>
  <c r="D14" i="3" s="1"/>
  <c r="D86" i="3" a="1"/>
  <c r="D86" i="3" s="1"/>
  <c r="D44" i="3" a="1"/>
  <c r="D44" i="3" s="1"/>
  <c r="D82" i="3" a="1"/>
  <c r="D82" i="3" s="1"/>
  <c r="D39" i="3" a="1"/>
  <c r="D39" i="3" s="1"/>
  <c r="D128" i="3" a="1"/>
  <c r="D128" i="3" s="1"/>
  <c r="D76" i="3" a="1"/>
  <c r="D76" i="3" s="1"/>
  <c r="D32" i="3" a="1"/>
  <c r="D32" i="3" s="1"/>
  <c r="D120" i="3" a="1"/>
  <c r="D120" i="3" s="1"/>
  <c r="D69" i="3" a="1"/>
  <c r="D69" i="3" s="1"/>
  <c r="D115" i="3" a="1"/>
  <c r="D115" i="3" s="1"/>
  <c r="D112" i="3" a="1"/>
  <c r="D112" i="3" s="1"/>
  <c r="D99" i="3" a="1"/>
  <c r="D99" i="3" s="1"/>
  <c r="D20" i="3" a="1"/>
  <c r="D20" i="3" s="1"/>
  <c r="D105" i="3" a="1"/>
  <c r="D105" i="3" s="1"/>
  <c r="D145" i="3" a="1"/>
  <c r="D145" i="3" s="1"/>
  <c r="D133" i="3" a="1"/>
  <c r="D133" i="3" s="1"/>
  <c r="D123" i="3" a="1"/>
  <c r="D123" i="3" s="1"/>
  <c r="D23" i="3" a="1"/>
  <c r="D23" i="3" s="1"/>
  <c r="D157" i="3" a="1"/>
  <c r="D157" i="3" s="1"/>
  <c r="D97" i="3" a="1"/>
  <c r="D97" i="3" s="1"/>
  <c r="D167" i="3" a="1"/>
  <c r="D167" i="3" s="1"/>
  <c r="D150" i="3" a="1"/>
  <c r="D150" i="3" s="1"/>
  <c r="D90" i="3" a="1"/>
  <c r="D90" i="3" s="1"/>
  <c r="D142" i="3" a="1"/>
  <c r="D142" i="3" s="1"/>
  <c r="D139" i="3" a="1"/>
  <c r="D139" i="3" s="1"/>
  <c r="D85" i="3" a="1"/>
  <c r="D85" i="3" s="1"/>
  <c r="D135" i="3" a="1"/>
  <c r="D135" i="3" s="1"/>
  <c r="D132" i="3" a="1"/>
  <c r="D132" i="3" s="1"/>
  <c r="D80" i="3" a="1"/>
  <c r="D80" i="3" s="1"/>
  <c r="D36" i="3" a="1"/>
  <c r="D36" i="3" s="1"/>
  <c r="D125" i="3" a="1"/>
  <c r="D125" i="3" s="1"/>
  <c r="D74" i="3" a="1"/>
  <c r="D74" i="3" s="1"/>
  <c r="D29" i="3" a="1"/>
  <c r="D29" i="3" s="1"/>
  <c r="D117" i="3" a="1"/>
  <c r="D117" i="3" s="1"/>
  <c r="D160" i="3" a="1"/>
  <c r="D160" i="3" s="1"/>
  <c r="D24" i="3" a="1"/>
  <c r="D24" i="3" s="1"/>
  <c r="D176" i="3" a="1"/>
  <c r="D176" i="3" s="1"/>
  <c r="D63" i="3" a="1"/>
  <c r="D63" i="3" s="1"/>
  <c r="D17" i="3" a="1"/>
  <c r="D17" i="3" s="1"/>
  <c r="D46" i="3" a="1"/>
  <c r="D46" i="3" s="1"/>
  <c r="D61" i="3" a="1"/>
  <c r="D61" i="3" s="1"/>
  <c r="D58" i="3" a="1"/>
  <c r="D58" i="3" s="1"/>
  <c r="D154" i="3" a="1"/>
  <c r="D154" i="3" s="1"/>
  <c r="D94" i="3" a="1"/>
  <c r="D94" i="3" s="1"/>
  <c r="D147" i="3" a="1"/>
  <c r="D147" i="3" s="1"/>
  <c r="D144" i="3" a="1"/>
  <c r="D144" i="3" s="1"/>
  <c r="D88" i="3" a="1"/>
  <c r="D88" i="3" s="1"/>
  <c r="D45" i="3" a="1"/>
  <c r="D45" i="3" s="1"/>
  <c r="D137" i="3" a="1"/>
  <c r="D137" i="3" s="1"/>
  <c r="D83" i="3" a="1"/>
  <c r="D83" i="3" s="1"/>
  <c r="D40" i="3" a="1"/>
  <c r="D40" i="3" s="1"/>
  <c r="D129" i="3" a="1"/>
  <c r="D129" i="3" s="1"/>
  <c r="D78" i="3" a="1"/>
  <c r="D78" i="3" s="1"/>
  <c r="D33" i="3" a="1"/>
  <c r="D33" i="3" s="1"/>
  <c r="D122" i="3" a="1"/>
  <c r="D122" i="3" s="1"/>
  <c r="D71" i="3" a="1"/>
  <c r="D71" i="3" s="1"/>
  <c r="D26" i="3" a="1"/>
  <c r="D26" i="3" s="1"/>
  <c r="D174" i="3" a="1"/>
  <c r="D174" i="3" s="1"/>
  <c r="D159" i="3" a="1"/>
  <c r="D159" i="3" s="1"/>
  <c r="D22" i="3" a="1"/>
  <c r="D22" i="3" s="1"/>
  <c r="D107" i="3" a="1"/>
  <c r="D107" i="3" s="1"/>
  <c r="D60" i="3" a="1"/>
  <c r="D60" i="3" s="1"/>
  <c r="D158" i="3" a="1"/>
  <c r="D158" i="3" s="1"/>
  <c r="D164" i="3" a="1"/>
  <c r="D164" i="3" s="1"/>
  <c r="D79" i="3" a="1"/>
  <c r="D79" i="3" s="1"/>
  <c r="D72" i="3" a="1"/>
  <c r="D72" i="3" s="1"/>
  <c r="D108" i="3" a="1"/>
  <c r="D108" i="3" s="1"/>
  <c r="D172" i="3" a="1"/>
  <c r="D172" i="3" s="1"/>
  <c r="D57" i="3" a="1"/>
  <c r="D57" i="3" s="1"/>
  <c r="D152" i="3" a="1"/>
  <c r="D152" i="3" s="1"/>
  <c r="D149" i="3" a="1"/>
  <c r="D149" i="3" s="1"/>
  <c r="D92" i="3" a="1"/>
  <c r="D92" i="3" s="1"/>
  <c r="D49" i="3" a="1"/>
  <c r="D49" i="3" s="1"/>
  <c r="D141" i="3" a="1"/>
  <c r="D141" i="3" s="1"/>
  <c r="D161" i="3" a="1"/>
  <c r="D161" i="3" s="1"/>
  <c r="D43" i="3" a="1"/>
  <c r="D43" i="3" s="1"/>
  <c r="D134" i="3" a="1"/>
  <c r="D134" i="3" s="1"/>
  <c r="D170" i="3" a="1"/>
  <c r="D170" i="3" s="1"/>
  <c r="D38" i="3" a="1"/>
  <c r="D38" i="3" s="1"/>
  <c r="D127" i="3" a="1"/>
  <c r="D127" i="3" s="1"/>
  <c r="D163" i="3" a="1"/>
  <c r="D163" i="3" s="1"/>
  <c r="D31" i="3" a="1"/>
  <c r="D31" i="3" s="1"/>
  <c r="D119" i="3" a="1"/>
  <c r="D119" i="3" s="1"/>
  <c r="D68" i="3" a="1"/>
  <c r="D68" i="3" s="1"/>
  <c r="D114" i="3" a="1"/>
  <c r="D114" i="3" s="1"/>
  <c r="D173" i="3" a="1"/>
  <c r="D173" i="3" s="1"/>
  <c r="D65" i="3" a="1"/>
  <c r="D65" i="3" s="1"/>
  <c r="D19" i="3" a="1"/>
  <c r="D19" i="3" s="1"/>
  <c r="D104" i="3" a="1"/>
  <c r="D104" i="3" s="1"/>
  <c r="D52" i="3" a="1"/>
  <c r="D52" i="3" s="1"/>
  <c r="D130" i="3" a="1"/>
  <c r="D130" i="3" s="1"/>
  <c r="D27" i="3" a="1"/>
  <c r="D27" i="3" s="1"/>
  <c r="D15" i="3" a="1"/>
  <c r="D15" i="3" s="1"/>
  <c r="D96" i="3" a="1"/>
  <c r="D96" i="3" s="1"/>
  <c r="D95" i="3" a="1"/>
  <c r="D95" i="3" s="1"/>
  <c r="D53" i="3" a="1"/>
  <c r="D53" i="3" s="1"/>
  <c r="D146" i="3" a="1"/>
  <c r="D146" i="3" s="1"/>
  <c r="D89" i="3" a="1"/>
  <c r="D89" i="3" s="1"/>
  <c r="D47" i="3" a="1"/>
  <c r="D47" i="3" s="1"/>
  <c r="D175" i="3" a="1"/>
  <c r="D175" i="3" s="1"/>
  <c r="D84" i="3" a="1"/>
  <c r="D84" i="3" s="1"/>
  <c r="D41" i="3" a="1"/>
  <c r="D41" i="3" s="1"/>
  <c r="D100" i="3" a="1"/>
  <c r="D100" i="3" s="1"/>
  <c r="D35" i="3" a="1"/>
  <c r="D35" i="3" s="1"/>
  <c r="D73" i="3" a="1"/>
  <c r="D73" i="3" s="1"/>
  <c r="D28" i="3" a="1"/>
  <c r="D28" i="3" s="1"/>
  <c r="D116" i="3" a="1"/>
  <c r="D116" i="3" s="1"/>
  <c r="D169" i="3" a="1"/>
  <c r="D169" i="3" s="1"/>
  <c r="D111" i="3" a="1"/>
  <c r="D111" i="3" s="1"/>
  <c r="D109" i="3" a="1"/>
  <c r="D109" i="3" s="1"/>
  <c r="D62" i="3" a="1"/>
  <c r="D62" i="3" s="1"/>
  <c r="D16" i="3" a="1"/>
  <c r="D16" i="3" s="1"/>
  <c r="D166" i="3" a="1"/>
  <c r="D166" i="3" s="1"/>
  <c r="D177" i="3" a="1"/>
  <c r="D177" i="3" s="1"/>
  <c r="D156" i="3" a="1"/>
  <c r="D156" i="3" s="1"/>
  <c r="D153" i="3" a="1"/>
  <c r="D153" i="3" s="1"/>
  <c r="D151" i="3" a="1"/>
  <c r="D151" i="3" s="1"/>
  <c r="D93" i="3" a="1"/>
  <c r="D93" i="3" s="1"/>
  <c r="D51" i="3" a="1"/>
  <c r="D51" i="3" s="1"/>
  <c r="D143" i="3" a="1"/>
  <c r="D143" i="3" s="1"/>
  <c r="D87" i="3" a="1"/>
  <c r="D87" i="3" s="1"/>
  <c r="D138" i="3" a="1"/>
  <c r="D138" i="3" s="1"/>
  <c r="D136" i="3" a="1"/>
  <c r="D136" i="3" s="1"/>
  <c r="D171" i="3" a="1"/>
  <c r="D171" i="3" s="1"/>
  <c r="D131" i="3" a="1"/>
  <c r="D131" i="3" s="1"/>
  <c r="D77" i="3" a="1"/>
  <c r="D77" i="3" s="1"/>
  <c r="D124" i="3" a="1"/>
  <c r="D124" i="3" s="1"/>
  <c r="D121" i="3" a="1"/>
  <c r="D121" i="3" s="1"/>
  <c r="D70" i="3" a="1"/>
  <c r="D70" i="3" s="1"/>
  <c r="D25" i="3" a="1"/>
  <c r="D25" i="3" s="1"/>
  <c r="D66" i="3" a="1"/>
  <c r="D66" i="3" s="1"/>
  <c r="D21" i="3" a="1"/>
  <c r="D21" i="3" s="1"/>
  <c r="D106" i="3" a="1"/>
  <c r="D106" i="3" s="1"/>
  <c r="D59" i="3" a="1"/>
  <c r="D59" i="3" s="1"/>
  <c r="D102" i="3" a="1"/>
  <c r="D102" i="3" s="1"/>
  <c r="D34" i="3" a="1"/>
  <c r="D34" i="3" s="1"/>
  <c r="D67" i="3" a="1"/>
  <c r="D67" i="3" s="1"/>
  <c r="D168" i="3" a="1"/>
  <c r="D168" i="3" s="1"/>
  <c r="D56" i="3" a="1"/>
  <c r="D56" i="3" s="1"/>
  <c r="D54" i="3" a="1"/>
  <c r="D54" i="3" s="1"/>
  <c r="D148" i="3" a="1"/>
  <c r="D148" i="3" s="1"/>
  <c r="D91" i="3" a="1"/>
  <c r="D91" i="3" s="1"/>
  <c r="D48" i="3" a="1"/>
  <c r="D48" i="3" s="1"/>
  <c r="D140" i="3" a="1"/>
  <c r="D140" i="3" s="1"/>
  <c r="D101" i="3" a="1"/>
  <c r="D101" i="3" s="1"/>
  <c r="D42" i="3" a="1"/>
  <c r="D42" i="3" s="1"/>
  <c r="D81" i="3" a="1"/>
  <c r="D81" i="3" s="1"/>
  <c r="D37" i="3" a="1"/>
  <c r="D37" i="3" s="1"/>
  <c r="D126" i="3" a="1"/>
  <c r="D126" i="3" s="1"/>
  <c r="D75" i="3" a="1"/>
  <c r="D75" i="3" s="1"/>
  <c r="D30" i="3" a="1"/>
  <c r="D30" i="3" s="1"/>
  <c r="D118" i="3" a="1"/>
  <c r="D118" i="3" s="1"/>
  <c r="D162" i="3" a="1"/>
  <c r="D162" i="3" s="1"/>
  <c r="D113" i="3" a="1"/>
  <c r="D113" i="3" s="1"/>
  <c r="D110" i="3" a="1"/>
  <c r="D110" i="3" s="1"/>
  <c r="D64" i="3" a="1"/>
  <c r="D64" i="3" s="1"/>
  <c r="D18" i="3" a="1"/>
  <c r="D18" i="3" s="1"/>
  <c r="D103" i="3" a="1"/>
  <c r="D103" i="3" s="1"/>
  <c r="N661" i="1" l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L631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I661" i="1"/>
  <c r="K661" i="1" s="1"/>
  <c r="I660" i="1"/>
  <c r="K660" i="1" s="1"/>
  <c r="I659" i="1"/>
  <c r="K659" i="1" s="1"/>
  <c r="I658" i="1"/>
  <c r="K658" i="1" s="1"/>
  <c r="J657" i="1"/>
  <c r="I657" i="1"/>
  <c r="K657" i="1" s="1"/>
  <c r="I656" i="1"/>
  <c r="K656" i="1" s="1"/>
  <c r="I655" i="1"/>
  <c r="K655" i="1" s="1"/>
  <c r="I654" i="1"/>
  <c r="K653" i="1"/>
  <c r="I653" i="1"/>
  <c r="J653" i="1" s="1"/>
  <c r="I652" i="1"/>
  <c r="K652" i="1" s="1"/>
  <c r="I651" i="1"/>
  <c r="K651" i="1" s="1"/>
  <c r="I650" i="1"/>
  <c r="J650" i="1" s="1"/>
  <c r="I649" i="1"/>
  <c r="K649" i="1" s="1"/>
  <c r="I648" i="1"/>
  <c r="K648" i="1" s="1"/>
  <c r="I647" i="1"/>
  <c r="J647" i="1" s="1"/>
  <c r="I646" i="1"/>
  <c r="I645" i="1"/>
  <c r="J645" i="1" s="1"/>
  <c r="I644" i="1"/>
  <c r="K644" i="1" s="1"/>
  <c r="J643" i="1"/>
  <c r="I643" i="1"/>
  <c r="K643" i="1" s="1"/>
  <c r="K642" i="1"/>
  <c r="J642" i="1"/>
  <c r="I642" i="1"/>
  <c r="I641" i="1"/>
  <c r="K641" i="1" s="1"/>
  <c r="I640" i="1"/>
  <c r="K640" i="1" s="1"/>
  <c r="K639" i="1"/>
  <c r="J639" i="1"/>
  <c r="I639" i="1"/>
  <c r="I638" i="1"/>
  <c r="I637" i="1"/>
  <c r="J637" i="1" s="1"/>
  <c r="I636" i="1"/>
  <c r="K636" i="1" s="1"/>
  <c r="I635" i="1"/>
  <c r="K635" i="1" s="1"/>
  <c r="K634" i="1"/>
  <c r="I634" i="1"/>
  <c r="J634" i="1" s="1"/>
  <c r="I633" i="1"/>
  <c r="K633" i="1" s="1"/>
  <c r="I632" i="1"/>
  <c r="K632" i="1" s="1"/>
  <c r="I631" i="1"/>
  <c r="J631" i="1" s="1"/>
  <c r="M631" i="1" s="1"/>
  <c r="I630" i="1"/>
  <c r="L630" i="1" s="1"/>
  <c r="I629" i="1"/>
  <c r="K629" i="1" s="1"/>
  <c r="I628" i="1"/>
  <c r="K628" i="1" s="1"/>
  <c r="I627" i="1"/>
  <c r="K627" i="1" s="1"/>
  <c r="K626" i="1"/>
  <c r="I626" i="1"/>
  <c r="J626" i="1" s="1"/>
  <c r="I625" i="1"/>
  <c r="K625" i="1" s="1"/>
  <c r="I624" i="1"/>
  <c r="K624" i="1" s="1"/>
  <c r="K623" i="1"/>
  <c r="I623" i="1"/>
  <c r="J623" i="1" s="1"/>
  <c r="I622" i="1"/>
  <c r="I621" i="1"/>
  <c r="J621" i="1" s="1"/>
  <c r="I620" i="1"/>
  <c r="K620" i="1" s="1"/>
  <c r="I619" i="1"/>
  <c r="K619" i="1" s="1"/>
  <c r="J618" i="1"/>
  <c r="I618" i="1"/>
  <c r="K618" i="1" s="1"/>
  <c r="I617" i="1"/>
  <c r="K617" i="1" s="1"/>
  <c r="I616" i="1"/>
  <c r="J616" i="1" s="1"/>
  <c r="J615" i="1"/>
  <c r="I615" i="1"/>
  <c r="K615" i="1" s="1"/>
  <c r="I614" i="1"/>
  <c r="I613" i="1"/>
  <c r="J613" i="1" s="1"/>
  <c r="I612" i="1"/>
  <c r="K612" i="1" s="1"/>
  <c r="J611" i="1"/>
  <c r="I611" i="1"/>
  <c r="K611" i="1" s="1"/>
  <c r="K610" i="1"/>
  <c r="I610" i="1"/>
  <c r="J610" i="1" s="1"/>
  <c r="I609" i="1"/>
  <c r="K609" i="1" s="1"/>
  <c r="K608" i="1"/>
  <c r="J608" i="1"/>
  <c r="I608" i="1"/>
  <c r="K607" i="1"/>
  <c r="I607" i="1"/>
  <c r="J607" i="1" s="1"/>
  <c r="I606" i="1"/>
  <c r="I605" i="1"/>
  <c r="J605" i="1" s="1"/>
  <c r="I604" i="1"/>
  <c r="K604" i="1" s="1"/>
  <c r="I603" i="1"/>
  <c r="K603" i="1" s="1"/>
  <c r="I602" i="1"/>
  <c r="K602" i="1" s="1"/>
  <c r="I601" i="1"/>
  <c r="K601" i="1" s="1"/>
  <c r="K600" i="1"/>
  <c r="I600" i="1"/>
  <c r="J600" i="1" s="1"/>
  <c r="I599" i="1"/>
  <c r="K599" i="1" s="1"/>
  <c r="I598" i="1"/>
  <c r="I597" i="1"/>
  <c r="J597" i="1" s="1"/>
  <c r="I596" i="1"/>
  <c r="K596" i="1" s="1"/>
  <c r="J595" i="1"/>
  <c r="I595" i="1"/>
  <c r="K595" i="1" s="1"/>
  <c r="I594" i="1"/>
  <c r="K594" i="1" s="1"/>
  <c r="I593" i="1"/>
  <c r="K593" i="1" s="1"/>
  <c r="J592" i="1"/>
  <c r="I592" i="1"/>
  <c r="K592" i="1" s="1"/>
  <c r="I591" i="1"/>
  <c r="K591" i="1" s="1"/>
  <c r="I590" i="1"/>
  <c r="K589" i="1"/>
  <c r="I589" i="1"/>
  <c r="J589" i="1" s="1"/>
  <c r="I588" i="1"/>
  <c r="K588" i="1" s="1"/>
  <c r="I587" i="1"/>
  <c r="K587" i="1" s="1"/>
  <c r="I586" i="1"/>
  <c r="K586" i="1" s="1"/>
  <c r="J585" i="1"/>
  <c r="I585" i="1"/>
  <c r="K585" i="1" s="1"/>
  <c r="K584" i="1"/>
  <c r="I584" i="1"/>
  <c r="J584" i="1" s="1"/>
  <c r="I583" i="1"/>
  <c r="K583" i="1" s="1"/>
  <c r="I582" i="1"/>
  <c r="I581" i="1"/>
  <c r="J581" i="1" s="1"/>
  <c r="I580" i="1"/>
  <c r="K580" i="1" s="1"/>
  <c r="I579" i="1"/>
  <c r="K579" i="1" s="1"/>
  <c r="I578" i="1"/>
  <c r="J578" i="1" s="1"/>
  <c r="I577" i="1"/>
  <c r="K577" i="1" s="1"/>
  <c r="I576" i="1"/>
  <c r="K576" i="1" s="1"/>
  <c r="I575" i="1"/>
  <c r="K575" i="1" s="1"/>
  <c r="I574" i="1"/>
  <c r="K573" i="1"/>
  <c r="I573" i="1"/>
  <c r="J573" i="1" s="1"/>
  <c r="I572" i="1"/>
  <c r="K572" i="1" s="1"/>
  <c r="I571" i="1"/>
  <c r="K571" i="1" s="1"/>
  <c r="K570" i="1"/>
  <c r="J570" i="1"/>
  <c r="I570" i="1"/>
  <c r="J569" i="1"/>
  <c r="I569" i="1"/>
  <c r="K569" i="1" s="1"/>
  <c r="I568" i="1"/>
  <c r="K568" i="1" s="1"/>
  <c r="K567" i="1"/>
  <c r="J567" i="1"/>
  <c r="I567" i="1"/>
  <c r="I566" i="1"/>
  <c r="K565" i="1"/>
  <c r="I565" i="1"/>
  <c r="J565" i="1" s="1"/>
  <c r="I564" i="1"/>
  <c r="K564" i="1" s="1"/>
  <c r="I563" i="1"/>
  <c r="K563" i="1" s="1"/>
  <c r="K562" i="1"/>
  <c r="I562" i="1"/>
  <c r="J562" i="1" s="1"/>
  <c r="I561" i="1"/>
  <c r="K561" i="1" s="1"/>
  <c r="I560" i="1"/>
  <c r="K560" i="1" s="1"/>
  <c r="K559" i="1"/>
  <c r="I559" i="1"/>
  <c r="J559" i="1" s="1"/>
  <c r="I558" i="1"/>
  <c r="I557" i="1"/>
  <c r="J557" i="1" s="1"/>
  <c r="I556" i="1"/>
  <c r="K556" i="1" s="1"/>
  <c r="I555" i="1"/>
  <c r="K555" i="1" s="1"/>
  <c r="J554" i="1"/>
  <c r="I554" i="1"/>
  <c r="K554" i="1" s="1"/>
  <c r="I553" i="1"/>
  <c r="K553" i="1" s="1"/>
  <c r="I552" i="1"/>
  <c r="J552" i="1" s="1"/>
  <c r="J551" i="1"/>
  <c r="I551" i="1"/>
  <c r="K551" i="1" s="1"/>
  <c r="I550" i="1"/>
  <c r="I549" i="1"/>
  <c r="J549" i="1" s="1"/>
  <c r="I548" i="1"/>
  <c r="K548" i="1" s="1"/>
  <c r="J547" i="1"/>
  <c r="I547" i="1"/>
  <c r="K547" i="1" s="1"/>
  <c r="K546" i="1"/>
  <c r="I546" i="1"/>
  <c r="J546" i="1" s="1"/>
  <c r="I545" i="1"/>
  <c r="K545" i="1" s="1"/>
  <c r="K544" i="1"/>
  <c r="J544" i="1"/>
  <c r="I544" i="1"/>
  <c r="K543" i="1"/>
  <c r="J543" i="1"/>
  <c r="I543" i="1"/>
  <c r="I542" i="1"/>
  <c r="I541" i="1"/>
  <c r="J541" i="1" s="1"/>
  <c r="I540" i="1"/>
  <c r="K540" i="1" s="1"/>
  <c r="I539" i="1"/>
  <c r="K539" i="1" s="1"/>
  <c r="I538" i="1"/>
  <c r="K538" i="1" s="1"/>
  <c r="I537" i="1"/>
  <c r="K537" i="1" s="1"/>
  <c r="K536" i="1"/>
  <c r="I536" i="1"/>
  <c r="J536" i="1" s="1"/>
  <c r="I535" i="1"/>
  <c r="K535" i="1" s="1"/>
  <c r="I534" i="1"/>
  <c r="I533" i="1"/>
  <c r="J533" i="1" s="1"/>
  <c r="I532" i="1"/>
  <c r="K532" i="1" s="1"/>
  <c r="J531" i="1"/>
  <c r="I531" i="1"/>
  <c r="K531" i="1" s="1"/>
  <c r="J530" i="1"/>
  <c r="I530" i="1"/>
  <c r="K530" i="1" s="1"/>
  <c r="I529" i="1"/>
  <c r="K529" i="1" s="1"/>
  <c r="J528" i="1"/>
  <c r="I528" i="1"/>
  <c r="K528" i="1" s="1"/>
  <c r="I527" i="1"/>
  <c r="K527" i="1" s="1"/>
  <c r="I526" i="1"/>
  <c r="K525" i="1"/>
  <c r="I525" i="1"/>
  <c r="J525" i="1" s="1"/>
  <c r="I524" i="1"/>
  <c r="K524" i="1" s="1"/>
  <c r="I523" i="1"/>
  <c r="K523" i="1" s="1"/>
  <c r="I522" i="1"/>
  <c r="K522" i="1" s="1"/>
  <c r="J521" i="1"/>
  <c r="I521" i="1"/>
  <c r="K521" i="1" s="1"/>
  <c r="I520" i="1"/>
  <c r="K520" i="1" s="1"/>
  <c r="I519" i="1"/>
  <c r="K519" i="1" s="1"/>
  <c r="I518" i="1"/>
  <c r="K517" i="1"/>
  <c r="I517" i="1"/>
  <c r="J517" i="1" s="1"/>
  <c r="I516" i="1"/>
  <c r="K516" i="1" s="1"/>
  <c r="I515" i="1"/>
  <c r="K515" i="1" s="1"/>
  <c r="I514" i="1"/>
  <c r="J514" i="1" s="1"/>
  <c r="I513" i="1"/>
  <c r="K513" i="1" s="1"/>
  <c r="I512" i="1"/>
  <c r="K512" i="1" s="1"/>
  <c r="I511" i="1"/>
  <c r="J511" i="1" s="1"/>
  <c r="I510" i="1"/>
  <c r="I509" i="1"/>
  <c r="J509" i="1" s="1"/>
  <c r="I508" i="1"/>
  <c r="K508" i="1" s="1"/>
  <c r="I507" i="1"/>
  <c r="K507" i="1" s="1"/>
  <c r="K506" i="1"/>
  <c r="J506" i="1"/>
  <c r="I506" i="1"/>
  <c r="I505" i="1"/>
  <c r="K505" i="1" s="1"/>
  <c r="I504" i="1"/>
  <c r="K504" i="1" s="1"/>
  <c r="K503" i="1"/>
  <c r="J503" i="1"/>
  <c r="I503" i="1"/>
  <c r="I502" i="1"/>
  <c r="I501" i="1"/>
  <c r="J501" i="1" s="1"/>
  <c r="I500" i="1"/>
  <c r="K500" i="1" s="1"/>
  <c r="I499" i="1"/>
  <c r="K499" i="1" s="1"/>
  <c r="K498" i="1"/>
  <c r="J498" i="1"/>
  <c r="I498" i="1"/>
  <c r="I497" i="1"/>
  <c r="K497" i="1" s="1"/>
  <c r="I496" i="1"/>
  <c r="K496" i="1" s="1"/>
  <c r="K495" i="1"/>
  <c r="I495" i="1"/>
  <c r="J495" i="1" s="1"/>
  <c r="I494" i="1"/>
  <c r="I493" i="1"/>
  <c r="J493" i="1" s="1"/>
  <c r="I492" i="1"/>
  <c r="K492" i="1" s="1"/>
  <c r="I491" i="1"/>
  <c r="K491" i="1" s="1"/>
  <c r="I490" i="1"/>
  <c r="K490" i="1" s="1"/>
  <c r="I489" i="1"/>
  <c r="K489" i="1" s="1"/>
  <c r="I488" i="1"/>
  <c r="K488" i="1" s="1"/>
  <c r="I487" i="1"/>
  <c r="K487" i="1" s="1"/>
  <c r="I486" i="1"/>
  <c r="K485" i="1"/>
  <c r="I485" i="1"/>
  <c r="J485" i="1" s="1"/>
  <c r="I484" i="1"/>
  <c r="K484" i="1" s="1"/>
  <c r="J483" i="1"/>
  <c r="I483" i="1"/>
  <c r="K483" i="1" s="1"/>
  <c r="I482" i="1"/>
  <c r="K482" i="1" s="1"/>
  <c r="I481" i="1"/>
  <c r="K481" i="1" s="1"/>
  <c r="K480" i="1"/>
  <c r="J480" i="1"/>
  <c r="I480" i="1"/>
  <c r="I479" i="1"/>
  <c r="K479" i="1" s="1"/>
  <c r="I478" i="1"/>
  <c r="I477" i="1"/>
  <c r="J477" i="1" s="1"/>
  <c r="I476" i="1"/>
  <c r="K476" i="1" s="1"/>
  <c r="J475" i="1"/>
  <c r="I475" i="1"/>
  <c r="K475" i="1" s="1"/>
  <c r="I474" i="1"/>
  <c r="K474" i="1" s="1"/>
  <c r="I473" i="1"/>
  <c r="K473" i="1" s="1"/>
  <c r="K472" i="1"/>
  <c r="I472" i="1"/>
  <c r="J472" i="1" s="1"/>
  <c r="I471" i="1"/>
  <c r="K471" i="1" s="1"/>
  <c r="I470" i="1"/>
  <c r="I469" i="1"/>
  <c r="J469" i="1" s="1"/>
  <c r="I468" i="1"/>
  <c r="K468" i="1" s="1"/>
  <c r="I467" i="1"/>
  <c r="K467" i="1" s="1"/>
  <c r="I466" i="1"/>
  <c r="K466" i="1" s="1"/>
  <c r="I465" i="1"/>
  <c r="K465" i="1" s="1"/>
  <c r="I464" i="1"/>
  <c r="K464" i="1" s="1"/>
  <c r="I463" i="1"/>
  <c r="K463" i="1" s="1"/>
  <c r="I462" i="1"/>
  <c r="K461" i="1"/>
  <c r="I461" i="1"/>
  <c r="J461" i="1" s="1"/>
  <c r="I460" i="1"/>
  <c r="K460" i="1" s="1"/>
  <c r="J459" i="1"/>
  <c r="I459" i="1"/>
  <c r="K459" i="1" s="1"/>
  <c r="I458" i="1"/>
  <c r="K458" i="1" s="1"/>
  <c r="J457" i="1"/>
  <c r="I457" i="1"/>
  <c r="K457" i="1" s="1"/>
  <c r="I456" i="1"/>
  <c r="K456" i="1" s="1"/>
  <c r="I455" i="1"/>
  <c r="K455" i="1" s="1"/>
  <c r="I454" i="1"/>
  <c r="K453" i="1"/>
  <c r="I453" i="1"/>
  <c r="J453" i="1" s="1"/>
  <c r="I452" i="1"/>
  <c r="K452" i="1" s="1"/>
  <c r="J451" i="1"/>
  <c r="I451" i="1"/>
  <c r="K451" i="1" s="1"/>
  <c r="I450" i="1"/>
  <c r="J450" i="1" s="1"/>
  <c r="J449" i="1"/>
  <c r="I449" i="1"/>
  <c r="K449" i="1" s="1"/>
  <c r="K448" i="1"/>
  <c r="J448" i="1"/>
  <c r="I448" i="1"/>
  <c r="I447" i="1"/>
  <c r="J447" i="1" s="1"/>
  <c r="I446" i="1"/>
  <c r="I445" i="1"/>
  <c r="J445" i="1" s="1"/>
  <c r="I444" i="1"/>
  <c r="K444" i="1" s="1"/>
  <c r="I443" i="1"/>
  <c r="K443" i="1" s="1"/>
  <c r="K442" i="1"/>
  <c r="J442" i="1"/>
  <c r="I442" i="1"/>
  <c r="I441" i="1"/>
  <c r="K441" i="1" s="1"/>
  <c r="I440" i="1"/>
  <c r="K440" i="1" s="1"/>
  <c r="K439" i="1"/>
  <c r="J439" i="1"/>
  <c r="I439" i="1"/>
  <c r="I438" i="1"/>
  <c r="K437" i="1"/>
  <c r="I437" i="1"/>
  <c r="J437" i="1" s="1"/>
  <c r="I436" i="1"/>
  <c r="K436" i="1" s="1"/>
  <c r="I435" i="1"/>
  <c r="K435" i="1" s="1"/>
  <c r="K434" i="1"/>
  <c r="I434" i="1"/>
  <c r="J434" i="1" s="1"/>
  <c r="J433" i="1"/>
  <c r="I433" i="1"/>
  <c r="K433" i="1" s="1"/>
  <c r="I432" i="1"/>
  <c r="K432" i="1" s="1"/>
  <c r="K431" i="1"/>
  <c r="I431" i="1"/>
  <c r="J431" i="1" s="1"/>
  <c r="I430" i="1"/>
  <c r="I429" i="1"/>
  <c r="J429" i="1" s="1"/>
  <c r="I428" i="1"/>
  <c r="K428" i="1" s="1"/>
  <c r="I427" i="1"/>
  <c r="K427" i="1" s="1"/>
  <c r="I426" i="1"/>
  <c r="K426" i="1" s="1"/>
  <c r="I425" i="1"/>
  <c r="K425" i="1" s="1"/>
  <c r="I424" i="1"/>
  <c r="J424" i="1" s="1"/>
  <c r="I423" i="1"/>
  <c r="K423" i="1" s="1"/>
  <c r="I422" i="1"/>
  <c r="K421" i="1"/>
  <c r="I421" i="1"/>
  <c r="J421" i="1" s="1"/>
  <c r="I420" i="1"/>
  <c r="K420" i="1" s="1"/>
  <c r="J419" i="1"/>
  <c r="I419" i="1"/>
  <c r="K419" i="1" s="1"/>
  <c r="I418" i="1"/>
  <c r="K418" i="1" s="1"/>
  <c r="I417" i="1"/>
  <c r="K417" i="1" s="1"/>
  <c r="K416" i="1"/>
  <c r="J416" i="1"/>
  <c r="I416" i="1"/>
  <c r="I415" i="1"/>
  <c r="K415" i="1" s="1"/>
  <c r="I414" i="1"/>
  <c r="I413" i="1"/>
  <c r="J413" i="1" s="1"/>
  <c r="I412" i="1"/>
  <c r="K412" i="1" s="1"/>
  <c r="J411" i="1"/>
  <c r="I411" i="1"/>
  <c r="K411" i="1" s="1"/>
  <c r="I410" i="1"/>
  <c r="K410" i="1" s="1"/>
  <c r="I409" i="1"/>
  <c r="K409" i="1" s="1"/>
  <c r="K408" i="1"/>
  <c r="I408" i="1"/>
  <c r="J408" i="1" s="1"/>
  <c r="I407" i="1"/>
  <c r="K407" i="1" s="1"/>
  <c r="I406" i="1"/>
  <c r="I405" i="1"/>
  <c r="J405" i="1" s="1"/>
  <c r="I404" i="1"/>
  <c r="K404" i="1" s="1"/>
  <c r="I403" i="1"/>
  <c r="K403" i="1" s="1"/>
  <c r="I402" i="1"/>
  <c r="K402" i="1" s="1"/>
  <c r="I401" i="1"/>
  <c r="K401" i="1" s="1"/>
  <c r="K400" i="1"/>
  <c r="I400" i="1"/>
  <c r="J400" i="1" s="1"/>
  <c r="I399" i="1"/>
  <c r="K399" i="1" s="1"/>
  <c r="I398" i="1"/>
  <c r="K397" i="1"/>
  <c r="I397" i="1"/>
  <c r="J397" i="1" s="1"/>
  <c r="I396" i="1"/>
  <c r="K396" i="1" s="1"/>
  <c r="I395" i="1"/>
  <c r="K395" i="1" s="1"/>
  <c r="I394" i="1"/>
  <c r="K394" i="1" s="1"/>
  <c r="J393" i="1"/>
  <c r="I393" i="1"/>
  <c r="K393" i="1" s="1"/>
  <c r="I392" i="1"/>
  <c r="K392" i="1" s="1"/>
  <c r="I391" i="1"/>
  <c r="K391" i="1" s="1"/>
  <c r="I390" i="1"/>
  <c r="K389" i="1"/>
  <c r="I389" i="1"/>
  <c r="J389" i="1" s="1"/>
  <c r="I388" i="1"/>
  <c r="K388" i="1" s="1"/>
  <c r="I387" i="1"/>
  <c r="K387" i="1" s="1"/>
  <c r="I386" i="1"/>
  <c r="J386" i="1" s="1"/>
  <c r="J385" i="1"/>
  <c r="I385" i="1"/>
  <c r="K385" i="1" s="1"/>
  <c r="I384" i="1"/>
  <c r="K384" i="1" s="1"/>
  <c r="I383" i="1"/>
  <c r="J383" i="1" s="1"/>
  <c r="I382" i="1"/>
  <c r="I381" i="1"/>
  <c r="J381" i="1" s="1"/>
  <c r="I380" i="1"/>
  <c r="K380" i="1" s="1"/>
  <c r="I379" i="1"/>
  <c r="K379" i="1" s="1"/>
  <c r="I378" i="1"/>
  <c r="K378" i="1" s="1"/>
  <c r="K377" i="1"/>
  <c r="I377" i="1"/>
  <c r="J377" i="1" s="1"/>
  <c r="K376" i="1"/>
  <c r="I376" i="1"/>
  <c r="J376" i="1" s="1"/>
  <c r="I375" i="1"/>
  <c r="J375" i="1" s="1"/>
  <c r="I374" i="1"/>
  <c r="I373" i="1"/>
  <c r="J373" i="1" s="1"/>
  <c r="I372" i="1"/>
  <c r="K372" i="1" s="1"/>
  <c r="I371" i="1"/>
  <c r="K371" i="1" s="1"/>
  <c r="I370" i="1"/>
  <c r="K370" i="1" s="1"/>
  <c r="I369" i="1"/>
  <c r="K369" i="1" s="1"/>
  <c r="I368" i="1"/>
  <c r="K368" i="1" s="1"/>
  <c r="I367" i="1"/>
  <c r="J367" i="1" s="1"/>
  <c r="I366" i="1"/>
  <c r="I365" i="1"/>
  <c r="J365" i="1" s="1"/>
  <c r="I364" i="1"/>
  <c r="K364" i="1" s="1"/>
  <c r="I363" i="1"/>
  <c r="K363" i="1" s="1"/>
  <c r="J362" i="1"/>
  <c r="I362" i="1"/>
  <c r="K362" i="1" s="1"/>
  <c r="J361" i="1"/>
  <c r="I361" i="1"/>
  <c r="K361" i="1" s="1"/>
  <c r="K360" i="1"/>
  <c r="J360" i="1"/>
  <c r="I360" i="1"/>
  <c r="I359" i="1"/>
  <c r="J359" i="1" s="1"/>
  <c r="I358" i="1"/>
  <c r="K357" i="1"/>
  <c r="I357" i="1"/>
  <c r="J357" i="1" s="1"/>
  <c r="I356" i="1"/>
  <c r="K356" i="1" s="1"/>
  <c r="I355" i="1"/>
  <c r="K355" i="1" s="1"/>
  <c r="I354" i="1"/>
  <c r="K354" i="1" s="1"/>
  <c r="J353" i="1"/>
  <c r="I353" i="1"/>
  <c r="K353" i="1" s="1"/>
  <c r="I352" i="1"/>
  <c r="K352" i="1" s="1"/>
  <c r="K351" i="1"/>
  <c r="I351" i="1"/>
  <c r="J351" i="1" s="1"/>
  <c r="I350" i="1"/>
  <c r="K349" i="1"/>
  <c r="I349" i="1"/>
  <c r="J349" i="1" s="1"/>
  <c r="I348" i="1"/>
  <c r="K348" i="1" s="1"/>
  <c r="I347" i="1"/>
  <c r="K347" i="1" s="1"/>
  <c r="J346" i="1"/>
  <c r="I346" i="1"/>
  <c r="K346" i="1" s="1"/>
  <c r="I345" i="1"/>
  <c r="K345" i="1" s="1"/>
  <c r="J344" i="1"/>
  <c r="I344" i="1"/>
  <c r="K344" i="1" s="1"/>
  <c r="K343" i="1"/>
  <c r="J343" i="1"/>
  <c r="I343" i="1"/>
  <c r="I342" i="1"/>
  <c r="I341" i="1"/>
  <c r="J341" i="1" s="1"/>
  <c r="I340" i="1"/>
  <c r="K340" i="1" s="1"/>
  <c r="I339" i="1"/>
  <c r="K339" i="1" s="1"/>
  <c r="I338" i="1"/>
  <c r="K338" i="1" s="1"/>
  <c r="I337" i="1"/>
  <c r="K337" i="1" s="1"/>
  <c r="I336" i="1"/>
  <c r="K336" i="1" s="1"/>
  <c r="I335" i="1"/>
  <c r="J335" i="1" s="1"/>
  <c r="I334" i="1"/>
  <c r="I333" i="1"/>
  <c r="J333" i="1" s="1"/>
  <c r="I332" i="1"/>
  <c r="K332" i="1" s="1"/>
  <c r="I331" i="1"/>
  <c r="K331" i="1" s="1"/>
  <c r="I330" i="1"/>
  <c r="K330" i="1" s="1"/>
  <c r="I329" i="1"/>
  <c r="K329" i="1" s="1"/>
  <c r="K328" i="1"/>
  <c r="I328" i="1"/>
  <c r="J328" i="1" s="1"/>
  <c r="K327" i="1"/>
  <c r="I327" i="1"/>
  <c r="J327" i="1" s="1"/>
  <c r="I326" i="1"/>
  <c r="I325" i="1"/>
  <c r="J325" i="1" s="1"/>
  <c r="I324" i="1"/>
  <c r="K324" i="1" s="1"/>
  <c r="I323" i="1"/>
  <c r="K323" i="1" s="1"/>
  <c r="K322" i="1"/>
  <c r="I322" i="1"/>
  <c r="J322" i="1" s="1"/>
  <c r="I321" i="1"/>
  <c r="K321" i="1" s="1"/>
  <c r="I320" i="1"/>
  <c r="K320" i="1" s="1"/>
  <c r="K319" i="1"/>
  <c r="I319" i="1"/>
  <c r="J319" i="1" s="1"/>
  <c r="I318" i="1"/>
  <c r="K318" i="1" s="1"/>
  <c r="I317" i="1"/>
  <c r="K317" i="1" s="1"/>
  <c r="I316" i="1"/>
  <c r="K316" i="1" s="1"/>
  <c r="I315" i="1"/>
  <c r="K315" i="1" s="1"/>
  <c r="I314" i="1"/>
  <c r="K314" i="1" s="1"/>
  <c r="I313" i="1"/>
  <c r="K313" i="1" s="1"/>
  <c r="I312" i="1"/>
  <c r="K312" i="1" s="1"/>
  <c r="I311" i="1"/>
  <c r="J311" i="1" s="1"/>
  <c r="I310" i="1"/>
  <c r="K310" i="1" s="1"/>
  <c r="I309" i="1"/>
  <c r="K309" i="1" s="1"/>
  <c r="I308" i="1"/>
  <c r="K308" i="1" s="1"/>
  <c r="I307" i="1"/>
  <c r="K307" i="1" s="1"/>
  <c r="I306" i="1"/>
  <c r="K306" i="1" s="1"/>
  <c r="I305" i="1"/>
  <c r="K305" i="1" s="1"/>
  <c r="I304" i="1"/>
  <c r="K304" i="1" s="1"/>
  <c r="K303" i="1"/>
  <c r="J303" i="1"/>
  <c r="I303" i="1"/>
  <c r="I302" i="1"/>
  <c r="K302" i="1" s="1"/>
  <c r="I301" i="1"/>
  <c r="K301" i="1" s="1"/>
  <c r="I300" i="1"/>
  <c r="J300" i="1" s="1"/>
  <c r="I299" i="1"/>
  <c r="K299" i="1" s="1"/>
  <c r="K298" i="1"/>
  <c r="J298" i="1"/>
  <c r="I298" i="1"/>
  <c r="I297" i="1"/>
  <c r="K297" i="1" s="1"/>
  <c r="I296" i="1"/>
  <c r="K296" i="1" s="1"/>
  <c r="K295" i="1"/>
  <c r="J295" i="1"/>
  <c r="I295" i="1"/>
  <c r="I294" i="1"/>
  <c r="K294" i="1" s="1"/>
  <c r="I293" i="1"/>
  <c r="K293" i="1" s="1"/>
  <c r="I292" i="1"/>
  <c r="K292" i="1" s="1"/>
  <c r="I291" i="1"/>
  <c r="K291" i="1" s="1"/>
  <c r="J290" i="1"/>
  <c r="I290" i="1"/>
  <c r="K290" i="1" s="1"/>
  <c r="I289" i="1"/>
  <c r="K289" i="1" s="1"/>
  <c r="I288" i="1"/>
  <c r="K288" i="1" s="1"/>
  <c r="I287" i="1"/>
  <c r="J287" i="1" s="1"/>
  <c r="I286" i="1"/>
  <c r="K286" i="1" s="1"/>
  <c r="I285" i="1"/>
  <c r="K285" i="1" s="1"/>
  <c r="I284" i="1"/>
  <c r="K284" i="1" s="1"/>
  <c r="I283" i="1"/>
  <c r="K283" i="1" s="1"/>
  <c r="K282" i="1"/>
  <c r="J282" i="1"/>
  <c r="I282" i="1"/>
  <c r="I281" i="1"/>
  <c r="K281" i="1" s="1"/>
  <c r="I280" i="1"/>
  <c r="K280" i="1" s="1"/>
  <c r="K279" i="1"/>
  <c r="I279" i="1"/>
  <c r="J279" i="1" s="1"/>
  <c r="I278" i="1"/>
  <c r="K278" i="1" s="1"/>
  <c r="I277" i="1"/>
  <c r="K277" i="1" s="1"/>
  <c r="I276" i="1"/>
  <c r="K276" i="1" s="1"/>
  <c r="I275" i="1"/>
  <c r="K275" i="1" s="1"/>
  <c r="J274" i="1"/>
  <c r="I274" i="1"/>
  <c r="K274" i="1" s="1"/>
  <c r="I273" i="1"/>
  <c r="K273" i="1" s="1"/>
  <c r="I272" i="1"/>
  <c r="K272" i="1" s="1"/>
  <c r="K271" i="1"/>
  <c r="I271" i="1"/>
  <c r="J271" i="1" s="1"/>
  <c r="I270" i="1"/>
  <c r="K270" i="1" s="1"/>
  <c r="I269" i="1"/>
  <c r="K269" i="1" s="1"/>
  <c r="J268" i="1"/>
  <c r="I268" i="1"/>
  <c r="K268" i="1" s="1"/>
  <c r="I267" i="1"/>
  <c r="K267" i="1" s="1"/>
  <c r="K266" i="1"/>
  <c r="J266" i="1"/>
  <c r="I266" i="1"/>
  <c r="I265" i="1"/>
  <c r="K265" i="1" s="1"/>
  <c r="I264" i="1"/>
  <c r="K264" i="1" s="1"/>
  <c r="I263" i="1"/>
  <c r="K263" i="1" s="1"/>
  <c r="I262" i="1"/>
  <c r="K262" i="1" s="1"/>
  <c r="I261" i="1"/>
  <c r="K261" i="1" s="1"/>
  <c r="I260" i="1"/>
  <c r="K260" i="1" s="1"/>
  <c r="I259" i="1"/>
  <c r="K259" i="1" s="1"/>
  <c r="I258" i="1"/>
  <c r="K258" i="1" s="1"/>
  <c r="I257" i="1"/>
  <c r="K257" i="1" s="1"/>
  <c r="I256" i="1"/>
  <c r="K256" i="1" s="1"/>
  <c r="I255" i="1"/>
  <c r="J255" i="1" s="1"/>
  <c r="I254" i="1"/>
  <c r="K254" i="1" s="1"/>
  <c r="I253" i="1"/>
  <c r="K253" i="1" s="1"/>
  <c r="I252" i="1"/>
  <c r="K252" i="1" s="1"/>
  <c r="I251" i="1"/>
  <c r="K251" i="1" s="1"/>
  <c r="I250" i="1"/>
  <c r="K250" i="1" s="1"/>
  <c r="I249" i="1"/>
  <c r="K249" i="1" s="1"/>
  <c r="I248" i="1"/>
  <c r="K248" i="1" s="1"/>
  <c r="I247" i="1"/>
  <c r="J247" i="1" s="1"/>
  <c r="I246" i="1"/>
  <c r="K246" i="1" s="1"/>
  <c r="I245" i="1"/>
  <c r="K245" i="1" s="1"/>
  <c r="I244" i="1"/>
  <c r="K244" i="1" s="1"/>
  <c r="I243" i="1"/>
  <c r="K243" i="1" s="1"/>
  <c r="K242" i="1"/>
  <c r="J242" i="1"/>
  <c r="I242" i="1"/>
  <c r="I241" i="1"/>
  <c r="K241" i="1" s="1"/>
  <c r="I240" i="1"/>
  <c r="K240" i="1" s="1"/>
  <c r="I239" i="1"/>
  <c r="J239" i="1" s="1"/>
  <c r="I238" i="1"/>
  <c r="K238" i="1" s="1"/>
  <c r="I237" i="1"/>
  <c r="K237" i="1" s="1"/>
  <c r="I236" i="1"/>
  <c r="K236" i="1" s="1"/>
  <c r="I235" i="1"/>
  <c r="K235" i="1" s="1"/>
  <c r="J234" i="1"/>
  <c r="I234" i="1"/>
  <c r="K234" i="1" s="1"/>
  <c r="I233" i="1"/>
  <c r="K233" i="1" s="1"/>
  <c r="I232" i="1"/>
  <c r="K232" i="1" s="1"/>
  <c r="I231" i="1"/>
  <c r="J231" i="1" s="1"/>
  <c r="I230" i="1"/>
  <c r="K230" i="1" s="1"/>
  <c r="I229" i="1"/>
  <c r="K229" i="1" s="1"/>
  <c r="I228" i="1"/>
  <c r="K228" i="1" s="1"/>
  <c r="I227" i="1"/>
  <c r="K227" i="1" s="1"/>
  <c r="I226" i="1"/>
  <c r="K226" i="1" s="1"/>
  <c r="I225" i="1"/>
  <c r="K225" i="1" s="1"/>
  <c r="I224" i="1"/>
  <c r="K224" i="1" s="1"/>
  <c r="I223" i="1"/>
  <c r="J223" i="1" s="1"/>
  <c r="I222" i="1"/>
  <c r="K222" i="1" s="1"/>
  <c r="I221" i="1"/>
  <c r="K221" i="1" s="1"/>
  <c r="I220" i="1"/>
  <c r="K220" i="1" s="1"/>
  <c r="I219" i="1"/>
  <c r="K219" i="1" s="1"/>
  <c r="I218" i="1"/>
  <c r="K218" i="1" s="1"/>
  <c r="I217" i="1"/>
  <c r="K217" i="1" s="1"/>
  <c r="I216" i="1"/>
  <c r="K216" i="1" s="1"/>
  <c r="K215" i="1"/>
  <c r="I215" i="1"/>
  <c r="J215" i="1" s="1"/>
  <c r="I214" i="1"/>
  <c r="K214" i="1" s="1"/>
  <c r="I213" i="1"/>
  <c r="K213" i="1" s="1"/>
  <c r="I212" i="1"/>
  <c r="K212" i="1" s="1"/>
  <c r="I211" i="1"/>
  <c r="K211" i="1" s="1"/>
  <c r="I210" i="1"/>
  <c r="K210" i="1" s="1"/>
  <c r="I209" i="1"/>
  <c r="K209" i="1" s="1"/>
  <c r="I208" i="1"/>
  <c r="K208" i="1" s="1"/>
  <c r="I207" i="1"/>
  <c r="J207" i="1" s="1"/>
  <c r="I206" i="1"/>
  <c r="K206" i="1" s="1"/>
  <c r="I205" i="1"/>
  <c r="K205" i="1" s="1"/>
  <c r="I204" i="1"/>
  <c r="K204" i="1" s="1"/>
  <c r="I203" i="1"/>
  <c r="K203" i="1" s="1"/>
  <c r="J202" i="1"/>
  <c r="I202" i="1"/>
  <c r="K202" i="1" s="1"/>
  <c r="I201" i="1"/>
  <c r="K201" i="1" s="1"/>
  <c r="J200" i="1"/>
  <c r="I200" i="1"/>
  <c r="K200" i="1" s="1"/>
  <c r="K199" i="1"/>
  <c r="I199" i="1"/>
  <c r="J199" i="1" s="1"/>
  <c r="I198" i="1"/>
  <c r="K198" i="1" s="1"/>
  <c r="I197" i="1"/>
  <c r="K197" i="1" s="1"/>
  <c r="I196" i="1"/>
  <c r="K196" i="1" s="1"/>
  <c r="I195" i="1"/>
  <c r="K195" i="1" s="1"/>
  <c r="I194" i="1"/>
  <c r="K194" i="1" s="1"/>
  <c r="I193" i="1"/>
  <c r="K193" i="1" s="1"/>
  <c r="I192" i="1"/>
  <c r="K192" i="1" s="1"/>
  <c r="I191" i="1"/>
  <c r="J191" i="1" s="1"/>
  <c r="I190" i="1"/>
  <c r="K190" i="1" s="1"/>
  <c r="I189" i="1"/>
  <c r="K189" i="1" s="1"/>
  <c r="I188" i="1"/>
  <c r="K188" i="1" s="1"/>
  <c r="I187" i="1"/>
  <c r="K187" i="1" s="1"/>
  <c r="I186" i="1"/>
  <c r="K186" i="1" s="1"/>
  <c r="I185" i="1"/>
  <c r="K185" i="1" s="1"/>
  <c r="I184" i="1"/>
  <c r="K184" i="1" s="1"/>
  <c r="I183" i="1"/>
  <c r="J183" i="1" s="1"/>
  <c r="I182" i="1"/>
  <c r="K182" i="1" s="1"/>
  <c r="I181" i="1"/>
  <c r="K181" i="1" s="1"/>
  <c r="I180" i="1"/>
  <c r="K180" i="1" s="1"/>
  <c r="I179" i="1"/>
  <c r="K179" i="1" s="1"/>
  <c r="I178" i="1"/>
  <c r="K178" i="1" s="1"/>
  <c r="I177" i="1"/>
  <c r="K177" i="1" s="1"/>
  <c r="I176" i="1"/>
  <c r="K176" i="1" s="1"/>
  <c r="K175" i="1"/>
  <c r="I175" i="1"/>
  <c r="J175" i="1" s="1"/>
  <c r="I174" i="1"/>
  <c r="K174" i="1" s="1"/>
  <c r="I173" i="1"/>
  <c r="K173" i="1" s="1"/>
  <c r="I172" i="1"/>
  <c r="K172" i="1" s="1"/>
  <c r="I171" i="1"/>
  <c r="K171" i="1" s="1"/>
  <c r="I170" i="1"/>
  <c r="K170" i="1" s="1"/>
  <c r="I169" i="1"/>
  <c r="K169" i="1" s="1"/>
  <c r="I168" i="1"/>
  <c r="K168" i="1" s="1"/>
  <c r="I167" i="1"/>
  <c r="J167" i="1" s="1"/>
  <c r="K166" i="1"/>
  <c r="J166" i="1"/>
  <c r="I166" i="1"/>
  <c r="I165" i="1"/>
  <c r="K165" i="1" s="1"/>
  <c r="I164" i="1"/>
  <c r="K164" i="1" s="1"/>
  <c r="I163" i="1"/>
  <c r="K163" i="1" s="1"/>
  <c r="I162" i="1"/>
  <c r="K162" i="1" s="1"/>
  <c r="I161" i="1"/>
  <c r="K161" i="1" s="1"/>
  <c r="I160" i="1"/>
  <c r="K160" i="1" s="1"/>
  <c r="I159" i="1"/>
  <c r="J159" i="1" s="1"/>
  <c r="I158" i="1"/>
  <c r="J158" i="1" s="1"/>
  <c r="I157" i="1"/>
  <c r="K157" i="1" s="1"/>
  <c r="I156" i="1"/>
  <c r="K156" i="1" s="1"/>
  <c r="I155" i="1"/>
  <c r="K155" i="1" s="1"/>
  <c r="I154" i="1"/>
  <c r="K154" i="1" s="1"/>
  <c r="I153" i="1"/>
  <c r="K153" i="1" s="1"/>
  <c r="I152" i="1"/>
  <c r="K152" i="1" s="1"/>
  <c r="I151" i="1"/>
  <c r="J151" i="1" s="1"/>
  <c r="K150" i="1"/>
  <c r="I150" i="1"/>
  <c r="J150" i="1" s="1"/>
  <c r="I149" i="1"/>
  <c r="K149" i="1" s="1"/>
  <c r="I148" i="1"/>
  <c r="K148" i="1" s="1"/>
  <c r="I147" i="1"/>
  <c r="K147" i="1" s="1"/>
  <c r="I146" i="1"/>
  <c r="K146" i="1" s="1"/>
  <c r="I145" i="1"/>
  <c r="K145" i="1" s="1"/>
  <c r="I144" i="1"/>
  <c r="K144" i="1" s="1"/>
  <c r="I143" i="1"/>
  <c r="J143" i="1" s="1"/>
  <c r="I142" i="1"/>
  <c r="K142" i="1" s="1"/>
  <c r="I141" i="1"/>
  <c r="K141" i="1" s="1"/>
  <c r="I140" i="1"/>
  <c r="K140" i="1" s="1"/>
  <c r="I139" i="1"/>
  <c r="K139" i="1" s="1"/>
  <c r="J138" i="1"/>
  <c r="I138" i="1"/>
  <c r="K138" i="1" s="1"/>
  <c r="I137" i="1"/>
  <c r="K137" i="1" s="1"/>
  <c r="I136" i="1"/>
  <c r="K136" i="1" s="1"/>
  <c r="I135" i="1"/>
  <c r="J135" i="1" s="1"/>
  <c r="K134" i="1"/>
  <c r="I134" i="1"/>
  <c r="J134" i="1" s="1"/>
  <c r="I133" i="1"/>
  <c r="K133" i="1" s="1"/>
  <c r="I132" i="1"/>
  <c r="K132" i="1" s="1"/>
  <c r="I131" i="1"/>
  <c r="K131" i="1" s="1"/>
  <c r="J130" i="1"/>
  <c r="I130" i="1"/>
  <c r="K130" i="1" s="1"/>
  <c r="K129" i="1"/>
  <c r="J129" i="1"/>
  <c r="I129" i="1"/>
  <c r="I128" i="1"/>
  <c r="K128" i="1" s="1"/>
  <c r="K127" i="1"/>
  <c r="I127" i="1"/>
  <c r="J127" i="1" s="1"/>
  <c r="I126" i="1"/>
  <c r="J126" i="1" s="1"/>
  <c r="I125" i="1"/>
  <c r="K125" i="1" s="1"/>
  <c r="I124" i="1"/>
  <c r="K124" i="1" s="1"/>
  <c r="I123" i="1"/>
  <c r="K123" i="1" s="1"/>
  <c r="J122" i="1"/>
  <c r="I122" i="1"/>
  <c r="K122" i="1" s="1"/>
  <c r="I121" i="1"/>
  <c r="K121" i="1" s="1"/>
  <c r="J120" i="1"/>
  <c r="I120" i="1"/>
  <c r="K120" i="1" s="1"/>
  <c r="I119" i="1"/>
  <c r="J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K111" i="1"/>
  <c r="J111" i="1"/>
  <c r="I111" i="1"/>
  <c r="K110" i="1"/>
  <c r="I110" i="1"/>
  <c r="J110" i="1" s="1"/>
  <c r="I109" i="1"/>
  <c r="K109" i="1" s="1"/>
  <c r="I108" i="1"/>
  <c r="K108" i="1" s="1"/>
  <c r="I107" i="1"/>
  <c r="K107" i="1" s="1"/>
  <c r="J106" i="1"/>
  <c r="I106" i="1"/>
  <c r="K106" i="1" s="1"/>
  <c r="J105" i="1"/>
  <c r="I105" i="1"/>
  <c r="K105" i="1" s="1"/>
  <c r="I104" i="1"/>
  <c r="K104" i="1" s="1"/>
  <c r="K103" i="1"/>
  <c r="J103" i="1"/>
  <c r="I103" i="1"/>
  <c r="J102" i="1"/>
  <c r="I102" i="1"/>
  <c r="K102" i="1" s="1"/>
  <c r="I101" i="1"/>
  <c r="K101" i="1" s="1"/>
  <c r="I100" i="1"/>
  <c r="K100" i="1" s="1"/>
  <c r="I99" i="1"/>
  <c r="K99" i="1" s="1"/>
  <c r="J98" i="1"/>
  <c r="I98" i="1"/>
  <c r="K98" i="1" s="1"/>
  <c r="I97" i="1"/>
  <c r="K97" i="1" s="1"/>
  <c r="I96" i="1"/>
  <c r="K96" i="1" s="1"/>
  <c r="I95" i="1"/>
  <c r="K95" i="1" s="1"/>
  <c r="K94" i="1"/>
  <c r="I94" i="1"/>
  <c r="J94" i="1" s="1"/>
  <c r="I93" i="1"/>
  <c r="K93" i="1" s="1"/>
  <c r="I92" i="1"/>
  <c r="K92" i="1" s="1"/>
  <c r="I91" i="1"/>
  <c r="K91" i="1" s="1"/>
  <c r="I90" i="1"/>
  <c r="K90" i="1" s="1"/>
  <c r="I89" i="1"/>
  <c r="K89" i="1" s="1"/>
  <c r="J88" i="1"/>
  <c r="I88" i="1"/>
  <c r="K88" i="1" s="1"/>
  <c r="K87" i="1"/>
  <c r="I87" i="1"/>
  <c r="J87" i="1" s="1"/>
  <c r="I86" i="1"/>
  <c r="K86" i="1" s="1"/>
  <c r="I85" i="1"/>
  <c r="K85" i="1" s="1"/>
  <c r="I84" i="1"/>
  <c r="K84" i="1" s="1"/>
  <c r="I83" i="1"/>
  <c r="J83" i="1" s="1"/>
  <c r="J82" i="1"/>
  <c r="I82" i="1"/>
  <c r="K82" i="1" s="1"/>
  <c r="I81" i="1"/>
  <c r="K81" i="1" s="1"/>
  <c r="J80" i="1"/>
  <c r="I80" i="1"/>
  <c r="K80" i="1" s="1"/>
  <c r="I79" i="1"/>
  <c r="J79" i="1" s="1"/>
  <c r="I78" i="1"/>
  <c r="K78" i="1" s="1"/>
  <c r="I77" i="1"/>
  <c r="K77" i="1" s="1"/>
  <c r="I76" i="1"/>
  <c r="K76" i="1" s="1"/>
  <c r="I75" i="1"/>
  <c r="J75" i="1" s="1"/>
  <c r="J74" i="1"/>
  <c r="I74" i="1"/>
  <c r="K74" i="1" s="1"/>
  <c r="I73" i="1"/>
  <c r="K73" i="1" s="1"/>
  <c r="I72" i="1"/>
  <c r="K72" i="1" s="1"/>
  <c r="K71" i="1"/>
  <c r="I71" i="1"/>
  <c r="J71" i="1" s="1"/>
  <c r="J70" i="1"/>
  <c r="I70" i="1"/>
  <c r="K70" i="1" s="1"/>
  <c r="I69" i="1"/>
  <c r="K69" i="1" s="1"/>
  <c r="I68" i="1"/>
  <c r="K68" i="1" s="1"/>
  <c r="I67" i="1"/>
  <c r="J67" i="1" s="1"/>
  <c r="I66" i="1"/>
  <c r="K66" i="1" s="1"/>
  <c r="J65" i="1"/>
  <c r="I65" i="1"/>
  <c r="K65" i="1" s="1"/>
  <c r="I64" i="1"/>
  <c r="K64" i="1" s="1"/>
  <c r="I63" i="1"/>
  <c r="J63" i="1" s="1"/>
  <c r="K62" i="1"/>
  <c r="I62" i="1"/>
  <c r="J62" i="1" s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J55" i="1" s="1"/>
  <c r="I54" i="1"/>
  <c r="J54" i="1" s="1"/>
  <c r="I53" i="1"/>
  <c r="K53" i="1" s="1"/>
  <c r="I52" i="1"/>
  <c r="K52" i="1" s="1"/>
  <c r="I51" i="1"/>
  <c r="K51" i="1" s="1"/>
  <c r="J50" i="1"/>
  <c r="I50" i="1"/>
  <c r="K50" i="1" s="1"/>
  <c r="K49" i="1"/>
  <c r="I49" i="1"/>
  <c r="J49" i="1" s="1"/>
  <c r="I48" i="1"/>
  <c r="K48" i="1" s="1"/>
  <c r="I47" i="1"/>
  <c r="J47" i="1" s="1"/>
  <c r="K46" i="1"/>
  <c r="I46" i="1"/>
  <c r="J46" i="1" s="1"/>
  <c r="I45" i="1"/>
  <c r="K45" i="1" s="1"/>
  <c r="I44" i="1"/>
  <c r="K44" i="1" s="1"/>
  <c r="I43" i="1"/>
  <c r="K43" i="1" s="1"/>
  <c r="I42" i="1"/>
  <c r="K42" i="1" s="1"/>
  <c r="J41" i="1"/>
  <c r="I41" i="1"/>
  <c r="K41" i="1" s="1"/>
  <c r="I40" i="1"/>
  <c r="K40" i="1" s="1"/>
  <c r="K39" i="1"/>
  <c r="I39" i="1"/>
  <c r="J39" i="1" s="1"/>
  <c r="I38" i="1"/>
  <c r="J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K31" i="1"/>
  <c r="I31" i="1"/>
  <c r="J31" i="1" s="1"/>
  <c r="I30" i="1"/>
  <c r="J30" i="1" s="1"/>
  <c r="I29" i="1"/>
  <c r="K29" i="1" s="1"/>
  <c r="I28" i="1"/>
  <c r="K28" i="1" s="1"/>
  <c r="I27" i="1"/>
  <c r="K27" i="1" s="1"/>
  <c r="I26" i="1"/>
  <c r="K26" i="1" s="1"/>
  <c r="J25" i="1"/>
  <c r="I25" i="1"/>
  <c r="K25" i="1" s="1"/>
  <c r="I24" i="1"/>
  <c r="K24" i="1" s="1"/>
  <c r="I23" i="1"/>
  <c r="J23" i="1" s="1"/>
  <c r="I22" i="1"/>
  <c r="J22" i="1" s="1"/>
  <c r="I21" i="1"/>
  <c r="K21" i="1" s="1"/>
  <c r="I20" i="1"/>
  <c r="K20" i="1" s="1"/>
  <c r="I19" i="1"/>
  <c r="K19" i="1" s="1"/>
  <c r="K18" i="1"/>
  <c r="I18" i="1"/>
  <c r="J18" i="1" s="1"/>
  <c r="I17" i="1"/>
  <c r="J17" i="1" s="1"/>
  <c r="I16" i="1"/>
  <c r="K16" i="1" s="1"/>
  <c r="I15" i="1"/>
  <c r="J15" i="1" s="1"/>
  <c r="I14" i="1"/>
  <c r="J14" i="1" s="1"/>
  <c r="I13" i="1"/>
  <c r="K13" i="1" s="1"/>
  <c r="I12" i="1"/>
  <c r="K12" i="1" s="1"/>
  <c r="J11" i="1"/>
  <c r="I11" i="1"/>
  <c r="K11" i="1" s="1"/>
  <c r="J10" i="1"/>
  <c r="I10" i="1"/>
  <c r="K10" i="1" s="1"/>
  <c r="I9" i="1"/>
  <c r="K9" i="1" s="1"/>
  <c r="I8" i="1"/>
  <c r="J8" i="1" s="1"/>
  <c r="K7" i="1"/>
  <c r="I7" i="1"/>
  <c r="J7" i="1" s="1"/>
  <c r="I6" i="1"/>
  <c r="K6" i="1" s="1"/>
  <c r="I5" i="1"/>
  <c r="K5" i="1" s="1"/>
  <c r="J4" i="1"/>
  <c r="I4" i="1"/>
  <c r="K4" i="1" s="1"/>
  <c r="I3" i="1"/>
  <c r="K3" i="1" s="1"/>
  <c r="K2" i="1"/>
  <c r="J2" i="1"/>
  <c r="I2" i="1"/>
  <c r="I162" i="2"/>
  <c r="H162" i="2"/>
  <c r="I161" i="2"/>
  <c r="H161" i="2"/>
  <c r="I160" i="2"/>
  <c r="H160" i="2"/>
  <c r="J160" i="2" s="1"/>
  <c r="I159" i="2"/>
  <c r="H159" i="2"/>
  <c r="I158" i="2"/>
  <c r="H158" i="2"/>
  <c r="I157" i="2"/>
  <c r="H157" i="2"/>
  <c r="J157" i="2" s="1"/>
  <c r="I156" i="2"/>
  <c r="H156" i="2"/>
  <c r="J156" i="2" s="1"/>
  <c r="I155" i="2"/>
  <c r="H155" i="2"/>
  <c r="I154" i="2"/>
  <c r="H154" i="2"/>
  <c r="I153" i="2"/>
  <c r="H153" i="2"/>
  <c r="J153" i="2" s="1"/>
  <c r="I152" i="2"/>
  <c r="H152" i="2"/>
  <c r="J152" i="2" s="1"/>
  <c r="I151" i="2"/>
  <c r="H151" i="2"/>
  <c r="I150" i="2"/>
  <c r="H150" i="2"/>
  <c r="I149" i="2"/>
  <c r="H149" i="2"/>
  <c r="J149" i="2" s="1"/>
  <c r="I148" i="2"/>
  <c r="H148" i="2"/>
  <c r="J148" i="2" s="1"/>
  <c r="I147" i="2"/>
  <c r="H147" i="2"/>
  <c r="I146" i="2"/>
  <c r="H146" i="2"/>
  <c r="I145" i="2"/>
  <c r="H145" i="2"/>
  <c r="J145" i="2" s="1"/>
  <c r="I144" i="2"/>
  <c r="H144" i="2"/>
  <c r="J144" i="2" s="1"/>
  <c r="I143" i="2"/>
  <c r="H143" i="2"/>
  <c r="I142" i="2"/>
  <c r="H142" i="2"/>
  <c r="I141" i="2"/>
  <c r="H141" i="2"/>
  <c r="J141" i="2" s="1"/>
  <c r="I140" i="2"/>
  <c r="H140" i="2"/>
  <c r="J140" i="2" s="1"/>
  <c r="I139" i="2"/>
  <c r="H139" i="2"/>
  <c r="I138" i="2"/>
  <c r="H138" i="2"/>
  <c r="I137" i="2"/>
  <c r="H137" i="2"/>
  <c r="J137" i="2" s="1"/>
  <c r="I136" i="2"/>
  <c r="H136" i="2"/>
  <c r="J136" i="2" s="1"/>
  <c r="I135" i="2"/>
  <c r="H135" i="2"/>
  <c r="I134" i="2"/>
  <c r="H134" i="2"/>
  <c r="I133" i="2"/>
  <c r="H133" i="2"/>
  <c r="J133" i="2" s="1"/>
  <c r="I132" i="2"/>
  <c r="H132" i="2"/>
  <c r="J132" i="2" s="1"/>
  <c r="I131" i="2"/>
  <c r="H131" i="2"/>
  <c r="I130" i="2"/>
  <c r="H130" i="2"/>
  <c r="I129" i="2"/>
  <c r="H129" i="2"/>
  <c r="J129" i="2" s="1"/>
  <c r="I128" i="2"/>
  <c r="H128" i="2"/>
  <c r="J128" i="2" s="1"/>
  <c r="I127" i="2"/>
  <c r="H127" i="2"/>
  <c r="I126" i="2"/>
  <c r="H126" i="2"/>
  <c r="I125" i="2"/>
  <c r="H125" i="2"/>
  <c r="J125" i="2" s="1"/>
  <c r="I124" i="2"/>
  <c r="H124" i="2"/>
  <c r="J124" i="2" s="1"/>
  <c r="I123" i="2"/>
  <c r="H123" i="2"/>
  <c r="I122" i="2"/>
  <c r="H122" i="2"/>
  <c r="I121" i="2"/>
  <c r="H121" i="2"/>
  <c r="J121" i="2" s="1"/>
  <c r="I120" i="2"/>
  <c r="H120" i="2"/>
  <c r="J120" i="2" s="1"/>
  <c r="I119" i="2"/>
  <c r="H119" i="2"/>
  <c r="I118" i="2"/>
  <c r="H118" i="2"/>
  <c r="I117" i="2"/>
  <c r="H117" i="2"/>
  <c r="J117" i="2" s="1"/>
  <c r="I116" i="2"/>
  <c r="H116" i="2"/>
  <c r="J116" i="2" s="1"/>
  <c r="I115" i="2"/>
  <c r="H115" i="2"/>
  <c r="I114" i="2"/>
  <c r="H114" i="2"/>
  <c r="I113" i="2"/>
  <c r="H113" i="2"/>
  <c r="J113" i="2" s="1"/>
  <c r="I112" i="2"/>
  <c r="H112" i="2"/>
  <c r="J112" i="2" s="1"/>
  <c r="I111" i="2"/>
  <c r="H111" i="2"/>
  <c r="I110" i="2"/>
  <c r="H110" i="2"/>
  <c r="I109" i="2"/>
  <c r="H109" i="2"/>
  <c r="J109" i="2" s="1"/>
  <c r="I108" i="2"/>
  <c r="H108" i="2"/>
  <c r="J108" i="2" s="1"/>
  <c r="I107" i="2"/>
  <c r="H107" i="2"/>
  <c r="I106" i="2"/>
  <c r="H106" i="2"/>
  <c r="I105" i="2"/>
  <c r="H105" i="2"/>
  <c r="J105" i="2" s="1"/>
  <c r="I104" i="2"/>
  <c r="H104" i="2"/>
  <c r="J104" i="2" s="1"/>
  <c r="I103" i="2"/>
  <c r="H103" i="2"/>
  <c r="I102" i="2"/>
  <c r="H102" i="2"/>
  <c r="I101" i="2"/>
  <c r="H101" i="2"/>
  <c r="J101" i="2" s="1"/>
  <c r="I100" i="2"/>
  <c r="H100" i="2"/>
  <c r="J100" i="2" s="1"/>
  <c r="I99" i="2"/>
  <c r="H99" i="2"/>
  <c r="I98" i="2"/>
  <c r="H98" i="2"/>
  <c r="I97" i="2"/>
  <c r="H97" i="2"/>
  <c r="J97" i="2" s="1"/>
  <c r="I96" i="2"/>
  <c r="H96" i="2"/>
  <c r="J96" i="2" s="1"/>
  <c r="I95" i="2"/>
  <c r="H95" i="2"/>
  <c r="I94" i="2"/>
  <c r="H94" i="2"/>
  <c r="I93" i="2"/>
  <c r="H93" i="2"/>
  <c r="J93" i="2" s="1"/>
  <c r="I92" i="2"/>
  <c r="H92" i="2"/>
  <c r="J92" i="2" s="1"/>
  <c r="I91" i="2"/>
  <c r="H91" i="2"/>
  <c r="I90" i="2"/>
  <c r="H90" i="2"/>
  <c r="I89" i="2"/>
  <c r="H89" i="2"/>
  <c r="J89" i="2" s="1"/>
  <c r="I88" i="2"/>
  <c r="H88" i="2"/>
  <c r="J88" i="2" s="1"/>
  <c r="I87" i="2"/>
  <c r="H87" i="2"/>
  <c r="I86" i="2"/>
  <c r="H86" i="2"/>
  <c r="I85" i="2"/>
  <c r="H85" i="2"/>
  <c r="J85" i="2" s="1"/>
  <c r="I84" i="2"/>
  <c r="H84" i="2"/>
  <c r="J84" i="2" s="1"/>
  <c r="I83" i="2"/>
  <c r="H83" i="2"/>
  <c r="I82" i="2"/>
  <c r="H82" i="2"/>
  <c r="I81" i="2"/>
  <c r="H81" i="2"/>
  <c r="J81" i="2" s="1"/>
  <c r="I80" i="2"/>
  <c r="H80" i="2"/>
  <c r="J80" i="2" s="1"/>
  <c r="I79" i="2"/>
  <c r="H79" i="2"/>
  <c r="I78" i="2"/>
  <c r="H78" i="2"/>
  <c r="I77" i="2"/>
  <c r="H77" i="2"/>
  <c r="J77" i="2" s="1"/>
  <c r="I76" i="2"/>
  <c r="H76" i="2"/>
  <c r="J76" i="2" s="1"/>
  <c r="I75" i="2"/>
  <c r="H75" i="2"/>
  <c r="I74" i="2"/>
  <c r="H74" i="2"/>
  <c r="I73" i="2"/>
  <c r="H73" i="2"/>
  <c r="J73" i="2" s="1"/>
  <c r="I72" i="2"/>
  <c r="H72" i="2"/>
  <c r="J72" i="2" s="1"/>
  <c r="I71" i="2"/>
  <c r="H71" i="2"/>
  <c r="I70" i="2"/>
  <c r="H70" i="2"/>
  <c r="I69" i="2"/>
  <c r="H69" i="2"/>
  <c r="J69" i="2" s="1"/>
  <c r="I68" i="2"/>
  <c r="H68" i="2"/>
  <c r="J68" i="2" s="1"/>
  <c r="I67" i="2"/>
  <c r="H67" i="2"/>
  <c r="I66" i="2"/>
  <c r="H66" i="2"/>
  <c r="I65" i="2"/>
  <c r="H65" i="2"/>
  <c r="J65" i="2" s="1"/>
  <c r="I64" i="2"/>
  <c r="H64" i="2"/>
  <c r="J64" i="2" s="1"/>
  <c r="I63" i="2"/>
  <c r="H63" i="2"/>
  <c r="I62" i="2"/>
  <c r="H62" i="2"/>
  <c r="I61" i="2"/>
  <c r="H61" i="2"/>
  <c r="J61" i="2" s="1"/>
  <c r="I60" i="2"/>
  <c r="H60" i="2"/>
  <c r="J60" i="2" s="1"/>
  <c r="I59" i="2"/>
  <c r="H59" i="2"/>
  <c r="I58" i="2"/>
  <c r="H58" i="2"/>
  <c r="I57" i="2"/>
  <c r="H57" i="2"/>
  <c r="J57" i="2" s="1"/>
  <c r="I56" i="2"/>
  <c r="H56" i="2"/>
  <c r="J56" i="2" s="1"/>
  <c r="I55" i="2"/>
  <c r="H55" i="2"/>
  <c r="I54" i="2"/>
  <c r="H54" i="2"/>
  <c r="I53" i="2"/>
  <c r="H53" i="2"/>
  <c r="J53" i="2" s="1"/>
  <c r="I52" i="2"/>
  <c r="H52" i="2"/>
  <c r="J52" i="2" s="1"/>
  <c r="I51" i="2"/>
  <c r="H51" i="2"/>
  <c r="I50" i="2"/>
  <c r="H50" i="2"/>
  <c r="I49" i="2"/>
  <c r="H49" i="2"/>
  <c r="J49" i="2" s="1"/>
  <c r="I48" i="2"/>
  <c r="H48" i="2"/>
  <c r="J48" i="2" s="1"/>
  <c r="I47" i="2"/>
  <c r="H47" i="2"/>
  <c r="I46" i="2"/>
  <c r="H46" i="2"/>
  <c r="I45" i="2"/>
  <c r="H45" i="2"/>
  <c r="J45" i="2" s="1"/>
  <c r="I44" i="2"/>
  <c r="H44" i="2"/>
  <c r="J44" i="2" s="1"/>
  <c r="I43" i="2"/>
  <c r="H43" i="2"/>
  <c r="I42" i="2"/>
  <c r="H42" i="2"/>
  <c r="I41" i="2"/>
  <c r="H41" i="2"/>
  <c r="J41" i="2" s="1"/>
  <c r="I40" i="2"/>
  <c r="H40" i="2"/>
  <c r="J40" i="2" s="1"/>
  <c r="I39" i="2"/>
  <c r="H39" i="2"/>
  <c r="I38" i="2"/>
  <c r="H38" i="2"/>
  <c r="I37" i="2"/>
  <c r="H37" i="2"/>
  <c r="J37" i="2" s="1"/>
  <c r="I36" i="2"/>
  <c r="H36" i="2"/>
  <c r="J36" i="2" s="1"/>
  <c r="I35" i="2"/>
  <c r="H35" i="2"/>
  <c r="I34" i="2"/>
  <c r="H34" i="2"/>
  <c r="I33" i="2"/>
  <c r="H33" i="2"/>
  <c r="J33" i="2" s="1"/>
  <c r="I32" i="2"/>
  <c r="H32" i="2"/>
  <c r="J32" i="2" s="1"/>
  <c r="I31" i="2"/>
  <c r="H31" i="2"/>
  <c r="I30" i="2"/>
  <c r="H30" i="2"/>
  <c r="I29" i="2"/>
  <c r="H29" i="2"/>
  <c r="J29" i="2" s="1"/>
  <c r="I28" i="2"/>
  <c r="H28" i="2"/>
  <c r="J28" i="2" s="1"/>
  <c r="I27" i="2"/>
  <c r="H27" i="2"/>
  <c r="I26" i="2"/>
  <c r="H26" i="2"/>
  <c r="I25" i="2"/>
  <c r="H25" i="2"/>
  <c r="J25" i="2" s="1"/>
  <c r="I24" i="2"/>
  <c r="H24" i="2"/>
  <c r="J24" i="2" s="1"/>
  <c r="I23" i="2"/>
  <c r="H23" i="2"/>
  <c r="I22" i="2"/>
  <c r="H22" i="2"/>
  <c r="I21" i="2"/>
  <c r="H21" i="2"/>
  <c r="J21" i="2" s="1"/>
  <c r="I20" i="2"/>
  <c r="H20" i="2"/>
  <c r="J20" i="2" s="1"/>
  <c r="I19" i="2"/>
  <c r="H19" i="2"/>
  <c r="I18" i="2"/>
  <c r="H18" i="2"/>
  <c r="I17" i="2"/>
  <c r="H17" i="2"/>
  <c r="J17" i="2" s="1"/>
  <c r="I16" i="2"/>
  <c r="H16" i="2"/>
  <c r="J16" i="2" s="1"/>
  <c r="I15" i="2"/>
  <c r="H15" i="2"/>
  <c r="I14" i="2"/>
  <c r="H14" i="2"/>
  <c r="I13" i="2"/>
  <c r="H13" i="2"/>
  <c r="J13" i="2" s="1"/>
  <c r="I12" i="2"/>
  <c r="H12" i="2"/>
  <c r="J12" i="2" s="1"/>
  <c r="I11" i="2"/>
  <c r="H11" i="2"/>
  <c r="I10" i="2"/>
  <c r="H10" i="2"/>
  <c r="I9" i="2"/>
  <c r="H9" i="2"/>
  <c r="J9" i="2" s="1"/>
  <c r="I8" i="2"/>
  <c r="H8" i="2"/>
  <c r="J8" i="2" s="1"/>
  <c r="I7" i="2"/>
  <c r="H7" i="2"/>
  <c r="I6" i="2"/>
  <c r="H6" i="2"/>
  <c r="I5" i="2"/>
  <c r="H5" i="2"/>
  <c r="I4" i="2"/>
  <c r="H4" i="2"/>
  <c r="I3" i="2"/>
  <c r="H3" i="2"/>
  <c r="H2" i="2"/>
  <c r="I2" i="2"/>
  <c r="G3" i="2"/>
  <c r="G4" i="2"/>
  <c r="G5" i="2"/>
  <c r="G6" i="2"/>
  <c r="G7" i="2"/>
  <c r="G8" i="2"/>
  <c r="J162" i="2"/>
  <c r="G162" i="2"/>
  <c r="G161" i="2"/>
  <c r="G160" i="2"/>
  <c r="J159" i="2"/>
  <c r="G159" i="2"/>
  <c r="J158" i="2"/>
  <c r="G158" i="2"/>
  <c r="G157" i="2"/>
  <c r="G156" i="2"/>
  <c r="J155" i="2"/>
  <c r="G155" i="2"/>
  <c r="J154" i="2"/>
  <c r="G154" i="2"/>
  <c r="G153" i="2"/>
  <c r="G152" i="2"/>
  <c r="J151" i="2"/>
  <c r="G151" i="2"/>
  <c r="J150" i="2"/>
  <c r="G150" i="2"/>
  <c r="G149" i="2"/>
  <c r="G148" i="2"/>
  <c r="J147" i="2"/>
  <c r="G147" i="2"/>
  <c r="J146" i="2"/>
  <c r="G146" i="2"/>
  <c r="G145" i="2"/>
  <c r="G144" i="2"/>
  <c r="J143" i="2"/>
  <c r="G143" i="2"/>
  <c r="J142" i="2"/>
  <c r="G142" i="2"/>
  <c r="G141" i="2"/>
  <c r="G140" i="2"/>
  <c r="J139" i="2"/>
  <c r="G139" i="2"/>
  <c r="J138" i="2"/>
  <c r="G138" i="2"/>
  <c r="G137" i="2"/>
  <c r="G136" i="2"/>
  <c r="J135" i="2"/>
  <c r="G135" i="2"/>
  <c r="J134" i="2"/>
  <c r="G134" i="2"/>
  <c r="G133" i="2"/>
  <c r="G132" i="2"/>
  <c r="J131" i="2"/>
  <c r="G131" i="2"/>
  <c r="J130" i="2"/>
  <c r="G130" i="2"/>
  <c r="G129" i="2"/>
  <c r="G128" i="2"/>
  <c r="J127" i="2"/>
  <c r="G127" i="2"/>
  <c r="J126" i="2"/>
  <c r="G126" i="2"/>
  <c r="G125" i="2"/>
  <c r="G124" i="2"/>
  <c r="J123" i="2"/>
  <c r="G123" i="2"/>
  <c r="J122" i="2"/>
  <c r="G122" i="2"/>
  <c r="G121" i="2"/>
  <c r="G120" i="2"/>
  <c r="J119" i="2"/>
  <c r="G119" i="2"/>
  <c r="J118" i="2"/>
  <c r="G118" i="2"/>
  <c r="G117" i="2"/>
  <c r="G116" i="2"/>
  <c r="J115" i="2"/>
  <c r="G115" i="2"/>
  <c r="J114" i="2"/>
  <c r="G114" i="2"/>
  <c r="G113" i="2"/>
  <c r="G112" i="2"/>
  <c r="J111" i="2"/>
  <c r="G111" i="2"/>
  <c r="J110" i="2"/>
  <c r="G110" i="2"/>
  <c r="G109" i="2"/>
  <c r="G108" i="2"/>
  <c r="J107" i="2"/>
  <c r="G107" i="2"/>
  <c r="J106" i="2"/>
  <c r="G106" i="2"/>
  <c r="G105" i="2"/>
  <c r="G104" i="2"/>
  <c r="J103" i="2"/>
  <c r="G103" i="2"/>
  <c r="J102" i="2"/>
  <c r="G102" i="2"/>
  <c r="G101" i="2"/>
  <c r="G100" i="2"/>
  <c r="J99" i="2"/>
  <c r="G99" i="2"/>
  <c r="J98" i="2"/>
  <c r="G98" i="2"/>
  <c r="G97" i="2"/>
  <c r="G96" i="2"/>
  <c r="J95" i="2"/>
  <c r="G95" i="2"/>
  <c r="J94" i="2"/>
  <c r="G94" i="2"/>
  <c r="G93" i="2"/>
  <c r="G92" i="2"/>
  <c r="J91" i="2"/>
  <c r="G91" i="2"/>
  <c r="J90" i="2"/>
  <c r="G90" i="2"/>
  <c r="G89" i="2"/>
  <c r="G88" i="2"/>
  <c r="J87" i="2"/>
  <c r="G87" i="2"/>
  <c r="J86" i="2"/>
  <c r="G86" i="2"/>
  <c r="G85" i="2"/>
  <c r="G84" i="2"/>
  <c r="J83" i="2"/>
  <c r="G83" i="2"/>
  <c r="J82" i="2"/>
  <c r="G82" i="2"/>
  <c r="G81" i="2"/>
  <c r="G80" i="2"/>
  <c r="J79" i="2"/>
  <c r="G79" i="2"/>
  <c r="J78" i="2"/>
  <c r="G78" i="2"/>
  <c r="G77" i="2"/>
  <c r="G76" i="2"/>
  <c r="J75" i="2"/>
  <c r="G75" i="2"/>
  <c r="J74" i="2"/>
  <c r="G74" i="2"/>
  <c r="G73" i="2"/>
  <c r="G72" i="2"/>
  <c r="J71" i="2"/>
  <c r="G71" i="2"/>
  <c r="J70" i="2"/>
  <c r="G70" i="2"/>
  <c r="G69" i="2"/>
  <c r="G68" i="2"/>
  <c r="J67" i="2"/>
  <c r="G67" i="2"/>
  <c r="J66" i="2"/>
  <c r="G66" i="2"/>
  <c r="G65" i="2"/>
  <c r="G64" i="2"/>
  <c r="J63" i="2"/>
  <c r="G63" i="2"/>
  <c r="J62" i="2"/>
  <c r="G62" i="2"/>
  <c r="G61" i="2"/>
  <c r="G60" i="2"/>
  <c r="J59" i="2"/>
  <c r="G59" i="2"/>
  <c r="J58" i="2"/>
  <c r="G58" i="2"/>
  <c r="G57" i="2"/>
  <c r="G56" i="2"/>
  <c r="J55" i="2"/>
  <c r="G55" i="2"/>
  <c r="J54" i="2"/>
  <c r="G54" i="2"/>
  <c r="G53" i="2"/>
  <c r="G52" i="2"/>
  <c r="J51" i="2"/>
  <c r="G51" i="2"/>
  <c r="J50" i="2"/>
  <c r="G50" i="2"/>
  <c r="G49" i="2"/>
  <c r="G48" i="2"/>
  <c r="J47" i="2"/>
  <c r="G47" i="2"/>
  <c r="J46" i="2"/>
  <c r="G46" i="2"/>
  <c r="G45" i="2"/>
  <c r="G44" i="2"/>
  <c r="J43" i="2"/>
  <c r="G43" i="2"/>
  <c r="J42" i="2"/>
  <c r="G42" i="2"/>
  <c r="G41" i="2"/>
  <c r="G40" i="2"/>
  <c r="J39" i="2"/>
  <c r="G39" i="2"/>
  <c r="J38" i="2"/>
  <c r="G38" i="2"/>
  <c r="G37" i="2"/>
  <c r="G36" i="2"/>
  <c r="J35" i="2"/>
  <c r="G35" i="2"/>
  <c r="J34" i="2"/>
  <c r="G34" i="2"/>
  <c r="G33" i="2"/>
  <c r="G32" i="2"/>
  <c r="J31" i="2"/>
  <c r="G31" i="2"/>
  <c r="J30" i="2"/>
  <c r="G30" i="2"/>
  <c r="G29" i="2"/>
  <c r="G28" i="2"/>
  <c r="J27" i="2"/>
  <c r="G27" i="2"/>
  <c r="J26" i="2"/>
  <c r="G26" i="2"/>
  <c r="G25" i="2"/>
  <c r="G24" i="2"/>
  <c r="J23" i="2"/>
  <c r="G23" i="2"/>
  <c r="J22" i="2"/>
  <c r="G22" i="2"/>
  <c r="G21" i="2"/>
  <c r="G20" i="2"/>
  <c r="J19" i="2"/>
  <c r="G19" i="2"/>
  <c r="J18" i="2"/>
  <c r="G18" i="2"/>
  <c r="G17" i="2"/>
  <c r="G16" i="2"/>
  <c r="J15" i="2"/>
  <c r="G15" i="2"/>
  <c r="J14" i="2"/>
  <c r="G14" i="2"/>
  <c r="G13" i="2"/>
  <c r="G12" i="2"/>
  <c r="J11" i="2"/>
  <c r="G11" i="2"/>
  <c r="J10" i="2"/>
  <c r="G10" i="2"/>
  <c r="G9" i="2"/>
  <c r="G2" i="2"/>
  <c r="N631" i="1" l="1"/>
  <c r="K631" i="1"/>
  <c r="L629" i="1"/>
  <c r="K67" i="1"/>
  <c r="J89" i="1"/>
  <c r="J161" i="1"/>
  <c r="J178" i="1"/>
  <c r="J294" i="1"/>
  <c r="J308" i="1"/>
  <c r="J465" i="1"/>
  <c r="J488" i="1"/>
  <c r="J555" i="1"/>
  <c r="J575" i="1"/>
  <c r="K597" i="1"/>
  <c r="K8" i="1"/>
  <c r="K17" i="1"/>
  <c r="K22" i="1"/>
  <c r="J42" i="1"/>
  <c r="K63" i="1"/>
  <c r="J81" i="1"/>
  <c r="J86" i="1"/>
  <c r="J95" i="1"/>
  <c r="J112" i="1"/>
  <c r="J121" i="1"/>
  <c r="K126" i="1"/>
  <c r="K135" i="1"/>
  <c r="J146" i="1"/>
  <c r="J210" i="1"/>
  <c r="K223" i="1"/>
  <c r="J235" i="1"/>
  <c r="K247" i="1"/>
  <c r="J252" i="1"/>
  <c r="J258" i="1"/>
  <c r="J314" i="1"/>
  <c r="J329" i="1"/>
  <c r="K335" i="1"/>
  <c r="J347" i="1"/>
  <c r="J352" i="1"/>
  <c r="J370" i="1"/>
  <c r="K375" i="1"/>
  <c r="J378" i="1"/>
  <c r="K383" i="1"/>
  <c r="K386" i="1"/>
  <c r="J391" i="1"/>
  <c r="J394" i="1"/>
  <c r="J409" i="1"/>
  <c r="K413" i="1"/>
  <c r="K424" i="1"/>
  <c r="J432" i="1"/>
  <c r="J435" i="1"/>
  <c r="K447" i="1"/>
  <c r="K450" i="1"/>
  <c r="J455" i="1"/>
  <c r="J458" i="1"/>
  <c r="J473" i="1"/>
  <c r="K477" i="1"/>
  <c r="J496" i="1"/>
  <c r="J499" i="1"/>
  <c r="K511" i="1"/>
  <c r="K514" i="1"/>
  <c r="J519" i="1"/>
  <c r="J522" i="1"/>
  <c r="J537" i="1"/>
  <c r="K541" i="1"/>
  <c r="K552" i="1"/>
  <c r="J560" i="1"/>
  <c r="J563" i="1"/>
  <c r="K578" i="1"/>
  <c r="J583" i="1"/>
  <c r="J586" i="1"/>
  <c r="J601" i="1"/>
  <c r="K605" i="1"/>
  <c r="K616" i="1"/>
  <c r="J624" i="1"/>
  <c r="J627" i="1"/>
  <c r="J632" i="1"/>
  <c r="J635" i="1"/>
  <c r="K647" i="1"/>
  <c r="K650" i="1"/>
  <c r="J655" i="1"/>
  <c r="J658" i="1"/>
  <c r="K191" i="1"/>
  <c r="J338" i="1"/>
  <c r="J401" i="1"/>
  <c r="J427" i="1"/>
  <c r="K469" i="1"/>
  <c r="J593" i="1"/>
  <c r="J33" i="1"/>
  <c r="K38" i="1"/>
  <c r="J58" i="1"/>
  <c r="J73" i="1"/>
  <c r="J78" i="1"/>
  <c r="J90" i="1"/>
  <c r="J104" i="1"/>
  <c r="J118" i="1"/>
  <c r="K158" i="1"/>
  <c r="J162" i="1"/>
  <c r="K167" i="1"/>
  <c r="J186" i="1"/>
  <c r="J263" i="1"/>
  <c r="J339" i="1"/>
  <c r="J399" i="1"/>
  <c r="J402" i="1"/>
  <c r="J417" i="1"/>
  <c r="J440" i="1"/>
  <c r="J443" i="1"/>
  <c r="J463" i="1"/>
  <c r="J466" i="1"/>
  <c r="J481" i="1"/>
  <c r="J504" i="1"/>
  <c r="J507" i="1"/>
  <c r="J527" i="1"/>
  <c r="J545" i="1"/>
  <c r="K549" i="1"/>
  <c r="J568" i="1"/>
  <c r="J571" i="1"/>
  <c r="J591" i="1"/>
  <c r="J594" i="1"/>
  <c r="J609" i="1"/>
  <c r="K613" i="1"/>
  <c r="J640" i="1"/>
  <c r="K365" i="1"/>
  <c r="K405" i="1"/>
  <c r="J491" i="1"/>
  <c r="J619" i="1"/>
  <c r="K14" i="1"/>
  <c r="K23" i="1"/>
  <c r="K54" i="1"/>
  <c r="J113" i="1"/>
  <c r="J136" i="1"/>
  <c r="J153" i="1"/>
  <c r="J218" i="1"/>
  <c r="K231" i="1"/>
  <c r="K300" i="1"/>
  <c r="J330" i="1"/>
  <c r="J336" i="1"/>
  <c r="K367" i="1"/>
  <c r="J371" i="1"/>
  <c r="J379" i="1"/>
  <c r="J384" i="1"/>
  <c r="J387" i="1"/>
  <c r="J407" i="1"/>
  <c r="J410" i="1"/>
  <c r="J425" i="1"/>
  <c r="K429" i="1"/>
  <c r="J471" i="1"/>
  <c r="J474" i="1"/>
  <c r="J489" i="1"/>
  <c r="K493" i="1"/>
  <c r="J512" i="1"/>
  <c r="J515" i="1"/>
  <c r="J535" i="1"/>
  <c r="J538" i="1"/>
  <c r="J553" i="1"/>
  <c r="K557" i="1"/>
  <c r="J576" i="1"/>
  <c r="J579" i="1"/>
  <c r="J599" i="1"/>
  <c r="J602" i="1"/>
  <c r="J617" i="1"/>
  <c r="K621" i="1"/>
  <c r="J648" i="1"/>
  <c r="J651" i="1"/>
  <c r="K159" i="1"/>
  <c r="J194" i="1"/>
  <c r="J306" i="1"/>
  <c r="J392" i="1"/>
  <c r="J395" i="1"/>
  <c r="J415" i="1"/>
  <c r="J418" i="1"/>
  <c r="J456" i="1"/>
  <c r="J479" i="1"/>
  <c r="J482" i="1"/>
  <c r="J497" i="1"/>
  <c r="K501" i="1"/>
  <c r="J520" i="1"/>
  <c r="J523" i="1"/>
  <c r="J561" i="1"/>
  <c r="J587" i="1"/>
  <c r="J625" i="1"/>
  <c r="J633" i="1"/>
  <c r="K637" i="1"/>
  <c r="J656" i="1"/>
  <c r="J659" i="1"/>
  <c r="J26" i="1"/>
  <c r="K47" i="1"/>
  <c r="J57" i="1"/>
  <c r="J529" i="1"/>
  <c r="K15" i="1"/>
  <c r="K30" i="1"/>
  <c r="J34" i="1"/>
  <c r="K55" i="1"/>
  <c r="K79" i="1"/>
  <c r="K83" i="1"/>
  <c r="J97" i="1"/>
  <c r="J114" i="1"/>
  <c r="K119" i="1"/>
  <c r="J128" i="1"/>
  <c r="J137" i="1"/>
  <c r="K143" i="1"/>
  <c r="J154" i="1"/>
  <c r="K207" i="1"/>
  <c r="J226" i="1"/>
  <c r="J250" i="1"/>
  <c r="K255" i="1"/>
  <c r="J260" i="1"/>
  <c r="J281" i="1"/>
  <c r="K311" i="1"/>
  <c r="J316" i="1"/>
  <c r="J345" i="1"/>
  <c r="K359" i="1"/>
  <c r="J368" i="1"/>
  <c r="J403" i="1"/>
  <c r="J423" i="1"/>
  <c r="J426" i="1"/>
  <c r="J441" i="1"/>
  <c r="K445" i="1"/>
  <c r="J464" i="1"/>
  <c r="J467" i="1"/>
  <c r="J487" i="1"/>
  <c r="J490" i="1"/>
  <c r="J505" i="1"/>
  <c r="K509" i="1"/>
  <c r="J641" i="1"/>
  <c r="K645" i="1"/>
  <c r="K151" i="1"/>
  <c r="K533" i="1"/>
  <c r="J66" i="1"/>
  <c r="K75" i="1"/>
  <c r="J160" i="1"/>
  <c r="J170" i="1"/>
  <c r="K183" i="1"/>
  <c r="K239" i="1"/>
  <c r="K287" i="1"/>
  <c r="J337" i="1"/>
  <c r="J354" i="1"/>
  <c r="K373" i="1"/>
  <c r="K381" i="1"/>
  <c r="J513" i="1"/>
  <c r="J539" i="1"/>
  <c r="J577" i="1"/>
  <c r="K581" i="1"/>
  <c r="J603" i="1"/>
  <c r="J649" i="1"/>
  <c r="K390" i="1"/>
  <c r="J390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331" i="1"/>
  <c r="K398" i="1"/>
  <c r="J398" i="1"/>
  <c r="K462" i="1"/>
  <c r="J462" i="1"/>
  <c r="K526" i="1"/>
  <c r="J526" i="1"/>
  <c r="K590" i="1"/>
  <c r="J590" i="1"/>
  <c r="K654" i="1"/>
  <c r="J654" i="1"/>
  <c r="J16" i="1"/>
  <c r="J24" i="1"/>
  <c r="J32" i="1"/>
  <c r="J40" i="1"/>
  <c r="J48" i="1"/>
  <c r="J56" i="1"/>
  <c r="J64" i="1"/>
  <c r="J72" i="1"/>
  <c r="J96" i="1"/>
  <c r="J144" i="1"/>
  <c r="J152" i="1"/>
  <c r="J168" i="1"/>
  <c r="J176" i="1"/>
  <c r="J184" i="1"/>
  <c r="J192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3" i="1"/>
  <c r="K366" i="1"/>
  <c r="J366" i="1"/>
  <c r="K406" i="1"/>
  <c r="J406" i="1"/>
  <c r="K470" i="1"/>
  <c r="J470" i="1"/>
  <c r="K534" i="1"/>
  <c r="J534" i="1"/>
  <c r="K598" i="1"/>
  <c r="J598" i="1"/>
  <c r="K374" i="1"/>
  <c r="J374" i="1"/>
  <c r="J19" i="1"/>
  <c r="J27" i="1"/>
  <c r="J35" i="1"/>
  <c r="J43" i="1"/>
  <c r="J51" i="1"/>
  <c r="J59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187" i="1"/>
  <c r="J195" i="1"/>
  <c r="J203" i="1"/>
  <c r="J211" i="1"/>
  <c r="J219" i="1"/>
  <c r="J227" i="1"/>
  <c r="J243" i="1"/>
  <c r="J251" i="1"/>
  <c r="J259" i="1"/>
  <c r="J267" i="1"/>
  <c r="J275" i="1"/>
  <c r="J283" i="1"/>
  <c r="J291" i="1"/>
  <c r="J299" i="1"/>
  <c r="J307" i="1"/>
  <c r="J315" i="1"/>
  <c r="K341" i="1"/>
  <c r="K358" i="1"/>
  <c r="J358" i="1"/>
  <c r="K414" i="1"/>
  <c r="J414" i="1"/>
  <c r="K478" i="1"/>
  <c r="J478" i="1"/>
  <c r="K542" i="1"/>
  <c r="J542" i="1"/>
  <c r="K606" i="1"/>
  <c r="J606" i="1"/>
  <c r="J6" i="1"/>
  <c r="J142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302" i="1"/>
  <c r="J310" i="1"/>
  <c r="J318" i="1"/>
  <c r="K333" i="1"/>
  <c r="K342" i="1"/>
  <c r="J342" i="1"/>
  <c r="K350" i="1"/>
  <c r="J350" i="1"/>
  <c r="K422" i="1"/>
  <c r="J422" i="1"/>
  <c r="K486" i="1"/>
  <c r="J486" i="1"/>
  <c r="K550" i="1"/>
  <c r="J550" i="1"/>
  <c r="K614" i="1"/>
  <c r="J614" i="1"/>
  <c r="K382" i="1"/>
  <c r="J382" i="1"/>
  <c r="K454" i="1"/>
  <c r="J454" i="1"/>
  <c r="K582" i="1"/>
  <c r="J582" i="1"/>
  <c r="J9" i="1"/>
  <c r="J145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9" i="1"/>
  <c r="J297" i="1"/>
  <c r="J305" i="1"/>
  <c r="J313" i="1"/>
  <c r="J321" i="1"/>
  <c r="K325" i="1"/>
  <c r="K334" i="1"/>
  <c r="J334" i="1"/>
  <c r="K430" i="1"/>
  <c r="J430" i="1"/>
  <c r="K494" i="1"/>
  <c r="J494" i="1"/>
  <c r="K558" i="1"/>
  <c r="J558" i="1"/>
  <c r="K622" i="1"/>
  <c r="J622" i="1"/>
  <c r="K630" i="1"/>
  <c r="J630" i="1"/>
  <c r="M630" i="1" s="1"/>
  <c r="N630" i="1" s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76" i="1"/>
  <c r="J284" i="1"/>
  <c r="J292" i="1"/>
  <c r="K326" i="1"/>
  <c r="J326" i="1"/>
  <c r="J363" i="1"/>
  <c r="K438" i="1"/>
  <c r="J438" i="1"/>
  <c r="K502" i="1"/>
  <c r="J502" i="1"/>
  <c r="K566" i="1"/>
  <c r="J566" i="1"/>
  <c r="K638" i="1"/>
  <c r="J638" i="1"/>
  <c r="K518" i="1"/>
  <c r="J518" i="1"/>
  <c r="J355" i="1"/>
  <c r="K446" i="1"/>
  <c r="J446" i="1"/>
  <c r="K510" i="1"/>
  <c r="J510" i="1"/>
  <c r="K574" i="1"/>
  <c r="J574" i="1"/>
  <c r="K646" i="1"/>
  <c r="J646" i="1"/>
  <c r="J369" i="1"/>
  <c r="J324" i="1"/>
  <c r="J332" i="1"/>
  <c r="J340" i="1"/>
  <c r="J348" i="1"/>
  <c r="J356" i="1"/>
  <c r="J364" i="1"/>
  <c r="J372" i="1"/>
  <c r="J380" i="1"/>
  <c r="J388" i="1"/>
  <c r="J396" i="1"/>
  <c r="J404" i="1"/>
  <c r="J412" i="1"/>
  <c r="J420" i="1"/>
  <c r="J428" i="1"/>
  <c r="J436" i="1"/>
  <c r="J444" i="1"/>
  <c r="J452" i="1"/>
  <c r="J460" i="1"/>
  <c r="J468" i="1"/>
  <c r="J476" i="1"/>
  <c r="J484" i="1"/>
  <c r="J492" i="1"/>
  <c r="J500" i="1"/>
  <c r="J508" i="1"/>
  <c r="J516" i="1"/>
  <c r="J524" i="1"/>
  <c r="J532" i="1"/>
  <c r="J540" i="1"/>
  <c r="J548" i="1"/>
  <c r="J556" i="1"/>
  <c r="J564" i="1"/>
  <c r="J572" i="1"/>
  <c r="J580" i="1"/>
  <c r="J588" i="1"/>
  <c r="J596" i="1"/>
  <c r="J604" i="1"/>
  <c r="J612" i="1"/>
  <c r="J620" i="1"/>
  <c r="J628" i="1"/>
  <c r="J636" i="1"/>
  <c r="J644" i="1"/>
  <c r="J652" i="1"/>
  <c r="J660" i="1"/>
  <c r="J629" i="1"/>
  <c r="M629" i="1" s="1"/>
  <c r="J661" i="1"/>
  <c r="J3" i="1"/>
  <c r="J2" i="2"/>
  <c r="J7" i="2"/>
  <c r="J3" i="2"/>
  <c r="J6" i="2"/>
  <c r="J4" i="2"/>
  <c r="J5" i="2"/>
  <c r="J161" i="2"/>
  <c r="N629" i="1" l="1"/>
  <c r="E12" i="3"/>
  <c r="E6" i="3"/>
  <c r="E10" i="3"/>
  <c r="E9" i="3"/>
  <c r="E3" i="3"/>
  <c r="E13" i="3"/>
  <c r="E5" i="3"/>
  <c r="E8" i="3"/>
  <c r="E4" i="3"/>
  <c r="E7" i="3"/>
  <c r="E2" i="3"/>
  <c r="E1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<sst xmlns="http://schemas.openxmlformats.org/spreadsheetml/2006/main" count="2221" uniqueCount="105">
  <si>
    <t>id</t>
  </si>
  <si>
    <t>study</t>
  </si>
  <si>
    <t>subgroup</t>
  </si>
  <si>
    <t>outcome</t>
  </si>
  <si>
    <t>ni</t>
  </si>
  <si>
    <t>TE</t>
  </si>
  <si>
    <t>seTE</t>
  </si>
  <si>
    <t>Ageberg et al., 2009</t>
  </si>
  <si>
    <t>BPTB</t>
  </si>
  <si>
    <t>tegner</t>
  </si>
  <si>
    <t>HT</t>
  </si>
  <si>
    <t>BPTB vs. HT</t>
  </si>
  <si>
    <t>Aglietti et al., 2004</t>
  </si>
  <si>
    <t>instrumented_laxity</t>
  </si>
  <si>
    <t>pivot_shift_2</t>
  </si>
  <si>
    <t>lachman_2</t>
  </si>
  <si>
    <t>pivot_shift_1</t>
  </si>
  <si>
    <t>lachman_1</t>
  </si>
  <si>
    <t>Ahldén et al., 2009</t>
  </si>
  <si>
    <t>lysholm</t>
  </si>
  <si>
    <t>Anderson et al., 2001</t>
  </si>
  <si>
    <t>Anz et al., 2023</t>
  </si>
  <si>
    <t>graft_failure</t>
  </si>
  <si>
    <t>Aune et al., 2001</t>
  </si>
  <si>
    <t>Barenius et al., 2010</t>
  </si>
  <si>
    <t>Barié et al., 2020</t>
  </si>
  <si>
    <t>BPTB vs. QT</t>
  </si>
  <si>
    <t>ikdc_subjective</t>
  </si>
  <si>
    <t>QT</t>
  </si>
  <si>
    <t>Beynnon et al., 2002</t>
  </si>
  <si>
    <t>Bi et al., 2018</t>
  </si>
  <si>
    <t>HT vs. PLT</t>
  </si>
  <si>
    <t>PLT</t>
  </si>
  <si>
    <t>Björnsson et al., 2016</t>
  </si>
  <si>
    <t>Bottoni et al., 2015</t>
  </si>
  <si>
    <t>TA</t>
  </si>
  <si>
    <t>HT vs. TA</t>
  </si>
  <si>
    <t>Butt et al., 2024</t>
  </si>
  <si>
    <t>Calvert et al., 2025</t>
  </si>
  <si>
    <t>HT vs. QT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</si>
  <si>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</si>
  <si>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</si>
  <si>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</si>
  <si>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</si>
  <si>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</si>
  <si>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</si>
  <si>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</si>
  <si>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</si>
  <si>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</si>
  <si>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</si>
  <si>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</si>
  <si>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</si>
  <si>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</si>
  <si>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</si>
  <si>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</si>
  <si>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</si>
  <si>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</si>
  <si>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</si>
  <si>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</si>
  <si>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</si>
  <si>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</si>
  <si>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</si>
  <si>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</si>
  <si>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</si>
  <si>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</si>
  <si>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</si>
  <si>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</si>
  <si>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</si>
  <si>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</si>
  <si>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HT vs. AT</t>
  </si>
  <si>
    <t>AT</t>
  </si>
  <si>
    <t>Papalia et al., 2015</t>
  </si>
  <si>
    <t>Pinczewski et al., 2007</t>
  </si>
  <si>
    <t>Popovic et al., 2024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</si>
  <si>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</si>
  <si>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</si>
  <si>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</si>
  <si>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</si>
  <si>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</si>
  <si>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</si>
  <si>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</si>
  <si>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Vilchez-Cavazos et al., 2020</t>
  </si>
  <si>
    <t>Webster et al., 2001</t>
  </si>
  <si>
    <t>Wipfler et al., 2011</t>
  </si>
  <si>
    <t>Yadav et al., 2025</t>
  </si>
  <si>
    <t>Yoo et al., 2017</t>
  </si>
  <si>
    <t>Zaffagnini et al., 2011</t>
  </si>
  <si>
    <t>ID</t>
  </si>
  <si>
    <t>Study</t>
  </si>
  <si>
    <t>Outcome</t>
  </si>
  <si>
    <t>Sample size</t>
  </si>
  <si>
    <t>Effect size estimate</t>
  </si>
  <si>
    <t>Standard Error</t>
  </si>
  <si>
    <t>bptb</t>
  </si>
  <si>
    <t>ht</t>
  </si>
  <si>
    <t>qt</t>
  </si>
  <si>
    <t>plt</t>
  </si>
  <si>
    <t>at</t>
  </si>
  <si>
    <t>ta</t>
  </si>
  <si>
    <t>bptb vs. ht</t>
  </si>
  <si>
    <t>bptb vs. qt</t>
  </si>
  <si>
    <t>ht vs. qt</t>
  </si>
  <si>
    <t>ht vs. plt</t>
  </si>
  <si>
    <t>ht vs. at</t>
  </si>
  <si>
    <t>ht vs.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</si>
</sst>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2"/>
  <sheetViews>
    <sheetView topLeftCell="A655" zoomScale="97" workbookViewId="0">
      <selection activeCell="C662" sqref="C662:D662"/>
    </sheetView>
  </sheetViews>
  <sheetFormatPr defaultRowHeight="14.5" x14ac:dyDescent="0.35"/>
  <cols>
    <col min="1" max="2" width="3.81640625" bestFit="1" customWidth="1"/>
    <col min="3" max="3" width="24.36328125" bestFit="1" customWidth="1"/>
    <col min="4" max="4" width="10.6328125" bestFit="1" customWidth="1"/>
    <col min="5" max="5" width="18.36328125" bestFit="1" customWidth="1"/>
    <col min="6" max="6" width="3.81640625" bestFit="1" customWidth="1"/>
    <col min="7" max="7" width="6.453125" bestFit="1" customWidth="1"/>
    <col min="8" max="9" width="11.81640625" bestFit="1" customWidth="1"/>
    <col min="10" max="10" width="12.453125" bestFit="1" customWidth="1"/>
    <col min="11" max="11" width="11.81640625" bestFit="1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4" x14ac:dyDescent="0.35">
      <c r="A2">
        <v>434</v>
      </c>
      <c r="B2">
        <v>1</v>
      </c>
      <c r="C2" t="s">
        <v>7</v>
      </c>
      <c r="D2" t="s">
        <v>8</v>
      </c>
      <c r="E2" t="s">
        <v>9</v>
      </c>
      <c r="F2">
        <v>16</v>
      </c>
      <c r="G2">
        <v>4.17</v>
      </c>
      <c r="H2">
        <v>1.41</v>
      </c>
      <c r="I2">
        <f>H2/(SQRT(F2))*1.96</f>
        <v>0.69089999999999996</v>
      </c>
      <c r="J2">
        <f>G2-I2</f>
        <v>3.4790999999999999</v>
      </c>
      <c r="K2">
        <f>G2+I2</f>
        <v>4.8609</v>
      </c>
      <c r="L2" t="str">
        <f>TEXT(I2,"#0.00")</f>
        <v>0.69</v>
      </c>
      <c r="M2" t="str">
        <f>TEXT(J2,"#0.00")</f>
        <v>3.48</v>
      </c>
      <c r="N2" t="str">
        <f>TEXT(G2,"#0.00")&amp;" ["&amp;L2&amp;", "&amp;M2&amp;"]"</f>
        <v>4.17 [0.69, 3.48]</v>
      </c>
    </row>
    <row r="3" spans="1:14" x14ac:dyDescent="0.35">
      <c r="A3">
        <v>435</v>
      </c>
      <c r="B3">
        <v>1</v>
      </c>
      <c r="C3" t="s">
        <v>7</v>
      </c>
      <c r="D3" t="s">
        <v>10</v>
      </c>
      <c r="E3" t="s">
        <v>9</v>
      </c>
      <c r="F3">
        <v>20</v>
      </c>
      <c r="G3">
        <v>3.15</v>
      </c>
      <c r="H3">
        <v>1.34</v>
      </c>
      <c r="I3">
        <f>H3/(SQRT(F3))*1.96</f>
        <v>0.5872808936105447</v>
      </c>
      <c r="J3">
        <f>G3-I3</f>
        <v>2.562719106389455</v>
      </c>
      <c r="K3">
        <f>G3+I3</f>
        <v>3.7372808936105448</v>
      </c>
      <c r="L3" t="str">
        <f t="shared" ref="L3:L66" si="0">TEXT(I3,"#0.00")</f>
        <v>0.59</v>
      </c>
      <c r="M3" t="str">
        <f t="shared" ref="M3:M66" si="1">TEXT(J3,"#0.00")</f>
        <v>2.56</v>
      </c>
      <c r="N3" t="str">
        <f t="shared" ref="N3:N66" si="2">TEXT(G3,"#0.00")&amp;" ["&amp;L3&amp;", "&amp;M3&amp;"]"</f>
        <v>3.15 [0.59, 2.56]</v>
      </c>
    </row>
    <row r="4" spans="1:14" x14ac:dyDescent="0.35">
      <c r="A4">
        <v>0</v>
      </c>
      <c r="B4">
        <v>1</v>
      </c>
      <c r="C4" t="s">
        <v>7</v>
      </c>
      <c r="D4" t="s">
        <v>11</v>
      </c>
      <c r="E4" t="s">
        <v>9</v>
      </c>
      <c r="F4">
        <v>36</v>
      </c>
      <c r="G4">
        <v>0.74399999999999999</v>
      </c>
      <c r="H4">
        <v>0.34699999999999998</v>
      </c>
      <c r="I4">
        <f>H4*1.96</f>
        <v>0.68011999999999995</v>
      </c>
      <c r="J4">
        <f>G4-I4</f>
        <v>6.3880000000000048E-2</v>
      </c>
      <c r="K4">
        <f>G4+I4</f>
        <v>1.4241199999999998</v>
      </c>
      <c r="L4" t="str">
        <f t="shared" si="0"/>
        <v>0.68</v>
      </c>
      <c r="M4" t="str">
        <f t="shared" si="1"/>
        <v>0.06</v>
      </c>
      <c r="N4" t="str">
        <f t="shared" si="2"/>
        <v>0.74 [0.68, 0.06]</v>
      </c>
    </row>
    <row r="5" spans="1:14" x14ac:dyDescent="0.35">
      <c r="A5">
        <v>124</v>
      </c>
      <c r="B5">
        <v>2</v>
      </c>
      <c r="C5" t="s">
        <v>12</v>
      </c>
      <c r="D5" t="s">
        <v>8</v>
      </c>
      <c r="E5" t="s">
        <v>13</v>
      </c>
      <c r="F5">
        <v>60</v>
      </c>
      <c r="G5">
        <v>2.2000000000000002</v>
      </c>
      <c r="H5">
        <v>1.08</v>
      </c>
      <c r="I5">
        <f t="shared" ref="I5:I6" si="3">H5/(SQRT(F5))*1.96</f>
        <v>0.27327770490839537</v>
      </c>
      <c r="J5">
        <f t="shared" ref="J5:J68" si="4">G5-I5</f>
        <v>1.9267222950916048</v>
      </c>
      <c r="K5">
        <f t="shared" ref="K5:K68" si="5">G5+I5</f>
        <v>2.4732777049083956</v>
      </c>
      <c r="L5" t="str">
        <f t="shared" si="0"/>
        <v>0.27</v>
      </c>
      <c r="M5" t="str">
        <f t="shared" si="1"/>
        <v>1.93</v>
      </c>
      <c r="N5" t="str">
        <f t="shared" si="2"/>
        <v>2.20 [0.27, 1.93]</v>
      </c>
    </row>
    <row r="6" spans="1:14" x14ac:dyDescent="0.35">
      <c r="A6">
        <v>125</v>
      </c>
      <c r="B6">
        <v>2</v>
      </c>
      <c r="C6" t="s">
        <v>12</v>
      </c>
      <c r="D6" t="s">
        <v>10</v>
      </c>
      <c r="E6" t="s">
        <v>13</v>
      </c>
      <c r="F6">
        <v>60</v>
      </c>
      <c r="G6">
        <v>1.95</v>
      </c>
      <c r="H6">
        <v>1.3</v>
      </c>
      <c r="I6">
        <f t="shared" si="3"/>
        <v>0.32894538553788327</v>
      </c>
      <c r="J6">
        <f t="shared" si="4"/>
        <v>1.6210546144621167</v>
      </c>
      <c r="K6">
        <f t="shared" si="5"/>
        <v>2.2789453855378832</v>
      </c>
      <c r="L6" t="str">
        <f t="shared" si="0"/>
        <v>0.33</v>
      </c>
      <c r="M6" t="str">
        <f t="shared" si="1"/>
        <v>1.62</v>
      </c>
      <c r="N6" t="str">
        <f t="shared" si="2"/>
        <v>1.95 [0.33, 1.62]</v>
      </c>
    </row>
    <row r="7" spans="1:14" x14ac:dyDescent="0.35">
      <c r="A7">
        <v>0</v>
      </c>
      <c r="B7">
        <v>2</v>
      </c>
      <c r="C7" t="s">
        <v>12</v>
      </c>
      <c r="D7" t="s">
        <v>11</v>
      </c>
      <c r="E7" t="s">
        <v>13</v>
      </c>
      <c r="F7">
        <v>120</v>
      </c>
      <c r="G7">
        <v>0.20899999999999999</v>
      </c>
      <c r="H7">
        <v>0.183</v>
      </c>
      <c r="I7">
        <f t="shared" ref="I7" si="6">H7*1.96</f>
        <v>0.35868</v>
      </c>
      <c r="J7">
        <f t="shared" si="4"/>
        <v>-0.14968000000000001</v>
      </c>
      <c r="K7">
        <f t="shared" si="5"/>
        <v>0.56767999999999996</v>
      </c>
      <c r="L7" t="str">
        <f t="shared" si="0"/>
        <v>0.36</v>
      </c>
      <c r="M7" t="str">
        <f t="shared" si="1"/>
        <v>-0.15</v>
      </c>
      <c r="N7" t="str">
        <f t="shared" si="2"/>
        <v>0.21 [0.36, -0.15]</v>
      </c>
    </row>
    <row r="8" spans="1:14" x14ac:dyDescent="0.35">
      <c r="A8">
        <v>234</v>
      </c>
      <c r="B8">
        <v>2</v>
      </c>
      <c r="C8" t="s">
        <v>12</v>
      </c>
      <c r="D8" t="s">
        <v>8</v>
      </c>
      <c r="E8" t="s">
        <v>17</v>
      </c>
      <c r="F8">
        <v>60</v>
      </c>
      <c r="G8">
        <v>0</v>
      </c>
      <c r="H8">
        <v>0.06</v>
      </c>
      <c r="I8">
        <f t="shared" ref="I8:I9" si="7">H8/(SQRT(F8))*1.96</f>
        <v>1.5182094717133072E-2</v>
      </c>
      <c r="J8">
        <f t="shared" si="4"/>
        <v>-1.5182094717133072E-2</v>
      </c>
      <c r="K8">
        <f t="shared" si="5"/>
        <v>1.5182094717133072E-2</v>
      </c>
      <c r="L8" t="str">
        <f t="shared" si="0"/>
        <v>0.02</v>
      </c>
      <c r="M8" t="str">
        <f t="shared" si="1"/>
        <v>-0.02</v>
      </c>
      <c r="N8" t="str">
        <f t="shared" si="2"/>
        <v>0.00 [0.02, -0.02]</v>
      </c>
    </row>
    <row r="9" spans="1:14" x14ac:dyDescent="0.35">
      <c r="A9">
        <v>235</v>
      </c>
      <c r="B9">
        <v>2</v>
      </c>
      <c r="C9" t="s">
        <v>12</v>
      </c>
      <c r="D9" t="s">
        <v>10</v>
      </c>
      <c r="E9" t="s">
        <v>17</v>
      </c>
      <c r="F9">
        <v>60</v>
      </c>
      <c r="G9">
        <v>0</v>
      </c>
      <c r="H9">
        <v>0.06</v>
      </c>
      <c r="I9">
        <f t="shared" si="7"/>
        <v>1.5182094717133072E-2</v>
      </c>
      <c r="J9">
        <f t="shared" si="4"/>
        <v>-1.5182094717133072E-2</v>
      </c>
      <c r="K9">
        <f t="shared" si="5"/>
        <v>1.5182094717133072E-2</v>
      </c>
      <c r="L9" t="str">
        <f t="shared" si="0"/>
        <v>0.02</v>
      </c>
      <c r="M9" t="str">
        <f t="shared" si="1"/>
        <v>-0.02</v>
      </c>
      <c r="N9" t="str">
        <f t="shared" si="2"/>
        <v>0.00 [0.02, -0.02]</v>
      </c>
    </row>
    <row r="10" spans="1:14" x14ac:dyDescent="0.35">
      <c r="A10">
        <v>0</v>
      </c>
      <c r="B10">
        <v>2</v>
      </c>
      <c r="C10" t="s">
        <v>12</v>
      </c>
      <c r="D10" t="s">
        <v>11</v>
      </c>
      <c r="E10" t="s">
        <v>17</v>
      </c>
      <c r="F10">
        <v>121</v>
      </c>
      <c r="G10">
        <v>1</v>
      </c>
      <c r="H10">
        <v>2.0083160441856092</v>
      </c>
      <c r="I10">
        <f t="shared" ref="I10" si="8">H10*1.96</f>
        <v>3.9362994466037939</v>
      </c>
      <c r="J10">
        <f t="shared" si="4"/>
        <v>-2.9362994466037939</v>
      </c>
      <c r="K10">
        <f t="shared" si="5"/>
        <v>4.9362994466037939</v>
      </c>
      <c r="L10" t="str">
        <f t="shared" si="0"/>
        <v>3.94</v>
      </c>
      <c r="M10" t="str">
        <f t="shared" si="1"/>
        <v>-2.94</v>
      </c>
      <c r="N10" t="str">
        <f t="shared" si="2"/>
        <v>1.00 [3.94, -2.94]</v>
      </c>
    </row>
    <row r="11" spans="1:14" x14ac:dyDescent="0.35">
      <c r="A11">
        <v>492</v>
      </c>
      <c r="B11">
        <v>2</v>
      </c>
      <c r="C11" t="s">
        <v>12</v>
      </c>
      <c r="D11" t="s">
        <v>8</v>
      </c>
      <c r="E11" t="s">
        <v>15</v>
      </c>
      <c r="F11">
        <v>60</v>
      </c>
      <c r="G11">
        <v>0</v>
      </c>
      <c r="H11">
        <v>0.06</v>
      </c>
      <c r="I11">
        <f t="shared" ref="I11:I12" si="9">H11/(SQRT(F11))*1.96</f>
        <v>1.5182094717133072E-2</v>
      </c>
      <c r="J11">
        <f t="shared" si="4"/>
        <v>-1.5182094717133072E-2</v>
      </c>
      <c r="K11">
        <f t="shared" si="5"/>
        <v>1.5182094717133072E-2</v>
      </c>
      <c r="L11" t="str">
        <f t="shared" si="0"/>
        <v>0.02</v>
      </c>
      <c r="M11" t="str">
        <f t="shared" si="1"/>
        <v>-0.02</v>
      </c>
      <c r="N11" t="str">
        <f t="shared" si="2"/>
        <v>0.00 [0.02, -0.02]</v>
      </c>
    </row>
    <row r="12" spans="1:14" x14ac:dyDescent="0.35">
      <c r="A12">
        <v>493</v>
      </c>
      <c r="B12">
        <v>2</v>
      </c>
      <c r="C12" t="s">
        <v>12</v>
      </c>
      <c r="D12" t="s">
        <v>10</v>
      </c>
      <c r="E12" t="s">
        <v>15</v>
      </c>
      <c r="F12">
        <v>60</v>
      </c>
      <c r="G12">
        <v>0</v>
      </c>
      <c r="H12">
        <v>0.06</v>
      </c>
      <c r="I12">
        <f t="shared" si="9"/>
        <v>1.5182094717133072E-2</v>
      </c>
      <c r="J12">
        <f t="shared" si="4"/>
        <v>-1.5182094717133072E-2</v>
      </c>
      <c r="K12">
        <f t="shared" si="5"/>
        <v>1.5182094717133072E-2</v>
      </c>
      <c r="L12" t="str">
        <f t="shared" si="0"/>
        <v>0.02</v>
      </c>
      <c r="M12" t="str">
        <f t="shared" si="1"/>
        <v>-0.02</v>
      </c>
      <c r="N12" t="str">
        <f t="shared" si="2"/>
        <v>0.00 [0.02, -0.02]</v>
      </c>
    </row>
    <row r="13" spans="1:14" x14ac:dyDescent="0.35">
      <c r="A13">
        <v>0</v>
      </c>
      <c r="B13">
        <v>2</v>
      </c>
      <c r="C13" t="s">
        <v>12</v>
      </c>
      <c r="D13" t="s">
        <v>11</v>
      </c>
      <c r="E13" t="s">
        <v>15</v>
      </c>
      <c r="F13">
        <v>121</v>
      </c>
      <c r="G13">
        <v>1</v>
      </c>
      <c r="H13">
        <v>2.0083160441856092</v>
      </c>
      <c r="I13">
        <f t="shared" ref="I13" si="10">H13*1.96</f>
        <v>3.9362994466037939</v>
      </c>
      <c r="J13">
        <f t="shared" si="4"/>
        <v>-2.9362994466037939</v>
      </c>
      <c r="K13">
        <f t="shared" si="5"/>
        <v>4.9362994466037939</v>
      </c>
      <c r="L13" t="str">
        <f t="shared" si="0"/>
        <v>3.94</v>
      </c>
      <c r="M13" t="str">
        <f t="shared" si="1"/>
        <v>-2.94</v>
      </c>
      <c r="N13" t="str">
        <f t="shared" si="2"/>
        <v>1.00 [3.94, -2.94]</v>
      </c>
    </row>
    <row r="14" spans="1:14" x14ac:dyDescent="0.35">
      <c r="A14">
        <v>370</v>
      </c>
      <c r="B14">
        <v>2</v>
      </c>
      <c r="C14" t="s">
        <v>12</v>
      </c>
      <c r="D14" t="s">
        <v>8</v>
      </c>
      <c r="E14" t="s">
        <v>16</v>
      </c>
      <c r="F14">
        <v>60</v>
      </c>
      <c r="G14">
        <v>10</v>
      </c>
      <c r="H14">
        <v>7.0000000000000007E-2</v>
      </c>
      <c r="I14">
        <f t="shared" ref="I14:I15" si="11">H14/(SQRT(F14))*1.96</f>
        <v>1.7712443836655253E-2</v>
      </c>
      <c r="J14">
        <f t="shared" si="4"/>
        <v>9.9822875561633442</v>
      </c>
      <c r="K14">
        <f t="shared" si="5"/>
        <v>10.017712443836656</v>
      </c>
      <c r="L14" t="str">
        <f t="shared" si="0"/>
        <v>0.02</v>
      </c>
      <c r="M14" t="str">
        <f t="shared" si="1"/>
        <v>9.98</v>
      </c>
      <c r="N14" t="str">
        <f t="shared" si="2"/>
        <v>10.00 [0.02, 9.98]</v>
      </c>
    </row>
    <row r="15" spans="1:14" x14ac:dyDescent="0.35">
      <c r="A15">
        <v>371</v>
      </c>
      <c r="B15">
        <v>2</v>
      </c>
      <c r="C15" t="s">
        <v>12</v>
      </c>
      <c r="D15" t="s">
        <v>10</v>
      </c>
      <c r="E15" t="s">
        <v>16</v>
      </c>
      <c r="F15">
        <v>60</v>
      </c>
      <c r="G15">
        <v>11</v>
      </c>
      <c r="H15">
        <v>7.0000000000000007E-2</v>
      </c>
      <c r="I15">
        <f t="shared" si="11"/>
        <v>1.7712443836655253E-2</v>
      </c>
      <c r="J15">
        <f t="shared" si="4"/>
        <v>10.982287556163344</v>
      </c>
      <c r="K15">
        <f t="shared" si="5"/>
        <v>11.017712443836656</v>
      </c>
      <c r="L15" t="str">
        <f t="shared" si="0"/>
        <v>0.02</v>
      </c>
      <c r="M15" t="str">
        <f t="shared" si="1"/>
        <v>10.98</v>
      </c>
      <c r="N15" t="str">
        <f t="shared" si="2"/>
        <v>11.00 [0.02, 10.98]</v>
      </c>
    </row>
    <row r="16" spans="1:14" x14ac:dyDescent="0.35">
      <c r="A16">
        <v>0</v>
      </c>
      <c r="B16">
        <v>2</v>
      </c>
      <c r="C16" t="s">
        <v>12</v>
      </c>
      <c r="D16" t="s">
        <v>11</v>
      </c>
      <c r="E16" t="s">
        <v>16</v>
      </c>
      <c r="F16">
        <v>121</v>
      </c>
      <c r="G16">
        <v>0.89500000000000002</v>
      </c>
      <c r="H16">
        <v>0.47180799086337211</v>
      </c>
      <c r="I16">
        <f t="shared" ref="I16" si="12">H16*1.96</f>
        <v>0.92474366209220926</v>
      </c>
      <c r="J16">
        <f t="shared" si="4"/>
        <v>-2.9743662092209244E-2</v>
      </c>
      <c r="K16">
        <f t="shared" si="5"/>
        <v>1.8197436620922094</v>
      </c>
      <c r="L16" t="str">
        <f t="shared" si="0"/>
        <v>0.92</v>
      </c>
      <c r="M16" t="str">
        <f t="shared" si="1"/>
        <v>-0.03</v>
      </c>
      <c r="N16" t="str">
        <f t="shared" si="2"/>
        <v>0.90 [0.92, -0.03]</v>
      </c>
    </row>
    <row r="17" spans="1:14" x14ac:dyDescent="0.35">
      <c r="A17">
        <v>548</v>
      </c>
      <c r="B17">
        <v>2</v>
      </c>
      <c r="C17" t="s">
        <v>12</v>
      </c>
      <c r="D17" t="s">
        <v>8</v>
      </c>
      <c r="E17" t="s">
        <v>14</v>
      </c>
      <c r="F17">
        <v>60</v>
      </c>
      <c r="G17">
        <v>0</v>
      </c>
      <c r="H17">
        <v>7.0000000000000007E-2</v>
      </c>
      <c r="I17">
        <f t="shared" ref="I17:I18" si="13">H17/(SQRT(F17))*1.96</f>
        <v>1.7712443836655253E-2</v>
      </c>
      <c r="J17">
        <f t="shared" si="4"/>
        <v>-1.7712443836655253E-2</v>
      </c>
      <c r="K17">
        <f t="shared" si="5"/>
        <v>1.7712443836655253E-2</v>
      </c>
      <c r="L17" t="str">
        <f t="shared" si="0"/>
        <v>0.02</v>
      </c>
      <c r="M17" t="str">
        <f t="shared" si="1"/>
        <v>-0.02</v>
      </c>
      <c r="N17" t="str">
        <f t="shared" si="2"/>
        <v>0.00 [0.02, -0.02]</v>
      </c>
    </row>
    <row r="18" spans="1:14" x14ac:dyDescent="0.35">
      <c r="A18">
        <v>549</v>
      </c>
      <c r="B18">
        <v>2</v>
      </c>
      <c r="C18" t="s">
        <v>12</v>
      </c>
      <c r="D18" t="s">
        <v>10</v>
      </c>
      <c r="E18" t="s">
        <v>14</v>
      </c>
      <c r="F18">
        <v>60</v>
      </c>
      <c r="G18">
        <v>0</v>
      </c>
      <c r="H18">
        <v>7.0000000000000007E-2</v>
      </c>
      <c r="I18">
        <f t="shared" si="13"/>
        <v>1.7712443836655253E-2</v>
      </c>
      <c r="J18">
        <f t="shared" si="4"/>
        <v>-1.7712443836655253E-2</v>
      </c>
      <c r="K18">
        <f t="shared" si="5"/>
        <v>1.7712443836655253E-2</v>
      </c>
      <c r="L18" t="str">
        <f t="shared" si="0"/>
        <v>0.02</v>
      </c>
      <c r="M18" t="str">
        <f t="shared" si="1"/>
        <v>-0.02</v>
      </c>
      <c r="N18" t="str">
        <f t="shared" si="2"/>
        <v>0.00 [0.02, -0.02]</v>
      </c>
    </row>
    <row r="19" spans="1:14" x14ac:dyDescent="0.35">
      <c r="A19">
        <v>0</v>
      </c>
      <c r="B19">
        <v>2</v>
      </c>
      <c r="C19" t="s">
        <v>12</v>
      </c>
      <c r="D19" t="s">
        <v>11</v>
      </c>
      <c r="E19" t="s">
        <v>14</v>
      </c>
      <c r="F19">
        <v>121</v>
      </c>
      <c r="G19">
        <v>1</v>
      </c>
      <c r="H19">
        <v>2.0083160441856092</v>
      </c>
      <c r="I19">
        <f t="shared" ref="I19" si="14">H19*1.96</f>
        <v>3.9362994466037939</v>
      </c>
      <c r="J19">
        <f t="shared" si="4"/>
        <v>-2.9362994466037939</v>
      </c>
      <c r="K19">
        <f t="shared" si="5"/>
        <v>4.9362994466037939</v>
      </c>
      <c r="L19" t="str">
        <f t="shared" si="0"/>
        <v>3.94</v>
      </c>
      <c r="M19" t="str">
        <f t="shared" si="1"/>
        <v>-2.94</v>
      </c>
      <c r="N19" t="str">
        <f t="shared" si="2"/>
        <v>1.00 [3.94, -2.94]</v>
      </c>
    </row>
    <row r="20" spans="1:14" x14ac:dyDescent="0.35">
      <c r="A20">
        <v>126</v>
      </c>
      <c r="B20">
        <v>3</v>
      </c>
      <c r="C20" t="s">
        <v>18</v>
      </c>
      <c r="D20" t="s">
        <v>8</v>
      </c>
      <c r="E20" t="s">
        <v>13</v>
      </c>
      <c r="F20">
        <v>25</v>
      </c>
      <c r="G20">
        <v>2.6</v>
      </c>
      <c r="H20">
        <v>3.3</v>
      </c>
      <c r="I20">
        <f t="shared" ref="I20:I21" si="15">H20/(SQRT(F20))*1.96</f>
        <v>1.2935999999999999</v>
      </c>
      <c r="J20">
        <f t="shared" si="4"/>
        <v>1.3064000000000002</v>
      </c>
      <c r="K20">
        <f t="shared" si="5"/>
        <v>3.8936000000000002</v>
      </c>
      <c r="L20" t="str">
        <f t="shared" si="0"/>
        <v>1.29</v>
      </c>
      <c r="M20" t="str">
        <f t="shared" si="1"/>
        <v>1.31</v>
      </c>
      <c r="N20" t="str">
        <f t="shared" si="2"/>
        <v>2.60 [1.29, 1.31]</v>
      </c>
    </row>
    <row r="21" spans="1:14" x14ac:dyDescent="0.35">
      <c r="A21">
        <v>127</v>
      </c>
      <c r="B21">
        <v>3</v>
      </c>
      <c r="C21" t="s">
        <v>18</v>
      </c>
      <c r="D21" t="s">
        <v>10</v>
      </c>
      <c r="E21" t="s">
        <v>13</v>
      </c>
      <c r="F21">
        <v>22</v>
      </c>
      <c r="G21">
        <v>1.4</v>
      </c>
      <c r="H21">
        <v>2.6</v>
      </c>
      <c r="I21">
        <f t="shared" si="15"/>
        <v>1.0864708505481908</v>
      </c>
      <c r="J21">
        <f t="shared" si="4"/>
        <v>0.3135291494518091</v>
      </c>
      <c r="K21">
        <f t="shared" si="5"/>
        <v>2.4864708505481907</v>
      </c>
      <c r="L21" t="str">
        <f t="shared" si="0"/>
        <v>1.09</v>
      </c>
      <c r="M21" t="str">
        <f t="shared" si="1"/>
        <v>0.31</v>
      </c>
      <c r="N21" t="str">
        <f t="shared" si="2"/>
        <v>1.40 [1.09, 0.31]</v>
      </c>
    </row>
    <row r="22" spans="1:14" x14ac:dyDescent="0.35">
      <c r="A22">
        <v>1</v>
      </c>
      <c r="B22">
        <v>3</v>
      </c>
      <c r="C22" t="s">
        <v>18</v>
      </c>
      <c r="D22" t="s">
        <v>11</v>
      </c>
      <c r="E22" t="s">
        <v>13</v>
      </c>
      <c r="F22">
        <v>47</v>
      </c>
      <c r="G22">
        <v>0.40100000000000002</v>
      </c>
      <c r="H22">
        <v>0.29499999999999998</v>
      </c>
      <c r="I22">
        <f t="shared" ref="I22" si="16">H22*1.96</f>
        <v>0.57819999999999994</v>
      </c>
      <c r="J22">
        <f t="shared" si="4"/>
        <v>-0.17719999999999991</v>
      </c>
      <c r="K22">
        <f t="shared" si="5"/>
        <v>0.97919999999999996</v>
      </c>
      <c r="L22" t="str">
        <f t="shared" si="0"/>
        <v>0.58</v>
      </c>
      <c r="M22" t="str">
        <f t="shared" si="1"/>
        <v>-0.18</v>
      </c>
      <c r="N22" t="str">
        <f t="shared" si="2"/>
        <v>0.40 [0.58, -0.18]</v>
      </c>
    </row>
    <row r="23" spans="1:14" x14ac:dyDescent="0.35">
      <c r="A23">
        <v>290</v>
      </c>
      <c r="B23">
        <v>3</v>
      </c>
      <c r="C23" t="s">
        <v>18</v>
      </c>
      <c r="D23" t="s">
        <v>8</v>
      </c>
      <c r="E23" t="s">
        <v>19</v>
      </c>
      <c r="F23">
        <v>25</v>
      </c>
      <c r="G23">
        <v>80.7</v>
      </c>
      <c r="H23">
        <v>21.64</v>
      </c>
      <c r="I23">
        <f t="shared" ref="I23:I24" si="17">H23/(SQRT(F23))*1.96</f>
        <v>8.4828799999999998</v>
      </c>
      <c r="J23">
        <f t="shared" si="4"/>
        <v>72.217120000000008</v>
      </c>
      <c r="K23">
        <f t="shared" si="5"/>
        <v>89.182879999999997</v>
      </c>
      <c r="L23" t="str">
        <f t="shared" si="0"/>
        <v>8.48</v>
      </c>
      <c r="M23" t="str">
        <f t="shared" si="1"/>
        <v>72.22</v>
      </c>
      <c r="N23" t="str">
        <f t="shared" si="2"/>
        <v>80.70 [8.48, 72.22]</v>
      </c>
    </row>
    <row r="24" spans="1:14" x14ac:dyDescent="0.35">
      <c r="A24">
        <v>291</v>
      </c>
      <c r="B24">
        <v>3</v>
      </c>
      <c r="C24" t="s">
        <v>18</v>
      </c>
      <c r="D24" t="s">
        <v>10</v>
      </c>
      <c r="E24" t="s">
        <v>19</v>
      </c>
      <c r="F24">
        <v>22</v>
      </c>
      <c r="G24">
        <v>79.16</v>
      </c>
      <c r="H24">
        <v>13.35</v>
      </c>
      <c r="I24">
        <f t="shared" si="17"/>
        <v>5.5786099441609025</v>
      </c>
      <c r="J24">
        <f t="shared" si="4"/>
        <v>73.581390055839094</v>
      </c>
      <c r="K24">
        <f t="shared" si="5"/>
        <v>84.738609944160899</v>
      </c>
      <c r="L24" t="str">
        <f t="shared" si="0"/>
        <v>5.58</v>
      </c>
      <c r="M24" t="str">
        <f t="shared" si="1"/>
        <v>73.58</v>
      </c>
      <c r="N24" t="str">
        <f t="shared" si="2"/>
        <v>79.16 [5.58, 73.58]</v>
      </c>
    </row>
    <row r="25" spans="1:14" x14ac:dyDescent="0.35">
      <c r="A25">
        <v>0</v>
      </c>
      <c r="B25">
        <v>3</v>
      </c>
      <c r="C25" t="s">
        <v>18</v>
      </c>
      <c r="D25" t="s">
        <v>11</v>
      </c>
      <c r="E25" t="s">
        <v>19</v>
      </c>
      <c r="F25">
        <v>47</v>
      </c>
      <c r="G25">
        <v>8.4000000000000005E-2</v>
      </c>
      <c r="H25">
        <v>0.29199999999999998</v>
      </c>
      <c r="I25">
        <f t="shared" ref="I25" si="18">H25*1.96</f>
        <v>0.57231999999999994</v>
      </c>
      <c r="J25">
        <f t="shared" si="4"/>
        <v>-0.48831999999999992</v>
      </c>
      <c r="K25">
        <f t="shared" si="5"/>
        <v>0.6563199999999999</v>
      </c>
      <c r="L25" t="str">
        <f t="shared" si="0"/>
        <v>0.57</v>
      </c>
      <c r="M25" t="str">
        <f t="shared" si="1"/>
        <v>-0.49</v>
      </c>
      <c r="N25" t="str">
        <f t="shared" si="2"/>
        <v>0.08 [0.57, -0.49]</v>
      </c>
    </row>
    <row r="26" spans="1:14" x14ac:dyDescent="0.35">
      <c r="A26">
        <v>436</v>
      </c>
      <c r="B26">
        <v>3</v>
      </c>
      <c r="C26" t="s">
        <v>18</v>
      </c>
      <c r="D26" t="s">
        <v>8</v>
      </c>
      <c r="E26" t="s">
        <v>9</v>
      </c>
      <c r="F26">
        <v>25</v>
      </c>
      <c r="G26">
        <v>4.87</v>
      </c>
      <c r="H26">
        <v>2.29</v>
      </c>
      <c r="I26">
        <f t="shared" ref="I26:I27" si="19">H26/(SQRT(F26))*1.96</f>
        <v>0.89768000000000003</v>
      </c>
      <c r="J26">
        <f t="shared" si="4"/>
        <v>3.9723199999999999</v>
      </c>
      <c r="K26">
        <f t="shared" si="5"/>
        <v>5.7676800000000004</v>
      </c>
      <c r="L26" t="str">
        <f t="shared" si="0"/>
        <v>0.90</v>
      </c>
      <c r="M26" t="str">
        <f t="shared" si="1"/>
        <v>3.97</v>
      </c>
      <c r="N26" t="str">
        <f t="shared" si="2"/>
        <v>4.87 [0.90, 3.97]</v>
      </c>
    </row>
    <row r="27" spans="1:14" x14ac:dyDescent="0.35">
      <c r="A27">
        <v>437</v>
      </c>
      <c r="B27">
        <v>3</v>
      </c>
      <c r="C27" t="s">
        <v>18</v>
      </c>
      <c r="D27" t="s">
        <v>10</v>
      </c>
      <c r="E27" t="s">
        <v>9</v>
      </c>
      <c r="F27">
        <v>22</v>
      </c>
      <c r="G27">
        <v>4.8600000000000003</v>
      </c>
      <c r="H27">
        <v>1.31</v>
      </c>
      <c r="I27">
        <f t="shared" si="19"/>
        <v>0.54741415931466542</v>
      </c>
      <c r="J27">
        <f t="shared" si="4"/>
        <v>4.312585840685335</v>
      </c>
      <c r="K27">
        <f t="shared" si="5"/>
        <v>5.4074141593146656</v>
      </c>
      <c r="L27" t="str">
        <f t="shared" si="0"/>
        <v>0.55</v>
      </c>
      <c r="M27" t="str">
        <f t="shared" si="1"/>
        <v>4.31</v>
      </c>
      <c r="N27" t="str">
        <f t="shared" si="2"/>
        <v>4.86 [0.55, 4.31]</v>
      </c>
    </row>
    <row r="28" spans="1:14" x14ac:dyDescent="0.35">
      <c r="A28">
        <v>1</v>
      </c>
      <c r="B28">
        <v>3</v>
      </c>
      <c r="C28" t="s">
        <v>18</v>
      </c>
      <c r="D28" t="s">
        <v>11</v>
      </c>
      <c r="E28" t="s">
        <v>9</v>
      </c>
      <c r="F28">
        <v>47</v>
      </c>
      <c r="G28">
        <v>5.0000000000000001E-3</v>
      </c>
      <c r="H28">
        <v>0.29199999999999998</v>
      </c>
      <c r="I28">
        <f t="shared" ref="I28" si="20">H28*1.96</f>
        <v>0.57231999999999994</v>
      </c>
      <c r="J28">
        <f t="shared" si="4"/>
        <v>-0.56731999999999994</v>
      </c>
      <c r="K28">
        <f t="shared" si="5"/>
        <v>0.57731999999999994</v>
      </c>
      <c r="L28" t="str">
        <f t="shared" si="0"/>
        <v>0.57</v>
      </c>
      <c r="M28" t="str">
        <f t="shared" si="1"/>
        <v>-0.57</v>
      </c>
      <c r="N28" t="str">
        <f t="shared" si="2"/>
        <v>0.01 [0.57, -0.57]</v>
      </c>
    </row>
    <row r="29" spans="1:14" x14ac:dyDescent="0.35">
      <c r="A29">
        <v>130</v>
      </c>
      <c r="B29">
        <v>5</v>
      </c>
      <c r="C29" t="s">
        <v>20</v>
      </c>
      <c r="D29" t="s">
        <v>8</v>
      </c>
      <c r="E29" t="s">
        <v>13</v>
      </c>
      <c r="F29">
        <v>35</v>
      </c>
      <c r="G29">
        <v>2.1</v>
      </c>
      <c r="H29">
        <v>2</v>
      </c>
      <c r="I29">
        <f t="shared" ref="I29:I30" si="21">H29/(SQRT(F29))*1.96</f>
        <v>0.66260093570715695</v>
      </c>
      <c r="J29">
        <f t="shared" si="4"/>
        <v>1.4373990642928431</v>
      </c>
      <c r="K29">
        <f t="shared" si="5"/>
        <v>2.762600935707157</v>
      </c>
      <c r="L29" t="str">
        <f t="shared" si="0"/>
        <v>0.66</v>
      </c>
      <c r="M29" t="str">
        <f t="shared" si="1"/>
        <v>1.44</v>
      </c>
      <c r="N29" t="str">
        <f t="shared" si="2"/>
        <v>2.10 [0.66, 1.44]</v>
      </c>
    </row>
    <row r="30" spans="1:14" x14ac:dyDescent="0.35">
      <c r="A30">
        <v>131</v>
      </c>
      <c r="B30">
        <v>5</v>
      </c>
      <c r="C30" t="s">
        <v>20</v>
      </c>
      <c r="D30" t="s">
        <v>10</v>
      </c>
      <c r="E30" t="s">
        <v>13</v>
      </c>
      <c r="F30">
        <v>33</v>
      </c>
      <c r="G30">
        <v>3.1</v>
      </c>
      <c r="H30">
        <v>2.2999999999999998</v>
      </c>
      <c r="I30">
        <f t="shared" si="21"/>
        <v>0.7847420730482858</v>
      </c>
      <c r="J30">
        <f t="shared" si="4"/>
        <v>2.3152579269517144</v>
      </c>
      <c r="K30">
        <f t="shared" si="5"/>
        <v>3.8847420730482858</v>
      </c>
      <c r="L30" t="str">
        <f t="shared" si="0"/>
        <v>0.78</v>
      </c>
      <c r="M30" t="str">
        <f t="shared" si="1"/>
        <v>2.32</v>
      </c>
      <c r="N30" t="str">
        <f t="shared" si="2"/>
        <v>3.10 [0.78, 2.32]</v>
      </c>
    </row>
    <row r="31" spans="1:14" x14ac:dyDescent="0.35">
      <c r="A31">
        <v>2</v>
      </c>
      <c r="B31">
        <v>5</v>
      </c>
      <c r="C31" t="s">
        <v>20</v>
      </c>
      <c r="D31" t="s">
        <v>11</v>
      </c>
      <c r="E31" t="s">
        <v>13</v>
      </c>
      <c r="F31">
        <v>68</v>
      </c>
      <c r="G31">
        <v>0.46500000000000002</v>
      </c>
      <c r="H31">
        <v>0.246</v>
      </c>
      <c r="I31">
        <f t="shared" ref="I31" si="22">H31*1.96</f>
        <v>0.48215999999999998</v>
      </c>
      <c r="J31">
        <f t="shared" si="4"/>
        <v>-1.7159999999999953E-2</v>
      </c>
      <c r="K31">
        <f t="shared" si="5"/>
        <v>0.94716</v>
      </c>
      <c r="L31" t="str">
        <f t="shared" si="0"/>
        <v>0.48</v>
      </c>
      <c r="M31" t="str">
        <f t="shared" si="1"/>
        <v>-0.02</v>
      </c>
      <c r="N31" t="str">
        <f t="shared" si="2"/>
        <v>0.47 [0.48, -0.02]</v>
      </c>
    </row>
    <row r="32" spans="1:14" x14ac:dyDescent="0.35">
      <c r="A32">
        <v>372</v>
      </c>
      <c r="B32">
        <v>5</v>
      </c>
      <c r="C32" t="s">
        <v>20</v>
      </c>
      <c r="D32" t="s">
        <v>8</v>
      </c>
      <c r="E32" t="s">
        <v>16</v>
      </c>
      <c r="F32">
        <v>35</v>
      </c>
      <c r="G32">
        <v>18</v>
      </c>
      <c r="H32">
        <v>1.59</v>
      </c>
      <c r="I32">
        <f t="shared" ref="I32:I33" si="23">H32/(SQRT(F32))*1.96</f>
        <v>0.52676774388718972</v>
      </c>
      <c r="J32">
        <f t="shared" si="4"/>
        <v>17.473232256112809</v>
      </c>
      <c r="K32">
        <f t="shared" si="5"/>
        <v>18.526767743887191</v>
      </c>
      <c r="L32" t="str">
        <f t="shared" si="0"/>
        <v>0.53</v>
      </c>
      <c r="M32" t="str">
        <f t="shared" si="1"/>
        <v>17.47</v>
      </c>
      <c r="N32" t="str">
        <f t="shared" si="2"/>
        <v>18.00 [0.53, 17.47]</v>
      </c>
    </row>
    <row r="33" spans="1:14" x14ac:dyDescent="0.35">
      <c r="A33">
        <v>373</v>
      </c>
      <c r="B33">
        <v>5</v>
      </c>
      <c r="C33" t="s">
        <v>20</v>
      </c>
      <c r="D33" t="s">
        <v>10</v>
      </c>
      <c r="E33" t="s">
        <v>16</v>
      </c>
      <c r="F33">
        <v>33</v>
      </c>
      <c r="G33">
        <v>36</v>
      </c>
      <c r="H33">
        <v>1.95</v>
      </c>
      <c r="I33">
        <f t="shared" si="23"/>
        <v>0.66532480106267711</v>
      </c>
      <c r="J33">
        <f t="shared" si="4"/>
        <v>35.334675198937326</v>
      </c>
      <c r="K33">
        <f t="shared" si="5"/>
        <v>36.665324801062674</v>
      </c>
      <c r="L33" t="str">
        <f t="shared" si="0"/>
        <v>0.67</v>
      </c>
      <c r="M33" t="str">
        <f t="shared" si="1"/>
        <v>35.33</v>
      </c>
      <c r="N33" t="str">
        <f t="shared" si="2"/>
        <v>36.00 [0.67, 35.33]</v>
      </c>
    </row>
    <row r="34" spans="1:14" x14ac:dyDescent="0.35">
      <c r="A34">
        <v>1</v>
      </c>
      <c r="B34">
        <v>5</v>
      </c>
      <c r="C34" t="s">
        <v>20</v>
      </c>
      <c r="D34" t="s">
        <v>11</v>
      </c>
      <c r="E34" t="s">
        <v>16</v>
      </c>
      <c r="F34">
        <v>69</v>
      </c>
      <c r="G34">
        <v>-8.8999999999999996E-2</v>
      </c>
      <c r="I34">
        <f t="shared" ref="I34" si="24">H34*1.96</f>
        <v>0</v>
      </c>
      <c r="J34">
        <f t="shared" si="4"/>
        <v>-8.8999999999999996E-2</v>
      </c>
      <c r="K34">
        <f t="shared" si="5"/>
        <v>-8.8999999999999996E-2</v>
      </c>
      <c r="L34" t="str">
        <f t="shared" si="0"/>
        <v>0.00</v>
      </c>
      <c r="M34" t="str">
        <f t="shared" si="1"/>
        <v>-0.09</v>
      </c>
      <c r="N34" t="str">
        <f t="shared" si="2"/>
        <v>-0.09 [0.00, -0.09]</v>
      </c>
    </row>
    <row r="35" spans="1:14" x14ac:dyDescent="0.35">
      <c r="A35">
        <v>550</v>
      </c>
      <c r="B35">
        <v>5</v>
      </c>
      <c r="C35" t="s">
        <v>20</v>
      </c>
      <c r="D35" t="s">
        <v>8</v>
      </c>
      <c r="E35" t="s">
        <v>14</v>
      </c>
      <c r="F35">
        <v>35</v>
      </c>
      <c r="G35">
        <v>15</v>
      </c>
      <c r="H35">
        <v>1.59</v>
      </c>
      <c r="I35">
        <f t="shared" ref="I35:I36" si="25">H35/(SQRT(F35))*1.96</f>
        <v>0.52676774388718972</v>
      </c>
      <c r="J35">
        <f t="shared" si="4"/>
        <v>14.47323225611281</v>
      </c>
      <c r="K35">
        <f t="shared" si="5"/>
        <v>15.52676774388719</v>
      </c>
      <c r="L35" t="str">
        <f t="shared" si="0"/>
        <v>0.53</v>
      </c>
      <c r="M35" t="str">
        <f t="shared" si="1"/>
        <v>14.47</v>
      </c>
      <c r="N35" t="str">
        <f t="shared" si="2"/>
        <v>15.00 [0.53, 14.47]</v>
      </c>
    </row>
    <row r="36" spans="1:14" x14ac:dyDescent="0.35">
      <c r="A36">
        <v>551</v>
      </c>
      <c r="B36">
        <v>5</v>
      </c>
      <c r="C36" t="s">
        <v>20</v>
      </c>
      <c r="D36" t="s">
        <v>10</v>
      </c>
      <c r="E36" t="s">
        <v>14</v>
      </c>
      <c r="F36">
        <v>33</v>
      </c>
      <c r="G36">
        <v>27</v>
      </c>
      <c r="H36">
        <v>1.95</v>
      </c>
      <c r="I36">
        <f t="shared" si="25"/>
        <v>0.66532480106267711</v>
      </c>
      <c r="J36">
        <f t="shared" si="4"/>
        <v>26.334675198937322</v>
      </c>
      <c r="K36">
        <f t="shared" si="5"/>
        <v>27.665324801062678</v>
      </c>
      <c r="L36" t="str">
        <f t="shared" si="0"/>
        <v>0.67</v>
      </c>
      <c r="M36" t="str">
        <f t="shared" si="1"/>
        <v>26.33</v>
      </c>
      <c r="N36" t="str">
        <f t="shared" si="2"/>
        <v>27.00 [0.67, 26.33]</v>
      </c>
    </row>
    <row r="37" spans="1:14" x14ac:dyDescent="0.35">
      <c r="A37">
        <v>1</v>
      </c>
      <c r="B37">
        <v>5</v>
      </c>
      <c r="C37" t="s">
        <v>20</v>
      </c>
      <c r="D37" t="s">
        <v>11</v>
      </c>
      <c r="E37" t="s">
        <v>14</v>
      </c>
      <c r="F37">
        <v>69</v>
      </c>
      <c r="G37">
        <v>0.16900000000000001</v>
      </c>
      <c r="H37">
        <v>0.56351258376593605</v>
      </c>
      <c r="I37">
        <f t="shared" ref="I37" si="26">H37*1.96</f>
        <v>1.1044846641812347</v>
      </c>
      <c r="J37">
        <f t="shared" si="4"/>
        <v>-0.93548466418123466</v>
      </c>
      <c r="K37">
        <f t="shared" si="5"/>
        <v>1.2734846641812347</v>
      </c>
      <c r="L37" t="str">
        <f t="shared" si="0"/>
        <v>1.10</v>
      </c>
      <c r="M37" t="str">
        <f t="shared" si="1"/>
        <v>-0.94</v>
      </c>
      <c r="N37" t="str">
        <f t="shared" si="2"/>
        <v>0.17 [1.10, -0.94]</v>
      </c>
    </row>
    <row r="38" spans="1:14" x14ac:dyDescent="0.35">
      <c r="A38">
        <v>0</v>
      </c>
      <c r="B38">
        <v>6</v>
      </c>
      <c r="C38" t="s">
        <v>21</v>
      </c>
      <c r="D38" t="s">
        <v>8</v>
      </c>
      <c r="E38" t="s">
        <v>22</v>
      </c>
      <c r="F38">
        <v>8</v>
      </c>
      <c r="G38">
        <v>0</v>
      </c>
      <c r="H38">
        <v>0.18</v>
      </c>
      <c r="I38">
        <f t="shared" ref="I38:I39" si="27">H38/(SQRT(F38))*1.96</f>
        <v>0.12473363620130698</v>
      </c>
      <c r="J38">
        <f t="shared" si="4"/>
        <v>-0.12473363620130698</v>
      </c>
      <c r="K38">
        <f t="shared" si="5"/>
        <v>0.12473363620130698</v>
      </c>
      <c r="L38" t="str">
        <f t="shared" si="0"/>
        <v>0.12</v>
      </c>
      <c r="M38" t="str">
        <f t="shared" si="1"/>
        <v>-0.12</v>
      </c>
      <c r="N38" t="str">
        <f t="shared" si="2"/>
        <v>0.00 [0.12, -0.12]</v>
      </c>
    </row>
    <row r="39" spans="1:14" x14ac:dyDescent="0.35">
      <c r="A39">
        <v>1</v>
      </c>
      <c r="B39">
        <v>6</v>
      </c>
      <c r="C39" t="s">
        <v>21</v>
      </c>
      <c r="D39" t="s">
        <v>10</v>
      </c>
      <c r="E39" t="s">
        <v>22</v>
      </c>
      <c r="F39">
        <v>8</v>
      </c>
      <c r="G39">
        <v>0</v>
      </c>
      <c r="H39">
        <v>0.18</v>
      </c>
      <c r="I39">
        <f t="shared" si="27"/>
        <v>0.12473363620130698</v>
      </c>
      <c r="J39">
        <f t="shared" si="4"/>
        <v>-0.12473363620130698</v>
      </c>
      <c r="K39">
        <f t="shared" si="5"/>
        <v>0.12473363620130698</v>
      </c>
      <c r="L39" t="str">
        <f t="shared" si="0"/>
        <v>0.12</v>
      </c>
      <c r="M39" t="str">
        <f t="shared" si="1"/>
        <v>-0.12</v>
      </c>
      <c r="N39" t="str">
        <f t="shared" si="2"/>
        <v>0.00 [0.12, -0.12]</v>
      </c>
    </row>
    <row r="40" spans="1:14" x14ac:dyDescent="0.35">
      <c r="A40">
        <v>0</v>
      </c>
      <c r="B40">
        <v>6</v>
      </c>
      <c r="C40" t="s">
        <v>21</v>
      </c>
      <c r="D40" t="s">
        <v>11</v>
      </c>
      <c r="E40" t="s">
        <v>22</v>
      </c>
      <c r="F40">
        <v>17</v>
      </c>
      <c r="G40">
        <v>1</v>
      </c>
      <c r="H40">
        <v>2.0615528128088298</v>
      </c>
      <c r="I40">
        <f t="shared" ref="I40" si="28">H40*1.96</f>
        <v>4.040643513105306</v>
      </c>
      <c r="J40">
        <f t="shared" si="4"/>
        <v>-3.040643513105306</v>
      </c>
      <c r="K40">
        <f t="shared" si="5"/>
        <v>5.040643513105306</v>
      </c>
      <c r="L40" t="str">
        <f t="shared" si="0"/>
        <v>4.04</v>
      </c>
      <c r="M40" t="str">
        <f t="shared" si="1"/>
        <v>-3.04</v>
      </c>
      <c r="N40" t="str">
        <f t="shared" si="2"/>
        <v>1.00 [4.04, -3.04]</v>
      </c>
    </row>
    <row r="41" spans="1:14" x14ac:dyDescent="0.35">
      <c r="A41">
        <v>132</v>
      </c>
      <c r="B41">
        <v>7</v>
      </c>
      <c r="C41" t="s">
        <v>23</v>
      </c>
      <c r="D41" t="s">
        <v>8</v>
      </c>
      <c r="E41" t="s">
        <v>13</v>
      </c>
      <c r="F41">
        <v>32</v>
      </c>
      <c r="G41">
        <v>3.3</v>
      </c>
      <c r="H41">
        <v>2.6</v>
      </c>
      <c r="I41">
        <f t="shared" ref="I41:I42" si="29">H41/(SQRT(F41))*1.96</f>
        <v>0.90085403923166152</v>
      </c>
      <c r="J41">
        <f t="shared" si="4"/>
        <v>2.3991459607683385</v>
      </c>
      <c r="K41">
        <f t="shared" si="5"/>
        <v>4.2008540392316611</v>
      </c>
      <c r="L41" t="str">
        <f t="shared" si="0"/>
        <v>0.90</v>
      </c>
      <c r="M41" t="str">
        <f t="shared" si="1"/>
        <v>2.40</v>
      </c>
      <c r="N41" t="str">
        <f t="shared" si="2"/>
        <v>3.30 [0.90, 2.40]</v>
      </c>
    </row>
    <row r="42" spans="1:14" x14ac:dyDescent="0.35">
      <c r="A42">
        <v>133</v>
      </c>
      <c r="B42">
        <v>7</v>
      </c>
      <c r="C42" t="s">
        <v>23</v>
      </c>
      <c r="D42" t="s">
        <v>10</v>
      </c>
      <c r="E42" t="s">
        <v>13</v>
      </c>
      <c r="F42">
        <v>29</v>
      </c>
      <c r="G42">
        <v>2.9</v>
      </c>
      <c r="H42">
        <v>2.4</v>
      </c>
      <c r="I42">
        <f t="shared" si="29"/>
        <v>0.87351087078485201</v>
      </c>
      <c r="J42">
        <f t="shared" si="4"/>
        <v>2.0264891292151477</v>
      </c>
      <c r="K42">
        <f t="shared" si="5"/>
        <v>3.7735108707848521</v>
      </c>
      <c r="L42" t="str">
        <f t="shared" si="0"/>
        <v>0.87</v>
      </c>
      <c r="M42" t="str">
        <f t="shared" si="1"/>
        <v>2.03</v>
      </c>
      <c r="N42" t="str">
        <f t="shared" si="2"/>
        <v>2.90 [0.87, 2.03]</v>
      </c>
    </row>
    <row r="43" spans="1:14" x14ac:dyDescent="0.35">
      <c r="A43">
        <v>3</v>
      </c>
      <c r="B43">
        <v>7</v>
      </c>
      <c r="C43" t="s">
        <v>23</v>
      </c>
      <c r="D43" t="s">
        <v>11</v>
      </c>
      <c r="E43" t="s">
        <v>13</v>
      </c>
      <c r="F43">
        <v>61</v>
      </c>
      <c r="G43">
        <v>0.16</v>
      </c>
      <c r="H43">
        <v>0.25700000000000001</v>
      </c>
      <c r="I43">
        <f t="shared" ref="I43" si="30">H43*1.96</f>
        <v>0.50372000000000006</v>
      </c>
      <c r="J43">
        <f t="shared" si="4"/>
        <v>-0.34372000000000003</v>
      </c>
      <c r="K43">
        <f t="shared" si="5"/>
        <v>0.66372000000000009</v>
      </c>
      <c r="L43" t="str">
        <f t="shared" si="0"/>
        <v>0.50</v>
      </c>
      <c r="M43" t="str">
        <f t="shared" si="1"/>
        <v>-0.34</v>
      </c>
      <c r="N43" t="str">
        <f t="shared" si="2"/>
        <v>0.16 [0.50, -0.34]</v>
      </c>
    </row>
    <row r="44" spans="1:14" x14ac:dyDescent="0.35">
      <c r="A44">
        <v>292</v>
      </c>
      <c r="B44">
        <v>9</v>
      </c>
      <c r="C44" t="s">
        <v>24</v>
      </c>
      <c r="D44" t="s">
        <v>8</v>
      </c>
      <c r="E44" t="s">
        <v>19</v>
      </c>
      <c r="F44">
        <v>78</v>
      </c>
      <c r="G44">
        <v>85.82</v>
      </c>
      <c r="H44">
        <v>11.83</v>
      </c>
      <c r="I44">
        <f t="shared" ref="I44:I45" si="31">H44/(SQRT(F44))*1.96</f>
        <v>2.6253881135303909</v>
      </c>
      <c r="J44">
        <f t="shared" si="4"/>
        <v>83.194611886469602</v>
      </c>
      <c r="K44">
        <f t="shared" si="5"/>
        <v>88.445388113530385</v>
      </c>
      <c r="L44" t="str">
        <f t="shared" si="0"/>
        <v>2.63</v>
      </c>
      <c r="M44" t="str">
        <f t="shared" si="1"/>
        <v>83.19</v>
      </c>
      <c r="N44" t="str">
        <f t="shared" si="2"/>
        <v>85.82 [2.63, 83.19]</v>
      </c>
    </row>
    <row r="45" spans="1:14" x14ac:dyDescent="0.35">
      <c r="A45">
        <v>293</v>
      </c>
      <c r="B45">
        <v>9</v>
      </c>
      <c r="C45" t="s">
        <v>24</v>
      </c>
      <c r="D45" t="s">
        <v>10</v>
      </c>
      <c r="E45" t="s">
        <v>19</v>
      </c>
      <c r="F45">
        <v>75</v>
      </c>
      <c r="G45">
        <v>86.42</v>
      </c>
      <c r="H45">
        <v>12.53</v>
      </c>
      <c r="I45">
        <f t="shared" si="31"/>
        <v>2.8358059581948356</v>
      </c>
      <c r="J45">
        <f t="shared" si="4"/>
        <v>83.584194041805162</v>
      </c>
      <c r="K45">
        <f t="shared" si="5"/>
        <v>89.255805958194841</v>
      </c>
      <c r="L45" t="str">
        <f t="shared" si="0"/>
        <v>2.84</v>
      </c>
      <c r="M45" t="str">
        <f t="shared" si="1"/>
        <v>83.58</v>
      </c>
      <c r="N45" t="str">
        <f t="shared" si="2"/>
        <v>86.42 [2.84, 83.58]</v>
      </c>
    </row>
    <row r="46" spans="1:14" x14ac:dyDescent="0.35">
      <c r="A46">
        <v>1</v>
      </c>
      <c r="B46">
        <v>9</v>
      </c>
      <c r="C46" t="s">
        <v>24</v>
      </c>
      <c r="D46" t="s">
        <v>11</v>
      </c>
      <c r="E46" t="s">
        <v>19</v>
      </c>
      <c r="F46">
        <v>153</v>
      </c>
      <c r="G46">
        <v>4.9000000000000002E-2</v>
      </c>
      <c r="H46">
        <v>0.16200000000000001</v>
      </c>
      <c r="I46">
        <f t="shared" ref="I46" si="32">H46*1.96</f>
        <v>0.31752000000000002</v>
      </c>
      <c r="J46">
        <f t="shared" si="4"/>
        <v>-0.26852000000000004</v>
      </c>
      <c r="K46">
        <f t="shared" si="5"/>
        <v>0.36652000000000001</v>
      </c>
      <c r="L46" t="str">
        <f t="shared" si="0"/>
        <v>0.32</v>
      </c>
      <c r="M46" t="str">
        <f t="shared" si="1"/>
        <v>-0.27</v>
      </c>
      <c r="N46" t="str">
        <f t="shared" si="2"/>
        <v>0.05 [0.32, -0.27]</v>
      </c>
    </row>
    <row r="47" spans="1:14" x14ac:dyDescent="0.35">
      <c r="A47">
        <v>438</v>
      </c>
      <c r="B47">
        <v>9</v>
      </c>
      <c r="C47" t="s">
        <v>24</v>
      </c>
      <c r="D47" t="s">
        <v>8</v>
      </c>
      <c r="E47" t="s">
        <v>9</v>
      </c>
      <c r="F47">
        <v>78</v>
      </c>
      <c r="G47">
        <v>5.8</v>
      </c>
      <c r="H47">
        <v>1.87</v>
      </c>
      <c r="I47">
        <f t="shared" ref="I47:I48" si="33">H47/(SQRT(F47))*1.96</f>
        <v>0.41500217855467719</v>
      </c>
      <c r="J47">
        <f t="shared" si="4"/>
        <v>5.3849978214453227</v>
      </c>
      <c r="K47">
        <f t="shared" si="5"/>
        <v>6.215002178554677</v>
      </c>
      <c r="L47" t="str">
        <f t="shared" si="0"/>
        <v>0.42</v>
      </c>
      <c r="M47" t="str">
        <f t="shared" si="1"/>
        <v>5.38</v>
      </c>
      <c r="N47" t="str">
        <f t="shared" si="2"/>
        <v>5.80 [0.42, 5.38]</v>
      </c>
    </row>
    <row r="48" spans="1:14" x14ac:dyDescent="0.35">
      <c r="A48">
        <v>439</v>
      </c>
      <c r="B48">
        <v>9</v>
      </c>
      <c r="C48" t="s">
        <v>24</v>
      </c>
      <c r="D48" t="s">
        <v>10</v>
      </c>
      <c r="E48" t="s">
        <v>9</v>
      </c>
      <c r="F48">
        <v>75</v>
      </c>
      <c r="G48">
        <v>4.07</v>
      </c>
      <c r="H48">
        <v>1.88</v>
      </c>
      <c r="I48">
        <f t="shared" si="33"/>
        <v>0.4254840543819865</v>
      </c>
      <c r="J48">
        <f t="shared" si="4"/>
        <v>3.6445159456180138</v>
      </c>
      <c r="K48">
        <f t="shared" si="5"/>
        <v>4.4954840543819872</v>
      </c>
      <c r="L48" t="str">
        <f t="shared" si="0"/>
        <v>0.43</v>
      </c>
      <c r="M48" t="str">
        <f t="shared" si="1"/>
        <v>3.64</v>
      </c>
      <c r="N48" t="str">
        <f t="shared" si="2"/>
        <v>4.07 [0.43, 3.64]</v>
      </c>
    </row>
    <row r="49" spans="1:14" x14ac:dyDescent="0.35">
      <c r="A49">
        <v>2</v>
      </c>
      <c r="B49">
        <v>9</v>
      </c>
      <c r="C49" t="s">
        <v>24</v>
      </c>
      <c r="D49" t="s">
        <v>11</v>
      </c>
      <c r="E49" t="s">
        <v>9</v>
      </c>
      <c r="F49">
        <v>153</v>
      </c>
      <c r="G49">
        <v>0.92300000000000004</v>
      </c>
      <c r="H49">
        <v>0.17</v>
      </c>
      <c r="I49">
        <f t="shared" ref="I49" si="34">H49*1.96</f>
        <v>0.3332</v>
      </c>
      <c r="J49">
        <f t="shared" si="4"/>
        <v>0.5898000000000001</v>
      </c>
      <c r="K49">
        <f t="shared" si="5"/>
        <v>1.2562</v>
      </c>
      <c r="L49" t="str">
        <f t="shared" si="0"/>
        <v>0.33</v>
      </c>
      <c r="M49" t="str">
        <f t="shared" si="1"/>
        <v>0.59</v>
      </c>
      <c r="N49" t="str">
        <f t="shared" si="2"/>
        <v>0.92 [0.33, 0.59]</v>
      </c>
    </row>
    <row r="50" spans="1:14" x14ac:dyDescent="0.35">
      <c r="A50">
        <v>72</v>
      </c>
      <c r="B50">
        <v>10</v>
      </c>
      <c r="C50" t="s">
        <v>25</v>
      </c>
      <c r="D50" t="s">
        <v>8</v>
      </c>
      <c r="E50" t="s">
        <v>27</v>
      </c>
      <c r="F50">
        <v>43</v>
      </c>
      <c r="G50">
        <v>91</v>
      </c>
      <c r="H50">
        <v>7.3</v>
      </c>
      <c r="I50">
        <f t="shared" ref="I50:I51" si="35">H50/(SQRT(F50))*1.96</f>
        <v>2.1819495443189076</v>
      </c>
      <c r="J50">
        <f t="shared" si="4"/>
        <v>88.818050455681089</v>
      </c>
      <c r="K50">
        <f t="shared" si="5"/>
        <v>93.181949544318911</v>
      </c>
      <c r="L50" t="str">
        <f t="shared" si="0"/>
        <v>2.18</v>
      </c>
      <c r="M50" t="str">
        <f t="shared" si="1"/>
        <v>88.82</v>
      </c>
      <c r="N50" t="str">
        <f t="shared" si="2"/>
        <v>91.00 [2.18, 88.82]</v>
      </c>
    </row>
    <row r="51" spans="1:14" x14ac:dyDescent="0.35">
      <c r="A51">
        <v>73</v>
      </c>
      <c r="B51">
        <v>10</v>
      </c>
      <c r="C51" t="s">
        <v>25</v>
      </c>
      <c r="D51" t="s">
        <v>28</v>
      </c>
      <c r="E51" t="s">
        <v>27</v>
      </c>
      <c r="F51">
        <v>43</v>
      </c>
      <c r="G51">
        <v>92</v>
      </c>
      <c r="H51">
        <v>11.5</v>
      </c>
      <c r="I51">
        <f t="shared" si="35"/>
        <v>3.4373177752969091</v>
      </c>
      <c r="J51">
        <f t="shared" si="4"/>
        <v>88.562682224703096</v>
      </c>
      <c r="K51">
        <f t="shared" si="5"/>
        <v>95.437317775296904</v>
      </c>
      <c r="L51" t="str">
        <f t="shared" si="0"/>
        <v>3.44</v>
      </c>
      <c r="M51" t="str">
        <f t="shared" si="1"/>
        <v>88.56</v>
      </c>
      <c r="N51" t="str">
        <f t="shared" si="2"/>
        <v>92.00 [3.44, 88.56]</v>
      </c>
    </row>
    <row r="52" spans="1:14" x14ac:dyDescent="0.35">
      <c r="A52">
        <v>0</v>
      </c>
      <c r="B52">
        <v>10</v>
      </c>
      <c r="C52" t="s">
        <v>25</v>
      </c>
      <c r="D52" t="s">
        <v>26</v>
      </c>
      <c r="E52" t="s">
        <v>27</v>
      </c>
      <c r="F52">
        <v>86</v>
      </c>
      <c r="G52">
        <v>0.104</v>
      </c>
      <c r="H52">
        <v>0.216</v>
      </c>
      <c r="I52">
        <f t="shared" ref="I52" si="36">H52*1.96</f>
        <v>0.42336000000000001</v>
      </c>
      <c r="J52">
        <f t="shared" si="4"/>
        <v>-0.31936000000000003</v>
      </c>
      <c r="K52">
        <f t="shared" si="5"/>
        <v>0.52736000000000005</v>
      </c>
      <c r="L52" t="str">
        <f t="shared" si="0"/>
        <v>0.42</v>
      </c>
      <c r="M52" t="str">
        <f t="shared" si="1"/>
        <v>-0.32</v>
      </c>
      <c r="N52" t="str">
        <f t="shared" si="2"/>
        <v>0.10 [0.42, -0.32]</v>
      </c>
    </row>
    <row r="53" spans="1:14" x14ac:dyDescent="0.35">
      <c r="A53">
        <v>136</v>
      </c>
      <c r="B53">
        <v>10</v>
      </c>
      <c r="C53" t="s">
        <v>25</v>
      </c>
      <c r="D53" t="s">
        <v>8</v>
      </c>
      <c r="E53" t="s">
        <v>13</v>
      </c>
      <c r="F53">
        <v>43</v>
      </c>
      <c r="G53">
        <v>1.05</v>
      </c>
      <c r="H53">
        <v>1.36</v>
      </c>
      <c r="I53">
        <f t="shared" ref="I53:I54" si="37">H53/(SQRT(F53))*1.96</f>
        <v>0.40650018907859103</v>
      </c>
      <c r="J53">
        <f t="shared" si="4"/>
        <v>0.64349981092140895</v>
      </c>
      <c r="K53">
        <f t="shared" si="5"/>
        <v>1.4565001890785911</v>
      </c>
      <c r="L53" t="str">
        <f t="shared" si="0"/>
        <v>0.41</v>
      </c>
      <c r="M53" t="str">
        <f t="shared" si="1"/>
        <v>0.64</v>
      </c>
      <c r="N53" t="str">
        <f t="shared" si="2"/>
        <v>1.05 [0.41, 0.64]</v>
      </c>
    </row>
    <row r="54" spans="1:14" x14ac:dyDescent="0.35">
      <c r="A54">
        <v>137</v>
      </c>
      <c r="B54">
        <v>10</v>
      </c>
      <c r="C54" t="s">
        <v>25</v>
      </c>
      <c r="D54" t="s">
        <v>28</v>
      </c>
      <c r="E54" t="s">
        <v>13</v>
      </c>
      <c r="F54">
        <v>43</v>
      </c>
      <c r="G54">
        <v>1</v>
      </c>
      <c r="H54">
        <v>1.1000000000000001</v>
      </c>
      <c r="I54">
        <f t="shared" si="37"/>
        <v>0.32878691763709567</v>
      </c>
      <c r="J54">
        <f t="shared" si="4"/>
        <v>0.67121308236290433</v>
      </c>
      <c r="K54">
        <f t="shared" si="5"/>
        <v>1.3287869176370957</v>
      </c>
      <c r="L54" t="str">
        <f t="shared" si="0"/>
        <v>0.33</v>
      </c>
      <c r="M54" t="str">
        <f t="shared" si="1"/>
        <v>0.67</v>
      </c>
      <c r="N54" t="str">
        <f t="shared" si="2"/>
        <v>1.00 [0.33, 0.67]</v>
      </c>
    </row>
    <row r="55" spans="1:14" x14ac:dyDescent="0.35">
      <c r="A55">
        <v>4</v>
      </c>
      <c r="B55">
        <v>10</v>
      </c>
      <c r="C55" t="s">
        <v>25</v>
      </c>
      <c r="D55" t="s">
        <v>26</v>
      </c>
      <c r="E55" t="s">
        <v>13</v>
      </c>
      <c r="F55">
        <v>86</v>
      </c>
      <c r="G55">
        <v>0.04</v>
      </c>
      <c r="H55">
        <v>0.216</v>
      </c>
      <c r="I55">
        <f t="shared" ref="I55" si="38">H55*1.96</f>
        <v>0.42336000000000001</v>
      </c>
      <c r="J55">
        <f t="shared" si="4"/>
        <v>-0.38336000000000003</v>
      </c>
      <c r="K55">
        <f t="shared" si="5"/>
        <v>0.46335999999999999</v>
      </c>
      <c r="L55" t="str">
        <f t="shared" si="0"/>
        <v>0.42</v>
      </c>
      <c r="M55" t="str">
        <f t="shared" si="1"/>
        <v>-0.38</v>
      </c>
      <c r="N55" t="str">
        <f t="shared" si="2"/>
        <v>0.04 [0.42, -0.38]</v>
      </c>
    </row>
    <row r="56" spans="1:14" x14ac:dyDescent="0.35">
      <c r="A56">
        <v>294</v>
      </c>
      <c r="B56">
        <v>10</v>
      </c>
      <c r="C56" t="s">
        <v>25</v>
      </c>
      <c r="D56" t="s">
        <v>8</v>
      </c>
      <c r="E56" t="s">
        <v>19</v>
      </c>
      <c r="F56">
        <v>43</v>
      </c>
      <c r="G56">
        <v>95.2</v>
      </c>
      <c r="H56">
        <v>6.6</v>
      </c>
      <c r="I56">
        <f t="shared" ref="I56:I57" si="39">H56/(SQRT(F56))*1.96</f>
        <v>1.9727215058225742</v>
      </c>
      <c r="J56">
        <f t="shared" si="4"/>
        <v>93.227278494177426</v>
      </c>
      <c r="K56">
        <f t="shared" si="5"/>
        <v>97.17272150582258</v>
      </c>
      <c r="L56" t="str">
        <f t="shared" si="0"/>
        <v>1.97</v>
      </c>
      <c r="M56" t="str">
        <f t="shared" si="1"/>
        <v>93.23</v>
      </c>
      <c r="N56" t="str">
        <f t="shared" si="2"/>
        <v>95.20 [1.97, 93.23]</v>
      </c>
    </row>
    <row r="57" spans="1:14" x14ac:dyDescent="0.35">
      <c r="A57">
        <v>295</v>
      </c>
      <c r="B57">
        <v>10</v>
      </c>
      <c r="C57" t="s">
        <v>25</v>
      </c>
      <c r="D57" t="s">
        <v>28</v>
      </c>
      <c r="E57" t="s">
        <v>19</v>
      </c>
      <c r="F57">
        <v>43</v>
      </c>
      <c r="G57">
        <v>95.6</v>
      </c>
      <c r="H57">
        <v>7.8</v>
      </c>
      <c r="I57">
        <f t="shared" si="39"/>
        <v>2.3313981432448601</v>
      </c>
      <c r="J57">
        <f t="shared" si="4"/>
        <v>93.26860185675514</v>
      </c>
      <c r="K57">
        <f t="shared" si="5"/>
        <v>97.931398143244849</v>
      </c>
      <c r="L57" t="str">
        <f t="shared" si="0"/>
        <v>2.33</v>
      </c>
      <c r="M57" t="str">
        <f t="shared" si="1"/>
        <v>93.27</v>
      </c>
      <c r="N57" t="str">
        <f t="shared" si="2"/>
        <v>95.60 [2.33, 93.27]</v>
      </c>
    </row>
    <row r="58" spans="1:14" x14ac:dyDescent="0.35">
      <c r="A58">
        <v>2</v>
      </c>
      <c r="B58">
        <v>10</v>
      </c>
      <c r="C58" t="s">
        <v>25</v>
      </c>
      <c r="D58" t="s">
        <v>26</v>
      </c>
      <c r="E58" t="s">
        <v>19</v>
      </c>
      <c r="F58">
        <v>86</v>
      </c>
      <c r="G58">
        <v>5.5E-2</v>
      </c>
      <c r="H58">
        <v>0.216</v>
      </c>
      <c r="I58">
        <f t="shared" ref="I58" si="40">H58*1.96</f>
        <v>0.42336000000000001</v>
      </c>
      <c r="J58">
        <f t="shared" si="4"/>
        <v>-0.36836000000000002</v>
      </c>
      <c r="K58">
        <f t="shared" si="5"/>
        <v>0.47836000000000001</v>
      </c>
      <c r="L58" t="str">
        <f t="shared" si="0"/>
        <v>0.42</v>
      </c>
      <c r="M58" t="str">
        <f t="shared" si="1"/>
        <v>-0.37</v>
      </c>
      <c r="N58" t="str">
        <f t="shared" si="2"/>
        <v>0.06 [0.42, -0.37]</v>
      </c>
    </row>
    <row r="59" spans="1:14" x14ac:dyDescent="0.35">
      <c r="A59">
        <v>440</v>
      </c>
      <c r="B59">
        <v>10</v>
      </c>
      <c r="C59" t="s">
        <v>25</v>
      </c>
      <c r="D59" t="s">
        <v>8</v>
      </c>
      <c r="E59" t="s">
        <v>9</v>
      </c>
      <c r="F59">
        <v>43</v>
      </c>
      <c r="G59">
        <v>6.1</v>
      </c>
      <c r="H59">
        <v>1.1399999999999999</v>
      </c>
      <c r="I59">
        <f t="shared" ref="I59:I60" si="41">H59/(SQRT(F59))*1.96</f>
        <v>0.34074280555117187</v>
      </c>
      <c r="J59">
        <f t="shared" si="4"/>
        <v>5.7592571944488276</v>
      </c>
      <c r="K59">
        <f t="shared" si="5"/>
        <v>6.4407428055511717</v>
      </c>
      <c r="L59" t="str">
        <f t="shared" si="0"/>
        <v>0.34</v>
      </c>
      <c r="M59" t="str">
        <f t="shared" si="1"/>
        <v>5.76</v>
      </c>
      <c r="N59" t="str">
        <f t="shared" si="2"/>
        <v>6.10 [0.34, 5.76]</v>
      </c>
    </row>
    <row r="60" spans="1:14" x14ac:dyDescent="0.35">
      <c r="A60">
        <v>441</v>
      </c>
      <c r="B60">
        <v>10</v>
      </c>
      <c r="C60" t="s">
        <v>25</v>
      </c>
      <c r="D60" t="s">
        <v>28</v>
      </c>
      <c r="E60" t="s">
        <v>9</v>
      </c>
      <c r="F60">
        <v>43</v>
      </c>
      <c r="G60">
        <v>6.1</v>
      </c>
      <c r="H60">
        <v>1.1399999999999999</v>
      </c>
      <c r="I60">
        <f t="shared" si="41"/>
        <v>0.34074280555117187</v>
      </c>
      <c r="J60">
        <f t="shared" si="4"/>
        <v>5.7592571944488276</v>
      </c>
      <c r="K60">
        <f t="shared" si="5"/>
        <v>6.4407428055511717</v>
      </c>
      <c r="L60" t="str">
        <f t="shared" si="0"/>
        <v>0.34</v>
      </c>
      <c r="M60" t="str">
        <f t="shared" si="1"/>
        <v>5.76</v>
      </c>
      <c r="N60" t="str">
        <f t="shared" si="2"/>
        <v>6.10 [0.34, 5.76]</v>
      </c>
    </row>
    <row r="61" spans="1:14" x14ac:dyDescent="0.35">
      <c r="A61">
        <v>3</v>
      </c>
      <c r="B61">
        <v>10</v>
      </c>
      <c r="C61" t="s">
        <v>25</v>
      </c>
      <c r="D61" t="s">
        <v>26</v>
      </c>
      <c r="E61" t="s">
        <v>9</v>
      </c>
      <c r="F61">
        <v>86</v>
      </c>
      <c r="G61">
        <v>0</v>
      </c>
      <c r="H61">
        <v>0.216</v>
      </c>
      <c r="I61">
        <f t="shared" ref="I61" si="42">H61*1.96</f>
        <v>0.42336000000000001</v>
      </c>
      <c r="J61">
        <f t="shared" si="4"/>
        <v>-0.42336000000000001</v>
      </c>
      <c r="K61">
        <f t="shared" si="5"/>
        <v>0.42336000000000001</v>
      </c>
      <c r="L61" t="str">
        <f t="shared" si="0"/>
        <v>0.42</v>
      </c>
      <c r="M61" t="str">
        <f t="shared" si="1"/>
        <v>-0.42</v>
      </c>
      <c r="N61" t="str">
        <f t="shared" si="2"/>
        <v>0.00 [0.42, -0.42]</v>
      </c>
    </row>
    <row r="62" spans="1:14" x14ac:dyDescent="0.35">
      <c r="A62">
        <v>238</v>
      </c>
      <c r="B62">
        <v>11</v>
      </c>
      <c r="C62" t="s">
        <v>29</v>
      </c>
      <c r="D62" t="s">
        <v>8</v>
      </c>
      <c r="E62" t="s">
        <v>17</v>
      </c>
      <c r="F62">
        <v>22</v>
      </c>
      <c r="G62">
        <v>13</v>
      </c>
      <c r="H62">
        <v>0.59</v>
      </c>
      <c r="I62">
        <f t="shared" ref="I62:I63" si="43">H62/(SQRT(F62))*1.96</f>
        <v>0.24654530839362784</v>
      </c>
      <c r="J62">
        <f t="shared" si="4"/>
        <v>12.753454691606372</v>
      </c>
      <c r="K62">
        <f t="shared" si="5"/>
        <v>13.246545308393628</v>
      </c>
      <c r="L62" t="str">
        <f t="shared" si="0"/>
        <v>0.25</v>
      </c>
      <c r="M62" t="str">
        <f t="shared" si="1"/>
        <v>12.75</v>
      </c>
      <c r="N62" t="str">
        <f t="shared" si="2"/>
        <v>13.00 [0.25, 12.75]</v>
      </c>
    </row>
    <row r="63" spans="1:14" x14ac:dyDescent="0.35">
      <c r="A63">
        <v>239</v>
      </c>
      <c r="B63">
        <v>11</v>
      </c>
      <c r="C63" t="s">
        <v>29</v>
      </c>
      <c r="D63" t="s">
        <v>10</v>
      </c>
      <c r="E63" t="s">
        <v>17</v>
      </c>
      <c r="F63">
        <v>22</v>
      </c>
      <c r="G63">
        <v>20</v>
      </c>
      <c r="H63">
        <v>7.04</v>
      </c>
      <c r="I63">
        <f t="shared" si="43"/>
        <v>2.9418287645612549</v>
      </c>
      <c r="J63">
        <f t="shared" si="4"/>
        <v>17.058171235438746</v>
      </c>
      <c r="K63">
        <f t="shared" si="5"/>
        <v>22.941828764561254</v>
      </c>
      <c r="L63" t="str">
        <f t="shared" si="0"/>
        <v>2.94</v>
      </c>
      <c r="M63" t="str">
        <f t="shared" si="1"/>
        <v>17.06</v>
      </c>
      <c r="N63" t="str">
        <f t="shared" si="2"/>
        <v>20.00 [2.94, 17.06]</v>
      </c>
    </row>
    <row r="64" spans="1:14" x14ac:dyDescent="0.35">
      <c r="A64">
        <v>1</v>
      </c>
      <c r="B64">
        <v>11</v>
      </c>
      <c r="C64" t="s">
        <v>29</v>
      </c>
      <c r="D64" t="s">
        <v>11</v>
      </c>
      <c r="E64" t="s">
        <v>17</v>
      </c>
      <c r="F64">
        <v>45</v>
      </c>
      <c r="G64">
        <v>0.14599999999999999</v>
      </c>
      <c r="H64">
        <v>0.85671796583826998</v>
      </c>
      <c r="I64">
        <f t="shared" ref="I64" si="44">H64*1.96</f>
        <v>1.6791672130430091</v>
      </c>
      <c r="J64">
        <f t="shared" si="4"/>
        <v>-1.5331672130430092</v>
      </c>
      <c r="K64">
        <f t="shared" si="5"/>
        <v>1.825167213043009</v>
      </c>
      <c r="L64" t="str">
        <f t="shared" si="0"/>
        <v>1.68</v>
      </c>
      <c r="M64" t="str">
        <f t="shared" si="1"/>
        <v>-1.53</v>
      </c>
      <c r="N64" t="str">
        <f t="shared" si="2"/>
        <v>0.15 [1.68, -1.53]</v>
      </c>
    </row>
    <row r="65" spans="1:14" x14ac:dyDescent="0.35">
      <c r="A65">
        <v>496</v>
      </c>
      <c r="B65">
        <v>11</v>
      </c>
      <c r="C65" t="s">
        <v>29</v>
      </c>
      <c r="D65" t="s">
        <v>8</v>
      </c>
      <c r="E65" t="s">
        <v>15</v>
      </c>
      <c r="F65">
        <v>22</v>
      </c>
      <c r="G65">
        <v>13</v>
      </c>
      <c r="H65">
        <v>0.59</v>
      </c>
      <c r="I65">
        <f t="shared" ref="I65:I66" si="45">H65/(SQRT(F65))*1.96</f>
        <v>0.24654530839362784</v>
      </c>
      <c r="J65">
        <f t="shared" si="4"/>
        <v>12.753454691606372</v>
      </c>
      <c r="K65">
        <f t="shared" si="5"/>
        <v>13.246545308393628</v>
      </c>
      <c r="L65" t="str">
        <f t="shared" si="0"/>
        <v>0.25</v>
      </c>
      <c r="M65" t="str">
        <f t="shared" si="1"/>
        <v>12.75</v>
      </c>
      <c r="N65" t="str">
        <f t="shared" si="2"/>
        <v>13.00 [0.25, 12.75]</v>
      </c>
    </row>
    <row r="66" spans="1:14" x14ac:dyDescent="0.35">
      <c r="A66">
        <v>497</v>
      </c>
      <c r="B66">
        <v>11</v>
      </c>
      <c r="C66" t="s">
        <v>29</v>
      </c>
      <c r="D66" t="s">
        <v>10</v>
      </c>
      <c r="E66" t="s">
        <v>15</v>
      </c>
      <c r="F66">
        <v>22</v>
      </c>
      <c r="G66">
        <v>7</v>
      </c>
      <c r="H66">
        <v>7.04</v>
      </c>
      <c r="I66">
        <f t="shared" si="45"/>
        <v>2.9418287645612549</v>
      </c>
      <c r="J66">
        <f t="shared" si="4"/>
        <v>4.0581712354387456</v>
      </c>
      <c r="K66">
        <f t="shared" si="5"/>
        <v>9.9418287645612544</v>
      </c>
      <c r="L66" t="str">
        <f t="shared" si="0"/>
        <v>2.94</v>
      </c>
      <c r="M66" t="str">
        <f t="shared" si="1"/>
        <v>4.06</v>
      </c>
      <c r="N66" t="str">
        <f t="shared" si="2"/>
        <v>7.00 [2.94, 4.06]</v>
      </c>
    </row>
    <row r="67" spans="1:14" x14ac:dyDescent="0.35">
      <c r="A67">
        <v>1</v>
      </c>
      <c r="B67">
        <v>11</v>
      </c>
      <c r="C67" t="s">
        <v>29</v>
      </c>
      <c r="D67" t="s">
        <v>11</v>
      </c>
      <c r="E67" t="s">
        <v>15</v>
      </c>
      <c r="F67">
        <v>45</v>
      </c>
      <c r="G67">
        <v>3</v>
      </c>
      <c r="H67">
        <v>0.62063289083417517</v>
      </c>
      <c r="I67">
        <f t="shared" ref="I67" si="46">H67*1.96</f>
        <v>1.2164404660349832</v>
      </c>
      <c r="J67">
        <f t="shared" si="4"/>
        <v>1.7835595339650168</v>
      </c>
      <c r="K67">
        <f t="shared" si="5"/>
        <v>4.2164404660349835</v>
      </c>
      <c r="L67" t="str">
        <f t="shared" ref="L67:L130" si="47">TEXT(I67,"#0.00")</f>
        <v>1.22</v>
      </c>
      <c r="M67" t="str">
        <f t="shared" ref="M67:M130" si="48">TEXT(J67,"#0.00")</f>
        <v>1.78</v>
      </c>
      <c r="N67" t="str">
        <f t="shared" ref="N67:N130" si="49">TEXT(G67,"#0.00")&amp;" ["&amp;L67&amp;", "&amp;M67&amp;"]"</f>
        <v>3.00 [1.22, 1.78]</v>
      </c>
    </row>
    <row r="68" spans="1:14" x14ac:dyDescent="0.35">
      <c r="A68">
        <v>376</v>
      </c>
      <c r="B68">
        <v>11</v>
      </c>
      <c r="C68" t="s">
        <v>29</v>
      </c>
      <c r="D68" t="s">
        <v>8</v>
      </c>
      <c r="E68" t="s">
        <v>16</v>
      </c>
      <c r="F68">
        <v>22</v>
      </c>
      <c r="G68">
        <v>3</v>
      </c>
      <c r="H68">
        <v>0.11</v>
      </c>
      <c r="I68">
        <f t="shared" ref="I68:I69" si="50">H68/(SQRT(F68))*1.96</f>
        <v>4.5966074446269607E-2</v>
      </c>
      <c r="J68">
        <f t="shared" si="4"/>
        <v>2.9540339255537305</v>
      </c>
      <c r="K68">
        <f t="shared" si="5"/>
        <v>3.0459660744462695</v>
      </c>
      <c r="L68" t="str">
        <f t="shared" si="47"/>
        <v>0.05</v>
      </c>
      <c r="M68" t="str">
        <f t="shared" si="48"/>
        <v>2.95</v>
      </c>
      <c r="N68" t="str">
        <f t="shared" si="49"/>
        <v>3.00 [0.05, 2.95]</v>
      </c>
    </row>
    <row r="69" spans="1:14" x14ac:dyDescent="0.35">
      <c r="A69">
        <v>377</v>
      </c>
      <c r="B69">
        <v>11</v>
      </c>
      <c r="C69" t="s">
        <v>29</v>
      </c>
      <c r="D69" t="s">
        <v>10</v>
      </c>
      <c r="E69" t="s">
        <v>16</v>
      </c>
      <c r="F69">
        <v>22</v>
      </c>
      <c r="G69">
        <v>9</v>
      </c>
      <c r="H69">
        <v>1.91</v>
      </c>
      <c r="I69">
        <f t="shared" si="50"/>
        <v>0.79813820174886307</v>
      </c>
      <c r="J69">
        <f t="shared" ref="J69:J132" si="51">G69-I69</f>
        <v>8.2018617982511373</v>
      </c>
      <c r="K69">
        <f t="shared" ref="K69:K132" si="52">G69+I69</f>
        <v>9.7981382017488627</v>
      </c>
      <c r="L69" t="str">
        <f t="shared" si="47"/>
        <v>0.80</v>
      </c>
      <c r="M69" t="str">
        <f t="shared" si="48"/>
        <v>8.20</v>
      </c>
      <c r="N69" t="str">
        <f t="shared" si="49"/>
        <v>9.00 [0.80, 8.20]</v>
      </c>
    </row>
    <row r="70" spans="1:14" x14ac:dyDescent="0.35">
      <c r="A70">
        <v>2</v>
      </c>
      <c r="B70">
        <v>11</v>
      </c>
      <c r="C70" t="s">
        <v>29</v>
      </c>
      <c r="D70" t="s">
        <v>11</v>
      </c>
      <c r="E70" t="s">
        <v>16</v>
      </c>
      <c r="F70">
        <v>45</v>
      </c>
      <c r="G70">
        <v>0.252</v>
      </c>
      <c r="H70">
        <v>0.72147910536582271</v>
      </c>
      <c r="I70">
        <f t="shared" ref="I70" si="53">H70*1.96</f>
        <v>1.4140990465170125</v>
      </c>
      <c r="J70">
        <f t="shared" si="51"/>
        <v>-1.1620990465170125</v>
      </c>
      <c r="K70">
        <f t="shared" si="52"/>
        <v>1.6660990465170125</v>
      </c>
      <c r="L70" t="str">
        <f t="shared" si="47"/>
        <v>1.41</v>
      </c>
      <c r="M70" t="str">
        <f t="shared" si="48"/>
        <v>-1.16</v>
      </c>
      <c r="N70" t="str">
        <f t="shared" si="49"/>
        <v>0.25 [1.41, -1.16]</v>
      </c>
    </row>
    <row r="71" spans="1:14" x14ac:dyDescent="0.35">
      <c r="A71">
        <v>554</v>
      </c>
      <c r="B71">
        <v>11</v>
      </c>
      <c r="C71" t="s">
        <v>29</v>
      </c>
      <c r="D71" t="s">
        <v>8</v>
      </c>
      <c r="E71" t="s">
        <v>14</v>
      </c>
      <c r="F71">
        <v>22</v>
      </c>
      <c r="G71">
        <v>6</v>
      </c>
      <c r="H71">
        <v>0.11</v>
      </c>
      <c r="I71">
        <f t="shared" ref="I71:I72" si="54">H71/(SQRT(F71))*1.96</f>
        <v>4.5966074446269607E-2</v>
      </c>
      <c r="J71">
        <f t="shared" si="51"/>
        <v>5.9540339255537305</v>
      </c>
      <c r="K71">
        <f t="shared" si="52"/>
        <v>6.0459660744462695</v>
      </c>
      <c r="L71" t="str">
        <f t="shared" si="47"/>
        <v>0.05</v>
      </c>
      <c r="M71" t="str">
        <f t="shared" si="48"/>
        <v>5.95</v>
      </c>
      <c r="N71" t="str">
        <f t="shared" si="49"/>
        <v>6.00 [0.05, 5.95]</v>
      </c>
    </row>
    <row r="72" spans="1:14" x14ac:dyDescent="0.35">
      <c r="A72">
        <v>555</v>
      </c>
      <c r="B72">
        <v>11</v>
      </c>
      <c r="C72" t="s">
        <v>29</v>
      </c>
      <c r="D72" t="s">
        <v>10</v>
      </c>
      <c r="E72" t="s">
        <v>14</v>
      </c>
      <c r="F72">
        <v>22</v>
      </c>
      <c r="G72">
        <v>1</v>
      </c>
      <c r="H72">
        <v>1.91</v>
      </c>
      <c r="I72">
        <f t="shared" si="54"/>
        <v>0.79813820174886307</v>
      </c>
      <c r="J72">
        <f t="shared" si="51"/>
        <v>0.20186179825113693</v>
      </c>
      <c r="K72">
        <f t="shared" si="52"/>
        <v>1.7981382017488632</v>
      </c>
      <c r="L72" t="str">
        <f t="shared" si="47"/>
        <v>0.80</v>
      </c>
      <c r="M72" t="str">
        <f t="shared" si="48"/>
        <v>0.20</v>
      </c>
      <c r="N72" t="str">
        <f t="shared" si="49"/>
        <v>1.00 [0.80, 0.20]</v>
      </c>
    </row>
    <row r="73" spans="1:14" x14ac:dyDescent="0.35">
      <c r="A73">
        <v>2</v>
      </c>
      <c r="B73">
        <v>11</v>
      </c>
      <c r="C73" t="s">
        <v>29</v>
      </c>
      <c r="D73" t="s">
        <v>11</v>
      </c>
      <c r="E73" t="s">
        <v>14</v>
      </c>
      <c r="F73">
        <v>45</v>
      </c>
      <c r="G73">
        <v>5.6879999999999997</v>
      </c>
      <c r="H73">
        <v>0.9646926288367027</v>
      </c>
      <c r="I73">
        <f t="shared" ref="I73" si="55">H73*1.96</f>
        <v>1.8907975525199372</v>
      </c>
      <c r="J73">
        <f t="shared" si="51"/>
        <v>3.7972024474800623</v>
      </c>
      <c r="K73">
        <f t="shared" si="52"/>
        <v>7.5787975525199371</v>
      </c>
      <c r="L73" t="str">
        <f t="shared" si="47"/>
        <v>1.89</v>
      </c>
      <c r="M73" t="str">
        <f t="shared" si="48"/>
        <v>3.80</v>
      </c>
      <c r="N73" t="str">
        <f t="shared" si="49"/>
        <v>5.69 [1.89, 3.80]</v>
      </c>
    </row>
    <row r="74" spans="1:14" x14ac:dyDescent="0.35">
      <c r="A74">
        <v>74</v>
      </c>
      <c r="B74">
        <v>12</v>
      </c>
      <c r="C74" t="s">
        <v>30</v>
      </c>
      <c r="D74" t="s">
        <v>10</v>
      </c>
      <c r="E74" t="s">
        <v>27</v>
      </c>
      <c r="F74">
        <v>62</v>
      </c>
      <c r="G74">
        <v>90.4</v>
      </c>
      <c r="H74">
        <v>7.1</v>
      </c>
      <c r="I74">
        <f t="shared" ref="I74:I75" si="56">H74/(SQRT(F74))*1.96</f>
        <v>1.767333767334651</v>
      </c>
      <c r="J74">
        <f t="shared" si="51"/>
        <v>88.632666232665358</v>
      </c>
      <c r="K74">
        <f t="shared" si="52"/>
        <v>92.167333767334654</v>
      </c>
      <c r="L74" t="str">
        <f t="shared" si="47"/>
        <v>1.77</v>
      </c>
      <c r="M74" t="str">
        <f t="shared" si="48"/>
        <v>88.63</v>
      </c>
      <c r="N74" t="str">
        <f t="shared" si="49"/>
        <v>90.40 [1.77, 88.63]</v>
      </c>
    </row>
    <row r="75" spans="1:14" x14ac:dyDescent="0.35">
      <c r="A75">
        <v>75</v>
      </c>
      <c r="B75">
        <v>12</v>
      </c>
      <c r="C75" t="s">
        <v>30</v>
      </c>
      <c r="D75" t="s">
        <v>32</v>
      </c>
      <c r="E75" t="s">
        <v>27</v>
      </c>
      <c r="F75">
        <v>62</v>
      </c>
      <c r="G75">
        <v>89.3</v>
      </c>
      <c r="H75">
        <v>8.4</v>
      </c>
      <c r="I75">
        <f t="shared" si="56"/>
        <v>2.0909300909311361</v>
      </c>
      <c r="J75">
        <f t="shared" si="51"/>
        <v>87.209069909068859</v>
      </c>
      <c r="K75">
        <f t="shared" si="52"/>
        <v>91.390930090931136</v>
      </c>
      <c r="L75" t="str">
        <f t="shared" si="47"/>
        <v>2.09</v>
      </c>
      <c r="M75" t="str">
        <f t="shared" si="48"/>
        <v>87.21</v>
      </c>
      <c r="N75" t="str">
        <f t="shared" si="49"/>
        <v>89.30 [2.09, 87.21]</v>
      </c>
    </row>
    <row r="76" spans="1:14" x14ac:dyDescent="0.35">
      <c r="A76">
        <v>1</v>
      </c>
      <c r="B76">
        <v>12</v>
      </c>
      <c r="C76" t="s">
        <v>30</v>
      </c>
      <c r="D76" t="s">
        <v>31</v>
      </c>
      <c r="E76" t="s">
        <v>27</v>
      </c>
      <c r="F76">
        <v>124</v>
      </c>
      <c r="G76">
        <v>0.14099999999999999</v>
      </c>
      <c r="H76">
        <v>0.18</v>
      </c>
      <c r="I76">
        <f t="shared" ref="I76" si="57">H76*1.96</f>
        <v>0.3528</v>
      </c>
      <c r="J76">
        <f t="shared" si="51"/>
        <v>-0.21180000000000002</v>
      </c>
      <c r="K76">
        <f t="shared" si="52"/>
        <v>0.49380000000000002</v>
      </c>
      <c r="L76" t="str">
        <f t="shared" si="47"/>
        <v>0.35</v>
      </c>
      <c r="M76" t="str">
        <f t="shared" si="48"/>
        <v>-0.21</v>
      </c>
      <c r="N76" t="str">
        <f t="shared" si="49"/>
        <v>0.14 [0.35, -0.21]</v>
      </c>
    </row>
    <row r="77" spans="1:14" x14ac:dyDescent="0.35">
      <c r="A77">
        <v>140</v>
      </c>
      <c r="B77">
        <v>12</v>
      </c>
      <c r="C77" t="s">
        <v>30</v>
      </c>
      <c r="D77" t="s">
        <v>10</v>
      </c>
      <c r="E77" t="s">
        <v>13</v>
      </c>
      <c r="F77">
        <v>62</v>
      </c>
      <c r="G77">
        <v>1.71</v>
      </c>
      <c r="H77">
        <v>0.56999999999999995</v>
      </c>
      <c r="I77">
        <f t="shared" ref="I77:I78" si="58">H77/(SQRT(F77))*1.96</f>
        <v>0.14188454188461283</v>
      </c>
      <c r="J77">
        <f t="shared" si="51"/>
        <v>1.5681154581153871</v>
      </c>
      <c r="K77">
        <f t="shared" si="52"/>
        <v>1.8518845418846128</v>
      </c>
      <c r="L77" t="str">
        <f t="shared" si="47"/>
        <v>0.14</v>
      </c>
      <c r="M77" t="str">
        <f t="shared" si="48"/>
        <v>1.57</v>
      </c>
      <c r="N77" t="str">
        <f t="shared" si="49"/>
        <v>1.71 [0.14, 1.57]</v>
      </c>
    </row>
    <row r="78" spans="1:14" x14ac:dyDescent="0.35">
      <c r="A78">
        <v>141</v>
      </c>
      <c r="B78">
        <v>12</v>
      </c>
      <c r="C78" t="s">
        <v>30</v>
      </c>
      <c r="D78" t="s">
        <v>32</v>
      </c>
      <c r="E78" t="s">
        <v>13</v>
      </c>
      <c r="F78">
        <v>62</v>
      </c>
      <c r="G78">
        <v>1.85</v>
      </c>
      <c r="H78">
        <v>0.77</v>
      </c>
      <c r="I78">
        <f t="shared" si="58"/>
        <v>0.19166859166868752</v>
      </c>
      <c r="J78">
        <f t="shared" si="51"/>
        <v>1.6583314083313125</v>
      </c>
      <c r="K78">
        <f t="shared" si="52"/>
        <v>2.0416685916686874</v>
      </c>
      <c r="L78" t="str">
        <f t="shared" si="47"/>
        <v>0.19</v>
      </c>
      <c r="M78" t="str">
        <f t="shared" si="48"/>
        <v>1.66</v>
      </c>
      <c r="N78" t="str">
        <f t="shared" si="49"/>
        <v>1.85 [0.19, 1.66]</v>
      </c>
    </row>
    <row r="79" spans="1:14" x14ac:dyDescent="0.35">
      <c r="A79">
        <v>5</v>
      </c>
      <c r="B79">
        <v>12</v>
      </c>
      <c r="C79" t="s">
        <v>30</v>
      </c>
      <c r="D79" t="s">
        <v>31</v>
      </c>
      <c r="E79" t="s">
        <v>13</v>
      </c>
      <c r="F79">
        <v>124</v>
      </c>
      <c r="G79">
        <v>0.20699999999999999</v>
      </c>
      <c r="H79">
        <v>0.18</v>
      </c>
      <c r="I79">
        <f t="shared" ref="I79" si="59">H79*1.96</f>
        <v>0.3528</v>
      </c>
      <c r="J79">
        <f t="shared" si="51"/>
        <v>-0.14580000000000001</v>
      </c>
      <c r="K79">
        <f t="shared" si="52"/>
        <v>0.55979999999999996</v>
      </c>
      <c r="L79" t="str">
        <f t="shared" si="47"/>
        <v>0.35</v>
      </c>
      <c r="M79" t="str">
        <f t="shared" si="48"/>
        <v>-0.15</v>
      </c>
      <c r="N79" t="str">
        <f t="shared" si="49"/>
        <v>0.21 [0.35, -0.15]</v>
      </c>
    </row>
    <row r="80" spans="1:14" x14ac:dyDescent="0.35">
      <c r="A80">
        <v>378</v>
      </c>
      <c r="B80">
        <v>12</v>
      </c>
      <c r="C80" t="s">
        <v>30</v>
      </c>
      <c r="D80" t="s">
        <v>10</v>
      </c>
      <c r="E80" t="s">
        <v>16</v>
      </c>
      <c r="F80">
        <v>62</v>
      </c>
      <c r="G80">
        <v>4</v>
      </c>
      <c r="H80">
        <v>0.06</v>
      </c>
      <c r="I80">
        <f t="shared" ref="I80:I81" si="60">H80/(SQRT(F80))*1.96</f>
        <v>1.4935214935222403E-2</v>
      </c>
      <c r="J80">
        <f t="shared" si="51"/>
        <v>3.9850647850647776</v>
      </c>
      <c r="K80">
        <f t="shared" si="52"/>
        <v>4.014935214935222</v>
      </c>
      <c r="L80" t="str">
        <f t="shared" si="47"/>
        <v>0.01</v>
      </c>
      <c r="M80" t="str">
        <f t="shared" si="48"/>
        <v>3.99</v>
      </c>
      <c r="N80" t="str">
        <f t="shared" si="49"/>
        <v>4.00 [0.01, 3.99]</v>
      </c>
    </row>
    <row r="81" spans="1:14" x14ac:dyDescent="0.35">
      <c r="A81">
        <v>379</v>
      </c>
      <c r="B81">
        <v>12</v>
      </c>
      <c r="C81" t="s">
        <v>30</v>
      </c>
      <c r="D81" t="s">
        <v>32</v>
      </c>
      <c r="E81" t="s">
        <v>16</v>
      </c>
      <c r="F81">
        <v>62</v>
      </c>
      <c r="G81">
        <v>5</v>
      </c>
      <c r="H81">
        <v>0.06</v>
      </c>
      <c r="I81">
        <f t="shared" si="60"/>
        <v>1.4935214935222403E-2</v>
      </c>
      <c r="J81">
        <f t="shared" si="51"/>
        <v>4.985064785064778</v>
      </c>
      <c r="K81">
        <f t="shared" si="52"/>
        <v>5.014935214935222</v>
      </c>
      <c r="L81" t="str">
        <f t="shared" si="47"/>
        <v>0.01</v>
      </c>
      <c r="M81" t="str">
        <f t="shared" si="48"/>
        <v>4.99</v>
      </c>
      <c r="N81" t="str">
        <f t="shared" si="49"/>
        <v>5.00 [0.01, 4.99]</v>
      </c>
    </row>
    <row r="82" spans="1:14" x14ac:dyDescent="0.35">
      <c r="A82">
        <v>3</v>
      </c>
      <c r="B82">
        <v>12</v>
      </c>
      <c r="C82" t="s">
        <v>30</v>
      </c>
      <c r="D82" t="s">
        <v>31</v>
      </c>
      <c r="E82" t="s">
        <v>16</v>
      </c>
      <c r="F82">
        <v>125</v>
      </c>
      <c r="G82">
        <v>0.80400000000000005</v>
      </c>
      <c r="H82">
        <v>0.66243916173477524</v>
      </c>
      <c r="I82">
        <f t="shared" ref="I82" si="61">H82*1.96</f>
        <v>1.2983807570001595</v>
      </c>
      <c r="J82">
        <f t="shared" si="51"/>
        <v>-0.49438075700015949</v>
      </c>
      <c r="K82">
        <f t="shared" si="52"/>
        <v>2.1023807570001596</v>
      </c>
      <c r="L82" t="str">
        <f t="shared" si="47"/>
        <v>1.30</v>
      </c>
      <c r="M82" t="str">
        <f t="shared" si="48"/>
        <v>-0.49</v>
      </c>
      <c r="N82" t="str">
        <f t="shared" si="49"/>
        <v>0.80 [1.30, -0.49]</v>
      </c>
    </row>
    <row r="83" spans="1:14" x14ac:dyDescent="0.35">
      <c r="A83">
        <v>556</v>
      </c>
      <c r="B83">
        <v>12</v>
      </c>
      <c r="C83" t="s">
        <v>30</v>
      </c>
      <c r="D83" t="s">
        <v>10</v>
      </c>
      <c r="E83" t="s">
        <v>14</v>
      </c>
      <c r="F83">
        <v>62</v>
      </c>
      <c r="G83">
        <v>1</v>
      </c>
      <c r="H83">
        <v>0.06</v>
      </c>
      <c r="I83">
        <f t="shared" ref="I83:I84" si="62">H83/(SQRT(F83))*1.96</f>
        <v>1.4935214935222403E-2</v>
      </c>
      <c r="J83">
        <f t="shared" si="51"/>
        <v>0.98506478506477757</v>
      </c>
      <c r="K83">
        <f t="shared" si="52"/>
        <v>1.0149352149352224</v>
      </c>
      <c r="L83" t="str">
        <f t="shared" si="47"/>
        <v>0.01</v>
      </c>
      <c r="M83" t="str">
        <f t="shared" si="48"/>
        <v>0.99</v>
      </c>
      <c r="N83" t="str">
        <f t="shared" si="49"/>
        <v>1.00 [0.01, 0.99]</v>
      </c>
    </row>
    <row r="84" spans="1:14" x14ac:dyDescent="0.35">
      <c r="A84">
        <v>557</v>
      </c>
      <c r="B84">
        <v>12</v>
      </c>
      <c r="C84" t="s">
        <v>30</v>
      </c>
      <c r="D84" t="s">
        <v>32</v>
      </c>
      <c r="E84" t="s">
        <v>14</v>
      </c>
      <c r="F84">
        <v>62</v>
      </c>
      <c r="G84">
        <v>0</v>
      </c>
      <c r="H84">
        <v>0.06</v>
      </c>
      <c r="I84">
        <f t="shared" si="62"/>
        <v>1.4935214935222403E-2</v>
      </c>
      <c r="J84">
        <f t="shared" si="51"/>
        <v>-1.4935214935222403E-2</v>
      </c>
      <c r="K84">
        <f t="shared" si="52"/>
        <v>1.4935214935222403E-2</v>
      </c>
      <c r="L84" t="str">
        <f t="shared" si="47"/>
        <v>0.01</v>
      </c>
      <c r="M84" t="str">
        <f t="shared" si="48"/>
        <v>-0.01</v>
      </c>
      <c r="N84" t="str">
        <f t="shared" si="49"/>
        <v>0.00 [0.01, -0.01]</v>
      </c>
    </row>
    <row r="85" spans="1:14" x14ac:dyDescent="0.35">
      <c r="A85">
        <v>3</v>
      </c>
      <c r="B85">
        <v>12</v>
      </c>
      <c r="C85" t="s">
        <v>30</v>
      </c>
      <c r="D85" t="s">
        <v>31</v>
      </c>
      <c r="E85" t="s">
        <v>14</v>
      </c>
      <c r="F85">
        <v>125</v>
      </c>
      <c r="G85">
        <v>3.0489999999999999</v>
      </c>
      <c r="H85">
        <v>1.6429209176182771</v>
      </c>
      <c r="I85">
        <f t="shared" ref="I85" si="63">H85*1.96</f>
        <v>3.2201249985318232</v>
      </c>
      <c r="J85">
        <f t="shared" si="51"/>
        <v>-0.17112499853182328</v>
      </c>
      <c r="K85">
        <f t="shared" si="52"/>
        <v>6.2691249985318231</v>
      </c>
      <c r="L85" t="str">
        <f t="shared" si="47"/>
        <v>3.22</v>
      </c>
      <c r="M85" t="str">
        <f t="shared" si="48"/>
        <v>-0.17</v>
      </c>
      <c r="N85" t="str">
        <f t="shared" si="49"/>
        <v>3.05 [3.22, -0.17]</v>
      </c>
    </row>
    <row r="86" spans="1:14" x14ac:dyDescent="0.35">
      <c r="A86">
        <v>76</v>
      </c>
      <c r="B86">
        <v>13</v>
      </c>
      <c r="C86" t="s">
        <v>33</v>
      </c>
      <c r="D86" t="s">
        <v>8</v>
      </c>
      <c r="E86" t="s">
        <v>27</v>
      </c>
      <c r="F86">
        <v>61</v>
      </c>
      <c r="G86">
        <v>67.3</v>
      </c>
      <c r="H86">
        <v>20.8</v>
      </c>
      <c r="I86">
        <f t="shared" ref="I86:I87" si="64">H86/(SQRT(F86))*1.96</f>
        <v>5.2198075211043031</v>
      </c>
      <c r="J86">
        <f t="shared" si="51"/>
        <v>62.080192478895697</v>
      </c>
      <c r="K86">
        <f t="shared" si="52"/>
        <v>72.519807521104298</v>
      </c>
      <c r="L86" t="str">
        <f t="shared" si="47"/>
        <v>5.22</v>
      </c>
      <c r="M86" t="str">
        <f t="shared" si="48"/>
        <v>62.08</v>
      </c>
      <c r="N86" t="str">
        <f t="shared" si="49"/>
        <v>67.30 [5.22, 62.08]</v>
      </c>
    </row>
    <row r="87" spans="1:14" x14ac:dyDescent="0.35">
      <c r="A87">
        <v>77</v>
      </c>
      <c r="B87">
        <v>13</v>
      </c>
      <c r="C87" t="s">
        <v>33</v>
      </c>
      <c r="D87" t="s">
        <v>10</v>
      </c>
      <c r="E87" t="s">
        <v>27</v>
      </c>
      <c r="F87">
        <v>86</v>
      </c>
      <c r="G87">
        <v>74</v>
      </c>
      <c r="H87">
        <v>18.8</v>
      </c>
      <c r="I87">
        <f t="shared" si="64"/>
        <v>3.9734220270002987</v>
      </c>
      <c r="J87">
        <f t="shared" si="51"/>
        <v>70.026577972999704</v>
      </c>
      <c r="K87">
        <f t="shared" si="52"/>
        <v>77.973422027000296</v>
      </c>
      <c r="L87" t="str">
        <f t="shared" si="47"/>
        <v>3.97</v>
      </c>
      <c r="M87" t="str">
        <f t="shared" si="48"/>
        <v>70.03</v>
      </c>
      <c r="N87" t="str">
        <f t="shared" si="49"/>
        <v>74.00 [3.97, 70.03]</v>
      </c>
    </row>
    <row r="88" spans="1:14" x14ac:dyDescent="0.35">
      <c r="A88">
        <v>2</v>
      </c>
      <c r="B88">
        <v>13</v>
      </c>
      <c r="C88" t="s">
        <v>33</v>
      </c>
      <c r="D88" t="s">
        <v>11</v>
      </c>
      <c r="E88" t="s">
        <v>27</v>
      </c>
      <c r="F88">
        <v>147</v>
      </c>
      <c r="G88">
        <v>0.34100000000000003</v>
      </c>
      <c r="H88">
        <v>0.16900000000000001</v>
      </c>
      <c r="I88">
        <f t="shared" ref="I88" si="65">H88*1.96</f>
        <v>0.33124000000000003</v>
      </c>
      <c r="J88">
        <f t="shared" si="51"/>
        <v>9.7599999999999909E-3</v>
      </c>
      <c r="K88">
        <f t="shared" si="52"/>
        <v>0.67224000000000006</v>
      </c>
      <c r="L88" t="str">
        <f t="shared" si="47"/>
        <v>0.33</v>
      </c>
      <c r="M88" t="str">
        <f t="shared" si="48"/>
        <v>0.01</v>
      </c>
      <c r="N88" t="str">
        <f t="shared" si="49"/>
        <v>0.34 [0.33, 0.01]</v>
      </c>
    </row>
    <row r="89" spans="1:14" x14ac:dyDescent="0.35">
      <c r="A89">
        <v>240</v>
      </c>
      <c r="B89">
        <v>13</v>
      </c>
      <c r="C89" t="s">
        <v>33</v>
      </c>
      <c r="D89" t="s">
        <v>8</v>
      </c>
      <c r="E89" t="s">
        <v>17</v>
      </c>
      <c r="F89">
        <v>61</v>
      </c>
      <c r="G89">
        <v>31</v>
      </c>
      <c r="H89">
        <v>1.0900000000000001</v>
      </c>
      <c r="I89">
        <f t="shared" ref="I89:I90" si="66">H89/(SQRT(F89))*1.96</f>
        <v>0.27353799028863901</v>
      </c>
      <c r="J89">
        <f t="shared" si="51"/>
        <v>30.726462009711362</v>
      </c>
      <c r="K89">
        <f t="shared" si="52"/>
        <v>31.273537990288638</v>
      </c>
      <c r="L89" t="str">
        <f t="shared" si="47"/>
        <v>0.27</v>
      </c>
      <c r="M89" t="str">
        <f t="shared" si="48"/>
        <v>30.73</v>
      </c>
      <c r="N89" t="str">
        <f t="shared" si="49"/>
        <v>31.00 [0.27, 30.73]</v>
      </c>
    </row>
    <row r="90" spans="1:14" x14ac:dyDescent="0.35">
      <c r="A90">
        <v>241</v>
      </c>
      <c r="B90">
        <v>13</v>
      </c>
      <c r="C90" t="s">
        <v>33</v>
      </c>
      <c r="D90" t="s">
        <v>10</v>
      </c>
      <c r="E90" t="s">
        <v>17</v>
      </c>
      <c r="F90">
        <v>86</v>
      </c>
      <c r="G90">
        <v>68</v>
      </c>
      <c r="H90">
        <v>2.88</v>
      </c>
      <c r="I90">
        <f t="shared" si="66"/>
        <v>0.60869443817876923</v>
      </c>
      <c r="J90">
        <f t="shared" si="51"/>
        <v>67.391305561821227</v>
      </c>
      <c r="K90">
        <f t="shared" si="52"/>
        <v>68.608694438178773</v>
      </c>
      <c r="L90" t="str">
        <f t="shared" si="47"/>
        <v>0.61</v>
      </c>
      <c r="M90" t="str">
        <f t="shared" si="48"/>
        <v>67.39</v>
      </c>
      <c r="N90" t="str">
        <f t="shared" si="49"/>
        <v>68.00 [0.61, 67.39]</v>
      </c>
    </row>
    <row r="91" spans="1:14" x14ac:dyDescent="0.35">
      <c r="A91">
        <v>2</v>
      </c>
      <c r="B91">
        <v>13</v>
      </c>
      <c r="C91" t="s">
        <v>33</v>
      </c>
      <c r="D91" t="s">
        <v>11</v>
      </c>
      <c r="E91" t="s">
        <v>17</v>
      </c>
      <c r="F91">
        <v>148</v>
      </c>
      <c r="G91">
        <v>0.27600000000000002</v>
      </c>
      <c r="H91">
        <v>0.36774102406572212</v>
      </c>
      <c r="I91">
        <f t="shared" ref="I91" si="67">H91*1.96</f>
        <v>0.7207724071688153</v>
      </c>
      <c r="J91">
        <f t="shared" si="51"/>
        <v>-0.44477240716881528</v>
      </c>
      <c r="K91">
        <f t="shared" si="52"/>
        <v>0.99677240716881532</v>
      </c>
      <c r="L91" t="str">
        <f t="shared" si="47"/>
        <v>0.72</v>
      </c>
      <c r="M91" t="str">
        <f t="shared" si="48"/>
        <v>-0.44</v>
      </c>
      <c r="N91" t="str">
        <f t="shared" si="49"/>
        <v>0.28 [0.72, -0.44]</v>
      </c>
    </row>
    <row r="92" spans="1:14" x14ac:dyDescent="0.35">
      <c r="A92">
        <v>498</v>
      </c>
      <c r="B92">
        <v>13</v>
      </c>
      <c r="C92" t="s">
        <v>33</v>
      </c>
      <c r="D92" t="s">
        <v>8</v>
      </c>
      <c r="E92" t="s">
        <v>15</v>
      </c>
      <c r="F92">
        <v>61</v>
      </c>
      <c r="G92">
        <v>7</v>
      </c>
      <c r="H92">
        <v>1.0900000000000001</v>
      </c>
      <c r="I92">
        <f t="shared" ref="I92:I93" si="68">H92/(SQRT(F92))*1.96</f>
        <v>0.27353799028863901</v>
      </c>
      <c r="J92">
        <f t="shared" si="51"/>
        <v>6.7264620097113612</v>
      </c>
      <c r="K92">
        <f t="shared" si="52"/>
        <v>7.2735379902886388</v>
      </c>
      <c r="L92" t="str">
        <f t="shared" si="47"/>
        <v>0.27</v>
      </c>
      <c r="M92" t="str">
        <f t="shared" si="48"/>
        <v>6.73</v>
      </c>
      <c r="N92" t="str">
        <f t="shared" si="49"/>
        <v>7.00 [0.27, 6.73]</v>
      </c>
    </row>
    <row r="93" spans="1:14" x14ac:dyDescent="0.35">
      <c r="A93">
        <v>499</v>
      </c>
      <c r="B93">
        <v>13</v>
      </c>
      <c r="C93" t="s">
        <v>33</v>
      </c>
      <c r="D93" t="s">
        <v>10</v>
      </c>
      <c r="E93" t="s">
        <v>15</v>
      </c>
      <c r="F93">
        <v>86</v>
      </c>
      <c r="G93">
        <v>21</v>
      </c>
      <c r="H93">
        <v>2.88</v>
      </c>
      <c r="I93">
        <f t="shared" si="68"/>
        <v>0.60869443817876923</v>
      </c>
      <c r="J93">
        <f t="shared" si="51"/>
        <v>20.39130556182123</v>
      </c>
      <c r="K93">
        <f t="shared" si="52"/>
        <v>21.60869443817877</v>
      </c>
      <c r="L93" t="str">
        <f t="shared" si="47"/>
        <v>0.61</v>
      </c>
      <c r="M93" t="str">
        <f t="shared" si="48"/>
        <v>20.39</v>
      </c>
      <c r="N93" t="str">
        <f t="shared" si="49"/>
        <v>21.00 [0.61, 20.39]</v>
      </c>
    </row>
    <row r="94" spans="1:14" x14ac:dyDescent="0.35">
      <c r="A94">
        <v>2</v>
      </c>
      <c r="B94">
        <v>13</v>
      </c>
      <c r="C94" t="s">
        <v>33</v>
      </c>
      <c r="D94" t="s">
        <v>11</v>
      </c>
      <c r="E94" t="s">
        <v>15</v>
      </c>
      <c r="F94">
        <v>148</v>
      </c>
      <c r="G94">
        <v>0.42</v>
      </c>
      <c r="H94">
        <v>0.46232899016116652</v>
      </c>
      <c r="I94">
        <f t="shared" ref="I94" si="69">H94*1.96</f>
        <v>0.90616482071588633</v>
      </c>
      <c r="J94">
        <f t="shared" si="51"/>
        <v>-0.48616482071588635</v>
      </c>
      <c r="K94">
        <f t="shared" si="52"/>
        <v>1.3261648207158863</v>
      </c>
      <c r="L94" t="str">
        <f t="shared" si="47"/>
        <v>0.91</v>
      </c>
      <c r="M94" t="str">
        <f t="shared" si="48"/>
        <v>-0.49</v>
      </c>
      <c r="N94" t="str">
        <f t="shared" si="49"/>
        <v>0.42 [0.91, -0.49]</v>
      </c>
    </row>
    <row r="95" spans="1:14" x14ac:dyDescent="0.35">
      <c r="A95">
        <v>296</v>
      </c>
      <c r="B95">
        <v>13</v>
      </c>
      <c r="C95" t="s">
        <v>33</v>
      </c>
      <c r="D95" t="s">
        <v>8</v>
      </c>
      <c r="E95" t="s">
        <v>19</v>
      </c>
      <c r="F95">
        <v>61</v>
      </c>
      <c r="G95">
        <v>79.400000000000006</v>
      </c>
      <c r="H95">
        <v>16.899999999999999</v>
      </c>
      <c r="I95">
        <f t="shared" ref="I95:I96" si="70">H95/(SQRT(F95))*1.96</f>
        <v>4.2410936108972459</v>
      </c>
      <c r="J95">
        <f t="shared" si="51"/>
        <v>75.158906389102754</v>
      </c>
      <c r="K95">
        <f t="shared" si="52"/>
        <v>83.641093610897258</v>
      </c>
      <c r="L95" t="str">
        <f t="shared" si="47"/>
        <v>4.24</v>
      </c>
      <c r="M95" t="str">
        <f t="shared" si="48"/>
        <v>75.16</v>
      </c>
      <c r="N95" t="str">
        <f t="shared" si="49"/>
        <v>79.40 [4.24, 75.16]</v>
      </c>
    </row>
    <row r="96" spans="1:14" x14ac:dyDescent="0.35">
      <c r="A96">
        <v>297</v>
      </c>
      <c r="B96">
        <v>13</v>
      </c>
      <c r="C96" t="s">
        <v>33</v>
      </c>
      <c r="D96" t="s">
        <v>10</v>
      </c>
      <c r="E96" t="s">
        <v>19</v>
      </c>
      <c r="F96">
        <v>86</v>
      </c>
      <c r="G96">
        <v>80.7</v>
      </c>
      <c r="H96">
        <v>15.3</v>
      </c>
      <c r="I96">
        <f t="shared" si="70"/>
        <v>3.2336892028247113</v>
      </c>
      <c r="J96">
        <f t="shared" si="51"/>
        <v>77.466310797175296</v>
      </c>
      <c r="K96">
        <f t="shared" si="52"/>
        <v>83.933689202824709</v>
      </c>
      <c r="L96" t="str">
        <f t="shared" si="47"/>
        <v>3.23</v>
      </c>
      <c r="M96" t="str">
        <f t="shared" si="48"/>
        <v>77.47</v>
      </c>
      <c r="N96" t="str">
        <f t="shared" si="49"/>
        <v>80.70 [3.23, 77.47]</v>
      </c>
    </row>
    <row r="97" spans="1:14" x14ac:dyDescent="0.35">
      <c r="A97">
        <v>3</v>
      </c>
      <c r="B97">
        <v>13</v>
      </c>
      <c r="C97" t="s">
        <v>33</v>
      </c>
      <c r="D97" t="s">
        <v>11</v>
      </c>
      <c r="E97" t="s">
        <v>19</v>
      </c>
      <c r="F97">
        <v>147</v>
      </c>
      <c r="G97">
        <v>8.1000000000000003E-2</v>
      </c>
      <c r="H97">
        <v>0.16700000000000001</v>
      </c>
      <c r="I97">
        <f t="shared" ref="I97" si="71">H97*1.96</f>
        <v>0.32732</v>
      </c>
      <c r="J97">
        <f t="shared" si="51"/>
        <v>-0.24631999999999998</v>
      </c>
      <c r="K97">
        <f t="shared" si="52"/>
        <v>0.40832000000000002</v>
      </c>
      <c r="L97" t="str">
        <f t="shared" si="47"/>
        <v>0.33</v>
      </c>
      <c r="M97" t="str">
        <f t="shared" si="48"/>
        <v>-0.25</v>
      </c>
      <c r="N97" t="str">
        <f t="shared" si="49"/>
        <v>0.08 [0.33, -0.25]</v>
      </c>
    </row>
    <row r="98" spans="1:14" x14ac:dyDescent="0.35">
      <c r="A98">
        <v>380</v>
      </c>
      <c r="B98">
        <v>13</v>
      </c>
      <c r="C98" t="s">
        <v>33</v>
      </c>
      <c r="D98" t="s">
        <v>8</v>
      </c>
      <c r="E98" t="s">
        <v>16</v>
      </c>
      <c r="F98">
        <v>61</v>
      </c>
      <c r="G98">
        <v>26</v>
      </c>
      <c r="H98">
        <v>1.99</v>
      </c>
      <c r="I98">
        <f t="shared" ref="I98:I99" si="72">H98/(SQRT(F98))*1.96</f>
        <v>0.49939504649026745</v>
      </c>
      <c r="J98">
        <f t="shared" si="51"/>
        <v>25.500604953509733</v>
      </c>
      <c r="K98">
        <f t="shared" si="52"/>
        <v>26.499395046490267</v>
      </c>
      <c r="L98" t="str">
        <f t="shared" si="47"/>
        <v>0.50</v>
      </c>
      <c r="M98" t="str">
        <f t="shared" si="48"/>
        <v>25.50</v>
      </c>
      <c r="N98" t="str">
        <f t="shared" si="49"/>
        <v>26.00 [0.50, 25.50]</v>
      </c>
    </row>
    <row r="99" spans="1:14" x14ac:dyDescent="0.35">
      <c r="A99">
        <v>381</v>
      </c>
      <c r="B99">
        <v>13</v>
      </c>
      <c r="C99" t="s">
        <v>33</v>
      </c>
      <c r="D99" t="s">
        <v>10</v>
      </c>
      <c r="E99" t="s">
        <v>16</v>
      </c>
      <c r="F99">
        <v>86</v>
      </c>
      <c r="G99">
        <v>28</v>
      </c>
      <c r="H99">
        <v>1.72</v>
      </c>
      <c r="I99">
        <f t="shared" si="72"/>
        <v>0.36352584502343155</v>
      </c>
      <c r="J99">
        <f t="shared" si="51"/>
        <v>27.636474154976568</v>
      </c>
      <c r="K99">
        <f t="shared" si="52"/>
        <v>28.363525845023432</v>
      </c>
      <c r="L99" t="str">
        <f t="shared" si="47"/>
        <v>0.36</v>
      </c>
      <c r="M99" t="str">
        <f t="shared" si="48"/>
        <v>27.64</v>
      </c>
      <c r="N99" t="str">
        <f t="shared" si="49"/>
        <v>28.00 [0.36, 27.64]</v>
      </c>
    </row>
    <row r="100" spans="1:14" x14ac:dyDescent="0.35">
      <c r="A100">
        <v>4</v>
      </c>
      <c r="B100">
        <v>13</v>
      </c>
      <c r="C100" t="s">
        <v>33</v>
      </c>
      <c r="D100" t="s">
        <v>11</v>
      </c>
      <c r="E100" t="s">
        <v>16</v>
      </c>
      <c r="F100">
        <v>148</v>
      </c>
      <c r="G100">
        <v>1.5409999999999999</v>
      </c>
      <c r="H100">
        <v>0.34443631666336061</v>
      </c>
      <c r="I100">
        <f t="shared" ref="I100" si="73">H100*1.96</f>
        <v>0.67509518066018681</v>
      </c>
      <c r="J100">
        <f t="shared" si="51"/>
        <v>0.86590481933981311</v>
      </c>
      <c r="K100">
        <f t="shared" si="52"/>
        <v>2.2160951806601865</v>
      </c>
      <c r="L100" t="str">
        <f t="shared" si="47"/>
        <v>0.68</v>
      </c>
      <c r="M100" t="str">
        <f t="shared" si="48"/>
        <v>0.87</v>
      </c>
      <c r="N100" t="str">
        <f t="shared" si="49"/>
        <v>1.54 [0.68, 0.87]</v>
      </c>
    </row>
    <row r="101" spans="1:14" x14ac:dyDescent="0.35">
      <c r="A101">
        <v>558</v>
      </c>
      <c r="B101">
        <v>13</v>
      </c>
      <c r="C101" t="s">
        <v>33</v>
      </c>
      <c r="D101" t="s">
        <v>8</v>
      </c>
      <c r="E101" t="s">
        <v>14</v>
      </c>
      <c r="F101">
        <v>61</v>
      </c>
      <c r="G101">
        <v>12</v>
      </c>
      <c r="H101">
        <v>1.99</v>
      </c>
      <c r="I101">
        <f t="shared" ref="I101:I102" si="74">H101/(SQRT(F101))*1.96</f>
        <v>0.49939504649026745</v>
      </c>
      <c r="J101">
        <f t="shared" si="51"/>
        <v>11.500604953509733</v>
      </c>
      <c r="K101">
        <f t="shared" si="52"/>
        <v>12.499395046490267</v>
      </c>
      <c r="L101" t="str">
        <f t="shared" si="47"/>
        <v>0.50</v>
      </c>
      <c r="M101" t="str">
        <f t="shared" si="48"/>
        <v>11.50</v>
      </c>
      <c r="N101" t="str">
        <f t="shared" si="49"/>
        <v>12.00 [0.50, 11.50]</v>
      </c>
    </row>
    <row r="102" spans="1:14" x14ac:dyDescent="0.35">
      <c r="A102">
        <v>559</v>
      </c>
      <c r="B102">
        <v>13</v>
      </c>
      <c r="C102" t="s">
        <v>33</v>
      </c>
      <c r="D102" t="s">
        <v>10</v>
      </c>
      <c r="E102" t="s">
        <v>14</v>
      </c>
      <c r="F102">
        <v>86</v>
      </c>
      <c r="G102">
        <v>13</v>
      </c>
      <c r="H102">
        <v>1.72</v>
      </c>
      <c r="I102">
        <f t="shared" si="74"/>
        <v>0.36352584502343155</v>
      </c>
      <c r="J102">
        <f t="shared" si="51"/>
        <v>12.636474154976568</v>
      </c>
      <c r="K102">
        <f t="shared" si="52"/>
        <v>13.363525845023432</v>
      </c>
      <c r="L102" t="str">
        <f t="shared" si="47"/>
        <v>0.36</v>
      </c>
      <c r="M102" t="str">
        <f t="shared" si="48"/>
        <v>12.64</v>
      </c>
      <c r="N102" t="str">
        <f t="shared" si="49"/>
        <v>13.00 [0.36, 12.64]</v>
      </c>
    </row>
    <row r="103" spans="1:14" x14ac:dyDescent="0.35">
      <c r="A103">
        <v>4</v>
      </c>
      <c r="B103">
        <v>13</v>
      </c>
      <c r="C103" t="s">
        <v>33</v>
      </c>
      <c r="D103" t="s">
        <v>11</v>
      </c>
      <c r="E103" t="s">
        <v>14</v>
      </c>
      <c r="F103">
        <v>148</v>
      </c>
      <c r="G103">
        <v>1.379</v>
      </c>
      <c r="H103">
        <v>0.43379818749778848</v>
      </c>
      <c r="I103">
        <f t="shared" ref="I103" si="75">H103*1.96</f>
        <v>0.85024444749566541</v>
      </c>
      <c r="J103">
        <f t="shared" si="51"/>
        <v>0.52875555250433459</v>
      </c>
      <c r="K103">
        <f t="shared" si="52"/>
        <v>2.2292444474956654</v>
      </c>
      <c r="L103" t="str">
        <f t="shared" si="47"/>
        <v>0.85</v>
      </c>
      <c r="M103" t="str">
        <f t="shared" si="48"/>
        <v>0.53</v>
      </c>
      <c r="N103" t="str">
        <f t="shared" si="49"/>
        <v>1.38 [0.85, 0.53]</v>
      </c>
    </row>
    <row r="104" spans="1:14" x14ac:dyDescent="0.35">
      <c r="A104">
        <v>444</v>
      </c>
      <c r="B104">
        <v>13</v>
      </c>
      <c r="C104" t="s">
        <v>33</v>
      </c>
      <c r="D104" t="s">
        <v>8</v>
      </c>
      <c r="E104" t="s">
        <v>9</v>
      </c>
      <c r="F104">
        <v>61</v>
      </c>
      <c r="G104">
        <v>4.0999999999999996</v>
      </c>
      <c r="H104">
        <v>1.7</v>
      </c>
      <c r="I104">
        <f t="shared" ref="I104:I105" si="76">H104/(SQRT(F104))*1.96</f>
        <v>0.4266188839364094</v>
      </c>
      <c r="J104">
        <f t="shared" si="51"/>
        <v>3.6733811160635903</v>
      </c>
      <c r="K104">
        <f t="shared" si="52"/>
        <v>4.5266188839364094</v>
      </c>
      <c r="L104" t="str">
        <f t="shared" si="47"/>
        <v>0.43</v>
      </c>
      <c r="M104" t="str">
        <f t="shared" si="48"/>
        <v>3.67</v>
      </c>
      <c r="N104" t="str">
        <f t="shared" si="49"/>
        <v>4.10 [0.43, 3.67]</v>
      </c>
    </row>
    <row r="105" spans="1:14" x14ac:dyDescent="0.35">
      <c r="A105">
        <v>445</v>
      </c>
      <c r="B105">
        <v>13</v>
      </c>
      <c r="C105" t="s">
        <v>33</v>
      </c>
      <c r="D105" t="s">
        <v>10</v>
      </c>
      <c r="E105" t="s">
        <v>9</v>
      </c>
      <c r="F105">
        <v>86</v>
      </c>
      <c r="G105">
        <v>4</v>
      </c>
      <c r="H105">
        <v>1.7</v>
      </c>
      <c r="I105">
        <f t="shared" si="76"/>
        <v>0.35929880031385675</v>
      </c>
      <c r="J105">
        <f t="shared" si="51"/>
        <v>3.6407011996861431</v>
      </c>
      <c r="K105">
        <f t="shared" si="52"/>
        <v>4.3592988003138569</v>
      </c>
      <c r="L105" t="str">
        <f t="shared" si="47"/>
        <v>0.36</v>
      </c>
      <c r="M105" t="str">
        <f t="shared" si="48"/>
        <v>3.64</v>
      </c>
      <c r="N105" t="str">
        <f t="shared" si="49"/>
        <v>4.00 [0.36, 3.64]</v>
      </c>
    </row>
    <row r="106" spans="1:14" x14ac:dyDescent="0.35">
      <c r="A106">
        <v>4</v>
      </c>
      <c r="B106">
        <v>13</v>
      </c>
      <c r="C106" t="s">
        <v>33</v>
      </c>
      <c r="D106" t="s">
        <v>11</v>
      </c>
      <c r="E106" t="s">
        <v>9</v>
      </c>
      <c r="F106">
        <v>147</v>
      </c>
      <c r="G106">
        <v>5.8999999999999997E-2</v>
      </c>
      <c r="H106">
        <v>0.16700000000000001</v>
      </c>
      <c r="I106">
        <f t="shared" ref="I106" si="77">H106*1.96</f>
        <v>0.32732</v>
      </c>
      <c r="J106">
        <f t="shared" si="51"/>
        <v>-0.26832</v>
      </c>
      <c r="K106">
        <f t="shared" si="52"/>
        <v>0.38632</v>
      </c>
      <c r="L106" t="str">
        <f t="shared" si="47"/>
        <v>0.33</v>
      </c>
      <c r="M106" t="str">
        <f t="shared" si="48"/>
        <v>-0.27</v>
      </c>
      <c r="N106" t="str">
        <f t="shared" si="49"/>
        <v>0.06 [0.33, -0.27]</v>
      </c>
    </row>
    <row r="107" spans="1:14" x14ac:dyDescent="0.35">
      <c r="A107">
        <v>78</v>
      </c>
      <c r="B107">
        <v>14</v>
      </c>
      <c r="C107" t="s">
        <v>34</v>
      </c>
      <c r="D107" t="s">
        <v>10</v>
      </c>
      <c r="E107" t="s">
        <v>27</v>
      </c>
      <c r="F107">
        <v>44</v>
      </c>
      <c r="G107">
        <v>79.5</v>
      </c>
      <c r="H107">
        <v>24.7</v>
      </c>
      <c r="I107">
        <f t="shared" ref="I107:I108" si="78">H107/(SQRT(F107))*1.96</f>
        <v>7.2983836068493462</v>
      </c>
      <c r="J107">
        <f t="shared" si="51"/>
        <v>72.201616393150658</v>
      </c>
      <c r="K107">
        <f t="shared" si="52"/>
        <v>86.798383606849342</v>
      </c>
      <c r="L107" t="str">
        <f t="shared" si="47"/>
        <v>7.30</v>
      </c>
      <c r="M107" t="str">
        <f t="shared" si="48"/>
        <v>72.20</v>
      </c>
      <c r="N107" t="str">
        <f t="shared" si="49"/>
        <v>79.50 [7.30, 72.20]</v>
      </c>
    </row>
    <row r="108" spans="1:14" x14ac:dyDescent="0.35">
      <c r="A108">
        <v>79</v>
      </c>
      <c r="B108">
        <v>14</v>
      </c>
      <c r="C108" t="s">
        <v>34</v>
      </c>
      <c r="D108" t="s">
        <v>35</v>
      </c>
      <c r="E108" t="s">
        <v>27</v>
      </c>
      <c r="F108">
        <v>36</v>
      </c>
      <c r="G108">
        <v>81.099999999999994</v>
      </c>
      <c r="H108">
        <v>23.1</v>
      </c>
      <c r="I108">
        <f t="shared" si="78"/>
        <v>7.5460000000000003</v>
      </c>
      <c r="J108">
        <f t="shared" si="51"/>
        <v>73.553999999999988</v>
      </c>
      <c r="K108">
        <f t="shared" si="52"/>
        <v>88.646000000000001</v>
      </c>
      <c r="L108" t="str">
        <f t="shared" si="47"/>
        <v>7.55</v>
      </c>
      <c r="M108" t="str">
        <f t="shared" si="48"/>
        <v>73.55</v>
      </c>
      <c r="N108" t="str">
        <f t="shared" si="49"/>
        <v>81.10 [7.55, 73.55]</v>
      </c>
    </row>
    <row r="109" spans="1:14" x14ac:dyDescent="0.35">
      <c r="A109">
        <v>3</v>
      </c>
      <c r="B109">
        <v>14</v>
      </c>
      <c r="C109" t="s">
        <v>34</v>
      </c>
      <c r="D109" t="s">
        <v>36</v>
      </c>
      <c r="E109" t="s">
        <v>27</v>
      </c>
      <c r="F109">
        <v>80</v>
      </c>
      <c r="G109">
        <v>6.7000000000000004E-2</v>
      </c>
      <c r="H109">
        <v>0.22500000000000001</v>
      </c>
      <c r="I109">
        <f t="shared" ref="I109" si="79">H109*1.96</f>
        <v>0.441</v>
      </c>
      <c r="J109">
        <f t="shared" si="51"/>
        <v>-0.374</v>
      </c>
      <c r="K109">
        <f t="shared" si="52"/>
        <v>0.50800000000000001</v>
      </c>
      <c r="L109" t="str">
        <f t="shared" si="47"/>
        <v>0.44</v>
      </c>
      <c r="M109" t="str">
        <f t="shared" si="48"/>
        <v>-0.37</v>
      </c>
      <c r="N109" t="str">
        <f t="shared" si="49"/>
        <v>0.07 [0.44, -0.37]</v>
      </c>
    </row>
    <row r="110" spans="1:14" x14ac:dyDescent="0.35">
      <c r="A110">
        <v>446</v>
      </c>
      <c r="B110">
        <v>14</v>
      </c>
      <c r="C110" t="s">
        <v>34</v>
      </c>
      <c r="D110" t="s">
        <v>10</v>
      </c>
      <c r="E110" t="s">
        <v>9</v>
      </c>
      <c r="F110">
        <v>44</v>
      </c>
      <c r="G110">
        <v>5.0999999999999996</v>
      </c>
      <c r="H110">
        <v>2.2000000000000002</v>
      </c>
      <c r="I110">
        <f t="shared" ref="I110:I111" si="80">H110/(SQRT(F110))*1.96</f>
        <v>0.65005845890965841</v>
      </c>
      <c r="J110">
        <f t="shared" si="51"/>
        <v>4.4499415410903413</v>
      </c>
      <c r="K110">
        <f t="shared" si="52"/>
        <v>5.7500584589096579</v>
      </c>
      <c r="L110" t="str">
        <f t="shared" si="47"/>
        <v>0.65</v>
      </c>
      <c r="M110" t="str">
        <f t="shared" si="48"/>
        <v>4.45</v>
      </c>
      <c r="N110" t="str">
        <f t="shared" si="49"/>
        <v>5.10 [0.65, 4.45]</v>
      </c>
    </row>
    <row r="111" spans="1:14" x14ac:dyDescent="0.35">
      <c r="A111">
        <v>447</v>
      </c>
      <c r="B111">
        <v>14</v>
      </c>
      <c r="C111" t="s">
        <v>34</v>
      </c>
      <c r="D111" t="s">
        <v>35</v>
      </c>
      <c r="E111" t="s">
        <v>9</v>
      </c>
      <c r="F111">
        <v>36</v>
      </c>
      <c r="G111">
        <v>5.0999999999999996</v>
      </c>
      <c r="H111">
        <v>2</v>
      </c>
      <c r="I111">
        <f t="shared" si="80"/>
        <v>0.65333333333333332</v>
      </c>
      <c r="J111">
        <f t="shared" si="51"/>
        <v>4.4466666666666663</v>
      </c>
      <c r="K111">
        <f t="shared" si="52"/>
        <v>5.753333333333333</v>
      </c>
      <c r="L111" t="str">
        <f t="shared" si="47"/>
        <v>0.65</v>
      </c>
      <c r="M111" t="str">
        <f t="shared" si="48"/>
        <v>4.45</v>
      </c>
      <c r="N111" t="str">
        <f t="shared" si="49"/>
        <v>5.10 [0.65, 4.45]</v>
      </c>
    </row>
    <row r="112" spans="1:14" x14ac:dyDescent="0.35">
      <c r="A112">
        <v>5</v>
      </c>
      <c r="B112">
        <v>14</v>
      </c>
      <c r="C112" t="s">
        <v>34</v>
      </c>
      <c r="D112" t="s">
        <v>36</v>
      </c>
      <c r="E112" t="s">
        <v>9</v>
      </c>
      <c r="F112">
        <v>80</v>
      </c>
      <c r="G112">
        <v>0</v>
      </c>
      <c r="H112">
        <v>0.22500000000000001</v>
      </c>
      <c r="I112">
        <f t="shared" ref="I112" si="81">H112*1.96</f>
        <v>0.441</v>
      </c>
      <c r="J112">
        <f t="shared" si="51"/>
        <v>-0.441</v>
      </c>
      <c r="K112">
        <f t="shared" si="52"/>
        <v>0.441</v>
      </c>
      <c r="L112" t="str">
        <f t="shared" si="47"/>
        <v>0.44</v>
      </c>
      <c r="M112" t="str">
        <f t="shared" si="48"/>
        <v>-0.44</v>
      </c>
      <c r="N112" t="str">
        <f t="shared" si="49"/>
        <v>0.00 [0.44, -0.44]</v>
      </c>
    </row>
    <row r="113" spans="1:14" x14ac:dyDescent="0.35">
      <c r="A113">
        <v>80</v>
      </c>
      <c r="B113">
        <v>18</v>
      </c>
      <c r="C113" t="s">
        <v>37</v>
      </c>
      <c r="D113" t="s">
        <v>10</v>
      </c>
      <c r="E113" t="s">
        <v>27</v>
      </c>
      <c r="F113">
        <v>30</v>
      </c>
      <c r="G113">
        <v>89.7</v>
      </c>
      <c r="H113">
        <v>5.7</v>
      </c>
      <c r="I113">
        <f t="shared" ref="I113:I114" si="82">H113/(SQRT(F113))*1.96</f>
        <v>2.0397188041492385</v>
      </c>
      <c r="J113">
        <f t="shared" si="51"/>
        <v>87.660281195850757</v>
      </c>
      <c r="K113">
        <f t="shared" si="52"/>
        <v>91.739718804149248</v>
      </c>
      <c r="L113" t="str">
        <f t="shared" si="47"/>
        <v>2.04</v>
      </c>
      <c r="M113" t="str">
        <f t="shared" si="48"/>
        <v>87.66</v>
      </c>
      <c r="N113" t="str">
        <f t="shared" si="49"/>
        <v>89.70 [2.04, 87.66]</v>
      </c>
    </row>
    <row r="114" spans="1:14" x14ac:dyDescent="0.35">
      <c r="A114">
        <v>81</v>
      </c>
      <c r="B114">
        <v>18</v>
      </c>
      <c r="C114" t="s">
        <v>37</v>
      </c>
      <c r="D114" t="s">
        <v>32</v>
      </c>
      <c r="E114" t="s">
        <v>27</v>
      </c>
      <c r="F114">
        <v>30</v>
      </c>
      <c r="G114">
        <v>89.9</v>
      </c>
      <c r="H114">
        <v>9.8000000000000007</v>
      </c>
      <c r="I114">
        <f t="shared" si="82"/>
        <v>3.5068849615197437</v>
      </c>
      <c r="J114">
        <f t="shared" si="51"/>
        <v>86.393115038480261</v>
      </c>
      <c r="K114">
        <f t="shared" si="52"/>
        <v>93.406884961519751</v>
      </c>
      <c r="L114" t="str">
        <f t="shared" si="47"/>
        <v>3.51</v>
      </c>
      <c r="M114" t="str">
        <f t="shared" si="48"/>
        <v>86.39</v>
      </c>
      <c r="N114" t="str">
        <f t="shared" si="49"/>
        <v>89.90 [3.51, 86.39]</v>
      </c>
    </row>
    <row r="115" spans="1:14" x14ac:dyDescent="0.35">
      <c r="A115">
        <v>4</v>
      </c>
      <c r="B115">
        <v>18</v>
      </c>
      <c r="C115" t="s">
        <v>37</v>
      </c>
      <c r="D115" t="s">
        <v>31</v>
      </c>
      <c r="E115" t="s">
        <v>27</v>
      </c>
      <c r="F115">
        <v>60</v>
      </c>
      <c r="G115">
        <v>2.5000000000000001E-2</v>
      </c>
      <c r="H115">
        <v>0.25800000000000001</v>
      </c>
      <c r="I115">
        <f t="shared" ref="I115" si="83">H115*1.96</f>
        <v>0.50568000000000002</v>
      </c>
      <c r="J115">
        <f t="shared" si="51"/>
        <v>-0.48068</v>
      </c>
      <c r="K115">
        <f t="shared" si="52"/>
        <v>0.53068000000000004</v>
      </c>
      <c r="L115" t="str">
        <f t="shared" si="47"/>
        <v>0.51</v>
      </c>
      <c r="M115" t="str">
        <f t="shared" si="48"/>
        <v>-0.48</v>
      </c>
      <c r="N115" t="str">
        <f t="shared" si="49"/>
        <v>0.03 [0.51, -0.48]</v>
      </c>
    </row>
    <row r="116" spans="1:14" x14ac:dyDescent="0.35">
      <c r="A116">
        <v>298</v>
      </c>
      <c r="B116">
        <v>18</v>
      </c>
      <c r="C116" t="s">
        <v>37</v>
      </c>
      <c r="D116" t="s">
        <v>10</v>
      </c>
      <c r="E116" t="s">
        <v>19</v>
      </c>
      <c r="F116">
        <v>30</v>
      </c>
      <c r="G116">
        <v>95.1</v>
      </c>
      <c r="H116">
        <v>5.2</v>
      </c>
      <c r="I116">
        <f t="shared" ref="I116:I117" si="84">H116/(SQRT(F116))*1.96</f>
        <v>1.8607961020308845</v>
      </c>
      <c r="J116">
        <f t="shared" si="51"/>
        <v>93.239203897969105</v>
      </c>
      <c r="K116">
        <f t="shared" si="52"/>
        <v>96.960796102030884</v>
      </c>
      <c r="L116" t="str">
        <f t="shared" si="47"/>
        <v>1.86</v>
      </c>
      <c r="M116" t="str">
        <f t="shared" si="48"/>
        <v>93.24</v>
      </c>
      <c r="N116" t="str">
        <f t="shared" si="49"/>
        <v>95.10 [1.86, 93.24]</v>
      </c>
    </row>
    <row r="117" spans="1:14" x14ac:dyDescent="0.35">
      <c r="A117">
        <v>299</v>
      </c>
      <c r="B117">
        <v>18</v>
      </c>
      <c r="C117" t="s">
        <v>37</v>
      </c>
      <c r="D117" t="s">
        <v>32</v>
      </c>
      <c r="E117" t="s">
        <v>19</v>
      </c>
      <c r="F117">
        <v>30</v>
      </c>
      <c r="G117">
        <v>94.5</v>
      </c>
      <c r="H117">
        <v>6.4</v>
      </c>
      <c r="I117">
        <f t="shared" si="84"/>
        <v>2.2902105871149345</v>
      </c>
      <c r="J117">
        <f t="shared" si="51"/>
        <v>92.209789412885073</v>
      </c>
      <c r="K117">
        <f t="shared" si="52"/>
        <v>96.790210587114927</v>
      </c>
      <c r="L117" t="str">
        <f t="shared" si="47"/>
        <v>2.29</v>
      </c>
      <c r="M117" t="str">
        <f t="shared" si="48"/>
        <v>92.21</v>
      </c>
      <c r="N117" t="str">
        <f t="shared" si="49"/>
        <v>94.50 [2.29, 92.21]</v>
      </c>
    </row>
    <row r="118" spans="1:14" x14ac:dyDescent="0.35">
      <c r="A118">
        <v>4</v>
      </c>
      <c r="B118">
        <v>18</v>
      </c>
      <c r="C118" t="s">
        <v>37</v>
      </c>
      <c r="D118" t="s">
        <v>31</v>
      </c>
      <c r="E118" t="s">
        <v>19</v>
      </c>
      <c r="F118">
        <v>60</v>
      </c>
      <c r="G118">
        <v>0.10299999999999999</v>
      </c>
      <c r="H118">
        <v>0.25800000000000001</v>
      </c>
      <c r="I118">
        <f t="shared" ref="I118" si="85">H118*1.96</f>
        <v>0.50568000000000002</v>
      </c>
      <c r="J118">
        <f t="shared" si="51"/>
        <v>-0.40268000000000004</v>
      </c>
      <c r="K118">
        <f t="shared" si="52"/>
        <v>0.60868</v>
      </c>
      <c r="L118" t="str">
        <f t="shared" si="47"/>
        <v>0.51</v>
      </c>
      <c r="M118" t="str">
        <f t="shared" si="48"/>
        <v>-0.40</v>
      </c>
      <c r="N118" t="str">
        <f t="shared" si="49"/>
        <v>0.10 [0.51, -0.40]</v>
      </c>
    </row>
    <row r="119" spans="1:14" x14ac:dyDescent="0.35">
      <c r="A119">
        <v>82</v>
      </c>
      <c r="B119">
        <v>19</v>
      </c>
      <c r="C119" t="s">
        <v>38</v>
      </c>
      <c r="D119" t="s">
        <v>10</v>
      </c>
      <c r="E119" t="s">
        <v>27</v>
      </c>
      <c r="F119">
        <v>92</v>
      </c>
      <c r="G119">
        <v>92</v>
      </c>
      <c r="H119">
        <v>8</v>
      </c>
      <c r="I119">
        <f t="shared" ref="I119:I120" si="86">H119/(SQRT(F119))*1.96</f>
        <v>1.6347530062074662</v>
      </c>
      <c r="J119">
        <f t="shared" si="51"/>
        <v>90.365246993792539</v>
      </c>
      <c r="K119">
        <f t="shared" si="52"/>
        <v>93.634753006207461</v>
      </c>
      <c r="L119" t="str">
        <f t="shared" si="47"/>
        <v>1.63</v>
      </c>
      <c r="M119" t="str">
        <f t="shared" si="48"/>
        <v>90.37</v>
      </c>
      <c r="N119" t="str">
        <f t="shared" si="49"/>
        <v>92.00 [1.63, 90.37]</v>
      </c>
    </row>
    <row r="120" spans="1:14" x14ac:dyDescent="0.35">
      <c r="A120">
        <v>83</v>
      </c>
      <c r="B120">
        <v>19</v>
      </c>
      <c r="C120" t="s">
        <v>38</v>
      </c>
      <c r="D120" t="s">
        <v>28</v>
      </c>
      <c r="E120" t="s">
        <v>27</v>
      </c>
      <c r="F120">
        <v>89</v>
      </c>
      <c r="G120">
        <v>89</v>
      </c>
      <c r="H120">
        <v>10</v>
      </c>
      <c r="I120">
        <f t="shared" si="86"/>
        <v>2.0775958448124658</v>
      </c>
      <c r="J120">
        <f t="shared" si="51"/>
        <v>86.922404155187536</v>
      </c>
      <c r="K120">
        <f t="shared" si="52"/>
        <v>91.077595844812464</v>
      </c>
      <c r="L120" t="str">
        <f t="shared" si="47"/>
        <v>2.08</v>
      </c>
      <c r="M120" t="str">
        <f t="shared" si="48"/>
        <v>86.92</v>
      </c>
      <c r="N120" t="str">
        <f t="shared" si="49"/>
        <v>89.00 [2.08, 86.92]</v>
      </c>
    </row>
    <row r="121" spans="1:14" x14ac:dyDescent="0.35">
      <c r="A121">
        <v>5</v>
      </c>
      <c r="B121">
        <v>19</v>
      </c>
      <c r="C121" t="s">
        <v>38</v>
      </c>
      <c r="D121" t="s">
        <v>39</v>
      </c>
      <c r="E121" t="s">
        <v>27</v>
      </c>
      <c r="F121">
        <v>181</v>
      </c>
      <c r="G121">
        <v>0.33200000000000002</v>
      </c>
      <c r="H121">
        <v>0.15</v>
      </c>
      <c r="I121">
        <f t="shared" ref="I121" si="87">H121*1.96</f>
        <v>0.29399999999999998</v>
      </c>
      <c r="J121">
        <f t="shared" si="51"/>
        <v>3.8000000000000034E-2</v>
      </c>
      <c r="K121">
        <f t="shared" si="52"/>
        <v>0.626</v>
      </c>
      <c r="L121" t="str">
        <f t="shared" si="47"/>
        <v>0.29</v>
      </c>
      <c r="M121" t="str">
        <f t="shared" si="48"/>
        <v>0.04</v>
      </c>
      <c r="N121" t="str">
        <f t="shared" si="49"/>
        <v>0.33 [0.29, 0.04]</v>
      </c>
    </row>
    <row r="122" spans="1:14" x14ac:dyDescent="0.35">
      <c r="A122">
        <v>300</v>
      </c>
      <c r="B122">
        <v>19</v>
      </c>
      <c r="C122" t="s">
        <v>38</v>
      </c>
      <c r="D122" t="s">
        <v>10</v>
      </c>
      <c r="E122" t="s">
        <v>19</v>
      </c>
      <c r="F122">
        <v>92</v>
      </c>
      <c r="G122">
        <v>94</v>
      </c>
      <c r="H122">
        <v>7</v>
      </c>
      <c r="I122">
        <f t="shared" ref="I122:I123" si="88">H122/(SQRT(F122))*1.96</f>
        <v>1.4304088804315329</v>
      </c>
      <c r="J122">
        <f t="shared" si="51"/>
        <v>92.569591119568472</v>
      </c>
      <c r="K122">
        <f t="shared" si="52"/>
        <v>95.430408880431528</v>
      </c>
      <c r="L122" t="str">
        <f t="shared" si="47"/>
        <v>1.43</v>
      </c>
      <c r="M122" t="str">
        <f t="shared" si="48"/>
        <v>92.57</v>
      </c>
      <c r="N122" t="str">
        <f t="shared" si="49"/>
        <v>94.00 [1.43, 92.57]</v>
      </c>
    </row>
    <row r="123" spans="1:14" x14ac:dyDescent="0.35">
      <c r="A123">
        <v>301</v>
      </c>
      <c r="B123">
        <v>19</v>
      </c>
      <c r="C123" t="s">
        <v>38</v>
      </c>
      <c r="D123" t="s">
        <v>28</v>
      </c>
      <c r="E123" t="s">
        <v>19</v>
      </c>
      <c r="F123">
        <v>89</v>
      </c>
      <c r="G123">
        <v>93</v>
      </c>
      <c r="H123">
        <v>8</v>
      </c>
      <c r="I123">
        <f t="shared" si="88"/>
        <v>1.6620766758499725</v>
      </c>
      <c r="J123">
        <f t="shared" si="51"/>
        <v>91.337923324150026</v>
      </c>
      <c r="K123">
        <f t="shared" si="52"/>
        <v>94.662076675849974</v>
      </c>
      <c r="L123" t="str">
        <f t="shared" si="47"/>
        <v>1.66</v>
      </c>
      <c r="M123" t="str">
        <f t="shared" si="48"/>
        <v>91.34</v>
      </c>
      <c r="N123" t="str">
        <f t="shared" si="49"/>
        <v>93.00 [1.66, 91.34]</v>
      </c>
    </row>
    <row r="124" spans="1:14" x14ac:dyDescent="0.35">
      <c r="A124">
        <v>5</v>
      </c>
      <c r="B124">
        <v>19</v>
      </c>
      <c r="C124" t="s">
        <v>38</v>
      </c>
      <c r="D124" t="s">
        <v>39</v>
      </c>
      <c r="E124" t="s">
        <v>19</v>
      </c>
      <c r="F124">
        <v>181</v>
      </c>
      <c r="G124">
        <v>0.13300000000000001</v>
      </c>
      <c r="H124">
        <v>0.14899999999999999</v>
      </c>
      <c r="I124">
        <f t="shared" ref="I124" si="89">H124*1.96</f>
        <v>0.29203999999999997</v>
      </c>
      <c r="J124">
        <f t="shared" si="51"/>
        <v>-0.15903999999999996</v>
      </c>
      <c r="K124">
        <f t="shared" si="52"/>
        <v>0.42503999999999997</v>
      </c>
      <c r="L124" t="str">
        <f t="shared" si="47"/>
        <v>0.29</v>
      </c>
      <c r="M124" t="str">
        <f t="shared" si="48"/>
        <v>-0.16</v>
      </c>
      <c r="N124" t="str">
        <f t="shared" si="49"/>
        <v>0.13 [0.29, -0.16]</v>
      </c>
    </row>
    <row r="125" spans="1:14" x14ac:dyDescent="0.35">
      <c r="A125">
        <v>146</v>
      </c>
      <c r="B125">
        <v>23</v>
      </c>
      <c r="C125" t="s">
        <v>40</v>
      </c>
      <c r="D125" t="s">
        <v>8</v>
      </c>
      <c r="E125" t="s">
        <v>13</v>
      </c>
      <c r="F125">
        <v>32</v>
      </c>
      <c r="G125">
        <v>2.29</v>
      </c>
      <c r="H125">
        <v>3.99</v>
      </c>
      <c r="I125">
        <f t="shared" ref="I125:I126" si="90">H125/(SQRT(F125))*1.96</f>
        <v>1.3824644678978191</v>
      </c>
      <c r="J125">
        <f t="shared" si="51"/>
        <v>0.90753553210218096</v>
      </c>
      <c r="K125">
        <f t="shared" si="52"/>
        <v>3.6724644678978189</v>
      </c>
      <c r="L125" t="str">
        <f t="shared" si="47"/>
        <v>1.38</v>
      </c>
      <c r="M125" t="str">
        <f t="shared" si="48"/>
        <v>0.91</v>
      </c>
      <c r="N125" t="str">
        <f t="shared" si="49"/>
        <v>2.29 [1.38, 0.91]</v>
      </c>
    </row>
    <row r="126" spans="1:14" x14ac:dyDescent="0.35">
      <c r="A126">
        <v>147</v>
      </c>
      <c r="B126">
        <v>23</v>
      </c>
      <c r="C126" t="s">
        <v>40</v>
      </c>
      <c r="D126" t="s">
        <v>10</v>
      </c>
      <c r="E126" t="s">
        <v>13</v>
      </c>
      <c r="F126">
        <v>34</v>
      </c>
      <c r="G126">
        <v>2.4700000000000002</v>
      </c>
      <c r="H126">
        <v>3.47</v>
      </c>
      <c r="I126">
        <f t="shared" si="90"/>
        <v>1.166396177271231</v>
      </c>
      <c r="J126">
        <f t="shared" si="51"/>
        <v>1.3036038227287692</v>
      </c>
      <c r="K126">
        <f t="shared" si="52"/>
        <v>3.636396177271231</v>
      </c>
      <c r="L126" t="str">
        <f t="shared" si="47"/>
        <v>1.17</v>
      </c>
      <c r="M126" t="str">
        <f t="shared" si="48"/>
        <v>1.30</v>
      </c>
      <c r="N126" t="str">
        <f t="shared" si="49"/>
        <v>2.47 [1.17, 1.30]</v>
      </c>
    </row>
    <row r="127" spans="1:14" x14ac:dyDescent="0.35">
      <c r="A127">
        <v>6</v>
      </c>
      <c r="B127">
        <v>23</v>
      </c>
      <c r="C127" t="s">
        <v>40</v>
      </c>
      <c r="D127" t="s">
        <v>11</v>
      </c>
      <c r="E127" t="s">
        <v>13</v>
      </c>
      <c r="F127">
        <v>66</v>
      </c>
      <c r="G127">
        <v>4.8000000000000001E-2</v>
      </c>
      <c r="H127">
        <v>0.246</v>
      </c>
      <c r="I127">
        <f t="shared" ref="I127" si="91">H127*1.96</f>
        <v>0.48215999999999998</v>
      </c>
      <c r="J127">
        <f t="shared" si="51"/>
        <v>-0.43415999999999999</v>
      </c>
      <c r="K127">
        <f t="shared" si="52"/>
        <v>0.53015999999999996</v>
      </c>
      <c r="L127" t="str">
        <f t="shared" si="47"/>
        <v>0.48</v>
      </c>
      <c r="M127" t="str">
        <f t="shared" si="48"/>
        <v>-0.43</v>
      </c>
      <c r="N127" t="str">
        <f t="shared" si="49"/>
        <v>0.05 [0.48, -0.43]</v>
      </c>
    </row>
    <row r="128" spans="1:14" x14ac:dyDescent="0.35">
      <c r="A128">
        <v>244</v>
      </c>
      <c r="B128">
        <v>23</v>
      </c>
      <c r="C128" t="s">
        <v>40</v>
      </c>
      <c r="D128" t="s">
        <v>8</v>
      </c>
      <c r="E128" t="s">
        <v>17</v>
      </c>
      <c r="F128">
        <v>32</v>
      </c>
      <c r="G128">
        <v>14</v>
      </c>
      <c r="H128">
        <v>5.16</v>
      </c>
      <c r="I128">
        <f t="shared" ref="I128:I129" si="92">H128/(SQRT(F128))*1.96</f>
        <v>1.7878487855520666</v>
      </c>
      <c r="J128">
        <f t="shared" si="51"/>
        <v>12.212151214447934</v>
      </c>
      <c r="K128">
        <f t="shared" si="52"/>
        <v>15.787848785552066</v>
      </c>
      <c r="L128" t="str">
        <f t="shared" si="47"/>
        <v>1.79</v>
      </c>
      <c r="M128" t="str">
        <f t="shared" si="48"/>
        <v>12.21</v>
      </c>
      <c r="N128" t="str">
        <f t="shared" si="49"/>
        <v>14.00 [1.79, 12.21]</v>
      </c>
    </row>
    <row r="129" spans="1:14" x14ac:dyDescent="0.35">
      <c r="A129">
        <v>245</v>
      </c>
      <c r="B129">
        <v>23</v>
      </c>
      <c r="C129" t="s">
        <v>40</v>
      </c>
      <c r="D129" t="s">
        <v>10</v>
      </c>
      <c r="E129" t="s">
        <v>17</v>
      </c>
      <c r="F129">
        <v>34</v>
      </c>
      <c r="G129">
        <v>18</v>
      </c>
      <c r="H129">
        <v>4.2300000000000004</v>
      </c>
      <c r="I129">
        <f t="shared" si="92"/>
        <v>1.4218604696995123</v>
      </c>
      <c r="J129">
        <f t="shared" si="51"/>
        <v>16.578139530300486</v>
      </c>
      <c r="K129">
        <f t="shared" si="52"/>
        <v>19.421860469699514</v>
      </c>
      <c r="L129" t="str">
        <f t="shared" si="47"/>
        <v>1.42</v>
      </c>
      <c r="M129" t="str">
        <f t="shared" si="48"/>
        <v>16.58</v>
      </c>
      <c r="N129" t="str">
        <f t="shared" si="49"/>
        <v>18.00 [1.42, 16.58]</v>
      </c>
    </row>
    <row r="130" spans="1:14" x14ac:dyDescent="0.35">
      <c r="A130">
        <v>3</v>
      </c>
      <c r="B130">
        <v>23</v>
      </c>
      <c r="C130" t="s">
        <v>40</v>
      </c>
      <c r="D130" t="s">
        <v>11</v>
      </c>
      <c r="E130" t="s">
        <v>17</v>
      </c>
      <c r="F130">
        <v>67</v>
      </c>
      <c r="G130">
        <v>0.69699999999999995</v>
      </c>
      <c r="H130">
        <v>0.49099401916010033</v>
      </c>
      <c r="I130">
        <f t="shared" ref="I130" si="93">H130*1.96</f>
        <v>0.96234827755379659</v>
      </c>
      <c r="J130">
        <f t="shared" si="51"/>
        <v>-0.26534827755379664</v>
      </c>
      <c r="K130">
        <f t="shared" si="52"/>
        <v>1.6593482775537964</v>
      </c>
      <c r="L130" t="str">
        <f t="shared" si="47"/>
        <v>0.96</v>
      </c>
      <c r="M130" t="str">
        <f t="shared" si="48"/>
        <v>-0.27</v>
      </c>
      <c r="N130" t="str">
        <f t="shared" si="49"/>
        <v>0.70 [0.96, -0.27]</v>
      </c>
    </row>
    <row r="131" spans="1:14" x14ac:dyDescent="0.35">
      <c r="A131">
        <v>502</v>
      </c>
      <c r="B131">
        <v>23</v>
      </c>
      <c r="C131" t="s">
        <v>40</v>
      </c>
      <c r="D131" t="s">
        <v>8</v>
      </c>
      <c r="E131" t="s">
        <v>15</v>
      </c>
      <c r="F131">
        <v>32</v>
      </c>
      <c r="G131">
        <v>2</v>
      </c>
      <c r="H131">
        <v>5.16</v>
      </c>
      <c r="I131">
        <f t="shared" ref="I131:I132" si="94">H131/(SQRT(F131))*1.96</f>
        <v>1.7878487855520666</v>
      </c>
      <c r="J131">
        <f t="shared" si="51"/>
        <v>0.21215121444793339</v>
      </c>
      <c r="K131">
        <f t="shared" si="52"/>
        <v>3.7878487855520664</v>
      </c>
      <c r="L131" t="str">
        <f t="shared" ref="L131:L194" si="95">TEXT(I131,"#0.00")</f>
        <v>1.79</v>
      </c>
      <c r="M131" t="str">
        <f t="shared" ref="M131:M194" si="96">TEXT(J131,"#0.00")</f>
        <v>0.21</v>
      </c>
      <c r="N131" t="str">
        <f t="shared" ref="N131:N194" si="97">TEXT(G131,"#0.00")&amp;" ["&amp;L131&amp;", "&amp;M131&amp;"]"</f>
        <v>2.00 [1.79, 0.21]</v>
      </c>
    </row>
    <row r="132" spans="1:14" x14ac:dyDescent="0.35">
      <c r="A132">
        <v>503</v>
      </c>
      <c r="B132">
        <v>23</v>
      </c>
      <c r="C132" t="s">
        <v>40</v>
      </c>
      <c r="D132" t="s">
        <v>10</v>
      </c>
      <c r="E132" t="s">
        <v>15</v>
      </c>
      <c r="F132">
        <v>34</v>
      </c>
      <c r="G132">
        <v>0</v>
      </c>
      <c r="H132">
        <v>4.2300000000000004</v>
      </c>
      <c r="I132">
        <f t="shared" si="94"/>
        <v>1.4218604696995123</v>
      </c>
      <c r="J132">
        <f t="shared" si="51"/>
        <v>-1.4218604696995123</v>
      </c>
      <c r="K132">
        <f t="shared" si="52"/>
        <v>1.4218604696995123</v>
      </c>
      <c r="L132" t="str">
        <f t="shared" si="95"/>
        <v>1.42</v>
      </c>
      <c r="M132" t="str">
        <f t="shared" si="96"/>
        <v>-1.42</v>
      </c>
      <c r="N132" t="str">
        <f t="shared" si="97"/>
        <v>0.00 [1.42, -1.42]</v>
      </c>
    </row>
    <row r="133" spans="1:14" x14ac:dyDescent="0.35">
      <c r="A133">
        <v>3</v>
      </c>
      <c r="B133">
        <v>23</v>
      </c>
      <c r="C133" t="s">
        <v>40</v>
      </c>
      <c r="D133" t="s">
        <v>11</v>
      </c>
      <c r="E133" t="s">
        <v>15</v>
      </c>
      <c r="F133">
        <v>67</v>
      </c>
      <c r="G133">
        <v>5.6669999999999998</v>
      </c>
      <c r="H133">
        <v>1.5693135754332901</v>
      </c>
      <c r="I133">
        <f t="shared" ref="I133" si="98">H133*1.96</f>
        <v>3.0758546078492484</v>
      </c>
      <c r="J133">
        <f t="shared" ref="J133:J196" si="99">G133-I133</f>
        <v>2.5911453921507515</v>
      </c>
      <c r="K133">
        <f t="shared" ref="K133:K196" si="100">G133+I133</f>
        <v>8.7428546078492477</v>
      </c>
      <c r="L133" t="str">
        <f t="shared" si="95"/>
        <v>3.08</v>
      </c>
      <c r="M133" t="str">
        <f t="shared" si="96"/>
        <v>2.59</v>
      </c>
      <c r="N133" t="str">
        <f t="shared" si="97"/>
        <v>5.67 [3.08, 2.59]</v>
      </c>
    </row>
    <row r="134" spans="1:14" x14ac:dyDescent="0.35">
      <c r="A134">
        <v>302</v>
      </c>
      <c r="B134">
        <v>23</v>
      </c>
      <c r="C134" t="s">
        <v>40</v>
      </c>
      <c r="D134" t="s">
        <v>8</v>
      </c>
      <c r="E134" t="s">
        <v>19</v>
      </c>
      <c r="F134">
        <v>32</v>
      </c>
      <c r="G134">
        <v>89.96</v>
      </c>
      <c r="H134">
        <v>13.06</v>
      </c>
      <c r="I134">
        <f t="shared" ref="I134:I135" si="101">H134/(SQRT(F134))*1.96</f>
        <v>4.5250591355251926</v>
      </c>
      <c r="J134">
        <f t="shared" si="99"/>
        <v>85.434940864474797</v>
      </c>
      <c r="K134">
        <f t="shared" si="100"/>
        <v>94.485059135525191</v>
      </c>
      <c r="L134" t="str">
        <f t="shared" si="95"/>
        <v>4.53</v>
      </c>
      <c r="M134" t="str">
        <f t="shared" si="96"/>
        <v>85.43</v>
      </c>
      <c r="N134" t="str">
        <f t="shared" si="97"/>
        <v>89.96 [4.53, 85.43]</v>
      </c>
    </row>
    <row r="135" spans="1:14" x14ac:dyDescent="0.35">
      <c r="A135">
        <v>303</v>
      </c>
      <c r="B135">
        <v>23</v>
      </c>
      <c r="C135" t="s">
        <v>40</v>
      </c>
      <c r="D135" t="s">
        <v>10</v>
      </c>
      <c r="E135" t="s">
        <v>19</v>
      </c>
      <c r="F135">
        <v>34</v>
      </c>
      <c r="G135">
        <v>86.79</v>
      </c>
      <c r="H135">
        <v>11.72</v>
      </c>
      <c r="I135">
        <f t="shared" si="101"/>
        <v>3.9395282990255991</v>
      </c>
      <c r="J135">
        <f t="shared" si="99"/>
        <v>82.85047170097441</v>
      </c>
      <c r="K135">
        <f t="shared" si="100"/>
        <v>90.729528299025603</v>
      </c>
      <c r="L135" t="str">
        <f t="shared" si="95"/>
        <v>3.94</v>
      </c>
      <c r="M135" t="str">
        <f t="shared" si="96"/>
        <v>82.85</v>
      </c>
      <c r="N135" t="str">
        <f t="shared" si="97"/>
        <v>86.79 [3.94, 82.85]</v>
      </c>
    </row>
    <row r="136" spans="1:14" x14ac:dyDescent="0.35">
      <c r="A136">
        <v>6</v>
      </c>
      <c r="B136">
        <v>23</v>
      </c>
      <c r="C136" t="s">
        <v>40</v>
      </c>
      <c r="D136" t="s">
        <v>11</v>
      </c>
      <c r="E136" t="s">
        <v>19</v>
      </c>
      <c r="F136">
        <v>66</v>
      </c>
      <c r="G136">
        <v>0.25600000000000001</v>
      </c>
      <c r="H136">
        <v>0.247</v>
      </c>
      <c r="I136">
        <f t="shared" ref="I136" si="102">H136*1.96</f>
        <v>0.48411999999999999</v>
      </c>
      <c r="J136">
        <f t="shared" si="99"/>
        <v>-0.22811999999999999</v>
      </c>
      <c r="K136">
        <f t="shared" si="100"/>
        <v>0.74012</v>
      </c>
      <c r="L136" t="str">
        <f t="shared" si="95"/>
        <v>0.48</v>
      </c>
      <c r="M136" t="str">
        <f t="shared" si="96"/>
        <v>-0.23</v>
      </c>
      <c r="N136" t="str">
        <f t="shared" si="97"/>
        <v>0.26 [0.48, -0.23]</v>
      </c>
    </row>
    <row r="137" spans="1:14" x14ac:dyDescent="0.35">
      <c r="A137">
        <v>448</v>
      </c>
      <c r="B137">
        <v>23</v>
      </c>
      <c r="C137" t="s">
        <v>40</v>
      </c>
      <c r="D137" t="s">
        <v>8</v>
      </c>
      <c r="E137" t="s">
        <v>9</v>
      </c>
      <c r="F137">
        <v>32</v>
      </c>
      <c r="G137">
        <v>5.77</v>
      </c>
      <c r="H137">
        <v>1.94</v>
      </c>
      <c r="I137">
        <f t="shared" ref="I137:I138" si="103">H137/(SQRT(F137))*1.96</f>
        <v>0.67217570619593203</v>
      </c>
      <c r="J137">
        <f t="shared" si="99"/>
        <v>5.0978242938040674</v>
      </c>
      <c r="K137">
        <f t="shared" si="100"/>
        <v>6.4421757061959317</v>
      </c>
      <c r="L137" t="str">
        <f t="shared" si="95"/>
        <v>0.67</v>
      </c>
      <c r="M137" t="str">
        <f t="shared" si="96"/>
        <v>5.10</v>
      </c>
      <c r="N137" t="str">
        <f t="shared" si="97"/>
        <v>5.77 [0.67, 5.10]</v>
      </c>
    </row>
    <row r="138" spans="1:14" x14ac:dyDescent="0.35">
      <c r="A138">
        <v>449</v>
      </c>
      <c r="B138">
        <v>23</v>
      </c>
      <c r="C138" t="s">
        <v>40</v>
      </c>
      <c r="D138" t="s">
        <v>10</v>
      </c>
      <c r="E138" t="s">
        <v>9</v>
      </c>
      <c r="F138">
        <v>34</v>
      </c>
      <c r="G138">
        <v>6.39</v>
      </c>
      <c r="H138">
        <v>1.43</v>
      </c>
      <c r="I138">
        <f t="shared" si="103"/>
        <v>0.48067623443742374</v>
      </c>
      <c r="J138">
        <f t="shared" si="99"/>
        <v>5.9093237655625757</v>
      </c>
      <c r="K138">
        <f t="shared" si="100"/>
        <v>6.8706762344374237</v>
      </c>
      <c r="L138" t="str">
        <f t="shared" si="95"/>
        <v>0.48</v>
      </c>
      <c r="M138" t="str">
        <f t="shared" si="96"/>
        <v>5.91</v>
      </c>
      <c r="N138" t="str">
        <f t="shared" si="97"/>
        <v>6.39 [0.48, 5.91]</v>
      </c>
    </row>
    <row r="139" spans="1:14" x14ac:dyDescent="0.35">
      <c r="A139">
        <v>6</v>
      </c>
      <c r="B139">
        <v>23</v>
      </c>
      <c r="C139" t="s">
        <v>40</v>
      </c>
      <c r="D139" t="s">
        <v>11</v>
      </c>
      <c r="E139" t="s">
        <v>9</v>
      </c>
      <c r="F139">
        <v>66</v>
      </c>
      <c r="G139">
        <v>0.36599999999999999</v>
      </c>
      <c r="H139">
        <v>0.248</v>
      </c>
      <c r="I139">
        <f t="shared" ref="I139" si="104">H139*1.96</f>
        <v>0.48608000000000001</v>
      </c>
      <c r="J139">
        <f t="shared" si="99"/>
        <v>-0.12008000000000002</v>
      </c>
      <c r="K139">
        <f t="shared" si="100"/>
        <v>0.85207999999999995</v>
      </c>
      <c r="L139" t="str">
        <f t="shared" si="95"/>
        <v>0.49</v>
      </c>
      <c r="M139" t="str">
        <f t="shared" si="96"/>
        <v>-0.12</v>
      </c>
      <c r="N139" t="str">
        <f t="shared" si="97"/>
        <v>0.37 [0.49, -0.12]</v>
      </c>
    </row>
    <row r="140" spans="1:14" x14ac:dyDescent="0.35">
      <c r="A140">
        <v>148</v>
      </c>
      <c r="B140">
        <v>25</v>
      </c>
      <c r="C140" t="s">
        <v>41</v>
      </c>
      <c r="D140" t="s">
        <v>8</v>
      </c>
      <c r="E140" t="s">
        <v>13</v>
      </c>
      <c r="F140">
        <v>42</v>
      </c>
      <c r="G140">
        <v>0.95</v>
      </c>
      <c r="H140">
        <v>0.91</v>
      </c>
      <c r="I140">
        <f t="shared" ref="I140:I141" si="105">H140/(SQRT(F140))*1.96</f>
        <v>0.27521545499238714</v>
      </c>
      <c r="J140">
        <f t="shared" si="99"/>
        <v>0.67478454500761287</v>
      </c>
      <c r="K140">
        <f t="shared" si="100"/>
        <v>1.225215454992387</v>
      </c>
      <c r="L140" t="str">
        <f t="shared" si="95"/>
        <v>0.28</v>
      </c>
      <c r="M140" t="str">
        <f t="shared" si="96"/>
        <v>0.67</v>
      </c>
      <c r="N140" t="str">
        <f t="shared" si="97"/>
        <v>0.95 [0.28, 0.67]</v>
      </c>
    </row>
    <row r="141" spans="1:14" x14ac:dyDescent="0.35">
      <c r="A141">
        <v>149</v>
      </c>
      <c r="B141">
        <v>25</v>
      </c>
      <c r="C141" t="s">
        <v>41</v>
      </c>
      <c r="D141" t="s">
        <v>10</v>
      </c>
      <c r="E141" t="s">
        <v>13</v>
      </c>
      <c r="F141">
        <v>47</v>
      </c>
      <c r="G141">
        <v>1.1000000000000001</v>
      </c>
      <c r="H141">
        <v>0.95</v>
      </c>
      <c r="I141">
        <f t="shared" si="105"/>
        <v>0.27160061416907966</v>
      </c>
      <c r="J141">
        <f t="shared" si="99"/>
        <v>0.82839938583092043</v>
      </c>
      <c r="K141">
        <f t="shared" si="100"/>
        <v>1.3716006141690797</v>
      </c>
      <c r="L141" t="str">
        <f t="shared" si="95"/>
        <v>0.27</v>
      </c>
      <c r="M141" t="str">
        <f t="shared" si="96"/>
        <v>0.83</v>
      </c>
      <c r="N141" t="str">
        <f t="shared" si="97"/>
        <v>1.10 [0.27, 0.83]</v>
      </c>
    </row>
    <row r="142" spans="1:14" x14ac:dyDescent="0.35">
      <c r="A142">
        <v>7</v>
      </c>
      <c r="B142">
        <v>25</v>
      </c>
      <c r="C142" t="s">
        <v>41</v>
      </c>
      <c r="D142" t="s">
        <v>11</v>
      </c>
      <c r="E142" t="s">
        <v>13</v>
      </c>
      <c r="F142">
        <v>89</v>
      </c>
      <c r="G142">
        <v>0.161</v>
      </c>
      <c r="H142">
        <v>0.21299999999999999</v>
      </c>
      <c r="I142">
        <f t="shared" ref="I142" si="106">H142*1.96</f>
        <v>0.41747999999999996</v>
      </c>
      <c r="J142">
        <f t="shared" si="99"/>
        <v>-0.25647999999999993</v>
      </c>
      <c r="K142">
        <f t="shared" si="100"/>
        <v>0.57847999999999999</v>
      </c>
      <c r="L142" t="str">
        <f t="shared" si="95"/>
        <v>0.42</v>
      </c>
      <c r="M142" t="str">
        <f t="shared" si="96"/>
        <v>-0.26</v>
      </c>
      <c r="N142" t="str">
        <f t="shared" si="97"/>
        <v>0.16 [0.42, -0.26]</v>
      </c>
    </row>
    <row r="143" spans="1:14" x14ac:dyDescent="0.35">
      <c r="A143">
        <v>384</v>
      </c>
      <c r="B143">
        <v>25</v>
      </c>
      <c r="C143" t="s">
        <v>41</v>
      </c>
      <c r="D143" t="s">
        <v>8</v>
      </c>
      <c r="E143" t="s">
        <v>16</v>
      </c>
      <c r="F143">
        <v>42</v>
      </c>
      <c r="G143">
        <v>6</v>
      </c>
      <c r="H143">
        <v>0.41</v>
      </c>
      <c r="I143">
        <f t="shared" ref="I143:I144" si="107">H143/(SQRT(F143))*1.96</f>
        <v>0.12399817202953706</v>
      </c>
      <c r="J143">
        <f t="shared" si="99"/>
        <v>5.8760018279704633</v>
      </c>
      <c r="K143">
        <f t="shared" si="100"/>
        <v>6.1239981720295367</v>
      </c>
      <c r="L143" t="str">
        <f t="shared" si="95"/>
        <v>0.12</v>
      </c>
      <c r="M143" t="str">
        <f t="shared" si="96"/>
        <v>5.88</v>
      </c>
      <c r="N143" t="str">
        <f t="shared" si="97"/>
        <v>6.00 [0.12, 5.88]</v>
      </c>
    </row>
    <row r="144" spans="1:14" x14ac:dyDescent="0.35">
      <c r="A144">
        <v>385</v>
      </c>
      <c r="B144">
        <v>25</v>
      </c>
      <c r="C144" t="s">
        <v>41</v>
      </c>
      <c r="D144" t="s">
        <v>10</v>
      </c>
      <c r="E144" t="s">
        <v>16</v>
      </c>
      <c r="F144">
        <v>47</v>
      </c>
      <c r="G144">
        <v>19</v>
      </c>
      <c r="H144">
        <v>1.71</v>
      </c>
      <c r="I144">
        <f t="shared" si="107"/>
        <v>0.48888110550434338</v>
      </c>
      <c r="J144">
        <f t="shared" si="99"/>
        <v>18.511118894495656</v>
      </c>
      <c r="K144">
        <f t="shared" si="100"/>
        <v>19.488881105504344</v>
      </c>
      <c r="L144" t="str">
        <f t="shared" si="95"/>
        <v>0.49</v>
      </c>
      <c r="M144" t="str">
        <f t="shared" si="96"/>
        <v>18.51</v>
      </c>
      <c r="N144" t="str">
        <f t="shared" si="97"/>
        <v>19.00 [0.49, 18.51]</v>
      </c>
    </row>
    <row r="145" spans="1:14" x14ac:dyDescent="0.35">
      <c r="A145">
        <v>5</v>
      </c>
      <c r="B145">
        <v>25</v>
      </c>
      <c r="C145" t="s">
        <v>41</v>
      </c>
      <c r="D145" t="s">
        <v>11</v>
      </c>
      <c r="E145" t="s">
        <v>16</v>
      </c>
      <c r="F145">
        <v>90</v>
      </c>
      <c r="G145">
        <v>0.25900000000000001</v>
      </c>
      <c r="H145">
        <v>0.51828589467616093</v>
      </c>
      <c r="I145">
        <f t="shared" ref="I145" si="108">H145*1.96</f>
        <v>1.0158403535652754</v>
      </c>
      <c r="J145">
        <f t="shared" si="99"/>
        <v>-0.75684035356527535</v>
      </c>
      <c r="K145">
        <f t="shared" si="100"/>
        <v>1.2748403535652755</v>
      </c>
      <c r="L145" t="str">
        <f t="shared" si="95"/>
        <v>1.02</v>
      </c>
      <c r="M145" t="str">
        <f t="shared" si="96"/>
        <v>-0.76</v>
      </c>
      <c r="N145" t="str">
        <f t="shared" si="97"/>
        <v>0.26 [1.02, -0.76]</v>
      </c>
    </row>
    <row r="146" spans="1:14" x14ac:dyDescent="0.35">
      <c r="A146">
        <v>562</v>
      </c>
      <c r="B146">
        <v>25</v>
      </c>
      <c r="C146" t="s">
        <v>41</v>
      </c>
      <c r="D146" t="s">
        <v>8</v>
      </c>
      <c r="E146" t="s">
        <v>14</v>
      </c>
      <c r="F146">
        <v>42</v>
      </c>
      <c r="G146">
        <v>0</v>
      </c>
      <c r="H146">
        <v>0.41</v>
      </c>
      <c r="I146">
        <f t="shared" ref="I146:I147" si="109">H146/(SQRT(F146))*1.96</f>
        <v>0.12399817202953706</v>
      </c>
      <c r="J146">
        <f t="shared" si="99"/>
        <v>-0.12399817202953706</v>
      </c>
      <c r="K146">
        <f t="shared" si="100"/>
        <v>0.12399817202953706</v>
      </c>
      <c r="L146" t="str">
        <f t="shared" si="95"/>
        <v>0.12</v>
      </c>
      <c r="M146" t="str">
        <f t="shared" si="96"/>
        <v>-0.12</v>
      </c>
      <c r="N146" t="str">
        <f t="shared" si="97"/>
        <v>0.00 [0.12, -0.12]</v>
      </c>
    </row>
    <row r="147" spans="1:14" x14ac:dyDescent="0.35">
      <c r="A147">
        <v>563</v>
      </c>
      <c r="B147">
        <v>25</v>
      </c>
      <c r="C147" t="s">
        <v>41</v>
      </c>
      <c r="D147" t="s">
        <v>10</v>
      </c>
      <c r="E147" t="s">
        <v>14</v>
      </c>
      <c r="F147">
        <v>47</v>
      </c>
      <c r="G147">
        <v>0</v>
      </c>
      <c r="H147">
        <v>1.71</v>
      </c>
      <c r="I147">
        <f t="shared" si="109"/>
        <v>0.48888110550434338</v>
      </c>
      <c r="J147">
        <f t="shared" si="99"/>
        <v>-0.48888110550434338</v>
      </c>
      <c r="K147">
        <f t="shared" si="100"/>
        <v>0.48888110550434338</v>
      </c>
      <c r="L147" t="str">
        <f t="shared" si="95"/>
        <v>0.49</v>
      </c>
      <c r="M147" t="str">
        <f t="shared" si="96"/>
        <v>-0.49</v>
      </c>
      <c r="N147" t="str">
        <f t="shared" si="97"/>
        <v>0.00 [0.49, -0.49]</v>
      </c>
    </row>
    <row r="148" spans="1:14" x14ac:dyDescent="0.35">
      <c r="A148">
        <v>5</v>
      </c>
      <c r="B148">
        <v>25</v>
      </c>
      <c r="C148" t="s">
        <v>41</v>
      </c>
      <c r="D148" t="s">
        <v>11</v>
      </c>
      <c r="E148" t="s">
        <v>14</v>
      </c>
      <c r="F148">
        <v>90</v>
      </c>
      <c r="G148">
        <v>1.119</v>
      </c>
      <c r="H148">
        <v>2.011239945793192</v>
      </c>
      <c r="I148">
        <f t="shared" ref="I148" si="110">H148*1.96</f>
        <v>3.9420302937546561</v>
      </c>
      <c r="J148">
        <f t="shared" si="99"/>
        <v>-2.8230302937546563</v>
      </c>
      <c r="K148">
        <f t="shared" si="100"/>
        <v>5.0610302937546559</v>
      </c>
      <c r="L148" t="str">
        <f t="shared" si="95"/>
        <v>3.94</v>
      </c>
      <c r="M148" t="str">
        <f t="shared" si="96"/>
        <v>-2.82</v>
      </c>
      <c r="N148" t="str">
        <f t="shared" si="97"/>
        <v>1.12 [3.94, -2.82]</v>
      </c>
    </row>
    <row r="149" spans="1:14" x14ac:dyDescent="0.35">
      <c r="A149">
        <v>150</v>
      </c>
      <c r="B149">
        <v>26</v>
      </c>
      <c r="C149" t="s">
        <v>42</v>
      </c>
      <c r="D149" t="s">
        <v>8</v>
      </c>
      <c r="E149" t="s">
        <v>13</v>
      </c>
      <c r="F149">
        <v>27</v>
      </c>
      <c r="G149">
        <v>0.5</v>
      </c>
      <c r="H149">
        <v>1</v>
      </c>
      <c r="I149">
        <f t="shared" ref="I149:I150" si="111">H149/(SQRT(F149))*1.96</f>
        <v>0.37720217587055549</v>
      </c>
      <c r="J149">
        <f t="shared" si="99"/>
        <v>0.12279782412944451</v>
      </c>
      <c r="K149">
        <f t="shared" si="100"/>
        <v>0.87720217587055549</v>
      </c>
      <c r="L149" t="str">
        <f t="shared" si="95"/>
        <v>0.38</v>
      </c>
      <c r="M149" t="str">
        <f t="shared" si="96"/>
        <v>0.12</v>
      </c>
      <c r="N149" t="str">
        <f t="shared" si="97"/>
        <v>0.50 [0.38, 0.12]</v>
      </c>
    </row>
    <row r="150" spans="1:14" x14ac:dyDescent="0.35">
      <c r="A150">
        <v>151</v>
      </c>
      <c r="B150">
        <v>26</v>
      </c>
      <c r="C150" t="s">
        <v>42</v>
      </c>
      <c r="D150" t="s">
        <v>10</v>
      </c>
      <c r="E150" t="s">
        <v>13</v>
      </c>
      <c r="F150">
        <v>21</v>
      </c>
      <c r="G150">
        <v>1.1000000000000001</v>
      </c>
      <c r="H150">
        <v>1.2</v>
      </c>
      <c r="I150">
        <f t="shared" si="111"/>
        <v>0.51324847783505401</v>
      </c>
      <c r="J150">
        <f t="shared" si="99"/>
        <v>0.58675152216494608</v>
      </c>
      <c r="K150">
        <f t="shared" si="100"/>
        <v>1.6132484778350542</v>
      </c>
      <c r="L150" t="str">
        <f t="shared" si="95"/>
        <v>0.51</v>
      </c>
      <c r="M150" t="str">
        <f t="shared" si="96"/>
        <v>0.59</v>
      </c>
      <c r="N150" t="str">
        <f t="shared" si="97"/>
        <v>1.10 [0.51, 0.59]</v>
      </c>
    </row>
    <row r="151" spans="1:14" x14ac:dyDescent="0.35">
      <c r="A151">
        <v>8</v>
      </c>
      <c r="B151">
        <v>26</v>
      </c>
      <c r="C151" t="s">
        <v>42</v>
      </c>
      <c r="D151" t="s">
        <v>11</v>
      </c>
      <c r="E151" t="s">
        <v>13</v>
      </c>
      <c r="F151">
        <v>48</v>
      </c>
      <c r="G151">
        <v>0.55000000000000004</v>
      </c>
      <c r="H151">
        <v>0.29699999999999999</v>
      </c>
      <c r="I151">
        <f t="shared" ref="I151" si="112">H151*1.96</f>
        <v>0.58211999999999997</v>
      </c>
      <c r="J151">
        <f t="shared" si="99"/>
        <v>-3.2119999999999926E-2</v>
      </c>
      <c r="K151">
        <f t="shared" si="100"/>
        <v>1.13212</v>
      </c>
      <c r="L151" t="str">
        <f t="shared" si="95"/>
        <v>0.58</v>
      </c>
      <c r="M151" t="str">
        <f t="shared" si="96"/>
        <v>-0.03</v>
      </c>
      <c r="N151" t="str">
        <f t="shared" si="97"/>
        <v>0.55 [0.58, -0.03]</v>
      </c>
    </row>
    <row r="152" spans="1:14" x14ac:dyDescent="0.35">
      <c r="A152">
        <v>246</v>
      </c>
      <c r="B152">
        <v>26</v>
      </c>
      <c r="C152" t="s">
        <v>42</v>
      </c>
      <c r="D152" t="s">
        <v>8</v>
      </c>
      <c r="E152" t="s">
        <v>17</v>
      </c>
      <c r="F152">
        <v>27</v>
      </c>
      <c r="G152">
        <v>6</v>
      </c>
      <c r="H152">
        <v>0.3</v>
      </c>
      <c r="I152">
        <f t="shared" ref="I152:I153" si="113">H152/(SQRT(F152))*1.96</f>
        <v>0.11316065276116664</v>
      </c>
      <c r="J152">
        <f t="shared" si="99"/>
        <v>5.8868393472388334</v>
      </c>
      <c r="K152">
        <f t="shared" si="100"/>
        <v>6.1131606527611666</v>
      </c>
      <c r="L152" t="str">
        <f t="shared" si="95"/>
        <v>0.11</v>
      </c>
      <c r="M152" t="str">
        <f t="shared" si="96"/>
        <v>5.89</v>
      </c>
      <c r="N152" t="str">
        <f t="shared" si="97"/>
        <v>6.00 [0.11, 5.89]</v>
      </c>
    </row>
    <row r="153" spans="1:14" x14ac:dyDescent="0.35">
      <c r="A153">
        <v>247</v>
      </c>
      <c r="B153">
        <v>26</v>
      </c>
      <c r="C153" t="s">
        <v>42</v>
      </c>
      <c r="D153" t="s">
        <v>10</v>
      </c>
      <c r="E153" t="s">
        <v>17</v>
      </c>
      <c r="F153">
        <v>21</v>
      </c>
      <c r="G153">
        <v>19</v>
      </c>
      <c r="H153">
        <v>0.11</v>
      </c>
      <c r="I153">
        <f t="shared" si="113"/>
        <v>4.704777713487996E-2</v>
      </c>
      <c r="J153">
        <f t="shared" si="99"/>
        <v>18.952952222865122</v>
      </c>
      <c r="K153">
        <f t="shared" si="100"/>
        <v>19.047047777134878</v>
      </c>
      <c r="L153" t="str">
        <f t="shared" si="95"/>
        <v>0.05</v>
      </c>
      <c r="M153" t="str">
        <f t="shared" si="96"/>
        <v>18.95</v>
      </c>
      <c r="N153" t="str">
        <f t="shared" si="97"/>
        <v>19.00 [0.05, 18.95]</v>
      </c>
    </row>
    <row r="154" spans="1:14" x14ac:dyDescent="0.35">
      <c r="A154">
        <v>4</v>
      </c>
      <c r="B154">
        <v>26</v>
      </c>
      <c r="C154" t="s">
        <v>42</v>
      </c>
      <c r="D154" t="s">
        <v>11</v>
      </c>
      <c r="E154" t="s">
        <v>17</v>
      </c>
      <c r="F154">
        <v>49</v>
      </c>
      <c r="G154">
        <v>3.2000000000000001E-2</v>
      </c>
      <c r="H154">
        <v>0.86761008105441739</v>
      </c>
      <c r="I154">
        <f t="shared" ref="I154" si="114">H154*1.96</f>
        <v>1.700515758866658</v>
      </c>
      <c r="J154">
        <f t="shared" si="99"/>
        <v>-1.6685157588666579</v>
      </c>
      <c r="K154">
        <f t="shared" si="100"/>
        <v>1.732515758866658</v>
      </c>
      <c r="L154" t="str">
        <f t="shared" si="95"/>
        <v>1.70</v>
      </c>
      <c r="M154" t="str">
        <f t="shared" si="96"/>
        <v>-1.67</v>
      </c>
      <c r="N154" t="str">
        <f t="shared" si="97"/>
        <v>0.03 [1.70, -1.67]</v>
      </c>
    </row>
    <row r="155" spans="1:14" x14ac:dyDescent="0.35">
      <c r="A155">
        <v>504</v>
      </c>
      <c r="B155">
        <v>26</v>
      </c>
      <c r="C155" t="s">
        <v>42</v>
      </c>
      <c r="D155" t="s">
        <v>8</v>
      </c>
      <c r="E155" t="s">
        <v>15</v>
      </c>
      <c r="F155">
        <v>27</v>
      </c>
      <c r="G155">
        <v>0</v>
      </c>
      <c r="H155">
        <v>0.3</v>
      </c>
      <c r="I155">
        <f t="shared" ref="I155:I156" si="115">H155/(SQRT(F155))*1.96</f>
        <v>0.11316065276116664</v>
      </c>
      <c r="J155">
        <f t="shared" si="99"/>
        <v>-0.11316065276116664</v>
      </c>
      <c r="K155">
        <f t="shared" si="100"/>
        <v>0.11316065276116664</v>
      </c>
      <c r="L155" t="str">
        <f t="shared" si="95"/>
        <v>0.11</v>
      </c>
      <c r="M155" t="str">
        <f t="shared" si="96"/>
        <v>-0.11</v>
      </c>
      <c r="N155" t="str">
        <f t="shared" si="97"/>
        <v>0.00 [0.11, -0.11]</v>
      </c>
    </row>
    <row r="156" spans="1:14" x14ac:dyDescent="0.35">
      <c r="A156">
        <v>505</v>
      </c>
      <c r="B156">
        <v>26</v>
      </c>
      <c r="C156" t="s">
        <v>42</v>
      </c>
      <c r="D156" t="s">
        <v>10</v>
      </c>
      <c r="E156" t="s">
        <v>15</v>
      </c>
      <c r="F156">
        <v>21</v>
      </c>
      <c r="G156">
        <v>0</v>
      </c>
      <c r="H156">
        <v>0.11</v>
      </c>
      <c r="I156">
        <f t="shared" si="115"/>
        <v>4.704777713487996E-2</v>
      </c>
      <c r="J156">
        <f t="shared" si="99"/>
        <v>-4.704777713487996E-2</v>
      </c>
      <c r="K156">
        <f t="shared" si="100"/>
        <v>4.704777713487996E-2</v>
      </c>
      <c r="L156" t="str">
        <f t="shared" si="95"/>
        <v>0.05</v>
      </c>
      <c r="M156" t="str">
        <f t="shared" si="96"/>
        <v>-0.05</v>
      </c>
      <c r="N156" t="str">
        <f t="shared" si="97"/>
        <v>0.00 [0.05, -0.05]</v>
      </c>
    </row>
    <row r="157" spans="1:14" x14ac:dyDescent="0.35">
      <c r="A157">
        <v>4</v>
      </c>
      <c r="B157">
        <v>26</v>
      </c>
      <c r="C157" t="s">
        <v>42</v>
      </c>
      <c r="D157" t="s">
        <v>11</v>
      </c>
      <c r="E157" t="s">
        <v>15</v>
      </c>
      <c r="F157">
        <v>49</v>
      </c>
      <c r="G157">
        <v>0.77800000000000002</v>
      </c>
      <c r="H157">
        <v>2.0210532117329532</v>
      </c>
      <c r="I157">
        <f t="shared" ref="I157" si="116">H157*1.96</f>
        <v>3.9612642949965879</v>
      </c>
      <c r="J157">
        <f t="shared" si="99"/>
        <v>-3.1832642949965879</v>
      </c>
      <c r="K157">
        <f t="shared" si="100"/>
        <v>4.7392642949965875</v>
      </c>
      <c r="L157" t="str">
        <f t="shared" si="95"/>
        <v>3.96</v>
      </c>
      <c r="M157" t="str">
        <f t="shared" si="96"/>
        <v>-3.18</v>
      </c>
      <c r="N157" t="str">
        <f t="shared" si="97"/>
        <v>0.78 [3.96, -3.18]</v>
      </c>
    </row>
    <row r="158" spans="1:14" x14ac:dyDescent="0.35">
      <c r="A158">
        <v>386</v>
      </c>
      <c r="B158">
        <v>26</v>
      </c>
      <c r="C158" t="s">
        <v>42</v>
      </c>
      <c r="D158" t="s">
        <v>8</v>
      </c>
      <c r="E158" t="s">
        <v>16</v>
      </c>
      <c r="F158">
        <v>27</v>
      </c>
      <c r="G158">
        <v>2</v>
      </c>
      <c r="H158">
        <v>0.1</v>
      </c>
      <c r="I158">
        <f t="shared" ref="I158:I159" si="117">H158/(SQRT(F158))*1.96</f>
        <v>3.772021758705555E-2</v>
      </c>
      <c r="J158">
        <f t="shared" si="99"/>
        <v>1.9622797824129445</v>
      </c>
      <c r="K158">
        <f t="shared" si="100"/>
        <v>2.0377202175870557</v>
      </c>
      <c r="L158" t="str">
        <f t="shared" si="95"/>
        <v>0.04</v>
      </c>
      <c r="M158" t="str">
        <f t="shared" si="96"/>
        <v>1.96</v>
      </c>
      <c r="N158" t="str">
        <f t="shared" si="97"/>
        <v>2.00 [0.04, 1.96]</v>
      </c>
    </row>
    <row r="159" spans="1:14" x14ac:dyDescent="0.35">
      <c r="A159">
        <v>387</v>
      </c>
      <c r="B159">
        <v>26</v>
      </c>
      <c r="C159" t="s">
        <v>42</v>
      </c>
      <c r="D159" t="s">
        <v>10</v>
      </c>
      <c r="E159" t="s">
        <v>16</v>
      </c>
      <c r="F159">
        <v>21</v>
      </c>
      <c r="G159">
        <v>9</v>
      </c>
      <c r="H159">
        <v>1.58</v>
      </c>
      <c r="I159">
        <f t="shared" si="117"/>
        <v>0.67577716248282127</v>
      </c>
      <c r="J159">
        <f t="shared" si="99"/>
        <v>8.3242228375171781</v>
      </c>
      <c r="K159">
        <f t="shared" si="100"/>
        <v>9.6757771624828219</v>
      </c>
      <c r="L159" t="str">
        <f t="shared" si="95"/>
        <v>0.68</v>
      </c>
      <c r="M159" t="str">
        <f t="shared" si="96"/>
        <v>8.32</v>
      </c>
      <c r="N159" t="str">
        <f t="shared" si="97"/>
        <v>9.00 [0.68, 8.32]</v>
      </c>
    </row>
    <row r="160" spans="1:14" x14ac:dyDescent="0.35">
      <c r="A160">
        <v>6</v>
      </c>
      <c r="B160">
        <v>26</v>
      </c>
      <c r="C160" t="s">
        <v>42</v>
      </c>
      <c r="D160" t="s">
        <v>11</v>
      </c>
      <c r="E160" t="s">
        <v>16</v>
      </c>
      <c r="F160">
        <v>49</v>
      </c>
      <c r="G160">
        <v>0.126</v>
      </c>
      <c r="H160">
        <v>0.79284077293493826</v>
      </c>
      <c r="I160">
        <f t="shared" ref="I160" si="118">H160*1.96</f>
        <v>1.553967914952479</v>
      </c>
      <c r="J160">
        <f t="shared" si="99"/>
        <v>-1.4279679149524789</v>
      </c>
      <c r="K160">
        <f t="shared" si="100"/>
        <v>1.6799679149524791</v>
      </c>
      <c r="L160" t="str">
        <f t="shared" si="95"/>
        <v>1.55</v>
      </c>
      <c r="M160" t="str">
        <f t="shared" si="96"/>
        <v>-1.43</v>
      </c>
      <c r="N160" t="str">
        <f t="shared" si="97"/>
        <v>0.13 [1.55, -1.43]</v>
      </c>
    </row>
    <row r="161" spans="1:14" x14ac:dyDescent="0.35">
      <c r="A161">
        <v>564</v>
      </c>
      <c r="B161">
        <v>26</v>
      </c>
      <c r="C161" t="s">
        <v>42</v>
      </c>
      <c r="D161" t="s">
        <v>8</v>
      </c>
      <c r="E161" t="s">
        <v>14</v>
      </c>
      <c r="F161">
        <v>27</v>
      </c>
      <c r="G161">
        <v>0</v>
      </c>
      <c r="H161">
        <v>0.1</v>
      </c>
      <c r="I161">
        <f t="shared" ref="I161:I162" si="119">H161/(SQRT(F161))*1.96</f>
        <v>3.772021758705555E-2</v>
      </c>
      <c r="J161">
        <f t="shared" si="99"/>
        <v>-3.772021758705555E-2</v>
      </c>
      <c r="K161">
        <f t="shared" si="100"/>
        <v>3.772021758705555E-2</v>
      </c>
      <c r="L161" t="str">
        <f t="shared" si="95"/>
        <v>0.04</v>
      </c>
      <c r="M161" t="str">
        <f t="shared" si="96"/>
        <v>-0.04</v>
      </c>
      <c r="N161" t="str">
        <f t="shared" si="97"/>
        <v>0.00 [0.04, -0.04]</v>
      </c>
    </row>
    <row r="162" spans="1:14" x14ac:dyDescent="0.35">
      <c r="A162">
        <v>565</v>
      </c>
      <c r="B162">
        <v>26</v>
      </c>
      <c r="C162" t="s">
        <v>42</v>
      </c>
      <c r="D162" t="s">
        <v>10</v>
      </c>
      <c r="E162" t="s">
        <v>14</v>
      </c>
      <c r="F162">
        <v>21</v>
      </c>
      <c r="G162">
        <v>0</v>
      </c>
      <c r="H162">
        <v>1.58</v>
      </c>
      <c r="I162">
        <f t="shared" si="119"/>
        <v>0.67577716248282127</v>
      </c>
      <c r="J162">
        <f t="shared" si="99"/>
        <v>-0.67577716248282127</v>
      </c>
      <c r="K162">
        <f t="shared" si="100"/>
        <v>0.67577716248282127</v>
      </c>
      <c r="L162" t="str">
        <f t="shared" si="95"/>
        <v>0.68</v>
      </c>
      <c r="M162" t="str">
        <f t="shared" si="96"/>
        <v>-0.68</v>
      </c>
      <c r="N162" t="str">
        <f t="shared" si="97"/>
        <v>0.00 [0.68, -0.68]</v>
      </c>
    </row>
    <row r="163" spans="1:14" x14ac:dyDescent="0.35">
      <c r="A163">
        <v>6</v>
      </c>
      <c r="B163">
        <v>26</v>
      </c>
      <c r="C163" t="s">
        <v>42</v>
      </c>
      <c r="D163" t="s">
        <v>11</v>
      </c>
      <c r="E163" t="s">
        <v>14</v>
      </c>
      <c r="F163">
        <v>49</v>
      </c>
      <c r="G163">
        <v>0.77800000000000002</v>
      </c>
      <c r="H163">
        <v>2.0210532117329532</v>
      </c>
      <c r="I163">
        <f t="shared" ref="I163" si="120">H163*1.96</f>
        <v>3.9612642949965879</v>
      </c>
      <c r="J163">
        <f t="shared" si="99"/>
        <v>-3.1832642949965879</v>
      </c>
      <c r="K163">
        <f t="shared" si="100"/>
        <v>4.7392642949965875</v>
      </c>
      <c r="L163" t="str">
        <f t="shared" si="95"/>
        <v>3.96</v>
      </c>
      <c r="M163" t="str">
        <f t="shared" si="96"/>
        <v>-3.18</v>
      </c>
      <c r="N163" t="str">
        <f t="shared" si="97"/>
        <v>0.78 [3.96, -3.18]</v>
      </c>
    </row>
    <row r="164" spans="1:14" x14ac:dyDescent="0.35">
      <c r="A164">
        <v>154</v>
      </c>
      <c r="B164">
        <v>30</v>
      </c>
      <c r="C164" t="s">
        <v>43</v>
      </c>
      <c r="D164" t="s">
        <v>8</v>
      </c>
      <c r="E164" t="s">
        <v>13</v>
      </c>
      <c r="F164">
        <v>41</v>
      </c>
      <c r="G164">
        <v>1.4</v>
      </c>
      <c r="H164">
        <v>1.8</v>
      </c>
      <c r="I164">
        <f t="shared" ref="I164:I165" si="121">H164/(SQRT(F164))*1.96</f>
        <v>0.55098103194300219</v>
      </c>
      <c r="J164">
        <f t="shared" si="99"/>
        <v>0.84901896805699772</v>
      </c>
      <c r="K164">
        <f t="shared" si="100"/>
        <v>1.9509810319430021</v>
      </c>
      <c r="L164" t="str">
        <f t="shared" si="95"/>
        <v>0.55</v>
      </c>
      <c r="M164" t="str">
        <f t="shared" si="96"/>
        <v>0.85</v>
      </c>
      <c r="N164" t="str">
        <f t="shared" si="97"/>
        <v>1.40 [0.55, 0.85]</v>
      </c>
    </row>
    <row r="165" spans="1:14" x14ac:dyDescent="0.35">
      <c r="A165">
        <v>155</v>
      </c>
      <c r="B165">
        <v>30</v>
      </c>
      <c r="C165" t="s">
        <v>43</v>
      </c>
      <c r="D165" t="s">
        <v>10</v>
      </c>
      <c r="E165" t="s">
        <v>13</v>
      </c>
      <c r="F165">
        <v>36</v>
      </c>
      <c r="G165">
        <v>1.4</v>
      </c>
      <c r="H165">
        <v>1.4</v>
      </c>
      <c r="I165">
        <f t="shared" si="121"/>
        <v>0.45733333333333326</v>
      </c>
      <c r="J165">
        <f t="shared" si="99"/>
        <v>0.94266666666666665</v>
      </c>
      <c r="K165">
        <f t="shared" si="100"/>
        <v>1.8573333333333331</v>
      </c>
      <c r="L165" t="str">
        <f t="shared" si="95"/>
        <v>0.46</v>
      </c>
      <c r="M165" t="str">
        <f t="shared" si="96"/>
        <v>0.94</v>
      </c>
      <c r="N165" t="str">
        <f t="shared" si="97"/>
        <v>1.40 [0.46, 0.94]</v>
      </c>
    </row>
    <row r="166" spans="1:14" x14ac:dyDescent="0.35">
      <c r="A166">
        <v>9</v>
      </c>
      <c r="B166">
        <v>30</v>
      </c>
      <c r="C166" t="s">
        <v>43</v>
      </c>
      <c r="D166" t="s">
        <v>11</v>
      </c>
      <c r="E166" t="s">
        <v>13</v>
      </c>
      <c r="F166">
        <v>77</v>
      </c>
      <c r="G166">
        <v>0</v>
      </c>
      <c r="H166">
        <v>0.22800000000000001</v>
      </c>
      <c r="I166">
        <f t="shared" ref="I166" si="122">H166*1.96</f>
        <v>0.44688</v>
      </c>
      <c r="J166">
        <f t="shared" si="99"/>
        <v>-0.44688</v>
      </c>
      <c r="K166">
        <f t="shared" si="100"/>
        <v>0.44688</v>
      </c>
      <c r="L166" t="str">
        <f t="shared" si="95"/>
        <v>0.45</v>
      </c>
      <c r="M166" t="str">
        <f t="shared" si="96"/>
        <v>-0.45</v>
      </c>
      <c r="N166" t="str">
        <f t="shared" si="97"/>
        <v>0.00 [0.45, -0.45]</v>
      </c>
    </row>
    <row r="167" spans="1:14" x14ac:dyDescent="0.35">
      <c r="A167">
        <v>248</v>
      </c>
      <c r="B167">
        <v>30</v>
      </c>
      <c r="C167" t="s">
        <v>43</v>
      </c>
      <c r="D167" t="s">
        <v>8</v>
      </c>
      <c r="E167" t="s">
        <v>17</v>
      </c>
      <c r="F167">
        <v>41</v>
      </c>
      <c r="G167">
        <v>16</v>
      </c>
      <c r="H167">
        <v>0.24</v>
      </c>
      <c r="I167">
        <f t="shared" ref="I167:I168" si="123">H167/(SQRT(F167))*1.96</f>
        <v>7.3464137592400294E-2</v>
      </c>
      <c r="J167">
        <f t="shared" si="99"/>
        <v>15.926535862407599</v>
      </c>
      <c r="K167">
        <f t="shared" si="100"/>
        <v>16.073464137592399</v>
      </c>
      <c r="L167" t="str">
        <f t="shared" si="95"/>
        <v>0.07</v>
      </c>
      <c r="M167" t="str">
        <f t="shared" si="96"/>
        <v>15.93</v>
      </c>
      <c r="N167" t="str">
        <f t="shared" si="97"/>
        <v>16.00 [0.07, 15.93]</v>
      </c>
    </row>
    <row r="168" spans="1:14" x14ac:dyDescent="0.35">
      <c r="A168">
        <v>249</v>
      </c>
      <c r="B168">
        <v>30</v>
      </c>
      <c r="C168" t="s">
        <v>43</v>
      </c>
      <c r="D168" t="s">
        <v>10</v>
      </c>
      <c r="E168" t="s">
        <v>17</v>
      </c>
      <c r="F168">
        <v>36</v>
      </c>
      <c r="G168">
        <v>13</v>
      </c>
      <c r="H168">
        <v>0.26</v>
      </c>
      <c r="I168">
        <f t="shared" si="123"/>
        <v>8.4933333333333333E-2</v>
      </c>
      <c r="J168">
        <f t="shared" si="99"/>
        <v>12.915066666666666</v>
      </c>
      <c r="K168">
        <f t="shared" si="100"/>
        <v>13.084933333333334</v>
      </c>
      <c r="L168" t="str">
        <f t="shared" si="95"/>
        <v>0.08</v>
      </c>
      <c r="M168" t="str">
        <f t="shared" si="96"/>
        <v>12.92</v>
      </c>
      <c r="N168" t="str">
        <f t="shared" si="97"/>
        <v>13.00 [0.08, 12.92]</v>
      </c>
    </row>
    <row r="169" spans="1:14" x14ac:dyDescent="0.35">
      <c r="A169">
        <v>5</v>
      </c>
      <c r="B169">
        <v>30</v>
      </c>
      <c r="C169" t="s">
        <v>43</v>
      </c>
      <c r="D169" t="s">
        <v>11</v>
      </c>
      <c r="E169" t="s">
        <v>17</v>
      </c>
      <c r="F169">
        <v>78</v>
      </c>
      <c r="G169">
        <v>1.1240000000000001</v>
      </c>
      <c r="H169">
        <v>0.46707429339420931</v>
      </c>
      <c r="I169">
        <f t="shared" ref="I169" si="124">H169*1.96</f>
        <v>0.91546561505265023</v>
      </c>
      <c r="J169">
        <f t="shared" si="99"/>
        <v>0.20853438494734988</v>
      </c>
      <c r="K169">
        <f t="shared" si="100"/>
        <v>2.0394656150526504</v>
      </c>
      <c r="L169" t="str">
        <f t="shared" si="95"/>
        <v>0.92</v>
      </c>
      <c r="M169" t="str">
        <f t="shared" si="96"/>
        <v>0.21</v>
      </c>
      <c r="N169" t="str">
        <f t="shared" si="97"/>
        <v>1.12 [0.92, 0.21]</v>
      </c>
    </row>
    <row r="170" spans="1:14" x14ac:dyDescent="0.35">
      <c r="A170">
        <v>506</v>
      </c>
      <c r="B170">
        <v>30</v>
      </c>
      <c r="C170" t="s">
        <v>43</v>
      </c>
      <c r="D170" t="s">
        <v>8</v>
      </c>
      <c r="E170" t="s">
        <v>15</v>
      </c>
      <c r="F170">
        <v>41</v>
      </c>
      <c r="G170">
        <v>1</v>
      </c>
      <c r="H170">
        <v>0.24</v>
      </c>
      <c r="I170">
        <f t="shared" ref="I170:I171" si="125">H170/(SQRT(F170))*1.96</f>
        <v>7.3464137592400294E-2</v>
      </c>
      <c r="J170">
        <f t="shared" si="99"/>
        <v>0.92653586240759966</v>
      </c>
      <c r="K170">
        <f t="shared" si="100"/>
        <v>1.0734641375924003</v>
      </c>
      <c r="L170" t="str">
        <f t="shared" si="95"/>
        <v>0.07</v>
      </c>
      <c r="M170" t="str">
        <f t="shared" si="96"/>
        <v>0.93</v>
      </c>
      <c r="N170" t="str">
        <f t="shared" si="97"/>
        <v>1.00 [0.07, 0.93]</v>
      </c>
    </row>
    <row r="171" spans="1:14" x14ac:dyDescent="0.35">
      <c r="A171">
        <v>507</v>
      </c>
      <c r="B171">
        <v>30</v>
      </c>
      <c r="C171" t="s">
        <v>43</v>
      </c>
      <c r="D171" t="s">
        <v>10</v>
      </c>
      <c r="E171" t="s">
        <v>15</v>
      </c>
      <c r="F171">
        <v>36</v>
      </c>
      <c r="G171">
        <v>1</v>
      </c>
      <c r="H171">
        <v>0.26</v>
      </c>
      <c r="I171">
        <f t="shared" si="125"/>
        <v>8.4933333333333333E-2</v>
      </c>
      <c r="J171">
        <f t="shared" si="99"/>
        <v>0.91506666666666669</v>
      </c>
      <c r="K171">
        <f t="shared" si="100"/>
        <v>1.0849333333333333</v>
      </c>
      <c r="L171" t="str">
        <f t="shared" si="95"/>
        <v>0.08</v>
      </c>
      <c r="M171" t="str">
        <f t="shared" si="96"/>
        <v>0.92</v>
      </c>
      <c r="N171" t="str">
        <f t="shared" si="97"/>
        <v>1.00 [0.08, 0.92]</v>
      </c>
    </row>
    <row r="172" spans="1:14" x14ac:dyDescent="0.35">
      <c r="A172">
        <v>5</v>
      </c>
      <c r="B172">
        <v>30</v>
      </c>
      <c r="C172" t="s">
        <v>43</v>
      </c>
      <c r="D172" t="s">
        <v>11</v>
      </c>
      <c r="E172" t="s">
        <v>15</v>
      </c>
      <c r="F172">
        <v>78</v>
      </c>
      <c r="G172">
        <v>0.875</v>
      </c>
      <c r="H172">
        <v>1.1776692073348789</v>
      </c>
      <c r="I172">
        <f t="shared" ref="I172" si="126">H172*1.96</f>
        <v>2.3082316463763628</v>
      </c>
      <c r="J172">
        <f t="shared" si="99"/>
        <v>-1.4332316463763628</v>
      </c>
      <c r="K172">
        <f t="shared" si="100"/>
        <v>3.1832316463763628</v>
      </c>
      <c r="L172" t="str">
        <f t="shared" si="95"/>
        <v>2.31</v>
      </c>
      <c r="M172" t="str">
        <f t="shared" si="96"/>
        <v>-1.43</v>
      </c>
      <c r="N172" t="str">
        <f t="shared" si="97"/>
        <v>0.88 [2.31, -1.43]</v>
      </c>
    </row>
    <row r="173" spans="1:14" x14ac:dyDescent="0.35">
      <c r="A173">
        <v>84</v>
      </c>
      <c r="B173">
        <v>32</v>
      </c>
      <c r="C173" t="s">
        <v>44</v>
      </c>
      <c r="D173" t="s">
        <v>8</v>
      </c>
      <c r="E173" t="s">
        <v>27</v>
      </c>
      <c r="F173">
        <v>31</v>
      </c>
      <c r="G173">
        <v>88.75</v>
      </c>
      <c r="H173">
        <v>9.27</v>
      </c>
      <c r="I173">
        <f t="shared" ref="I173:I174" si="127">H173/(SQRT(F173))*1.96</f>
        <v>3.2632846535848787</v>
      </c>
      <c r="J173">
        <f t="shared" si="99"/>
        <v>85.486715346415124</v>
      </c>
      <c r="K173">
        <f t="shared" si="100"/>
        <v>92.013284653584876</v>
      </c>
      <c r="L173" t="str">
        <f t="shared" si="95"/>
        <v>3.26</v>
      </c>
      <c r="M173" t="str">
        <f t="shared" si="96"/>
        <v>85.49</v>
      </c>
      <c r="N173" t="str">
        <f t="shared" si="97"/>
        <v>88.75 [3.26, 85.49]</v>
      </c>
    </row>
    <row r="174" spans="1:14" x14ac:dyDescent="0.35">
      <c r="A174">
        <v>85</v>
      </c>
      <c r="B174">
        <v>32</v>
      </c>
      <c r="C174" t="s">
        <v>44</v>
      </c>
      <c r="D174" t="s">
        <v>10</v>
      </c>
      <c r="E174" t="s">
        <v>27</v>
      </c>
      <c r="F174">
        <v>31</v>
      </c>
      <c r="G174">
        <v>91</v>
      </c>
      <c r="H174">
        <v>9.07</v>
      </c>
      <c r="I174">
        <f t="shared" si="127"/>
        <v>3.1928793751903832</v>
      </c>
      <c r="J174">
        <f t="shared" si="99"/>
        <v>87.807120624809613</v>
      </c>
      <c r="K174">
        <f t="shared" si="100"/>
        <v>94.192879375190387</v>
      </c>
      <c r="L174" t="str">
        <f t="shared" si="95"/>
        <v>3.19</v>
      </c>
      <c r="M174" t="str">
        <f t="shared" si="96"/>
        <v>87.81</v>
      </c>
      <c r="N174" t="str">
        <f t="shared" si="97"/>
        <v>91.00 [3.19, 87.81]</v>
      </c>
    </row>
    <row r="175" spans="1:14" x14ac:dyDescent="0.35">
      <c r="A175">
        <v>6</v>
      </c>
      <c r="B175">
        <v>32</v>
      </c>
      <c r="C175" t="s">
        <v>44</v>
      </c>
      <c r="D175" t="s">
        <v>11</v>
      </c>
      <c r="E175" t="s">
        <v>27</v>
      </c>
      <c r="F175">
        <v>62</v>
      </c>
      <c r="G175">
        <v>0.245</v>
      </c>
      <c r="H175">
        <v>0.255</v>
      </c>
      <c r="I175">
        <f t="shared" ref="I175" si="128">H175*1.96</f>
        <v>0.49980000000000002</v>
      </c>
      <c r="J175">
        <f t="shared" si="99"/>
        <v>-0.25480000000000003</v>
      </c>
      <c r="K175">
        <f t="shared" si="100"/>
        <v>0.74480000000000002</v>
      </c>
      <c r="L175" t="str">
        <f t="shared" si="95"/>
        <v>0.50</v>
      </c>
      <c r="M175" t="str">
        <f t="shared" si="96"/>
        <v>-0.25</v>
      </c>
      <c r="N175" t="str">
        <f t="shared" si="97"/>
        <v>0.25 [0.50, -0.25]</v>
      </c>
    </row>
    <row r="176" spans="1:14" x14ac:dyDescent="0.35">
      <c r="A176">
        <v>250</v>
      </c>
      <c r="B176">
        <v>32</v>
      </c>
      <c r="C176" t="s">
        <v>44</v>
      </c>
      <c r="D176" t="s">
        <v>8</v>
      </c>
      <c r="E176" t="s">
        <v>17</v>
      </c>
      <c r="F176">
        <v>31</v>
      </c>
      <c r="G176">
        <v>9</v>
      </c>
      <c r="H176">
        <v>0.48</v>
      </c>
      <c r="I176">
        <f t="shared" ref="I176:I177" si="129">H176/(SQRT(F176))*1.96</f>
        <v>0.16897266814678982</v>
      </c>
      <c r="J176">
        <f t="shared" si="99"/>
        <v>8.8310273318532104</v>
      </c>
      <c r="K176">
        <f t="shared" si="100"/>
        <v>9.1689726681467896</v>
      </c>
      <c r="L176" t="str">
        <f t="shared" si="95"/>
        <v>0.17</v>
      </c>
      <c r="M176" t="str">
        <f t="shared" si="96"/>
        <v>8.83</v>
      </c>
      <c r="N176" t="str">
        <f t="shared" si="97"/>
        <v>9.00 [0.17, 8.83]</v>
      </c>
    </row>
    <row r="177" spans="1:14" x14ac:dyDescent="0.35">
      <c r="A177">
        <v>251</v>
      </c>
      <c r="B177">
        <v>32</v>
      </c>
      <c r="C177" t="s">
        <v>44</v>
      </c>
      <c r="D177" t="s">
        <v>10</v>
      </c>
      <c r="E177" t="s">
        <v>17</v>
      </c>
      <c r="F177">
        <v>31</v>
      </c>
      <c r="G177">
        <v>9</v>
      </c>
      <c r="H177">
        <v>0.7</v>
      </c>
      <c r="I177">
        <f t="shared" si="129"/>
        <v>0.24641847438073519</v>
      </c>
      <c r="J177">
        <f t="shared" si="99"/>
        <v>8.7535815256192642</v>
      </c>
      <c r="K177">
        <f t="shared" si="100"/>
        <v>9.2464184743807358</v>
      </c>
      <c r="L177" t="str">
        <f t="shared" si="95"/>
        <v>0.25</v>
      </c>
      <c r="M177" t="str">
        <f t="shared" si="96"/>
        <v>8.75</v>
      </c>
      <c r="N177" t="str">
        <f t="shared" si="97"/>
        <v>9.00 [0.25, 8.75]</v>
      </c>
    </row>
    <row r="178" spans="1:14" x14ac:dyDescent="0.35">
      <c r="A178">
        <v>6</v>
      </c>
      <c r="B178">
        <v>32</v>
      </c>
      <c r="C178" t="s">
        <v>44</v>
      </c>
      <c r="D178" t="s">
        <v>11</v>
      </c>
      <c r="E178" t="s">
        <v>17</v>
      </c>
      <c r="F178">
        <v>63</v>
      </c>
      <c r="G178">
        <v>1</v>
      </c>
      <c r="H178">
        <v>0.54903133489680223</v>
      </c>
      <c r="I178">
        <f t="shared" ref="I178" si="130">H178*1.96</f>
        <v>1.0761014163977323</v>
      </c>
      <c r="J178">
        <f t="shared" si="99"/>
        <v>-7.6101416397732269E-2</v>
      </c>
      <c r="K178">
        <f t="shared" si="100"/>
        <v>2.0761014163977323</v>
      </c>
      <c r="L178" t="str">
        <f t="shared" si="95"/>
        <v>1.08</v>
      </c>
      <c r="M178" t="str">
        <f t="shared" si="96"/>
        <v>-0.08</v>
      </c>
      <c r="N178" t="str">
        <f t="shared" si="97"/>
        <v>1.00 [1.08, -0.08]</v>
      </c>
    </row>
    <row r="179" spans="1:14" x14ac:dyDescent="0.35">
      <c r="A179">
        <v>508</v>
      </c>
      <c r="B179">
        <v>32</v>
      </c>
      <c r="C179" t="s">
        <v>44</v>
      </c>
      <c r="D179" t="s">
        <v>8</v>
      </c>
      <c r="E179" t="s">
        <v>15</v>
      </c>
      <c r="F179">
        <v>31</v>
      </c>
      <c r="G179">
        <v>2</v>
      </c>
      <c r="H179">
        <v>0.48</v>
      </c>
      <c r="I179">
        <f t="shared" ref="I179:I180" si="131">H179/(SQRT(F179))*1.96</f>
        <v>0.16897266814678982</v>
      </c>
      <c r="J179">
        <f t="shared" si="99"/>
        <v>1.8310273318532102</v>
      </c>
      <c r="K179">
        <f t="shared" si="100"/>
        <v>2.16897266814679</v>
      </c>
      <c r="L179" t="str">
        <f t="shared" si="95"/>
        <v>0.17</v>
      </c>
      <c r="M179" t="str">
        <f t="shared" si="96"/>
        <v>1.83</v>
      </c>
      <c r="N179" t="str">
        <f t="shared" si="97"/>
        <v>2.00 [0.17, 1.83]</v>
      </c>
    </row>
    <row r="180" spans="1:14" x14ac:dyDescent="0.35">
      <c r="A180">
        <v>509</v>
      </c>
      <c r="B180">
        <v>32</v>
      </c>
      <c r="C180" t="s">
        <v>44</v>
      </c>
      <c r="D180" t="s">
        <v>10</v>
      </c>
      <c r="E180" t="s">
        <v>15</v>
      </c>
      <c r="F180">
        <v>31</v>
      </c>
      <c r="G180">
        <v>3</v>
      </c>
      <c r="H180">
        <v>0.7</v>
      </c>
      <c r="I180">
        <f t="shared" si="131"/>
        <v>0.24641847438073519</v>
      </c>
      <c r="J180">
        <f t="shared" si="99"/>
        <v>2.7535815256192646</v>
      </c>
      <c r="K180">
        <f t="shared" si="100"/>
        <v>3.2464184743807354</v>
      </c>
      <c r="L180" t="str">
        <f t="shared" si="95"/>
        <v>0.25</v>
      </c>
      <c r="M180" t="str">
        <f t="shared" si="96"/>
        <v>2.75</v>
      </c>
      <c r="N180" t="str">
        <f t="shared" si="97"/>
        <v>3.00 [0.25, 2.75]</v>
      </c>
    </row>
    <row r="181" spans="1:14" x14ac:dyDescent="0.35">
      <c r="A181">
        <v>6</v>
      </c>
      <c r="B181">
        <v>32</v>
      </c>
      <c r="C181" t="s">
        <v>44</v>
      </c>
      <c r="D181" t="s">
        <v>11</v>
      </c>
      <c r="E181" t="s">
        <v>15</v>
      </c>
      <c r="F181">
        <v>63</v>
      </c>
      <c r="G181">
        <v>0.69</v>
      </c>
      <c r="H181">
        <v>0.86943161321018292</v>
      </c>
      <c r="I181">
        <f t="shared" ref="I181" si="132">H181*1.96</f>
        <v>1.7040859618919586</v>
      </c>
      <c r="J181">
        <f t="shared" si="99"/>
        <v>-1.0140859618919587</v>
      </c>
      <c r="K181">
        <f t="shared" si="100"/>
        <v>2.3940859618919585</v>
      </c>
      <c r="L181" t="str">
        <f t="shared" si="95"/>
        <v>1.70</v>
      </c>
      <c r="M181" t="str">
        <f t="shared" si="96"/>
        <v>-1.01</v>
      </c>
      <c r="N181" t="str">
        <f t="shared" si="97"/>
        <v>0.69 [1.70, -1.01]</v>
      </c>
    </row>
    <row r="182" spans="1:14" x14ac:dyDescent="0.35">
      <c r="A182">
        <v>308</v>
      </c>
      <c r="B182">
        <v>32</v>
      </c>
      <c r="C182" t="s">
        <v>44</v>
      </c>
      <c r="D182" t="s">
        <v>8</v>
      </c>
      <c r="E182" t="s">
        <v>19</v>
      </c>
      <c r="F182">
        <v>31</v>
      </c>
      <c r="G182">
        <v>89.87</v>
      </c>
      <c r="H182">
        <v>9.17</v>
      </c>
      <c r="I182">
        <f t="shared" ref="I182:I183" si="133">H182/(SQRT(F182))*1.96</f>
        <v>3.2280820143876308</v>
      </c>
      <c r="J182">
        <f t="shared" si="99"/>
        <v>86.64191798561238</v>
      </c>
      <c r="K182">
        <f t="shared" si="100"/>
        <v>93.098082014387629</v>
      </c>
      <c r="L182" t="str">
        <f t="shared" si="95"/>
        <v>3.23</v>
      </c>
      <c r="M182" t="str">
        <f t="shared" si="96"/>
        <v>86.64</v>
      </c>
      <c r="N182" t="str">
        <f t="shared" si="97"/>
        <v>89.87 [3.23, 86.64]</v>
      </c>
    </row>
    <row r="183" spans="1:14" x14ac:dyDescent="0.35">
      <c r="A183">
        <v>309</v>
      </c>
      <c r="B183">
        <v>32</v>
      </c>
      <c r="C183" t="s">
        <v>44</v>
      </c>
      <c r="D183" t="s">
        <v>10</v>
      </c>
      <c r="E183" t="s">
        <v>19</v>
      </c>
      <c r="F183">
        <v>31</v>
      </c>
      <c r="G183">
        <v>91.26</v>
      </c>
      <c r="H183">
        <v>9.36</v>
      </c>
      <c r="I183">
        <f t="shared" si="133"/>
        <v>3.2949670288624016</v>
      </c>
      <c r="J183">
        <f t="shared" si="99"/>
        <v>87.965032971137603</v>
      </c>
      <c r="K183">
        <f t="shared" si="100"/>
        <v>94.554967028862407</v>
      </c>
      <c r="L183" t="str">
        <f t="shared" si="95"/>
        <v>3.29</v>
      </c>
      <c r="M183" t="str">
        <f t="shared" si="96"/>
        <v>87.97</v>
      </c>
      <c r="N183" t="str">
        <f t="shared" si="97"/>
        <v>91.26 [3.29, 87.97]</v>
      </c>
    </row>
    <row r="184" spans="1:14" x14ac:dyDescent="0.35">
      <c r="A184">
        <v>7</v>
      </c>
      <c r="B184">
        <v>32</v>
      </c>
      <c r="C184" t="s">
        <v>44</v>
      </c>
      <c r="D184" t="s">
        <v>11</v>
      </c>
      <c r="E184" t="s">
        <v>19</v>
      </c>
      <c r="F184">
        <v>62</v>
      </c>
      <c r="G184">
        <v>0.15</v>
      </c>
      <c r="H184">
        <v>0.254</v>
      </c>
      <c r="I184">
        <f t="shared" ref="I184" si="134">H184*1.96</f>
        <v>0.49784</v>
      </c>
      <c r="J184">
        <f t="shared" si="99"/>
        <v>-0.34784000000000004</v>
      </c>
      <c r="K184">
        <f t="shared" si="100"/>
        <v>0.64783999999999997</v>
      </c>
      <c r="L184" t="str">
        <f t="shared" si="95"/>
        <v>0.50</v>
      </c>
      <c r="M184" t="str">
        <f t="shared" si="96"/>
        <v>-0.35</v>
      </c>
      <c r="N184" t="str">
        <f t="shared" si="97"/>
        <v>0.15 [0.50, -0.35]</v>
      </c>
    </row>
    <row r="185" spans="1:14" x14ac:dyDescent="0.35">
      <c r="A185">
        <v>388</v>
      </c>
      <c r="B185">
        <v>32</v>
      </c>
      <c r="C185" t="s">
        <v>44</v>
      </c>
      <c r="D185" t="s">
        <v>8</v>
      </c>
      <c r="E185" t="s">
        <v>16</v>
      </c>
      <c r="F185">
        <v>31</v>
      </c>
      <c r="G185">
        <v>7</v>
      </c>
      <c r="H185">
        <v>0.48</v>
      </c>
      <c r="I185">
        <f t="shared" ref="I185:I186" si="135">H185/(SQRT(F185))*1.96</f>
        <v>0.16897266814678982</v>
      </c>
      <c r="J185">
        <f t="shared" si="99"/>
        <v>6.8310273318532104</v>
      </c>
      <c r="K185">
        <f t="shared" si="100"/>
        <v>7.1689726681467896</v>
      </c>
      <c r="L185" t="str">
        <f t="shared" si="95"/>
        <v>0.17</v>
      </c>
      <c r="M185" t="str">
        <f t="shared" si="96"/>
        <v>6.83</v>
      </c>
      <c r="N185" t="str">
        <f t="shared" si="97"/>
        <v>7.00 [0.17, 6.83]</v>
      </c>
    </row>
    <row r="186" spans="1:14" x14ac:dyDescent="0.35">
      <c r="A186">
        <v>389</v>
      </c>
      <c r="B186">
        <v>32</v>
      </c>
      <c r="C186" t="s">
        <v>44</v>
      </c>
      <c r="D186" t="s">
        <v>10</v>
      </c>
      <c r="E186" t="s">
        <v>16</v>
      </c>
      <c r="F186">
        <v>31</v>
      </c>
      <c r="G186">
        <v>10</v>
      </c>
      <c r="H186">
        <v>0.7</v>
      </c>
      <c r="I186">
        <f t="shared" si="135"/>
        <v>0.24641847438073519</v>
      </c>
      <c r="J186">
        <f t="shared" si="99"/>
        <v>9.7535815256192642</v>
      </c>
      <c r="K186">
        <f t="shared" si="100"/>
        <v>10.246418474380736</v>
      </c>
      <c r="L186" t="str">
        <f t="shared" si="95"/>
        <v>0.25</v>
      </c>
      <c r="M186" t="str">
        <f t="shared" si="96"/>
        <v>9.75</v>
      </c>
      <c r="N186" t="str">
        <f t="shared" si="97"/>
        <v>10.00 [0.25, 9.75]</v>
      </c>
    </row>
    <row r="187" spans="1:14" x14ac:dyDescent="0.35">
      <c r="A187">
        <v>7</v>
      </c>
      <c r="B187">
        <v>32</v>
      </c>
      <c r="C187" t="s">
        <v>44</v>
      </c>
      <c r="D187" t="s">
        <v>11</v>
      </c>
      <c r="E187" t="s">
        <v>16</v>
      </c>
      <c r="F187">
        <v>63</v>
      </c>
      <c r="G187">
        <v>0.625</v>
      </c>
      <c r="H187">
        <v>0.56378820744774616</v>
      </c>
      <c r="I187">
        <f t="shared" ref="I187" si="136">H187*1.96</f>
        <v>1.1050248865975825</v>
      </c>
      <c r="J187">
        <f t="shared" si="99"/>
        <v>-0.48002488659758247</v>
      </c>
      <c r="K187">
        <f t="shared" si="100"/>
        <v>1.7300248865975825</v>
      </c>
      <c r="L187" t="str">
        <f t="shared" si="95"/>
        <v>1.11</v>
      </c>
      <c r="M187" t="str">
        <f t="shared" si="96"/>
        <v>-0.48</v>
      </c>
      <c r="N187" t="str">
        <f t="shared" si="97"/>
        <v>0.63 [1.11, -0.48]</v>
      </c>
    </row>
    <row r="188" spans="1:14" x14ac:dyDescent="0.35">
      <c r="A188">
        <v>566</v>
      </c>
      <c r="B188">
        <v>32</v>
      </c>
      <c r="C188" t="s">
        <v>44</v>
      </c>
      <c r="D188" t="s">
        <v>8</v>
      </c>
      <c r="E188" t="s">
        <v>14</v>
      </c>
      <c r="F188">
        <v>31</v>
      </c>
      <c r="G188">
        <v>2</v>
      </c>
      <c r="H188">
        <v>0.48</v>
      </c>
      <c r="I188">
        <f t="shared" ref="I188:I189" si="137">H188/(SQRT(F188))*1.96</f>
        <v>0.16897266814678982</v>
      </c>
      <c r="J188">
        <f t="shared" si="99"/>
        <v>1.8310273318532102</v>
      </c>
      <c r="K188">
        <f t="shared" si="100"/>
        <v>2.16897266814679</v>
      </c>
      <c r="L188" t="str">
        <f t="shared" si="95"/>
        <v>0.17</v>
      </c>
      <c r="M188" t="str">
        <f t="shared" si="96"/>
        <v>1.83</v>
      </c>
      <c r="N188" t="str">
        <f t="shared" si="97"/>
        <v>2.00 [0.17, 1.83]</v>
      </c>
    </row>
    <row r="189" spans="1:14" x14ac:dyDescent="0.35">
      <c r="A189">
        <v>567</v>
      </c>
      <c r="B189">
        <v>32</v>
      </c>
      <c r="C189" t="s">
        <v>44</v>
      </c>
      <c r="D189" t="s">
        <v>10</v>
      </c>
      <c r="E189" t="s">
        <v>14</v>
      </c>
      <c r="F189">
        <v>31</v>
      </c>
      <c r="G189">
        <v>1</v>
      </c>
      <c r="H189">
        <v>0.7</v>
      </c>
      <c r="I189">
        <f t="shared" si="137"/>
        <v>0.24641847438073519</v>
      </c>
      <c r="J189">
        <f t="shared" si="99"/>
        <v>0.75358152561926484</v>
      </c>
      <c r="K189">
        <f t="shared" si="100"/>
        <v>1.2464184743807352</v>
      </c>
      <c r="L189" t="str">
        <f t="shared" si="95"/>
        <v>0.25</v>
      </c>
      <c r="M189" t="str">
        <f t="shared" si="96"/>
        <v>0.75</v>
      </c>
      <c r="N189" t="str">
        <f t="shared" si="97"/>
        <v>1.00 [0.25, 0.75]</v>
      </c>
    </row>
    <row r="190" spans="1:14" x14ac:dyDescent="0.35">
      <c r="A190">
        <v>7</v>
      </c>
      <c r="B190">
        <v>32</v>
      </c>
      <c r="C190" t="s">
        <v>44</v>
      </c>
      <c r="D190" t="s">
        <v>11</v>
      </c>
      <c r="E190" t="s">
        <v>14</v>
      </c>
      <c r="F190">
        <v>63</v>
      </c>
      <c r="G190">
        <v>1.724</v>
      </c>
      <c r="H190">
        <v>1.065121006562489</v>
      </c>
      <c r="I190">
        <f t="shared" ref="I190" si="138">H190*1.96</f>
        <v>2.0876371728624785</v>
      </c>
      <c r="J190">
        <f t="shared" si="99"/>
        <v>-0.36363717286247854</v>
      </c>
      <c r="K190">
        <f t="shared" si="100"/>
        <v>3.8116371728624783</v>
      </c>
      <c r="L190" t="str">
        <f t="shared" si="95"/>
        <v>2.09</v>
      </c>
      <c r="M190" t="str">
        <f t="shared" si="96"/>
        <v>-0.36</v>
      </c>
      <c r="N190" t="str">
        <f t="shared" si="97"/>
        <v>1.72 [2.09, -0.36]</v>
      </c>
    </row>
    <row r="191" spans="1:14" x14ac:dyDescent="0.35">
      <c r="A191">
        <v>158</v>
      </c>
      <c r="B191">
        <v>33</v>
      </c>
      <c r="C191" t="s">
        <v>45</v>
      </c>
      <c r="D191" t="s">
        <v>8</v>
      </c>
      <c r="E191" t="s">
        <v>13</v>
      </c>
      <c r="F191">
        <v>37</v>
      </c>
      <c r="G191">
        <v>1.5</v>
      </c>
      <c r="H191">
        <v>3</v>
      </c>
      <c r="I191">
        <f t="shared" ref="I191:I192" si="139">H191/(SQRT(F191))*1.96</f>
        <v>0.96666604535550082</v>
      </c>
      <c r="J191">
        <f t="shared" si="99"/>
        <v>0.53333395464449918</v>
      </c>
      <c r="K191">
        <f t="shared" si="100"/>
        <v>2.4666660453555007</v>
      </c>
      <c r="L191" t="str">
        <f t="shared" si="95"/>
        <v>0.97</v>
      </c>
      <c r="M191" t="str">
        <f t="shared" si="96"/>
        <v>0.53</v>
      </c>
      <c r="N191" t="str">
        <f t="shared" si="97"/>
        <v>1.50 [0.97, 0.53]</v>
      </c>
    </row>
    <row r="192" spans="1:14" x14ac:dyDescent="0.35">
      <c r="A192">
        <v>159</v>
      </c>
      <c r="B192">
        <v>33</v>
      </c>
      <c r="C192" t="s">
        <v>45</v>
      </c>
      <c r="D192" t="s">
        <v>10</v>
      </c>
      <c r="E192" t="s">
        <v>13</v>
      </c>
      <c r="F192">
        <v>37</v>
      </c>
      <c r="G192">
        <v>1.2</v>
      </c>
      <c r="H192">
        <v>3.9</v>
      </c>
      <c r="I192">
        <f t="shared" si="139"/>
        <v>1.2566658589621511</v>
      </c>
      <c r="J192">
        <f t="shared" si="99"/>
        <v>-5.666585896215115E-2</v>
      </c>
      <c r="K192">
        <f t="shared" si="100"/>
        <v>2.4566658589621513</v>
      </c>
      <c r="L192" t="str">
        <f t="shared" si="95"/>
        <v>1.26</v>
      </c>
      <c r="M192" t="str">
        <f t="shared" si="96"/>
        <v>-0.06</v>
      </c>
      <c r="N192" t="str">
        <f t="shared" si="97"/>
        <v>1.20 [1.26, -0.06]</v>
      </c>
    </row>
    <row r="193" spans="1:14" x14ac:dyDescent="0.35">
      <c r="A193">
        <v>10</v>
      </c>
      <c r="B193">
        <v>33</v>
      </c>
      <c r="C193" t="s">
        <v>45</v>
      </c>
      <c r="D193" t="s">
        <v>11</v>
      </c>
      <c r="E193" t="s">
        <v>13</v>
      </c>
      <c r="F193">
        <v>74</v>
      </c>
      <c r="G193">
        <v>8.5999999999999993E-2</v>
      </c>
      <c r="H193">
        <v>0.23300000000000001</v>
      </c>
      <c r="I193">
        <f t="shared" ref="I193" si="140">H193*1.96</f>
        <v>0.45668000000000003</v>
      </c>
      <c r="J193">
        <f t="shared" si="99"/>
        <v>-0.37068000000000001</v>
      </c>
      <c r="K193">
        <f t="shared" si="100"/>
        <v>0.54268000000000005</v>
      </c>
      <c r="L193" t="str">
        <f t="shared" si="95"/>
        <v>0.46</v>
      </c>
      <c r="M193" t="str">
        <f t="shared" si="96"/>
        <v>-0.37</v>
      </c>
      <c r="N193" t="str">
        <f t="shared" si="97"/>
        <v>0.09 [0.46, -0.37]</v>
      </c>
    </row>
    <row r="194" spans="1:14" x14ac:dyDescent="0.35">
      <c r="A194">
        <v>252</v>
      </c>
      <c r="B194">
        <v>33</v>
      </c>
      <c r="C194" t="s">
        <v>45</v>
      </c>
      <c r="D194" t="s">
        <v>8</v>
      </c>
      <c r="E194" t="s">
        <v>17</v>
      </c>
      <c r="F194">
        <v>37</v>
      </c>
      <c r="G194">
        <v>8</v>
      </c>
      <c r="H194">
        <v>0.08</v>
      </c>
      <c r="I194">
        <f t="shared" ref="I194:I195" si="141">H194/(SQRT(F194))*1.96</f>
        <v>2.5777761209480023E-2</v>
      </c>
      <c r="J194">
        <f t="shared" si="99"/>
        <v>7.9742222387905199</v>
      </c>
      <c r="K194">
        <f t="shared" si="100"/>
        <v>8.0257777612094792</v>
      </c>
      <c r="L194" t="str">
        <f t="shared" si="95"/>
        <v>0.03</v>
      </c>
      <c r="M194" t="str">
        <f t="shared" si="96"/>
        <v>7.97</v>
      </c>
      <c r="N194" t="str">
        <f t="shared" si="97"/>
        <v>8.00 [0.03, 7.97]</v>
      </c>
    </row>
    <row r="195" spans="1:14" x14ac:dyDescent="0.35">
      <c r="A195">
        <v>253</v>
      </c>
      <c r="B195">
        <v>33</v>
      </c>
      <c r="C195" t="s">
        <v>45</v>
      </c>
      <c r="D195" t="s">
        <v>10</v>
      </c>
      <c r="E195" t="s">
        <v>17</v>
      </c>
      <c r="F195">
        <v>37</v>
      </c>
      <c r="G195">
        <v>6</v>
      </c>
      <c r="H195">
        <v>0.25</v>
      </c>
      <c r="I195">
        <f t="shared" si="141"/>
        <v>8.0555503779625073E-2</v>
      </c>
      <c r="J195">
        <f t="shared" si="99"/>
        <v>5.9194444962203745</v>
      </c>
      <c r="K195">
        <f t="shared" si="100"/>
        <v>6.0805555037796255</v>
      </c>
      <c r="L195" t="str">
        <f t="shared" ref="L195:L258" si="142">TEXT(I195,"#0.00")</f>
        <v>0.08</v>
      </c>
      <c r="M195" t="str">
        <f t="shared" ref="M195:M258" si="143">TEXT(J195,"#0.00")</f>
        <v>5.92</v>
      </c>
      <c r="N195" t="str">
        <f t="shared" ref="N195:N258" si="144">TEXT(G195,"#0.00")&amp;" ["&amp;L195&amp;", "&amp;M195&amp;"]"</f>
        <v>6.00 [0.08, 5.92]</v>
      </c>
    </row>
    <row r="196" spans="1:14" x14ac:dyDescent="0.35">
      <c r="A196">
        <v>7</v>
      </c>
      <c r="B196">
        <v>33</v>
      </c>
      <c r="C196" t="s">
        <v>45</v>
      </c>
      <c r="D196" t="s">
        <v>11</v>
      </c>
      <c r="E196" t="s">
        <v>17</v>
      </c>
      <c r="F196">
        <v>75</v>
      </c>
      <c r="G196">
        <v>1.3979999999999999</v>
      </c>
      <c r="H196">
        <v>0.58157891623278601</v>
      </c>
      <c r="I196">
        <f t="shared" ref="I196" si="145">H196*1.96</f>
        <v>1.1398946758162605</v>
      </c>
      <c r="J196">
        <f t="shared" si="99"/>
        <v>0.25810532418373944</v>
      </c>
      <c r="K196">
        <f t="shared" si="100"/>
        <v>2.5378946758162604</v>
      </c>
      <c r="L196" t="str">
        <f t="shared" si="142"/>
        <v>1.14</v>
      </c>
      <c r="M196" t="str">
        <f t="shared" si="143"/>
        <v>0.26</v>
      </c>
      <c r="N196" t="str">
        <f t="shared" si="144"/>
        <v>1.40 [1.14, 0.26]</v>
      </c>
    </row>
    <row r="197" spans="1:14" x14ac:dyDescent="0.35">
      <c r="A197">
        <v>510</v>
      </c>
      <c r="B197">
        <v>33</v>
      </c>
      <c r="C197" t="s">
        <v>45</v>
      </c>
      <c r="D197" t="s">
        <v>8</v>
      </c>
      <c r="E197" t="s">
        <v>15</v>
      </c>
      <c r="F197">
        <v>37</v>
      </c>
      <c r="G197">
        <v>0</v>
      </c>
      <c r="H197">
        <v>0.08</v>
      </c>
      <c r="I197">
        <f t="shared" ref="I197:I198" si="146">H197/(SQRT(F197))*1.96</f>
        <v>2.5777761209480023E-2</v>
      </c>
      <c r="J197">
        <f t="shared" ref="J197:J260" si="147">G197-I197</f>
        <v>-2.5777761209480023E-2</v>
      </c>
      <c r="K197">
        <f t="shared" ref="K197:K260" si="148">G197+I197</f>
        <v>2.5777761209480023E-2</v>
      </c>
      <c r="L197" t="str">
        <f t="shared" si="142"/>
        <v>0.03</v>
      </c>
      <c r="M197" t="str">
        <f t="shared" si="143"/>
        <v>-0.03</v>
      </c>
      <c r="N197" t="str">
        <f t="shared" si="144"/>
        <v>0.00 [0.03, -0.03]</v>
      </c>
    </row>
    <row r="198" spans="1:14" x14ac:dyDescent="0.35">
      <c r="A198">
        <v>511</v>
      </c>
      <c r="B198">
        <v>33</v>
      </c>
      <c r="C198" t="s">
        <v>45</v>
      </c>
      <c r="D198" t="s">
        <v>10</v>
      </c>
      <c r="E198" t="s">
        <v>15</v>
      </c>
      <c r="F198">
        <v>37</v>
      </c>
      <c r="G198">
        <v>1</v>
      </c>
      <c r="H198">
        <v>0.25</v>
      </c>
      <c r="I198">
        <f t="shared" si="146"/>
        <v>8.0555503779625073E-2</v>
      </c>
      <c r="J198">
        <f t="shared" si="147"/>
        <v>0.91944449622037494</v>
      </c>
      <c r="K198">
        <f t="shared" si="148"/>
        <v>1.0805555037796251</v>
      </c>
      <c r="L198" t="str">
        <f t="shared" si="142"/>
        <v>0.08</v>
      </c>
      <c r="M198" t="str">
        <f t="shared" si="143"/>
        <v>0.92</v>
      </c>
      <c r="N198" t="str">
        <f t="shared" si="144"/>
        <v>1.00 [0.08, 0.92]</v>
      </c>
    </row>
    <row r="199" spans="1:14" x14ac:dyDescent="0.35">
      <c r="A199">
        <v>7</v>
      </c>
      <c r="B199">
        <v>33</v>
      </c>
      <c r="C199" t="s">
        <v>45</v>
      </c>
      <c r="D199" t="s">
        <v>11</v>
      </c>
      <c r="E199" t="s">
        <v>15</v>
      </c>
      <c r="F199">
        <v>75</v>
      </c>
      <c r="G199">
        <v>0.32400000000000001</v>
      </c>
      <c r="H199">
        <v>1.6496882952459451</v>
      </c>
      <c r="I199">
        <f t="shared" ref="I199" si="149">H199*1.96</f>
        <v>3.2333890586820524</v>
      </c>
      <c r="J199">
        <f t="shared" si="147"/>
        <v>-2.9093890586820526</v>
      </c>
      <c r="K199">
        <f t="shared" si="148"/>
        <v>3.5573890586820522</v>
      </c>
      <c r="L199" t="str">
        <f t="shared" si="142"/>
        <v>3.23</v>
      </c>
      <c r="M199" t="str">
        <f t="shared" si="143"/>
        <v>-2.91</v>
      </c>
      <c r="N199" t="str">
        <f t="shared" si="144"/>
        <v>0.32 [3.23, -2.91]</v>
      </c>
    </row>
    <row r="200" spans="1:14" x14ac:dyDescent="0.35">
      <c r="A200">
        <v>310</v>
      </c>
      <c r="B200">
        <v>33</v>
      </c>
      <c r="C200" t="s">
        <v>45</v>
      </c>
      <c r="D200" t="s">
        <v>8</v>
      </c>
      <c r="E200" t="s">
        <v>19</v>
      </c>
      <c r="F200">
        <v>37</v>
      </c>
      <c r="G200">
        <v>89.11</v>
      </c>
      <c r="H200">
        <v>15.53</v>
      </c>
      <c r="I200">
        <f t="shared" ref="I200:I201" si="150">H200/(SQRT(F200))*1.96</f>
        <v>5.0041078947903097</v>
      </c>
      <c r="J200">
        <f t="shared" si="147"/>
        <v>84.105892105209691</v>
      </c>
      <c r="K200">
        <f t="shared" si="148"/>
        <v>94.114107894790308</v>
      </c>
      <c r="L200" t="str">
        <f t="shared" si="142"/>
        <v>5.00</v>
      </c>
      <c r="M200" t="str">
        <f t="shared" si="143"/>
        <v>84.11</v>
      </c>
      <c r="N200" t="str">
        <f t="shared" si="144"/>
        <v>89.11 [5.00, 84.11]</v>
      </c>
    </row>
    <row r="201" spans="1:14" x14ac:dyDescent="0.35">
      <c r="A201">
        <v>311</v>
      </c>
      <c r="B201">
        <v>33</v>
      </c>
      <c r="C201" t="s">
        <v>45</v>
      </c>
      <c r="D201" t="s">
        <v>10</v>
      </c>
      <c r="E201" t="s">
        <v>19</v>
      </c>
      <c r="F201">
        <v>37</v>
      </c>
      <c r="G201">
        <v>95</v>
      </c>
      <c r="H201">
        <v>15.53</v>
      </c>
      <c r="I201">
        <f t="shared" si="150"/>
        <v>5.0041078947903097</v>
      </c>
      <c r="J201">
        <f t="shared" si="147"/>
        <v>89.995892105209691</v>
      </c>
      <c r="K201">
        <f t="shared" si="148"/>
        <v>100.00410789479031</v>
      </c>
      <c r="L201" t="str">
        <f t="shared" si="142"/>
        <v>5.00</v>
      </c>
      <c r="M201" t="str">
        <f t="shared" si="143"/>
        <v>90.00</v>
      </c>
      <c r="N201" t="str">
        <f t="shared" si="144"/>
        <v>95.00 [5.00, 90.00]</v>
      </c>
    </row>
    <row r="202" spans="1:14" x14ac:dyDescent="0.35">
      <c r="A202">
        <v>8</v>
      </c>
      <c r="B202">
        <v>33</v>
      </c>
      <c r="C202" t="s">
        <v>45</v>
      </c>
      <c r="D202" t="s">
        <v>11</v>
      </c>
      <c r="E202" t="s">
        <v>19</v>
      </c>
      <c r="F202">
        <v>74</v>
      </c>
      <c r="G202">
        <v>0.379</v>
      </c>
      <c r="H202">
        <v>0.23499999999999999</v>
      </c>
      <c r="I202">
        <f t="shared" ref="I202" si="151">H202*1.96</f>
        <v>0.46059999999999995</v>
      </c>
      <c r="J202">
        <f t="shared" si="147"/>
        <v>-8.159999999999995E-2</v>
      </c>
      <c r="K202">
        <f t="shared" si="148"/>
        <v>0.8395999999999999</v>
      </c>
      <c r="L202" t="str">
        <f t="shared" si="142"/>
        <v>0.46</v>
      </c>
      <c r="M202" t="str">
        <f t="shared" si="143"/>
        <v>-0.08</v>
      </c>
      <c r="N202" t="str">
        <f t="shared" si="144"/>
        <v>0.38 [0.46, -0.08]</v>
      </c>
    </row>
    <row r="203" spans="1:14" x14ac:dyDescent="0.35">
      <c r="A203">
        <v>390</v>
      </c>
      <c r="B203">
        <v>33</v>
      </c>
      <c r="C203" t="s">
        <v>45</v>
      </c>
      <c r="D203" t="s">
        <v>8</v>
      </c>
      <c r="E203" t="s">
        <v>16</v>
      </c>
      <c r="F203">
        <v>37</v>
      </c>
      <c r="G203">
        <v>4</v>
      </c>
      <c r="H203">
        <v>0.08</v>
      </c>
      <c r="I203">
        <f t="shared" ref="I203:I204" si="152">H203/(SQRT(F203))*1.96</f>
        <v>2.5777761209480023E-2</v>
      </c>
      <c r="J203">
        <f t="shared" si="147"/>
        <v>3.9742222387905199</v>
      </c>
      <c r="K203">
        <f t="shared" si="148"/>
        <v>4.0257777612094801</v>
      </c>
      <c r="L203" t="str">
        <f t="shared" si="142"/>
        <v>0.03</v>
      </c>
      <c r="M203" t="str">
        <f t="shared" si="143"/>
        <v>3.97</v>
      </c>
      <c r="N203" t="str">
        <f t="shared" si="144"/>
        <v>4.00 [0.03, 3.97]</v>
      </c>
    </row>
    <row r="204" spans="1:14" x14ac:dyDescent="0.35">
      <c r="A204">
        <v>391</v>
      </c>
      <c r="B204">
        <v>33</v>
      </c>
      <c r="C204" t="s">
        <v>45</v>
      </c>
      <c r="D204" t="s">
        <v>10</v>
      </c>
      <c r="E204" t="s">
        <v>16</v>
      </c>
      <c r="F204">
        <v>37</v>
      </c>
      <c r="G204">
        <v>4</v>
      </c>
      <c r="H204">
        <v>0.25</v>
      </c>
      <c r="I204">
        <f t="shared" si="152"/>
        <v>8.0555503779625073E-2</v>
      </c>
      <c r="J204">
        <f t="shared" si="147"/>
        <v>3.9194444962203749</v>
      </c>
      <c r="K204">
        <f t="shared" si="148"/>
        <v>4.0805555037796255</v>
      </c>
      <c r="L204" t="str">
        <f t="shared" si="142"/>
        <v>0.08</v>
      </c>
      <c r="M204" t="str">
        <f t="shared" si="143"/>
        <v>3.92</v>
      </c>
      <c r="N204" t="str">
        <f t="shared" si="144"/>
        <v>4.00 [0.08, 3.92]</v>
      </c>
    </row>
    <row r="205" spans="1:14" x14ac:dyDescent="0.35">
      <c r="A205">
        <v>8</v>
      </c>
      <c r="B205">
        <v>33</v>
      </c>
      <c r="C205" t="s">
        <v>45</v>
      </c>
      <c r="D205" t="s">
        <v>11</v>
      </c>
      <c r="E205" t="s">
        <v>16</v>
      </c>
      <c r="F205">
        <v>75</v>
      </c>
      <c r="G205">
        <v>1</v>
      </c>
      <c r="H205">
        <v>0.71066905451870144</v>
      </c>
      <c r="I205">
        <f t="shared" ref="I205" si="153">H205*1.96</f>
        <v>1.3929113468566547</v>
      </c>
      <c r="J205">
        <f t="shared" si="147"/>
        <v>-0.39291134685665474</v>
      </c>
      <c r="K205">
        <f t="shared" si="148"/>
        <v>2.3929113468566547</v>
      </c>
      <c r="L205" t="str">
        <f t="shared" si="142"/>
        <v>1.39</v>
      </c>
      <c r="M205" t="str">
        <f t="shared" si="143"/>
        <v>-0.39</v>
      </c>
      <c r="N205" t="str">
        <f t="shared" si="144"/>
        <v>1.00 [1.39, -0.39]</v>
      </c>
    </row>
    <row r="206" spans="1:14" x14ac:dyDescent="0.35">
      <c r="A206">
        <v>568</v>
      </c>
      <c r="B206">
        <v>33</v>
      </c>
      <c r="C206" t="s">
        <v>45</v>
      </c>
      <c r="D206" t="s">
        <v>8</v>
      </c>
      <c r="E206" t="s">
        <v>14</v>
      </c>
      <c r="F206">
        <v>37</v>
      </c>
      <c r="G206">
        <v>0</v>
      </c>
      <c r="H206">
        <v>0.08</v>
      </c>
      <c r="I206">
        <f t="shared" ref="I206:I207" si="154">H206/(SQRT(F206))*1.96</f>
        <v>2.5777761209480023E-2</v>
      </c>
      <c r="J206">
        <f t="shared" si="147"/>
        <v>-2.5777761209480023E-2</v>
      </c>
      <c r="K206">
        <f t="shared" si="148"/>
        <v>2.5777761209480023E-2</v>
      </c>
      <c r="L206" t="str">
        <f t="shared" si="142"/>
        <v>0.03</v>
      </c>
      <c r="M206" t="str">
        <f t="shared" si="143"/>
        <v>-0.03</v>
      </c>
      <c r="N206" t="str">
        <f t="shared" si="144"/>
        <v>0.00 [0.03, -0.03]</v>
      </c>
    </row>
    <row r="207" spans="1:14" x14ac:dyDescent="0.35">
      <c r="A207">
        <v>569</v>
      </c>
      <c r="B207">
        <v>33</v>
      </c>
      <c r="C207" t="s">
        <v>45</v>
      </c>
      <c r="D207" t="s">
        <v>10</v>
      </c>
      <c r="E207" t="s">
        <v>14</v>
      </c>
      <c r="F207">
        <v>37</v>
      </c>
      <c r="G207">
        <v>1</v>
      </c>
      <c r="H207">
        <v>0.25</v>
      </c>
      <c r="I207">
        <f t="shared" si="154"/>
        <v>8.0555503779625073E-2</v>
      </c>
      <c r="J207">
        <f t="shared" si="147"/>
        <v>0.91944449622037494</v>
      </c>
      <c r="K207">
        <f t="shared" si="148"/>
        <v>1.0805555037796251</v>
      </c>
      <c r="L207" t="str">
        <f t="shared" si="142"/>
        <v>0.08</v>
      </c>
      <c r="M207" t="str">
        <f t="shared" si="143"/>
        <v>0.92</v>
      </c>
      <c r="N207" t="str">
        <f t="shared" si="144"/>
        <v>1.00 [0.08, 0.92]</v>
      </c>
    </row>
    <row r="208" spans="1:14" x14ac:dyDescent="0.35">
      <c r="A208">
        <v>8</v>
      </c>
      <c r="B208">
        <v>33</v>
      </c>
      <c r="C208" t="s">
        <v>45</v>
      </c>
      <c r="D208" t="s">
        <v>11</v>
      </c>
      <c r="E208" t="s">
        <v>14</v>
      </c>
      <c r="F208">
        <v>75</v>
      </c>
      <c r="G208">
        <v>0.32400000000000001</v>
      </c>
      <c r="H208">
        <v>1.6496882952459451</v>
      </c>
      <c r="I208">
        <f t="shared" ref="I208" si="155">H208*1.96</f>
        <v>3.2333890586820524</v>
      </c>
      <c r="J208">
        <f t="shared" si="147"/>
        <v>-2.9093890586820526</v>
      </c>
      <c r="K208">
        <f t="shared" si="148"/>
        <v>3.5573890586820522</v>
      </c>
      <c r="L208" t="str">
        <f t="shared" si="142"/>
        <v>3.23</v>
      </c>
      <c r="M208" t="str">
        <f t="shared" si="143"/>
        <v>-2.91</v>
      </c>
      <c r="N208" t="str">
        <f t="shared" si="144"/>
        <v>0.32 [3.23, -2.91]</v>
      </c>
    </row>
    <row r="209" spans="1:14" x14ac:dyDescent="0.35">
      <c r="A209">
        <v>454</v>
      </c>
      <c r="B209">
        <v>33</v>
      </c>
      <c r="C209" t="s">
        <v>45</v>
      </c>
      <c r="D209" t="s">
        <v>8</v>
      </c>
      <c r="E209" t="s">
        <v>9</v>
      </c>
      <c r="F209">
        <v>37</v>
      </c>
      <c r="G209">
        <v>5.89</v>
      </c>
      <c r="H209">
        <v>2.12</v>
      </c>
      <c r="I209">
        <f t="shared" ref="I209:I210" si="156">H209/(SQRT(F209))*1.96</f>
        <v>0.68311067205122067</v>
      </c>
      <c r="J209">
        <f t="shared" si="147"/>
        <v>5.2068893279487787</v>
      </c>
      <c r="K209">
        <f t="shared" si="148"/>
        <v>6.5731106720512207</v>
      </c>
      <c r="L209" t="str">
        <f t="shared" si="142"/>
        <v>0.68</v>
      </c>
      <c r="M209" t="str">
        <f t="shared" si="143"/>
        <v>5.21</v>
      </c>
      <c r="N209" t="str">
        <f t="shared" si="144"/>
        <v>5.89 [0.68, 5.21]</v>
      </c>
    </row>
    <row r="210" spans="1:14" x14ac:dyDescent="0.35">
      <c r="A210">
        <v>455</v>
      </c>
      <c r="B210">
        <v>33</v>
      </c>
      <c r="C210" t="s">
        <v>45</v>
      </c>
      <c r="D210" t="s">
        <v>10</v>
      </c>
      <c r="E210" t="s">
        <v>9</v>
      </c>
      <c r="F210">
        <v>37</v>
      </c>
      <c r="G210">
        <v>6</v>
      </c>
      <c r="H210">
        <v>1.41</v>
      </c>
      <c r="I210">
        <f t="shared" si="156"/>
        <v>0.45433304131708541</v>
      </c>
      <c r="J210">
        <f t="shared" si="147"/>
        <v>5.545666958682915</v>
      </c>
      <c r="K210">
        <f t="shared" si="148"/>
        <v>6.454333041317085</v>
      </c>
      <c r="L210" t="str">
        <f t="shared" si="142"/>
        <v>0.45</v>
      </c>
      <c r="M210" t="str">
        <f t="shared" si="143"/>
        <v>5.55</v>
      </c>
      <c r="N210" t="str">
        <f t="shared" si="144"/>
        <v>6.00 [0.45, 5.55]</v>
      </c>
    </row>
    <row r="211" spans="1:14" x14ac:dyDescent="0.35">
      <c r="A211">
        <v>7</v>
      </c>
      <c r="B211">
        <v>33</v>
      </c>
      <c r="C211" t="s">
        <v>45</v>
      </c>
      <c r="D211" t="s">
        <v>11</v>
      </c>
      <c r="E211" t="s">
        <v>9</v>
      </c>
      <c r="F211">
        <v>74</v>
      </c>
      <c r="G211">
        <v>6.0999999999999999E-2</v>
      </c>
      <c r="H211">
        <v>0.23300000000000001</v>
      </c>
      <c r="I211">
        <f t="shared" ref="I211" si="157">H211*1.96</f>
        <v>0.45668000000000003</v>
      </c>
      <c r="J211">
        <f t="shared" si="147"/>
        <v>-0.39568000000000003</v>
      </c>
      <c r="K211">
        <f t="shared" si="148"/>
        <v>0.51768000000000003</v>
      </c>
      <c r="L211" t="str">
        <f t="shared" si="142"/>
        <v>0.46</v>
      </c>
      <c r="M211" t="str">
        <f t="shared" si="143"/>
        <v>-0.40</v>
      </c>
      <c r="N211" t="str">
        <f t="shared" si="144"/>
        <v>0.06 [0.46, -0.40]</v>
      </c>
    </row>
    <row r="212" spans="1:14" x14ac:dyDescent="0.35">
      <c r="A212">
        <v>392</v>
      </c>
      <c r="B212">
        <v>34</v>
      </c>
      <c r="C212" t="s">
        <v>46</v>
      </c>
      <c r="D212" t="s">
        <v>8</v>
      </c>
      <c r="E212" t="s">
        <v>16</v>
      </c>
      <c r="F212">
        <v>30</v>
      </c>
      <c r="G212">
        <v>13</v>
      </c>
      <c r="H212">
        <v>0.71</v>
      </c>
      <c r="I212">
        <f t="shared" ref="I212:I213" si="158">H212/(SQRT(F212))*1.96</f>
        <v>0.25407023700806303</v>
      </c>
      <c r="J212">
        <f t="shared" si="147"/>
        <v>12.745929762991937</v>
      </c>
      <c r="K212">
        <f t="shared" si="148"/>
        <v>13.254070237008063</v>
      </c>
      <c r="L212" t="str">
        <f t="shared" si="142"/>
        <v>0.25</v>
      </c>
      <c r="M212" t="str">
        <f t="shared" si="143"/>
        <v>12.75</v>
      </c>
      <c r="N212" t="str">
        <f t="shared" si="144"/>
        <v>13.00 [0.25, 12.75]</v>
      </c>
    </row>
    <row r="213" spans="1:14" x14ac:dyDescent="0.35">
      <c r="A213">
        <v>393</v>
      </c>
      <c r="B213">
        <v>34</v>
      </c>
      <c r="C213" t="s">
        <v>46</v>
      </c>
      <c r="D213" t="s">
        <v>10</v>
      </c>
      <c r="E213" t="s">
        <v>16</v>
      </c>
      <c r="F213">
        <v>29</v>
      </c>
      <c r="G213">
        <v>22</v>
      </c>
      <c r="H213">
        <v>2.1800000000000002</v>
      </c>
      <c r="I213">
        <f t="shared" si="158"/>
        <v>0.79343904096290729</v>
      </c>
      <c r="J213">
        <f t="shared" si="147"/>
        <v>21.206560959037091</v>
      </c>
      <c r="K213">
        <f t="shared" si="148"/>
        <v>22.793439040962909</v>
      </c>
      <c r="L213" t="str">
        <f t="shared" si="142"/>
        <v>0.79</v>
      </c>
      <c r="M213" t="str">
        <f t="shared" si="143"/>
        <v>21.21</v>
      </c>
      <c r="N213" t="str">
        <f t="shared" si="144"/>
        <v>22.00 [0.79, 21.21]</v>
      </c>
    </row>
    <row r="214" spans="1:14" x14ac:dyDescent="0.35">
      <c r="A214">
        <v>9</v>
      </c>
      <c r="B214">
        <v>34</v>
      </c>
      <c r="C214" t="s">
        <v>46</v>
      </c>
      <c r="D214" t="s">
        <v>11</v>
      </c>
      <c r="E214" t="s">
        <v>16</v>
      </c>
      <c r="F214">
        <v>60</v>
      </c>
      <c r="G214">
        <v>0.247</v>
      </c>
      <c r="H214">
        <v>0.56586145900514029</v>
      </c>
      <c r="I214">
        <f t="shared" ref="I214" si="159">H214*1.96</f>
        <v>1.109088459650075</v>
      </c>
      <c r="J214">
        <f t="shared" si="147"/>
        <v>-0.86208845965007497</v>
      </c>
      <c r="K214">
        <f t="shared" si="148"/>
        <v>1.3560884596500751</v>
      </c>
      <c r="L214" t="str">
        <f t="shared" si="142"/>
        <v>1.11</v>
      </c>
      <c r="M214" t="str">
        <f t="shared" si="143"/>
        <v>-0.86</v>
      </c>
      <c r="N214" t="str">
        <f t="shared" si="144"/>
        <v>0.25 [1.11, -0.86]</v>
      </c>
    </row>
    <row r="215" spans="1:14" x14ac:dyDescent="0.35">
      <c r="A215">
        <v>570</v>
      </c>
      <c r="B215">
        <v>34</v>
      </c>
      <c r="C215" t="s">
        <v>46</v>
      </c>
      <c r="D215" t="s">
        <v>8</v>
      </c>
      <c r="E215" t="s">
        <v>14</v>
      </c>
      <c r="F215">
        <v>30</v>
      </c>
      <c r="G215">
        <v>3</v>
      </c>
      <c r="H215">
        <v>0.71</v>
      </c>
      <c r="I215">
        <f t="shared" ref="I215:I216" si="160">H215/(SQRT(F215))*1.96</f>
        <v>0.25407023700806303</v>
      </c>
      <c r="J215">
        <f t="shared" si="147"/>
        <v>2.745929762991937</v>
      </c>
      <c r="K215">
        <f t="shared" si="148"/>
        <v>3.254070237008063</v>
      </c>
      <c r="L215" t="str">
        <f t="shared" si="142"/>
        <v>0.25</v>
      </c>
      <c r="M215" t="str">
        <f t="shared" si="143"/>
        <v>2.75</v>
      </c>
      <c r="N215" t="str">
        <f t="shared" si="144"/>
        <v>3.00 [0.25, 2.75]</v>
      </c>
    </row>
    <row r="216" spans="1:14" x14ac:dyDescent="0.35">
      <c r="A216">
        <v>571</v>
      </c>
      <c r="B216">
        <v>34</v>
      </c>
      <c r="C216" t="s">
        <v>46</v>
      </c>
      <c r="D216" t="s">
        <v>10</v>
      </c>
      <c r="E216" t="s">
        <v>14</v>
      </c>
      <c r="F216">
        <v>29</v>
      </c>
      <c r="G216">
        <v>8</v>
      </c>
      <c r="H216">
        <v>2.1800000000000002</v>
      </c>
      <c r="I216">
        <f t="shared" si="160"/>
        <v>0.79343904096290729</v>
      </c>
      <c r="J216">
        <f t="shared" si="147"/>
        <v>7.2065609590370929</v>
      </c>
      <c r="K216">
        <f t="shared" si="148"/>
        <v>8.7934390409629071</v>
      </c>
      <c r="L216" t="str">
        <f t="shared" si="142"/>
        <v>0.79</v>
      </c>
      <c r="M216" t="str">
        <f t="shared" si="143"/>
        <v>7.21</v>
      </c>
      <c r="N216" t="str">
        <f t="shared" si="144"/>
        <v>8.00 [0.79, 7.21]</v>
      </c>
    </row>
    <row r="217" spans="1:14" x14ac:dyDescent="0.35">
      <c r="A217">
        <v>9</v>
      </c>
      <c r="B217">
        <v>34</v>
      </c>
      <c r="C217" t="s">
        <v>46</v>
      </c>
      <c r="D217" t="s">
        <v>11</v>
      </c>
      <c r="E217" t="s">
        <v>14</v>
      </c>
      <c r="F217">
        <v>60</v>
      </c>
      <c r="G217">
        <v>0.32</v>
      </c>
      <c r="H217">
        <v>0.6985824426607784</v>
      </c>
      <c r="I217">
        <f t="shared" ref="I217" si="161">H217*1.96</f>
        <v>1.3692215876151257</v>
      </c>
      <c r="J217">
        <f t="shared" si="147"/>
        <v>-1.0492215876151256</v>
      </c>
      <c r="K217">
        <f t="shared" si="148"/>
        <v>1.6892215876151258</v>
      </c>
      <c r="L217" t="str">
        <f t="shared" si="142"/>
        <v>1.37</v>
      </c>
      <c r="M217" t="str">
        <f t="shared" si="143"/>
        <v>-1.05</v>
      </c>
      <c r="N217" t="str">
        <f t="shared" si="144"/>
        <v>0.32 [1.37, -1.05]</v>
      </c>
    </row>
    <row r="218" spans="1:14" x14ac:dyDescent="0.35">
      <c r="A218">
        <v>456</v>
      </c>
      <c r="B218">
        <v>34</v>
      </c>
      <c r="C218" t="s">
        <v>46</v>
      </c>
      <c r="D218" t="s">
        <v>8</v>
      </c>
      <c r="E218" t="s">
        <v>9</v>
      </c>
      <c r="F218">
        <v>30</v>
      </c>
      <c r="G218">
        <v>6.64</v>
      </c>
      <c r="H218">
        <v>2.21</v>
      </c>
      <c r="I218">
        <f t="shared" ref="I218:I219" si="162">H218/(SQRT(F218))*1.96</f>
        <v>0.79083834336312586</v>
      </c>
      <c r="J218">
        <f t="shared" si="147"/>
        <v>5.8491616566368734</v>
      </c>
      <c r="K218">
        <f t="shared" si="148"/>
        <v>7.430838343363126</v>
      </c>
      <c r="L218" t="str">
        <f t="shared" si="142"/>
        <v>0.79</v>
      </c>
      <c r="M218" t="str">
        <f t="shared" si="143"/>
        <v>5.85</v>
      </c>
      <c r="N218" t="str">
        <f t="shared" si="144"/>
        <v>6.64 [0.79, 5.85]</v>
      </c>
    </row>
    <row r="219" spans="1:14" x14ac:dyDescent="0.35">
      <c r="A219">
        <v>457</v>
      </c>
      <c r="B219">
        <v>34</v>
      </c>
      <c r="C219" t="s">
        <v>46</v>
      </c>
      <c r="D219" t="s">
        <v>10</v>
      </c>
      <c r="E219" t="s">
        <v>9</v>
      </c>
      <c r="F219">
        <v>29</v>
      </c>
      <c r="G219">
        <v>5</v>
      </c>
      <c r="H219">
        <v>1.48</v>
      </c>
      <c r="I219">
        <f t="shared" si="162"/>
        <v>0.53866503698399215</v>
      </c>
      <c r="J219">
        <f t="shared" si="147"/>
        <v>4.4613349630160082</v>
      </c>
      <c r="K219">
        <f t="shared" si="148"/>
        <v>5.5386650369839918</v>
      </c>
      <c r="L219" t="str">
        <f t="shared" si="142"/>
        <v>0.54</v>
      </c>
      <c r="M219" t="str">
        <f t="shared" si="143"/>
        <v>4.46</v>
      </c>
      <c r="N219" t="str">
        <f t="shared" si="144"/>
        <v>5.00 [0.54, 4.46]</v>
      </c>
    </row>
    <row r="220" spans="1:14" x14ac:dyDescent="0.35">
      <c r="A220">
        <v>8</v>
      </c>
      <c r="B220">
        <v>34</v>
      </c>
      <c r="C220" t="s">
        <v>46</v>
      </c>
      <c r="D220" t="s">
        <v>11</v>
      </c>
      <c r="E220" t="s">
        <v>9</v>
      </c>
      <c r="F220">
        <v>59</v>
      </c>
      <c r="G220">
        <v>0.86899999999999999</v>
      </c>
      <c r="H220">
        <v>0.27300000000000002</v>
      </c>
      <c r="I220">
        <f t="shared" ref="I220" si="163">H220*1.96</f>
        <v>0.53508</v>
      </c>
      <c r="J220">
        <f t="shared" si="147"/>
        <v>0.33391999999999999</v>
      </c>
      <c r="K220">
        <f t="shared" si="148"/>
        <v>1.40408</v>
      </c>
      <c r="L220" t="str">
        <f t="shared" si="142"/>
        <v>0.54</v>
      </c>
      <c r="M220" t="str">
        <f t="shared" si="143"/>
        <v>0.33</v>
      </c>
      <c r="N220" t="str">
        <f t="shared" si="144"/>
        <v>0.87 [0.54, 0.33]</v>
      </c>
    </row>
    <row r="221" spans="1:14" x14ac:dyDescent="0.35">
      <c r="A221">
        <v>162</v>
      </c>
      <c r="B221">
        <v>35</v>
      </c>
      <c r="C221" t="s">
        <v>47</v>
      </c>
      <c r="D221" t="s">
        <v>8</v>
      </c>
      <c r="E221" t="s">
        <v>13</v>
      </c>
      <c r="F221">
        <v>28</v>
      </c>
      <c r="G221">
        <v>3</v>
      </c>
      <c r="H221">
        <v>3.2</v>
      </c>
      <c r="I221">
        <f t="shared" ref="I221:I222" si="164">H221/(SQRT(F221))*1.96</f>
        <v>1.1852965873569365</v>
      </c>
      <c r="J221">
        <f t="shared" si="147"/>
        <v>1.8147034126430635</v>
      </c>
      <c r="K221">
        <f t="shared" si="148"/>
        <v>4.1852965873569365</v>
      </c>
      <c r="L221" t="str">
        <f t="shared" si="142"/>
        <v>1.19</v>
      </c>
      <c r="M221" t="str">
        <f t="shared" si="143"/>
        <v>1.81</v>
      </c>
      <c r="N221" t="str">
        <f t="shared" si="144"/>
        <v>3.00 [1.19, 1.81]</v>
      </c>
    </row>
    <row r="222" spans="1:14" x14ac:dyDescent="0.35">
      <c r="A222">
        <v>163</v>
      </c>
      <c r="B222">
        <v>35</v>
      </c>
      <c r="C222" t="s">
        <v>47</v>
      </c>
      <c r="D222" t="s">
        <v>10</v>
      </c>
      <c r="E222" t="s">
        <v>13</v>
      </c>
      <c r="F222">
        <v>29</v>
      </c>
      <c r="G222">
        <v>2</v>
      </c>
      <c r="H222">
        <v>3.5</v>
      </c>
      <c r="I222">
        <f t="shared" si="164"/>
        <v>1.2738700198945758</v>
      </c>
      <c r="J222">
        <f t="shared" si="147"/>
        <v>0.72612998010542418</v>
      </c>
      <c r="K222">
        <f t="shared" si="148"/>
        <v>3.2738700198945758</v>
      </c>
      <c r="L222" t="str">
        <f t="shared" si="142"/>
        <v>1.27</v>
      </c>
      <c r="M222" t="str">
        <f t="shared" si="143"/>
        <v>0.73</v>
      </c>
      <c r="N222" t="str">
        <f t="shared" si="144"/>
        <v>2.00 [1.27, 0.73]</v>
      </c>
    </row>
    <row r="223" spans="1:14" x14ac:dyDescent="0.35">
      <c r="A223">
        <v>11</v>
      </c>
      <c r="B223">
        <v>35</v>
      </c>
      <c r="C223" t="s">
        <v>47</v>
      </c>
      <c r="D223" t="s">
        <v>11</v>
      </c>
      <c r="E223" t="s">
        <v>13</v>
      </c>
      <c r="F223">
        <v>57</v>
      </c>
      <c r="G223">
        <v>0.29799999999999999</v>
      </c>
      <c r="H223">
        <v>0.26600000000000001</v>
      </c>
      <c r="I223">
        <f t="shared" ref="I223" si="165">H223*1.96</f>
        <v>0.52136000000000005</v>
      </c>
      <c r="J223">
        <f t="shared" si="147"/>
        <v>-0.22336000000000006</v>
      </c>
      <c r="K223">
        <f t="shared" si="148"/>
        <v>0.81936000000000009</v>
      </c>
      <c r="L223" t="str">
        <f t="shared" si="142"/>
        <v>0.52</v>
      </c>
      <c r="M223" t="str">
        <f t="shared" si="143"/>
        <v>-0.22</v>
      </c>
      <c r="N223" t="str">
        <f t="shared" si="144"/>
        <v>0.30 [0.52, -0.22]</v>
      </c>
    </row>
    <row r="224" spans="1:14" x14ac:dyDescent="0.35">
      <c r="A224">
        <v>312</v>
      </c>
      <c r="B224">
        <v>35</v>
      </c>
      <c r="C224" t="s">
        <v>47</v>
      </c>
      <c r="D224" t="s">
        <v>8</v>
      </c>
      <c r="E224" t="s">
        <v>19</v>
      </c>
      <c r="F224">
        <v>28</v>
      </c>
      <c r="G224">
        <v>84.2</v>
      </c>
      <c r="H224">
        <v>15.4</v>
      </c>
      <c r="I224">
        <f t="shared" ref="I224:I225" si="166">H224/(SQRT(F224))*1.96</f>
        <v>5.7042398266552565</v>
      </c>
      <c r="J224">
        <f t="shared" si="147"/>
        <v>78.495760173344749</v>
      </c>
      <c r="K224">
        <f t="shared" si="148"/>
        <v>89.904239826655257</v>
      </c>
      <c r="L224" t="str">
        <f t="shared" si="142"/>
        <v>5.70</v>
      </c>
      <c r="M224" t="str">
        <f t="shared" si="143"/>
        <v>78.50</v>
      </c>
      <c r="N224" t="str">
        <f t="shared" si="144"/>
        <v>84.20 [5.70, 78.50]</v>
      </c>
    </row>
    <row r="225" spans="1:14" x14ac:dyDescent="0.35">
      <c r="A225">
        <v>313</v>
      </c>
      <c r="B225">
        <v>35</v>
      </c>
      <c r="C225" t="s">
        <v>47</v>
      </c>
      <c r="D225" t="s">
        <v>10</v>
      </c>
      <c r="E225" t="s">
        <v>19</v>
      </c>
      <c r="F225">
        <v>29</v>
      </c>
      <c r="G225">
        <v>86.1</v>
      </c>
      <c r="H225">
        <v>15.1</v>
      </c>
      <c r="I225">
        <f t="shared" si="166"/>
        <v>5.4958392286880269</v>
      </c>
      <c r="J225">
        <f t="shared" si="147"/>
        <v>80.604160771311967</v>
      </c>
      <c r="K225">
        <f t="shared" si="148"/>
        <v>91.595839228688021</v>
      </c>
      <c r="L225" t="str">
        <f t="shared" si="142"/>
        <v>5.50</v>
      </c>
      <c r="M225" t="str">
        <f t="shared" si="143"/>
        <v>80.60</v>
      </c>
      <c r="N225" t="str">
        <f t="shared" si="144"/>
        <v>86.10 [5.50, 80.60]</v>
      </c>
    </row>
    <row r="226" spans="1:14" x14ac:dyDescent="0.35">
      <c r="A226">
        <v>9</v>
      </c>
      <c r="B226">
        <v>35</v>
      </c>
      <c r="C226" t="s">
        <v>47</v>
      </c>
      <c r="D226" t="s">
        <v>11</v>
      </c>
      <c r="E226" t="s">
        <v>19</v>
      </c>
      <c r="F226">
        <v>57</v>
      </c>
      <c r="G226">
        <v>0.125</v>
      </c>
      <c r="H226">
        <v>0.26500000000000001</v>
      </c>
      <c r="I226">
        <f t="shared" ref="I226" si="167">H226*1.96</f>
        <v>0.51939999999999997</v>
      </c>
      <c r="J226">
        <f t="shared" si="147"/>
        <v>-0.39439999999999997</v>
      </c>
      <c r="K226">
        <f t="shared" si="148"/>
        <v>0.64439999999999997</v>
      </c>
      <c r="L226" t="str">
        <f t="shared" si="142"/>
        <v>0.52</v>
      </c>
      <c r="M226" t="str">
        <f t="shared" si="143"/>
        <v>-0.39</v>
      </c>
      <c r="N226" t="str">
        <f t="shared" si="144"/>
        <v>0.13 [0.52, -0.39]</v>
      </c>
    </row>
    <row r="227" spans="1:14" x14ac:dyDescent="0.35">
      <c r="A227">
        <v>86</v>
      </c>
      <c r="B227">
        <v>36</v>
      </c>
      <c r="C227" t="s">
        <v>48</v>
      </c>
      <c r="D227" t="s">
        <v>10</v>
      </c>
      <c r="E227" t="s">
        <v>27</v>
      </c>
      <c r="F227">
        <v>26</v>
      </c>
      <c r="G227">
        <v>83.7</v>
      </c>
      <c r="H227">
        <v>12.7</v>
      </c>
      <c r="I227">
        <f t="shared" ref="I227:I228" si="168">H227/(SQRT(F227))*1.96</f>
        <v>4.8817228358596765</v>
      </c>
      <c r="J227">
        <f t="shared" si="147"/>
        <v>78.818277164140326</v>
      </c>
      <c r="K227">
        <f t="shared" si="148"/>
        <v>88.581722835859679</v>
      </c>
      <c r="L227" t="str">
        <f t="shared" si="142"/>
        <v>4.88</v>
      </c>
      <c r="M227" t="str">
        <f t="shared" si="143"/>
        <v>78.82</v>
      </c>
      <c r="N227" t="str">
        <f t="shared" si="144"/>
        <v>83.70 [4.88, 78.82]</v>
      </c>
    </row>
    <row r="228" spans="1:14" x14ac:dyDescent="0.35">
      <c r="A228">
        <v>87</v>
      </c>
      <c r="B228">
        <v>36</v>
      </c>
      <c r="C228" t="s">
        <v>48</v>
      </c>
      <c r="D228" t="s">
        <v>28</v>
      </c>
      <c r="E228" t="s">
        <v>27</v>
      </c>
      <c r="F228">
        <v>23</v>
      </c>
      <c r="G228">
        <v>89.3</v>
      </c>
      <c r="H228">
        <v>12.2</v>
      </c>
      <c r="I228">
        <f t="shared" si="168"/>
        <v>4.9859966689327715</v>
      </c>
      <c r="J228">
        <f t="shared" si="147"/>
        <v>84.314003331067227</v>
      </c>
      <c r="K228">
        <f t="shared" si="148"/>
        <v>94.285996668932768</v>
      </c>
      <c r="L228" t="str">
        <f t="shared" si="142"/>
        <v>4.99</v>
      </c>
      <c r="M228" t="str">
        <f t="shared" si="143"/>
        <v>84.31</v>
      </c>
      <c r="N228" t="str">
        <f t="shared" si="144"/>
        <v>89.30 [4.99, 84.31]</v>
      </c>
    </row>
    <row r="229" spans="1:14" x14ac:dyDescent="0.35">
      <c r="A229">
        <v>7</v>
      </c>
      <c r="B229">
        <v>36</v>
      </c>
      <c r="C229" t="s">
        <v>48</v>
      </c>
      <c r="D229" t="s">
        <v>39</v>
      </c>
      <c r="E229" t="s">
        <v>27</v>
      </c>
      <c r="F229">
        <v>49</v>
      </c>
      <c r="G229">
        <v>0.44900000000000001</v>
      </c>
      <c r="H229">
        <v>0.28999999999999998</v>
      </c>
      <c r="I229">
        <f t="shared" ref="I229" si="169">H229*1.96</f>
        <v>0.56839999999999991</v>
      </c>
      <c r="J229">
        <f t="shared" si="147"/>
        <v>-0.1193999999999999</v>
      </c>
      <c r="K229">
        <f t="shared" si="148"/>
        <v>1.0173999999999999</v>
      </c>
      <c r="L229" t="str">
        <f t="shared" si="142"/>
        <v>0.57</v>
      </c>
      <c r="M229" t="str">
        <f t="shared" si="143"/>
        <v>-0.12</v>
      </c>
      <c r="N229" t="str">
        <f t="shared" si="144"/>
        <v>0.45 [0.57, -0.12]</v>
      </c>
    </row>
    <row r="230" spans="1:14" x14ac:dyDescent="0.35">
      <c r="A230">
        <v>164</v>
      </c>
      <c r="B230">
        <v>36</v>
      </c>
      <c r="C230" t="s">
        <v>48</v>
      </c>
      <c r="D230" t="s">
        <v>10</v>
      </c>
      <c r="E230" t="s">
        <v>13</v>
      </c>
      <c r="F230">
        <v>26</v>
      </c>
      <c r="G230">
        <v>0.2</v>
      </c>
      <c r="H230">
        <v>2.2000000000000002</v>
      </c>
      <c r="I230">
        <f t="shared" ref="I230:I231" si="170">H230/(SQRT(F230))*1.96</f>
        <v>0.84565277471584965</v>
      </c>
      <c r="J230">
        <f t="shared" si="147"/>
        <v>-0.64565277471584959</v>
      </c>
      <c r="K230">
        <f t="shared" si="148"/>
        <v>1.0456527747158497</v>
      </c>
      <c r="L230" t="str">
        <f t="shared" si="142"/>
        <v>0.85</v>
      </c>
      <c r="M230" t="str">
        <f t="shared" si="143"/>
        <v>-0.65</v>
      </c>
      <c r="N230" t="str">
        <f t="shared" si="144"/>
        <v>0.20 [0.85, -0.65]</v>
      </c>
    </row>
    <row r="231" spans="1:14" x14ac:dyDescent="0.35">
      <c r="A231">
        <v>165</v>
      </c>
      <c r="B231">
        <v>36</v>
      </c>
      <c r="C231" t="s">
        <v>48</v>
      </c>
      <c r="D231" t="s">
        <v>28</v>
      </c>
      <c r="E231" t="s">
        <v>13</v>
      </c>
      <c r="F231">
        <v>23</v>
      </c>
      <c r="G231">
        <v>0.7</v>
      </c>
      <c r="H231">
        <v>1.1000000000000001</v>
      </c>
      <c r="I231">
        <f t="shared" si="170"/>
        <v>0.44955707670705325</v>
      </c>
      <c r="J231">
        <f t="shared" si="147"/>
        <v>0.25044292329294671</v>
      </c>
      <c r="K231">
        <f t="shared" si="148"/>
        <v>1.1495570767070533</v>
      </c>
      <c r="L231" t="str">
        <f t="shared" si="142"/>
        <v>0.45</v>
      </c>
      <c r="M231" t="str">
        <f t="shared" si="143"/>
        <v>0.25</v>
      </c>
      <c r="N231" t="str">
        <f t="shared" si="144"/>
        <v>0.70 [0.45, 0.25]</v>
      </c>
    </row>
    <row r="232" spans="1:14" x14ac:dyDescent="0.35">
      <c r="A232">
        <v>12</v>
      </c>
      <c r="B232">
        <v>36</v>
      </c>
      <c r="C232" t="s">
        <v>48</v>
      </c>
      <c r="D232" t="s">
        <v>39</v>
      </c>
      <c r="E232" t="s">
        <v>13</v>
      </c>
      <c r="F232">
        <v>49</v>
      </c>
      <c r="G232">
        <v>0.28199999999999997</v>
      </c>
      <c r="H232">
        <v>0.28799999999999998</v>
      </c>
      <c r="I232">
        <f t="shared" ref="I232" si="171">H232*1.96</f>
        <v>0.56447999999999998</v>
      </c>
      <c r="J232">
        <f t="shared" si="147"/>
        <v>-0.28248000000000001</v>
      </c>
      <c r="K232">
        <f t="shared" si="148"/>
        <v>0.8464799999999999</v>
      </c>
      <c r="L232" t="str">
        <f t="shared" si="142"/>
        <v>0.56</v>
      </c>
      <c r="M232" t="str">
        <f t="shared" si="143"/>
        <v>-0.28</v>
      </c>
      <c r="N232" t="str">
        <f t="shared" si="144"/>
        <v>0.28 [0.56, -0.28]</v>
      </c>
    </row>
    <row r="233" spans="1:14" x14ac:dyDescent="0.35">
      <c r="A233">
        <v>314</v>
      </c>
      <c r="B233">
        <v>36</v>
      </c>
      <c r="C233" t="s">
        <v>48</v>
      </c>
      <c r="D233" t="s">
        <v>10</v>
      </c>
      <c r="E233" t="s">
        <v>19</v>
      </c>
      <c r="F233">
        <v>26</v>
      </c>
      <c r="G233">
        <v>83.5</v>
      </c>
      <c r="H233">
        <v>17.399999999999999</v>
      </c>
      <c r="I233">
        <f t="shared" ref="I233:I234" si="172">H233/(SQRT(F233))*1.96</f>
        <v>6.6883446727526286</v>
      </c>
      <c r="J233">
        <f t="shared" si="147"/>
        <v>76.811655327247365</v>
      </c>
      <c r="K233">
        <f t="shared" si="148"/>
        <v>90.188344672752635</v>
      </c>
      <c r="L233" t="str">
        <f t="shared" si="142"/>
        <v>6.69</v>
      </c>
      <c r="M233" t="str">
        <f t="shared" si="143"/>
        <v>76.81</v>
      </c>
      <c r="N233" t="str">
        <f t="shared" si="144"/>
        <v>83.50 [6.69, 76.81]</v>
      </c>
    </row>
    <row r="234" spans="1:14" x14ac:dyDescent="0.35">
      <c r="A234">
        <v>315</v>
      </c>
      <c r="B234">
        <v>36</v>
      </c>
      <c r="C234" t="s">
        <v>48</v>
      </c>
      <c r="D234" t="s">
        <v>28</v>
      </c>
      <c r="E234" t="s">
        <v>19</v>
      </c>
      <c r="F234">
        <v>23</v>
      </c>
      <c r="G234">
        <v>90.4</v>
      </c>
      <c r="H234">
        <v>11.9</v>
      </c>
      <c r="I234">
        <f t="shared" si="172"/>
        <v>4.8633901934672119</v>
      </c>
      <c r="J234">
        <f t="shared" si="147"/>
        <v>85.536609806532795</v>
      </c>
      <c r="K234">
        <f t="shared" si="148"/>
        <v>95.263390193467217</v>
      </c>
      <c r="L234" t="str">
        <f t="shared" si="142"/>
        <v>4.86</v>
      </c>
      <c r="M234" t="str">
        <f t="shared" si="143"/>
        <v>85.54</v>
      </c>
      <c r="N234" t="str">
        <f t="shared" si="144"/>
        <v>90.40 [4.86, 85.54]</v>
      </c>
    </row>
    <row r="235" spans="1:14" x14ac:dyDescent="0.35">
      <c r="A235">
        <v>10</v>
      </c>
      <c r="B235">
        <v>36</v>
      </c>
      <c r="C235" t="s">
        <v>48</v>
      </c>
      <c r="D235" t="s">
        <v>39</v>
      </c>
      <c r="E235" t="s">
        <v>19</v>
      </c>
      <c r="F235">
        <v>49</v>
      </c>
      <c r="G235">
        <v>0.45800000000000002</v>
      </c>
      <c r="H235">
        <v>0.28999999999999998</v>
      </c>
      <c r="I235">
        <f t="shared" ref="I235" si="173">H235*1.96</f>
        <v>0.56839999999999991</v>
      </c>
      <c r="J235">
        <f t="shared" si="147"/>
        <v>-0.11039999999999989</v>
      </c>
      <c r="K235">
        <f t="shared" si="148"/>
        <v>1.0264</v>
      </c>
      <c r="L235" t="str">
        <f t="shared" si="142"/>
        <v>0.57</v>
      </c>
      <c r="M235" t="str">
        <f t="shared" si="143"/>
        <v>-0.11</v>
      </c>
      <c r="N235" t="str">
        <f t="shared" si="144"/>
        <v>0.46 [0.57, -0.11]</v>
      </c>
    </row>
    <row r="236" spans="1:14" x14ac:dyDescent="0.35">
      <c r="A236">
        <v>394</v>
      </c>
      <c r="B236">
        <v>36</v>
      </c>
      <c r="C236" t="s">
        <v>48</v>
      </c>
      <c r="D236" t="s">
        <v>10</v>
      </c>
      <c r="E236" t="s">
        <v>16</v>
      </c>
      <c r="F236">
        <v>26</v>
      </c>
      <c r="G236">
        <v>0</v>
      </c>
      <c r="H236">
        <v>0.1</v>
      </c>
      <c r="I236">
        <f t="shared" ref="I236:I237" si="174">H236/(SQRT(F236))*1.96</f>
        <v>3.8438762487084069E-2</v>
      </c>
      <c r="J236">
        <f t="shared" si="147"/>
        <v>-3.8438762487084069E-2</v>
      </c>
      <c r="K236">
        <f t="shared" si="148"/>
        <v>3.8438762487084069E-2</v>
      </c>
      <c r="L236" t="str">
        <f t="shared" si="142"/>
        <v>0.04</v>
      </c>
      <c r="M236" t="str">
        <f t="shared" si="143"/>
        <v>-0.04</v>
      </c>
      <c r="N236" t="str">
        <f t="shared" si="144"/>
        <v>0.00 [0.04, -0.04]</v>
      </c>
    </row>
    <row r="237" spans="1:14" x14ac:dyDescent="0.35">
      <c r="A237">
        <v>395</v>
      </c>
      <c r="B237">
        <v>36</v>
      </c>
      <c r="C237" t="s">
        <v>48</v>
      </c>
      <c r="D237" t="s">
        <v>28</v>
      </c>
      <c r="E237" t="s">
        <v>16</v>
      </c>
      <c r="F237">
        <v>23</v>
      </c>
      <c r="G237">
        <v>0</v>
      </c>
      <c r="H237">
        <v>0.1</v>
      </c>
      <c r="I237">
        <f t="shared" si="174"/>
        <v>4.086882515518666E-2</v>
      </c>
      <c r="J237">
        <f t="shared" si="147"/>
        <v>-4.086882515518666E-2</v>
      </c>
      <c r="K237">
        <f t="shared" si="148"/>
        <v>4.086882515518666E-2</v>
      </c>
      <c r="L237" t="str">
        <f t="shared" si="142"/>
        <v>0.04</v>
      </c>
      <c r="M237" t="str">
        <f t="shared" si="143"/>
        <v>-0.04</v>
      </c>
      <c r="N237" t="str">
        <f t="shared" si="144"/>
        <v>0.00 [0.04, -0.04]</v>
      </c>
    </row>
    <row r="238" spans="1:14" x14ac:dyDescent="0.35">
      <c r="A238">
        <v>10</v>
      </c>
      <c r="B238">
        <v>36</v>
      </c>
      <c r="C238" t="s">
        <v>48</v>
      </c>
      <c r="D238" t="s">
        <v>39</v>
      </c>
      <c r="E238" t="s">
        <v>16</v>
      </c>
      <c r="F238">
        <v>50</v>
      </c>
      <c r="G238">
        <v>0.88500000000000001</v>
      </c>
      <c r="H238">
        <v>2.0203811024980172</v>
      </c>
      <c r="I238">
        <f t="shared" ref="I238" si="175">H238*1.96</f>
        <v>3.9599469608961138</v>
      </c>
      <c r="J238">
        <f t="shared" si="147"/>
        <v>-3.0749469608961135</v>
      </c>
      <c r="K238">
        <f t="shared" si="148"/>
        <v>4.844946960896114</v>
      </c>
      <c r="L238" t="str">
        <f t="shared" si="142"/>
        <v>3.96</v>
      </c>
      <c r="M238" t="str">
        <f t="shared" si="143"/>
        <v>-3.07</v>
      </c>
      <c r="N238" t="str">
        <f t="shared" si="144"/>
        <v>0.89 [3.96, -3.07]</v>
      </c>
    </row>
    <row r="239" spans="1:14" x14ac:dyDescent="0.35">
      <c r="A239">
        <v>572</v>
      </c>
      <c r="B239">
        <v>36</v>
      </c>
      <c r="C239" t="s">
        <v>48</v>
      </c>
      <c r="D239" t="s">
        <v>10</v>
      </c>
      <c r="E239" t="s">
        <v>14</v>
      </c>
      <c r="F239">
        <v>26</v>
      </c>
      <c r="G239">
        <v>0</v>
      </c>
      <c r="H239">
        <v>0.1</v>
      </c>
      <c r="I239">
        <f t="shared" ref="I239:I240" si="176">H239/(SQRT(F239))*1.96</f>
        <v>3.8438762487084069E-2</v>
      </c>
      <c r="J239">
        <f t="shared" si="147"/>
        <v>-3.8438762487084069E-2</v>
      </c>
      <c r="K239">
        <f t="shared" si="148"/>
        <v>3.8438762487084069E-2</v>
      </c>
      <c r="L239" t="str">
        <f t="shared" si="142"/>
        <v>0.04</v>
      </c>
      <c r="M239" t="str">
        <f t="shared" si="143"/>
        <v>-0.04</v>
      </c>
      <c r="N239" t="str">
        <f t="shared" si="144"/>
        <v>0.00 [0.04, -0.04]</v>
      </c>
    </row>
    <row r="240" spans="1:14" x14ac:dyDescent="0.35">
      <c r="A240">
        <v>573</v>
      </c>
      <c r="B240">
        <v>36</v>
      </c>
      <c r="C240" t="s">
        <v>48</v>
      </c>
      <c r="D240" t="s">
        <v>28</v>
      </c>
      <c r="E240" t="s">
        <v>14</v>
      </c>
      <c r="F240">
        <v>23</v>
      </c>
      <c r="G240">
        <v>0</v>
      </c>
      <c r="H240">
        <v>0.1</v>
      </c>
      <c r="I240">
        <f t="shared" si="176"/>
        <v>4.086882515518666E-2</v>
      </c>
      <c r="J240">
        <f t="shared" si="147"/>
        <v>-4.086882515518666E-2</v>
      </c>
      <c r="K240">
        <f t="shared" si="148"/>
        <v>4.086882515518666E-2</v>
      </c>
      <c r="L240" t="str">
        <f t="shared" si="142"/>
        <v>0.04</v>
      </c>
      <c r="M240" t="str">
        <f t="shared" si="143"/>
        <v>-0.04</v>
      </c>
      <c r="N240" t="str">
        <f t="shared" si="144"/>
        <v>0.00 [0.04, -0.04]</v>
      </c>
    </row>
    <row r="241" spans="1:14" x14ac:dyDescent="0.35">
      <c r="A241">
        <v>10</v>
      </c>
      <c r="B241">
        <v>36</v>
      </c>
      <c r="C241" t="s">
        <v>48</v>
      </c>
      <c r="D241" t="s">
        <v>39</v>
      </c>
      <c r="E241" t="s">
        <v>14</v>
      </c>
      <c r="F241">
        <v>50</v>
      </c>
      <c r="G241">
        <v>0.88500000000000001</v>
      </c>
      <c r="H241">
        <v>2.0203811024980172</v>
      </c>
      <c r="I241">
        <f t="shared" ref="I241" si="177">H241*1.96</f>
        <v>3.9599469608961138</v>
      </c>
      <c r="J241">
        <f t="shared" si="147"/>
        <v>-3.0749469608961135</v>
      </c>
      <c r="K241">
        <f t="shared" si="148"/>
        <v>4.844946960896114</v>
      </c>
      <c r="L241" t="str">
        <f t="shared" si="142"/>
        <v>3.96</v>
      </c>
      <c r="M241" t="str">
        <f t="shared" si="143"/>
        <v>-3.07</v>
      </c>
      <c r="N241" t="str">
        <f t="shared" si="144"/>
        <v>0.89 [3.96, -3.07]</v>
      </c>
    </row>
    <row r="242" spans="1:14" x14ac:dyDescent="0.35">
      <c r="A242">
        <v>254</v>
      </c>
      <c r="B242">
        <v>37</v>
      </c>
      <c r="C242" t="s">
        <v>49</v>
      </c>
      <c r="D242" t="s">
        <v>8</v>
      </c>
      <c r="E242" t="s">
        <v>17</v>
      </c>
      <c r="F242">
        <v>40</v>
      </c>
      <c r="G242">
        <v>5</v>
      </c>
      <c r="H242">
        <v>0.99</v>
      </c>
      <c r="I242">
        <f t="shared" ref="I242:I243" si="178">H242/(SQRT(F242))*1.96</f>
        <v>0.30680417858953613</v>
      </c>
      <c r="J242">
        <f t="shared" si="147"/>
        <v>4.6931958214104643</v>
      </c>
      <c r="K242">
        <f t="shared" si="148"/>
        <v>5.3068041785895357</v>
      </c>
      <c r="L242" t="str">
        <f t="shared" si="142"/>
        <v>0.31</v>
      </c>
      <c r="M242" t="str">
        <f t="shared" si="143"/>
        <v>4.69</v>
      </c>
      <c r="N242" t="str">
        <f t="shared" si="144"/>
        <v>5.00 [0.31, 4.69]</v>
      </c>
    </row>
    <row r="243" spans="1:14" x14ac:dyDescent="0.35">
      <c r="A243">
        <v>255</v>
      </c>
      <c r="B243">
        <v>37</v>
      </c>
      <c r="C243" t="s">
        <v>49</v>
      </c>
      <c r="D243" t="s">
        <v>10</v>
      </c>
      <c r="E243" t="s">
        <v>17</v>
      </c>
      <c r="F243">
        <v>46</v>
      </c>
      <c r="G243">
        <v>7</v>
      </c>
      <c r="H243">
        <v>1.3</v>
      </c>
      <c r="I243">
        <f t="shared" si="178"/>
        <v>0.3756821042826779</v>
      </c>
      <c r="J243">
        <f t="shared" si="147"/>
        <v>6.6243178957173221</v>
      </c>
      <c r="K243">
        <f t="shared" si="148"/>
        <v>7.3756821042826779</v>
      </c>
      <c r="L243" t="str">
        <f t="shared" si="142"/>
        <v>0.38</v>
      </c>
      <c r="M243" t="str">
        <f t="shared" si="143"/>
        <v>6.62</v>
      </c>
      <c r="N243" t="str">
        <f t="shared" si="144"/>
        <v>7.00 [0.38, 6.62]</v>
      </c>
    </row>
    <row r="244" spans="1:14" x14ac:dyDescent="0.35">
      <c r="A244">
        <v>8</v>
      </c>
      <c r="B244">
        <v>37</v>
      </c>
      <c r="C244" t="s">
        <v>49</v>
      </c>
      <c r="D244" t="s">
        <v>11</v>
      </c>
      <c r="E244" t="s">
        <v>17</v>
      </c>
      <c r="F244">
        <v>87</v>
      </c>
      <c r="G244">
        <v>0.81699999999999995</v>
      </c>
      <c r="H244">
        <v>0.60775321419468398</v>
      </c>
      <c r="I244">
        <f t="shared" ref="I244" si="179">H244*1.96</f>
        <v>1.1911962998215806</v>
      </c>
      <c r="J244">
        <f t="shared" si="147"/>
        <v>-0.37419629982158065</v>
      </c>
      <c r="K244">
        <f t="shared" si="148"/>
        <v>2.0081962998215808</v>
      </c>
      <c r="L244" t="str">
        <f t="shared" si="142"/>
        <v>1.19</v>
      </c>
      <c r="M244" t="str">
        <f t="shared" si="143"/>
        <v>-0.37</v>
      </c>
      <c r="N244" t="str">
        <f t="shared" si="144"/>
        <v>0.82 [1.19, -0.37]</v>
      </c>
    </row>
    <row r="245" spans="1:14" x14ac:dyDescent="0.35">
      <c r="A245">
        <v>512</v>
      </c>
      <c r="B245">
        <v>37</v>
      </c>
      <c r="C245" t="s">
        <v>49</v>
      </c>
      <c r="D245" t="s">
        <v>8</v>
      </c>
      <c r="E245" t="s">
        <v>15</v>
      </c>
      <c r="F245">
        <v>40</v>
      </c>
      <c r="G245">
        <v>0</v>
      </c>
      <c r="H245">
        <v>0.99</v>
      </c>
      <c r="I245">
        <f t="shared" ref="I245:I246" si="180">H245/(SQRT(F245))*1.96</f>
        <v>0.30680417858953613</v>
      </c>
      <c r="J245">
        <f t="shared" si="147"/>
        <v>-0.30680417858953613</v>
      </c>
      <c r="K245">
        <f t="shared" si="148"/>
        <v>0.30680417858953613</v>
      </c>
      <c r="L245" t="str">
        <f t="shared" si="142"/>
        <v>0.31</v>
      </c>
      <c r="M245" t="str">
        <f t="shared" si="143"/>
        <v>-0.31</v>
      </c>
      <c r="N245" t="str">
        <f t="shared" si="144"/>
        <v>0.00 [0.31, -0.31]</v>
      </c>
    </row>
    <row r="246" spans="1:14" x14ac:dyDescent="0.35">
      <c r="A246">
        <v>513</v>
      </c>
      <c r="B246">
        <v>37</v>
      </c>
      <c r="C246" t="s">
        <v>49</v>
      </c>
      <c r="D246" t="s">
        <v>10</v>
      </c>
      <c r="E246" t="s">
        <v>15</v>
      </c>
      <c r="F246">
        <v>46</v>
      </c>
      <c r="G246">
        <v>0</v>
      </c>
      <c r="H246">
        <v>1.3</v>
      </c>
      <c r="I246">
        <f t="shared" si="180"/>
        <v>0.3756821042826779</v>
      </c>
      <c r="J246">
        <f t="shared" si="147"/>
        <v>-0.3756821042826779</v>
      </c>
      <c r="K246">
        <f t="shared" si="148"/>
        <v>0.3756821042826779</v>
      </c>
      <c r="L246" t="str">
        <f t="shared" si="142"/>
        <v>0.38</v>
      </c>
      <c r="M246" t="str">
        <f t="shared" si="143"/>
        <v>-0.38</v>
      </c>
      <c r="N246" t="str">
        <f t="shared" si="144"/>
        <v>0.00 [0.38, -0.38]</v>
      </c>
    </row>
    <row r="247" spans="1:14" x14ac:dyDescent="0.35">
      <c r="A247">
        <v>8</v>
      </c>
      <c r="B247">
        <v>37</v>
      </c>
      <c r="C247" t="s">
        <v>49</v>
      </c>
      <c r="D247" t="s">
        <v>11</v>
      </c>
      <c r="E247" t="s">
        <v>15</v>
      </c>
      <c r="F247">
        <v>87</v>
      </c>
      <c r="G247">
        <v>1.1499999999999999</v>
      </c>
      <c r="H247">
        <v>2.0116508470494532</v>
      </c>
      <c r="I247">
        <f t="shared" ref="I247" si="181">H247*1.96</f>
        <v>3.9428356602169283</v>
      </c>
      <c r="J247">
        <f t="shared" si="147"/>
        <v>-2.7928356602169284</v>
      </c>
      <c r="K247">
        <f t="shared" si="148"/>
        <v>5.0928356602169282</v>
      </c>
      <c r="L247" t="str">
        <f t="shared" si="142"/>
        <v>3.94</v>
      </c>
      <c r="M247" t="str">
        <f t="shared" si="143"/>
        <v>-2.79</v>
      </c>
      <c r="N247" t="str">
        <f t="shared" si="144"/>
        <v>1.15 [3.94, -2.79]</v>
      </c>
    </row>
    <row r="248" spans="1:14" x14ac:dyDescent="0.35">
      <c r="A248">
        <v>316</v>
      </c>
      <c r="B248">
        <v>37</v>
      </c>
      <c r="C248" t="s">
        <v>49</v>
      </c>
      <c r="D248" t="s">
        <v>8</v>
      </c>
      <c r="E248" t="s">
        <v>19</v>
      </c>
      <c r="F248">
        <v>40</v>
      </c>
      <c r="G248">
        <v>91.6</v>
      </c>
      <c r="H248">
        <v>3.94</v>
      </c>
      <c r="I248">
        <f t="shared" ref="I248:I249" si="182">H248/(SQRT(F248))*1.96</f>
        <v>1.2210186501442144</v>
      </c>
      <c r="J248">
        <f t="shared" si="147"/>
        <v>90.378981349855778</v>
      </c>
      <c r="K248">
        <f t="shared" si="148"/>
        <v>92.821018650144211</v>
      </c>
      <c r="L248" t="str">
        <f t="shared" si="142"/>
        <v>1.22</v>
      </c>
      <c r="M248" t="str">
        <f t="shared" si="143"/>
        <v>90.38</v>
      </c>
      <c r="N248" t="str">
        <f t="shared" si="144"/>
        <v>91.60 [1.22, 90.38]</v>
      </c>
    </row>
    <row r="249" spans="1:14" x14ac:dyDescent="0.35">
      <c r="A249">
        <v>317</v>
      </c>
      <c r="B249">
        <v>37</v>
      </c>
      <c r="C249" t="s">
        <v>49</v>
      </c>
      <c r="D249" t="s">
        <v>10</v>
      </c>
      <c r="E249" t="s">
        <v>19</v>
      </c>
      <c r="F249">
        <v>46</v>
      </c>
      <c r="G249">
        <v>92.7</v>
      </c>
      <c r="H249">
        <v>3.62</v>
      </c>
      <c r="I249">
        <f t="shared" si="182"/>
        <v>1.0461301673102263</v>
      </c>
      <c r="J249">
        <f t="shared" si="147"/>
        <v>91.653869832689779</v>
      </c>
      <c r="K249">
        <f t="shared" si="148"/>
        <v>93.746130167310227</v>
      </c>
      <c r="L249" t="str">
        <f t="shared" si="142"/>
        <v>1.05</v>
      </c>
      <c r="M249" t="str">
        <f t="shared" si="143"/>
        <v>91.65</v>
      </c>
      <c r="N249" t="str">
        <f t="shared" si="144"/>
        <v>92.70 [1.05, 91.65]</v>
      </c>
    </row>
    <row r="250" spans="1:14" x14ac:dyDescent="0.35">
      <c r="A250">
        <v>11</v>
      </c>
      <c r="B250">
        <v>37</v>
      </c>
      <c r="C250" t="s">
        <v>49</v>
      </c>
      <c r="D250" t="s">
        <v>11</v>
      </c>
      <c r="E250" t="s">
        <v>19</v>
      </c>
      <c r="F250">
        <v>86</v>
      </c>
      <c r="G250">
        <v>0.29199999999999998</v>
      </c>
      <c r="H250">
        <v>0.217</v>
      </c>
      <c r="I250">
        <f t="shared" ref="I250" si="183">H250*1.96</f>
        <v>0.42531999999999998</v>
      </c>
      <c r="J250">
        <f t="shared" si="147"/>
        <v>-0.13331999999999999</v>
      </c>
      <c r="K250">
        <f t="shared" si="148"/>
        <v>0.71731999999999996</v>
      </c>
      <c r="L250" t="str">
        <f t="shared" si="142"/>
        <v>0.43</v>
      </c>
      <c r="M250" t="str">
        <f t="shared" si="143"/>
        <v>-0.13</v>
      </c>
      <c r="N250" t="str">
        <f t="shared" si="144"/>
        <v>0.29 [0.43, -0.13]</v>
      </c>
    </row>
    <row r="251" spans="1:14" x14ac:dyDescent="0.35">
      <c r="A251">
        <v>396</v>
      </c>
      <c r="B251">
        <v>37</v>
      </c>
      <c r="C251" t="s">
        <v>49</v>
      </c>
      <c r="D251" t="s">
        <v>8</v>
      </c>
      <c r="E251" t="s">
        <v>16</v>
      </c>
      <c r="F251">
        <v>40</v>
      </c>
      <c r="G251">
        <v>5</v>
      </c>
      <c r="H251">
        <v>0.99</v>
      </c>
      <c r="I251">
        <f t="shared" ref="I251:I252" si="184">H251/(SQRT(F251))*1.96</f>
        <v>0.30680417858953613</v>
      </c>
      <c r="J251">
        <f t="shared" si="147"/>
        <v>4.6931958214104643</v>
      </c>
      <c r="K251">
        <f t="shared" si="148"/>
        <v>5.3068041785895357</v>
      </c>
      <c r="L251" t="str">
        <f t="shared" si="142"/>
        <v>0.31</v>
      </c>
      <c r="M251" t="str">
        <f t="shared" si="143"/>
        <v>4.69</v>
      </c>
      <c r="N251" t="str">
        <f t="shared" si="144"/>
        <v>5.00 [0.31, 4.69]</v>
      </c>
    </row>
    <row r="252" spans="1:14" x14ac:dyDescent="0.35">
      <c r="A252">
        <v>397</v>
      </c>
      <c r="B252">
        <v>37</v>
      </c>
      <c r="C252" t="s">
        <v>49</v>
      </c>
      <c r="D252" t="s">
        <v>10</v>
      </c>
      <c r="E252" t="s">
        <v>16</v>
      </c>
      <c r="F252">
        <v>45</v>
      </c>
      <c r="G252">
        <v>8</v>
      </c>
      <c r="H252">
        <v>1.54</v>
      </c>
      <c r="I252">
        <f t="shared" si="184"/>
        <v>0.44995650555235767</v>
      </c>
      <c r="J252">
        <f t="shared" si="147"/>
        <v>7.5500434944476424</v>
      </c>
      <c r="K252">
        <f t="shared" si="148"/>
        <v>8.4499565055523576</v>
      </c>
      <c r="L252" t="str">
        <f t="shared" si="142"/>
        <v>0.45</v>
      </c>
      <c r="M252" t="str">
        <f t="shared" si="143"/>
        <v>7.55</v>
      </c>
      <c r="N252" t="str">
        <f t="shared" si="144"/>
        <v>8.00 [0.45, 7.55]</v>
      </c>
    </row>
    <row r="253" spans="1:14" x14ac:dyDescent="0.35">
      <c r="A253">
        <v>11</v>
      </c>
      <c r="B253">
        <v>37</v>
      </c>
      <c r="C253" t="s">
        <v>49</v>
      </c>
      <c r="D253" t="s">
        <v>11</v>
      </c>
      <c r="E253" t="s">
        <v>16</v>
      </c>
      <c r="F253">
        <v>86</v>
      </c>
      <c r="G253">
        <v>0.68400000000000005</v>
      </c>
      <c r="H253">
        <v>0.59587221469050455</v>
      </c>
      <c r="I253">
        <f t="shared" ref="I253" si="185">H253*1.96</f>
        <v>1.1679095407933888</v>
      </c>
      <c r="J253">
        <f t="shared" si="147"/>
        <v>-0.48390954079338877</v>
      </c>
      <c r="K253">
        <f t="shared" si="148"/>
        <v>1.8519095407933888</v>
      </c>
      <c r="L253" t="str">
        <f t="shared" si="142"/>
        <v>1.17</v>
      </c>
      <c r="M253" t="str">
        <f t="shared" si="143"/>
        <v>-0.48</v>
      </c>
      <c r="N253" t="str">
        <f t="shared" si="144"/>
        <v>0.68 [1.17, -0.48]</v>
      </c>
    </row>
    <row r="254" spans="1:14" x14ac:dyDescent="0.35">
      <c r="A254">
        <v>574</v>
      </c>
      <c r="B254">
        <v>37</v>
      </c>
      <c r="C254" t="s">
        <v>49</v>
      </c>
      <c r="D254" t="s">
        <v>8</v>
      </c>
      <c r="E254" t="s">
        <v>14</v>
      </c>
      <c r="F254">
        <v>40</v>
      </c>
      <c r="G254">
        <v>0</v>
      </c>
      <c r="H254">
        <v>0.99</v>
      </c>
      <c r="I254">
        <f t="shared" ref="I254:I255" si="186">H254/(SQRT(F254))*1.96</f>
        <v>0.30680417858953613</v>
      </c>
      <c r="J254">
        <f t="shared" si="147"/>
        <v>-0.30680417858953613</v>
      </c>
      <c r="K254">
        <f t="shared" si="148"/>
        <v>0.30680417858953613</v>
      </c>
      <c r="L254" t="str">
        <f t="shared" si="142"/>
        <v>0.31</v>
      </c>
      <c r="M254" t="str">
        <f t="shared" si="143"/>
        <v>-0.31</v>
      </c>
      <c r="N254" t="str">
        <f t="shared" si="144"/>
        <v>0.00 [0.31, -0.31]</v>
      </c>
    </row>
    <row r="255" spans="1:14" x14ac:dyDescent="0.35">
      <c r="A255">
        <v>575</v>
      </c>
      <c r="B255">
        <v>37</v>
      </c>
      <c r="C255" t="s">
        <v>49</v>
      </c>
      <c r="D255" t="s">
        <v>10</v>
      </c>
      <c r="E255" t="s">
        <v>14</v>
      </c>
      <c r="F255">
        <v>45</v>
      </c>
      <c r="G255">
        <v>0</v>
      </c>
      <c r="H255">
        <v>1.54</v>
      </c>
      <c r="I255">
        <f t="shared" si="186"/>
        <v>0.44995650555235767</v>
      </c>
      <c r="J255">
        <f t="shared" si="147"/>
        <v>-0.44995650555235767</v>
      </c>
      <c r="K255">
        <f t="shared" si="148"/>
        <v>0.44995650555235767</v>
      </c>
      <c r="L255" t="str">
        <f t="shared" si="142"/>
        <v>0.45</v>
      </c>
      <c r="M255" t="str">
        <f t="shared" si="143"/>
        <v>-0.45</v>
      </c>
      <c r="N255" t="str">
        <f t="shared" si="144"/>
        <v>0.00 [0.45, -0.45]</v>
      </c>
    </row>
    <row r="256" spans="1:14" x14ac:dyDescent="0.35">
      <c r="A256">
        <v>11</v>
      </c>
      <c r="B256">
        <v>37</v>
      </c>
      <c r="C256" t="s">
        <v>49</v>
      </c>
      <c r="D256" t="s">
        <v>11</v>
      </c>
      <c r="E256" t="s">
        <v>14</v>
      </c>
      <c r="F256">
        <v>86</v>
      </c>
      <c r="G256">
        <v>1.125</v>
      </c>
      <c r="H256">
        <v>2.011770916934188</v>
      </c>
      <c r="I256">
        <f t="shared" ref="I256" si="187">H256*1.96</f>
        <v>3.9430709971910085</v>
      </c>
      <c r="J256">
        <f t="shared" si="147"/>
        <v>-2.8180709971910085</v>
      </c>
      <c r="K256">
        <f t="shared" si="148"/>
        <v>5.0680709971910085</v>
      </c>
      <c r="L256" t="str">
        <f t="shared" si="142"/>
        <v>3.94</v>
      </c>
      <c r="M256" t="str">
        <f t="shared" si="143"/>
        <v>-2.82</v>
      </c>
      <c r="N256" t="str">
        <f t="shared" si="144"/>
        <v>1.13 [3.94, -2.82]</v>
      </c>
    </row>
    <row r="257" spans="1:14" x14ac:dyDescent="0.35">
      <c r="A257">
        <v>88</v>
      </c>
      <c r="B257">
        <v>38</v>
      </c>
      <c r="C257" t="s">
        <v>50</v>
      </c>
      <c r="D257" t="s">
        <v>8</v>
      </c>
      <c r="E257" t="s">
        <v>27</v>
      </c>
      <c r="F257">
        <v>45</v>
      </c>
      <c r="G257">
        <v>83.2</v>
      </c>
      <c r="H257">
        <v>2.8</v>
      </c>
      <c r="I257">
        <f t="shared" ref="I257:I258" si="188">H257/(SQRT(F257))*1.96</f>
        <v>0.81810273736792294</v>
      </c>
      <c r="J257">
        <f t="shared" si="147"/>
        <v>82.38189726263208</v>
      </c>
      <c r="K257">
        <f t="shared" si="148"/>
        <v>84.018102737367926</v>
      </c>
      <c r="L257" t="str">
        <f t="shared" si="142"/>
        <v>0.82</v>
      </c>
      <c r="M257" t="str">
        <f t="shared" si="143"/>
        <v>82.38</v>
      </c>
      <c r="N257" t="str">
        <f t="shared" si="144"/>
        <v>83.20 [0.82, 82.38]</v>
      </c>
    </row>
    <row r="258" spans="1:14" x14ac:dyDescent="0.35">
      <c r="A258">
        <v>89</v>
      </c>
      <c r="B258">
        <v>38</v>
      </c>
      <c r="C258" t="s">
        <v>50</v>
      </c>
      <c r="D258" t="s">
        <v>10</v>
      </c>
      <c r="E258" t="s">
        <v>27</v>
      </c>
      <c r="F258">
        <v>45</v>
      </c>
      <c r="G258">
        <v>82.78</v>
      </c>
      <c r="H258">
        <v>2.8</v>
      </c>
      <c r="I258">
        <f t="shared" si="188"/>
        <v>0.81810273736792294</v>
      </c>
      <c r="J258">
        <f t="shared" si="147"/>
        <v>81.961897262632078</v>
      </c>
      <c r="K258">
        <f t="shared" si="148"/>
        <v>83.598102737367924</v>
      </c>
      <c r="L258" t="str">
        <f t="shared" si="142"/>
        <v>0.82</v>
      </c>
      <c r="M258" t="str">
        <f t="shared" si="143"/>
        <v>81.96</v>
      </c>
      <c r="N258" t="str">
        <f t="shared" si="144"/>
        <v>82.78 [0.82, 81.96]</v>
      </c>
    </row>
    <row r="259" spans="1:14" x14ac:dyDescent="0.35">
      <c r="A259">
        <v>8</v>
      </c>
      <c r="B259">
        <v>38</v>
      </c>
      <c r="C259" t="s">
        <v>50</v>
      </c>
      <c r="D259" t="s">
        <v>11</v>
      </c>
      <c r="E259" t="s">
        <v>27</v>
      </c>
      <c r="F259">
        <v>90</v>
      </c>
      <c r="G259">
        <v>0.15</v>
      </c>
      <c r="H259">
        <v>0.21099999999999999</v>
      </c>
      <c r="I259">
        <f t="shared" ref="I259" si="189">H259*1.96</f>
        <v>0.41355999999999998</v>
      </c>
      <c r="J259">
        <f t="shared" si="147"/>
        <v>-0.26356000000000002</v>
      </c>
      <c r="K259">
        <f t="shared" si="148"/>
        <v>0.56355999999999995</v>
      </c>
      <c r="L259" t="str">
        <f t="shared" ref="L259:L322" si="190">TEXT(I259,"#0.00")</f>
        <v>0.41</v>
      </c>
      <c r="M259" t="str">
        <f t="shared" ref="M259:M322" si="191">TEXT(J259,"#0.00")</f>
        <v>-0.26</v>
      </c>
      <c r="N259" t="str">
        <f t="shared" ref="N259:N322" si="192">TEXT(G259,"#0.00")&amp;" ["&amp;L259&amp;", "&amp;M259&amp;"]"</f>
        <v>0.15 [0.41, -0.26]</v>
      </c>
    </row>
    <row r="260" spans="1:14" x14ac:dyDescent="0.35">
      <c r="A260">
        <v>318</v>
      </c>
      <c r="B260">
        <v>38</v>
      </c>
      <c r="C260" t="s">
        <v>50</v>
      </c>
      <c r="D260" t="s">
        <v>8</v>
      </c>
      <c r="E260" t="s">
        <v>19</v>
      </c>
      <c r="F260">
        <v>45</v>
      </c>
      <c r="G260">
        <v>95.8</v>
      </c>
      <c r="H260">
        <v>2.4</v>
      </c>
      <c r="I260">
        <f t="shared" ref="I260:I261" si="193">H260/(SQRT(F260))*1.96</f>
        <v>0.70123091774393398</v>
      </c>
      <c r="J260">
        <f t="shared" si="147"/>
        <v>95.098769082256069</v>
      </c>
      <c r="K260">
        <f t="shared" si="148"/>
        <v>96.501230917743925</v>
      </c>
      <c r="L260" t="str">
        <f t="shared" si="190"/>
        <v>0.70</v>
      </c>
      <c r="M260" t="str">
        <f t="shared" si="191"/>
        <v>95.10</v>
      </c>
      <c r="N260" t="str">
        <f t="shared" si="192"/>
        <v>95.80 [0.70, 95.10]</v>
      </c>
    </row>
    <row r="261" spans="1:14" x14ac:dyDescent="0.35">
      <c r="A261">
        <v>319</v>
      </c>
      <c r="B261">
        <v>38</v>
      </c>
      <c r="C261" t="s">
        <v>50</v>
      </c>
      <c r="D261" t="s">
        <v>10</v>
      </c>
      <c r="E261" t="s">
        <v>19</v>
      </c>
      <c r="F261">
        <v>45</v>
      </c>
      <c r="G261">
        <v>94</v>
      </c>
      <c r="H261">
        <v>3.6</v>
      </c>
      <c r="I261">
        <f t="shared" si="193"/>
        <v>1.0518463766159012</v>
      </c>
      <c r="J261">
        <f t="shared" ref="J261:J324" si="194">G261-I261</f>
        <v>92.948153623384101</v>
      </c>
      <c r="K261">
        <f t="shared" ref="K261:K324" si="195">G261+I261</f>
        <v>95.051846376615899</v>
      </c>
      <c r="L261" t="str">
        <f t="shared" si="190"/>
        <v>1.05</v>
      </c>
      <c r="M261" t="str">
        <f t="shared" si="191"/>
        <v>92.95</v>
      </c>
      <c r="N261" t="str">
        <f t="shared" si="192"/>
        <v>94.00 [1.05, 92.95]</v>
      </c>
    </row>
    <row r="262" spans="1:14" x14ac:dyDescent="0.35">
      <c r="A262">
        <v>12</v>
      </c>
      <c r="B262">
        <v>38</v>
      </c>
      <c r="C262" t="s">
        <v>50</v>
      </c>
      <c r="D262" t="s">
        <v>11</v>
      </c>
      <c r="E262" t="s">
        <v>19</v>
      </c>
      <c r="F262">
        <v>90</v>
      </c>
      <c r="G262">
        <v>0.58799999999999997</v>
      </c>
      <c r="H262">
        <v>0.215</v>
      </c>
      <c r="I262">
        <f t="shared" ref="I262" si="196">H262*1.96</f>
        <v>0.4214</v>
      </c>
      <c r="J262">
        <f t="shared" si="194"/>
        <v>0.16659999999999997</v>
      </c>
      <c r="K262">
        <f t="shared" si="195"/>
        <v>1.0093999999999999</v>
      </c>
      <c r="L262" t="str">
        <f t="shared" si="190"/>
        <v>0.42</v>
      </c>
      <c r="M262" t="str">
        <f t="shared" si="191"/>
        <v>0.17</v>
      </c>
      <c r="N262" t="str">
        <f t="shared" si="192"/>
        <v>0.59 [0.42, 0.17]</v>
      </c>
    </row>
    <row r="263" spans="1:14" x14ac:dyDescent="0.35">
      <c r="A263">
        <v>168</v>
      </c>
      <c r="B263">
        <v>41</v>
      </c>
      <c r="C263" t="s">
        <v>51</v>
      </c>
      <c r="D263" t="s">
        <v>8</v>
      </c>
      <c r="E263" t="s">
        <v>13</v>
      </c>
      <c r="F263">
        <v>43</v>
      </c>
      <c r="G263">
        <v>1.7</v>
      </c>
      <c r="H263">
        <v>2.63</v>
      </c>
      <c r="I263">
        <f t="shared" ref="I263:I264" si="197">H263/(SQRT(F263))*1.96</f>
        <v>0.78609963035051045</v>
      </c>
      <c r="J263">
        <f t="shared" si="194"/>
        <v>0.91390036964948951</v>
      </c>
      <c r="K263">
        <f t="shared" si="195"/>
        <v>2.4860996303505103</v>
      </c>
      <c r="L263" t="str">
        <f t="shared" si="190"/>
        <v>0.79</v>
      </c>
      <c r="M263" t="str">
        <f t="shared" si="191"/>
        <v>0.91</v>
      </c>
      <c r="N263" t="str">
        <f t="shared" si="192"/>
        <v>1.70 [0.79, 0.91]</v>
      </c>
    </row>
    <row r="264" spans="1:14" x14ac:dyDescent="0.35">
      <c r="A264">
        <v>169</v>
      </c>
      <c r="B264">
        <v>41</v>
      </c>
      <c r="C264" t="s">
        <v>51</v>
      </c>
      <c r="D264" t="s">
        <v>10</v>
      </c>
      <c r="E264" t="s">
        <v>13</v>
      </c>
      <c r="F264">
        <v>46</v>
      </c>
      <c r="G264">
        <v>1.2</v>
      </c>
      <c r="H264">
        <v>2.65</v>
      </c>
      <c r="I264">
        <f t="shared" si="197"/>
        <v>0.76581352026853566</v>
      </c>
      <c r="J264">
        <f t="shared" si="194"/>
        <v>0.43418647973146429</v>
      </c>
      <c r="K264">
        <f t="shared" si="195"/>
        <v>1.9658135202685356</v>
      </c>
      <c r="L264" t="str">
        <f t="shared" si="190"/>
        <v>0.77</v>
      </c>
      <c r="M264" t="str">
        <f t="shared" si="191"/>
        <v>0.43</v>
      </c>
      <c r="N264" t="str">
        <f t="shared" si="192"/>
        <v>1.20 [0.77, 0.43]</v>
      </c>
    </row>
    <row r="265" spans="1:14" x14ac:dyDescent="0.35">
      <c r="A265">
        <v>13</v>
      </c>
      <c r="B265">
        <v>41</v>
      </c>
      <c r="C265" t="s">
        <v>51</v>
      </c>
      <c r="D265" t="s">
        <v>11</v>
      </c>
      <c r="E265" t="s">
        <v>13</v>
      </c>
      <c r="F265">
        <v>89</v>
      </c>
      <c r="G265">
        <v>0.189</v>
      </c>
      <c r="H265">
        <v>0.21299999999999999</v>
      </c>
      <c r="I265">
        <f t="shared" ref="I265" si="198">H265*1.96</f>
        <v>0.41747999999999996</v>
      </c>
      <c r="J265">
        <f t="shared" si="194"/>
        <v>-0.22847999999999996</v>
      </c>
      <c r="K265">
        <f t="shared" si="195"/>
        <v>0.60647999999999991</v>
      </c>
      <c r="L265" t="str">
        <f t="shared" si="190"/>
        <v>0.42</v>
      </c>
      <c r="M265" t="str">
        <f t="shared" si="191"/>
        <v>-0.23</v>
      </c>
      <c r="N265" t="str">
        <f t="shared" si="192"/>
        <v>0.19 [0.42, -0.23]</v>
      </c>
    </row>
    <row r="266" spans="1:14" x14ac:dyDescent="0.35">
      <c r="A266">
        <v>258</v>
      </c>
      <c r="B266">
        <v>41</v>
      </c>
      <c r="C266" t="s">
        <v>51</v>
      </c>
      <c r="D266" t="s">
        <v>8</v>
      </c>
      <c r="E266" t="s">
        <v>17</v>
      </c>
      <c r="F266">
        <v>43</v>
      </c>
      <c r="G266">
        <v>8</v>
      </c>
      <c r="H266">
        <v>1.59</v>
      </c>
      <c r="I266">
        <f t="shared" ref="I266:I267" si="199">H266/(SQRT(F266))*1.96</f>
        <v>0.4752465445845292</v>
      </c>
      <c r="J266">
        <f t="shared" si="194"/>
        <v>7.5247534554154711</v>
      </c>
      <c r="K266">
        <f t="shared" si="195"/>
        <v>8.4752465445845289</v>
      </c>
      <c r="L266" t="str">
        <f t="shared" si="190"/>
        <v>0.48</v>
      </c>
      <c r="M266" t="str">
        <f t="shared" si="191"/>
        <v>7.52</v>
      </c>
      <c r="N266" t="str">
        <f t="shared" si="192"/>
        <v>8.00 [0.48, 7.52]</v>
      </c>
    </row>
    <row r="267" spans="1:14" x14ac:dyDescent="0.35">
      <c r="A267">
        <v>259</v>
      </c>
      <c r="B267">
        <v>41</v>
      </c>
      <c r="C267" t="s">
        <v>51</v>
      </c>
      <c r="D267" t="s">
        <v>10</v>
      </c>
      <c r="E267" t="s">
        <v>17</v>
      </c>
      <c r="F267">
        <v>46</v>
      </c>
      <c r="G267">
        <v>8</v>
      </c>
      <c r="H267">
        <v>1.52</v>
      </c>
      <c r="I267">
        <f t="shared" si="199"/>
        <v>0.43925907577666951</v>
      </c>
      <c r="J267">
        <f t="shared" si="194"/>
        <v>7.5607409242233308</v>
      </c>
      <c r="K267">
        <f t="shared" si="195"/>
        <v>8.4392590757766701</v>
      </c>
      <c r="L267" t="str">
        <f t="shared" si="190"/>
        <v>0.44</v>
      </c>
      <c r="M267" t="str">
        <f t="shared" si="191"/>
        <v>7.56</v>
      </c>
      <c r="N267" t="str">
        <f t="shared" si="192"/>
        <v>8.00 [0.44, 7.56]</v>
      </c>
    </row>
    <row r="268" spans="1:14" x14ac:dyDescent="0.35">
      <c r="A268">
        <v>9</v>
      </c>
      <c r="B268">
        <v>41</v>
      </c>
      <c r="C268" t="s">
        <v>51</v>
      </c>
      <c r="D268" t="s">
        <v>11</v>
      </c>
      <c r="E268" t="s">
        <v>17</v>
      </c>
      <c r="F268">
        <v>90</v>
      </c>
      <c r="G268">
        <v>1.0860000000000001</v>
      </c>
      <c r="H268">
        <v>0.5386848203654635</v>
      </c>
      <c r="I268">
        <f t="shared" ref="I268" si="200">H268*1.96</f>
        <v>1.0558222479163084</v>
      </c>
      <c r="J268">
        <f t="shared" si="194"/>
        <v>3.0177752083691667E-2</v>
      </c>
      <c r="K268">
        <f t="shared" si="195"/>
        <v>2.1418222479163083</v>
      </c>
      <c r="L268" t="str">
        <f t="shared" si="190"/>
        <v>1.06</v>
      </c>
      <c r="M268" t="str">
        <f t="shared" si="191"/>
        <v>0.03</v>
      </c>
      <c r="N268" t="str">
        <f t="shared" si="192"/>
        <v>1.09 [1.06, 0.03]</v>
      </c>
    </row>
    <row r="269" spans="1:14" x14ac:dyDescent="0.35">
      <c r="A269">
        <v>516</v>
      </c>
      <c r="B269">
        <v>41</v>
      </c>
      <c r="C269" t="s">
        <v>51</v>
      </c>
      <c r="D269" t="s">
        <v>8</v>
      </c>
      <c r="E269" t="s">
        <v>15</v>
      </c>
      <c r="F269">
        <v>43</v>
      </c>
      <c r="G269">
        <v>0</v>
      </c>
      <c r="H269">
        <v>1.59</v>
      </c>
      <c r="I269">
        <f t="shared" ref="I269:I270" si="201">H269/(SQRT(F269))*1.96</f>
        <v>0.4752465445845292</v>
      </c>
      <c r="J269">
        <f t="shared" si="194"/>
        <v>-0.4752465445845292</v>
      </c>
      <c r="K269">
        <f t="shared" si="195"/>
        <v>0.4752465445845292</v>
      </c>
      <c r="L269" t="str">
        <f t="shared" si="190"/>
        <v>0.48</v>
      </c>
      <c r="M269" t="str">
        <f t="shared" si="191"/>
        <v>-0.48</v>
      </c>
      <c r="N269" t="str">
        <f t="shared" si="192"/>
        <v>0.00 [0.48, -0.48]</v>
      </c>
    </row>
    <row r="270" spans="1:14" x14ac:dyDescent="0.35">
      <c r="A270">
        <v>517</v>
      </c>
      <c r="B270">
        <v>41</v>
      </c>
      <c r="C270" t="s">
        <v>51</v>
      </c>
      <c r="D270" t="s">
        <v>10</v>
      </c>
      <c r="E270" t="s">
        <v>15</v>
      </c>
      <c r="F270">
        <v>46</v>
      </c>
      <c r="G270">
        <v>0</v>
      </c>
      <c r="H270">
        <v>1.52</v>
      </c>
      <c r="I270">
        <f t="shared" si="201"/>
        <v>0.43925907577666951</v>
      </c>
      <c r="J270">
        <f t="shared" si="194"/>
        <v>-0.43925907577666951</v>
      </c>
      <c r="K270">
        <f t="shared" si="195"/>
        <v>0.43925907577666951</v>
      </c>
      <c r="L270" t="str">
        <f t="shared" si="190"/>
        <v>0.44</v>
      </c>
      <c r="M270" t="str">
        <f t="shared" si="191"/>
        <v>-0.44</v>
      </c>
      <c r="N270" t="str">
        <f t="shared" si="192"/>
        <v>0.00 [0.44, -0.44]</v>
      </c>
    </row>
    <row r="271" spans="1:14" x14ac:dyDescent="0.35">
      <c r="A271">
        <v>9</v>
      </c>
      <c r="B271">
        <v>41</v>
      </c>
      <c r="C271" t="s">
        <v>51</v>
      </c>
      <c r="D271" t="s">
        <v>11</v>
      </c>
      <c r="E271" t="s">
        <v>15</v>
      </c>
      <c r="F271">
        <v>90</v>
      </c>
      <c r="G271">
        <v>1.07</v>
      </c>
      <c r="H271">
        <v>2.011217279258577</v>
      </c>
      <c r="I271">
        <f t="shared" ref="I271" si="202">H271*1.96</f>
        <v>3.9419858673468107</v>
      </c>
      <c r="J271">
        <f t="shared" si="194"/>
        <v>-2.8719858673468108</v>
      </c>
      <c r="K271">
        <f t="shared" si="195"/>
        <v>5.0119858673468105</v>
      </c>
      <c r="L271" t="str">
        <f t="shared" si="190"/>
        <v>3.94</v>
      </c>
      <c r="M271" t="str">
        <f t="shared" si="191"/>
        <v>-2.87</v>
      </c>
      <c r="N271" t="str">
        <f t="shared" si="192"/>
        <v>1.07 [3.94, -2.87]</v>
      </c>
    </row>
    <row r="272" spans="1:14" x14ac:dyDescent="0.35">
      <c r="A272">
        <v>400</v>
      </c>
      <c r="B272">
        <v>41</v>
      </c>
      <c r="C272" t="s">
        <v>51</v>
      </c>
      <c r="D272" t="s">
        <v>8</v>
      </c>
      <c r="E272" t="s">
        <v>16</v>
      </c>
      <c r="F272">
        <v>43</v>
      </c>
      <c r="G272">
        <v>3</v>
      </c>
      <c r="H272">
        <v>0.56999999999999995</v>
      </c>
      <c r="I272">
        <f t="shared" ref="I272:I273" si="203">H272/(SQRT(F272))*1.96</f>
        <v>0.17037140277558593</v>
      </c>
      <c r="J272">
        <f t="shared" si="194"/>
        <v>2.829628597224414</v>
      </c>
      <c r="K272">
        <f t="shared" si="195"/>
        <v>3.170371402775586</v>
      </c>
      <c r="L272" t="str">
        <f t="shared" si="190"/>
        <v>0.17</v>
      </c>
      <c r="M272" t="str">
        <f t="shared" si="191"/>
        <v>2.83</v>
      </c>
      <c r="N272" t="str">
        <f t="shared" si="192"/>
        <v>3.00 [0.17, 2.83]</v>
      </c>
    </row>
    <row r="273" spans="1:14" x14ac:dyDescent="0.35">
      <c r="A273">
        <v>401</v>
      </c>
      <c r="B273">
        <v>41</v>
      </c>
      <c r="C273" t="s">
        <v>51</v>
      </c>
      <c r="D273" t="s">
        <v>10</v>
      </c>
      <c r="E273" t="s">
        <v>16</v>
      </c>
      <c r="F273">
        <v>46</v>
      </c>
      <c r="G273">
        <v>3</v>
      </c>
      <c r="H273">
        <v>0.55000000000000004</v>
      </c>
      <c r="I273">
        <f t="shared" si="203"/>
        <v>0.15894242873497913</v>
      </c>
      <c r="J273">
        <f t="shared" si="194"/>
        <v>2.8410575712650208</v>
      </c>
      <c r="K273">
        <f t="shared" si="195"/>
        <v>3.1589424287349792</v>
      </c>
      <c r="L273" t="str">
        <f t="shared" si="190"/>
        <v>0.16</v>
      </c>
      <c r="M273" t="str">
        <f t="shared" si="191"/>
        <v>2.84</v>
      </c>
      <c r="N273" t="str">
        <f t="shared" si="192"/>
        <v>3.00 [0.16, 2.84]</v>
      </c>
    </row>
    <row r="274" spans="1:14" x14ac:dyDescent="0.35">
      <c r="A274">
        <v>12</v>
      </c>
      <c r="B274">
        <v>41</v>
      </c>
      <c r="C274" t="s">
        <v>51</v>
      </c>
      <c r="D274" t="s">
        <v>11</v>
      </c>
      <c r="E274" t="s">
        <v>16</v>
      </c>
      <c r="F274">
        <v>90</v>
      </c>
      <c r="G274">
        <v>1.075</v>
      </c>
      <c r="H274">
        <v>0.78720034640621184</v>
      </c>
      <c r="I274">
        <f t="shared" ref="I274" si="204">H274*1.96</f>
        <v>1.5429126789561751</v>
      </c>
      <c r="J274">
        <f t="shared" si="194"/>
        <v>-0.46791267895617517</v>
      </c>
      <c r="K274">
        <f t="shared" si="195"/>
        <v>2.6179126789561753</v>
      </c>
      <c r="L274" t="str">
        <f t="shared" si="190"/>
        <v>1.54</v>
      </c>
      <c r="M274" t="str">
        <f t="shared" si="191"/>
        <v>-0.47</v>
      </c>
      <c r="N274" t="str">
        <f t="shared" si="192"/>
        <v>1.08 [1.54, -0.47]</v>
      </c>
    </row>
    <row r="275" spans="1:14" x14ac:dyDescent="0.35">
      <c r="A275">
        <v>578</v>
      </c>
      <c r="B275">
        <v>41</v>
      </c>
      <c r="C275" t="s">
        <v>51</v>
      </c>
      <c r="D275" t="s">
        <v>8</v>
      </c>
      <c r="E275" t="s">
        <v>14</v>
      </c>
      <c r="F275">
        <v>43</v>
      </c>
      <c r="G275">
        <v>0</v>
      </c>
      <c r="H275">
        <v>0.56999999999999995</v>
      </c>
      <c r="I275">
        <f t="shared" ref="I275:I276" si="205">H275/(SQRT(F275))*1.96</f>
        <v>0.17037140277558593</v>
      </c>
      <c r="J275">
        <f t="shared" si="194"/>
        <v>-0.17037140277558593</v>
      </c>
      <c r="K275">
        <f t="shared" si="195"/>
        <v>0.17037140277558593</v>
      </c>
      <c r="L275" t="str">
        <f t="shared" si="190"/>
        <v>0.17</v>
      </c>
      <c r="M275" t="str">
        <f t="shared" si="191"/>
        <v>-0.17</v>
      </c>
      <c r="N275" t="str">
        <f t="shared" si="192"/>
        <v>0.00 [0.17, -0.17]</v>
      </c>
    </row>
    <row r="276" spans="1:14" x14ac:dyDescent="0.35">
      <c r="A276">
        <v>579</v>
      </c>
      <c r="B276">
        <v>41</v>
      </c>
      <c r="C276" t="s">
        <v>51</v>
      </c>
      <c r="D276" t="s">
        <v>10</v>
      </c>
      <c r="E276" t="s">
        <v>14</v>
      </c>
      <c r="F276">
        <v>46</v>
      </c>
      <c r="G276">
        <v>0</v>
      </c>
      <c r="H276">
        <v>0.55000000000000004</v>
      </c>
      <c r="I276">
        <f t="shared" si="205"/>
        <v>0.15894242873497913</v>
      </c>
      <c r="J276">
        <f t="shared" si="194"/>
        <v>-0.15894242873497913</v>
      </c>
      <c r="K276">
        <f t="shared" si="195"/>
        <v>0.15894242873497913</v>
      </c>
      <c r="L276" t="str">
        <f t="shared" si="190"/>
        <v>0.16</v>
      </c>
      <c r="M276" t="str">
        <f t="shared" si="191"/>
        <v>-0.16</v>
      </c>
      <c r="N276" t="str">
        <f t="shared" si="192"/>
        <v>0.00 [0.16, -0.16]</v>
      </c>
    </row>
    <row r="277" spans="1:14" x14ac:dyDescent="0.35">
      <c r="A277">
        <v>12</v>
      </c>
      <c r="B277">
        <v>41</v>
      </c>
      <c r="C277" t="s">
        <v>51</v>
      </c>
      <c r="D277" t="s">
        <v>11</v>
      </c>
      <c r="E277" t="s">
        <v>14</v>
      </c>
      <c r="F277">
        <v>90</v>
      </c>
      <c r="G277">
        <v>1.07</v>
      </c>
      <c r="H277">
        <v>2.011217279258577</v>
      </c>
      <c r="I277">
        <f t="shared" ref="I277" si="206">H277*1.96</f>
        <v>3.9419858673468107</v>
      </c>
      <c r="J277">
        <f t="shared" si="194"/>
        <v>-2.8719858673468108</v>
      </c>
      <c r="K277">
        <f t="shared" si="195"/>
        <v>5.0119858673468105</v>
      </c>
      <c r="L277" t="str">
        <f t="shared" si="190"/>
        <v>3.94</v>
      </c>
      <c r="M277" t="str">
        <f t="shared" si="191"/>
        <v>-2.87</v>
      </c>
      <c r="N277" t="str">
        <f t="shared" si="192"/>
        <v>1.07 [3.94, -2.87]</v>
      </c>
    </row>
    <row r="278" spans="1:14" x14ac:dyDescent="0.35">
      <c r="A278">
        <v>458</v>
      </c>
      <c r="B278">
        <v>41</v>
      </c>
      <c r="C278" t="s">
        <v>51</v>
      </c>
      <c r="D278" t="s">
        <v>8</v>
      </c>
      <c r="E278" t="s">
        <v>9</v>
      </c>
      <c r="F278">
        <v>43</v>
      </c>
      <c r="G278">
        <v>5.98</v>
      </c>
      <c r="H278">
        <v>1.6</v>
      </c>
      <c r="I278">
        <f t="shared" ref="I278:I279" si="207">H278/(SQRT(F278))*1.96</f>
        <v>0.47823551656304825</v>
      </c>
      <c r="J278">
        <f t="shared" si="194"/>
        <v>5.5017644834369523</v>
      </c>
      <c r="K278">
        <f t="shared" si="195"/>
        <v>6.4582355165630485</v>
      </c>
      <c r="L278" t="str">
        <f t="shared" si="190"/>
        <v>0.48</v>
      </c>
      <c r="M278" t="str">
        <f t="shared" si="191"/>
        <v>5.50</v>
      </c>
      <c r="N278" t="str">
        <f t="shared" si="192"/>
        <v>5.98 [0.48, 5.50]</v>
      </c>
    </row>
    <row r="279" spans="1:14" x14ac:dyDescent="0.35">
      <c r="A279">
        <v>459</v>
      </c>
      <c r="B279">
        <v>41</v>
      </c>
      <c r="C279" t="s">
        <v>51</v>
      </c>
      <c r="D279" t="s">
        <v>10</v>
      </c>
      <c r="E279" t="s">
        <v>9</v>
      </c>
      <c r="F279">
        <v>46</v>
      </c>
      <c r="G279">
        <v>5.82</v>
      </c>
      <c r="H279">
        <v>2.2599999999999998</v>
      </c>
      <c r="I279">
        <f t="shared" si="207"/>
        <v>0.65310888898373232</v>
      </c>
      <c r="J279">
        <f t="shared" si="194"/>
        <v>5.1668911110162679</v>
      </c>
      <c r="K279">
        <f t="shared" si="195"/>
        <v>6.4731088889837327</v>
      </c>
      <c r="L279" t="str">
        <f t="shared" si="190"/>
        <v>0.65</v>
      </c>
      <c r="M279" t="str">
        <f t="shared" si="191"/>
        <v>5.17</v>
      </c>
      <c r="N279" t="str">
        <f t="shared" si="192"/>
        <v>5.82 [0.65, 5.17]</v>
      </c>
    </row>
    <row r="280" spans="1:14" x14ac:dyDescent="0.35">
      <c r="A280">
        <v>9</v>
      </c>
      <c r="B280">
        <v>41</v>
      </c>
      <c r="C280" t="s">
        <v>51</v>
      </c>
      <c r="D280" t="s">
        <v>11</v>
      </c>
      <c r="E280" t="s">
        <v>9</v>
      </c>
      <c r="F280">
        <v>89</v>
      </c>
      <c r="G280">
        <v>8.1000000000000003E-2</v>
      </c>
      <c r="H280">
        <v>0.21199999999999999</v>
      </c>
      <c r="I280">
        <f t="shared" ref="I280" si="208">H280*1.96</f>
        <v>0.41552</v>
      </c>
      <c r="J280">
        <f t="shared" si="194"/>
        <v>-0.33451999999999998</v>
      </c>
      <c r="K280">
        <f t="shared" si="195"/>
        <v>0.49652000000000002</v>
      </c>
      <c r="L280" t="str">
        <f t="shared" si="190"/>
        <v>0.42</v>
      </c>
      <c r="M280" t="str">
        <f t="shared" si="191"/>
        <v>-0.33</v>
      </c>
      <c r="N280" t="str">
        <f t="shared" si="192"/>
        <v>0.08 [0.42, -0.33]</v>
      </c>
    </row>
    <row r="281" spans="1:14" x14ac:dyDescent="0.35">
      <c r="A281">
        <v>6</v>
      </c>
      <c r="B281">
        <v>43</v>
      </c>
      <c r="C281" t="s">
        <v>52</v>
      </c>
      <c r="D281" t="s">
        <v>8</v>
      </c>
      <c r="E281" t="s">
        <v>22</v>
      </c>
      <c r="F281">
        <v>74</v>
      </c>
      <c r="G281">
        <v>0</v>
      </c>
      <c r="H281">
        <v>0.06</v>
      </c>
      <c r="I281">
        <f t="shared" ref="I281:I282" si="209">H281/(SQRT(F281))*1.96</f>
        <v>1.3670722316273146E-2</v>
      </c>
      <c r="J281">
        <f t="shared" si="194"/>
        <v>-1.3670722316273146E-2</v>
      </c>
      <c r="K281">
        <f t="shared" si="195"/>
        <v>1.3670722316273146E-2</v>
      </c>
      <c r="L281" t="str">
        <f t="shared" si="190"/>
        <v>0.01</v>
      </c>
      <c r="M281" t="str">
        <f t="shared" si="191"/>
        <v>-0.01</v>
      </c>
      <c r="N281" t="str">
        <f t="shared" si="192"/>
        <v>0.00 [0.01, -0.01]</v>
      </c>
    </row>
    <row r="282" spans="1:14" x14ac:dyDescent="0.35">
      <c r="A282">
        <v>7</v>
      </c>
      <c r="B282">
        <v>43</v>
      </c>
      <c r="C282" t="s">
        <v>52</v>
      </c>
      <c r="D282" t="s">
        <v>10</v>
      </c>
      <c r="E282" t="s">
        <v>22</v>
      </c>
      <c r="F282">
        <v>73</v>
      </c>
      <c r="G282">
        <v>2</v>
      </c>
      <c r="H282">
        <v>0.3</v>
      </c>
      <c r="I282">
        <f t="shared" si="209"/>
        <v>6.8820194551324765E-2</v>
      </c>
      <c r="J282">
        <f t="shared" si="194"/>
        <v>1.9311798054486753</v>
      </c>
      <c r="K282">
        <f t="shared" si="195"/>
        <v>2.0688201945513249</v>
      </c>
      <c r="L282" t="str">
        <f t="shared" si="190"/>
        <v>0.07</v>
      </c>
      <c r="M282" t="str">
        <f t="shared" si="191"/>
        <v>1.93</v>
      </c>
      <c r="N282" t="str">
        <f t="shared" si="192"/>
        <v>2.00 [0.07, 1.93]</v>
      </c>
    </row>
    <row r="283" spans="1:14" x14ac:dyDescent="0.35">
      <c r="A283">
        <v>1</v>
      </c>
      <c r="B283">
        <v>43</v>
      </c>
      <c r="C283" t="s">
        <v>52</v>
      </c>
      <c r="D283" t="s">
        <v>11</v>
      </c>
      <c r="E283" t="s">
        <v>22</v>
      </c>
      <c r="F283">
        <v>148</v>
      </c>
      <c r="G283">
        <v>0.192</v>
      </c>
      <c r="H283">
        <v>1.5580751010640559</v>
      </c>
      <c r="I283">
        <f t="shared" ref="I283" si="210">H283*1.96</f>
        <v>3.0538271980855494</v>
      </c>
      <c r="J283">
        <f t="shared" si="194"/>
        <v>-2.8618271980855492</v>
      </c>
      <c r="K283">
        <f t="shared" si="195"/>
        <v>3.2458271980855495</v>
      </c>
      <c r="L283" t="str">
        <f t="shared" si="190"/>
        <v>3.05</v>
      </c>
      <c r="M283" t="str">
        <f t="shared" si="191"/>
        <v>-2.86</v>
      </c>
      <c r="N283" t="str">
        <f t="shared" si="192"/>
        <v>0.19 [3.05, -2.86]</v>
      </c>
    </row>
    <row r="284" spans="1:14" x14ac:dyDescent="0.35">
      <c r="A284">
        <v>170</v>
      </c>
      <c r="B284">
        <v>43</v>
      </c>
      <c r="C284" t="s">
        <v>52</v>
      </c>
      <c r="D284" t="s">
        <v>8</v>
      </c>
      <c r="E284" t="s">
        <v>13</v>
      </c>
      <c r="F284">
        <v>74</v>
      </c>
      <c r="G284">
        <v>0.6</v>
      </c>
      <c r="H284">
        <v>0.21</v>
      </c>
      <c r="I284">
        <f t="shared" ref="I284:I285" si="211">H284/(SQRT(F284))*1.96</f>
        <v>4.7847528106956014E-2</v>
      </c>
      <c r="J284">
        <f t="shared" si="194"/>
        <v>0.55215247189304395</v>
      </c>
      <c r="K284">
        <f t="shared" si="195"/>
        <v>0.64784752810695601</v>
      </c>
      <c r="L284" t="str">
        <f t="shared" si="190"/>
        <v>0.05</v>
      </c>
      <c r="M284" t="str">
        <f t="shared" si="191"/>
        <v>0.55</v>
      </c>
      <c r="N284" t="str">
        <f t="shared" si="192"/>
        <v>0.60 [0.05, 0.55]</v>
      </c>
    </row>
    <row r="285" spans="1:14" x14ac:dyDescent="0.35">
      <c r="A285">
        <v>171</v>
      </c>
      <c r="B285">
        <v>43</v>
      </c>
      <c r="C285" t="s">
        <v>52</v>
      </c>
      <c r="D285" t="s">
        <v>10</v>
      </c>
      <c r="E285" t="s">
        <v>13</v>
      </c>
      <c r="F285">
        <v>73</v>
      </c>
      <c r="G285">
        <v>0.5</v>
      </c>
      <c r="H285">
        <v>0.42</v>
      </c>
      <c r="I285">
        <f t="shared" si="211"/>
        <v>9.6348272371854685E-2</v>
      </c>
      <c r="J285">
        <f t="shared" si="194"/>
        <v>0.40365172762814533</v>
      </c>
      <c r="K285">
        <f t="shared" si="195"/>
        <v>0.59634827237185473</v>
      </c>
      <c r="L285" t="str">
        <f t="shared" si="190"/>
        <v>0.10</v>
      </c>
      <c r="M285" t="str">
        <f t="shared" si="191"/>
        <v>0.40</v>
      </c>
      <c r="N285" t="str">
        <f t="shared" si="192"/>
        <v>0.50 [0.10, 0.40]</v>
      </c>
    </row>
    <row r="286" spans="1:14" x14ac:dyDescent="0.35">
      <c r="A286">
        <v>14</v>
      </c>
      <c r="B286">
        <v>43</v>
      </c>
      <c r="C286" t="s">
        <v>52</v>
      </c>
      <c r="D286" t="s">
        <v>11</v>
      </c>
      <c r="E286" t="s">
        <v>13</v>
      </c>
      <c r="F286">
        <v>147</v>
      </c>
      <c r="G286">
        <v>0.30199999999999999</v>
      </c>
      <c r="H286">
        <v>0.16600000000000001</v>
      </c>
      <c r="I286">
        <f t="shared" ref="I286" si="212">H286*1.96</f>
        <v>0.32536000000000004</v>
      </c>
      <c r="J286">
        <f t="shared" si="194"/>
        <v>-2.3360000000000047E-2</v>
      </c>
      <c r="K286">
        <f t="shared" si="195"/>
        <v>0.62736000000000003</v>
      </c>
      <c r="L286" t="str">
        <f t="shared" si="190"/>
        <v>0.33</v>
      </c>
      <c r="M286" t="str">
        <f t="shared" si="191"/>
        <v>-0.02</v>
      </c>
      <c r="N286" t="str">
        <f t="shared" si="192"/>
        <v>0.30 [0.33, -0.02]</v>
      </c>
    </row>
    <row r="287" spans="1:14" x14ac:dyDescent="0.35">
      <c r="A287">
        <v>322</v>
      </c>
      <c r="B287">
        <v>43</v>
      </c>
      <c r="C287" t="s">
        <v>52</v>
      </c>
      <c r="D287" t="s">
        <v>8</v>
      </c>
      <c r="E287" t="s">
        <v>19</v>
      </c>
      <c r="F287">
        <v>74</v>
      </c>
      <c r="G287">
        <v>88</v>
      </c>
      <c r="H287">
        <v>7.5</v>
      </c>
      <c r="I287">
        <f t="shared" ref="I287:I288" si="213">H287/(SQRT(F287))*1.96</f>
        <v>1.7088402895341435</v>
      </c>
      <c r="J287">
        <f t="shared" si="194"/>
        <v>86.291159710465863</v>
      </c>
      <c r="K287">
        <f t="shared" si="195"/>
        <v>89.708840289534137</v>
      </c>
      <c r="L287" t="str">
        <f t="shared" si="190"/>
        <v>1.71</v>
      </c>
      <c r="M287" t="str">
        <f t="shared" si="191"/>
        <v>86.29</v>
      </c>
      <c r="N287" t="str">
        <f t="shared" si="192"/>
        <v>88.00 [1.71, 86.29]</v>
      </c>
    </row>
    <row r="288" spans="1:14" x14ac:dyDescent="0.35">
      <c r="A288">
        <v>323</v>
      </c>
      <c r="B288">
        <v>43</v>
      </c>
      <c r="C288" t="s">
        <v>52</v>
      </c>
      <c r="D288" t="s">
        <v>10</v>
      </c>
      <c r="E288" t="s">
        <v>19</v>
      </c>
      <c r="F288">
        <v>73</v>
      </c>
      <c r="G288">
        <v>90</v>
      </c>
      <c r="H288">
        <v>7.6</v>
      </c>
      <c r="I288">
        <f t="shared" si="213"/>
        <v>1.7434449286335609</v>
      </c>
      <c r="J288">
        <f t="shared" si="194"/>
        <v>88.256555071366435</v>
      </c>
      <c r="K288">
        <f t="shared" si="195"/>
        <v>91.743444928633565</v>
      </c>
      <c r="L288" t="str">
        <f t="shared" si="190"/>
        <v>1.74</v>
      </c>
      <c r="M288" t="str">
        <f t="shared" si="191"/>
        <v>88.26</v>
      </c>
      <c r="N288" t="str">
        <f t="shared" si="192"/>
        <v>90.00 [1.74, 88.26]</v>
      </c>
    </row>
    <row r="289" spans="1:14" x14ac:dyDescent="0.35">
      <c r="A289">
        <v>13</v>
      </c>
      <c r="B289">
        <v>43</v>
      </c>
      <c r="C289" t="s">
        <v>52</v>
      </c>
      <c r="D289" t="s">
        <v>11</v>
      </c>
      <c r="E289" t="s">
        <v>19</v>
      </c>
      <c r="F289">
        <v>147</v>
      </c>
      <c r="G289">
        <v>0.26500000000000001</v>
      </c>
      <c r="H289">
        <v>0.16600000000000001</v>
      </c>
      <c r="I289">
        <f t="shared" ref="I289" si="214">H289*1.96</f>
        <v>0.32536000000000004</v>
      </c>
      <c r="J289">
        <f t="shared" si="194"/>
        <v>-6.0360000000000025E-2</v>
      </c>
      <c r="K289">
        <f t="shared" si="195"/>
        <v>0.59036</v>
      </c>
      <c r="L289" t="str">
        <f t="shared" si="190"/>
        <v>0.33</v>
      </c>
      <c r="M289" t="str">
        <f t="shared" si="191"/>
        <v>-0.06</v>
      </c>
      <c r="N289" t="str">
        <f t="shared" si="192"/>
        <v>0.27 [0.33, -0.06]</v>
      </c>
    </row>
    <row r="290" spans="1:14" x14ac:dyDescent="0.35">
      <c r="A290">
        <v>90</v>
      </c>
      <c r="B290">
        <v>44</v>
      </c>
      <c r="C290" t="s">
        <v>53</v>
      </c>
      <c r="D290" t="s">
        <v>8</v>
      </c>
      <c r="E290" t="s">
        <v>27</v>
      </c>
      <c r="F290">
        <v>36</v>
      </c>
      <c r="G290">
        <v>74.2</v>
      </c>
      <c r="H290">
        <v>10.199999999999999</v>
      </c>
      <c r="I290">
        <f t="shared" ref="I290:I291" si="215">H290/(SQRT(F290))*1.96</f>
        <v>3.3319999999999999</v>
      </c>
      <c r="J290">
        <f t="shared" si="194"/>
        <v>70.868000000000009</v>
      </c>
      <c r="K290">
        <f t="shared" si="195"/>
        <v>77.531999999999996</v>
      </c>
      <c r="L290" t="str">
        <f t="shared" si="190"/>
        <v>3.33</v>
      </c>
      <c r="M290" t="str">
        <f t="shared" si="191"/>
        <v>70.87</v>
      </c>
      <c r="N290" t="str">
        <f t="shared" si="192"/>
        <v>74.20 [3.33, 70.87]</v>
      </c>
    </row>
    <row r="291" spans="1:14" x14ac:dyDescent="0.35">
      <c r="A291">
        <v>91</v>
      </c>
      <c r="B291">
        <v>44</v>
      </c>
      <c r="C291" t="s">
        <v>53</v>
      </c>
      <c r="D291" t="s">
        <v>28</v>
      </c>
      <c r="E291" t="s">
        <v>27</v>
      </c>
      <c r="F291">
        <v>36</v>
      </c>
      <c r="G291">
        <v>78.3</v>
      </c>
      <c r="H291">
        <v>10.5</v>
      </c>
      <c r="I291">
        <f t="shared" si="215"/>
        <v>3.4299999999999997</v>
      </c>
      <c r="J291">
        <f t="shared" si="194"/>
        <v>74.87</v>
      </c>
      <c r="K291">
        <f t="shared" si="195"/>
        <v>81.72999999999999</v>
      </c>
      <c r="L291" t="str">
        <f t="shared" si="190"/>
        <v>3.43</v>
      </c>
      <c r="M291" t="str">
        <f t="shared" si="191"/>
        <v>74.87</v>
      </c>
      <c r="N291" t="str">
        <f t="shared" si="192"/>
        <v>78.30 [3.43, 74.87]</v>
      </c>
    </row>
    <row r="292" spans="1:14" x14ac:dyDescent="0.35">
      <c r="A292">
        <v>9</v>
      </c>
      <c r="B292">
        <v>44</v>
      </c>
      <c r="C292" t="s">
        <v>53</v>
      </c>
      <c r="D292" t="s">
        <v>26</v>
      </c>
      <c r="E292" t="s">
        <v>27</v>
      </c>
      <c r="F292">
        <v>72</v>
      </c>
      <c r="G292">
        <v>0.39600000000000002</v>
      </c>
      <c r="H292">
        <v>0.23799999999999999</v>
      </c>
      <c r="I292">
        <f t="shared" ref="I292" si="216">H292*1.96</f>
        <v>0.46647999999999995</v>
      </c>
      <c r="J292">
        <f t="shared" si="194"/>
        <v>-7.0479999999999932E-2</v>
      </c>
      <c r="K292">
        <f t="shared" si="195"/>
        <v>0.86247999999999991</v>
      </c>
      <c r="L292" t="str">
        <f t="shared" si="190"/>
        <v>0.47</v>
      </c>
      <c r="M292" t="str">
        <f t="shared" si="191"/>
        <v>-0.07</v>
      </c>
      <c r="N292" t="str">
        <f t="shared" si="192"/>
        <v>0.40 [0.47, -0.07]</v>
      </c>
    </row>
    <row r="293" spans="1:14" x14ac:dyDescent="0.35">
      <c r="A293">
        <v>324</v>
      </c>
      <c r="B293">
        <v>44</v>
      </c>
      <c r="C293" t="s">
        <v>53</v>
      </c>
      <c r="D293" t="s">
        <v>8</v>
      </c>
      <c r="E293" t="s">
        <v>19</v>
      </c>
      <c r="F293">
        <v>36</v>
      </c>
      <c r="G293">
        <v>93.4</v>
      </c>
      <c r="H293">
        <v>9.6</v>
      </c>
      <c r="I293">
        <f t="shared" ref="I293:I294" si="217">H293/(SQRT(F293))*1.96</f>
        <v>3.1359999999999997</v>
      </c>
      <c r="J293">
        <f t="shared" si="194"/>
        <v>90.26400000000001</v>
      </c>
      <c r="K293">
        <f t="shared" si="195"/>
        <v>96.536000000000001</v>
      </c>
      <c r="L293" t="str">
        <f t="shared" si="190"/>
        <v>3.14</v>
      </c>
      <c r="M293" t="str">
        <f t="shared" si="191"/>
        <v>90.26</v>
      </c>
      <c r="N293" t="str">
        <f t="shared" si="192"/>
        <v>93.40 [3.14, 90.26]</v>
      </c>
    </row>
    <row r="294" spans="1:14" x14ac:dyDescent="0.35">
      <c r="A294">
        <v>325</v>
      </c>
      <c r="B294">
        <v>44</v>
      </c>
      <c r="C294" t="s">
        <v>53</v>
      </c>
      <c r="D294" t="s">
        <v>28</v>
      </c>
      <c r="E294" t="s">
        <v>19</v>
      </c>
      <c r="F294">
        <v>36</v>
      </c>
      <c r="G294">
        <v>90.1</v>
      </c>
      <c r="H294">
        <v>6.7</v>
      </c>
      <c r="I294">
        <f t="shared" si="217"/>
        <v>2.1886666666666668</v>
      </c>
      <c r="J294">
        <f t="shared" si="194"/>
        <v>87.911333333333332</v>
      </c>
      <c r="K294">
        <f t="shared" si="195"/>
        <v>92.288666666666657</v>
      </c>
      <c r="L294" t="str">
        <f t="shared" si="190"/>
        <v>2.19</v>
      </c>
      <c r="M294" t="str">
        <f t="shared" si="191"/>
        <v>87.91</v>
      </c>
      <c r="N294" t="str">
        <f t="shared" si="192"/>
        <v>90.10 [2.19, 87.91]</v>
      </c>
    </row>
    <row r="295" spans="1:14" x14ac:dyDescent="0.35">
      <c r="A295">
        <v>14</v>
      </c>
      <c r="B295">
        <v>44</v>
      </c>
      <c r="C295" t="s">
        <v>53</v>
      </c>
      <c r="D295" t="s">
        <v>26</v>
      </c>
      <c r="E295" t="s">
        <v>19</v>
      </c>
      <c r="F295">
        <v>72</v>
      </c>
      <c r="G295">
        <v>0.39900000000000002</v>
      </c>
      <c r="H295">
        <v>0.23799999999999999</v>
      </c>
      <c r="I295">
        <f t="shared" ref="I295" si="218">H295*1.96</f>
        <v>0.46647999999999995</v>
      </c>
      <c r="J295">
        <f t="shared" si="194"/>
        <v>-6.7479999999999929E-2</v>
      </c>
      <c r="K295">
        <f t="shared" si="195"/>
        <v>0.86548000000000003</v>
      </c>
      <c r="L295" t="str">
        <f t="shared" si="190"/>
        <v>0.47</v>
      </c>
      <c r="M295" t="str">
        <f t="shared" si="191"/>
        <v>-0.07</v>
      </c>
      <c r="N295" t="str">
        <f t="shared" si="192"/>
        <v>0.40 [0.47, -0.07]</v>
      </c>
    </row>
    <row r="296" spans="1:14" x14ac:dyDescent="0.35">
      <c r="A296">
        <v>172</v>
      </c>
      <c r="B296">
        <v>45</v>
      </c>
      <c r="C296" t="s">
        <v>54</v>
      </c>
      <c r="D296" t="s">
        <v>8</v>
      </c>
      <c r="E296" t="s">
        <v>13</v>
      </c>
      <c r="F296">
        <v>24</v>
      </c>
      <c r="G296">
        <v>1.8</v>
      </c>
      <c r="H296">
        <v>0.51</v>
      </c>
      <c r="I296">
        <f t="shared" ref="I296:I297" si="219">H296/(SQRT(F296))*1.96</f>
        <v>0.20404249557383874</v>
      </c>
      <c r="J296">
        <f t="shared" si="194"/>
        <v>1.5959575044261614</v>
      </c>
      <c r="K296">
        <f t="shared" si="195"/>
        <v>2.004042495573839</v>
      </c>
      <c r="L296" t="str">
        <f t="shared" si="190"/>
        <v>0.20</v>
      </c>
      <c r="M296" t="str">
        <f t="shared" si="191"/>
        <v>1.60</v>
      </c>
      <c r="N296" t="str">
        <f t="shared" si="192"/>
        <v>1.80 [0.20, 1.60]</v>
      </c>
    </row>
    <row r="297" spans="1:14" x14ac:dyDescent="0.35">
      <c r="A297">
        <v>173</v>
      </c>
      <c r="B297">
        <v>45</v>
      </c>
      <c r="C297" t="s">
        <v>54</v>
      </c>
      <c r="D297" t="s">
        <v>10</v>
      </c>
      <c r="E297" t="s">
        <v>13</v>
      </c>
      <c r="F297">
        <v>23</v>
      </c>
      <c r="G297">
        <v>2.2000000000000002</v>
      </c>
      <c r="H297">
        <v>0.78</v>
      </c>
      <c r="I297">
        <f t="shared" si="219"/>
        <v>0.31877683621045594</v>
      </c>
      <c r="J297">
        <f t="shared" si="194"/>
        <v>1.8812231637895442</v>
      </c>
      <c r="K297">
        <f t="shared" si="195"/>
        <v>2.5187768362104563</v>
      </c>
      <c r="L297" t="str">
        <f t="shared" si="190"/>
        <v>0.32</v>
      </c>
      <c r="M297" t="str">
        <f t="shared" si="191"/>
        <v>1.88</v>
      </c>
      <c r="N297" t="str">
        <f t="shared" si="192"/>
        <v>2.20 [0.32, 1.88]</v>
      </c>
    </row>
    <row r="298" spans="1:14" x14ac:dyDescent="0.35">
      <c r="A298">
        <v>15</v>
      </c>
      <c r="B298">
        <v>45</v>
      </c>
      <c r="C298" t="s">
        <v>54</v>
      </c>
      <c r="D298" t="s">
        <v>11</v>
      </c>
      <c r="E298" t="s">
        <v>13</v>
      </c>
      <c r="F298">
        <v>47</v>
      </c>
      <c r="G298">
        <v>0.61</v>
      </c>
      <c r="H298">
        <v>0.29899999999999999</v>
      </c>
      <c r="I298">
        <f t="shared" ref="I298" si="220">H298*1.96</f>
        <v>0.58604000000000001</v>
      </c>
      <c r="J298">
        <f t="shared" si="194"/>
        <v>2.3959999999999981E-2</v>
      </c>
      <c r="K298">
        <f t="shared" si="195"/>
        <v>1.19604</v>
      </c>
      <c r="L298" t="str">
        <f t="shared" si="190"/>
        <v>0.59</v>
      </c>
      <c r="M298" t="str">
        <f t="shared" si="191"/>
        <v>0.02</v>
      </c>
      <c r="N298" t="str">
        <f t="shared" si="192"/>
        <v>0.61 [0.59, 0.02]</v>
      </c>
    </row>
    <row r="299" spans="1:14" x14ac:dyDescent="0.35">
      <c r="A299">
        <v>260</v>
      </c>
      <c r="B299">
        <v>45</v>
      </c>
      <c r="C299" t="s">
        <v>54</v>
      </c>
      <c r="D299" t="s">
        <v>8</v>
      </c>
      <c r="E299" t="s">
        <v>17</v>
      </c>
      <c r="F299">
        <v>24</v>
      </c>
      <c r="G299">
        <v>8</v>
      </c>
      <c r="H299">
        <v>2.6</v>
      </c>
      <c r="I299">
        <f t="shared" ref="I299:I300" si="221">H299/(SQRT(F299))*1.96</f>
        <v>1.0402166441019232</v>
      </c>
      <c r="J299">
        <f t="shared" si="194"/>
        <v>6.9597833558980771</v>
      </c>
      <c r="K299">
        <f t="shared" si="195"/>
        <v>9.0402166441019229</v>
      </c>
      <c r="L299" t="str">
        <f t="shared" si="190"/>
        <v>1.04</v>
      </c>
      <c r="M299" t="str">
        <f t="shared" si="191"/>
        <v>6.96</v>
      </c>
      <c r="N299" t="str">
        <f t="shared" si="192"/>
        <v>8.00 [1.04, 6.96]</v>
      </c>
    </row>
    <row r="300" spans="1:14" x14ac:dyDescent="0.35">
      <c r="A300">
        <v>261</v>
      </c>
      <c r="B300">
        <v>45</v>
      </c>
      <c r="C300" t="s">
        <v>54</v>
      </c>
      <c r="D300" t="s">
        <v>10</v>
      </c>
      <c r="E300" t="s">
        <v>17</v>
      </c>
      <c r="F300">
        <v>23</v>
      </c>
      <c r="G300">
        <v>11</v>
      </c>
      <c r="H300">
        <v>4.5999999999999996</v>
      </c>
      <c r="I300">
        <f t="shared" si="221"/>
        <v>1.8799659571385861</v>
      </c>
      <c r="J300">
        <f t="shared" si="194"/>
        <v>9.1200340428614144</v>
      </c>
      <c r="K300">
        <f t="shared" si="195"/>
        <v>12.879965957138586</v>
      </c>
      <c r="L300" t="str">
        <f t="shared" si="190"/>
        <v>1.88</v>
      </c>
      <c r="M300" t="str">
        <f t="shared" si="191"/>
        <v>9.12</v>
      </c>
      <c r="N300" t="str">
        <f t="shared" si="192"/>
        <v>11.00 [1.88, 9.12]</v>
      </c>
    </row>
    <row r="301" spans="1:14" x14ac:dyDescent="0.35">
      <c r="A301">
        <v>10</v>
      </c>
      <c r="B301">
        <v>45</v>
      </c>
      <c r="C301" t="s">
        <v>54</v>
      </c>
      <c r="D301" t="s">
        <v>11</v>
      </c>
      <c r="E301" t="s">
        <v>17</v>
      </c>
      <c r="F301">
        <v>48</v>
      </c>
      <c r="G301">
        <v>0.55400000000000005</v>
      </c>
      <c r="H301">
        <v>0.59197712278093406</v>
      </c>
      <c r="I301">
        <f t="shared" ref="I301" si="222">H301*1.96</f>
        <v>1.1602751606506307</v>
      </c>
      <c r="J301">
        <f t="shared" si="194"/>
        <v>-0.6062751606506307</v>
      </c>
      <c r="K301">
        <f t="shared" si="195"/>
        <v>1.7142751606506308</v>
      </c>
      <c r="L301" t="str">
        <f t="shared" si="190"/>
        <v>1.16</v>
      </c>
      <c r="M301" t="str">
        <f t="shared" si="191"/>
        <v>-0.61</v>
      </c>
      <c r="N301" t="str">
        <f t="shared" si="192"/>
        <v>0.55 [1.16, -0.61]</v>
      </c>
    </row>
    <row r="302" spans="1:14" x14ac:dyDescent="0.35">
      <c r="A302">
        <v>518</v>
      </c>
      <c r="B302">
        <v>45</v>
      </c>
      <c r="C302" t="s">
        <v>54</v>
      </c>
      <c r="D302" t="s">
        <v>8</v>
      </c>
      <c r="E302" t="s">
        <v>15</v>
      </c>
      <c r="F302">
        <v>24</v>
      </c>
      <c r="G302">
        <v>0</v>
      </c>
      <c r="H302">
        <v>2.6</v>
      </c>
      <c r="I302">
        <f t="shared" ref="I302:I303" si="223">H302/(SQRT(F302))*1.96</f>
        <v>1.0402166441019232</v>
      </c>
      <c r="J302">
        <f t="shared" si="194"/>
        <v>-1.0402166441019232</v>
      </c>
      <c r="K302">
        <f t="shared" si="195"/>
        <v>1.0402166441019232</v>
      </c>
      <c r="L302" t="str">
        <f t="shared" si="190"/>
        <v>1.04</v>
      </c>
      <c r="M302" t="str">
        <f t="shared" si="191"/>
        <v>-1.04</v>
      </c>
      <c r="N302" t="str">
        <f t="shared" si="192"/>
        <v>0.00 [1.04, -1.04]</v>
      </c>
    </row>
    <row r="303" spans="1:14" x14ac:dyDescent="0.35">
      <c r="A303">
        <v>519</v>
      </c>
      <c r="B303">
        <v>45</v>
      </c>
      <c r="C303" t="s">
        <v>54</v>
      </c>
      <c r="D303" t="s">
        <v>10</v>
      </c>
      <c r="E303" t="s">
        <v>15</v>
      </c>
      <c r="F303">
        <v>23</v>
      </c>
      <c r="G303">
        <v>2</v>
      </c>
      <c r="H303">
        <v>4.5999999999999996</v>
      </c>
      <c r="I303">
        <f t="shared" si="223"/>
        <v>1.8799659571385861</v>
      </c>
      <c r="J303">
        <f t="shared" si="194"/>
        <v>0.12003404286141395</v>
      </c>
      <c r="K303">
        <f t="shared" si="195"/>
        <v>3.8799659571385861</v>
      </c>
      <c r="L303" t="str">
        <f t="shared" si="190"/>
        <v>1.88</v>
      </c>
      <c r="M303" t="str">
        <f t="shared" si="191"/>
        <v>0.12</v>
      </c>
      <c r="N303" t="str">
        <f t="shared" si="192"/>
        <v>2.00 [1.88, 0.12]</v>
      </c>
    </row>
    <row r="304" spans="1:14" x14ac:dyDescent="0.35">
      <c r="A304">
        <v>10</v>
      </c>
      <c r="B304">
        <v>45</v>
      </c>
      <c r="C304" t="s">
        <v>54</v>
      </c>
      <c r="D304" t="s">
        <v>11</v>
      </c>
      <c r="E304" t="s">
        <v>15</v>
      </c>
      <c r="F304">
        <v>48</v>
      </c>
      <c r="G304">
        <v>0.17499999999999999</v>
      </c>
      <c r="H304">
        <v>1.577747037482788</v>
      </c>
      <c r="I304">
        <f t="shared" ref="I304" si="224">H304*1.96</f>
        <v>3.0923841934662644</v>
      </c>
      <c r="J304">
        <f t="shared" si="194"/>
        <v>-2.9173841934662645</v>
      </c>
      <c r="K304">
        <f t="shared" si="195"/>
        <v>3.2673841934662642</v>
      </c>
      <c r="L304" t="str">
        <f t="shared" si="190"/>
        <v>3.09</v>
      </c>
      <c r="M304" t="str">
        <f t="shared" si="191"/>
        <v>-2.92</v>
      </c>
      <c r="N304" t="str">
        <f t="shared" si="192"/>
        <v>0.18 [3.09, -2.92]</v>
      </c>
    </row>
    <row r="305" spans="1:14" x14ac:dyDescent="0.35">
      <c r="A305">
        <v>326</v>
      </c>
      <c r="B305">
        <v>45</v>
      </c>
      <c r="C305" t="s">
        <v>54</v>
      </c>
      <c r="D305" t="s">
        <v>8</v>
      </c>
      <c r="E305" t="s">
        <v>19</v>
      </c>
      <c r="F305">
        <v>24</v>
      </c>
      <c r="G305">
        <v>92</v>
      </c>
      <c r="H305">
        <v>8.99</v>
      </c>
      <c r="I305">
        <f t="shared" ref="I305:I306" si="225">H305/(SQRT(F305))*1.96</f>
        <v>3.5967490886447262</v>
      </c>
      <c r="J305">
        <f t="shared" si="194"/>
        <v>88.403250911355272</v>
      </c>
      <c r="K305">
        <f t="shared" si="195"/>
        <v>95.596749088644728</v>
      </c>
      <c r="L305" t="str">
        <f t="shared" si="190"/>
        <v>3.60</v>
      </c>
      <c r="M305" t="str">
        <f t="shared" si="191"/>
        <v>88.40</v>
      </c>
      <c r="N305" t="str">
        <f t="shared" si="192"/>
        <v>92.00 [3.60, 88.40]</v>
      </c>
    </row>
    <row r="306" spans="1:14" x14ac:dyDescent="0.35">
      <c r="A306">
        <v>327</v>
      </c>
      <c r="B306">
        <v>45</v>
      </c>
      <c r="C306" t="s">
        <v>54</v>
      </c>
      <c r="D306" t="s">
        <v>10</v>
      </c>
      <c r="E306" t="s">
        <v>19</v>
      </c>
      <c r="F306">
        <v>23</v>
      </c>
      <c r="G306">
        <v>91.8</v>
      </c>
      <c r="H306">
        <v>9.33</v>
      </c>
      <c r="I306">
        <f t="shared" si="225"/>
        <v>3.8130613869789149</v>
      </c>
      <c r="J306">
        <f t="shared" si="194"/>
        <v>87.986938613021081</v>
      </c>
      <c r="K306">
        <f t="shared" si="195"/>
        <v>95.613061386978913</v>
      </c>
      <c r="L306" t="str">
        <f t="shared" si="190"/>
        <v>3.81</v>
      </c>
      <c r="M306" t="str">
        <f t="shared" si="191"/>
        <v>87.99</v>
      </c>
      <c r="N306" t="str">
        <f t="shared" si="192"/>
        <v>91.80 [3.81, 87.99]</v>
      </c>
    </row>
    <row r="307" spans="1:14" x14ac:dyDescent="0.35">
      <c r="A307">
        <v>15</v>
      </c>
      <c r="B307">
        <v>45</v>
      </c>
      <c r="C307" t="s">
        <v>54</v>
      </c>
      <c r="D307" t="s">
        <v>11</v>
      </c>
      <c r="E307" t="s">
        <v>19</v>
      </c>
      <c r="F307">
        <v>47</v>
      </c>
      <c r="G307">
        <v>2.1999999999999999E-2</v>
      </c>
      <c r="H307">
        <v>0.29199999999999998</v>
      </c>
      <c r="I307">
        <f t="shared" ref="I307" si="226">H307*1.96</f>
        <v>0.57231999999999994</v>
      </c>
      <c r="J307">
        <f t="shared" si="194"/>
        <v>-0.55031999999999992</v>
      </c>
      <c r="K307">
        <f t="shared" si="195"/>
        <v>0.59431999999999996</v>
      </c>
      <c r="L307" t="str">
        <f t="shared" si="190"/>
        <v>0.57</v>
      </c>
      <c r="M307" t="str">
        <f t="shared" si="191"/>
        <v>-0.55</v>
      </c>
      <c r="N307" t="str">
        <f t="shared" si="192"/>
        <v>0.02 [0.57, -0.55]</v>
      </c>
    </row>
    <row r="308" spans="1:14" x14ac:dyDescent="0.35">
      <c r="A308">
        <v>460</v>
      </c>
      <c r="B308">
        <v>45</v>
      </c>
      <c r="C308" t="s">
        <v>54</v>
      </c>
      <c r="D308" t="s">
        <v>8</v>
      </c>
      <c r="E308" t="s">
        <v>9</v>
      </c>
      <c r="F308">
        <v>24</v>
      </c>
      <c r="G308">
        <v>5.9</v>
      </c>
      <c r="H308">
        <v>1.28</v>
      </c>
      <c r="I308">
        <f t="shared" ref="I308:I309" si="227">H308/(SQRT(F308))*1.96</f>
        <v>0.51210665555786983</v>
      </c>
      <c r="J308">
        <f t="shared" si="194"/>
        <v>5.3878933444421309</v>
      </c>
      <c r="K308">
        <f t="shared" si="195"/>
        <v>6.4121066555578698</v>
      </c>
      <c r="L308" t="str">
        <f t="shared" si="190"/>
        <v>0.51</v>
      </c>
      <c r="M308" t="str">
        <f t="shared" si="191"/>
        <v>5.39</v>
      </c>
      <c r="N308" t="str">
        <f t="shared" si="192"/>
        <v>5.90 [0.51, 5.39]</v>
      </c>
    </row>
    <row r="309" spans="1:14" x14ac:dyDescent="0.35">
      <c r="A309">
        <v>461</v>
      </c>
      <c r="B309">
        <v>45</v>
      </c>
      <c r="C309" t="s">
        <v>54</v>
      </c>
      <c r="D309" t="s">
        <v>10</v>
      </c>
      <c r="E309" t="s">
        <v>9</v>
      </c>
      <c r="F309">
        <v>23</v>
      </c>
      <c r="G309">
        <v>5.0999999999999996</v>
      </c>
      <c r="H309">
        <v>1.04</v>
      </c>
      <c r="I309">
        <f t="shared" si="227"/>
        <v>0.42503578161394123</v>
      </c>
      <c r="J309">
        <f t="shared" si="194"/>
        <v>4.6749642183860587</v>
      </c>
      <c r="K309">
        <f t="shared" si="195"/>
        <v>5.5250357816139406</v>
      </c>
      <c r="L309" t="str">
        <f t="shared" si="190"/>
        <v>0.43</v>
      </c>
      <c r="M309" t="str">
        <f t="shared" si="191"/>
        <v>4.67</v>
      </c>
      <c r="N309" t="str">
        <f t="shared" si="192"/>
        <v>5.10 [0.43, 4.67]</v>
      </c>
    </row>
    <row r="310" spans="1:14" x14ac:dyDescent="0.35">
      <c r="A310">
        <v>10</v>
      </c>
      <c r="B310">
        <v>45</v>
      </c>
      <c r="C310" t="s">
        <v>54</v>
      </c>
      <c r="D310" t="s">
        <v>11</v>
      </c>
      <c r="E310" t="s">
        <v>9</v>
      </c>
      <c r="F310">
        <v>47</v>
      </c>
      <c r="G310">
        <v>0.68400000000000005</v>
      </c>
      <c r="H310">
        <v>0.30099999999999999</v>
      </c>
      <c r="I310">
        <f t="shared" ref="I310" si="228">H310*1.96</f>
        <v>0.58995999999999993</v>
      </c>
      <c r="J310">
        <f t="shared" si="194"/>
        <v>9.4040000000000123E-2</v>
      </c>
      <c r="K310">
        <f t="shared" si="195"/>
        <v>1.27396</v>
      </c>
      <c r="L310" t="str">
        <f t="shared" si="190"/>
        <v>0.59</v>
      </c>
      <c r="M310" t="str">
        <f t="shared" si="191"/>
        <v>0.09</v>
      </c>
      <c r="N310" t="str">
        <f t="shared" si="192"/>
        <v>0.68 [0.59, 0.09]</v>
      </c>
    </row>
    <row r="311" spans="1:14" x14ac:dyDescent="0.35">
      <c r="A311">
        <v>174</v>
      </c>
      <c r="B311">
        <v>46</v>
      </c>
      <c r="C311" t="s">
        <v>55</v>
      </c>
      <c r="D311" t="s">
        <v>8</v>
      </c>
      <c r="E311" t="s">
        <v>13</v>
      </c>
      <c r="F311">
        <v>15</v>
      </c>
      <c r="G311">
        <v>1.22</v>
      </c>
      <c r="H311">
        <v>0.69</v>
      </c>
      <c r="I311">
        <f t="shared" ref="I311:I312" si="229">H311/(SQRT(F311))*1.96</f>
        <v>0.3491881784940607</v>
      </c>
      <c r="J311">
        <f t="shared" si="194"/>
        <v>0.87081182150593928</v>
      </c>
      <c r="K311">
        <f t="shared" si="195"/>
        <v>1.5691881784940607</v>
      </c>
      <c r="L311" t="str">
        <f t="shared" si="190"/>
        <v>0.35</v>
      </c>
      <c r="M311" t="str">
        <f t="shared" si="191"/>
        <v>0.87</v>
      </c>
      <c r="N311" t="str">
        <f t="shared" si="192"/>
        <v>1.22 [0.35, 0.87]</v>
      </c>
    </row>
    <row r="312" spans="1:14" x14ac:dyDescent="0.35">
      <c r="A312">
        <v>175</v>
      </c>
      <c r="B312">
        <v>46</v>
      </c>
      <c r="C312" t="s">
        <v>55</v>
      </c>
      <c r="D312" t="s">
        <v>10</v>
      </c>
      <c r="E312" t="s">
        <v>13</v>
      </c>
      <c r="F312">
        <v>13</v>
      </c>
      <c r="G312">
        <v>0.96</v>
      </c>
      <c r="H312">
        <v>0.42</v>
      </c>
      <c r="I312">
        <f t="shared" si="229"/>
        <v>0.2283146007663043</v>
      </c>
      <c r="J312">
        <f t="shared" si="194"/>
        <v>0.73168539923369569</v>
      </c>
      <c r="K312">
        <f t="shared" si="195"/>
        <v>1.1883146007663044</v>
      </c>
      <c r="L312" t="str">
        <f t="shared" si="190"/>
        <v>0.23</v>
      </c>
      <c r="M312" t="str">
        <f t="shared" si="191"/>
        <v>0.73</v>
      </c>
      <c r="N312" t="str">
        <f t="shared" si="192"/>
        <v>0.96 [0.23, 0.73]</v>
      </c>
    </row>
    <row r="313" spans="1:14" x14ac:dyDescent="0.35">
      <c r="A313">
        <v>16</v>
      </c>
      <c r="B313">
        <v>46</v>
      </c>
      <c r="C313" t="s">
        <v>55</v>
      </c>
      <c r="D313" t="s">
        <v>11</v>
      </c>
      <c r="E313" t="s">
        <v>13</v>
      </c>
      <c r="F313">
        <v>28</v>
      </c>
      <c r="G313">
        <v>0.44700000000000001</v>
      </c>
      <c r="H313">
        <v>0.38400000000000001</v>
      </c>
      <c r="I313">
        <f t="shared" ref="I313" si="230">H313*1.96</f>
        <v>0.75263999999999998</v>
      </c>
      <c r="J313">
        <f t="shared" si="194"/>
        <v>-0.30563999999999997</v>
      </c>
      <c r="K313">
        <f t="shared" si="195"/>
        <v>1.19964</v>
      </c>
      <c r="L313" t="str">
        <f t="shared" si="190"/>
        <v>0.75</v>
      </c>
      <c r="M313" t="str">
        <f t="shared" si="191"/>
        <v>-0.31</v>
      </c>
      <c r="N313" t="str">
        <f t="shared" si="192"/>
        <v>0.45 [0.75, -0.31]</v>
      </c>
    </row>
    <row r="314" spans="1:14" x14ac:dyDescent="0.35">
      <c r="A314">
        <v>404</v>
      </c>
      <c r="B314">
        <v>46</v>
      </c>
      <c r="C314" t="s">
        <v>55</v>
      </c>
      <c r="D314" t="s">
        <v>8</v>
      </c>
      <c r="E314" t="s">
        <v>16</v>
      </c>
      <c r="F314">
        <v>15</v>
      </c>
      <c r="G314">
        <v>2</v>
      </c>
      <c r="H314">
        <v>0.75</v>
      </c>
      <c r="I314">
        <f t="shared" ref="I314:I315" si="231">H314/(SQRT(F314))*1.96</f>
        <v>0.37955236792832686</v>
      </c>
      <c r="J314">
        <f t="shared" si="194"/>
        <v>1.6204476320716732</v>
      </c>
      <c r="K314">
        <f t="shared" si="195"/>
        <v>2.3795523679283268</v>
      </c>
      <c r="L314" t="str">
        <f t="shared" si="190"/>
        <v>0.38</v>
      </c>
      <c r="M314" t="str">
        <f t="shared" si="191"/>
        <v>1.62</v>
      </c>
      <c r="N314" t="str">
        <f t="shared" si="192"/>
        <v>2.00 [0.38, 1.62]</v>
      </c>
    </row>
    <row r="315" spans="1:14" x14ac:dyDescent="0.35">
      <c r="A315">
        <v>405</v>
      </c>
      <c r="B315">
        <v>46</v>
      </c>
      <c r="C315" t="s">
        <v>55</v>
      </c>
      <c r="D315" t="s">
        <v>10</v>
      </c>
      <c r="E315" t="s">
        <v>16</v>
      </c>
      <c r="F315">
        <v>13</v>
      </c>
      <c r="G315">
        <v>2</v>
      </c>
      <c r="H315">
        <v>0.82</v>
      </c>
      <c r="I315">
        <f t="shared" si="231"/>
        <v>0.44575707768659412</v>
      </c>
      <c r="J315">
        <f t="shared" si="194"/>
        <v>1.554242922313406</v>
      </c>
      <c r="K315">
        <f t="shared" si="195"/>
        <v>2.445757077686594</v>
      </c>
      <c r="L315" t="str">
        <f t="shared" si="190"/>
        <v>0.45</v>
      </c>
      <c r="M315" t="str">
        <f t="shared" si="191"/>
        <v>1.55</v>
      </c>
      <c r="N315" t="str">
        <f t="shared" si="192"/>
        <v>2.00 [0.45, 1.55]</v>
      </c>
    </row>
    <row r="316" spans="1:14" x14ac:dyDescent="0.35">
      <c r="A316">
        <v>13</v>
      </c>
      <c r="B316">
        <v>46</v>
      </c>
      <c r="C316" t="s">
        <v>55</v>
      </c>
      <c r="D316" t="s">
        <v>11</v>
      </c>
      <c r="E316" t="s">
        <v>16</v>
      </c>
      <c r="F316">
        <v>29</v>
      </c>
      <c r="G316">
        <v>0.84599999999999997</v>
      </c>
      <c r="H316">
        <v>0.98378461455349453</v>
      </c>
      <c r="I316">
        <f t="shared" ref="I316" si="232">H316*1.96</f>
        <v>1.9282178445248492</v>
      </c>
      <c r="J316">
        <f t="shared" si="194"/>
        <v>-1.0822178445248491</v>
      </c>
      <c r="K316">
        <f t="shared" si="195"/>
        <v>2.7742178445248493</v>
      </c>
      <c r="L316" t="str">
        <f t="shared" si="190"/>
        <v>1.93</v>
      </c>
      <c r="M316" t="str">
        <f t="shared" si="191"/>
        <v>-1.08</v>
      </c>
      <c r="N316" t="str">
        <f t="shared" si="192"/>
        <v>0.85 [1.93, -1.08]</v>
      </c>
    </row>
    <row r="317" spans="1:14" x14ac:dyDescent="0.35">
      <c r="A317">
        <v>582</v>
      </c>
      <c r="B317">
        <v>46</v>
      </c>
      <c r="C317" t="s">
        <v>55</v>
      </c>
      <c r="D317" t="s">
        <v>8</v>
      </c>
      <c r="E317" t="s">
        <v>14</v>
      </c>
      <c r="F317">
        <v>15</v>
      </c>
      <c r="G317">
        <v>0</v>
      </c>
      <c r="H317">
        <v>0.75</v>
      </c>
      <c r="I317">
        <f t="shared" ref="I317:I318" si="233">H317/(SQRT(F317))*1.96</f>
        <v>0.37955236792832686</v>
      </c>
      <c r="J317">
        <f t="shared" si="194"/>
        <v>-0.37955236792832686</v>
      </c>
      <c r="K317">
        <f t="shared" si="195"/>
        <v>0.37955236792832686</v>
      </c>
      <c r="L317" t="str">
        <f t="shared" si="190"/>
        <v>0.38</v>
      </c>
      <c r="M317" t="str">
        <f t="shared" si="191"/>
        <v>-0.38</v>
      </c>
      <c r="N317" t="str">
        <f t="shared" si="192"/>
        <v>0.00 [0.38, -0.38]</v>
      </c>
    </row>
    <row r="318" spans="1:14" x14ac:dyDescent="0.35">
      <c r="A318">
        <v>583</v>
      </c>
      <c r="B318">
        <v>46</v>
      </c>
      <c r="C318" t="s">
        <v>55</v>
      </c>
      <c r="D318" t="s">
        <v>10</v>
      </c>
      <c r="E318" t="s">
        <v>14</v>
      </c>
      <c r="F318">
        <v>13</v>
      </c>
      <c r="G318">
        <v>0</v>
      </c>
      <c r="H318">
        <v>0.82</v>
      </c>
      <c r="I318">
        <f t="shared" si="233"/>
        <v>0.44575707768659412</v>
      </c>
      <c r="J318">
        <f t="shared" si="194"/>
        <v>-0.44575707768659412</v>
      </c>
      <c r="K318">
        <f t="shared" si="195"/>
        <v>0.44575707768659412</v>
      </c>
      <c r="L318" t="str">
        <f t="shared" si="190"/>
        <v>0.45</v>
      </c>
      <c r="M318" t="str">
        <f t="shared" si="191"/>
        <v>-0.45</v>
      </c>
      <c r="N318" t="str">
        <f t="shared" si="192"/>
        <v>0.00 [0.45, -0.45]</v>
      </c>
    </row>
    <row r="319" spans="1:14" x14ac:dyDescent="0.35">
      <c r="A319">
        <v>13</v>
      </c>
      <c r="B319">
        <v>46</v>
      </c>
      <c r="C319" t="s">
        <v>55</v>
      </c>
      <c r="D319" t="s">
        <v>11</v>
      </c>
      <c r="E319" t="s">
        <v>14</v>
      </c>
      <c r="F319">
        <v>29</v>
      </c>
      <c r="G319">
        <v>0.86699999999999999</v>
      </c>
      <c r="H319">
        <v>2.0355809351607079</v>
      </c>
      <c r="I319">
        <f t="shared" ref="I319" si="234">H319*1.96</f>
        <v>3.9897386329149875</v>
      </c>
      <c r="J319">
        <f t="shared" si="194"/>
        <v>-3.1227386329149875</v>
      </c>
      <c r="K319">
        <f t="shared" si="195"/>
        <v>4.856738632914988</v>
      </c>
      <c r="L319" t="str">
        <f t="shared" si="190"/>
        <v>3.99</v>
      </c>
      <c r="M319" t="str">
        <f t="shared" si="191"/>
        <v>-3.12</v>
      </c>
      <c r="N319" t="str">
        <f t="shared" si="192"/>
        <v>0.87 [3.99, -3.12]</v>
      </c>
    </row>
    <row r="320" spans="1:14" x14ac:dyDescent="0.35">
      <c r="A320">
        <v>406</v>
      </c>
      <c r="B320">
        <v>47</v>
      </c>
      <c r="C320" t="s">
        <v>56</v>
      </c>
      <c r="D320" t="s">
        <v>10</v>
      </c>
      <c r="E320" t="s">
        <v>16</v>
      </c>
      <c r="F320">
        <v>44</v>
      </c>
      <c r="G320">
        <v>6</v>
      </c>
      <c r="H320">
        <v>1.07</v>
      </c>
      <c r="I320">
        <f t="shared" ref="I320:I321" si="235">H320/(SQRT(F320))*1.96</f>
        <v>0.3161647959242429</v>
      </c>
      <c r="J320">
        <f t="shared" si="194"/>
        <v>5.6838352040757574</v>
      </c>
      <c r="K320">
        <f t="shared" si="195"/>
        <v>6.3161647959242426</v>
      </c>
      <c r="L320" t="str">
        <f t="shared" si="190"/>
        <v>0.32</v>
      </c>
      <c r="M320" t="str">
        <f t="shared" si="191"/>
        <v>5.68</v>
      </c>
      <c r="N320" t="str">
        <f t="shared" si="192"/>
        <v>6.00 [0.32, 5.68]</v>
      </c>
    </row>
    <row r="321" spans="1:14" x14ac:dyDescent="0.35">
      <c r="A321">
        <v>407</v>
      </c>
      <c r="B321">
        <v>47</v>
      </c>
      <c r="C321" t="s">
        <v>56</v>
      </c>
      <c r="D321" t="s">
        <v>35</v>
      </c>
      <c r="E321" t="s">
        <v>16</v>
      </c>
      <c r="F321">
        <v>48</v>
      </c>
      <c r="G321">
        <v>4</v>
      </c>
      <c r="H321">
        <v>0.75</v>
      </c>
      <c r="I321">
        <f t="shared" si="235"/>
        <v>0.21217622392718749</v>
      </c>
      <c r="J321">
        <f t="shared" si="194"/>
        <v>3.7878237760728126</v>
      </c>
      <c r="K321">
        <f t="shared" si="195"/>
        <v>4.2121762239271874</v>
      </c>
      <c r="L321" t="str">
        <f t="shared" si="190"/>
        <v>0.21</v>
      </c>
      <c r="M321" t="str">
        <f t="shared" si="191"/>
        <v>3.79</v>
      </c>
      <c r="N321" t="str">
        <f t="shared" si="192"/>
        <v>4.00 [0.21, 3.79]</v>
      </c>
    </row>
    <row r="322" spans="1:14" x14ac:dyDescent="0.35">
      <c r="A322">
        <v>14</v>
      </c>
      <c r="B322">
        <v>47</v>
      </c>
      <c r="C322" t="s">
        <v>56</v>
      </c>
      <c r="D322" t="s">
        <v>36</v>
      </c>
      <c r="E322" t="s">
        <v>16</v>
      </c>
      <c r="F322">
        <v>93</v>
      </c>
      <c r="G322">
        <v>1.673</v>
      </c>
      <c r="H322">
        <v>0.65200570416932158</v>
      </c>
      <c r="I322">
        <f t="shared" ref="I322" si="236">H322*1.96</f>
        <v>1.2779311801718702</v>
      </c>
      <c r="J322">
        <f t="shared" si="194"/>
        <v>0.3950688198281298</v>
      </c>
      <c r="K322">
        <f t="shared" si="195"/>
        <v>2.9509311801718701</v>
      </c>
      <c r="L322" t="str">
        <f t="shared" si="190"/>
        <v>1.28</v>
      </c>
      <c r="M322" t="str">
        <f t="shared" si="191"/>
        <v>0.40</v>
      </c>
      <c r="N322" t="str">
        <f t="shared" si="192"/>
        <v>1.67 [1.28, 0.40]</v>
      </c>
    </row>
    <row r="323" spans="1:14" x14ac:dyDescent="0.35">
      <c r="A323">
        <v>584</v>
      </c>
      <c r="B323">
        <v>47</v>
      </c>
      <c r="C323" t="s">
        <v>56</v>
      </c>
      <c r="D323" t="s">
        <v>10</v>
      </c>
      <c r="E323" t="s">
        <v>14</v>
      </c>
      <c r="F323">
        <v>44</v>
      </c>
      <c r="G323">
        <v>1</v>
      </c>
      <c r="H323">
        <v>1.07</v>
      </c>
      <c r="I323">
        <f t="shared" ref="I323:I324" si="237">H323/(SQRT(F323))*1.96</f>
        <v>0.3161647959242429</v>
      </c>
      <c r="J323">
        <f t="shared" si="194"/>
        <v>0.68383520407575715</v>
      </c>
      <c r="K323">
        <f t="shared" si="195"/>
        <v>1.3161647959242428</v>
      </c>
      <c r="L323" t="str">
        <f t="shared" ref="L323:L386" si="238">TEXT(I323,"#0.00")</f>
        <v>0.32</v>
      </c>
      <c r="M323" t="str">
        <f t="shared" ref="M323:M386" si="239">TEXT(J323,"#0.00")</f>
        <v>0.68</v>
      </c>
      <c r="N323" t="str">
        <f t="shared" ref="N323:N386" si="240">TEXT(G323,"#0.00")&amp;" ["&amp;L323&amp;", "&amp;M323&amp;"]"</f>
        <v>1.00 [0.32, 0.68]</v>
      </c>
    </row>
    <row r="324" spans="1:14" x14ac:dyDescent="0.35">
      <c r="A324">
        <v>585</v>
      </c>
      <c r="B324">
        <v>47</v>
      </c>
      <c r="C324" t="s">
        <v>56</v>
      </c>
      <c r="D324" t="s">
        <v>35</v>
      </c>
      <c r="E324" t="s">
        <v>14</v>
      </c>
      <c r="F324">
        <v>48</v>
      </c>
      <c r="G324">
        <v>0</v>
      </c>
      <c r="H324">
        <v>0.75</v>
      </c>
      <c r="I324">
        <f t="shared" si="237"/>
        <v>0.21217622392718749</v>
      </c>
      <c r="J324">
        <f t="shared" si="194"/>
        <v>-0.21217622392718749</v>
      </c>
      <c r="K324">
        <f t="shared" si="195"/>
        <v>0.21217622392718749</v>
      </c>
      <c r="L324" t="str">
        <f t="shared" si="238"/>
        <v>0.21</v>
      </c>
      <c r="M324" t="str">
        <f t="shared" si="239"/>
        <v>-0.21</v>
      </c>
      <c r="N324" t="str">
        <f t="shared" si="240"/>
        <v>0.00 [0.21, -0.21]</v>
      </c>
    </row>
    <row r="325" spans="1:14" x14ac:dyDescent="0.35">
      <c r="A325">
        <v>14</v>
      </c>
      <c r="B325">
        <v>47</v>
      </c>
      <c r="C325" t="s">
        <v>56</v>
      </c>
      <c r="D325" t="s">
        <v>36</v>
      </c>
      <c r="E325" t="s">
        <v>14</v>
      </c>
      <c r="F325">
        <v>93</v>
      </c>
      <c r="G325">
        <v>3.3490000000000002</v>
      </c>
      <c r="H325">
        <v>1.6464373094513769</v>
      </c>
      <c r="I325">
        <f t="shared" ref="I325" si="241">H325*1.96</f>
        <v>3.2270171265246987</v>
      </c>
      <c r="J325">
        <f t="shared" ref="J325:J388" si="242">G325-I325</f>
        <v>0.12198287347530146</v>
      </c>
      <c r="K325">
        <f t="shared" ref="K325:K388" si="243">G325+I325</f>
        <v>6.5760171265246985</v>
      </c>
      <c r="L325" t="str">
        <f t="shared" si="238"/>
        <v>3.23</v>
      </c>
      <c r="M325" t="str">
        <f t="shared" si="239"/>
        <v>0.12</v>
      </c>
      <c r="N325" t="str">
        <f t="shared" si="240"/>
        <v>3.35 [3.23, 0.12]</v>
      </c>
    </row>
    <row r="326" spans="1:14" x14ac:dyDescent="0.35">
      <c r="A326">
        <v>8</v>
      </c>
      <c r="B326">
        <v>49</v>
      </c>
      <c r="C326" t="s">
        <v>57</v>
      </c>
      <c r="D326" t="s">
        <v>8</v>
      </c>
      <c r="E326" t="s">
        <v>22</v>
      </c>
      <c r="F326">
        <v>40</v>
      </c>
      <c r="G326">
        <v>1</v>
      </c>
      <c r="H326">
        <v>0.24</v>
      </c>
      <c r="I326">
        <f t="shared" ref="I326:I327" si="244">H326/(SQRT(F326))*1.96</f>
        <v>7.4376770567160272E-2</v>
      </c>
      <c r="J326">
        <f t="shared" si="242"/>
        <v>0.9256232294328397</v>
      </c>
      <c r="K326">
        <f t="shared" si="243"/>
        <v>1.0743767705671603</v>
      </c>
      <c r="L326" t="str">
        <f t="shared" si="238"/>
        <v>0.07</v>
      </c>
      <c r="M326" t="str">
        <f t="shared" si="239"/>
        <v>0.93</v>
      </c>
      <c r="N326" t="str">
        <f t="shared" si="240"/>
        <v>1.00 [0.07, 0.93]</v>
      </c>
    </row>
    <row r="327" spans="1:14" x14ac:dyDescent="0.35">
      <c r="A327">
        <v>9</v>
      </c>
      <c r="B327">
        <v>49</v>
      </c>
      <c r="C327" t="s">
        <v>57</v>
      </c>
      <c r="D327" t="s">
        <v>10</v>
      </c>
      <c r="E327" t="s">
        <v>22</v>
      </c>
      <c r="F327">
        <v>78</v>
      </c>
      <c r="G327">
        <v>2</v>
      </c>
      <c r="H327">
        <v>0.42</v>
      </c>
      <c r="I327">
        <f t="shared" si="244"/>
        <v>9.320904545078311E-2</v>
      </c>
      <c r="J327">
        <f t="shared" si="242"/>
        <v>1.906790954549217</v>
      </c>
      <c r="K327">
        <f t="shared" si="243"/>
        <v>2.093209045450783</v>
      </c>
      <c r="L327" t="str">
        <f t="shared" si="238"/>
        <v>0.09</v>
      </c>
      <c r="M327" t="str">
        <f t="shared" si="239"/>
        <v>1.91</v>
      </c>
      <c r="N327" t="str">
        <f t="shared" si="240"/>
        <v>2.00 [0.09, 1.91]</v>
      </c>
    </row>
    <row r="328" spans="1:14" x14ac:dyDescent="0.35">
      <c r="A328">
        <v>2</v>
      </c>
      <c r="B328">
        <v>49</v>
      </c>
      <c r="C328" t="s">
        <v>57</v>
      </c>
      <c r="D328" t="s">
        <v>11</v>
      </c>
      <c r="E328" t="s">
        <v>22</v>
      </c>
      <c r="F328">
        <v>119</v>
      </c>
      <c r="G328">
        <v>1.169</v>
      </c>
      <c r="H328">
        <v>1.0514112359322281</v>
      </c>
      <c r="I328">
        <f t="shared" ref="I328" si="245">H328*1.96</f>
        <v>2.0607660224271669</v>
      </c>
      <c r="J328">
        <f t="shared" si="242"/>
        <v>-0.89176602242716685</v>
      </c>
      <c r="K328">
        <f t="shared" si="243"/>
        <v>3.2297660224271669</v>
      </c>
      <c r="L328" t="str">
        <f t="shared" si="238"/>
        <v>2.06</v>
      </c>
      <c r="M328" t="str">
        <f t="shared" si="239"/>
        <v>-0.89</v>
      </c>
      <c r="N328" t="str">
        <f t="shared" si="240"/>
        <v>1.17 [2.06, -0.89]</v>
      </c>
    </row>
    <row r="329" spans="1:14" x14ac:dyDescent="0.35">
      <c r="A329">
        <v>178</v>
      </c>
      <c r="B329">
        <v>49</v>
      </c>
      <c r="C329" t="s">
        <v>57</v>
      </c>
      <c r="D329" t="s">
        <v>8</v>
      </c>
      <c r="E329" t="s">
        <v>13</v>
      </c>
      <c r="F329">
        <v>40</v>
      </c>
      <c r="G329">
        <v>1</v>
      </c>
      <c r="H329">
        <v>3.01</v>
      </c>
      <c r="I329">
        <f t="shared" ref="I329:I330" si="246">H329/(SQRT(F329))*1.96</f>
        <v>0.93280866419646846</v>
      </c>
      <c r="J329">
        <f t="shared" si="242"/>
        <v>6.7191335803531538E-2</v>
      </c>
      <c r="K329">
        <f t="shared" si="243"/>
        <v>1.9328086641964686</v>
      </c>
      <c r="L329" t="str">
        <f t="shared" si="238"/>
        <v>0.93</v>
      </c>
      <c r="M329" t="str">
        <f t="shared" si="239"/>
        <v>0.07</v>
      </c>
      <c r="N329" t="str">
        <f t="shared" si="240"/>
        <v>1.00 [0.93, 0.07]</v>
      </c>
    </row>
    <row r="330" spans="1:14" x14ac:dyDescent="0.35">
      <c r="A330">
        <v>179</v>
      </c>
      <c r="B330">
        <v>49</v>
      </c>
      <c r="C330" t="s">
        <v>57</v>
      </c>
      <c r="D330" t="s">
        <v>10</v>
      </c>
      <c r="E330" t="s">
        <v>13</v>
      </c>
      <c r="F330">
        <v>78</v>
      </c>
      <c r="G330">
        <v>1.5</v>
      </c>
      <c r="H330">
        <v>3.12</v>
      </c>
      <c r="I330">
        <f t="shared" si="246"/>
        <v>0.69241005192010319</v>
      </c>
      <c r="J330">
        <f t="shared" si="242"/>
        <v>0.80758994807989681</v>
      </c>
      <c r="K330">
        <f t="shared" si="243"/>
        <v>2.1924100519201031</v>
      </c>
      <c r="L330" t="str">
        <f t="shared" si="238"/>
        <v>0.69</v>
      </c>
      <c r="M330" t="str">
        <f t="shared" si="239"/>
        <v>0.81</v>
      </c>
      <c r="N330" t="str">
        <f t="shared" si="240"/>
        <v>1.50 [0.69, 0.81]</v>
      </c>
    </row>
    <row r="331" spans="1:14" x14ac:dyDescent="0.35">
      <c r="A331">
        <v>17</v>
      </c>
      <c r="B331">
        <v>49</v>
      </c>
      <c r="C331" t="s">
        <v>57</v>
      </c>
      <c r="D331" t="s">
        <v>11</v>
      </c>
      <c r="E331" t="s">
        <v>13</v>
      </c>
      <c r="F331">
        <v>118</v>
      </c>
      <c r="G331">
        <v>0.16200000000000001</v>
      </c>
      <c r="H331">
        <v>0.19500000000000001</v>
      </c>
      <c r="I331">
        <f t="shared" ref="I331" si="247">H331*1.96</f>
        <v>0.38219999999999998</v>
      </c>
      <c r="J331">
        <f t="shared" si="242"/>
        <v>-0.22019999999999998</v>
      </c>
      <c r="K331">
        <f t="shared" si="243"/>
        <v>0.54420000000000002</v>
      </c>
      <c r="L331" t="str">
        <f t="shared" si="238"/>
        <v>0.38</v>
      </c>
      <c r="M331" t="str">
        <f t="shared" si="239"/>
        <v>-0.22</v>
      </c>
      <c r="N331" t="str">
        <f t="shared" si="240"/>
        <v>0.16 [0.38, -0.22]</v>
      </c>
    </row>
    <row r="332" spans="1:14" x14ac:dyDescent="0.35">
      <c r="A332">
        <v>330</v>
      </c>
      <c r="B332">
        <v>49</v>
      </c>
      <c r="C332" t="s">
        <v>57</v>
      </c>
      <c r="D332" t="s">
        <v>8</v>
      </c>
      <c r="E332" t="s">
        <v>19</v>
      </c>
      <c r="F332">
        <v>40</v>
      </c>
      <c r="G332">
        <v>94</v>
      </c>
      <c r="H332">
        <v>18.09</v>
      </c>
      <c r="I332">
        <f t="shared" ref="I332:I333" si="248">H332/(SQRT(F332))*1.96</f>
        <v>5.6061490814997059</v>
      </c>
      <c r="J332">
        <f t="shared" si="242"/>
        <v>88.393850918500291</v>
      </c>
      <c r="K332">
        <f t="shared" si="243"/>
        <v>99.606149081499709</v>
      </c>
      <c r="L332" t="str">
        <f t="shared" si="238"/>
        <v>5.61</v>
      </c>
      <c r="M332" t="str">
        <f t="shared" si="239"/>
        <v>88.39</v>
      </c>
      <c r="N332" t="str">
        <f t="shared" si="240"/>
        <v>94.00 [5.61, 88.39]</v>
      </c>
    </row>
    <row r="333" spans="1:14" x14ac:dyDescent="0.35">
      <c r="A333">
        <v>331</v>
      </c>
      <c r="B333">
        <v>49</v>
      </c>
      <c r="C333" t="s">
        <v>57</v>
      </c>
      <c r="D333" t="s">
        <v>10</v>
      </c>
      <c r="E333" t="s">
        <v>19</v>
      </c>
      <c r="F333">
        <v>78</v>
      </c>
      <c r="G333">
        <v>92</v>
      </c>
      <c r="H333">
        <v>13.4</v>
      </c>
      <c r="I333">
        <f t="shared" si="248"/>
        <v>2.9738124024773662</v>
      </c>
      <c r="J333">
        <f t="shared" si="242"/>
        <v>89.026187597522636</v>
      </c>
      <c r="K333">
        <f t="shared" si="243"/>
        <v>94.973812402477364</v>
      </c>
      <c r="L333" t="str">
        <f t="shared" si="238"/>
        <v>2.97</v>
      </c>
      <c r="M333" t="str">
        <f t="shared" si="239"/>
        <v>89.03</v>
      </c>
      <c r="N333" t="str">
        <f t="shared" si="240"/>
        <v>92.00 [2.97, 89.03]</v>
      </c>
    </row>
    <row r="334" spans="1:14" x14ac:dyDescent="0.35">
      <c r="A334">
        <v>16</v>
      </c>
      <c r="B334">
        <v>49</v>
      </c>
      <c r="C334" t="s">
        <v>57</v>
      </c>
      <c r="D334" t="s">
        <v>11</v>
      </c>
      <c r="E334" t="s">
        <v>19</v>
      </c>
      <c r="F334">
        <v>118</v>
      </c>
      <c r="G334">
        <v>0.13200000000000001</v>
      </c>
      <c r="H334">
        <v>0.19500000000000001</v>
      </c>
      <c r="I334">
        <f t="shared" ref="I334" si="249">H334*1.96</f>
        <v>0.38219999999999998</v>
      </c>
      <c r="J334">
        <f t="shared" si="242"/>
        <v>-0.25019999999999998</v>
      </c>
      <c r="K334">
        <f t="shared" si="243"/>
        <v>0.51419999999999999</v>
      </c>
      <c r="L334" t="str">
        <f t="shared" si="238"/>
        <v>0.38</v>
      </c>
      <c r="M334" t="str">
        <f t="shared" si="239"/>
        <v>-0.25</v>
      </c>
      <c r="N334" t="str">
        <f t="shared" si="240"/>
        <v>0.13 [0.38, -0.25]</v>
      </c>
    </row>
    <row r="335" spans="1:14" x14ac:dyDescent="0.35">
      <c r="A335">
        <v>462</v>
      </c>
      <c r="B335">
        <v>49</v>
      </c>
      <c r="C335" t="s">
        <v>57</v>
      </c>
      <c r="D335" t="s">
        <v>8</v>
      </c>
      <c r="E335" t="s">
        <v>9</v>
      </c>
      <c r="F335">
        <v>40</v>
      </c>
      <c r="G335">
        <v>6</v>
      </c>
      <c r="H335">
        <v>1.86</v>
      </c>
      <c r="I335">
        <f t="shared" ref="I335:I336" si="250">H335/(SQRT(F335))*1.96</f>
        <v>0.57641997189549221</v>
      </c>
      <c r="J335">
        <f t="shared" si="242"/>
        <v>5.4235800281045075</v>
      </c>
      <c r="K335">
        <f t="shared" si="243"/>
        <v>6.5764199718954925</v>
      </c>
      <c r="L335" t="str">
        <f t="shared" si="238"/>
        <v>0.58</v>
      </c>
      <c r="M335" t="str">
        <f t="shared" si="239"/>
        <v>5.42</v>
      </c>
      <c r="N335" t="str">
        <f t="shared" si="240"/>
        <v>6.00 [0.58, 5.42]</v>
      </c>
    </row>
    <row r="336" spans="1:14" x14ac:dyDescent="0.35">
      <c r="A336">
        <v>463</v>
      </c>
      <c r="B336">
        <v>49</v>
      </c>
      <c r="C336" t="s">
        <v>57</v>
      </c>
      <c r="D336" t="s">
        <v>10</v>
      </c>
      <c r="E336" t="s">
        <v>9</v>
      </c>
      <c r="F336">
        <v>78</v>
      </c>
      <c r="G336">
        <v>4</v>
      </c>
      <c r="H336">
        <v>1.64</v>
      </c>
      <c r="I336">
        <f t="shared" si="250"/>
        <v>0.36395912985543882</v>
      </c>
      <c r="J336">
        <f t="shared" si="242"/>
        <v>3.6360408701445612</v>
      </c>
      <c r="K336">
        <f t="shared" si="243"/>
        <v>4.3639591298554388</v>
      </c>
      <c r="L336" t="str">
        <f t="shared" si="238"/>
        <v>0.36</v>
      </c>
      <c r="M336" t="str">
        <f t="shared" si="239"/>
        <v>3.64</v>
      </c>
      <c r="N336" t="str">
        <f t="shared" si="240"/>
        <v>4.00 [0.36, 3.64]</v>
      </c>
    </row>
    <row r="337" spans="1:14" x14ac:dyDescent="0.35">
      <c r="A337">
        <v>11</v>
      </c>
      <c r="B337">
        <v>49</v>
      </c>
      <c r="C337" t="s">
        <v>57</v>
      </c>
      <c r="D337" t="s">
        <v>11</v>
      </c>
      <c r="E337" t="s">
        <v>9</v>
      </c>
      <c r="F337">
        <v>118</v>
      </c>
      <c r="G337">
        <v>1.165</v>
      </c>
      <c r="H337">
        <v>0.20899999999999999</v>
      </c>
      <c r="I337">
        <f t="shared" ref="I337" si="251">H337*1.96</f>
        <v>0.40963999999999995</v>
      </c>
      <c r="J337">
        <f t="shared" si="242"/>
        <v>0.75536000000000003</v>
      </c>
      <c r="K337">
        <f t="shared" si="243"/>
        <v>1.57464</v>
      </c>
      <c r="L337" t="str">
        <f t="shared" si="238"/>
        <v>0.41</v>
      </c>
      <c r="M337" t="str">
        <f t="shared" si="239"/>
        <v>0.76</v>
      </c>
      <c r="N337" t="str">
        <f t="shared" si="240"/>
        <v>1.17 [0.41, 0.76]</v>
      </c>
    </row>
    <row r="338" spans="1:14" x14ac:dyDescent="0.35">
      <c r="A338">
        <v>92</v>
      </c>
      <c r="B338">
        <v>51</v>
      </c>
      <c r="C338" t="s">
        <v>58</v>
      </c>
      <c r="D338" t="s">
        <v>10</v>
      </c>
      <c r="E338" t="s">
        <v>27</v>
      </c>
      <c r="F338">
        <v>32</v>
      </c>
      <c r="G338">
        <v>87.5</v>
      </c>
      <c r="H338">
        <v>3.2</v>
      </c>
      <c r="I338">
        <f t="shared" ref="I338:I339" si="252">H338/(SQRT(F338))*1.96</f>
        <v>1.1087434329005066</v>
      </c>
      <c r="J338">
        <f t="shared" si="242"/>
        <v>86.391256567099489</v>
      </c>
      <c r="K338">
        <f t="shared" si="243"/>
        <v>88.608743432900511</v>
      </c>
      <c r="L338" t="str">
        <f t="shared" si="238"/>
        <v>1.11</v>
      </c>
      <c r="M338" t="str">
        <f t="shared" si="239"/>
        <v>86.39</v>
      </c>
      <c r="N338" t="str">
        <f t="shared" si="240"/>
        <v>87.50 [1.11, 86.39]</v>
      </c>
    </row>
    <row r="339" spans="1:14" x14ac:dyDescent="0.35">
      <c r="A339">
        <v>93</v>
      </c>
      <c r="B339">
        <v>51</v>
      </c>
      <c r="C339" t="s">
        <v>58</v>
      </c>
      <c r="D339" t="s">
        <v>35</v>
      </c>
      <c r="E339" t="s">
        <v>27</v>
      </c>
      <c r="F339">
        <v>32</v>
      </c>
      <c r="G339">
        <v>83.8</v>
      </c>
      <c r="H339">
        <v>6.9</v>
      </c>
      <c r="I339">
        <f t="shared" si="252"/>
        <v>2.3907280271917171</v>
      </c>
      <c r="J339">
        <f t="shared" si="242"/>
        <v>81.409271972808284</v>
      </c>
      <c r="K339">
        <f t="shared" si="243"/>
        <v>86.19072802719171</v>
      </c>
      <c r="L339" t="str">
        <f t="shared" si="238"/>
        <v>2.39</v>
      </c>
      <c r="M339" t="str">
        <f t="shared" si="239"/>
        <v>81.41</v>
      </c>
      <c r="N339" t="str">
        <f t="shared" si="240"/>
        <v>83.80 [2.39, 81.41]</v>
      </c>
    </row>
    <row r="340" spans="1:14" x14ac:dyDescent="0.35">
      <c r="A340">
        <v>10</v>
      </c>
      <c r="B340">
        <v>51</v>
      </c>
      <c r="C340" t="s">
        <v>58</v>
      </c>
      <c r="D340" t="s">
        <v>36</v>
      </c>
      <c r="E340" t="s">
        <v>27</v>
      </c>
      <c r="F340">
        <v>64</v>
      </c>
      <c r="G340">
        <v>0.68799999999999994</v>
      </c>
      <c r="H340">
        <v>0.25800000000000001</v>
      </c>
      <c r="I340">
        <f t="shared" ref="I340" si="253">H340*1.96</f>
        <v>0.50568000000000002</v>
      </c>
      <c r="J340">
        <f t="shared" si="242"/>
        <v>0.18231999999999993</v>
      </c>
      <c r="K340">
        <f t="shared" si="243"/>
        <v>1.1936800000000001</v>
      </c>
      <c r="L340" t="str">
        <f t="shared" si="238"/>
        <v>0.51</v>
      </c>
      <c r="M340" t="str">
        <f t="shared" si="239"/>
        <v>0.18</v>
      </c>
      <c r="N340" t="str">
        <f t="shared" si="240"/>
        <v>0.69 [0.51, 0.18]</v>
      </c>
    </row>
    <row r="341" spans="1:14" x14ac:dyDescent="0.35">
      <c r="A341">
        <v>182</v>
      </c>
      <c r="B341">
        <v>51</v>
      </c>
      <c r="C341" t="s">
        <v>58</v>
      </c>
      <c r="D341" t="s">
        <v>10</v>
      </c>
      <c r="E341" t="s">
        <v>13</v>
      </c>
      <c r="F341">
        <v>32</v>
      </c>
      <c r="G341">
        <v>2.1</v>
      </c>
      <c r="H341">
        <v>1.6</v>
      </c>
      <c r="I341">
        <f t="shared" ref="I341:I342" si="254">H341/(SQRT(F341))*1.96</f>
        <v>0.55437171645025329</v>
      </c>
      <c r="J341">
        <f t="shared" si="242"/>
        <v>1.5456282835497468</v>
      </c>
      <c r="K341">
        <f t="shared" si="243"/>
        <v>2.6543717164502532</v>
      </c>
      <c r="L341" t="str">
        <f t="shared" si="238"/>
        <v>0.55</v>
      </c>
      <c r="M341" t="str">
        <f t="shared" si="239"/>
        <v>1.55</v>
      </c>
      <c r="N341" t="str">
        <f t="shared" si="240"/>
        <v>2.10 [0.55, 1.55]</v>
      </c>
    </row>
    <row r="342" spans="1:14" x14ac:dyDescent="0.35">
      <c r="A342">
        <v>183</v>
      </c>
      <c r="B342">
        <v>51</v>
      </c>
      <c r="C342" t="s">
        <v>58</v>
      </c>
      <c r="D342" t="s">
        <v>35</v>
      </c>
      <c r="E342" t="s">
        <v>13</v>
      </c>
      <c r="F342">
        <v>32</v>
      </c>
      <c r="G342">
        <v>3.5</v>
      </c>
      <c r="H342">
        <v>1.2</v>
      </c>
      <c r="I342">
        <f t="shared" si="254"/>
        <v>0.41577878733768986</v>
      </c>
      <c r="J342">
        <f t="shared" si="242"/>
        <v>3.0842212126623103</v>
      </c>
      <c r="K342">
        <f t="shared" si="243"/>
        <v>3.9157787873376897</v>
      </c>
      <c r="L342" t="str">
        <f t="shared" si="238"/>
        <v>0.42</v>
      </c>
      <c r="M342" t="str">
        <f t="shared" si="239"/>
        <v>3.08</v>
      </c>
      <c r="N342" t="str">
        <f t="shared" si="240"/>
        <v>3.50 [0.42, 3.08]</v>
      </c>
    </row>
    <row r="343" spans="1:14" x14ac:dyDescent="0.35">
      <c r="A343">
        <v>18</v>
      </c>
      <c r="B343">
        <v>51</v>
      </c>
      <c r="C343" t="s">
        <v>58</v>
      </c>
      <c r="D343" t="s">
        <v>36</v>
      </c>
      <c r="E343" t="s">
        <v>13</v>
      </c>
      <c r="F343">
        <v>64</v>
      </c>
      <c r="G343">
        <v>0.99</v>
      </c>
      <c r="H343">
        <v>0.26500000000000001</v>
      </c>
      <c r="I343">
        <f t="shared" ref="I343" si="255">H343*1.96</f>
        <v>0.51939999999999997</v>
      </c>
      <c r="J343">
        <f t="shared" si="242"/>
        <v>0.47060000000000002</v>
      </c>
      <c r="K343">
        <f t="shared" si="243"/>
        <v>1.5093999999999999</v>
      </c>
      <c r="L343" t="str">
        <f t="shared" si="238"/>
        <v>0.52</v>
      </c>
      <c r="M343" t="str">
        <f t="shared" si="239"/>
        <v>0.47</v>
      </c>
      <c r="N343" t="str">
        <f t="shared" si="240"/>
        <v>0.99 [0.52, 0.47]</v>
      </c>
    </row>
    <row r="344" spans="1:14" x14ac:dyDescent="0.35">
      <c r="A344">
        <v>264</v>
      </c>
      <c r="B344">
        <v>51</v>
      </c>
      <c r="C344" t="s">
        <v>58</v>
      </c>
      <c r="D344" t="s">
        <v>10</v>
      </c>
      <c r="E344" t="s">
        <v>17</v>
      </c>
      <c r="F344">
        <v>32</v>
      </c>
      <c r="G344">
        <v>6</v>
      </c>
      <c r="H344">
        <v>1.41</v>
      </c>
      <c r="I344">
        <f t="shared" ref="I344:I345" si="256">H344/(SQRT(F344))*1.96</f>
        <v>0.4885400751217856</v>
      </c>
      <c r="J344">
        <f t="shared" si="242"/>
        <v>5.5114599248782143</v>
      </c>
      <c r="K344">
        <f t="shared" si="243"/>
        <v>6.4885400751217857</v>
      </c>
      <c r="L344" t="str">
        <f t="shared" si="238"/>
        <v>0.49</v>
      </c>
      <c r="M344" t="str">
        <f t="shared" si="239"/>
        <v>5.51</v>
      </c>
      <c r="N344" t="str">
        <f t="shared" si="240"/>
        <v>6.00 [0.49, 5.51]</v>
      </c>
    </row>
    <row r="345" spans="1:14" x14ac:dyDescent="0.35">
      <c r="A345">
        <v>265</v>
      </c>
      <c r="B345">
        <v>51</v>
      </c>
      <c r="C345" t="s">
        <v>58</v>
      </c>
      <c r="D345" t="s">
        <v>35</v>
      </c>
      <c r="E345" t="s">
        <v>17</v>
      </c>
      <c r="F345">
        <v>32</v>
      </c>
      <c r="G345">
        <v>13</v>
      </c>
      <c r="H345">
        <v>4.0199999999999996</v>
      </c>
      <c r="I345">
        <f t="shared" si="256"/>
        <v>1.392858937581261</v>
      </c>
      <c r="J345">
        <f t="shared" si="242"/>
        <v>11.607141062418739</v>
      </c>
      <c r="K345">
        <f t="shared" si="243"/>
        <v>14.392858937581261</v>
      </c>
      <c r="L345" t="str">
        <f t="shared" si="238"/>
        <v>1.39</v>
      </c>
      <c r="M345" t="str">
        <f t="shared" si="239"/>
        <v>11.61</v>
      </c>
      <c r="N345" t="str">
        <f t="shared" si="240"/>
        <v>13.00 [1.39, 11.61]</v>
      </c>
    </row>
    <row r="346" spans="1:14" x14ac:dyDescent="0.35">
      <c r="A346">
        <v>11</v>
      </c>
      <c r="B346">
        <v>51</v>
      </c>
      <c r="C346" t="s">
        <v>58</v>
      </c>
      <c r="D346" t="s">
        <v>36</v>
      </c>
      <c r="E346" t="s">
        <v>17</v>
      </c>
      <c r="F346">
        <v>65</v>
      </c>
      <c r="G346">
        <v>0.35199999999999998</v>
      </c>
      <c r="H346">
        <v>0.56481266392418539</v>
      </c>
      <c r="I346">
        <f t="shared" ref="I346" si="257">H346*1.96</f>
        <v>1.1070328212914033</v>
      </c>
      <c r="J346">
        <f t="shared" si="242"/>
        <v>-0.75503282129140337</v>
      </c>
      <c r="K346">
        <f t="shared" si="243"/>
        <v>1.4590328212914034</v>
      </c>
      <c r="L346" t="str">
        <f t="shared" si="238"/>
        <v>1.11</v>
      </c>
      <c r="M346" t="str">
        <f t="shared" si="239"/>
        <v>-0.76</v>
      </c>
      <c r="N346" t="str">
        <f t="shared" si="240"/>
        <v>0.35 [1.11, -0.76]</v>
      </c>
    </row>
    <row r="347" spans="1:14" x14ac:dyDescent="0.35">
      <c r="A347">
        <v>522</v>
      </c>
      <c r="B347">
        <v>51</v>
      </c>
      <c r="C347" t="s">
        <v>58</v>
      </c>
      <c r="D347" t="s">
        <v>10</v>
      </c>
      <c r="E347" t="s">
        <v>15</v>
      </c>
      <c r="F347">
        <v>32</v>
      </c>
      <c r="G347">
        <v>2</v>
      </c>
      <c r="H347">
        <v>1.41</v>
      </c>
      <c r="I347">
        <f t="shared" ref="I347:I348" si="258">H347/(SQRT(F347))*1.96</f>
        <v>0.4885400751217856</v>
      </c>
      <c r="J347">
        <f t="shared" si="242"/>
        <v>1.5114599248782143</v>
      </c>
      <c r="K347">
        <f t="shared" si="243"/>
        <v>2.4885400751217857</v>
      </c>
      <c r="L347" t="str">
        <f t="shared" si="238"/>
        <v>0.49</v>
      </c>
      <c r="M347" t="str">
        <f t="shared" si="239"/>
        <v>1.51</v>
      </c>
      <c r="N347" t="str">
        <f t="shared" si="240"/>
        <v>2.00 [0.49, 1.51]</v>
      </c>
    </row>
    <row r="348" spans="1:14" x14ac:dyDescent="0.35">
      <c r="A348">
        <v>523</v>
      </c>
      <c r="B348">
        <v>51</v>
      </c>
      <c r="C348" t="s">
        <v>58</v>
      </c>
      <c r="D348" t="s">
        <v>35</v>
      </c>
      <c r="E348" t="s">
        <v>15</v>
      </c>
      <c r="F348">
        <v>32</v>
      </c>
      <c r="G348">
        <v>4</v>
      </c>
      <c r="H348">
        <v>4.0199999999999996</v>
      </c>
      <c r="I348">
        <f t="shared" si="258"/>
        <v>1.392858937581261</v>
      </c>
      <c r="J348">
        <f t="shared" si="242"/>
        <v>2.607141062418739</v>
      </c>
      <c r="K348">
        <f t="shared" si="243"/>
        <v>5.392858937581261</v>
      </c>
      <c r="L348" t="str">
        <f t="shared" si="238"/>
        <v>1.39</v>
      </c>
      <c r="M348" t="str">
        <f t="shared" si="239"/>
        <v>2.61</v>
      </c>
      <c r="N348" t="str">
        <f t="shared" si="240"/>
        <v>4.00 [1.39, 2.61]</v>
      </c>
    </row>
    <row r="349" spans="1:14" x14ac:dyDescent="0.35">
      <c r="A349">
        <v>11</v>
      </c>
      <c r="B349">
        <v>51</v>
      </c>
      <c r="C349" t="s">
        <v>58</v>
      </c>
      <c r="D349" t="s">
        <v>36</v>
      </c>
      <c r="E349" t="s">
        <v>15</v>
      </c>
      <c r="F349">
        <v>65</v>
      </c>
      <c r="G349">
        <v>0.51900000000000002</v>
      </c>
      <c r="H349">
        <v>0.83142638956785664</v>
      </c>
      <c r="I349">
        <f t="shared" ref="I349" si="259">H349*1.96</f>
        <v>1.629595723552999</v>
      </c>
      <c r="J349">
        <f t="shared" si="242"/>
        <v>-1.1105957235529988</v>
      </c>
      <c r="K349">
        <f t="shared" si="243"/>
        <v>2.1485957235529991</v>
      </c>
      <c r="L349" t="str">
        <f t="shared" si="238"/>
        <v>1.63</v>
      </c>
      <c r="M349" t="str">
        <f t="shared" si="239"/>
        <v>-1.11</v>
      </c>
      <c r="N349" t="str">
        <f t="shared" si="240"/>
        <v>0.52 [1.63, -1.11]</v>
      </c>
    </row>
    <row r="350" spans="1:14" x14ac:dyDescent="0.35">
      <c r="A350">
        <v>332</v>
      </c>
      <c r="B350">
        <v>51</v>
      </c>
      <c r="C350" t="s">
        <v>58</v>
      </c>
      <c r="D350" t="s">
        <v>10</v>
      </c>
      <c r="E350" t="s">
        <v>19</v>
      </c>
      <c r="F350">
        <v>32</v>
      </c>
      <c r="G350">
        <v>91.3</v>
      </c>
      <c r="H350">
        <v>11.5</v>
      </c>
      <c r="I350">
        <f t="shared" ref="I350:I351" si="260">H350/(SQRT(F350))*1.96</f>
        <v>3.9845467119861953</v>
      </c>
      <c r="J350">
        <f t="shared" si="242"/>
        <v>87.315453288013799</v>
      </c>
      <c r="K350">
        <f t="shared" si="243"/>
        <v>95.284546711986195</v>
      </c>
      <c r="L350" t="str">
        <f t="shared" si="238"/>
        <v>3.98</v>
      </c>
      <c r="M350" t="str">
        <f t="shared" si="239"/>
        <v>87.32</v>
      </c>
      <c r="N350" t="str">
        <f t="shared" si="240"/>
        <v>91.30 [3.98, 87.32]</v>
      </c>
    </row>
    <row r="351" spans="1:14" x14ac:dyDescent="0.35">
      <c r="A351">
        <v>333</v>
      </c>
      <c r="B351">
        <v>51</v>
      </c>
      <c r="C351" t="s">
        <v>58</v>
      </c>
      <c r="D351" t="s">
        <v>35</v>
      </c>
      <c r="E351" t="s">
        <v>19</v>
      </c>
      <c r="F351">
        <v>32</v>
      </c>
      <c r="G351">
        <v>88.7</v>
      </c>
      <c r="H351">
        <v>8.6</v>
      </c>
      <c r="I351">
        <f t="shared" si="260"/>
        <v>2.9797479759201111</v>
      </c>
      <c r="J351">
        <f t="shared" si="242"/>
        <v>85.720252024079898</v>
      </c>
      <c r="K351">
        <f t="shared" si="243"/>
        <v>91.679747975920108</v>
      </c>
      <c r="L351" t="str">
        <f t="shared" si="238"/>
        <v>2.98</v>
      </c>
      <c r="M351" t="str">
        <f t="shared" si="239"/>
        <v>85.72</v>
      </c>
      <c r="N351" t="str">
        <f t="shared" si="240"/>
        <v>88.70 [2.98, 85.72]</v>
      </c>
    </row>
    <row r="352" spans="1:14" x14ac:dyDescent="0.35">
      <c r="A352">
        <v>17</v>
      </c>
      <c r="B352">
        <v>51</v>
      </c>
      <c r="C352" t="s">
        <v>58</v>
      </c>
      <c r="D352" t="s">
        <v>36</v>
      </c>
      <c r="E352" t="s">
        <v>19</v>
      </c>
      <c r="F352">
        <v>64</v>
      </c>
      <c r="G352">
        <v>0.25600000000000001</v>
      </c>
      <c r="H352">
        <v>0.251</v>
      </c>
      <c r="I352">
        <f t="shared" ref="I352" si="261">H352*1.96</f>
        <v>0.49196000000000001</v>
      </c>
      <c r="J352">
        <f t="shared" si="242"/>
        <v>-0.23596</v>
      </c>
      <c r="K352">
        <f t="shared" si="243"/>
        <v>0.74795999999999996</v>
      </c>
      <c r="L352" t="str">
        <f t="shared" si="238"/>
        <v>0.49</v>
      </c>
      <c r="M352" t="str">
        <f t="shared" si="239"/>
        <v>-0.24</v>
      </c>
      <c r="N352" t="str">
        <f t="shared" si="240"/>
        <v>0.26 [0.49, -0.24]</v>
      </c>
    </row>
    <row r="353" spans="1:14" x14ac:dyDescent="0.35">
      <c r="A353">
        <v>408</v>
      </c>
      <c r="B353">
        <v>51</v>
      </c>
      <c r="C353" t="s">
        <v>58</v>
      </c>
      <c r="D353" t="s">
        <v>10</v>
      </c>
      <c r="E353" t="s">
        <v>16</v>
      </c>
      <c r="F353">
        <v>32</v>
      </c>
      <c r="G353">
        <v>4</v>
      </c>
      <c r="H353">
        <v>0.91</v>
      </c>
      <c r="I353">
        <f t="shared" ref="I353:I354" si="262">H353/(SQRT(F353))*1.96</f>
        <v>0.31529891373108154</v>
      </c>
      <c r="J353">
        <f t="shared" si="242"/>
        <v>3.6847010862689187</v>
      </c>
      <c r="K353">
        <f t="shared" si="243"/>
        <v>4.3152989137310813</v>
      </c>
      <c r="L353" t="str">
        <f t="shared" si="238"/>
        <v>0.32</v>
      </c>
      <c r="M353" t="str">
        <f t="shared" si="239"/>
        <v>3.68</v>
      </c>
      <c r="N353" t="str">
        <f t="shared" si="240"/>
        <v>4.00 [0.32, 3.68]</v>
      </c>
    </row>
    <row r="354" spans="1:14" x14ac:dyDescent="0.35">
      <c r="A354">
        <v>409</v>
      </c>
      <c r="B354">
        <v>51</v>
      </c>
      <c r="C354" t="s">
        <v>58</v>
      </c>
      <c r="D354" t="s">
        <v>35</v>
      </c>
      <c r="E354" t="s">
        <v>16</v>
      </c>
      <c r="F354">
        <v>32</v>
      </c>
      <c r="G354">
        <v>9</v>
      </c>
      <c r="H354">
        <v>2.34</v>
      </c>
      <c r="I354">
        <f t="shared" si="262"/>
        <v>0.8107686353084953</v>
      </c>
      <c r="J354">
        <f t="shared" si="242"/>
        <v>8.1892313646915049</v>
      </c>
      <c r="K354">
        <f t="shared" si="243"/>
        <v>9.8107686353084951</v>
      </c>
      <c r="L354" t="str">
        <f t="shared" si="238"/>
        <v>0.81</v>
      </c>
      <c r="M354" t="str">
        <f t="shared" si="239"/>
        <v>8.19</v>
      </c>
      <c r="N354" t="str">
        <f t="shared" si="240"/>
        <v>9.00 [0.81, 8.19]</v>
      </c>
    </row>
    <row r="355" spans="1:14" x14ac:dyDescent="0.35">
      <c r="A355">
        <v>15</v>
      </c>
      <c r="B355">
        <v>51</v>
      </c>
      <c r="C355" t="s">
        <v>58</v>
      </c>
      <c r="D355" t="s">
        <v>36</v>
      </c>
      <c r="E355" t="s">
        <v>16</v>
      </c>
      <c r="F355">
        <v>65</v>
      </c>
      <c r="G355">
        <v>0.38900000000000001</v>
      </c>
      <c r="H355">
        <v>0.63771304416705321</v>
      </c>
      <c r="I355">
        <f t="shared" ref="I355" si="263">H355*1.96</f>
        <v>1.2499175665674243</v>
      </c>
      <c r="J355">
        <f t="shared" si="242"/>
        <v>-0.86091756656742424</v>
      </c>
      <c r="K355">
        <f t="shared" si="243"/>
        <v>1.6389175665674243</v>
      </c>
      <c r="L355" t="str">
        <f t="shared" si="238"/>
        <v>1.25</v>
      </c>
      <c r="M355" t="str">
        <f t="shared" si="239"/>
        <v>-0.86</v>
      </c>
      <c r="N355" t="str">
        <f t="shared" si="240"/>
        <v>0.39 [1.25, -0.86]</v>
      </c>
    </row>
    <row r="356" spans="1:14" x14ac:dyDescent="0.35">
      <c r="A356">
        <v>586</v>
      </c>
      <c r="B356">
        <v>51</v>
      </c>
      <c r="C356" t="s">
        <v>58</v>
      </c>
      <c r="D356" t="s">
        <v>10</v>
      </c>
      <c r="E356" t="s">
        <v>14</v>
      </c>
      <c r="F356">
        <v>32</v>
      </c>
      <c r="G356">
        <v>0</v>
      </c>
      <c r="H356">
        <v>0.91</v>
      </c>
      <c r="I356">
        <f t="shared" ref="I356:I357" si="264">H356/(SQRT(F356))*1.96</f>
        <v>0.31529891373108154</v>
      </c>
      <c r="J356">
        <f t="shared" si="242"/>
        <v>-0.31529891373108154</v>
      </c>
      <c r="K356">
        <f t="shared" si="243"/>
        <v>0.31529891373108154</v>
      </c>
      <c r="L356" t="str">
        <f t="shared" si="238"/>
        <v>0.32</v>
      </c>
      <c r="M356" t="str">
        <f t="shared" si="239"/>
        <v>-0.32</v>
      </c>
      <c r="N356" t="str">
        <f t="shared" si="240"/>
        <v>0.00 [0.32, -0.32]</v>
      </c>
    </row>
    <row r="357" spans="1:14" x14ac:dyDescent="0.35">
      <c r="A357">
        <v>587</v>
      </c>
      <c r="B357">
        <v>51</v>
      </c>
      <c r="C357" t="s">
        <v>58</v>
      </c>
      <c r="D357" t="s">
        <v>35</v>
      </c>
      <c r="E357" t="s">
        <v>14</v>
      </c>
      <c r="F357">
        <v>32</v>
      </c>
      <c r="G357">
        <v>1</v>
      </c>
      <c r="H357">
        <v>2.34</v>
      </c>
      <c r="I357">
        <f t="shared" si="264"/>
        <v>0.8107686353084953</v>
      </c>
      <c r="J357">
        <f t="shared" si="242"/>
        <v>0.1892313646915047</v>
      </c>
      <c r="K357">
        <f t="shared" si="243"/>
        <v>1.8107686353084953</v>
      </c>
      <c r="L357" t="str">
        <f t="shared" si="238"/>
        <v>0.81</v>
      </c>
      <c r="M357" t="str">
        <f t="shared" si="239"/>
        <v>0.19</v>
      </c>
      <c r="N357" t="str">
        <f t="shared" si="240"/>
        <v>1.00 [0.81, 0.19]</v>
      </c>
    </row>
    <row r="358" spans="1:14" x14ac:dyDescent="0.35">
      <c r="A358">
        <v>15</v>
      </c>
      <c r="B358">
        <v>51</v>
      </c>
      <c r="C358" t="s">
        <v>58</v>
      </c>
      <c r="D358" t="s">
        <v>36</v>
      </c>
      <c r="E358" t="s">
        <v>14</v>
      </c>
      <c r="F358">
        <v>65</v>
      </c>
      <c r="G358">
        <v>0.32300000000000001</v>
      </c>
      <c r="H358">
        <v>1.6523240394011081</v>
      </c>
      <c r="I358">
        <f t="shared" ref="I358" si="265">H358*1.96</f>
        <v>3.2385551172261717</v>
      </c>
      <c r="J358">
        <f t="shared" si="242"/>
        <v>-2.9155551172261718</v>
      </c>
      <c r="K358">
        <f t="shared" si="243"/>
        <v>3.5615551172261717</v>
      </c>
      <c r="L358" t="str">
        <f t="shared" si="238"/>
        <v>3.24</v>
      </c>
      <c r="M358" t="str">
        <f t="shared" si="239"/>
        <v>-2.92</v>
      </c>
      <c r="N358" t="str">
        <f t="shared" si="240"/>
        <v>0.32 [3.24, -2.92]</v>
      </c>
    </row>
    <row r="359" spans="1:14" x14ac:dyDescent="0.35">
      <c r="A359">
        <v>464</v>
      </c>
      <c r="B359">
        <v>51</v>
      </c>
      <c r="C359" t="s">
        <v>58</v>
      </c>
      <c r="D359" t="s">
        <v>10</v>
      </c>
      <c r="E359" t="s">
        <v>9</v>
      </c>
      <c r="F359">
        <v>32</v>
      </c>
      <c r="G359">
        <v>7.3</v>
      </c>
      <c r="H359">
        <v>1.3</v>
      </c>
      <c r="I359">
        <f t="shared" ref="I359:I360" si="266">H359/(SQRT(F359))*1.96</f>
        <v>0.45042701961583076</v>
      </c>
      <c r="J359">
        <f t="shared" si="242"/>
        <v>6.8495729803841687</v>
      </c>
      <c r="K359">
        <f t="shared" si="243"/>
        <v>7.7504270196158309</v>
      </c>
      <c r="L359" t="str">
        <f t="shared" si="238"/>
        <v>0.45</v>
      </c>
      <c r="M359" t="str">
        <f t="shared" si="239"/>
        <v>6.85</v>
      </c>
      <c r="N359" t="str">
        <f t="shared" si="240"/>
        <v>7.30 [0.45, 6.85]</v>
      </c>
    </row>
    <row r="360" spans="1:14" x14ac:dyDescent="0.35">
      <c r="A360">
        <v>465</v>
      </c>
      <c r="B360">
        <v>51</v>
      </c>
      <c r="C360" t="s">
        <v>58</v>
      </c>
      <c r="D360" t="s">
        <v>35</v>
      </c>
      <c r="E360" t="s">
        <v>9</v>
      </c>
      <c r="F360">
        <v>32</v>
      </c>
      <c r="G360">
        <v>7</v>
      </c>
      <c r="H360">
        <v>2.1</v>
      </c>
      <c r="I360">
        <f t="shared" si="266"/>
        <v>0.72761287784095741</v>
      </c>
      <c r="J360">
        <f t="shared" si="242"/>
        <v>6.2723871221590421</v>
      </c>
      <c r="K360">
        <f t="shared" si="243"/>
        <v>7.7276128778409579</v>
      </c>
      <c r="L360" t="str">
        <f t="shared" si="238"/>
        <v>0.73</v>
      </c>
      <c r="M360" t="str">
        <f t="shared" si="239"/>
        <v>6.27</v>
      </c>
      <c r="N360" t="str">
        <f t="shared" si="240"/>
        <v>7.00 [0.73, 6.27]</v>
      </c>
    </row>
    <row r="361" spans="1:14" x14ac:dyDescent="0.35">
      <c r="A361">
        <v>12</v>
      </c>
      <c r="B361">
        <v>51</v>
      </c>
      <c r="C361" t="s">
        <v>58</v>
      </c>
      <c r="D361" t="s">
        <v>36</v>
      </c>
      <c r="E361" t="s">
        <v>9</v>
      </c>
      <c r="F361">
        <v>64</v>
      </c>
      <c r="G361">
        <v>0.17199999999999999</v>
      </c>
      <c r="H361">
        <v>0.25</v>
      </c>
      <c r="I361">
        <f t="shared" ref="I361" si="267">H361*1.96</f>
        <v>0.49</v>
      </c>
      <c r="J361">
        <f t="shared" si="242"/>
        <v>-0.318</v>
      </c>
      <c r="K361">
        <f t="shared" si="243"/>
        <v>0.66199999999999992</v>
      </c>
      <c r="L361" t="str">
        <f t="shared" si="238"/>
        <v>0.49</v>
      </c>
      <c r="M361" t="str">
        <f t="shared" si="239"/>
        <v>-0.32</v>
      </c>
      <c r="N361" t="str">
        <f t="shared" si="240"/>
        <v>0.17 [0.49, -0.32]</v>
      </c>
    </row>
    <row r="362" spans="1:14" x14ac:dyDescent="0.35">
      <c r="A362">
        <v>184</v>
      </c>
      <c r="B362">
        <v>52</v>
      </c>
      <c r="C362" t="s">
        <v>59</v>
      </c>
      <c r="D362" t="s">
        <v>8</v>
      </c>
      <c r="E362" t="s">
        <v>13</v>
      </c>
      <c r="F362">
        <v>30</v>
      </c>
      <c r="G362">
        <v>2.2999999999999998</v>
      </c>
      <c r="H362">
        <v>3.06</v>
      </c>
      <c r="I362">
        <f t="shared" ref="I362:I363" si="268">H362/(SQRT(F362))*1.96</f>
        <v>1.0950069369643283</v>
      </c>
      <c r="J362">
        <f t="shared" si="242"/>
        <v>1.2049930630356716</v>
      </c>
      <c r="K362">
        <f t="shared" si="243"/>
        <v>3.3950069369643279</v>
      </c>
      <c r="L362" t="str">
        <f t="shared" si="238"/>
        <v>1.10</v>
      </c>
      <c r="M362" t="str">
        <f t="shared" si="239"/>
        <v>1.20</v>
      </c>
      <c r="N362" t="str">
        <f t="shared" si="240"/>
        <v>2.30 [1.10, 1.20]</v>
      </c>
    </row>
    <row r="363" spans="1:14" x14ac:dyDescent="0.35">
      <c r="A363">
        <v>185</v>
      </c>
      <c r="B363">
        <v>52</v>
      </c>
      <c r="C363" t="s">
        <v>59</v>
      </c>
      <c r="D363" t="s">
        <v>10</v>
      </c>
      <c r="E363" t="s">
        <v>13</v>
      </c>
      <c r="F363">
        <v>32</v>
      </c>
      <c r="G363">
        <v>2.7</v>
      </c>
      <c r="H363">
        <v>3.39</v>
      </c>
      <c r="I363">
        <f t="shared" si="268"/>
        <v>1.174575074228974</v>
      </c>
      <c r="J363">
        <f t="shared" si="242"/>
        <v>1.5254249257710262</v>
      </c>
      <c r="K363">
        <f t="shared" si="243"/>
        <v>3.8745750742289742</v>
      </c>
      <c r="L363" t="str">
        <f t="shared" si="238"/>
        <v>1.17</v>
      </c>
      <c r="M363" t="str">
        <f t="shared" si="239"/>
        <v>1.53</v>
      </c>
      <c r="N363" t="str">
        <f t="shared" si="240"/>
        <v>2.70 [1.17, 1.53]</v>
      </c>
    </row>
    <row r="364" spans="1:14" x14ac:dyDescent="0.35">
      <c r="A364">
        <v>19</v>
      </c>
      <c r="B364">
        <v>52</v>
      </c>
      <c r="C364" t="s">
        <v>59</v>
      </c>
      <c r="D364" t="s">
        <v>11</v>
      </c>
      <c r="E364" t="s">
        <v>13</v>
      </c>
      <c r="F364">
        <v>62</v>
      </c>
      <c r="G364">
        <v>0.124</v>
      </c>
      <c r="H364">
        <v>0.254</v>
      </c>
      <c r="I364">
        <f t="shared" ref="I364" si="269">H364*1.96</f>
        <v>0.49784</v>
      </c>
      <c r="J364">
        <f t="shared" si="242"/>
        <v>-0.37384000000000001</v>
      </c>
      <c r="K364">
        <f t="shared" si="243"/>
        <v>0.62183999999999995</v>
      </c>
      <c r="L364" t="str">
        <f t="shared" si="238"/>
        <v>0.50</v>
      </c>
      <c r="M364" t="str">
        <f t="shared" si="239"/>
        <v>-0.37</v>
      </c>
      <c r="N364" t="str">
        <f t="shared" si="240"/>
        <v>0.12 [0.50, -0.37]</v>
      </c>
    </row>
    <row r="365" spans="1:14" x14ac:dyDescent="0.35">
      <c r="A365">
        <v>266</v>
      </c>
      <c r="B365">
        <v>52</v>
      </c>
      <c r="C365" t="s">
        <v>59</v>
      </c>
      <c r="D365" t="s">
        <v>8</v>
      </c>
      <c r="E365" t="s">
        <v>17</v>
      </c>
      <c r="F365">
        <v>30</v>
      </c>
      <c r="G365">
        <v>23</v>
      </c>
      <c r="H365">
        <v>15.41</v>
      </c>
      <c r="I365">
        <f t="shared" ref="I365:I366" si="270">H365/(SQRT(F365))*1.96</f>
        <v>5.5143976792876783</v>
      </c>
      <c r="J365">
        <f t="shared" si="242"/>
        <v>17.485602320712321</v>
      </c>
      <c r="K365">
        <f t="shared" si="243"/>
        <v>28.514397679287679</v>
      </c>
      <c r="L365" t="str">
        <f t="shared" si="238"/>
        <v>5.51</v>
      </c>
      <c r="M365" t="str">
        <f t="shared" si="239"/>
        <v>17.49</v>
      </c>
      <c r="N365" t="str">
        <f t="shared" si="240"/>
        <v>23.00 [5.51, 17.49]</v>
      </c>
    </row>
    <row r="366" spans="1:14" x14ac:dyDescent="0.35">
      <c r="A366">
        <v>267</v>
      </c>
      <c r="B366">
        <v>52</v>
      </c>
      <c r="C366" t="s">
        <v>59</v>
      </c>
      <c r="D366" t="s">
        <v>10</v>
      </c>
      <c r="E366" t="s">
        <v>17</v>
      </c>
      <c r="F366">
        <v>32</v>
      </c>
      <c r="G366">
        <v>26</v>
      </c>
      <c r="H366">
        <v>20.61</v>
      </c>
      <c r="I366">
        <f t="shared" si="270"/>
        <v>7.1410006725248243</v>
      </c>
      <c r="J366">
        <f t="shared" si="242"/>
        <v>18.858999327475175</v>
      </c>
      <c r="K366">
        <f t="shared" si="243"/>
        <v>33.141000672524825</v>
      </c>
      <c r="L366" t="str">
        <f t="shared" si="238"/>
        <v>7.14</v>
      </c>
      <c r="M366" t="str">
        <f t="shared" si="239"/>
        <v>18.86</v>
      </c>
      <c r="N366" t="str">
        <f t="shared" si="240"/>
        <v>26.00 [7.14, 18.86]</v>
      </c>
    </row>
    <row r="367" spans="1:14" x14ac:dyDescent="0.35">
      <c r="A367">
        <v>12</v>
      </c>
      <c r="B367">
        <v>52</v>
      </c>
      <c r="C367" t="s">
        <v>59</v>
      </c>
      <c r="D367" t="s">
        <v>11</v>
      </c>
      <c r="E367" t="s">
        <v>17</v>
      </c>
      <c r="F367">
        <v>63</v>
      </c>
      <c r="G367">
        <v>0.76</v>
      </c>
      <c r="H367">
        <v>0.62434994199549254</v>
      </c>
      <c r="I367">
        <f t="shared" ref="I367" si="271">H367*1.96</f>
        <v>1.2237258863111653</v>
      </c>
      <c r="J367">
        <f t="shared" si="242"/>
        <v>-0.46372588631116529</v>
      </c>
      <c r="K367">
        <f t="shared" si="243"/>
        <v>1.9837258863111653</v>
      </c>
      <c r="L367" t="str">
        <f t="shared" si="238"/>
        <v>1.22</v>
      </c>
      <c r="M367" t="str">
        <f t="shared" si="239"/>
        <v>-0.46</v>
      </c>
      <c r="N367" t="str">
        <f t="shared" si="240"/>
        <v>0.76 [1.22, -0.46]</v>
      </c>
    </row>
    <row r="368" spans="1:14" x14ac:dyDescent="0.35">
      <c r="A368">
        <v>524</v>
      </c>
      <c r="B368">
        <v>52</v>
      </c>
      <c r="C368" t="s">
        <v>59</v>
      </c>
      <c r="D368" t="s">
        <v>8</v>
      </c>
      <c r="E368" t="s">
        <v>15</v>
      </c>
      <c r="F368">
        <v>30</v>
      </c>
      <c r="G368">
        <v>1</v>
      </c>
      <c r="H368">
        <v>15.41</v>
      </c>
      <c r="I368">
        <f t="shared" ref="I368:I369" si="272">H368/(SQRT(F368))*1.96</f>
        <v>5.5143976792876783</v>
      </c>
      <c r="J368">
        <f t="shared" si="242"/>
        <v>-4.5143976792876783</v>
      </c>
      <c r="K368">
        <f t="shared" si="243"/>
        <v>6.5143976792876783</v>
      </c>
      <c r="L368" t="str">
        <f t="shared" si="238"/>
        <v>5.51</v>
      </c>
      <c r="M368" t="str">
        <f t="shared" si="239"/>
        <v>-4.51</v>
      </c>
      <c r="N368" t="str">
        <f t="shared" si="240"/>
        <v>1.00 [5.51, -4.51]</v>
      </c>
    </row>
    <row r="369" spans="1:14" x14ac:dyDescent="0.35">
      <c r="A369">
        <v>525</v>
      </c>
      <c r="B369">
        <v>52</v>
      </c>
      <c r="C369" t="s">
        <v>59</v>
      </c>
      <c r="D369" t="s">
        <v>10</v>
      </c>
      <c r="E369" t="s">
        <v>15</v>
      </c>
      <c r="F369">
        <v>32</v>
      </c>
      <c r="G369">
        <v>2</v>
      </c>
      <c r="H369">
        <v>20.61</v>
      </c>
      <c r="I369">
        <f t="shared" si="272"/>
        <v>7.1410006725248243</v>
      </c>
      <c r="J369">
        <f t="shared" si="242"/>
        <v>-5.1410006725248243</v>
      </c>
      <c r="K369">
        <f t="shared" si="243"/>
        <v>9.1410006725248252</v>
      </c>
      <c r="L369" t="str">
        <f t="shared" si="238"/>
        <v>7.14</v>
      </c>
      <c r="M369" t="str">
        <f t="shared" si="239"/>
        <v>-5.14</v>
      </c>
      <c r="N369" t="str">
        <f t="shared" si="240"/>
        <v>2.00 [7.14, -5.14]</v>
      </c>
    </row>
    <row r="370" spans="1:14" x14ac:dyDescent="0.35">
      <c r="A370">
        <v>12</v>
      </c>
      <c r="B370">
        <v>52</v>
      </c>
      <c r="C370" t="s">
        <v>59</v>
      </c>
      <c r="D370" t="s">
        <v>11</v>
      </c>
      <c r="E370" t="s">
        <v>15</v>
      </c>
      <c r="F370">
        <v>63</v>
      </c>
      <c r="G370">
        <v>0.621</v>
      </c>
      <c r="H370">
        <v>1.065121006562489</v>
      </c>
      <c r="I370">
        <f t="shared" ref="I370" si="273">H370*1.96</f>
        <v>2.0876371728624785</v>
      </c>
      <c r="J370">
        <f t="shared" si="242"/>
        <v>-1.4666371728624785</v>
      </c>
      <c r="K370">
        <f t="shared" si="243"/>
        <v>2.7086371728624785</v>
      </c>
      <c r="L370" t="str">
        <f t="shared" si="238"/>
        <v>2.09</v>
      </c>
      <c r="M370" t="str">
        <f t="shared" si="239"/>
        <v>-1.47</v>
      </c>
      <c r="N370" t="str">
        <f t="shared" si="240"/>
        <v>0.62 [2.09, -1.47]</v>
      </c>
    </row>
    <row r="371" spans="1:14" x14ac:dyDescent="0.35">
      <c r="A371">
        <v>334</v>
      </c>
      <c r="B371">
        <v>52</v>
      </c>
      <c r="C371" t="s">
        <v>59</v>
      </c>
      <c r="D371" t="s">
        <v>8</v>
      </c>
      <c r="E371" t="s">
        <v>19</v>
      </c>
      <c r="F371">
        <v>30</v>
      </c>
      <c r="G371">
        <v>81</v>
      </c>
      <c r="H371">
        <v>18.38</v>
      </c>
      <c r="I371">
        <f t="shared" ref="I371:I372" si="274">H371/(SQRT(F371))*1.96</f>
        <v>6.5771985298707021</v>
      </c>
      <c r="J371">
        <f t="shared" si="242"/>
        <v>74.422801470129301</v>
      </c>
      <c r="K371">
        <f t="shared" si="243"/>
        <v>87.577198529870699</v>
      </c>
      <c r="L371" t="str">
        <f t="shared" si="238"/>
        <v>6.58</v>
      </c>
      <c r="M371" t="str">
        <f t="shared" si="239"/>
        <v>74.42</v>
      </c>
      <c r="N371" t="str">
        <f t="shared" si="240"/>
        <v>81.00 [6.58, 74.42]</v>
      </c>
    </row>
    <row r="372" spans="1:14" x14ac:dyDescent="0.35">
      <c r="A372">
        <v>335</v>
      </c>
      <c r="B372">
        <v>52</v>
      </c>
      <c r="C372" t="s">
        <v>59</v>
      </c>
      <c r="D372" t="s">
        <v>10</v>
      </c>
      <c r="E372" t="s">
        <v>19</v>
      </c>
      <c r="F372">
        <v>32</v>
      </c>
      <c r="G372">
        <v>90</v>
      </c>
      <c r="H372">
        <v>12.1</v>
      </c>
      <c r="I372">
        <f t="shared" si="274"/>
        <v>4.1924361056550401</v>
      </c>
      <c r="J372">
        <f t="shared" si="242"/>
        <v>85.807563894344966</v>
      </c>
      <c r="K372">
        <f t="shared" si="243"/>
        <v>94.192436105655034</v>
      </c>
      <c r="L372" t="str">
        <f t="shared" si="238"/>
        <v>4.19</v>
      </c>
      <c r="M372" t="str">
        <f t="shared" si="239"/>
        <v>85.81</v>
      </c>
      <c r="N372" t="str">
        <f t="shared" si="240"/>
        <v>90.00 [4.19, 85.81]</v>
      </c>
    </row>
    <row r="373" spans="1:14" x14ac:dyDescent="0.35">
      <c r="A373">
        <v>18</v>
      </c>
      <c r="B373">
        <v>52</v>
      </c>
      <c r="C373" t="s">
        <v>59</v>
      </c>
      <c r="D373" t="s">
        <v>11</v>
      </c>
      <c r="E373" t="s">
        <v>19</v>
      </c>
      <c r="F373">
        <v>62</v>
      </c>
      <c r="G373">
        <v>0.58199999999999996</v>
      </c>
      <c r="H373">
        <v>0.26</v>
      </c>
      <c r="I373">
        <f t="shared" ref="I373" si="275">H373*1.96</f>
        <v>0.50960000000000005</v>
      </c>
      <c r="J373">
        <f t="shared" si="242"/>
        <v>7.2399999999999909E-2</v>
      </c>
      <c r="K373">
        <f t="shared" si="243"/>
        <v>1.0916000000000001</v>
      </c>
      <c r="L373" t="str">
        <f t="shared" si="238"/>
        <v>0.51</v>
      </c>
      <c r="M373" t="str">
        <f t="shared" si="239"/>
        <v>0.07</v>
      </c>
      <c r="N373" t="str">
        <f t="shared" si="240"/>
        <v>0.58 [0.51, 0.07]</v>
      </c>
    </row>
    <row r="374" spans="1:14" x14ac:dyDescent="0.35">
      <c r="A374">
        <v>466</v>
      </c>
      <c r="B374">
        <v>52</v>
      </c>
      <c r="C374" t="s">
        <v>59</v>
      </c>
      <c r="D374" t="s">
        <v>8</v>
      </c>
      <c r="E374" t="s">
        <v>9</v>
      </c>
      <c r="F374">
        <v>30</v>
      </c>
      <c r="G374">
        <v>5</v>
      </c>
      <c r="H374">
        <v>1.72</v>
      </c>
      <c r="I374">
        <f t="shared" ref="I374:I375" si="276">H374/(SQRT(F374))*1.96</f>
        <v>0.61549409528713861</v>
      </c>
      <c r="J374">
        <f t="shared" si="242"/>
        <v>4.3845059047128618</v>
      </c>
      <c r="K374">
        <f t="shared" si="243"/>
        <v>5.6154940952871382</v>
      </c>
      <c r="L374" t="str">
        <f t="shared" si="238"/>
        <v>0.62</v>
      </c>
      <c r="M374" t="str">
        <f t="shared" si="239"/>
        <v>4.38</v>
      </c>
      <c r="N374" t="str">
        <f t="shared" si="240"/>
        <v>5.00 [0.62, 4.38]</v>
      </c>
    </row>
    <row r="375" spans="1:14" x14ac:dyDescent="0.35">
      <c r="A375">
        <v>467</v>
      </c>
      <c r="B375">
        <v>52</v>
      </c>
      <c r="C375" t="s">
        <v>59</v>
      </c>
      <c r="D375" t="s">
        <v>10</v>
      </c>
      <c r="E375" t="s">
        <v>9</v>
      </c>
      <c r="F375">
        <v>32</v>
      </c>
      <c r="G375">
        <v>6</v>
      </c>
      <c r="H375">
        <v>1.69</v>
      </c>
      <c r="I375">
        <f t="shared" si="276"/>
        <v>0.58555512550057986</v>
      </c>
      <c r="J375">
        <f t="shared" si="242"/>
        <v>5.41444487449942</v>
      </c>
      <c r="K375">
        <f t="shared" si="243"/>
        <v>6.58555512550058</v>
      </c>
      <c r="L375" t="str">
        <f t="shared" si="238"/>
        <v>0.59</v>
      </c>
      <c r="M375" t="str">
        <f t="shared" si="239"/>
        <v>5.41</v>
      </c>
      <c r="N375" t="str">
        <f t="shared" si="240"/>
        <v>6.00 [0.59, 5.41]</v>
      </c>
    </row>
    <row r="376" spans="1:14" x14ac:dyDescent="0.35">
      <c r="A376">
        <v>13</v>
      </c>
      <c r="B376">
        <v>52</v>
      </c>
      <c r="C376" t="s">
        <v>59</v>
      </c>
      <c r="D376" t="s">
        <v>11</v>
      </c>
      <c r="E376" t="s">
        <v>9</v>
      </c>
      <c r="F376">
        <v>62</v>
      </c>
      <c r="G376">
        <v>0.58699999999999997</v>
      </c>
      <c r="H376">
        <v>0.26</v>
      </c>
      <c r="I376">
        <f t="shared" ref="I376" si="277">H376*1.96</f>
        <v>0.50960000000000005</v>
      </c>
      <c r="J376">
        <f t="shared" si="242"/>
        <v>7.7399999999999913E-2</v>
      </c>
      <c r="K376">
        <f t="shared" si="243"/>
        <v>1.0966</v>
      </c>
      <c r="L376" t="str">
        <f t="shared" si="238"/>
        <v>0.51</v>
      </c>
      <c r="M376" t="str">
        <f t="shared" si="239"/>
        <v>0.08</v>
      </c>
      <c r="N376" t="str">
        <f t="shared" si="240"/>
        <v>0.59 [0.51, 0.08]</v>
      </c>
    </row>
    <row r="377" spans="1:14" x14ac:dyDescent="0.35">
      <c r="A377">
        <v>94</v>
      </c>
      <c r="B377">
        <v>53</v>
      </c>
      <c r="C377" t="s">
        <v>60</v>
      </c>
      <c r="D377" t="s">
        <v>10</v>
      </c>
      <c r="E377" t="s">
        <v>27</v>
      </c>
      <c r="F377">
        <v>49</v>
      </c>
      <c r="G377">
        <v>78</v>
      </c>
      <c r="H377">
        <v>18</v>
      </c>
      <c r="I377">
        <f t="shared" ref="I377:I378" si="278">H377/(SQRT(F377))*1.96</f>
        <v>5.04</v>
      </c>
      <c r="J377">
        <f t="shared" si="242"/>
        <v>72.959999999999994</v>
      </c>
      <c r="K377">
        <f t="shared" si="243"/>
        <v>83.04</v>
      </c>
      <c r="L377" t="str">
        <f t="shared" si="238"/>
        <v>5.04</v>
      </c>
      <c r="M377" t="str">
        <f t="shared" si="239"/>
        <v>72.96</v>
      </c>
      <c r="N377" t="str">
        <f t="shared" si="240"/>
        <v>78.00 [5.04, 72.96]</v>
      </c>
    </row>
    <row r="378" spans="1:14" x14ac:dyDescent="0.35">
      <c r="A378">
        <v>95</v>
      </c>
      <c r="B378">
        <v>53</v>
      </c>
      <c r="C378" t="s">
        <v>60</v>
      </c>
      <c r="D378" t="s">
        <v>28</v>
      </c>
      <c r="E378" t="s">
        <v>27</v>
      </c>
      <c r="F378">
        <v>47</v>
      </c>
      <c r="G378">
        <v>82</v>
      </c>
      <c r="H378">
        <v>14</v>
      </c>
      <c r="I378">
        <f t="shared" si="278"/>
        <v>4.0025353667022268</v>
      </c>
      <c r="J378">
        <f t="shared" si="242"/>
        <v>77.997464633297767</v>
      </c>
      <c r="K378">
        <f t="shared" si="243"/>
        <v>86.002535366702233</v>
      </c>
      <c r="L378" t="str">
        <f t="shared" si="238"/>
        <v>4.00</v>
      </c>
      <c r="M378" t="str">
        <f t="shared" si="239"/>
        <v>78.00</v>
      </c>
      <c r="N378" t="str">
        <f t="shared" si="240"/>
        <v>82.00 [4.00, 78.00]</v>
      </c>
    </row>
    <row r="379" spans="1:14" x14ac:dyDescent="0.35">
      <c r="A379">
        <v>11</v>
      </c>
      <c r="B379">
        <v>53</v>
      </c>
      <c r="C379" t="s">
        <v>60</v>
      </c>
      <c r="D379" t="s">
        <v>39</v>
      </c>
      <c r="E379" t="s">
        <v>27</v>
      </c>
      <c r="F379">
        <v>96</v>
      </c>
      <c r="G379">
        <v>0.247</v>
      </c>
      <c r="H379">
        <v>0.20499999999999999</v>
      </c>
      <c r="I379">
        <f t="shared" ref="I379" si="279">H379*1.96</f>
        <v>0.40179999999999999</v>
      </c>
      <c r="J379">
        <f t="shared" si="242"/>
        <v>-0.15479999999999999</v>
      </c>
      <c r="K379">
        <f t="shared" si="243"/>
        <v>0.64880000000000004</v>
      </c>
      <c r="L379" t="str">
        <f t="shared" si="238"/>
        <v>0.40</v>
      </c>
      <c r="M379" t="str">
        <f t="shared" si="239"/>
        <v>-0.15</v>
      </c>
      <c r="N379" t="str">
        <f t="shared" si="240"/>
        <v>0.25 [0.40, -0.15]</v>
      </c>
    </row>
    <row r="380" spans="1:14" x14ac:dyDescent="0.35">
      <c r="A380">
        <v>186</v>
      </c>
      <c r="B380">
        <v>53</v>
      </c>
      <c r="C380" t="s">
        <v>60</v>
      </c>
      <c r="D380" t="s">
        <v>10</v>
      </c>
      <c r="E380" t="s">
        <v>13</v>
      </c>
      <c r="F380">
        <v>49</v>
      </c>
      <c r="G380">
        <v>1.9</v>
      </c>
      <c r="H380">
        <v>1.7</v>
      </c>
      <c r="I380">
        <f t="shared" ref="I380:I381" si="280">H380/(SQRT(F380))*1.96</f>
        <v>0.47599999999999998</v>
      </c>
      <c r="J380">
        <f t="shared" si="242"/>
        <v>1.4239999999999999</v>
      </c>
      <c r="K380">
        <f t="shared" si="243"/>
        <v>2.3759999999999999</v>
      </c>
      <c r="L380" t="str">
        <f t="shared" si="238"/>
        <v>0.48</v>
      </c>
      <c r="M380" t="str">
        <f t="shared" si="239"/>
        <v>1.42</v>
      </c>
      <c r="N380" t="str">
        <f t="shared" si="240"/>
        <v>1.90 [0.48, 1.42]</v>
      </c>
    </row>
    <row r="381" spans="1:14" x14ac:dyDescent="0.35">
      <c r="A381">
        <v>187</v>
      </c>
      <c r="B381">
        <v>53</v>
      </c>
      <c r="C381" t="s">
        <v>60</v>
      </c>
      <c r="D381" t="s">
        <v>28</v>
      </c>
      <c r="E381" t="s">
        <v>13</v>
      </c>
      <c r="F381">
        <v>47</v>
      </c>
      <c r="G381">
        <v>1.8</v>
      </c>
      <c r="H381">
        <v>1</v>
      </c>
      <c r="I381">
        <f t="shared" si="280"/>
        <v>0.28589538333587333</v>
      </c>
      <c r="J381">
        <f t="shared" si="242"/>
        <v>1.5141046166641268</v>
      </c>
      <c r="K381">
        <f t="shared" si="243"/>
        <v>2.0858953833358735</v>
      </c>
      <c r="L381" t="str">
        <f t="shared" si="238"/>
        <v>0.29</v>
      </c>
      <c r="M381" t="str">
        <f t="shared" si="239"/>
        <v>1.51</v>
      </c>
      <c r="N381" t="str">
        <f t="shared" si="240"/>
        <v>1.80 [0.29, 1.51]</v>
      </c>
    </row>
    <row r="382" spans="1:14" x14ac:dyDescent="0.35">
      <c r="A382">
        <v>20</v>
      </c>
      <c r="B382">
        <v>53</v>
      </c>
      <c r="C382" t="s">
        <v>60</v>
      </c>
      <c r="D382" t="s">
        <v>39</v>
      </c>
      <c r="E382" t="s">
        <v>13</v>
      </c>
      <c r="F382">
        <v>96</v>
      </c>
      <c r="G382">
        <v>7.0999999999999994E-2</v>
      </c>
      <c r="H382">
        <v>0.20399999999999999</v>
      </c>
      <c r="I382">
        <f t="shared" ref="I382" si="281">H382*1.96</f>
        <v>0.39983999999999997</v>
      </c>
      <c r="J382">
        <f t="shared" si="242"/>
        <v>-0.32883999999999997</v>
      </c>
      <c r="K382">
        <f t="shared" si="243"/>
        <v>0.47083999999999998</v>
      </c>
      <c r="L382" t="str">
        <f t="shared" si="238"/>
        <v>0.40</v>
      </c>
      <c r="M382" t="str">
        <f t="shared" si="239"/>
        <v>-0.33</v>
      </c>
      <c r="N382" t="str">
        <f t="shared" si="240"/>
        <v>0.07 [0.40, -0.33]</v>
      </c>
    </row>
    <row r="383" spans="1:14" x14ac:dyDescent="0.35">
      <c r="A383">
        <v>410</v>
      </c>
      <c r="B383">
        <v>53</v>
      </c>
      <c r="C383" t="s">
        <v>60</v>
      </c>
      <c r="D383" t="s">
        <v>10</v>
      </c>
      <c r="E383" t="s">
        <v>16</v>
      </c>
      <c r="F383">
        <v>49</v>
      </c>
      <c r="G383">
        <v>11</v>
      </c>
      <c r="H383">
        <v>2.12</v>
      </c>
      <c r="I383">
        <f t="shared" ref="I383:I384" si="282">H383/(SQRT(F383))*1.96</f>
        <v>0.59360000000000002</v>
      </c>
      <c r="J383">
        <f t="shared" si="242"/>
        <v>10.4064</v>
      </c>
      <c r="K383">
        <f t="shared" si="243"/>
        <v>11.5936</v>
      </c>
      <c r="L383" t="str">
        <f t="shared" si="238"/>
        <v>0.59</v>
      </c>
      <c r="M383" t="str">
        <f t="shared" si="239"/>
        <v>10.41</v>
      </c>
      <c r="N383" t="str">
        <f t="shared" si="240"/>
        <v>11.00 [0.59, 10.41]</v>
      </c>
    </row>
    <row r="384" spans="1:14" x14ac:dyDescent="0.35">
      <c r="A384">
        <v>411</v>
      </c>
      <c r="B384">
        <v>53</v>
      </c>
      <c r="C384" t="s">
        <v>60</v>
      </c>
      <c r="D384" t="s">
        <v>28</v>
      </c>
      <c r="E384" t="s">
        <v>16</v>
      </c>
      <c r="F384">
        <v>47</v>
      </c>
      <c r="G384">
        <v>8</v>
      </c>
      <c r="H384">
        <v>1.49</v>
      </c>
      <c r="I384">
        <f t="shared" si="282"/>
        <v>0.42598412117045131</v>
      </c>
      <c r="J384">
        <f t="shared" si="242"/>
        <v>7.5740158788295489</v>
      </c>
      <c r="K384">
        <f t="shared" si="243"/>
        <v>8.4259841211704511</v>
      </c>
      <c r="L384" t="str">
        <f t="shared" si="238"/>
        <v>0.43</v>
      </c>
      <c r="M384" t="str">
        <f t="shared" si="239"/>
        <v>7.57</v>
      </c>
      <c r="N384" t="str">
        <f t="shared" si="240"/>
        <v>8.00 [0.43, 7.57]</v>
      </c>
    </row>
    <row r="385" spans="1:14" x14ac:dyDescent="0.35">
      <c r="A385">
        <v>16</v>
      </c>
      <c r="B385">
        <v>53</v>
      </c>
      <c r="C385" t="s">
        <v>60</v>
      </c>
      <c r="D385" t="s">
        <v>39</v>
      </c>
      <c r="E385" t="s">
        <v>16</v>
      </c>
      <c r="F385">
        <v>97</v>
      </c>
      <c r="G385">
        <v>1.389</v>
      </c>
      <c r="H385">
        <v>0.50651791249408906</v>
      </c>
      <c r="I385">
        <f t="shared" ref="I385" si="283">H385*1.96</f>
        <v>0.99277510848841455</v>
      </c>
      <c r="J385">
        <f t="shared" si="242"/>
        <v>0.39622489151158546</v>
      </c>
      <c r="K385">
        <f t="shared" si="243"/>
        <v>2.3817751084884144</v>
      </c>
      <c r="L385" t="str">
        <f t="shared" si="238"/>
        <v>0.99</v>
      </c>
      <c r="M385" t="str">
        <f t="shared" si="239"/>
        <v>0.40</v>
      </c>
      <c r="N385" t="str">
        <f t="shared" si="240"/>
        <v>1.39 [0.99, 0.40]</v>
      </c>
    </row>
    <row r="386" spans="1:14" x14ac:dyDescent="0.35">
      <c r="A386">
        <v>588</v>
      </c>
      <c r="B386">
        <v>53</v>
      </c>
      <c r="C386" t="s">
        <v>60</v>
      </c>
      <c r="D386" t="s">
        <v>10</v>
      </c>
      <c r="E386" t="s">
        <v>14</v>
      </c>
      <c r="F386">
        <v>49</v>
      </c>
      <c r="G386">
        <v>0</v>
      </c>
      <c r="H386">
        <v>2.12</v>
      </c>
      <c r="I386">
        <f t="shared" ref="I386:I387" si="284">H386/(SQRT(F386))*1.96</f>
        <v>0.59360000000000002</v>
      </c>
      <c r="J386">
        <f t="shared" si="242"/>
        <v>-0.59360000000000002</v>
      </c>
      <c r="K386">
        <f t="shared" si="243"/>
        <v>0.59360000000000002</v>
      </c>
      <c r="L386" t="str">
        <f t="shared" si="238"/>
        <v>0.59</v>
      </c>
      <c r="M386" t="str">
        <f t="shared" si="239"/>
        <v>-0.59</v>
      </c>
      <c r="N386" t="str">
        <f t="shared" si="240"/>
        <v>0.00 [0.59, -0.59]</v>
      </c>
    </row>
    <row r="387" spans="1:14" x14ac:dyDescent="0.35">
      <c r="A387">
        <v>589</v>
      </c>
      <c r="B387">
        <v>53</v>
      </c>
      <c r="C387" t="s">
        <v>60</v>
      </c>
      <c r="D387" t="s">
        <v>28</v>
      </c>
      <c r="E387" t="s">
        <v>14</v>
      </c>
      <c r="F387">
        <v>47</v>
      </c>
      <c r="G387">
        <v>0</v>
      </c>
      <c r="H387">
        <v>1.49</v>
      </c>
      <c r="I387">
        <f t="shared" si="284"/>
        <v>0.42598412117045131</v>
      </c>
      <c r="J387">
        <f t="shared" si="242"/>
        <v>-0.42598412117045131</v>
      </c>
      <c r="K387">
        <f t="shared" si="243"/>
        <v>0.42598412117045131</v>
      </c>
      <c r="L387" t="str">
        <f t="shared" ref="L387:L450" si="285">TEXT(I387,"#0.00")</f>
        <v>0.43</v>
      </c>
      <c r="M387" t="str">
        <f t="shared" ref="M387:M450" si="286">TEXT(J387,"#0.00")</f>
        <v>-0.43</v>
      </c>
      <c r="N387" t="str">
        <f t="shared" ref="N387:N450" si="287">TEXT(G387,"#0.00")&amp;" ["&amp;L387&amp;", "&amp;M387&amp;"]"</f>
        <v>0.00 [0.43, -0.43]</v>
      </c>
    </row>
    <row r="388" spans="1:14" x14ac:dyDescent="0.35">
      <c r="A388">
        <v>16</v>
      </c>
      <c r="B388">
        <v>53</v>
      </c>
      <c r="C388" t="s">
        <v>60</v>
      </c>
      <c r="D388" t="s">
        <v>39</v>
      </c>
      <c r="E388" t="s">
        <v>14</v>
      </c>
      <c r="F388">
        <v>97</v>
      </c>
      <c r="G388">
        <v>0.95899999999999996</v>
      </c>
      <c r="H388">
        <v>2.010394180007987</v>
      </c>
      <c r="I388">
        <f t="shared" ref="I388" si="288">H388*1.96</f>
        <v>3.9403725928156543</v>
      </c>
      <c r="J388">
        <f t="shared" si="242"/>
        <v>-2.9813725928156543</v>
      </c>
      <c r="K388">
        <f t="shared" si="243"/>
        <v>4.899372592815654</v>
      </c>
      <c r="L388" t="str">
        <f t="shared" si="285"/>
        <v>3.94</v>
      </c>
      <c r="M388" t="str">
        <f t="shared" si="286"/>
        <v>-2.98</v>
      </c>
      <c r="N388" t="str">
        <f t="shared" si="287"/>
        <v>0.96 [3.94, -2.98]</v>
      </c>
    </row>
    <row r="389" spans="1:14" x14ac:dyDescent="0.35">
      <c r="A389">
        <v>468</v>
      </c>
      <c r="B389">
        <v>53</v>
      </c>
      <c r="C389" t="s">
        <v>60</v>
      </c>
      <c r="D389" t="s">
        <v>10</v>
      </c>
      <c r="E389" t="s">
        <v>9</v>
      </c>
      <c r="F389">
        <v>49</v>
      </c>
      <c r="G389">
        <v>5.9</v>
      </c>
      <c r="H389">
        <v>1.3</v>
      </c>
      <c r="I389">
        <f t="shared" ref="I389:I390" si="289">H389/(SQRT(F389))*1.96</f>
        <v>0.36399999999999999</v>
      </c>
      <c r="J389">
        <f t="shared" ref="J389:J452" si="290">G389-I389</f>
        <v>5.5360000000000005</v>
      </c>
      <c r="K389">
        <f t="shared" ref="K389:K452" si="291">G389+I389</f>
        <v>6.2640000000000002</v>
      </c>
      <c r="L389" t="str">
        <f t="shared" si="285"/>
        <v>0.36</v>
      </c>
      <c r="M389" t="str">
        <f t="shared" si="286"/>
        <v>5.54</v>
      </c>
      <c r="N389" t="str">
        <f t="shared" si="287"/>
        <v>5.90 [0.36, 5.54]</v>
      </c>
    </row>
    <row r="390" spans="1:14" x14ac:dyDescent="0.35">
      <c r="A390">
        <v>469</v>
      </c>
      <c r="B390">
        <v>53</v>
      </c>
      <c r="C390" t="s">
        <v>60</v>
      </c>
      <c r="D390" t="s">
        <v>28</v>
      </c>
      <c r="E390" t="s">
        <v>9</v>
      </c>
      <c r="F390">
        <v>47</v>
      </c>
      <c r="G390">
        <v>6</v>
      </c>
      <c r="H390">
        <v>1.5</v>
      </c>
      <c r="I390">
        <f t="shared" si="289"/>
        <v>0.42884307500380997</v>
      </c>
      <c r="J390">
        <f t="shared" si="290"/>
        <v>5.5711569249961901</v>
      </c>
      <c r="K390">
        <f t="shared" si="291"/>
        <v>6.4288430750038099</v>
      </c>
      <c r="L390" t="str">
        <f t="shared" si="285"/>
        <v>0.43</v>
      </c>
      <c r="M390" t="str">
        <f t="shared" si="286"/>
        <v>5.57</v>
      </c>
      <c r="N390" t="str">
        <f t="shared" si="287"/>
        <v>6.00 [0.43, 5.57]</v>
      </c>
    </row>
    <row r="391" spans="1:14" x14ac:dyDescent="0.35">
      <c r="A391">
        <v>14</v>
      </c>
      <c r="B391">
        <v>53</v>
      </c>
      <c r="C391" t="s">
        <v>60</v>
      </c>
      <c r="D391" t="s">
        <v>39</v>
      </c>
      <c r="E391" t="s">
        <v>9</v>
      </c>
      <c r="F391">
        <v>96</v>
      </c>
      <c r="G391">
        <v>7.0999999999999994E-2</v>
      </c>
      <c r="H391">
        <v>0.20399999999999999</v>
      </c>
      <c r="I391">
        <f t="shared" ref="I391" si="292">H391*1.96</f>
        <v>0.39983999999999997</v>
      </c>
      <c r="J391">
        <f t="shared" si="290"/>
        <v>-0.32883999999999997</v>
      </c>
      <c r="K391">
        <f t="shared" si="291"/>
        <v>0.47083999999999998</v>
      </c>
      <c r="L391" t="str">
        <f t="shared" si="285"/>
        <v>0.40</v>
      </c>
      <c r="M391" t="str">
        <f t="shared" si="286"/>
        <v>-0.33</v>
      </c>
      <c r="N391" t="str">
        <f t="shared" si="287"/>
        <v>0.07 [0.40, -0.33]</v>
      </c>
    </row>
    <row r="392" spans="1:14" x14ac:dyDescent="0.35">
      <c r="A392">
        <v>10</v>
      </c>
      <c r="B392">
        <v>54</v>
      </c>
      <c r="C392" t="s">
        <v>61</v>
      </c>
      <c r="D392" t="s">
        <v>8</v>
      </c>
      <c r="E392" t="s">
        <v>22</v>
      </c>
      <c r="F392">
        <v>19</v>
      </c>
      <c r="G392">
        <v>7</v>
      </c>
      <c r="H392">
        <v>2.72</v>
      </c>
      <c r="I392">
        <f t="shared" ref="I392:I393" si="293">H392/(SQRT(F392))*1.96</f>
        <v>1.2230611604107389</v>
      </c>
      <c r="J392">
        <f t="shared" si="290"/>
        <v>5.7769388395892616</v>
      </c>
      <c r="K392">
        <f t="shared" si="291"/>
        <v>8.2230611604107384</v>
      </c>
      <c r="L392" t="str">
        <f t="shared" si="285"/>
        <v>1.22</v>
      </c>
      <c r="M392" t="str">
        <f t="shared" si="286"/>
        <v>5.78</v>
      </c>
      <c r="N392" t="str">
        <f t="shared" si="287"/>
        <v>7.00 [1.22, 5.78]</v>
      </c>
    </row>
    <row r="393" spans="1:14" x14ac:dyDescent="0.35">
      <c r="A393">
        <v>11</v>
      </c>
      <c r="B393">
        <v>54</v>
      </c>
      <c r="C393" t="s">
        <v>61</v>
      </c>
      <c r="D393" t="s">
        <v>10</v>
      </c>
      <c r="E393" t="s">
        <v>22</v>
      </c>
      <c r="F393">
        <v>20</v>
      </c>
      <c r="G393">
        <v>3</v>
      </c>
      <c r="H393">
        <v>0.92</v>
      </c>
      <c r="I393">
        <f t="shared" si="293"/>
        <v>0.40320777770276206</v>
      </c>
      <c r="J393">
        <f t="shared" si="290"/>
        <v>2.5967922222972382</v>
      </c>
      <c r="K393">
        <f t="shared" si="291"/>
        <v>3.4032077777027618</v>
      </c>
      <c r="L393" t="str">
        <f t="shared" si="285"/>
        <v>0.40</v>
      </c>
      <c r="M393" t="str">
        <f t="shared" si="286"/>
        <v>2.60</v>
      </c>
      <c r="N393" t="str">
        <f t="shared" si="287"/>
        <v>3.00 [0.40, 2.60]</v>
      </c>
    </row>
    <row r="394" spans="1:14" x14ac:dyDescent="0.35">
      <c r="A394">
        <v>3</v>
      </c>
      <c r="B394">
        <v>54</v>
      </c>
      <c r="C394" t="s">
        <v>61</v>
      </c>
      <c r="D394" t="s">
        <v>11</v>
      </c>
      <c r="E394" t="s">
        <v>22</v>
      </c>
      <c r="F394">
        <v>40</v>
      </c>
      <c r="G394">
        <v>3.036</v>
      </c>
      <c r="H394">
        <v>0.74913582332759732</v>
      </c>
      <c r="I394">
        <f t="shared" ref="I394" si="294">H394*1.96</f>
        <v>1.4683062137220908</v>
      </c>
      <c r="J394">
        <f t="shared" si="290"/>
        <v>1.5676937862779092</v>
      </c>
      <c r="K394">
        <f t="shared" si="291"/>
        <v>4.5043062137220904</v>
      </c>
      <c r="L394" t="str">
        <f t="shared" si="285"/>
        <v>1.47</v>
      </c>
      <c r="M394" t="str">
        <f t="shared" si="286"/>
        <v>1.57</v>
      </c>
      <c r="N394" t="str">
        <f t="shared" si="287"/>
        <v>3.04 [1.47, 1.57]</v>
      </c>
    </row>
    <row r="395" spans="1:14" x14ac:dyDescent="0.35">
      <c r="A395">
        <v>96</v>
      </c>
      <c r="B395">
        <v>54</v>
      </c>
      <c r="C395" t="s">
        <v>61</v>
      </c>
      <c r="D395" t="s">
        <v>8</v>
      </c>
      <c r="E395" t="s">
        <v>27</v>
      </c>
      <c r="F395">
        <v>19</v>
      </c>
      <c r="G395">
        <v>78.400000000000006</v>
      </c>
      <c r="H395">
        <v>13.7</v>
      </c>
      <c r="I395">
        <f t="shared" ref="I395:I396" si="295">H395/(SQRT(F395))*1.96</f>
        <v>6.160271285892323</v>
      </c>
      <c r="J395">
        <f t="shared" si="290"/>
        <v>72.239728714107684</v>
      </c>
      <c r="K395">
        <f t="shared" si="291"/>
        <v>84.560271285892327</v>
      </c>
      <c r="L395" t="str">
        <f t="shared" si="285"/>
        <v>6.16</v>
      </c>
      <c r="M395" t="str">
        <f t="shared" si="286"/>
        <v>72.24</v>
      </c>
      <c r="N395" t="str">
        <f t="shared" si="287"/>
        <v>78.40 [6.16, 72.24]</v>
      </c>
    </row>
    <row r="396" spans="1:14" x14ac:dyDescent="0.35">
      <c r="A396">
        <v>97</v>
      </c>
      <c r="B396">
        <v>54</v>
      </c>
      <c r="C396" t="s">
        <v>61</v>
      </c>
      <c r="D396" t="s">
        <v>10</v>
      </c>
      <c r="E396" t="s">
        <v>27</v>
      </c>
      <c r="F396">
        <v>20</v>
      </c>
      <c r="G396">
        <v>81.599999999999994</v>
      </c>
      <c r="H396">
        <v>11.9</v>
      </c>
      <c r="I396">
        <f t="shared" si="295"/>
        <v>5.2154049507205089</v>
      </c>
      <c r="J396">
        <f t="shared" si="290"/>
        <v>76.384595049279483</v>
      </c>
      <c r="K396">
        <f t="shared" si="291"/>
        <v>86.815404950720506</v>
      </c>
      <c r="L396" t="str">
        <f t="shared" si="285"/>
        <v>5.22</v>
      </c>
      <c r="M396" t="str">
        <f t="shared" si="286"/>
        <v>76.38</v>
      </c>
      <c r="N396" t="str">
        <f t="shared" si="287"/>
        <v>81.60 [5.22, 76.38]</v>
      </c>
    </row>
    <row r="397" spans="1:14" x14ac:dyDescent="0.35">
      <c r="A397">
        <v>12</v>
      </c>
      <c r="B397">
        <v>54</v>
      </c>
      <c r="C397" t="s">
        <v>61</v>
      </c>
      <c r="D397" t="s">
        <v>11</v>
      </c>
      <c r="E397" t="s">
        <v>27</v>
      </c>
      <c r="F397">
        <v>39</v>
      </c>
      <c r="G397">
        <v>0.25</v>
      </c>
      <c r="H397">
        <v>0.32200000000000001</v>
      </c>
      <c r="I397">
        <f t="shared" ref="I397" si="296">H397*1.96</f>
        <v>0.63112000000000001</v>
      </c>
      <c r="J397">
        <f t="shared" si="290"/>
        <v>-0.38112000000000001</v>
      </c>
      <c r="K397">
        <f t="shared" si="291"/>
        <v>0.88112000000000001</v>
      </c>
      <c r="L397" t="str">
        <f t="shared" si="285"/>
        <v>0.63</v>
      </c>
      <c r="M397" t="str">
        <f t="shared" si="286"/>
        <v>-0.38</v>
      </c>
      <c r="N397" t="str">
        <f t="shared" si="287"/>
        <v>0.25 [0.63, -0.38]</v>
      </c>
    </row>
    <row r="398" spans="1:14" x14ac:dyDescent="0.35">
      <c r="A398">
        <v>188</v>
      </c>
      <c r="B398">
        <v>54</v>
      </c>
      <c r="C398" t="s">
        <v>61</v>
      </c>
      <c r="D398" t="s">
        <v>8</v>
      </c>
      <c r="E398" t="s">
        <v>13</v>
      </c>
      <c r="F398">
        <v>19</v>
      </c>
      <c r="G398">
        <v>-0.1</v>
      </c>
      <c r="H398">
        <v>1.6</v>
      </c>
      <c r="I398">
        <f t="shared" ref="I398:I399" si="297">H398/(SQRT(F398))*1.96</f>
        <v>0.71944774141808165</v>
      </c>
      <c r="J398">
        <f t="shared" si="290"/>
        <v>-0.81944774141808163</v>
      </c>
      <c r="K398">
        <f t="shared" si="291"/>
        <v>0.61944774141808168</v>
      </c>
      <c r="L398" t="str">
        <f t="shared" si="285"/>
        <v>0.72</v>
      </c>
      <c r="M398" t="str">
        <f t="shared" si="286"/>
        <v>-0.82</v>
      </c>
      <c r="N398" t="str">
        <f t="shared" si="287"/>
        <v>-0.10 [0.72, -0.82]</v>
      </c>
    </row>
    <row r="399" spans="1:14" x14ac:dyDescent="0.35">
      <c r="A399">
        <v>189</v>
      </c>
      <c r="B399">
        <v>54</v>
      </c>
      <c r="C399" t="s">
        <v>61</v>
      </c>
      <c r="D399" t="s">
        <v>10</v>
      </c>
      <c r="E399" t="s">
        <v>13</v>
      </c>
      <c r="F399">
        <v>20</v>
      </c>
      <c r="G399">
        <v>1.5</v>
      </c>
      <c r="H399">
        <v>1.2</v>
      </c>
      <c r="I399">
        <f t="shared" si="297"/>
        <v>0.52592318830795048</v>
      </c>
      <c r="J399">
        <f t="shared" si="290"/>
        <v>0.97407681169204952</v>
      </c>
      <c r="K399">
        <f t="shared" si="291"/>
        <v>2.0259231883079503</v>
      </c>
      <c r="L399" t="str">
        <f t="shared" si="285"/>
        <v>0.53</v>
      </c>
      <c r="M399" t="str">
        <f t="shared" si="286"/>
        <v>0.97</v>
      </c>
      <c r="N399" t="str">
        <f t="shared" si="287"/>
        <v>1.50 [0.53, 0.97]</v>
      </c>
    </row>
    <row r="400" spans="1:14" x14ac:dyDescent="0.35">
      <c r="A400">
        <v>21</v>
      </c>
      <c r="B400">
        <v>54</v>
      </c>
      <c r="C400" t="s">
        <v>61</v>
      </c>
      <c r="D400" t="s">
        <v>11</v>
      </c>
      <c r="E400" t="s">
        <v>13</v>
      </c>
      <c r="F400">
        <v>39</v>
      </c>
      <c r="G400">
        <v>1.1359999999999999</v>
      </c>
      <c r="H400">
        <v>0.34699999999999998</v>
      </c>
      <c r="I400">
        <f t="shared" ref="I400" si="298">H400*1.96</f>
        <v>0.68011999999999995</v>
      </c>
      <c r="J400">
        <f t="shared" si="290"/>
        <v>0.45587999999999995</v>
      </c>
      <c r="K400">
        <f t="shared" si="291"/>
        <v>1.8161199999999997</v>
      </c>
      <c r="L400" t="str">
        <f t="shared" si="285"/>
        <v>0.68</v>
      </c>
      <c r="M400" t="str">
        <f t="shared" si="286"/>
        <v>0.46</v>
      </c>
      <c r="N400" t="str">
        <f t="shared" si="287"/>
        <v>1.14 [0.68, 0.46]</v>
      </c>
    </row>
    <row r="401" spans="1:14" x14ac:dyDescent="0.35">
      <c r="A401">
        <v>336</v>
      </c>
      <c r="B401">
        <v>54</v>
      </c>
      <c r="C401" t="s">
        <v>61</v>
      </c>
      <c r="D401" t="s">
        <v>8</v>
      </c>
      <c r="E401" t="s">
        <v>19</v>
      </c>
      <c r="F401">
        <v>19</v>
      </c>
      <c r="G401">
        <v>84.8</v>
      </c>
      <c r="H401">
        <v>10.3</v>
      </c>
      <c r="I401">
        <f t="shared" ref="I401:I402" si="299">H401/(SQRT(F401))*1.96</f>
        <v>4.6314448353789013</v>
      </c>
      <c r="J401">
        <f t="shared" si="290"/>
        <v>80.168555164621097</v>
      </c>
      <c r="K401">
        <f t="shared" si="291"/>
        <v>89.431444835378898</v>
      </c>
      <c r="L401" t="str">
        <f t="shared" si="285"/>
        <v>4.63</v>
      </c>
      <c r="M401" t="str">
        <f t="shared" si="286"/>
        <v>80.17</v>
      </c>
      <c r="N401" t="str">
        <f t="shared" si="287"/>
        <v>84.80 [4.63, 80.17]</v>
      </c>
    </row>
    <row r="402" spans="1:14" x14ac:dyDescent="0.35">
      <c r="A402">
        <v>337</v>
      </c>
      <c r="B402">
        <v>54</v>
      </c>
      <c r="C402" t="s">
        <v>61</v>
      </c>
      <c r="D402" t="s">
        <v>10</v>
      </c>
      <c r="E402" t="s">
        <v>19</v>
      </c>
      <c r="F402">
        <v>20</v>
      </c>
      <c r="G402">
        <v>88.6</v>
      </c>
      <c r="H402">
        <v>8.3000000000000007</v>
      </c>
      <c r="I402">
        <f t="shared" si="299"/>
        <v>3.6376353857966581</v>
      </c>
      <c r="J402">
        <f t="shared" si="290"/>
        <v>84.962364614203338</v>
      </c>
      <c r="K402">
        <f t="shared" si="291"/>
        <v>92.237635385796651</v>
      </c>
      <c r="L402" t="str">
        <f t="shared" si="285"/>
        <v>3.64</v>
      </c>
      <c r="M402" t="str">
        <f t="shared" si="286"/>
        <v>84.96</v>
      </c>
      <c r="N402" t="str">
        <f t="shared" si="287"/>
        <v>88.60 [3.64, 84.96]</v>
      </c>
    </row>
    <row r="403" spans="1:14" x14ac:dyDescent="0.35">
      <c r="A403">
        <v>19</v>
      </c>
      <c r="B403">
        <v>54</v>
      </c>
      <c r="C403" t="s">
        <v>61</v>
      </c>
      <c r="D403" t="s">
        <v>11</v>
      </c>
      <c r="E403" t="s">
        <v>19</v>
      </c>
      <c r="F403">
        <v>39</v>
      </c>
      <c r="G403">
        <v>0.40699999999999997</v>
      </c>
      <c r="H403">
        <v>0.32400000000000001</v>
      </c>
      <c r="I403">
        <f t="shared" ref="I403" si="300">H403*1.96</f>
        <v>0.63504000000000005</v>
      </c>
      <c r="J403">
        <f t="shared" si="290"/>
        <v>-0.22804000000000008</v>
      </c>
      <c r="K403">
        <f t="shared" si="291"/>
        <v>1.0420400000000001</v>
      </c>
      <c r="L403" t="str">
        <f t="shared" si="285"/>
        <v>0.64</v>
      </c>
      <c r="M403" t="str">
        <f t="shared" si="286"/>
        <v>-0.23</v>
      </c>
      <c r="N403" t="str">
        <f t="shared" si="287"/>
        <v>0.41 [0.64, -0.23]</v>
      </c>
    </row>
    <row r="404" spans="1:14" x14ac:dyDescent="0.35">
      <c r="A404">
        <v>412</v>
      </c>
      <c r="B404">
        <v>54</v>
      </c>
      <c r="C404" t="s">
        <v>61</v>
      </c>
      <c r="D404" t="s">
        <v>8</v>
      </c>
      <c r="E404" t="s">
        <v>16</v>
      </c>
      <c r="F404">
        <v>19</v>
      </c>
      <c r="G404">
        <v>7</v>
      </c>
      <c r="H404">
        <v>2.72</v>
      </c>
      <c r="I404">
        <f t="shared" ref="I404:I405" si="301">H404/(SQRT(F404))*1.96</f>
        <v>1.2230611604107389</v>
      </c>
      <c r="J404">
        <f t="shared" si="290"/>
        <v>5.7769388395892616</v>
      </c>
      <c r="K404">
        <f t="shared" si="291"/>
        <v>8.2230611604107384</v>
      </c>
      <c r="L404" t="str">
        <f t="shared" si="285"/>
        <v>1.22</v>
      </c>
      <c r="M404" t="str">
        <f t="shared" si="286"/>
        <v>5.78</v>
      </c>
      <c r="N404" t="str">
        <f t="shared" si="287"/>
        <v>7.00 [1.22, 5.78]</v>
      </c>
    </row>
    <row r="405" spans="1:14" x14ac:dyDescent="0.35">
      <c r="A405">
        <v>413</v>
      </c>
      <c r="B405">
        <v>54</v>
      </c>
      <c r="C405" t="s">
        <v>61</v>
      </c>
      <c r="D405" t="s">
        <v>10</v>
      </c>
      <c r="E405" t="s">
        <v>16</v>
      </c>
      <c r="F405">
        <v>20</v>
      </c>
      <c r="G405">
        <v>5</v>
      </c>
      <c r="H405">
        <v>1.64</v>
      </c>
      <c r="I405">
        <f t="shared" si="301"/>
        <v>0.71876169068753237</v>
      </c>
      <c r="J405">
        <f t="shared" si="290"/>
        <v>4.2812383093124673</v>
      </c>
      <c r="K405">
        <f t="shared" si="291"/>
        <v>5.7187616906875327</v>
      </c>
      <c r="L405" t="str">
        <f t="shared" si="285"/>
        <v>0.72</v>
      </c>
      <c r="M405" t="str">
        <f t="shared" si="286"/>
        <v>4.28</v>
      </c>
      <c r="N405" t="str">
        <f t="shared" si="287"/>
        <v>5.00 [0.72, 4.28]</v>
      </c>
    </row>
    <row r="406" spans="1:14" x14ac:dyDescent="0.35">
      <c r="A406">
        <v>17</v>
      </c>
      <c r="B406">
        <v>54</v>
      </c>
      <c r="C406" t="s">
        <v>61</v>
      </c>
      <c r="D406" t="s">
        <v>11</v>
      </c>
      <c r="E406" t="s">
        <v>16</v>
      </c>
      <c r="F406">
        <v>40</v>
      </c>
      <c r="G406">
        <v>1.7050000000000001</v>
      </c>
      <c r="H406">
        <v>0.68202017210014776</v>
      </c>
      <c r="I406">
        <f t="shared" ref="I406" si="302">H406*1.96</f>
        <v>1.3367595373162895</v>
      </c>
      <c r="J406">
        <f t="shared" si="290"/>
        <v>0.36824046268371058</v>
      </c>
      <c r="K406">
        <f t="shared" si="291"/>
        <v>3.0417595373162896</v>
      </c>
      <c r="L406" t="str">
        <f t="shared" si="285"/>
        <v>1.34</v>
      </c>
      <c r="M406" t="str">
        <f t="shared" si="286"/>
        <v>0.37</v>
      </c>
      <c r="N406" t="str">
        <f t="shared" si="287"/>
        <v>1.71 [1.34, 0.37]</v>
      </c>
    </row>
    <row r="407" spans="1:14" x14ac:dyDescent="0.35">
      <c r="A407">
        <v>590</v>
      </c>
      <c r="B407">
        <v>54</v>
      </c>
      <c r="C407" t="s">
        <v>61</v>
      </c>
      <c r="D407" t="s">
        <v>8</v>
      </c>
      <c r="E407" t="s">
        <v>14</v>
      </c>
      <c r="F407">
        <v>19</v>
      </c>
      <c r="G407">
        <v>7</v>
      </c>
      <c r="H407">
        <v>2.72</v>
      </c>
      <c r="I407">
        <f t="shared" ref="I407:I408" si="303">H407/(SQRT(F407))*1.96</f>
        <v>1.2230611604107389</v>
      </c>
      <c r="J407">
        <f t="shared" si="290"/>
        <v>5.7769388395892616</v>
      </c>
      <c r="K407">
        <f t="shared" si="291"/>
        <v>8.2230611604107384</v>
      </c>
      <c r="L407" t="str">
        <f t="shared" si="285"/>
        <v>1.22</v>
      </c>
      <c r="M407" t="str">
        <f t="shared" si="286"/>
        <v>5.78</v>
      </c>
      <c r="N407" t="str">
        <f t="shared" si="287"/>
        <v>7.00 [1.22, 5.78]</v>
      </c>
    </row>
    <row r="408" spans="1:14" x14ac:dyDescent="0.35">
      <c r="A408">
        <v>591</v>
      </c>
      <c r="B408">
        <v>54</v>
      </c>
      <c r="C408" t="s">
        <v>61</v>
      </c>
      <c r="D408" t="s">
        <v>10</v>
      </c>
      <c r="E408" t="s">
        <v>14</v>
      </c>
      <c r="F408">
        <v>20</v>
      </c>
      <c r="G408">
        <v>5</v>
      </c>
      <c r="H408">
        <v>1.64</v>
      </c>
      <c r="I408">
        <f t="shared" si="303"/>
        <v>0.71876169068753237</v>
      </c>
      <c r="J408">
        <f t="shared" si="290"/>
        <v>4.2812383093124673</v>
      </c>
      <c r="K408">
        <f t="shared" si="291"/>
        <v>5.7187616906875327</v>
      </c>
      <c r="L408" t="str">
        <f t="shared" si="285"/>
        <v>0.72</v>
      </c>
      <c r="M408" t="str">
        <f t="shared" si="286"/>
        <v>4.28</v>
      </c>
      <c r="N408" t="str">
        <f t="shared" si="287"/>
        <v>5.00 [0.72, 4.28]</v>
      </c>
    </row>
    <row r="409" spans="1:14" x14ac:dyDescent="0.35">
      <c r="A409">
        <v>17</v>
      </c>
      <c r="B409">
        <v>54</v>
      </c>
      <c r="C409" t="s">
        <v>61</v>
      </c>
      <c r="D409" t="s">
        <v>11</v>
      </c>
      <c r="E409" t="s">
        <v>14</v>
      </c>
      <c r="F409">
        <v>40</v>
      </c>
      <c r="G409">
        <v>1.7050000000000001</v>
      </c>
      <c r="H409">
        <v>0.68202017210014776</v>
      </c>
      <c r="I409">
        <f t="shared" ref="I409" si="304">H409*1.96</f>
        <v>1.3367595373162895</v>
      </c>
      <c r="J409">
        <f t="shared" si="290"/>
        <v>0.36824046268371058</v>
      </c>
      <c r="K409">
        <f t="shared" si="291"/>
        <v>3.0417595373162896</v>
      </c>
      <c r="L409" t="str">
        <f t="shared" si="285"/>
        <v>1.34</v>
      </c>
      <c r="M409" t="str">
        <f t="shared" si="286"/>
        <v>0.37</v>
      </c>
      <c r="N409" t="str">
        <f t="shared" si="287"/>
        <v>1.71 [1.34, 0.37]</v>
      </c>
    </row>
    <row r="410" spans="1:14" x14ac:dyDescent="0.35">
      <c r="A410">
        <v>470</v>
      </c>
      <c r="B410">
        <v>54</v>
      </c>
      <c r="C410" t="s">
        <v>61</v>
      </c>
      <c r="D410" t="s">
        <v>8</v>
      </c>
      <c r="E410" t="s">
        <v>9</v>
      </c>
      <c r="F410">
        <v>19</v>
      </c>
      <c r="G410">
        <v>3</v>
      </c>
      <c r="H410">
        <v>1.08</v>
      </c>
      <c r="I410">
        <f t="shared" ref="I410:I411" si="305">H410/(SQRT(F410))*1.96</f>
        <v>0.48562722545720516</v>
      </c>
      <c r="J410">
        <f t="shared" si="290"/>
        <v>2.5143727745427951</v>
      </c>
      <c r="K410">
        <f t="shared" si="291"/>
        <v>3.4856272254572049</v>
      </c>
      <c r="L410" t="str">
        <f t="shared" si="285"/>
        <v>0.49</v>
      </c>
      <c r="M410" t="str">
        <f t="shared" si="286"/>
        <v>2.51</v>
      </c>
      <c r="N410" t="str">
        <f t="shared" si="287"/>
        <v>3.00 [0.49, 2.51]</v>
      </c>
    </row>
    <row r="411" spans="1:14" x14ac:dyDescent="0.35">
      <c r="A411">
        <v>471</v>
      </c>
      <c r="B411">
        <v>54</v>
      </c>
      <c r="C411" t="s">
        <v>61</v>
      </c>
      <c r="D411" t="s">
        <v>10</v>
      </c>
      <c r="E411" t="s">
        <v>9</v>
      </c>
      <c r="F411">
        <v>20</v>
      </c>
      <c r="G411">
        <v>4</v>
      </c>
      <c r="H411">
        <v>0.8</v>
      </c>
      <c r="I411">
        <f t="shared" si="305"/>
        <v>0.35061545887196705</v>
      </c>
      <c r="J411">
        <f t="shared" si="290"/>
        <v>3.649384541128033</v>
      </c>
      <c r="K411">
        <f t="shared" si="291"/>
        <v>4.3506154588719674</v>
      </c>
      <c r="L411" t="str">
        <f t="shared" si="285"/>
        <v>0.35</v>
      </c>
      <c r="M411" t="str">
        <f t="shared" si="286"/>
        <v>3.65</v>
      </c>
      <c r="N411" t="str">
        <f t="shared" si="287"/>
        <v>4.00 [0.35, 3.65]</v>
      </c>
    </row>
    <row r="412" spans="1:14" x14ac:dyDescent="0.35">
      <c r="A412">
        <v>15</v>
      </c>
      <c r="B412">
        <v>54</v>
      </c>
      <c r="C412" t="s">
        <v>61</v>
      </c>
      <c r="D412" t="s">
        <v>11</v>
      </c>
      <c r="E412" t="s">
        <v>9</v>
      </c>
      <c r="F412">
        <v>39</v>
      </c>
      <c r="G412">
        <v>1.056</v>
      </c>
      <c r="H412">
        <v>0.34300000000000003</v>
      </c>
      <c r="I412">
        <f t="shared" ref="I412" si="306">H412*1.96</f>
        <v>0.67227999999999999</v>
      </c>
      <c r="J412">
        <f t="shared" si="290"/>
        <v>0.38372000000000006</v>
      </c>
      <c r="K412">
        <f t="shared" si="291"/>
        <v>1.72828</v>
      </c>
      <c r="L412" t="str">
        <f t="shared" si="285"/>
        <v>0.67</v>
      </c>
      <c r="M412" t="str">
        <f t="shared" si="286"/>
        <v>0.38</v>
      </c>
      <c r="N412" t="str">
        <f t="shared" si="287"/>
        <v>1.06 [0.67, 0.38]</v>
      </c>
    </row>
    <row r="413" spans="1:14" x14ac:dyDescent="0.35">
      <c r="A413">
        <v>98</v>
      </c>
      <c r="B413">
        <v>55</v>
      </c>
      <c r="C413" t="s">
        <v>62</v>
      </c>
      <c r="D413" t="s">
        <v>8</v>
      </c>
      <c r="E413" t="s">
        <v>27</v>
      </c>
      <c r="F413">
        <v>14</v>
      </c>
      <c r="G413">
        <v>71.900000000000006</v>
      </c>
      <c r="H413">
        <v>15.2</v>
      </c>
      <c r="I413">
        <f t="shared" ref="I413:I414" si="307">H413/(SQRT(F413))*1.96</f>
        <v>7.9622469190549481</v>
      </c>
      <c r="J413">
        <f t="shared" si="290"/>
        <v>63.937753080945058</v>
      </c>
      <c r="K413">
        <f t="shared" si="291"/>
        <v>79.862246919054954</v>
      </c>
      <c r="L413" t="str">
        <f t="shared" si="285"/>
        <v>7.96</v>
      </c>
      <c r="M413" t="str">
        <f t="shared" si="286"/>
        <v>63.94</v>
      </c>
      <c r="N413" t="str">
        <f t="shared" si="287"/>
        <v>71.90 [7.96, 63.94]</v>
      </c>
    </row>
    <row r="414" spans="1:14" x14ac:dyDescent="0.35">
      <c r="A414">
        <v>99</v>
      </c>
      <c r="B414">
        <v>55</v>
      </c>
      <c r="C414" t="s">
        <v>62</v>
      </c>
      <c r="D414" t="s">
        <v>10</v>
      </c>
      <c r="E414" t="s">
        <v>27</v>
      </c>
      <c r="F414">
        <v>17</v>
      </c>
      <c r="G414">
        <v>73.099999999999994</v>
      </c>
      <c r="H414">
        <v>12.3</v>
      </c>
      <c r="I414">
        <f t="shared" si="307"/>
        <v>5.8470488483759153</v>
      </c>
      <c r="J414">
        <f t="shared" si="290"/>
        <v>67.252951151624075</v>
      </c>
      <c r="K414">
        <f t="shared" si="291"/>
        <v>78.947048848375914</v>
      </c>
      <c r="L414" t="str">
        <f t="shared" si="285"/>
        <v>5.85</v>
      </c>
      <c r="M414" t="str">
        <f t="shared" si="286"/>
        <v>67.25</v>
      </c>
      <c r="N414" t="str">
        <f t="shared" si="287"/>
        <v>73.10 [5.85, 67.25]</v>
      </c>
    </row>
    <row r="415" spans="1:14" x14ac:dyDescent="0.35">
      <c r="A415">
        <v>13</v>
      </c>
      <c r="B415">
        <v>55</v>
      </c>
      <c r="C415" t="s">
        <v>62</v>
      </c>
      <c r="D415" t="s">
        <v>11</v>
      </c>
      <c r="E415" t="s">
        <v>27</v>
      </c>
      <c r="F415">
        <v>31</v>
      </c>
      <c r="G415">
        <v>8.7999999999999995E-2</v>
      </c>
      <c r="H415">
        <v>0.36099999999999999</v>
      </c>
      <c r="I415">
        <f t="shared" ref="I415" si="308">H415*1.96</f>
        <v>0.70755999999999997</v>
      </c>
      <c r="J415">
        <f t="shared" si="290"/>
        <v>-0.61956</v>
      </c>
      <c r="K415">
        <f t="shared" si="291"/>
        <v>0.79555999999999993</v>
      </c>
      <c r="L415" t="str">
        <f t="shared" si="285"/>
        <v>0.71</v>
      </c>
      <c r="M415" t="str">
        <f t="shared" si="286"/>
        <v>-0.62</v>
      </c>
      <c r="N415" t="str">
        <f t="shared" si="287"/>
        <v>0.09 [0.71, -0.62]</v>
      </c>
    </row>
    <row r="416" spans="1:14" x14ac:dyDescent="0.35">
      <c r="A416">
        <v>190</v>
      </c>
      <c r="B416">
        <v>55</v>
      </c>
      <c r="C416" t="s">
        <v>62</v>
      </c>
      <c r="D416" t="s">
        <v>8</v>
      </c>
      <c r="E416" t="s">
        <v>13</v>
      </c>
      <c r="F416">
        <v>14</v>
      </c>
      <c r="G416">
        <v>3.7</v>
      </c>
      <c r="H416">
        <v>1.4</v>
      </c>
      <c r="I416">
        <f t="shared" ref="I416:I417" si="309">H416/(SQRT(F416))*1.96</f>
        <v>0.7333648478076924</v>
      </c>
      <c r="J416">
        <f t="shared" si="290"/>
        <v>2.9666351521923078</v>
      </c>
      <c r="K416">
        <f t="shared" si="291"/>
        <v>4.4333648478076926</v>
      </c>
      <c r="L416" t="str">
        <f t="shared" si="285"/>
        <v>0.73</v>
      </c>
      <c r="M416" t="str">
        <f t="shared" si="286"/>
        <v>2.97</v>
      </c>
      <c r="N416" t="str">
        <f t="shared" si="287"/>
        <v>3.70 [0.73, 2.97]</v>
      </c>
    </row>
    <row r="417" spans="1:14" x14ac:dyDescent="0.35">
      <c r="A417">
        <v>191</v>
      </c>
      <c r="B417">
        <v>55</v>
      </c>
      <c r="C417" t="s">
        <v>62</v>
      </c>
      <c r="D417" t="s">
        <v>10</v>
      </c>
      <c r="E417" t="s">
        <v>13</v>
      </c>
      <c r="F417">
        <v>17</v>
      </c>
      <c r="G417">
        <v>3.1</v>
      </c>
      <c r="H417">
        <v>1.6</v>
      </c>
      <c r="I417">
        <f t="shared" si="309"/>
        <v>0.76059172011394016</v>
      </c>
      <c r="J417">
        <f t="shared" si="290"/>
        <v>2.3394082798860598</v>
      </c>
      <c r="K417">
        <f t="shared" si="291"/>
        <v>3.8605917201139404</v>
      </c>
      <c r="L417" t="str">
        <f t="shared" si="285"/>
        <v>0.76</v>
      </c>
      <c r="M417" t="str">
        <f t="shared" si="286"/>
        <v>2.34</v>
      </c>
      <c r="N417" t="str">
        <f t="shared" si="287"/>
        <v>3.10 [0.76, 2.34]</v>
      </c>
    </row>
    <row r="418" spans="1:14" x14ac:dyDescent="0.35">
      <c r="A418">
        <v>22</v>
      </c>
      <c r="B418">
        <v>55</v>
      </c>
      <c r="C418" t="s">
        <v>62</v>
      </c>
      <c r="D418" t="s">
        <v>11</v>
      </c>
      <c r="E418" t="s">
        <v>13</v>
      </c>
      <c r="F418">
        <v>31</v>
      </c>
      <c r="G418">
        <v>0.39600000000000002</v>
      </c>
      <c r="H418">
        <v>0.36499999999999999</v>
      </c>
      <c r="I418">
        <f t="shared" ref="I418" si="310">H418*1.96</f>
        <v>0.71539999999999992</v>
      </c>
      <c r="J418">
        <f t="shared" si="290"/>
        <v>-0.31939999999999991</v>
      </c>
      <c r="K418">
        <f t="shared" si="291"/>
        <v>1.1113999999999999</v>
      </c>
      <c r="L418" t="str">
        <f t="shared" si="285"/>
        <v>0.72</v>
      </c>
      <c r="M418" t="str">
        <f t="shared" si="286"/>
        <v>-0.32</v>
      </c>
      <c r="N418" t="str">
        <f t="shared" si="287"/>
        <v>0.40 [0.72, -0.32]</v>
      </c>
    </row>
    <row r="419" spans="1:14" x14ac:dyDescent="0.35">
      <c r="A419">
        <v>268</v>
      </c>
      <c r="B419">
        <v>55</v>
      </c>
      <c r="C419" t="s">
        <v>62</v>
      </c>
      <c r="D419" t="s">
        <v>8</v>
      </c>
      <c r="E419" t="s">
        <v>17</v>
      </c>
      <c r="F419">
        <v>14</v>
      </c>
      <c r="G419">
        <v>4</v>
      </c>
      <c r="H419">
        <v>1.68</v>
      </c>
      <c r="I419">
        <f t="shared" ref="I419:I420" si="311">H419/(SQRT(F419))*1.96</f>
        <v>0.88003781736923092</v>
      </c>
      <c r="J419">
        <f t="shared" si="290"/>
        <v>3.1199621826307693</v>
      </c>
      <c r="K419">
        <f t="shared" si="291"/>
        <v>4.8800378173692307</v>
      </c>
      <c r="L419" t="str">
        <f t="shared" si="285"/>
        <v>0.88</v>
      </c>
      <c r="M419" t="str">
        <f t="shared" si="286"/>
        <v>3.12</v>
      </c>
      <c r="N419" t="str">
        <f t="shared" si="287"/>
        <v>4.00 [0.88, 3.12]</v>
      </c>
    </row>
    <row r="420" spans="1:14" x14ac:dyDescent="0.35">
      <c r="A420">
        <v>269</v>
      </c>
      <c r="B420">
        <v>55</v>
      </c>
      <c r="C420" t="s">
        <v>62</v>
      </c>
      <c r="D420" t="s">
        <v>10</v>
      </c>
      <c r="E420" t="s">
        <v>17</v>
      </c>
      <c r="F420">
        <v>17</v>
      </c>
      <c r="G420">
        <v>6</v>
      </c>
      <c r="H420">
        <v>1.03</v>
      </c>
      <c r="I420">
        <f t="shared" si="311"/>
        <v>0.489630919823349</v>
      </c>
      <c r="J420">
        <f t="shared" si="290"/>
        <v>5.5103690801766509</v>
      </c>
      <c r="K420">
        <f t="shared" si="291"/>
        <v>6.4896309198233491</v>
      </c>
      <c r="L420" t="str">
        <f t="shared" si="285"/>
        <v>0.49</v>
      </c>
      <c r="M420" t="str">
        <f t="shared" si="286"/>
        <v>5.51</v>
      </c>
      <c r="N420" t="str">
        <f t="shared" si="287"/>
        <v>6.00 [0.49, 5.51]</v>
      </c>
    </row>
    <row r="421" spans="1:14" x14ac:dyDescent="0.35">
      <c r="A421">
        <v>13</v>
      </c>
      <c r="B421">
        <v>55</v>
      </c>
      <c r="C421" t="s">
        <v>62</v>
      </c>
      <c r="D421" t="s">
        <v>11</v>
      </c>
      <c r="E421" t="s">
        <v>17</v>
      </c>
      <c r="F421">
        <v>32</v>
      </c>
      <c r="G421">
        <v>0.76200000000000001</v>
      </c>
      <c r="H421">
        <v>0.7529790614469084</v>
      </c>
      <c r="I421">
        <f t="shared" ref="I421" si="312">H421*1.96</f>
        <v>1.4758389604359405</v>
      </c>
      <c r="J421">
        <f t="shared" si="290"/>
        <v>-0.71383896043594053</v>
      </c>
      <c r="K421">
        <f t="shared" si="291"/>
        <v>2.2378389604359405</v>
      </c>
      <c r="L421" t="str">
        <f t="shared" si="285"/>
        <v>1.48</v>
      </c>
      <c r="M421" t="str">
        <f t="shared" si="286"/>
        <v>-0.71</v>
      </c>
      <c r="N421" t="str">
        <f t="shared" si="287"/>
        <v>0.76 [1.48, -0.71]</v>
      </c>
    </row>
    <row r="422" spans="1:14" x14ac:dyDescent="0.35">
      <c r="A422">
        <v>526</v>
      </c>
      <c r="B422">
        <v>55</v>
      </c>
      <c r="C422" t="s">
        <v>62</v>
      </c>
      <c r="D422" t="s">
        <v>8</v>
      </c>
      <c r="E422" t="s">
        <v>15</v>
      </c>
      <c r="F422">
        <v>14</v>
      </c>
      <c r="G422">
        <v>0</v>
      </c>
      <c r="H422">
        <v>1.68</v>
      </c>
      <c r="I422">
        <f t="shared" ref="I422:I423" si="313">H422/(SQRT(F422))*1.96</f>
        <v>0.88003781736923092</v>
      </c>
      <c r="J422">
        <f t="shared" si="290"/>
        <v>-0.88003781736923092</v>
      </c>
      <c r="K422">
        <f t="shared" si="291"/>
        <v>0.88003781736923092</v>
      </c>
      <c r="L422" t="str">
        <f t="shared" si="285"/>
        <v>0.88</v>
      </c>
      <c r="M422" t="str">
        <f t="shared" si="286"/>
        <v>-0.88</v>
      </c>
      <c r="N422" t="str">
        <f t="shared" si="287"/>
        <v>0.00 [0.88, -0.88]</v>
      </c>
    </row>
    <row r="423" spans="1:14" x14ac:dyDescent="0.35">
      <c r="A423">
        <v>527</v>
      </c>
      <c r="B423">
        <v>55</v>
      </c>
      <c r="C423" t="s">
        <v>62</v>
      </c>
      <c r="D423" t="s">
        <v>10</v>
      </c>
      <c r="E423" t="s">
        <v>15</v>
      </c>
      <c r="F423">
        <v>17</v>
      </c>
      <c r="G423">
        <v>0</v>
      </c>
      <c r="H423">
        <v>1.03</v>
      </c>
      <c r="I423">
        <f t="shared" si="313"/>
        <v>0.489630919823349</v>
      </c>
      <c r="J423">
        <f t="shared" si="290"/>
        <v>-0.489630919823349</v>
      </c>
      <c r="K423">
        <f t="shared" si="291"/>
        <v>0.489630919823349</v>
      </c>
      <c r="L423" t="str">
        <f t="shared" si="285"/>
        <v>0.49</v>
      </c>
      <c r="M423" t="str">
        <f t="shared" si="286"/>
        <v>-0.49</v>
      </c>
      <c r="N423" t="str">
        <f t="shared" si="287"/>
        <v>0.00 [0.49, -0.49]</v>
      </c>
    </row>
    <row r="424" spans="1:14" x14ac:dyDescent="0.35">
      <c r="A424">
        <v>13</v>
      </c>
      <c r="B424">
        <v>55</v>
      </c>
      <c r="C424" t="s">
        <v>62</v>
      </c>
      <c r="D424" t="s">
        <v>11</v>
      </c>
      <c r="E424" t="s">
        <v>15</v>
      </c>
      <c r="F424">
        <v>32</v>
      </c>
      <c r="G424">
        <v>1.214</v>
      </c>
      <c r="H424">
        <v>2.0323021677005459</v>
      </c>
      <c r="I424">
        <f t="shared" ref="I424" si="314">H424*1.96</f>
        <v>3.9833122486930699</v>
      </c>
      <c r="J424">
        <f t="shared" si="290"/>
        <v>-2.7693122486930699</v>
      </c>
      <c r="K424">
        <f t="shared" si="291"/>
        <v>5.1973122486930698</v>
      </c>
      <c r="L424" t="str">
        <f t="shared" si="285"/>
        <v>3.98</v>
      </c>
      <c r="M424" t="str">
        <f t="shared" si="286"/>
        <v>-2.77</v>
      </c>
      <c r="N424" t="str">
        <f t="shared" si="287"/>
        <v>1.21 [3.98, -2.77]</v>
      </c>
    </row>
    <row r="425" spans="1:14" x14ac:dyDescent="0.35">
      <c r="A425">
        <v>338</v>
      </c>
      <c r="B425">
        <v>55</v>
      </c>
      <c r="C425" t="s">
        <v>62</v>
      </c>
      <c r="D425" t="s">
        <v>8</v>
      </c>
      <c r="E425" t="s">
        <v>19</v>
      </c>
      <c r="F425">
        <v>14</v>
      </c>
      <c r="G425">
        <v>84</v>
      </c>
      <c r="H425">
        <v>13.47</v>
      </c>
      <c r="I425">
        <f t="shared" ref="I425:I426" si="315">H425/(SQRT(F425))*1.96</f>
        <v>7.0560174999782985</v>
      </c>
      <c r="J425">
        <f t="shared" si="290"/>
        <v>76.943982500021704</v>
      </c>
      <c r="K425">
        <f t="shared" si="291"/>
        <v>91.056017499978296</v>
      </c>
      <c r="L425" t="str">
        <f t="shared" si="285"/>
        <v>7.06</v>
      </c>
      <c r="M425" t="str">
        <f t="shared" si="286"/>
        <v>76.94</v>
      </c>
      <c r="N425" t="str">
        <f t="shared" si="287"/>
        <v>84.00 [7.06, 76.94]</v>
      </c>
    </row>
    <row r="426" spans="1:14" x14ac:dyDescent="0.35">
      <c r="A426">
        <v>339</v>
      </c>
      <c r="B426">
        <v>55</v>
      </c>
      <c r="C426" t="s">
        <v>62</v>
      </c>
      <c r="D426" t="s">
        <v>10</v>
      </c>
      <c r="E426" t="s">
        <v>19</v>
      </c>
      <c r="F426">
        <v>17</v>
      </c>
      <c r="G426">
        <v>80</v>
      </c>
      <c r="H426">
        <v>15.59</v>
      </c>
      <c r="I426">
        <f t="shared" si="315"/>
        <v>7.4110155728602045</v>
      </c>
      <c r="J426">
        <f t="shared" si="290"/>
        <v>72.588984427139792</v>
      </c>
      <c r="K426">
        <f t="shared" si="291"/>
        <v>87.411015572860208</v>
      </c>
      <c r="L426" t="str">
        <f t="shared" si="285"/>
        <v>7.41</v>
      </c>
      <c r="M426" t="str">
        <f t="shared" si="286"/>
        <v>72.59</v>
      </c>
      <c r="N426" t="str">
        <f t="shared" si="287"/>
        <v>80.00 [7.41, 72.59]</v>
      </c>
    </row>
    <row r="427" spans="1:14" x14ac:dyDescent="0.35">
      <c r="A427">
        <v>20</v>
      </c>
      <c r="B427">
        <v>55</v>
      </c>
      <c r="C427" t="s">
        <v>62</v>
      </c>
      <c r="D427" t="s">
        <v>11</v>
      </c>
      <c r="E427" t="s">
        <v>19</v>
      </c>
      <c r="F427">
        <v>31</v>
      </c>
      <c r="G427">
        <v>0.27300000000000002</v>
      </c>
      <c r="H427">
        <v>0.36299999999999999</v>
      </c>
      <c r="I427">
        <f t="shared" ref="I427" si="316">H427*1.96</f>
        <v>0.71148</v>
      </c>
      <c r="J427">
        <f t="shared" si="290"/>
        <v>-0.43847999999999998</v>
      </c>
      <c r="K427">
        <f t="shared" si="291"/>
        <v>0.98448000000000002</v>
      </c>
      <c r="L427" t="str">
        <f t="shared" si="285"/>
        <v>0.71</v>
      </c>
      <c r="M427" t="str">
        <f t="shared" si="286"/>
        <v>-0.44</v>
      </c>
      <c r="N427" t="str">
        <f t="shared" si="287"/>
        <v>0.27 [0.71, -0.44]</v>
      </c>
    </row>
    <row r="428" spans="1:14" x14ac:dyDescent="0.35">
      <c r="A428">
        <v>100</v>
      </c>
      <c r="B428">
        <v>56</v>
      </c>
      <c r="C428" t="s">
        <v>63</v>
      </c>
      <c r="D428" t="s">
        <v>8</v>
      </c>
      <c r="E428" t="s">
        <v>27</v>
      </c>
      <c r="F428">
        <v>18</v>
      </c>
      <c r="G428">
        <v>75</v>
      </c>
      <c r="H428">
        <v>13</v>
      </c>
      <c r="I428">
        <f t="shared" ref="I428:I429" si="317">H428/(SQRT(F428))*1.96</f>
        <v>6.0056935948777443</v>
      </c>
      <c r="J428">
        <f t="shared" si="290"/>
        <v>68.994306405122259</v>
      </c>
      <c r="K428">
        <f t="shared" si="291"/>
        <v>81.005693594877741</v>
      </c>
      <c r="L428" t="str">
        <f t="shared" si="285"/>
        <v>6.01</v>
      </c>
      <c r="M428" t="str">
        <f t="shared" si="286"/>
        <v>68.99</v>
      </c>
      <c r="N428" t="str">
        <f t="shared" si="287"/>
        <v>75.00 [6.01, 68.99]</v>
      </c>
    </row>
    <row r="429" spans="1:14" x14ac:dyDescent="0.35">
      <c r="A429">
        <v>101</v>
      </c>
      <c r="B429">
        <v>56</v>
      </c>
      <c r="C429" t="s">
        <v>63</v>
      </c>
      <c r="D429" t="s">
        <v>28</v>
      </c>
      <c r="E429" t="s">
        <v>27</v>
      </c>
      <c r="F429">
        <v>21</v>
      </c>
      <c r="G429">
        <v>76</v>
      </c>
      <c r="H429">
        <v>16</v>
      </c>
      <c r="I429">
        <f t="shared" si="317"/>
        <v>6.843313037800721</v>
      </c>
      <c r="J429">
        <f t="shared" si="290"/>
        <v>69.156686962199274</v>
      </c>
      <c r="K429">
        <f t="shared" si="291"/>
        <v>82.843313037800726</v>
      </c>
      <c r="L429" t="str">
        <f t="shared" si="285"/>
        <v>6.84</v>
      </c>
      <c r="M429" t="str">
        <f t="shared" si="286"/>
        <v>69.16</v>
      </c>
      <c r="N429" t="str">
        <f t="shared" si="287"/>
        <v>76.00 [6.84, 69.16]</v>
      </c>
    </row>
    <row r="430" spans="1:14" x14ac:dyDescent="0.35">
      <c r="A430">
        <v>14</v>
      </c>
      <c r="B430">
        <v>56</v>
      </c>
      <c r="C430" t="s">
        <v>63</v>
      </c>
      <c r="D430" t="s">
        <v>26</v>
      </c>
      <c r="E430" t="s">
        <v>27</v>
      </c>
      <c r="F430">
        <v>39</v>
      </c>
      <c r="G430">
        <v>6.8000000000000005E-2</v>
      </c>
      <c r="H430">
        <v>0.32100000000000001</v>
      </c>
      <c r="I430">
        <f t="shared" ref="I430" si="318">H430*1.96</f>
        <v>0.62916000000000005</v>
      </c>
      <c r="J430">
        <f t="shared" si="290"/>
        <v>-0.5611600000000001</v>
      </c>
      <c r="K430">
        <f t="shared" si="291"/>
        <v>0.69716</v>
      </c>
      <c r="L430" t="str">
        <f t="shared" si="285"/>
        <v>0.63</v>
      </c>
      <c r="M430" t="str">
        <f t="shared" si="286"/>
        <v>-0.56</v>
      </c>
      <c r="N430" t="str">
        <f t="shared" si="287"/>
        <v>0.07 [0.63, -0.56]</v>
      </c>
    </row>
    <row r="431" spans="1:14" x14ac:dyDescent="0.35">
      <c r="A431">
        <v>192</v>
      </c>
      <c r="B431">
        <v>56</v>
      </c>
      <c r="C431" t="s">
        <v>63</v>
      </c>
      <c r="D431" t="s">
        <v>8</v>
      </c>
      <c r="E431" t="s">
        <v>13</v>
      </c>
      <c r="F431">
        <v>18</v>
      </c>
      <c r="G431">
        <v>1.1000000000000001</v>
      </c>
      <c r="H431">
        <v>1.4</v>
      </c>
      <c r="I431">
        <f t="shared" ref="I431:I432" si="319">H431/(SQRT(F431))*1.96</f>
        <v>0.6467670025252954</v>
      </c>
      <c r="J431">
        <f t="shared" si="290"/>
        <v>0.45323299747470469</v>
      </c>
      <c r="K431">
        <f t="shared" si="291"/>
        <v>1.7467670025252955</v>
      </c>
      <c r="L431" t="str">
        <f t="shared" si="285"/>
        <v>0.65</v>
      </c>
      <c r="M431" t="str">
        <f t="shared" si="286"/>
        <v>0.45</v>
      </c>
      <c r="N431" t="str">
        <f t="shared" si="287"/>
        <v>1.10 [0.65, 0.45]</v>
      </c>
    </row>
    <row r="432" spans="1:14" x14ac:dyDescent="0.35">
      <c r="A432">
        <v>193</v>
      </c>
      <c r="B432">
        <v>56</v>
      </c>
      <c r="C432" t="s">
        <v>63</v>
      </c>
      <c r="D432" t="s">
        <v>28</v>
      </c>
      <c r="E432" t="s">
        <v>13</v>
      </c>
      <c r="F432">
        <v>21</v>
      </c>
      <c r="G432">
        <v>0.8</v>
      </c>
      <c r="H432">
        <v>1.7</v>
      </c>
      <c r="I432">
        <f t="shared" si="319"/>
        <v>0.72710201026632659</v>
      </c>
      <c r="J432">
        <f t="shared" si="290"/>
        <v>7.2897989733673452E-2</v>
      </c>
      <c r="K432">
        <f t="shared" si="291"/>
        <v>1.5271020102663266</v>
      </c>
      <c r="L432" t="str">
        <f t="shared" si="285"/>
        <v>0.73</v>
      </c>
      <c r="M432" t="str">
        <f t="shared" si="286"/>
        <v>0.07</v>
      </c>
      <c r="N432" t="str">
        <f t="shared" si="287"/>
        <v>0.80 [0.73, 0.07]</v>
      </c>
    </row>
    <row r="433" spans="1:14" x14ac:dyDescent="0.35">
      <c r="A433">
        <v>23</v>
      </c>
      <c r="B433">
        <v>56</v>
      </c>
      <c r="C433" t="s">
        <v>63</v>
      </c>
      <c r="D433" t="s">
        <v>26</v>
      </c>
      <c r="E433" t="s">
        <v>13</v>
      </c>
      <c r="F433">
        <v>39</v>
      </c>
      <c r="G433">
        <v>0.191</v>
      </c>
      <c r="H433">
        <v>0.32200000000000001</v>
      </c>
      <c r="I433">
        <f t="shared" ref="I433" si="320">H433*1.96</f>
        <v>0.63112000000000001</v>
      </c>
      <c r="J433">
        <f t="shared" si="290"/>
        <v>-0.44012000000000001</v>
      </c>
      <c r="K433">
        <f t="shared" si="291"/>
        <v>0.82211999999999996</v>
      </c>
      <c r="L433" t="str">
        <f t="shared" si="285"/>
        <v>0.63</v>
      </c>
      <c r="M433" t="str">
        <f t="shared" si="286"/>
        <v>-0.44</v>
      </c>
      <c r="N433" t="str">
        <f t="shared" si="287"/>
        <v>0.19 [0.63, -0.44]</v>
      </c>
    </row>
    <row r="434" spans="1:14" x14ac:dyDescent="0.35">
      <c r="A434">
        <v>414</v>
      </c>
      <c r="B434">
        <v>56</v>
      </c>
      <c r="C434" t="s">
        <v>63</v>
      </c>
      <c r="D434" t="s">
        <v>8</v>
      </c>
      <c r="E434" t="s">
        <v>16</v>
      </c>
      <c r="F434">
        <v>18</v>
      </c>
      <c r="G434">
        <v>3</v>
      </c>
      <c r="H434">
        <v>0.99</v>
      </c>
      <c r="I434">
        <f t="shared" ref="I434:I435" si="321">H434/(SQRT(F434))*1.96</f>
        <v>0.45735666607145892</v>
      </c>
      <c r="J434">
        <f t="shared" si="290"/>
        <v>2.5426433339285412</v>
      </c>
      <c r="K434">
        <f t="shared" si="291"/>
        <v>3.4573566660714588</v>
      </c>
      <c r="L434" t="str">
        <f t="shared" si="285"/>
        <v>0.46</v>
      </c>
      <c r="M434" t="str">
        <f t="shared" si="286"/>
        <v>2.54</v>
      </c>
      <c r="N434" t="str">
        <f t="shared" si="287"/>
        <v>3.00 [0.46, 2.54]</v>
      </c>
    </row>
    <row r="435" spans="1:14" x14ac:dyDescent="0.35">
      <c r="A435">
        <v>415</v>
      </c>
      <c r="B435">
        <v>56</v>
      </c>
      <c r="C435" t="s">
        <v>63</v>
      </c>
      <c r="D435" t="s">
        <v>28</v>
      </c>
      <c r="E435" t="s">
        <v>16</v>
      </c>
      <c r="F435">
        <v>21</v>
      </c>
      <c r="G435">
        <v>8</v>
      </c>
      <c r="H435">
        <v>3</v>
      </c>
      <c r="I435">
        <f t="shared" si="321"/>
        <v>1.2831211945876353</v>
      </c>
      <c r="J435">
        <f t="shared" si="290"/>
        <v>6.7168788054123647</v>
      </c>
      <c r="K435">
        <f t="shared" si="291"/>
        <v>9.2831211945876362</v>
      </c>
      <c r="L435" t="str">
        <f t="shared" si="285"/>
        <v>1.28</v>
      </c>
      <c r="M435" t="str">
        <f t="shared" si="286"/>
        <v>6.72</v>
      </c>
      <c r="N435" t="str">
        <f t="shared" si="287"/>
        <v>8.00 [1.28, 6.72]</v>
      </c>
    </row>
    <row r="436" spans="1:14" x14ac:dyDescent="0.35">
      <c r="A436">
        <v>18</v>
      </c>
      <c r="B436">
        <v>56</v>
      </c>
      <c r="C436" t="s">
        <v>63</v>
      </c>
      <c r="D436" t="s">
        <v>26</v>
      </c>
      <c r="E436" t="s">
        <v>16</v>
      </c>
      <c r="F436">
        <v>40</v>
      </c>
      <c r="G436">
        <v>0.35699999999999998</v>
      </c>
      <c r="H436">
        <v>0.73956141606195136</v>
      </c>
      <c r="I436">
        <f t="shared" ref="I436" si="322">H436*1.96</f>
        <v>1.4495403754814247</v>
      </c>
      <c r="J436">
        <f t="shared" si="290"/>
        <v>-1.0925403754814247</v>
      </c>
      <c r="K436">
        <f t="shared" si="291"/>
        <v>1.8065403754814247</v>
      </c>
      <c r="L436" t="str">
        <f t="shared" si="285"/>
        <v>1.45</v>
      </c>
      <c r="M436" t="str">
        <f t="shared" si="286"/>
        <v>-1.09</v>
      </c>
      <c r="N436" t="str">
        <f t="shared" si="287"/>
        <v>0.36 [1.45, -1.09]</v>
      </c>
    </row>
    <row r="437" spans="1:14" x14ac:dyDescent="0.35">
      <c r="A437">
        <v>592</v>
      </c>
      <c r="B437">
        <v>56</v>
      </c>
      <c r="C437" t="s">
        <v>63</v>
      </c>
      <c r="D437" t="s">
        <v>8</v>
      </c>
      <c r="E437" t="s">
        <v>14</v>
      </c>
      <c r="F437">
        <v>18</v>
      </c>
      <c r="G437">
        <v>3</v>
      </c>
      <c r="H437">
        <v>0.99</v>
      </c>
      <c r="I437">
        <f t="shared" ref="I437:I438" si="323">H437/(SQRT(F437))*1.96</f>
        <v>0.45735666607145892</v>
      </c>
      <c r="J437">
        <f t="shared" si="290"/>
        <v>2.5426433339285412</v>
      </c>
      <c r="K437">
        <f t="shared" si="291"/>
        <v>3.4573566660714588</v>
      </c>
      <c r="L437" t="str">
        <f t="shared" si="285"/>
        <v>0.46</v>
      </c>
      <c r="M437" t="str">
        <f t="shared" si="286"/>
        <v>2.54</v>
      </c>
      <c r="N437" t="str">
        <f t="shared" si="287"/>
        <v>3.00 [0.46, 2.54]</v>
      </c>
    </row>
    <row r="438" spans="1:14" x14ac:dyDescent="0.35">
      <c r="A438">
        <v>593</v>
      </c>
      <c r="B438">
        <v>56</v>
      </c>
      <c r="C438" t="s">
        <v>63</v>
      </c>
      <c r="D438" t="s">
        <v>28</v>
      </c>
      <c r="E438" t="s">
        <v>14</v>
      </c>
      <c r="F438">
        <v>21</v>
      </c>
      <c r="G438">
        <v>8</v>
      </c>
      <c r="H438">
        <v>3</v>
      </c>
      <c r="I438">
        <f t="shared" si="323"/>
        <v>1.2831211945876353</v>
      </c>
      <c r="J438">
        <f t="shared" si="290"/>
        <v>6.7168788054123647</v>
      </c>
      <c r="K438">
        <f t="shared" si="291"/>
        <v>9.2831211945876362</v>
      </c>
      <c r="L438" t="str">
        <f t="shared" si="285"/>
        <v>1.28</v>
      </c>
      <c r="M438" t="str">
        <f t="shared" si="286"/>
        <v>6.72</v>
      </c>
      <c r="N438" t="str">
        <f t="shared" si="287"/>
        <v>8.00 [1.28, 6.72]</v>
      </c>
    </row>
    <row r="439" spans="1:14" x14ac:dyDescent="0.35">
      <c r="A439">
        <v>18</v>
      </c>
      <c r="B439">
        <v>56</v>
      </c>
      <c r="C439" t="s">
        <v>63</v>
      </c>
      <c r="D439" t="s">
        <v>26</v>
      </c>
      <c r="E439" t="s">
        <v>14</v>
      </c>
      <c r="F439">
        <v>40</v>
      </c>
      <c r="G439">
        <v>0.35699999999999998</v>
      </c>
      <c r="H439">
        <v>0.73956141606195136</v>
      </c>
      <c r="I439">
        <f t="shared" ref="I439" si="324">H439*1.96</f>
        <v>1.4495403754814247</v>
      </c>
      <c r="J439">
        <f t="shared" si="290"/>
        <v>-1.0925403754814247</v>
      </c>
      <c r="K439">
        <f t="shared" si="291"/>
        <v>1.8065403754814247</v>
      </c>
      <c r="L439" t="str">
        <f t="shared" si="285"/>
        <v>1.45</v>
      </c>
      <c r="M439" t="str">
        <f t="shared" si="286"/>
        <v>-1.09</v>
      </c>
      <c r="N439" t="str">
        <f t="shared" si="287"/>
        <v>0.36 [1.45, -1.09]</v>
      </c>
    </row>
    <row r="440" spans="1:14" x14ac:dyDescent="0.35">
      <c r="A440">
        <v>102</v>
      </c>
      <c r="B440">
        <v>58</v>
      </c>
      <c r="C440" t="s">
        <v>64</v>
      </c>
      <c r="D440" t="s">
        <v>10</v>
      </c>
      <c r="E440" t="s">
        <v>27</v>
      </c>
      <c r="F440">
        <v>25</v>
      </c>
      <c r="G440">
        <v>78.900000000000006</v>
      </c>
      <c r="H440">
        <v>7.4</v>
      </c>
      <c r="I440">
        <f t="shared" ref="I440:I441" si="325">H440/(SQRT(F440))*1.96</f>
        <v>2.9007999999999998</v>
      </c>
      <c r="J440">
        <f t="shared" si="290"/>
        <v>75.999200000000002</v>
      </c>
      <c r="K440">
        <f t="shared" si="291"/>
        <v>81.80080000000001</v>
      </c>
      <c r="L440" t="str">
        <f t="shared" si="285"/>
        <v>2.90</v>
      </c>
      <c r="M440" t="str">
        <f t="shared" si="286"/>
        <v>76.00</v>
      </c>
      <c r="N440" t="str">
        <f t="shared" si="287"/>
        <v>78.90 [2.90, 76.00]</v>
      </c>
    </row>
    <row r="441" spans="1:14" x14ac:dyDescent="0.35">
      <c r="A441">
        <v>103</v>
      </c>
      <c r="B441">
        <v>58</v>
      </c>
      <c r="C441" t="s">
        <v>64</v>
      </c>
      <c r="D441" t="s">
        <v>32</v>
      </c>
      <c r="E441" t="s">
        <v>27</v>
      </c>
      <c r="F441">
        <v>25</v>
      </c>
      <c r="G441">
        <v>82.6</v>
      </c>
      <c r="H441">
        <v>6.3</v>
      </c>
      <c r="I441">
        <f t="shared" si="325"/>
        <v>2.4695999999999998</v>
      </c>
      <c r="J441">
        <f t="shared" si="290"/>
        <v>80.130399999999995</v>
      </c>
      <c r="K441">
        <f t="shared" si="291"/>
        <v>85.069599999999994</v>
      </c>
      <c r="L441" t="str">
        <f t="shared" si="285"/>
        <v>2.47</v>
      </c>
      <c r="M441" t="str">
        <f t="shared" si="286"/>
        <v>80.13</v>
      </c>
      <c r="N441" t="str">
        <f t="shared" si="287"/>
        <v>82.60 [2.47, 80.13]</v>
      </c>
    </row>
    <row r="442" spans="1:14" x14ac:dyDescent="0.35">
      <c r="A442">
        <v>15</v>
      </c>
      <c r="B442">
        <v>58</v>
      </c>
      <c r="C442" t="s">
        <v>64</v>
      </c>
      <c r="D442" t="s">
        <v>31</v>
      </c>
      <c r="E442" t="s">
        <v>27</v>
      </c>
      <c r="F442">
        <v>50</v>
      </c>
      <c r="G442">
        <v>0.53800000000000003</v>
      </c>
      <c r="H442">
        <v>0.28799999999999998</v>
      </c>
      <c r="I442">
        <f t="shared" ref="I442" si="326">H442*1.96</f>
        <v>0.56447999999999998</v>
      </c>
      <c r="J442">
        <f t="shared" si="290"/>
        <v>-2.6479999999999948E-2</v>
      </c>
      <c r="K442">
        <f t="shared" si="291"/>
        <v>1.1024799999999999</v>
      </c>
      <c r="L442" t="str">
        <f t="shared" si="285"/>
        <v>0.56</v>
      </c>
      <c r="M442" t="str">
        <f t="shared" si="286"/>
        <v>-0.03</v>
      </c>
      <c r="N442" t="str">
        <f t="shared" si="287"/>
        <v>0.54 [0.56, -0.03]</v>
      </c>
    </row>
    <row r="443" spans="1:14" x14ac:dyDescent="0.35">
      <c r="A443">
        <v>196</v>
      </c>
      <c r="B443">
        <v>58</v>
      </c>
      <c r="C443" t="s">
        <v>64</v>
      </c>
      <c r="D443" t="s">
        <v>10</v>
      </c>
      <c r="E443" t="s">
        <v>13</v>
      </c>
      <c r="F443">
        <v>25</v>
      </c>
      <c r="G443">
        <v>2.1</v>
      </c>
      <c r="H443">
        <v>1</v>
      </c>
      <c r="I443">
        <f t="shared" ref="I443:I444" si="327">H443/(SQRT(F443))*1.96</f>
        <v>0.39200000000000002</v>
      </c>
      <c r="J443">
        <f t="shared" si="290"/>
        <v>1.7080000000000002</v>
      </c>
      <c r="K443">
        <f t="shared" si="291"/>
        <v>2.492</v>
      </c>
      <c r="L443" t="str">
        <f t="shared" si="285"/>
        <v>0.39</v>
      </c>
      <c r="M443" t="str">
        <f t="shared" si="286"/>
        <v>1.71</v>
      </c>
      <c r="N443" t="str">
        <f t="shared" si="287"/>
        <v>2.10 [0.39, 1.71]</v>
      </c>
    </row>
    <row r="444" spans="1:14" x14ac:dyDescent="0.35">
      <c r="A444">
        <v>197</v>
      </c>
      <c r="B444">
        <v>58</v>
      </c>
      <c r="C444" t="s">
        <v>64</v>
      </c>
      <c r="D444" t="s">
        <v>32</v>
      </c>
      <c r="E444" t="s">
        <v>13</v>
      </c>
      <c r="F444">
        <v>25</v>
      </c>
      <c r="G444">
        <v>1.8</v>
      </c>
      <c r="H444">
        <v>0.9</v>
      </c>
      <c r="I444">
        <f t="shared" si="327"/>
        <v>0.3528</v>
      </c>
      <c r="J444">
        <f t="shared" si="290"/>
        <v>1.4472</v>
      </c>
      <c r="K444">
        <f t="shared" si="291"/>
        <v>2.1528</v>
      </c>
      <c r="L444" t="str">
        <f t="shared" si="285"/>
        <v>0.35</v>
      </c>
      <c r="M444" t="str">
        <f t="shared" si="286"/>
        <v>1.45</v>
      </c>
      <c r="N444" t="str">
        <f t="shared" si="287"/>
        <v>1.80 [0.35, 1.45]</v>
      </c>
    </row>
    <row r="445" spans="1:14" x14ac:dyDescent="0.35">
      <c r="A445">
        <v>24</v>
      </c>
      <c r="B445">
        <v>58</v>
      </c>
      <c r="C445" t="s">
        <v>64</v>
      </c>
      <c r="D445" t="s">
        <v>31</v>
      </c>
      <c r="E445" t="s">
        <v>13</v>
      </c>
      <c r="F445">
        <v>50</v>
      </c>
      <c r="G445">
        <v>0.315</v>
      </c>
      <c r="H445">
        <v>0.28499999999999998</v>
      </c>
      <c r="I445">
        <f t="shared" ref="I445" si="328">H445*1.96</f>
        <v>0.55859999999999999</v>
      </c>
      <c r="J445">
        <f t="shared" si="290"/>
        <v>-0.24359999999999998</v>
      </c>
      <c r="K445">
        <f t="shared" si="291"/>
        <v>0.87359999999999993</v>
      </c>
      <c r="L445" t="str">
        <f t="shared" si="285"/>
        <v>0.56</v>
      </c>
      <c r="M445" t="str">
        <f t="shared" si="286"/>
        <v>-0.24</v>
      </c>
      <c r="N445" t="str">
        <f t="shared" si="287"/>
        <v>0.32 [0.56, -0.24]</v>
      </c>
    </row>
    <row r="446" spans="1:14" x14ac:dyDescent="0.35">
      <c r="A446">
        <v>270</v>
      </c>
      <c r="B446">
        <v>58</v>
      </c>
      <c r="C446" t="s">
        <v>64</v>
      </c>
      <c r="D446" t="s">
        <v>10</v>
      </c>
      <c r="E446" t="s">
        <v>17</v>
      </c>
      <c r="F446">
        <v>25</v>
      </c>
      <c r="G446">
        <v>3</v>
      </c>
      <c r="H446">
        <v>0.8</v>
      </c>
      <c r="I446">
        <f t="shared" ref="I446:I447" si="329">H446/(SQRT(F446))*1.96</f>
        <v>0.31359999999999999</v>
      </c>
      <c r="J446">
        <f t="shared" si="290"/>
        <v>2.6863999999999999</v>
      </c>
      <c r="K446">
        <f t="shared" si="291"/>
        <v>3.3136000000000001</v>
      </c>
      <c r="L446" t="str">
        <f t="shared" si="285"/>
        <v>0.31</v>
      </c>
      <c r="M446" t="str">
        <f t="shared" si="286"/>
        <v>2.69</v>
      </c>
      <c r="N446" t="str">
        <f t="shared" si="287"/>
        <v>3.00 [0.31, 2.69]</v>
      </c>
    </row>
    <row r="447" spans="1:14" x14ac:dyDescent="0.35">
      <c r="A447">
        <v>271</v>
      </c>
      <c r="B447">
        <v>58</v>
      </c>
      <c r="C447" t="s">
        <v>64</v>
      </c>
      <c r="D447" t="s">
        <v>32</v>
      </c>
      <c r="E447" t="s">
        <v>17</v>
      </c>
      <c r="F447">
        <v>25</v>
      </c>
      <c r="G447">
        <v>2</v>
      </c>
      <c r="H447">
        <v>0.54</v>
      </c>
      <c r="I447">
        <f t="shared" si="329"/>
        <v>0.21168000000000003</v>
      </c>
      <c r="J447">
        <f t="shared" si="290"/>
        <v>1.7883199999999999</v>
      </c>
      <c r="K447">
        <f t="shared" si="291"/>
        <v>2.2116799999999999</v>
      </c>
      <c r="L447" t="str">
        <f t="shared" si="285"/>
        <v>0.21</v>
      </c>
      <c r="M447" t="str">
        <f t="shared" si="286"/>
        <v>1.79</v>
      </c>
      <c r="N447" t="str">
        <f t="shared" si="287"/>
        <v>2.00 [0.21, 1.79]</v>
      </c>
    </row>
    <row r="448" spans="1:14" x14ac:dyDescent="0.35">
      <c r="A448">
        <v>14</v>
      </c>
      <c r="B448">
        <v>58</v>
      </c>
      <c r="C448" t="s">
        <v>64</v>
      </c>
      <c r="D448" t="s">
        <v>31</v>
      </c>
      <c r="E448" t="s">
        <v>17</v>
      </c>
      <c r="F448">
        <v>51</v>
      </c>
      <c r="G448">
        <v>1.464</v>
      </c>
      <c r="H448">
        <v>0.88014038200641398</v>
      </c>
      <c r="I448">
        <f t="shared" ref="I448" si="330">H448*1.96</f>
        <v>1.7250751487325713</v>
      </c>
      <c r="J448">
        <f t="shared" si="290"/>
        <v>-0.26107514873257132</v>
      </c>
      <c r="K448">
        <f t="shared" si="291"/>
        <v>3.189075148732571</v>
      </c>
      <c r="L448" t="str">
        <f t="shared" si="285"/>
        <v>1.73</v>
      </c>
      <c r="M448" t="str">
        <f t="shared" si="286"/>
        <v>-0.26</v>
      </c>
      <c r="N448" t="str">
        <f t="shared" si="287"/>
        <v>1.46 [1.73, -0.26]</v>
      </c>
    </row>
    <row r="449" spans="1:14" x14ac:dyDescent="0.35">
      <c r="A449">
        <v>528</v>
      </c>
      <c r="B449">
        <v>58</v>
      </c>
      <c r="C449" t="s">
        <v>64</v>
      </c>
      <c r="D449" t="s">
        <v>10</v>
      </c>
      <c r="E449" t="s">
        <v>15</v>
      </c>
      <c r="F449">
        <v>25</v>
      </c>
      <c r="G449">
        <v>3</v>
      </c>
      <c r="H449">
        <v>0.8</v>
      </c>
      <c r="I449">
        <f t="shared" ref="I449:I450" si="331">H449/(SQRT(F449))*1.96</f>
        <v>0.31359999999999999</v>
      </c>
      <c r="J449">
        <f t="shared" si="290"/>
        <v>2.6863999999999999</v>
      </c>
      <c r="K449">
        <f t="shared" si="291"/>
        <v>3.3136000000000001</v>
      </c>
      <c r="L449" t="str">
        <f t="shared" si="285"/>
        <v>0.31</v>
      </c>
      <c r="M449" t="str">
        <f t="shared" si="286"/>
        <v>2.69</v>
      </c>
      <c r="N449" t="str">
        <f t="shared" si="287"/>
        <v>3.00 [0.31, 2.69]</v>
      </c>
    </row>
    <row r="450" spans="1:14" x14ac:dyDescent="0.35">
      <c r="A450">
        <v>529</v>
      </c>
      <c r="B450">
        <v>58</v>
      </c>
      <c r="C450" t="s">
        <v>64</v>
      </c>
      <c r="D450" t="s">
        <v>32</v>
      </c>
      <c r="E450" t="s">
        <v>15</v>
      </c>
      <c r="F450">
        <v>25</v>
      </c>
      <c r="G450">
        <v>2</v>
      </c>
      <c r="H450">
        <v>0.54</v>
      </c>
      <c r="I450">
        <f t="shared" si="331"/>
        <v>0.21168000000000003</v>
      </c>
      <c r="J450">
        <f t="shared" si="290"/>
        <v>1.7883199999999999</v>
      </c>
      <c r="K450">
        <f t="shared" si="291"/>
        <v>2.2116799999999999</v>
      </c>
      <c r="L450" t="str">
        <f t="shared" si="285"/>
        <v>0.21</v>
      </c>
      <c r="M450" t="str">
        <f t="shared" si="286"/>
        <v>1.79</v>
      </c>
      <c r="N450" t="str">
        <f t="shared" si="287"/>
        <v>2.00 [0.21, 1.79]</v>
      </c>
    </row>
    <row r="451" spans="1:14" x14ac:dyDescent="0.35">
      <c r="A451">
        <v>14</v>
      </c>
      <c r="B451">
        <v>58</v>
      </c>
      <c r="C451" t="s">
        <v>64</v>
      </c>
      <c r="D451" t="s">
        <v>31</v>
      </c>
      <c r="E451" t="s">
        <v>15</v>
      </c>
      <c r="F451">
        <v>51</v>
      </c>
      <c r="G451">
        <v>1.464</v>
      </c>
      <c r="H451">
        <v>0.88014038200641398</v>
      </c>
      <c r="I451">
        <f t="shared" ref="I451" si="332">H451*1.96</f>
        <v>1.7250751487325713</v>
      </c>
      <c r="J451">
        <f t="shared" si="290"/>
        <v>-0.26107514873257132</v>
      </c>
      <c r="K451">
        <f t="shared" si="291"/>
        <v>3.189075148732571</v>
      </c>
      <c r="L451" t="str">
        <f t="shared" ref="L451:L514" si="333">TEXT(I451,"#0.00")</f>
        <v>1.73</v>
      </c>
      <c r="M451" t="str">
        <f t="shared" ref="M451:M514" si="334">TEXT(J451,"#0.00")</f>
        <v>-0.26</v>
      </c>
      <c r="N451" t="str">
        <f t="shared" ref="N451:N514" si="335">TEXT(G451,"#0.00")&amp;" ["&amp;L451&amp;", "&amp;M451&amp;"]"</f>
        <v>1.46 [1.73, -0.26]</v>
      </c>
    </row>
    <row r="452" spans="1:14" x14ac:dyDescent="0.35">
      <c r="A452">
        <v>342</v>
      </c>
      <c r="B452">
        <v>58</v>
      </c>
      <c r="C452" t="s">
        <v>64</v>
      </c>
      <c r="D452" t="s">
        <v>10</v>
      </c>
      <c r="E452" t="s">
        <v>19</v>
      </c>
      <c r="F452">
        <v>25</v>
      </c>
      <c r="G452">
        <v>85.1</v>
      </c>
      <c r="H452">
        <v>6.4</v>
      </c>
      <c r="I452">
        <f t="shared" ref="I452:I453" si="336">H452/(SQRT(F452))*1.96</f>
        <v>2.5087999999999999</v>
      </c>
      <c r="J452">
        <f t="shared" si="290"/>
        <v>82.591200000000001</v>
      </c>
      <c r="K452">
        <f t="shared" si="291"/>
        <v>87.608799999999988</v>
      </c>
      <c r="L452" t="str">
        <f t="shared" si="333"/>
        <v>2.51</v>
      </c>
      <c r="M452" t="str">
        <f t="shared" si="334"/>
        <v>82.59</v>
      </c>
      <c r="N452" t="str">
        <f t="shared" si="335"/>
        <v>85.10 [2.51, 82.59]</v>
      </c>
    </row>
    <row r="453" spans="1:14" x14ac:dyDescent="0.35">
      <c r="A453">
        <v>343</v>
      </c>
      <c r="B453">
        <v>58</v>
      </c>
      <c r="C453" t="s">
        <v>64</v>
      </c>
      <c r="D453" t="s">
        <v>32</v>
      </c>
      <c r="E453" t="s">
        <v>19</v>
      </c>
      <c r="F453">
        <v>25</v>
      </c>
      <c r="G453">
        <v>89.4</v>
      </c>
      <c r="H453">
        <v>5.8</v>
      </c>
      <c r="I453">
        <f t="shared" si="336"/>
        <v>2.2735999999999996</v>
      </c>
      <c r="J453">
        <f t="shared" ref="J453:J516" si="337">G453-I453</f>
        <v>87.126400000000004</v>
      </c>
      <c r="K453">
        <f t="shared" ref="K453:K516" si="338">G453+I453</f>
        <v>91.673600000000008</v>
      </c>
      <c r="L453" t="str">
        <f t="shared" si="333"/>
        <v>2.27</v>
      </c>
      <c r="M453" t="str">
        <f t="shared" si="334"/>
        <v>87.13</v>
      </c>
      <c r="N453" t="str">
        <f t="shared" si="335"/>
        <v>89.40 [2.27, 87.13]</v>
      </c>
    </row>
    <row r="454" spans="1:14" x14ac:dyDescent="0.35">
      <c r="A454">
        <v>21</v>
      </c>
      <c r="B454">
        <v>58</v>
      </c>
      <c r="C454" t="s">
        <v>64</v>
      </c>
      <c r="D454" t="s">
        <v>31</v>
      </c>
      <c r="E454" t="s">
        <v>19</v>
      </c>
      <c r="F454">
        <v>50</v>
      </c>
      <c r="G454">
        <v>0.70399999999999996</v>
      </c>
      <c r="H454">
        <v>0.29199999999999998</v>
      </c>
      <c r="I454">
        <f t="shared" ref="I454" si="339">H454*1.96</f>
        <v>0.57231999999999994</v>
      </c>
      <c r="J454">
        <f t="shared" si="337"/>
        <v>0.13168000000000002</v>
      </c>
      <c r="K454">
        <f t="shared" si="338"/>
        <v>1.2763199999999999</v>
      </c>
      <c r="L454" t="str">
        <f t="shared" si="333"/>
        <v>0.57</v>
      </c>
      <c r="M454" t="str">
        <f t="shared" si="334"/>
        <v>0.13</v>
      </c>
      <c r="N454" t="str">
        <f t="shared" si="335"/>
        <v>0.70 [0.57, 0.13]</v>
      </c>
    </row>
    <row r="455" spans="1:14" x14ac:dyDescent="0.35">
      <c r="A455">
        <v>416</v>
      </c>
      <c r="B455">
        <v>58</v>
      </c>
      <c r="C455" t="s">
        <v>64</v>
      </c>
      <c r="D455" t="s">
        <v>10</v>
      </c>
      <c r="E455" t="s">
        <v>16</v>
      </c>
      <c r="F455">
        <v>25</v>
      </c>
      <c r="G455">
        <v>4</v>
      </c>
      <c r="H455">
        <v>1.07</v>
      </c>
      <c r="I455">
        <f t="shared" ref="I455:I456" si="340">H455/(SQRT(F455))*1.96</f>
        <v>0.41944000000000004</v>
      </c>
      <c r="J455">
        <f t="shared" si="337"/>
        <v>3.5805600000000002</v>
      </c>
      <c r="K455">
        <f t="shared" si="338"/>
        <v>4.4194399999999998</v>
      </c>
      <c r="L455" t="str">
        <f t="shared" si="333"/>
        <v>0.42</v>
      </c>
      <c r="M455" t="str">
        <f t="shared" si="334"/>
        <v>3.58</v>
      </c>
      <c r="N455" t="str">
        <f t="shared" si="335"/>
        <v>4.00 [0.42, 3.58]</v>
      </c>
    </row>
    <row r="456" spans="1:14" x14ac:dyDescent="0.35">
      <c r="A456">
        <v>417</v>
      </c>
      <c r="B456">
        <v>58</v>
      </c>
      <c r="C456" t="s">
        <v>64</v>
      </c>
      <c r="D456" t="s">
        <v>32</v>
      </c>
      <c r="E456" t="s">
        <v>16</v>
      </c>
      <c r="F456">
        <v>25</v>
      </c>
      <c r="G456">
        <v>3</v>
      </c>
      <c r="H456">
        <v>0.8</v>
      </c>
      <c r="I456">
        <f t="shared" si="340"/>
        <v>0.31359999999999999</v>
      </c>
      <c r="J456">
        <f t="shared" si="337"/>
        <v>2.6863999999999999</v>
      </c>
      <c r="K456">
        <f t="shared" si="338"/>
        <v>3.3136000000000001</v>
      </c>
      <c r="L456" t="str">
        <f t="shared" si="333"/>
        <v>0.31</v>
      </c>
      <c r="M456" t="str">
        <f t="shared" si="334"/>
        <v>2.69</v>
      </c>
      <c r="N456" t="str">
        <f t="shared" si="335"/>
        <v>3.00 [0.31, 2.69]</v>
      </c>
    </row>
    <row r="457" spans="1:14" x14ac:dyDescent="0.35">
      <c r="A457">
        <v>19</v>
      </c>
      <c r="B457">
        <v>58</v>
      </c>
      <c r="C457" t="s">
        <v>64</v>
      </c>
      <c r="D457" t="s">
        <v>31</v>
      </c>
      <c r="E457" t="s">
        <v>16</v>
      </c>
      <c r="F457">
        <v>51</v>
      </c>
      <c r="G457">
        <v>1.347</v>
      </c>
      <c r="H457">
        <v>0.77524841245248677</v>
      </c>
      <c r="I457">
        <f t="shared" ref="I457" si="341">H457*1.96</f>
        <v>1.519486888406874</v>
      </c>
      <c r="J457">
        <f t="shared" si="337"/>
        <v>-0.17248688840687398</v>
      </c>
      <c r="K457">
        <f t="shared" si="338"/>
        <v>2.8664868884068739</v>
      </c>
      <c r="L457" t="str">
        <f t="shared" si="333"/>
        <v>1.52</v>
      </c>
      <c r="M457" t="str">
        <f t="shared" si="334"/>
        <v>-0.17</v>
      </c>
      <c r="N457" t="str">
        <f t="shared" si="335"/>
        <v>1.35 [1.52, -0.17]</v>
      </c>
    </row>
    <row r="458" spans="1:14" x14ac:dyDescent="0.35">
      <c r="A458">
        <v>594</v>
      </c>
      <c r="B458">
        <v>58</v>
      </c>
      <c r="C458" t="s">
        <v>64</v>
      </c>
      <c r="D458" t="s">
        <v>10</v>
      </c>
      <c r="E458" t="s">
        <v>14</v>
      </c>
      <c r="F458">
        <v>25</v>
      </c>
      <c r="G458">
        <v>4</v>
      </c>
      <c r="H458">
        <v>1.07</v>
      </c>
      <c r="I458">
        <f t="shared" ref="I458:I459" si="342">H458/(SQRT(F458))*1.96</f>
        <v>0.41944000000000004</v>
      </c>
      <c r="J458">
        <f t="shared" si="337"/>
        <v>3.5805600000000002</v>
      </c>
      <c r="K458">
        <f t="shared" si="338"/>
        <v>4.4194399999999998</v>
      </c>
      <c r="L458" t="str">
        <f t="shared" si="333"/>
        <v>0.42</v>
      </c>
      <c r="M458" t="str">
        <f t="shared" si="334"/>
        <v>3.58</v>
      </c>
      <c r="N458" t="str">
        <f t="shared" si="335"/>
        <v>4.00 [0.42, 3.58]</v>
      </c>
    </row>
    <row r="459" spans="1:14" x14ac:dyDescent="0.35">
      <c r="A459">
        <v>595</v>
      </c>
      <c r="B459">
        <v>58</v>
      </c>
      <c r="C459" t="s">
        <v>64</v>
      </c>
      <c r="D459" t="s">
        <v>32</v>
      </c>
      <c r="E459" t="s">
        <v>14</v>
      </c>
      <c r="F459">
        <v>25</v>
      </c>
      <c r="G459">
        <v>3</v>
      </c>
      <c r="H459">
        <v>0.8</v>
      </c>
      <c r="I459">
        <f t="shared" si="342"/>
        <v>0.31359999999999999</v>
      </c>
      <c r="J459">
        <f t="shared" si="337"/>
        <v>2.6863999999999999</v>
      </c>
      <c r="K459">
        <f t="shared" si="338"/>
        <v>3.3136000000000001</v>
      </c>
      <c r="L459" t="str">
        <f t="shared" si="333"/>
        <v>0.31</v>
      </c>
      <c r="M459" t="str">
        <f t="shared" si="334"/>
        <v>2.69</v>
      </c>
      <c r="N459" t="str">
        <f t="shared" si="335"/>
        <v>3.00 [0.31, 2.69]</v>
      </c>
    </row>
    <row r="460" spans="1:14" x14ac:dyDescent="0.35">
      <c r="A460">
        <v>19</v>
      </c>
      <c r="B460">
        <v>58</v>
      </c>
      <c r="C460" t="s">
        <v>64</v>
      </c>
      <c r="D460" t="s">
        <v>31</v>
      </c>
      <c r="E460" t="s">
        <v>14</v>
      </c>
      <c r="F460">
        <v>51</v>
      </c>
      <c r="G460">
        <v>1.347</v>
      </c>
      <c r="H460">
        <v>0.77524841245248677</v>
      </c>
      <c r="I460">
        <f t="shared" ref="I460" si="343">H460*1.96</f>
        <v>1.519486888406874</v>
      </c>
      <c r="J460">
        <f t="shared" si="337"/>
        <v>-0.17248688840687398</v>
      </c>
      <c r="K460">
        <f t="shared" si="338"/>
        <v>2.8664868884068739</v>
      </c>
      <c r="L460" t="str">
        <f t="shared" si="333"/>
        <v>1.52</v>
      </c>
      <c r="M460" t="str">
        <f t="shared" si="334"/>
        <v>-0.17</v>
      </c>
      <c r="N460" t="str">
        <f t="shared" si="335"/>
        <v>1.35 [1.52, -0.17]</v>
      </c>
    </row>
    <row r="461" spans="1:14" x14ac:dyDescent="0.35">
      <c r="A461">
        <v>474</v>
      </c>
      <c r="B461">
        <v>58</v>
      </c>
      <c r="C461" t="s">
        <v>64</v>
      </c>
      <c r="D461" t="s">
        <v>10</v>
      </c>
      <c r="E461" t="s">
        <v>9</v>
      </c>
      <c r="F461">
        <v>25</v>
      </c>
      <c r="G461">
        <v>5.0999999999999996</v>
      </c>
      <c r="H461">
        <v>1</v>
      </c>
      <c r="I461">
        <f t="shared" ref="I461:I462" si="344">H461/(SQRT(F461))*1.96</f>
        <v>0.39200000000000002</v>
      </c>
      <c r="J461">
        <f t="shared" si="337"/>
        <v>4.7079999999999993</v>
      </c>
      <c r="K461">
        <f t="shared" si="338"/>
        <v>5.492</v>
      </c>
      <c r="L461" t="str">
        <f t="shared" si="333"/>
        <v>0.39</v>
      </c>
      <c r="M461" t="str">
        <f t="shared" si="334"/>
        <v>4.71</v>
      </c>
      <c r="N461" t="str">
        <f t="shared" si="335"/>
        <v>5.10 [0.39, 4.71]</v>
      </c>
    </row>
    <row r="462" spans="1:14" x14ac:dyDescent="0.35">
      <c r="A462">
        <v>475</v>
      </c>
      <c r="B462">
        <v>58</v>
      </c>
      <c r="C462" t="s">
        <v>64</v>
      </c>
      <c r="D462" t="s">
        <v>32</v>
      </c>
      <c r="E462" t="s">
        <v>9</v>
      </c>
      <c r="F462">
        <v>25</v>
      </c>
      <c r="G462">
        <v>5.6</v>
      </c>
      <c r="H462">
        <v>0.9</v>
      </c>
      <c r="I462">
        <f t="shared" si="344"/>
        <v>0.3528</v>
      </c>
      <c r="J462">
        <f t="shared" si="337"/>
        <v>5.2471999999999994</v>
      </c>
      <c r="K462">
        <f t="shared" si="338"/>
        <v>5.9527999999999999</v>
      </c>
      <c r="L462" t="str">
        <f t="shared" si="333"/>
        <v>0.35</v>
      </c>
      <c r="M462" t="str">
        <f t="shared" si="334"/>
        <v>5.25</v>
      </c>
      <c r="N462" t="str">
        <f t="shared" si="335"/>
        <v>5.60 [0.35, 5.25]</v>
      </c>
    </row>
    <row r="463" spans="1:14" x14ac:dyDescent="0.35">
      <c r="A463">
        <v>16</v>
      </c>
      <c r="B463">
        <v>58</v>
      </c>
      <c r="C463" t="s">
        <v>64</v>
      </c>
      <c r="D463" t="s">
        <v>31</v>
      </c>
      <c r="E463" t="s">
        <v>9</v>
      </c>
      <c r="F463">
        <v>50</v>
      </c>
      <c r="G463">
        <v>0.52600000000000002</v>
      </c>
      <c r="H463">
        <v>0.28799999999999998</v>
      </c>
      <c r="I463">
        <f t="shared" ref="I463" si="345">H463*1.96</f>
        <v>0.56447999999999998</v>
      </c>
      <c r="J463">
        <f t="shared" si="337"/>
        <v>-3.8479999999999959E-2</v>
      </c>
      <c r="K463">
        <f t="shared" si="338"/>
        <v>1.0904799999999999</v>
      </c>
      <c r="L463" t="str">
        <f t="shared" si="333"/>
        <v>0.56</v>
      </c>
      <c r="M463" t="str">
        <f t="shared" si="334"/>
        <v>-0.04</v>
      </c>
      <c r="N463" t="str">
        <f t="shared" si="335"/>
        <v>0.53 [0.56, -0.04]</v>
      </c>
    </row>
    <row r="464" spans="1:14" x14ac:dyDescent="0.35">
      <c r="A464">
        <v>104</v>
      </c>
      <c r="B464">
        <v>62</v>
      </c>
      <c r="C464" t="s">
        <v>65</v>
      </c>
      <c r="D464" t="s">
        <v>8</v>
      </c>
      <c r="E464" t="s">
        <v>27</v>
      </c>
      <c r="F464">
        <v>37</v>
      </c>
      <c r="G464">
        <v>84.3</v>
      </c>
      <c r="H464">
        <v>11</v>
      </c>
      <c r="I464">
        <f t="shared" ref="I464:I465" si="346">H464/(SQRT(F464))*1.96</f>
        <v>3.5444421663035031</v>
      </c>
      <c r="J464">
        <f t="shared" si="337"/>
        <v>80.7555578336965</v>
      </c>
      <c r="K464">
        <f t="shared" si="338"/>
        <v>87.844442166303494</v>
      </c>
      <c r="L464" t="str">
        <f t="shared" si="333"/>
        <v>3.54</v>
      </c>
      <c r="M464" t="str">
        <f t="shared" si="334"/>
        <v>80.76</v>
      </c>
      <c r="N464" t="str">
        <f t="shared" si="335"/>
        <v>84.30 [3.54, 80.76]</v>
      </c>
    </row>
    <row r="465" spans="1:14" x14ac:dyDescent="0.35">
      <c r="A465">
        <v>105</v>
      </c>
      <c r="B465">
        <v>62</v>
      </c>
      <c r="C465" t="s">
        <v>65</v>
      </c>
      <c r="D465" t="s">
        <v>10</v>
      </c>
      <c r="E465" t="s">
        <v>27</v>
      </c>
      <c r="F465">
        <v>35</v>
      </c>
      <c r="G465">
        <v>86.8</v>
      </c>
      <c r="H465">
        <v>8.3000000000000007</v>
      </c>
      <c r="I465">
        <f t="shared" si="346"/>
        <v>2.7497938831847017</v>
      </c>
      <c r="J465">
        <f t="shared" si="337"/>
        <v>84.050206116815289</v>
      </c>
      <c r="K465">
        <f t="shared" si="338"/>
        <v>89.549793883184705</v>
      </c>
      <c r="L465" t="str">
        <f t="shared" si="333"/>
        <v>2.75</v>
      </c>
      <c r="M465" t="str">
        <f t="shared" si="334"/>
        <v>84.05</v>
      </c>
      <c r="N465" t="str">
        <f t="shared" si="335"/>
        <v>86.80 [2.75, 84.05]</v>
      </c>
    </row>
    <row r="466" spans="1:14" x14ac:dyDescent="0.35">
      <c r="A466">
        <v>16</v>
      </c>
      <c r="B466">
        <v>62</v>
      </c>
      <c r="C466" t="s">
        <v>65</v>
      </c>
      <c r="D466" t="s">
        <v>11</v>
      </c>
      <c r="E466" t="s">
        <v>27</v>
      </c>
      <c r="F466">
        <v>72</v>
      </c>
      <c r="G466">
        <v>0.25600000000000001</v>
      </c>
      <c r="H466">
        <v>0.23699999999999999</v>
      </c>
      <c r="I466">
        <f t="shared" ref="I466" si="347">H466*1.96</f>
        <v>0.46451999999999999</v>
      </c>
      <c r="J466">
        <f t="shared" si="337"/>
        <v>-0.20851999999999998</v>
      </c>
      <c r="K466">
        <f t="shared" si="338"/>
        <v>0.72052000000000005</v>
      </c>
      <c r="L466" t="str">
        <f t="shared" si="333"/>
        <v>0.46</v>
      </c>
      <c r="M466" t="str">
        <f t="shared" si="334"/>
        <v>-0.21</v>
      </c>
      <c r="N466" t="str">
        <f t="shared" si="335"/>
        <v>0.26 [0.46, -0.21]</v>
      </c>
    </row>
    <row r="467" spans="1:14" x14ac:dyDescent="0.35">
      <c r="A467">
        <v>198</v>
      </c>
      <c r="B467">
        <v>62</v>
      </c>
      <c r="C467" t="s">
        <v>65</v>
      </c>
      <c r="D467" t="s">
        <v>8</v>
      </c>
      <c r="E467" t="s">
        <v>13</v>
      </c>
      <c r="F467">
        <v>37</v>
      </c>
      <c r="G467">
        <v>1.2</v>
      </c>
      <c r="H467">
        <v>2.1</v>
      </c>
      <c r="I467">
        <f t="shared" ref="I467:I468" si="348">H467/(SQRT(F467))*1.96</f>
        <v>0.67666623174885066</v>
      </c>
      <c r="J467">
        <f t="shared" si="337"/>
        <v>0.5233337682511493</v>
      </c>
      <c r="K467">
        <f t="shared" si="338"/>
        <v>1.8766662317488505</v>
      </c>
      <c r="L467" t="str">
        <f t="shared" si="333"/>
        <v>0.68</v>
      </c>
      <c r="M467" t="str">
        <f t="shared" si="334"/>
        <v>0.52</v>
      </c>
      <c r="N467" t="str">
        <f t="shared" si="335"/>
        <v>1.20 [0.68, 0.52]</v>
      </c>
    </row>
    <row r="468" spans="1:14" x14ac:dyDescent="0.35">
      <c r="A468">
        <v>199</v>
      </c>
      <c r="B468">
        <v>62</v>
      </c>
      <c r="C468" t="s">
        <v>65</v>
      </c>
      <c r="D468" t="s">
        <v>10</v>
      </c>
      <c r="E468" t="s">
        <v>13</v>
      </c>
      <c r="F468">
        <v>35</v>
      </c>
      <c r="G468">
        <v>1.7</v>
      </c>
      <c r="H468">
        <v>1.4</v>
      </c>
      <c r="I468">
        <f t="shared" si="348"/>
        <v>0.46382065499500985</v>
      </c>
      <c r="J468">
        <f t="shared" si="337"/>
        <v>1.23617934500499</v>
      </c>
      <c r="K468">
        <f t="shared" si="338"/>
        <v>2.1638206549950096</v>
      </c>
      <c r="L468" t="str">
        <f t="shared" si="333"/>
        <v>0.46</v>
      </c>
      <c r="M468" t="str">
        <f t="shared" si="334"/>
        <v>1.24</v>
      </c>
      <c r="N468" t="str">
        <f t="shared" si="335"/>
        <v>1.70 [0.46, 1.24]</v>
      </c>
    </row>
    <row r="469" spans="1:14" x14ac:dyDescent="0.35">
      <c r="A469">
        <v>25</v>
      </c>
      <c r="B469">
        <v>62</v>
      </c>
      <c r="C469" t="s">
        <v>65</v>
      </c>
      <c r="D469" t="s">
        <v>11</v>
      </c>
      <c r="E469" t="s">
        <v>13</v>
      </c>
      <c r="F469">
        <v>72</v>
      </c>
      <c r="G469">
        <v>0.27900000000000003</v>
      </c>
      <c r="H469">
        <v>0.23699999999999999</v>
      </c>
      <c r="I469">
        <f t="shared" ref="I469" si="349">H469*1.96</f>
        <v>0.46451999999999999</v>
      </c>
      <c r="J469">
        <f t="shared" si="337"/>
        <v>-0.18551999999999996</v>
      </c>
      <c r="K469">
        <f t="shared" si="338"/>
        <v>0.74351999999999996</v>
      </c>
      <c r="L469" t="str">
        <f t="shared" si="333"/>
        <v>0.46</v>
      </c>
      <c r="M469" t="str">
        <f t="shared" si="334"/>
        <v>-0.19</v>
      </c>
      <c r="N469" t="str">
        <f t="shared" si="335"/>
        <v>0.28 [0.46, -0.19]</v>
      </c>
    </row>
    <row r="470" spans="1:14" x14ac:dyDescent="0.35">
      <c r="A470">
        <v>12</v>
      </c>
      <c r="B470">
        <v>66</v>
      </c>
      <c r="C470" t="s">
        <v>66</v>
      </c>
      <c r="D470" t="s">
        <v>8</v>
      </c>
      <c r="E470" t="s">
        <v>22</v>
      </c>
      <c r="F470">
        <v>110</v>
      </c>
      <c r="G470">
        <v>19</v>
      </c>
      <c r="H470">
        <v>2.25</v>
      </c>
      <c r="I470">
        <f t="shared" ref="I470:I471" si="350">H470/(SQRT(F470))*1.96</f>
        <v>0.42047700185730619</v>
      </c>
      <c r="J470">
        <f t="shared" si="337"/>
        <v>18.579522998142693</v>
      </c>
      <c r="K470">
        <f t="shared" si="338"/>
        <v>19.420477001857307</v>
      </c>
      <c r="L470" t="str">
        <f t="shared" si="333"/>
        <v>0.42</v>
      </c>
      <c r="M470" t="str">
        <f t="shared" si="334"/>
        <v>18.58</v>
      </c>
      <c r="N470" t="str">
        <f t="shared" si="335"/>
        <v>19.00 [0.42, 18.58]</v>
      </c>
    </row>
    <row r="471" spans="1:14" x14ac:dyDescent="0.35">
      <c r="A471">
        <v>13</v>
      </c>
      <c r="B471">
        <v>66</v>
      </c>
      <c r="C471" t="s">
        <v>66</v>
      </c>
      <c r="D471" t="s">
        <v>10</v>
      </c>
      <c r="E471" t="s">
        <v>22</v>
      </c>
      <c r="F471">
        <v>110</v>
      </c>
      <c r="G471">
        <v>24</v>
      </c>
      <c r="H471">
        <v>2.99</v>
      </c>
      <c r="I471">
        <f t="shared" si="350"/>
        <v>0.55876721580148692</v>
      </c>
      <c r="J471">
        <f t="shared" si="337"/>
        <v>23.441232784198512</v>
      </c>
      <c r="K471">
        <f t="shared" si="338"/>
        <v>24.558767215801488</v>
      </c>
      <c r="L471" t="str">
        <f t="shared" si="333"/>
        <v>0.56</v>
      </c>
      <c r="M471" t="str">
        <f t="shared" si="334"/>
        <v>23.44</v>
      </c>
      <c r="N471" t="str">
        <f t="shared" si="335"/>
        <v>24.00 [0.56, 23.44]</v>
      </c>
    </row>
    <row r="472" spans="1:14" x14ac:dyDescent="0.35">
      <c r="A472">
        <v>4</v>
      </c>
      <c r="B472">
        <v>66</v>
      </c>
      <c r="C472" t="s">
        <v>66</v>
      </c>
      <c r="D472" t="s">
        <v>11</v>
      </c>
      <c r="E472" t="s">
        <v>22</v>
      </c>
      <c r="F472">
        <v>221</v>
      </c>
      <c r="G472">
        <v>0.752</v>
      </c>
      <c r="H472">
        <v>0.33869646555347849</v>
      </c>
      <c r="I472">
        <f t="shared" ref="I472" si="351">H472*1.96</f>
        <v>0.66384507248481783</v>
      </c>
      <c r="J472">
        <f t="shared" si="337"/>
        <v>8.8154927515182169E-2</v>
      </c>
      <c r="K472">
        <f t="shared" si="338"/>
        <v>1.4158450724848177</v>
      </c>
      <c r="L472" t="str">
        <f t="shared" si="333"/>
        <v>0.66</v>
      </c>
      <c r="M472" t="str">
        <f t="shared" si="334"/>
        <v>0.09</v>
      </c>
      <c r="N472" t="str">
        <f t="shared" si="335"/>
        <v>0.75 [0.66, 0.09]</v>
      </c>
    </row>
    <row r="473" spans="1:14" x14ac:dyDescent="0.35">
      <c r="A473">
        <v>106</v>
      </c>
      <c r="B473">
        <v>68</v>
      </c>
      <c r="C473" t="s">
        <v>67</v>
      </c>
      <c r="D473" t="s">
        <v>8</v>
      </c>
      <c r="E473" t="s">
        <v>27</v>
      </c>
      <c r="F473">
        <v>6</v>
      </c>
      <c r="G473">
        <v>92</v>
      </c>
      <c r="H473">
        <v>7</v>
      </c>
      <c r="I473">
        <f t="shared" ref="I473:I474" si="352">H473/(SQRT(F473))*1.96</f>
        <v>5.601166545164201</v>
      </c>
      <c r="J473">
        <f t="shared" si="337"/>
        <v>86.398833454835795</v>
      </c>
      <c r="K473">
        <f t="shared" si="338"/>
        <v>97.601166545164205</v>
      </c>
      <c r="L473" t="str">
        <f t="shared" si="333"/>
        <v>5.60</v>
      </c>
      <c r="M473" t="str">
        <f t="shared" si="334"/>
        <v>86.40</v>
      </c>
      <c r="N473" t="str">
        <f t="shared" si="335"/>
        <v>92.00 [5.60, 86.40]</v>
      </c>
    </row>
    <row r="474" spans="1:14" x14ac:dyDescent="0.35">
      <c r="A474">
        <v>107</v>
      </c>
      <c r="B474">
        <v>68</v>
      </c>
      <c r="C474" t="s">
        <v>67</v>
      </c>
      <c r="D474" t="s">
        <v>10</v>
      </c>
      <c r="E474" t="s">
        <v>27</v>
      </c>
      <c r="F474">
        <v>6</v>
      </c>
      <c r="G474">
        <v>90</v>
      </c>
      <c r="H474">
        <v>10</v>
      </c>
      <c r="I474">
        <f t="shared" si="352"/>
        <v>8.0016664930917152</v>
      </c>
      <c r="J474">
        <f t="shared" si="337"/>
        <v>81.998333506908281</v>
      </c>
      <c r="K474">
        <f t="shared" si="338"/>
        <v>98.001666493091719</v>
      </c>
      <c r="L474" t="str">
        <f t="shared" si="333"/>
        <v>8.00</v>
      </c>
      <c r="M474" t="str">
        <f t="shared" si="334"/>
        <v>82.00</v>
      </c>
      <c r="N474" t="str">
        <f t="shared" si="335"/>
        <v>90.00 [8.00, 82.00]</v>
      </c>
    </row>
    <row r="475" spans="1:14" x14ac:dyDescent="0.35">
      <c r="A475">
        <v>17</v>
      </c>
      <c r="B475">
        <v>68</v>
      </c>
      <c r="C475" t="s">
        <v>67</v>
      </c>
      <c r="D475" t="s">
        <v>11</v>
      </c>
      <c r="E475" t="s">
        <v>27</v>
      </c>
      <c r="F475">
        <v>12</v>
      </c>
      <c r="G475">
        <v>0.23200000000000001</v>
      </c>
      <c r="H475">
        <v>0.57999999999999996</v>
      </c>
      <c r="I475">
        <f t="shared" ref="I475" si="353">H475*1.96</f>
        <v>1.1367999999999998</v>
      </c>
      <c r="J475">
        <f t="shared" si="337"/>
        <v>-0.90479999999999983</v>
      </c>
      <c r="K475">
        <f t="shared" si="338"/>
        <v>1.3687999999999998</v>
      </c>
      <c r="L475" t="str">
        <f t="shared" si="333"/>
        <v>1.14</v>
      </c>
      <c r="M475" t="str">
        <f t="shared" si="334"/>
        <v>-0.90</v>
      </c>
      <c r="N475" t="str">
        <f t="shared" si="335"/>
        <v>0.23 [1.14, -0.90]</v>
      </c>
    </row>
    <row r="476" spans="1:14" x14ac:dyDescent="0.35">
      <c r="A476">
        <v>344</v>
      </c>
      <c r="B476">
        <v>68</v>
      </c>
      <c r="C476" t="s">
        <v>67</v>
      </c>
      <c r="D476" t="s">
        <v>8</v>
      </c>
      <c r="E476" t="s">
        <v>19</v>
      </c>
      <c r="F476">
        <v>6</v>
      </c>
      <c r="G476">
        <v>96</v>
      </c>
      <c r="H476">
        <v>3</v>
      </c>
      <c r="I476">
        <f t="shared" ref="I476:I477" si="354">H476/(SQRT(F476))*1.96</f>
        <v>2.4004999479275146</v>
      </c>
      <c r="J476">
        <f t="shared" si="337"/>
        <v>93.599500052072486</v>
      </c>
      <c r="K476">
        <f t="shared" si="338"/>
        <v>98.400499947927514</v>
      </c>
      <c r="L476" t="str">
        <f t="shared" si="333"/>
        <v>2.40</v>
      </c>
      <c r="M476" t="str">
        <f t="shared" si="334"/>
        <v>93.60</v>
      </c>
      <c r="N476" t="str">
        <f t="shared" si="335"/>
        <v>96.00 [2.40, 93.60]</v>
      </c>
    </row>
    <row r="477" spans="1:14" x14ac:dyDescent="0.35">
      <c r="A477">
        <v>345</v>
      </c>
      <c r="B477">
        <v>68</v>
      </c>
      <c r="C477" t="s">
        <v>67</v>
      </c>
      <c r="D477" t="s">
        <v>10</v>
      </c>
      <c r="E477" t="s">
        <v>19</v>
      </c>
      <c r="F477">
        <v>6</v>
      </c>
      <c r="G477">
        <v>95</v>
      </c>
      <c r="H477">
        <v>5</v>
      </c>
      <c r="I477">
        <f t="shared" si="354"/>
        <v>4.0008332465458576</v>
      </c>
      <c r="J477">
        <f t="shared" si="337"/>
        <v>90.999166753454148</v>
      </c>
      <c r="K477">
        <f t="shared" si="338"/>
        <v>99.000833246545852</v>
      </c>
      <c r="L477" t="str">
        <f t="shared" si="333"/>
        <v>4.00</v>
      </c>
      <c r="M477" t="str">
        <f t="shared" si="334"/>
        <v>91.00</v>
      </c>
      <c r="N477" t="str">
        <f t="shared" si="335"/>
        <v>95.00 [4.00, 91.00]</v>
      </c>
    </row>
    <row r="478" spans="1:14" x14ac:dyDescent="0.35">
      <c r="A478">
        <v>22</v>
      </c>
      <c r="B478">
        <v>68</v>
      </c>
      <c r="C478" t="s">
        <v>67</v>
      </c>
      <c r="D478" t="s">
        <v>11</v>
      </c>
      <c r="E478" t="s">
        <v>19</v>
      </c>
      <c r="F478">
        <v>12</v>
      </c>
      <c r="G478">
        <v>0.24299999999999999</v>
      </c>
      <c r="H478">
        <v>0.57999999999999996</v>
      </c>
      <c r="I478">
        <f t="shared" ref="I478" si="355">H478*1.96</f>
        <v>1.1367999999999998</v>
      </c>
      <c r="J478">
        <f t="shared" si="337"/>
        <v>-0.89379999999999982</v>
      </c>
      <c r="K478">
        <f t="shared" si="338"/>
        <v>1.3797999999999999</v>
      </c>
      <c r="L478" t="str">
        <f t="shared" si="333"/>
        <v>1.14</v>
      </c>
      <c r="M478" t="str">
        <f t="shared" si="334"/>
        <v>-0.89</v>
      </c>
      <c r="N478" t="str">
        <f t="shared" si="335"/>
        <v>0.24 [1.14, -0.89]</v>
      </c>
    </row>
    <row r="479" spans="1:14" x14ac:dyDescent="0.35">
      <c r="A479">
        <v>278</v>
      </c>
      <c r="B479">
        <v>70</v>
      </c>
      <c r="C479" t="s">
        <v>68</v>
      </c>
      <c r="D479" t="s">
        <v>10</v>
      </c>
      <c r="E479" t="s">
        <v>17</v>
      </c>
      <c r="F479">
        <v>33</v>
      </c>
      <c r="G479">
        <v>6</v>
      </c>
      <c r="H479">
        <v>1.38</v>
      </c>
      <c r="I479">
        <f t="shared" ref="I479:I480" si="356">H479/(SQRT(F479))*1.96</f>
        <v>0.47084524382897147</v>
      </c>
      <c r="J479">
        <f t="shared" si="337"/>
        <v>5.5291547561710281</v>
      </c>
      <c r="K479">
        <f t="shared" si="338"/>
        <v>6.4708452438289719</v>
      </c>
      <c r="L479" t="str">
        <f t="shared" si="333"/>
        <v>0.47</v>
      </c>
      <c r="M479" t="str">
        <f t="shared" si="334"/>
        <v>5.53</v>
      </c>
      <c r="N479" t="str">
        <f t="shared" si="335"/>
        <v>6.00 [0.47, 5.53]</v>
      </c>
    </row>
    <row r="480" spans="1:14" x14ac:dyDescent="0.35">
      <c r="A480">
        <v>279</v>
      </c>
      <c r="B480">
        <v>70</v>
      </c>
      <c r="C480" t="s">
        <v>68</v>
      </c>
      <c r="D480" t="s">
        <v>70</v>
      </c>
      <c r="E480" t="s">
        <v>17</v>
      </c>
      <c r="F480">
        <v>32</v>
      </c>
      <c r="G480">
        <v>6</v>
      </c>
      <c r="H480">
        <v>3.1</v>
      </c>
      <c r="I480">
        <f t="shared" si="356"/>
        <v>1.0740952006223656</v>
      </c>
      <c r="J480">
        <f t="shared" si="337"/>
        <v>4.9259047993776344</v>
      </c>
      <c r="K480">
        <f t="shared" si="338"/>
        <v>7.0740952006223656</v>
      </c>
      <c r="L480" t="str">
        <f t="shared" si="333"/>
        <v>1.07</v>
      </c>
      <c r="M480" t="str">
        <f t="shared" si="334"/>
        <v>4.93</v>
      </c>
      <c r="N480" t="str">
        <f t="shared" si="335"/>
        <v>6.00 [1.07, 4.93]</v>
      </c>
    </row>
    <row r="481" spans="1:14" x14ac:dyDescent="0.35">
      <c r="A481">
        <v>15</v>
      </c>
      <c r="B481">
        <v>70</v>
      </c>
      <c r="C481" t="s">
        <v>68</v>
      </c>
      <c r="D481" t="s">
        <v>69</v>
      </c>
      <c r="E481" t="s">
        <v>17</v>
      </c>
      <c r="F481">
        <v>66</v>
      </c>
      <c r="G481">
        <v>0.96299999999999997</v>
      </c>
      <c r="H481">
        <v>0.61902413780957144</v>
      </c>
      <c r="I481">
        <f t="shared" ref="I481" si="357">H481*1.96</f>
        <v>1.2132873101067601</v>
      </c>
      <c r="J481">
        <f t="shared" si="337"/>
        <v>-0.25028731010676009</v>
      </c>
      <c r="K481">
        <f t="shared" si="338"/>
        <v>2.1762873101067601</v>
      </c>
      <c r="L481" t="str">
        <f t="shared" si="333"/>
        <v>1.21</v>
      </c>
      <c r="M481" t="str">
        <f t="shared" si="334"/>
        <v>-0.25</v>
      </c>
      <c r="N481" t="str">
        <f t="shared" si="335"/>
        <v>0.96 [1.21, -0.25]</v>
      </c>
    </row>
    <row r="482" spans="1:14" x14ac:dyDescent="0.35">
      <c r="A482">
        <v>536</v>
      </c>
      <c r="B482">
        <v>70</v>
      </c>
      <c r="C482" t="s">
        <v>68</v>
      </c>
      <c r="D482" t="s">
        <v>10</v>
      </c>
      <c r="E482" t="s">
        <v>15</v>
      </c>
      <c r="F482">
        <v>33</v>
      </c>
      <c r="G482">
        <v>1</v>
      </c>
      <c r="H482">
        <v>1.38</v>
      </c>
      <c r="I482">
        <f t="shared" ref="I482:I483" si="358">H482/(SQRT(F482))*1.96</f>
        <v>0.47084524382897147</v>
      </c>
      <c r="J482">
        <f t="shared" si="337"/>
        <v>0.52915475617102858</v>
      </c>
      <c r="K482">
        <f t="shared" si="338"/>
        <v>1.4708452438289714</v>
      </c>
      <c r="L482" t="str">
        <f t="shared" si="333"/>
        <v>0.47</v>
      </c>
      <c r="M482" t="str">
        <f t="shared" si="334"/>
        <v>0.53</v>
      </c>
      <c r="N482" t="str">
        <f t="shared" si="335"/>
        <v>1.00 [0.47, 0.53]</v>
      </c>
    </row>
    <row r="483" spans="1:14" x14ac:dyDescent="0.35">
      <c r="A483">
        <v>537</v>
      </c>
      <c r="B483">
        <v>70</v>
      </c>
      <c r="C483" t="s">
        <v>68</v>
      </c>
      <c r="D483" t="s">
        <v>70</v>
      </c>
      <c r="E483" t="s">
        <v>15</v>
      </c>
      <c r="F483">
        <v>32</v>
      </c>
      <c r="G483">
        <v>3</v>
      </c>
      <c r="H483">
        <v>3.1</v>
      </c>
      <c r="I483">
        <f t="shared" si="358"/>
        <v>1.0740952006223656</v>
      </c>
      <c r="J483">
        <f t="shared" si="337"/>
        <v>1.9259047993776344</v>
      </c>
      <c r="K483">
        <f t="shared" si="338"/>
        <v>4.0740952006223656</v>
      </c>
      <c r="L483" t="str">
        <f t="shared" si="333"/>
        <v>1.07</v>
      </c>
      <c r="M483" t="str">
        <f t="shared" si="334"/>
        <v>1.93</v>
      </c>
      <c r="N483" t="str">
        <f t="shared" si="335"/>
        <v>3.00 [1.07, 1.93]</v>
      </c>
    </row>
    <row r="484" spans="1:14" x14ac:dyDescent="0.35">
      <c r="A484">
        <v>15</v>
      </c>
      <c r="B484">
        <v>70</v>
      </c>
      <c r="C484" t="s">
        <v>68</v>
      </c>
      <c r="D484" t="s">
        <v>69</v>
      </c>
      <c r="E484" t="s">
        <v>15</v>
      </c>
      <c r="F484">
        <v>66</v>
      </c>
      <c r="G484">
        <v>0.38800000000000001</v>
      </c>
      <c r="H484">
        <v>1.00901620948409</v>
      </c>
      <c r="I484">
        <f t="shared" ref="I484" si="359">H484*1.96</f>
        <v>1.9776717705888163</v>
      </c>
      <c r="J484">
        <f t="shared" si="337"/>
        <v>-1.5896717705888164</v>
      </c>
      <c r="K484">
        <f t="shared" si="338"/>
        <v>2.3656717705888162</v>
      </c>
      <c r="L484" t="str">
        <f t="shared" si="333"/>
        <v>1.98</v>
      </c>
      <c r="M484" t="str">
        <f t="shared" si="334"/>
        <v>-1.59</v>
      </c>
      <c r="N484" t="str">
        <f t="shared" si="335"/>
        <v>0.39 [1.98, -1.59]</v>
      </c>
    </row>
    <row r="485" spans="1:14" x14ac:dyDescent="0.35">
      <c r="A485">
        <v>346</v>
      </c>
      <c r="B485">
        <v>70</v>
      </c>
      <c r="C485" t="s">
        <v>68</v>
      </c>
      <c r="D485" t="s">
        <v>10</v>
      </c>
      <c r="E485" t="s">
        <v>19</v>
      </c>
      <c r="F485">
        <v>33</v>
      </c>
      <c r="G485">
        <v>98</v>
      </c>
      <c r="H485">
        <v>3.61</v>
      </c>
      <c r="I485">
        <f t="shared" ref="I485:I486" si="360">H485/(SQRT(F485))*1.96</f>
        <v>1.2317038624801355</v>
      </c>
      <c r="J485">
        <f t="shared" si="337"/>
        <v>96.768296137519869</v>
      </c>
      <c r="K485">
        <f t="shared" si="338"/>
        <v>99.231703862480131</v>
      </c>
      <c r="L485" t="str">
        <f t="shared" si="333"/>
        <v>1.23</v>
      </c>
      <c r="M485" t="str">
        <f t="shared" si="334"/>
        <v>96.77</v>
      </c>
      <c r="N485" t="str">
        <f t="shared" si="335"/>
        <v>98.00 [1.23, 96.77]</v>
      </c>
    </row>
    <row r="486" spans="1:14" x14ac:dyDescent="0.35">
      <c r="A486">
        <v>347</v>
      </c>
      <c r="B486">
        <v>70</v>
      </c>
      <c r="C486" t="s">
        <v>68</v>
      </c>
      <c r="D486" t="s">
        <v>70</v>
      </c>
      <c r="E486" t="s">
        <v>19</v>
      </c>
      <c r="F486">
        <v>32</v>
      </c>
      <c r="G486">
        <v>99</v>
      </c>
      <c r="H486">
        <v>3.63</v>
      </c>
      <c r="I486">
        <f t="shared" si="360"/>
        <v>1.2577308316965119</v>
      </c>
      <c r="J486">
        <f t="shared" si="337"/>
        <v>97.742269168303494</v>
      </c>
      <c r="K486">
        <f t="shared" si="338"/>
        <v>100.25773083169651</v>
      </c>
      <c r="L486" t="str">
        <f t="shared" si="333"/>
        <v>1.26</v>
      </c>
      <c r="M486" t="str">
        <f t="shared" si="334"/>
        <v>97.74</v>
      </c>
      <c r="N486" t="str">
        <f t="shared" si="335"/>
        <v>99.00 [1.26, 97.74]</v>
      </c>
    </row>
    <row r="487" spans="1:14" x14ac:dyDescent="0.35">
      <c r="A487">
        <v>23</v>
      </c>
      <c r="B487">
        <v>70</v>
      </c>
      <c r="C487" t="s">
        <v>68</v>
      </c>
      <c r="D487" t="s">
        <v>69</v>
      </c>
      <c r="E487" t="s">
        <v>19</v>
      </c>
      <c r="F487">
        <v>65</v>
      </c>
      <c r="G487">
        <v>0.27600000000000002</v>
      </c>
      <c r="H487">
        <v>0.249</v>
      </c>
      <c r="I487">
        <f t="shared" ref="I487" si="361">H487*1.96</f>
        <v>0.48803999999999997</v>
      </c>
      <c r="J487">
        <f t="shared" si="337"/>
        <v>-0.21203999999999995</v>
      </c>
      <c r="K487">
        <f t="shared" si="338"/>
        <v>0.76404000000000005</v>
      </c>
      <c r="L487" t="str">
        <f t="shared" si="333"/>
        <v>0.49</v>
      </c>
      <c r="M487" t="str">
        <f t="shared" si="334"/>
        <v>-0.21</v>
      </c>
      <c r="N487" t="str">
        <f t="shared" si="335"/>
        <v>0.28 [0.49, -0.21]</v>
      </c>
    </row>
    <row r="488" spans="1:14" x14ac:dyDescent="0.35">
      <c r="A488">
        <v>420</v>
      </c>
      <c r="B488">
        <v>70</v>
      </c>
      <c r="C488" t="s">
        <v>68</v>
      </c>
      <c r="D488" t="s">
        <v>10</v>
      </c>
      <c r="E488" t="s">
        <v>16</v>
      </c>
      <c r="F488">
        <v>33</v>
      </c>
      <c r="G488">
        <v>6</v>
      </c>
      <c r="H488">
        <v>1.38</v>
      </c>
      <c r="I488">
        <f t="shared" ref="I488:I489" si="362">H488/(SQRT(F488))*1.96</f>
        <v>0.47084524382897147</v>
      </c>
      <c r="J488">
        <f t="shared" si="337"/>
        <v>5.5291547561710281</v>
      </c>
      <c r="K488">
        <f t="shared" si="338"/>
        <v>6.4708452438289719</v>
      </c>
      <c r="L488" t="str">
        <f t="shared" si="333"/>
        <v>0.47</v>
      </c>
      <c r="M488" t="str">
        <f t="shared" si="334"/>
        <v>5.53</v>
      </c>
      <c r="N488" t="str">
        <f t="shared" si="335"/>
        <v>6.00 [0.47, 5.53]</v>
      </c>
    </row>
    <row r="489" spans="1:14" x14ac:dyDescent="0.35">
      <c r="A489">
        <v>421</v>
      </c>
      <c r="B489">
        <v>70</v>
      </c>
      <c r="C489" t="s">
        <v>68</v>
      </c>
      <c r="D489" t="s">
        <v>70</v>
      </c>
      <c r="E489" t="s">
        <v>16</v>
      </c>
      <c r="F489">
        <v>32</v>
      </c>
      <c r="G489">
        <v>11</v>
      </c>
      <c r="H489">
        <v>1.41</v>
      </c>
      <c r="I489">
        <f t="shared" si="362"/>
        <v>0.4885400751217856</v>
      </c>
      <c r="J489">
        <f t="shared" si="337"/>
        <v>10.511459924878215</v>
      </c>
      <c r="K489">
        <f t="shared" si="338"/>
        <v>11.488540075121785</v>
      </c>
      <c r="L489" t="str">
        <f t="shared" si="333"/>
        <v>0.49</v>
      </c>
      <c r="M489" t="str">
        <f t="shared" si="334"/>
        <v>10.51</v>
      </c>
      <c r="N489" t="str">
        <f t="shared" si="335"/>
        <v>11.00 [0.49, 10.51]</v>
      </c>
    </row>
    <row r="490" spans="1:14" x14ac:dyDescent="0.35">
      <c r="A490">
        <v>20</v>
      </c>
      <c r="B490">
        <v>70</v>
      </c>
      <c r="C490" t="s">
        <v>68</v>
      </c>
      <c r="D490" t="s">
        <v>69</v>
      </c>
      <c r="E490" t="s">
        <v>16</v>
      </c>
      <c r="F490">
        <v>66</v>
      </c>
      <c r="G490">
        <v>0.44</v>
      </c>
      <c r="H490">
        <v>0.57048993000873283</v>
      </c>
      <c r="I490">
        <f t="shared" ref="I490" si="363">H490*1.96</f>
        <v>1.1181602628171163</v>
      </c>
      <c r="J490">
        <f t="shared" si="337"/>
        <v>-0.67816026281711639</v>
      </c>
      <c r="K490">
        <f t="shared" si="338"/>
        <v>1.5581602628171163</v>
      </c>
      <c r="L490" t="str">
        <f t="shared" si="333"/>
        <v>1.12</v>
      </c>
      <c r="M490" t="str">
        <f t="shared" si="334"/>
        <v>-0.68</v>
      </c>
      <c r="N490" t="str">
        <f t="shared" si="335"/>
        <v>0.44 [1.12, -0.68]</v>
      </c>
    </row>
    <row r="491" spans="1:14" x14ac:dyDescent="0.35">
      <c r="A491">
        <v>598</v>
      </c>
      <c r="B491">
        <v>70</v>
      </c>
      <c r="C491" t="s">
        <v>68</v>
      </c>
      <c r="D491" t="s">
        <v>10</v>
      </c>
      <c r="E491" t="s">
        <v>14</v>
      </c>
      <c r="F491">
        <v>33</v>
      </c>
      <c r="G491">
        <v>1</v>
      </c>
      <c r="H491">
        <v>1.38</v>
      </c>
      <c r="I491">
        <f t="shared" ref="I491:I492" si="364">H491/(SQRT(F491))*1.96</f>
        <v>0.47084524382897147</v>
      </c>
      <c r="J491">
        <f t="shared" si="337"/>
        <v>0.52915475617102858</v>
      </c>
      <c r="K491">
        <f t="shared" si="338"/>
        <v>1.4708452438289714</v>
      </c>
      <c r="L491" t="str">
        <f t="shared" si="333"/>
        <v>0.47</v>
      </c>
      <c r="M491" t="str">
        <f t="shared" si="334"/>
        <v>0.53</v>
      </c>
      <c r="N491" t="str">
        <f t="shared" si="335"/>
        <v>1.00 [0.47, 0.53]</v>
      </c>
    </row>
    <row r="492" spans="1:14" x14ac:dyDescent="0.35">
      <c r="A492">
        <v>599</v>
      </c>
      <c r="B492">
        <v>70</v>
      </c>
      <c r="C492" t="s">
        <v>68</v>
      </c>
      <c r="D492" t="s">
        <v>70</v>
      </c>
      <c r="E492" t="s">
        <v>14</v>
      </c>
      <c r="F492">
        <v>32</v>
      </c>
      <c r="G492">
        <v>3</v>
      </c>
      <c r="H492">
        <v>1.41</v>
      </c>
      <c r="I492">
        <f t="shared" si="364"/>
        <v>0.4885400751217856</v>
      </c>
      <c r="J492">
        <f t="shared" si="337"/>
        <v>2.5114599248782143</v>
      </c>
      <c r="K492">
        <f t="shared" si="338"/>
        <v>3.4885400751217857</v>
      </c>
      <c r="L492" t="str">
        <f t="shared" si="333"/>
        <v>0.49</v>
      </c>
      <c r="M492" t="str">
        <f t="shared" si="334"/>
        <v>2.51</v>
      </c>
      <c r="N492" t="str">
        <f t="shared" si="335"/>
        <v>3.00 [0.49, 2.51]</v>
      </c>
    </row>
    <row r="493" spans="1:14" x14ac:dyDescent="0.35">
      <c r="A493">
        <v>20</v>
      </c>
      <c r="B493">
        <v>70</v>
      </c>
      <c r="C493" t="s">
        <v>68</v>
      </c>
      <c r="D493" t="s">
        <v>69</v>
      </c>
      <c r="E493" t="s">
        <v>14</v>
      </c>
      <c r="F493">
        <v>66</v>
      </c>
      <c r="G493">
        <v>0.38800000000000001</v>
      </c>
      <c r="H493">
        <v>1.00901620948409</v>
      </c>
      <c r="I493">
        <f t="shared" ref="I493" si="365">H493*1.96</f>
        <v>1.9776717705888163</v>
      </c>
      <c r="J493">
        <f t="shared" si="337"/>
        <v>-1.5896717705888164</v>
      </c>
      <c r="K493">
        <f t="shared" si="338"/>
        <v>2.3656717705888162</v>
      </c>
      <c r="L493" t="str">
        <f t="shared" si="333"/>
        <v>1.98</v>
      </c>
      <c r="M493" t="str">
        <f t="shared" si="334"/>
        <v>-1.59</v>
      </c>
      <c r="N493" t="str">
        <f t="shared" si="335"/>
        <v>0.39 [1.98, -1.59]</v>
      </c>
    </row>
    <row r="494" spans="1:14" x14ac:dyDescent="0.35">
      <c r="A494">
        <v>478</v>
      </c>
      <c r="B494">
        <v>70</v>
      </c>
      <c r="C494" t="s">
        <v>68</v>
      </c>
      <c r="D494" t="s">
        <v>10</v>
      </c>
      <c r="E494" t="s">
        <v>9</v>
      </c>
      <c r="F494">
        <v>33</v>
      </c>
      <c r="G494">
        <v>6</v>
      </c>
      <c r="H494">
        <v>0.96</v>
      </c>
      <c r="I494">
        <f t="shared" ref="I494:I495" si="366">H494/(SQRT(F494))*1.96</f>
        <v>0.32754451744624102</v>
      </c>
      <c r="J494">
        <f t="shared" si="337"/>
        <v>5.672455482553759</v>
      </c>
      <c r="K494">
        <f t="shared" si="338"/>
        <v>6.327544517446241</v>
      </c>
      <c r="L494" t="str">
        <f t="shared" si="333"/>
        <v>0.33</v>
      </c>
      <c r="M494" t="str">
        <f t="shared" si="334"/>
        <v>5.67</v>
      </c>
      <c r="N494" t="str">
        <f t="shared" si="335"/>
        <v>6.00 [0.33, 5.67]</v>
      </c>
    </row>
    <row r="495" spans="1:14" x14ac:dyDescent="0.35">
      <c r="A495">
        <v>479</v>
      </c>
      <c r="B495">
        <v>70</v>
      </c>
      <c r="C495" t="s">
        <v>68</v>
      </c>
      <c r="D495" t="s">
        <v>70</v>
      </c>
      <c r="E495" t="s">
        <v>9</v>
      </c>
      <c r="F495">
        <v>32</v>
      </c>
      <c r="G495">
        <v>6</v>
      </c>
      <c r="H495">
        <v>1.21</v>
      </c>
      <c r="I495">
        <f t="shared" si="366"/>
        <v>0.41924361056550397</v>
      </c>
      <c r="J495">
        <f t="shared" si="337"/>
        <v>5.5807563894344963</v>
      </c>
      <c r="K495">
        <f t="shared" si="338"/>
        <v>6.4192436105655037</v>
      </c>
      <c r="L495" t="str">
        <f t="shared" si="333"/>
        <v>0.42</v>
      </c>
      <c r="M495" t="str">
        <f t="shared" si="334"/>
        <v>5.58</v>
      </c>
      <c r="N495" t="str">
        <f t="shared" si="335"/>
        <v>6.00 [0.42, 5.58]</v>
      </c>
    </row>
    <row r="496" spans="1:14" x14ac:dyDescent="0.35">
      <c r="A496">
        <v>17</v>
      </c>
      <c r="B496">
        <v>70</v>
      </c>
      <c r="C496" t="s">
        <v>68</v>
      </c>
      <c r="D496" t="s">
        <v>69</v>
      </c>
      <c r="E496" t="s">
        <v>9</v>
      </c>
      <c r="F496">
        <v>65</v>
      </c>
      <c r="G496">
        <v>0</v>
      </c>
      <c r="H496">
        <v>0.248</v>
      </c>
      <c r="I496">
        <f t="shared" ref="I496" si="367">H496*1.96</f>
        <v>0.48608000000000001</v>
      </c>
      <c r="J496">
        <f t="shared" si="337"/>
        <v>-0.48608000000000001</v>
      </c>
      <c r="K496">
        <f t="shared" si="338"/>
        <v>0.48608000000000001</v>
      </c>
      <c r="L496" t="str">
        <f t="shared" si="333"/>
        <v>0.49</v>
      </c>
      <c r="M496" t="str">
        <f t="shared" si="334"/>
        <v>-0.49</v>
      </c>
      <c r="N496" t="str">
        <f t="shared" si="335"/>
        <v>0.00 [0.49, -0.49]</v>
      </c>
    </row>
    <row r="497" spans="1:14" x14ac:dyDescent="0.35">
      <c r="A497">
        <v>108</v>
      </c>
      <c r="B497">
        <v>73</v>
      </c>
      <c r="C497" t="s">
        <v>71</v>
      </c>
      <c r="D497" t="s">
        <v>8</v>
      </c>
      <c r="E497" t="s">
        <v>27</v>
      </c>
      <c r="F497">
        <v>20</v>
      </c>
      <c r="G497">
        <v>86.9</v>
      </c>
      <c r="H497">
        <v>11.7</v>
      </c>
      <c r="I497">
        <f t="shared" ref="I497:I498" si="368">H497/(SQRT(F497))*1.96</f>
        <v>5.1277510860025171</v>
      </c>
      <c r="J497">
        <f t="shared" si="337"/>
        <v>81.772248913997487</v>
      </c>
      <c r="K497">
        <f t="shared" si="338"/>
        <v>92.027751086002525</v>
      </c>
      <c r="L497" t="str">
        <f t="shared" si="333"/>
        <v>5.13</v>
      </c>
      <c r="M497" t="str">
        <f t="shared" si="334"/>
        <v>81.77</v>
      </c>
      <c r="N497" t="str">
        <f t="shared" si="335"/>
        <v>86.90 [5.13, 81.77]</v>
      </c>
    </row>
    <row r="498" spans="1:14" x14ac:dyDescent="0.35">
      <c r="A498">
        <v>109</v>
      </c>
      <c r="B498">
        <v>73</v>
      </c>
      <c r="C498" t="s">
        <v>71</v>
      </c>
      <c r="D498" t="s">
        <v>10</v>
      </c>
      <c r="E498" t="s">
        <v>27</v>
      </c>
      <c r="F498">
        <v>20</v>
      </c>
      <c r="G498">
        <v>90.97</v>
      </c>
      <c r="H498">
        <v>5.0999999999999996</v>
      </c>
      <c r="I498">
        <f t="shared" si="368"/>
        <v>2.2351735503087897</v>
      </c>
      <c r="J498">
        <f t="shared" si="337"/>
        <v>88.734826449691212</v>
      </c>
      <c r="K498">
        <f t="shared" si="338"/>
        <v>93.205173550308785</v>
      </c>
      <c r="L498" t="str">
        <f t="shared" si="333"/>
        <v>2.24</v>
      </c>
      <c r="M498" t="str">
        <f t="shared" si="334"/>
        <v>88.73</v>
      </c>
      <c r="N498" t="str">
        <f t="shared" si="335"/>
        <v>90.97 [2.24, 88.73]</v>
      </c>
    </row>
    <row r="499" spans="1:14" x14ac:dyDescent="0.35">
      <c r="A499">
        <v>18</v>
      </c>
      <c r="B499">
        <v>73</v>
      </c>
      <c r="C499" t="s">
        <v>71</v>
      </c>
      <c r="D499" t="s">
        <v>11</v>
      </c>
      <c r="E499" t="s">
        <v>27</v>
      </c>
      <c r="F499">
        <v>40</v>
      </c>
      <c r="G499">
        <v>0.45100000000000001</v>
      </c>
      <c r="H499">
        <v>0.32</v>
      </c>
      <c r="I499">
        <f t="shared" ref="I499" si="369">H499*1.96</f>
        <v>0.62719999999999998</v>
      </c>
      <c r="J499">
        <f t="shared" si="337"/>
        <v>-0.17619999999999997</v>
      </c>
      <c r="K499">
        <f t="shared" si="338"/>
        <v>1.0782</v>
      </c>
      <c r="L499" t="str">
        <f t="shared" si="333"/>
        <v>0.63</v>
      </c>
      <c r="M499" t="str">
        <f t="shared" si="334"/>
        <v>-0.18</v>
      </c>
      <c r="N499" t="str">
        <f t="shared" si="335"/>
        <v>0.45 [0.63, -0.18]</v>
      </c>
    </row>
    <row r="500" spans="1:14" x14ac:dyDescent="0.35">
      <c r="A500">
        <v>350</v>
      </c>
      <c r="B500">
        <v>73</v>
      </c>
      <c r="C500" t="s">
        <v>71</v>
      </c>
      <c r="D500" t="s">
        <v>8</v>
      </c>
      <c r="E500" t="s">
        <v>19</v>
      </c>
      <c r="F500">
        <v>20</v>
      </c>
      <c r="G500">
        <v>87.4</v>
      </c>
      <c r="H500">
        <v>13.8</v>
      </c>
      <c r="I500">
        <f t="shared" ref="I500:I501" si="370">H500/(SQRT(F500))*1.96</f>
        <v>6.0481166655414311</v>
      </c>
      <c r="J500">
        <f t="shared" si="337"/>
        <v>81.351883334458577</v>
      </c>
      <c r="K500">
        <f t="shared" si="338"/>
        <v>93.448116665541434</v>
      </c>
      <c r="L500" t="str">
        <f t="shared" si="333"/>
        <v>6.05</v>
      </c>
      <c r="M500" t="str">
        <f t="shared" si="334"/>
        <v>81.35</v>
      </c>
      <c r="N500" t="str">
        <f t="shared" si="335"/>
        <v>87.40 [6.05, 81.35]</v>
      </c>
    </row>
    <row r="501" spans="1:14" x14ac:dyDescent="0.35">
      <c r="A501">
        <v>351</v>
      </c>
      <c r="B501">
        <v>73</v>
      </c>
      <c r="C501" t="s">
        <v>71</v>
      </c>
      <c r="D501" t="s">
        <v>10</v>
      </c>
      <c r="E501" t="s">
        <v>19</v>
      </c>
      <c r="F501">
        <v>20</v>
      </c>
      <c r="G501">
        <v>93.17</v>
      </c>
      <c r="H501">
        <v>10.3</v>
      </c>
      <c r="I501">
        <f t="shared" si="370"/>
        <v>4.5141740329765749</v>
      </c>
      <c r="J501">
        <f t="shared" si="337"/>
        <v>88.655825967023432</v>
      </c>
      <c r="K501">
        <f t="shared" si="338"/>
        <v>97.684174032976571</v>
      </c>
      <c r="L501" t="str">
        <f t="shared" si="333"/>
        <v>4.51</v>
      </c>
      <c r="M501" t="str">
        <f t="shared" si="334"/>
        <v>88.66</v>
      </c>
      <c r="N501" t="str">
        <f t="shared" si="335"/>
        <v>93.17 [4.51, 88.66]</v>
      </c>
    </row>
    <row r="502" spans="1:14" x14ac:dyDescent="0.35">
      <c r="A502">
        <v>24</v>
      </c>
      <c r="B502">
        <v>73</v>
      </c>
      <c r="C502" t="s">
        <v>71</v>
      </c>
      <c r="D502" t="s">
        <v>11</v>
      </c>
      <c r="E502" t="s">
        <v>19</v>
      </c>
      <c r="F502">
        <v>40</v>
      </c>
      <c r="G502">
        <v>0.47399999999999998</v>
      </c>
      <c r="H502">
        <v>0.32100000000000001</v>
      </c>
      <c r="I502">
        <f t="shared" ref="I502" si="371">H502*1.96</f>
        <v>0.62916000000000005</v>
      </c>
      <c r="J502">
        <f t="shared" si="337"/>
        <v>-0.15516000000000008</v>
      </c>
      <c r="K502">
        <f t="shared" si="338"/>
        <v>1.1031599999999999</v>
      </c>
      <c r="L502" t="str">
        <f t="shared" si="333"/>
        <v>0.63</v>
      </c>
      <c r="M502" t="str">
        <f t="shared" si="334"/>
        <v>-0.16</v>
      </c>
      <c r="N502" t="str">
        <f t="shared" si="335"/>
        <v>0.47 [0.63, -0.16]</v>
      </c>
    </row>
    <row r="503" spans="1:14" x14ac:dyDescent="0.35">
      <c r="A503">
        <v>20</v>
      </c>
      <c r="B503">
        <v>76</v>
      </c>
      <c r="C503" t="s">
        <v>72</v>
      </c>
      <c r="D503" t="s">
        <v>8</v>
      </c>
      <c r="E503" t="s">
        <v>22</v>
      </c>
      <c r="F503">
        <v>90</v>
      </c>
      <c r="G503">
        <v>7</v>
      </c>
      <c r="H503">
        <v>0.86</v>
      </c>
      <c r="I503">
        <f t="shared" ref="I503:I504" si="372">H503/(SQRT(F503))*1.96</f>
        <v>0.17767784079932733</v>
      </c>
      <c r="J503">
        <f t="shared" si="337"/>
        <v>6.8223221592006729</v>
      </c>
      <c r="K503">
        <f t="shared" si="338"/>
        <v>7.1776778407993271</v>
      </c>
      <c r="L503" t="str">
        <f t="shared" si="333"/>
        <v>0.18</v>
      </c>
      <c r="M503" t="str">
        <f t="shared" si="334"/>
        <v>6.82</v>
      </c>
      <c r="N503" t="str">
        <f t="shared" si="335"/>
        <v>7.00 [0.18, 6.82]</v>
      </c>
    </row>
    <row r="504" spans="1:14" x14ac:dyDescent="0.35">
      <c r="A504">
        <v>21</v>
      </c>
      <c r="B504">
        <v>76</v>
      </c>
      <c r="C504" t="s">
        <v>72</v>
      </c>
      <c r="D504" t="s">
        <v>10</v>
      </c>
      <c r="E504" t="s">
        <v>22</v>
      </c>
      <c r="F504">
        <v>90</v>
      </c>
      <c r="G504">
        <v>12</v>
      </c>
      <c r="H504">
        <v>1.52</v>
      </c>
      <c r="I504">
        <f t="shared" si="372"/>
        <v>0.31403525350578781</v>
      </c>
      <c r="J504">
        <f t="shared" si="337"/>
        <v>11.685964746494212</v>
      </c>
      <c r="K504">
        <f t="shared" si="338"/>
        <v>12.314035253505788</v>
      </c>
      <c r="L504" t="str">
        <f t="shared" si="333"/>
        <v>0.31</v>
      </c>
      <c r="M504" t="str">
        <f t="shared" si="334"/>
        <v>11.69</v>
      </c>
      <c r="N504" t="str">
        <f t="shared" si="335"/>
        <v>12.00 [0.31, 11.69]</v>
      </c>
    </row>
    <row r="505" spans="1:14" x14ac:dyDescent="0.35">
      <c r="A505">
        <v>5</v>
      </c>
      <c r="B505">
        <v>76</v>
      </c>
      <c r="C505" t="s">
        <v>72</v>
      </c>
      <c r="D505" t="s">
        <v>11</v>
      </c>
      <c r="E505" t="s">
        <v>22</v>
      </c>
      <c r="F505">
        <v>181</v>
      </c>
      <c r="G505">
        <v>0.56399999999999995</v>
      </c>
      <c r="H505">
        <v>0.48805946248887588</v>
      </c>
      <c r="I505">
        <f t="shared" ref="I505" si="373">H505*1.96</f>
        <v>0.9565965464781967</v>
      </c>
      <c r="J505">
        <f t="shared" si="337"/>
        <v>-0.39259654647819675</v>
      </c>
      <c r="K505">
        <f t="shared" si="338"/>
        <v>1.5205965464781968</v>
      </c>
      <c r="L505" t="str">
        <f t="shared" si="333"/>
        <v>0.96</v>
      </c>
      <c r="M505" t="str">
        <f t="shared" si="334"/>
        <v>-0.39</v>
      </c>
      <c r="N505" t="str">
        <f t="shared" si="335"/>
        <v>0.56 [0.96, -0.39]</v>
      </c>
    </row>
    <row r="506" spans="1:14" x14ac:dyDescent="0.35">
      <c r="A506">
        <v>210</v>
      </c>
      <c r="B506">
        <v>76</v>
      </c>
      <c r="C506" t="s">
        <v>72</v>
      </c>
      <c r="D506" t="s">
        <v>8</v>
      </c>
      <c r="E506" t="s">
        <v>13</v>
      </c>
      <c r="F506">
        <v>54</v>
      </c>
      <c r="G506">
        <v>1.2</v>
      </c>
      <c r="H506">
        <v>1.69</v>
      </c>
      <c r="I506">
        <f t="shared" ref="I506:I507" si="374">H506/(SQRT(F506))*1.96</f>
        <v>0.45076054577749991</v>
      </c>
      <c r="J506">
        <f t="shared" si="337"/>
        <v>0.74923945422250005</v>
      </c>
      <c r="K506">
        <f t="shared" si="338"/>
        <v>1.6507605457774999</v>
      </c>
      <c r="L506" t="str">
        <f t="shared" si="333"/>
        <v>0.45</v>
      </c>
      <c r="M506" t="str">
        <f t="shared" si="334"/>
        <v>0.75</v>
      </c>
      <c r="N506" t="str">
        <f t="shared" si="335"/>
        <v>1.20 [0.45, 0.75]</v>
      </c>
    </row>
    <row r="507" spans="1:14" x14ac:dyDescent="0.35">
      <c r="A507">
        <v>211</v>
      </c>
      <c r="B507">
        <v>76</v>
      </c>
      <c r="C507" t="s">
        <v>72</v>
      </c>
      <c r="D507" t="s">
        <v>10</v>
      </c>
      <c r="E507" t="s">
        <v>13</v>
      </c>
      <c r="F507">
        <v>58</v>
      </c>
      <c r="G507">
        <v>1.6</v>
      </c>
      <c r="H507">
        <v>1.55</v>
      </c>
      <c r="I507">
        <f t="shared" si="374"/>
        <v>0.39890894302783714</v>
      </c>
      <c r="J507">
        <f t="shared" si="337"/>
        <v>1.2010910569721629</v>
      </c>
      <c r="K507">
        <f t="shared" si="338"/>
        <v>1.9989089430278373</v>
      </c>
      <c r="L507" t="str">
        <f t="shared" si="333"/>
        <v>0.40</v>
      </c>
      <c r="M507" t="str">
        <f t="shared" si="334"/>
        <v>1.20</v>
      </c>
      <c r="N507" t="str">
        <f t="shared" si="335"/>
        <v>1.60 [0.40, 1.20]</v>
      </c>
    </row>
    <row r="508" spans="1:14" x14ac:dyDescent="0.35">
      <c r="A508">
        <v>26</v>
      </c>
      <c r="B508">
        <v>76</v>
      </c>
      <c r="C508" t="s">
        <v>72</v>
      </c>
      <c r="D508" t="s">
        <v>11</v>
      </c>
      <c r="E508" t="s">
        <v>13</v>
      </c>
      <c r="F508">
        <v>112</v>
      </c>
      <c r="G508">
        <v>0.247</v>
      </c>
      <c r="H508">
        <v>0.19</v>
      </c>
      <c r="I508">
        <f t="shared" ref="I508" si="375">H508*1.96</f>
        <v>0.37240000000000001</v>
      </c>
      <c r="J508">
        <f t="shared" si="337"/>
        <v>-0.12540000000000001</v>
      </c>
      <c r="K508">
        <f t="shared" si="338"/>
        <v>0.61939999999999995</v>
      </c>
      <c r="L508" t="str">
        <f t="shared" si="333"/>
        <v>0.37</v>
      </c>
      <c r="M508" t="str">
        <f t="shared" si="334"/>
        <v>-0.13</v>
      </c>
      <c r="N508" t="str">
        <f t="shared" si="335"/>
        <v>0.25 [0.37, -0.13]</v>
      </c>
    </row>
    <row r="509" spans="1:14" x14ac:dyDescent="0.35">
      <c r="A509">
        <v>280</v>
      </c>
      <c r="B509">
        <v>76</v>
      </c>
      <c r="C509" t="s">
        <v>72</v>
      </c>
      <c r="D509" t="s">
        <v>8</v>
      </c>
      <c r="E509" t="s">
        <v>17</v>
      </c>
      <c r="F509">
        <v>53</v>
      </c>
      <c r="G509">
        <v>10</v>
      </c>
      <c r="H509">
        <v>1.78</v>
      </c>
      <c r="I509">
        <f t="shared" ref="I509:I510" si="376">H509/(SQRT(F509))*1.96</f>
        <v>0.47922353550418628</v>
      </c>
      <c r="J509">
        <f t="shared" si="337"/>
        <v>9.5207764644958139</v>
      </c>
      <c r="K509">
        <f t="shared" si="338"/>
        <v>10.479223535504186</v>
      </c>
      <c r="L509" t="str">
        <f t="shared" si="333"/>
        <v>0.48</v>
      </c>
      <c r="M509" t="str">
        <f t="shared" si="334"/>
        <v>9.52</v>
      </c>
      <c r="N509" t="str">
        <f t="shared" si="335"/>
        <v>10.00 [0.48, 9.52]</v>
      </c>
    </row>
    <row r="510" spans="1:14" x14ac:dyDescent="0.35">
      <c r="A510">
        <v>281</v>
      </c>
      <c r="B510">
        <v>76</v>
      </c>
      <c r="C510" t="s">
        <v>72</v>
      </c>
      <c r="D510" t="s">
        <v>10</v>
      </c>
      <c r="E510" t="s">
        <v>17</v>
      </c>
      <c r="F510">
        <v>58</v>
      </c>
      <c r="G510">
        <v>12</v>
      </c>
      <c r="H510">
        <v>2.0699999999999998</v>
      </c>
      <c r="I510">
        <f t="shared" si="376"/>
        <v>0.53273645939846637</v>
      </c>
      <c r="J510">
        <f t="shared" si="337"/>
        <v>11.467263540601534</v>
      </c>
      <c r="K510">
        <f t="shared" si="338"/>
        <v>12.532736459398466</v>
      </c>
      <c r="L510" t="str">
        <f t="shared" si="333"/>
        <v>0.53</v>
      </c>
      <c r="M510" t="str">
        <f t="shared" si="334"/>
        <v>11.47</v>
      </c>
      <c r="N510" t="str">
        <f t="shared" si="335"/>
        <v>12.00 [0.53, 11.47]</v>
      </c>
    </row>
    <row r="511" spans="1:14" x14ac:dyDescent="0.35">
      <c r="A511">
        <v>16</v>
      </c>
      <c r="B511">
        <v>76</v>
      </c>
      <c r="C511" t="s">
        <v>72</v>
      </c>
      <c r="D511" t="s">
        <v>11</v>
      </c>
      <c r="E511" t="s">
        <v>17</v>
      </c>
      <c r="F511">
        <v>112</v>
      </c>
      <c r="G511">
        <v>0.89900000000000002</v>
      </c>
      <c r="H511">
        <v>0.46928993130725288</v>
      </c>
      <c r="I511">
        <f t="shared" ref="I511" si="377">H511*1.96</f>
        <v>0.9198082653622156</v>
      </c>
      <c r="J511">
        <f t="shared" si="337"/>
        <v>-2.0808265362215583E-2</v>
      </c>
      <c r="K511">
        <f t="shared" si="338"/>
        <v>1.8188082653622155</v>
      </c>
      <c r="L511" t="str">
        <f t="shared" si="333"/>
        <v>0.92</v>
      </c>
      <c r="M511" t="str">
        <f t="shared" si="334"/>
        <v>-0.02</v>
      </c>
      <c r="N511" t="str">
        <f t="shared" si="335"/>
        <v>0.90 [0.92, -0.02]</v>
      </c>
    </row>
    <row r="512" spans="1:14" x14ac:dyDescent="0.35">
      <c r="A512">
        <v>538</v>
      </c>
      <c r="B512">
        <v>76</v>
      </c>
      <c r="C512" t="s">
        <v>72</v>
      </c>
      <c r="D512" t="s">
        <v>8</v>
      </c>
      <c r="E512" t="s">
        <v>15</v>
      </c>
      <c r="F512">
        <v>53</v>
      </c>
      <c r="G512">
        <v>0</v>
      </c>
      <c r="H512">
        <v>1.78</v>
      </c>
      <c r="I512">
        <f t="shared" ref="I512:I513" si="378">H512/(SQRT(F512))*1.96</f>
        <v>0.47922353550418628</v>
      </c>
      <c r="J512">
        <f t="shared" si="337"/>
        <v>-0.47922353550418628</v>
      </c>
      <c r="K512">
        <f t="shared" si="338"/>
        <v>0.47922353550418628</v>
      </c>
      <c r="L512" t="str">
        <f t="shared" si="333"/>
        <v>0.48</v>
      </c>
      <c r="M512" t="str">
        <f t="shared" si="334"/>
        <v>-0.48</v>
      </c>
      <c r="N512" t="str">
        <f t="shared" si="335"/>
        <v>0.00 [0.48, -0.48]</v>
      </c>
    </row>
    <row r="513" spans="1:14" x14ac:dyDescent="0.35">
      <c r="A513">
        <v>539</v>
      </c>
      <c r="B513">
        <v>76</v>
      </c>
      <c r="C513" t="s">
        <v>72</v>
      </c>
      <c r="D513" t="s">
        <v>10</v>
      </c>
      <c r="E513" t="s">
        <v>15</v>
      </c>
      <c r="F513">
        <v>58</v>
      </c>
      <c r="G513">
        <v>1</v>
      </c>
      <c r="H513">
        <v>2.0699999999999998</v>
      </c>
      <c r="I513">
        <f t="shared" si="378"/>
        <v>0.53273645939846637</v>
      </c>
      <c r="J513">
        <f t="shared" si="337"/>
        <v>0.46726354060153363</v>
      </c>
      <c r="K513">
        <f t="shared" si="338"/>
        <v>1.5327364593984663</v>
      </c>
      <c r="L513" t="str">
        <f t="shared" si="333"/>
        <v>0.53</v>
      </c>
      <c r="M513" t="str">
        <f t="shared" si="334"/>
        <v>0.47</v>
      </c>
      <c r="N513" t="str">
        <f t="shared" si="335"/>
        <v>1.00 [0.53, 0.47]</v>
      </c>
    </row>
    <row r="514" spans="1:14" x14ac:dyDescent="0.35">
      <c r="A514">
        <v>16</v>
      </c>
      <c r="B514">
        <v>76</v>
      </c>
      <c r="C514" t="s">
        <v>72</v>
      </c>
      <c r="D514" t="s">
        <v>11</v>
      </c>
      <c r="E514" t="s">
        <v>15</v>
      </c>
      <c r="F514">
        <v>112</v>
      </c>
      <c r="G514">
        <v>0.35799999999999998</v>
      </c>
      <c r="H514">
        <v>1.64410414841764</v>
      </c>
      <c r="I514">
        <f t="shared" ref="I514" si="379">H514*1.96</f>
        <v>3.2224441308985741</v>
      </c>
      <c r="J514">
        <f t="shared" si="337"/>
        <v>-2.864444130898574</v>
      </c>
      <c r="K514">
        <f t="shared" si="338"/>
        <v>3.5804441308985742</v>
      </c>
      <c r="L514" t="str">
        <f t="shared" si="333"/>
        <v>3.22</v>
      </c>
      <c r="M514" t="str">
        <f t="shared" si="334"/>
        <v>-2.86</v>
      </c>
      <c r="N514" t="str">
        <f t="shared" si="335"/>
        <v>0.36 [3.22, -2.86]</v>
      </c>
    </row>
    <row r="515" spans="1:14" x14ac:dyDescent="0.35">
      <c r="A515">
        <v>422</v>
      </c>
      <c r="B515">
        <v>76</v>
      </c>
      <c r="C515" t="s">
        <v>72</v>
      </c>
      <c r="D515" t="s">
        <v>8</v>
      </c>
      <c r="E515" t="s">
        <v>16</v>
      </c>
      <c r="F515">
        <v>53</v>
      </c>
      <c r="G515">
        <v>5</v>
      </c>
      <c r="H515">
        <v>0.83</v>
      </c>
      <c r="I515">
        <f t="shared" ref="I515:I516" si="380">H515/(SQRT(F515))*1.96</f>
        <v>0.22345816543172731</v>
      </c>
      <c r="J515">
        <f t="shared" si="337"/>
        <v>4.7765418345682731</v>
      </c>
      <c r="K515">
        <f t="shared" si="338"/>
        <v>5.2234581654317269</v>
      </c>
      <c r="L515" t="str">
        <f t="shared" ref="L515:L578" si="381">TEXT(I515,"#0.00")</f>
        <v>0.22</v>
      </c>
      <c r="M515" t="str">
        <f t="shared" ref="M515:M578" si="382">TEXT(J515,"#0.00")</f>
        <v>4.78</v>
      </c>
      <c r="N515" t="str">
        <f t="shared" ref="N515:N578" si="383">TEXT(G515,"#0.00")&amp;" ["&amp;L515&amp;", "&amp;M515&amp;"]"</f>
        <v>5.00 [0.22, 4.78]</v>
      </c>
    </row>
    <row r="516" spans="1:14" x14ac:dyDescent="0.35">
      <c r="A516">
        <v>423</v>
      </c>
      <c r="B516">
        <v>76</v>
      </c>
      <c r="C516" t="s">
        <v>72</v>
      </c>
      <c r="D516" t="s">
        <v>10</v>
      </c>
      <c r="E516" t="s">
        <v>16</v>
      </c>
      <c r="F516">
        <v>58</v>
      </c>
      <c r="G516">
        <v>8</v>
      </c>
      <c r="H516">
        <v>1.3</v>
      </c>
      <c r="I516">
        <f t="shared" si="380"/>
        <v>0.3345687909265731</v>
      </c>
      <c r="J516">
        <f t="shared" si="337"/>
        <v>7.6654312090734269</v>
      </c>
      <c r="K516">
        <f t="shared" si="338"/>
        <v>8.3345687909265731</v>
      </c>
      <c r="L516" t="str">
        <f t="shared" si="381"/>
        <v>0.33</v>
      </c>
      <c r="M516" t="str">
        <f t="shared" si="382"/>
        <v>7.67</v>
      </c>
      <c r="N516" t="str">
        <f t="shared" si="383"/>
        <v>8.00 [0.33, 7.67]</v>
      </c>
    </row>
    <row r="517" spans="1:14" x14ac:dyDescent="0.35">
      <c r="A517">
        <v>21</v>
      </c>
      <c r="B517">
        <v>76</v>
      </c>
      <c r="C517" t="s">
        <v>72</v>
      </c>
      <c r="D517" t="s">
        <v>11</v>
      </c>
      <c r="E517" t="s">
        <v>16</v>
      </c>
      <c r="F517">
        <v>112</v>
      </c>
      <c r="G517">
        <v>0.67400000000000004</v>
      </c>
      <c r="H517">
        <v>0.58335115837293461</v>
      </c>
      <c r="I517">
        <f t="shared" ref="I517" si="384">H517*1.96</f>
        <v>1.1433682704109518</v>
      </c>
      <c r="J517">
        <f t="shared" ref="J517:J580" si="385">G517-I517</f>
        <v>-0.46936827041095175</v>
      </c>
      <c r="K517">
        <f t="shared" ref="K517:K580" si="386">G517+I517</f>
        <v>1.8173682704109519</v>
      </c>
      <c r="L517" t="str">
        <f t="shared" si="381"/>
        <v>1.14</v>
      </c>
      <c r="M517" t="str">
        <f t="shared" si="382"/>
        <v>-0.47</v>
      </c>
      <c r="N517" t="str">
        <f t="shared" si="383"/>
        <v>0.67 [1.14, -0.47]</v>
      </c>
    </row>
    <row r="518" spans="1:14" x14ac:dyDescent="0.35">
      <c r="A518">
        <v>600</v>
      </c>
      <c r="B518">
        <v>76</v>
      </c>
      <c r="C518" t="s">
        <v>72</v>
      </c>
      <c r="D518" t="s">
        <v>8</v>
      </c>
      <c r="E518" t="s">
        <v>14</v>
      </c>
      <c r="F518">
        <v>53</v>
      </c>
      <c r="G518">
        <v>0</v>
      </c>
      <c r="H518">
        <v>0.83</v>
      </c>
      <c r="I518">
        <f t="shared" ref="I518:I519" si="387">H518/(SQRT(F518))*1.96</f>
        <v>0.22345816543172731</v>
      </c>
      <c r="J518">
        <f t="shared" si="385"/>
        <v>-0.22345816543172731</v>
      </c>
      <c r="K518">
        <f t="shared" si="386"/>
        <v>0.22345816543172731</v>
      </c>
      <c r="L518" t="str">
        <f t="shared" si="381"/>
        <v>0.22</v>
      </c>
      <c r="M518" t="str">
        <f t="shared" si="382"/>
        <v>-0.22</v>
      </c>
      <c r="N518" t="str">
        <f t="shared" si="383"/>
        <v>0.00 [0.22, -0.22]</v>
      </c>
    </row>
    <row r="519" spans="1:14" x14ac:dyDescent="0.35">
      <c r="A519">
        <v>601</v>
      </c>
      <c r="B519">
        <v>76</v>
      </c>
      <c r="C519" t="s">
        <v>72</v>
      </c>
      <c r="D519" t="s">
        <v>10</v>
      </c>
      <c r="E519" t="s">
        <v>14</v>
      </c>
      <c r="F519">
        <v>58</v>
      </c>
      <c r="G519">
        <v>0</v>
      </c>
      <c r="H519">
        <v>1.3</v>
      </c>
      <c r="I519">
        <f t="shared" si="387"/>
        <v>0.3345687909265731</v>
      </c>
      <c r="J519">
        <f t="shared" si="385"/>
        <v>-0.3345687909265731</v>
      </c>
      <c r="K519">
        <f t="shared" si="386"/>
        <v>0.3345687909265731</v>
      </c>
      <c r="L519" t="str">
        <f t="shared" si="381"/>
        <v>0.33</v>
      </c>
      <c r="M519" t="str">
        <f t="shared" si="382"/>
        <v>-0.33</v>
      </c>
      <c r="N519" t="str">
        <f t="shared" si="383"/>
        <v>0.00 [0.33, -0.33]</v>
      </c>
    </row>
    <row r="520" spans="1:14" x14ac:dyDescent="0.35">
      <c r="A520">
        <v>21</v>
      </c>
      <c r="B520">
        <v>76</v>
      </c>
      <c r="C520" t="s">
        <v>72</v>
      </c>
      <c r="D520" t="s">
        <v>11</v>
      </c>
      <c r="E520" t="s">
        <v>14</v>
      </c>
      <c r="F520">
        <v>112</v>
      </c>
      <c r="G520">
        <v>1.0940000000000001</v>
      </c>
      <c r="H520">
        <v>2.0090070442481398</v>
      </c>
      <c r="I520">
        <f t="shared" ref="I520" si="388">H520*1.96</f>
        <v>3.9376538067263538</v>
      </c>
      <c r="J520">
        <f t="shared" si="385"/>
        <v>-2.8436538067263539</v>
      </c>
      <c r="K520">
        <f t="shared" si="386"/>
        <v>5.0316538067263537</v>
      </c>
      <c r="L520" t="str">
        <f t="shared" si="381"/>
        <v>3.94</v>
      </c>
      <c r="M520" t="str">
        <f t="shared" si="382"/>
        <v>-2.84</v>
      </c>
      <c r="N520" t="str">
        <f t="shared" si="383"/>
        <v>1.09 [3.94, -2.84]</v>
      </c>
    </row>
    <row r="521" spans="1:14" x14ac:dyDescent="0.35">
      <c r="A521">
        <v>22</v>
      </c>
      <c r="B521">
        <v>77</v>
      </c>
      <c r="C521" t="s">
        <v>73</v>
      </c>
      <c r="D521" t="s">
        <v>8</v>
      </c>
      <c r="E521" t="s">
        <v>22</v>
      </c>
      <c r="F521">
        <v>38</v>
      </c>
      <c r="G521">
        <v>3</v>
      </c>
      <c r="H521">
        <v>0.62</v>
      </c>
      <c r="I521">
        <f t="shared" ref="I521:I522" si="389">H521/(SQRT(F521))*1.96</f>
        <v>0.19713147095810266</v>
      </c>
      <c r="J521">
        <f t="shared" si="385"/>
        <v>2.8028685290418975</v>
      </c>
      <c r="K521">
        <f t="shared" si="386"/>
        <v>3.1971314709581025</v>
      </c>
      <c r="L521" t="str">
        <f t="shared" si="381"/>
        <v>0.20</v>
      </c>
      <c r="M521" t="str">
        <f t="shared" si="382"/>
        <v>2.80</v>
      </c>
      <c r="N521" t="str">
        <f t="shared" si="383"/>
        <v>3.00 [0.20, 2.80]</v>
      </c>
    </row>
    <row r="522" spans="1:14" x14ac:dyDescent="0.35">
      <c r="A522">
        <v>23</v>
      </c>
      <c r="B522">
        <v>77</v>
      </c>
      <c r="C522" t="s">
        <v>73</v>
      </c>
      <c r="D522" t="s">
        <v>10</v>
      </c>
      <c r="E522" t="s">
        <v>22</v>
      </c>
      <c r="F522">
        <v>33</v>
      </c>
      <c r="G522">
        <v>4</v>
      </c>
      <c r="H522">
        <v>0.89</v>
      </c>
      <c r="I522">
        <f t="shared" si="389"/>
        <v>0.30366106304911933</v>
      </c>
      <c r="J522">
        <f t="shared" si="385"/>
        <v>3.6963389369508808</v>
      </c>
      <c r="K522">
        <f t="shared" si="386"/>
        <v>4.3036610630491197</v>
      </c>
      <c r="L522" t="str">
        <f t="shared" si="381"/>
        <v>0.30</v>
      </c>
      <c r="M522" t="str">
        <f t="shared" si="382"/>
        <v>3.70</v>
      </c>
      <c r="N522" t="str">
        <f t="shared" si="383"/>
        <v>4.00 [0.30, 3.70]</v>
      </c>
    </row>
    <row r="523" spans="1:14" x14ac:dyDescent="0.35">
      <c r="A523">
        <v>6</v>
      </c>
      <c r="B523">
        <v>77</v>
      </c>
      <c r="C523" t="s">
        <v>73</v>
      </c>
      <c r="D523" t="s">
        <v>11</v>
      </c>
      <c r="E523" t="s">
        <v>22</v>
      </c>
      <c r="F523">
        <v>72</v>
      </c>
      <c r="G523">
        <v>0.64400000000000002</v>
      </c>
      <c r="H523">
        <v>0.75563926256423841</v>
      </c>
      <c r="I523">
        <f t="shared" ref="I523" si="390">H523*1.96</f>
        <v>1.4810529546259072</v>
      </c>
      <c r="J523">
        <f t="shared" si="385"/>
        <v>-0.83705295462590723</v>
      </c>
      <c r="K523">
        <f t="shared" si="386"/>
        <v>2.1250529546259074</v>
      </c>
      <c r="L523" t="str">
        <f t="shared" si="381"/>
        <v>1.48</v>
      </c>
      <c r="M523" t="str">
        <f t="shared" si="382"/>
        <v>-0.84</v>
      </c>
      <c r="N523" t="str">
        <f t="shared" si="383"/>
        <v>0.64 [1.48, -0.84]</v>
      </c>
    </row>
    <row r="524" spans="1:14" x14ac:dyDescent="0.35">
      <c r="A524">
        <v>212</v>
      </c>
      <c r="B524">
        <v>77</v>
      </c>
      <c r="C524" t="s">
        <v>73</v>
      </c>
      <c r="D524" t="s">
        <v>8</v>
      </c>
      <c r="E524" t="s">
        <v>13</v>
      </c>
      <c r="F524">
        <v>38</v>
      </c>
      <c r="G524">
        <v>1.3</v>
      </c>
      <c r="H524">
        <v>2.2000000000000002</v>
      </c>
      <c r="I524">
        <f t="shared" ref="I524:I525" si="391">H524/(SQRT(F524))*1.96</f>
        <v>0.69949876791584809</v>
      </c>
      <c r="J524">
        <f t="shared" si="385"/>
        <v>0.60050123208415196</v>
      </c>
      <c r="K524">
        <f t="shared" si="386"/>
        <v>1.9994987679158482</v>
      </c>
      <c r="L524" t="str">
        <f t="shared" si="381"/>
        <v>0.70</v>
      </c>
      <c r="M524" t="str">
        <f t="shared" si="382"/>
        <v>0.60</v>
      </c>
      <c r="N524" t="str">
        <f t="shared" si="383"/>
        <v>1.30 [0.70, 0.60]</v>
      </c>
    </row>
    <row r="525" spans="1:14" x14ac:dyDescent="0.35">
      <c r="A525">
        <v>213</v>
      </c>
      <c r="B525">
        <v>77</v>
      </c>
      <c r="C525" t="s">
        <v>73</v>
      </c>
      <c r="D525" t="s">
        <v>10</v>
      </c>
      <c r="E525" t="s">
        <v>13</v>
      </c>
      <c r="F525">
        <v>33</v>
      </c>
      <c r="G525">
        <v>1.5</v>
      </c>
      <c r="H525">
        <v>3.3</v>
      </c>
      <c r="I525">
        <f t="shared" si="391"/>
        <v>1.1259342787214535</v>
      </c>
      <c r="J525">
        <f t="shared" si="385"/>
        <v>0.37406572127854654</v>
      </c>
      <c r="K525">
        <f t="shared" si="386"/>
        <v>2.6259342787214535</v>
      </c>
      <c r="L525" t="str">
        <f t="shared" si="381"/>
        <v>1.13</v>
      </c>
      <c r="M525" t="str">
        <f t="shared" si="382"/>
        <v>0.37</v>
      </c>
      <c r="N525" t="str">
        <f t="shared" si="383"/>
        <v>1.50 [1.13, 0.37]</v>
      </c>
    </row>
    <row r="526" spans="1:14" x14ac:dyDescent="0.35">
      <c r="A526">
        <v>27</v>
      </c>
      <c r="B526">
        <v>77</v>
      </c>
      <c r="C526" t="s">
        <v>73</v>
      </c>
      <c r="D526" t="s">
        <v>11</v>
      </c>
      <c r="E526" t="s">
        <v>13</v>
      </c>
      <c r="F526">
        <v>71</v>
      </c>
      <c r="G526">
        <v>7.1999999999999995E-2</v>
      </c>
      <c r="H526">
        <v>0.23799999999999999</v>
      </c>
      <c r="I526">
        <f t="shared" ref="I526" si="392">H526*1.96</f>
        <v>0.46647999999999995</v>
      </c>
      <c r="J526">
        <f t="shared" si="385"/>
        <v>-0.39447999999999994</v>
      </c>
      <c r="K526">
        <f t="shared" si="386"/>
        <v>0.53847999999999996</v>
      </c>
      <c r="L526" t="str">
        <f t="shared" si="381"/>
        <v>0.47</v>
      </c>
      <c r="M526" t="str">
        <f t="shared" si="382"/>
        <v>-0.39</v>
      </c>
      <c r="N526" t="str">
        <f t="shared" si="383"/>
        <v>0.07 [0.47, -0.39]</v>
      </c>
    </row>
    <row r="527" spans="1:14" x14ac:dyDescent="0.35">
      <c r="A527">
        <v>282</v>
      </c>
      <c r="B527">
        <v>77</v>
      </c>
      <c r="C527" t="s">
        <v>73</v>
      </c>
      <c r="D527" t="s">
        <v>8</v>
      </c>
      <c r="E527" t="s">
        <v>17</v>
      </c>
      <c r="F527">
        <v>38</v>
      </c>
      <c r="G527">
        <v>0</v>
      </c>
      <c r="H527">
        <v>0.08</v>
      </c>
      <c r="I527">
        <f t="shared" ref="I527:I528" si="393">H527/(SQRT(F527))*1.96</f>
        <v>2.5436318833303568E-2</v>
      </c>
      <c r="J527">
        <f t="shared" si="385"/>
        <v>-2.5436318833303568E-2</v>
      </c>
      <c r="K527">
        <f t="shared" si="386"/>
        <v>2.5436318833303568E-2</v>
      </c>
      <c r="L527" t="str">
        <f t="shared" si="381"/>
        <v>0.03</v>
      </c>
      <c r="M527" t="str">
        <f t="shared" si="382"/>
        <v>-0.03</v>
      </c>
      <c r="N527" t="str">
        <f t="shared" si="383"/>
        <v>0.00 [0.03, -0.03]</v>
      </c>
    </row>
    <row r="528" spans="1:14" x14ac:dyDescent="0.35">
      <c r="A528">
        <v>283</v>
      </c>
      <c r="B528">
        <v>77</v>
      </c>
      <c r="C528" t="s">
        <v>73</v>
      </c>
      <c r="D528" t="s">
        <v>10</v>
      </c>
      <c r="E528" t="s">
        <v>17</v>
      </c>
      <c r="F528">
        <v>33</v>
      </c>
      <c r="G528">
        <v>5</v>
      </c>
      <c r="H528">
        <v>0.09</v>
      </c>
      <c r="I528">
        <f t="shared" si="393"/>
        <v>3.0707298510585099E-2</v>
      </c>
      <c r="J528">
        <f t="shared" si="385"/>
        <v>4.9692927014894153</v>
      </c>
      <c r="K528">
        <f t="shared" si="386"/>
        <v>5.0307072985105847</v>
      </c>
      <c r="L528" t="str">
        <f t="shared" si="381"/>
        <v>0.03</v>
      </c>
      <c r="M528" t="str">
        <f t="shared" si="382"/>
        <v>4.97</v>
      </c>
      <c r="N528" t="str">
        <f t="shared" si="383"/>
        <v>5.00 [0.03, 4.97]</v>
      </c>
    </row>
    <row r="529" spans="1:14" x14ac:dyDescent="0.35">
      <c r="A529">
        <v>17</v>
      </c>
      <c r="B529">
        <v>77</v>
      </c>
      <c r="C529" t="s">
        <v>73</v>
      </c>
      <c r="D529" t="s">
        <v>11</v>
      </c>
      <c r="E529" t="s">
        <v>17</v>
      </c>
      <c r="F529">
        <v>72</v>
      </c>
      <c r="G529">
        <v>6.7000000000000004E-2</v>
      </c>
      <c r="H529">
        <v>1.497948015455193</v>
      </c>
      <c r="I529">
        <f t="shared" ref="I529" si="394">H529*1.96</f>
        <v>2.935978110292178</v>
      </c>
      <c r="J529">
        <f t="shared" si="385"/>
        <v>-2.8689781102921779</v>
      </c>
      <c r="K529">
        <f t="shared" si="386"/>
        <v>3.0029781102921782</v>
      </c>
      <c r="L529" t="str">
        <f t="shared" si="381"/>
        <v>2.94</v>
      </c>
      <c r="M529" t="str">
        <f t="shared" si="382"/>
        <v>-2.87</v>
      </c>
      <c r="N529" t="str">
        <f t="shared" si="383"/>
        <v>0.07 [2.94, -2.87]</v>
      </c>
    </row>
    <row r="530" spans="1:14" x14ac:dyDescent="0.35">
      <c r="A530">
        <v>540</v>
      </c>
      <c r="B530">
        <v>77</v>
      </c>
      <c r="C530" t="s">
        <v>73</v>
      </c>
      <c r="D530" t="s">
        <v>8</v>
      </c>
      <c r="E530" t="s">
        <v>15</v>
      </c>
      <c r="F530">
        <v>38</v>
      </c>
      <c r="G530">
        <v>9</v>
      </c>
      <c r="H530">
        <v>0.08</v>
      </c>
      <c r="I530">
        <f t="shared" ref="I530:I531" si="395">H530/(SQRT(F530))*1.96</f>
        <v>2.5436318833303568E-2</v>
      </c>
      <c r="J530">
        <f t="shared" si="385"/>
        <v>8.9745636811666962</v>
      </c>
      <c r="K530">
        <f t="shared" si="386"/>
        <v>9.0254363188333038</v>
      </c>
      <c r="L530" t="str">
        <f t="shared" si="381"/>
        <v>0.03</v>
      </c>
      <c r="M530" t="str">
        <f t="shared" si="382"/>
        <v>8.97</v>
      </c>
      <c r="N530" t="str">
        <f t="shared" si="383"/>
        <v>9.00 [0.03, 8.97]</v>
      </c>
    </row>
    <row r="531" spans="1:14" x14ac:dyDescent="0.35">
      <c r="A531">
        <v>541</v>
      </c>
      <c r="B531">
        <v>77</v>
      </c>
      <c r="C531" t="s">
        <v>73</v>
      </c>
      <c r="D531" t="s">
        <v>10</v>
      </c>
      <c r="E531" t="s">
        <v>15</v>
      </c>
      <c r="F531">
        <v>33</v>
      </c>
      <c r="G531">
        <v>5</v>
      </c>
      <c r="H531">
        <v>0.09</v>
      </c>
      <c r="I531">
        <f t="shared" si="395"/>
        <v>3.0707298510585099E-2</v>
      </c>
      <c r="J531">
        <f t="shared" si="385"/>
        <v>4.9692927014894153</v>
      </c>
      <c r="K531">
        <f t="shared" si="386"/>
        <v>5.0307072985105847</v>
      </c>
      <c r="L531" t="str">
        <f t="shared" si="381"/>
        <v>0.03</v>
      </c>
      <c r="M531" t="str">
        <f t="shared" si="382"/>
        <v>4.97</v>
      </c>
      <c r="N531" t="str">
        <f t="shared" si="383"/>
        <v>5.00 [0.03, 4.97]</v>
      </c>
    </row>
    <row r="532" spans="1:14" x14ac:dyDescent="0.35">
      <c r="A532">
        <v>17</v>
      </c>
      <c r="B532">
        <v>77</v>
      </c>
      <c r="C532" t="s">
        <v>73</v>
      </c>
      <c r="D532" t="s">
        <v>11</v>
      </c>
      <c r="E532" t="s">
        <v>15</v>
      </c>
      <c r="F532">
        <v>72</v>
      </c>
      <c r="G532">
        <v>1.6679999999999999</v>
      </c>
      <c r="H532">
        <v>0.59772768385602992</v>
      </c>
      <c r="I532">
        <f t="shared" ref="I532" si="396">H532*1.96</f>
        <v>1.1715462603578186</v>
      </c>
      <c r="J532">
        <f t="shared" si="385"/>
        <v>0.49645373964218131</v>
      </c>
      <c r="K532">
        <f t="shared" si="386"/>
        <v>2.8395462603578183</v>
      </c>
      <c r="L532" t="str">
        <f t="shared" si="381"/>
        <v>1.17</v>
      </c>
      <c r="M532" t="str">
        <f t="shared" si="382"/>
        <v>0.50</v>
      </c>
      <c r="N532" t="str">
        <f t="shared" si="383"/>
        <v>1.67 [1.17, 0.50]</v>
      </c>
    </row>
    <row r="533" spans="1:14" x14ac:dyDescent="0.35">
      <c r="A533">
        <v>354</v>
      </c>
      <c r="B533">
        <v>77</v>
      </c>
      <c r="C533" t="s">
        <v>73</v>
      </c>
      <c r="D533" t="s">
        <v>8</v>
      </c>
      <c r="E533" t="s">
        <v>19</v>
      </c>
      <c r="F533">
        <v>38</v>
      </c>
      <c r="G533">
        <v>82</v>
      </c>
      <c r="H533">
        <v>15.45</v>
      </c>
      <c r="I533">
        <f t="shared" ref="I533:I534" si="397">H533/(SQRT(F533))*1.96</f>
        <v>4.9123890746817516</v>
      </c>
      <c r="J533">
        <f t="shared" si="385"/>
        <v>77.087610925318245</v>
      </c>
      <c r="K533">
        <f t="shared" si="386"/>
        <v>86.912389074681755</v>
      </c>
      <c r="L533" t="str">
        <f t="shared" si="381"/>
        <v>4.91</v>
      </c>
      <c r="M533" t="str">
        <f t="shared" si="382"/>
        <v>77.09</v>
      </c>
      <c r="N533" t="str">
        <f t="shared" si="383"/>
        <v>82.00 [4.91, 77.09]</v>
      </c>
    </row>
    <row r="534" spans="1:14" x14ac:dyDescent="0.35">
      <c r="A534">
        <v>355</v>
      </c>
      <c r="B534">
        <v>77</v>
      </c>
      <c r="C534" t="s">
        <v>73</v>
      </c>
      <c r="D534" t="s">
        <v>10</v>
      </c>
      <c r="E534" t="s">
        <v>19</v>
      </c>
      <c r="F534">
        <v>33</v>
      </c>
      <c r="G534">
        <v>85</v>
      </c>
      <c r="H534">
        <v>14.67</v>
      </c>
      <c r="I534">
        <f t="shared" si="397"/>
        <v>5.0052896572253713</v>
      </c>
      <c r="J534">
        <f t="shared" si="385"/>
        <v>79.994710342774624</v>
      </c>
      <c r="K534">
        <f t="shared" si="386"/>
        <v>90.005289657225376</v>
      </c>
      <c r="L534" t="str">
        <f t="shared" si="381"/>
        <v>5.01</v>
      </c>
      <c r="M534" t="str">
        <f t="shared" si="382"/>
        <v>79.99</v>
      </c>
      <c r="N534" t="str">
        <f t="shared" si="383"/>
        <v>85.00 [5.01, 79.99]</v>
      </c>
    </row>
    <row r="535" spans="1:14" x14ac:dyDescent="0.35">
      <c r="A535">
        <v>25</v>
      </c>
      <c r="B535">
        <v>77</v>
      </c>
      <c r="C535" t="s">
        <v>73</v>
      </c>
      <c r="D535" t="s">
        <v>11</v>
      </c>
      <c r="E535" t="s">
        <v>19</v>
      </c>
      <c r="F535">
        <v>71</v>
      </c>
      <c r="G535">
        <v>0.19900000000000001</v>
      </c>
      <c r="H535">
        <v>0.23899999999999999</v>
      </c>
      <c r="I535">
        <f t="shared" ref="I535" si="398">H535*1.96</f>
        <v>0.46843999999999997</v>
      </c>
      <c r="J535">
        <f t="shared" si="385"/>
        <v>-0.26943999999999996</v>
      </c>
      <c r="K535">
        <f t="shared" si="386"/>
        <v>0.66744000000000003</v>
      </c>
      <c r="L535" t="str">
        <f t="shared" si="381"/>
        <v>0.47</v>
      </c>
      <c r="M535" t="str">
        <f t="shared" si="382"/>
        <v>-0.27</v>
      </c>
      <c r="N535" t="str">
        <f t="shared" si="383"/>
        <v>0.20 [0.47, -0.27]</v>
      </c>
    </row>
    <row r="536" spans="1:14" x14ac:dyDescent="0.35">
      <c r="A536">
        <v>424</v>
      </c>
      <c r="B536">
        <v>77</v>
      </c>
      <c r="C536" t="s">
        <v>73</v>
      </c>
      <c r="D536" t="s">
        <v>8</v>
      </c>
      <c r="E536" t="s">
        <v>16</v>
      </c>
      <c r="F536">
        <v>38</v>
      </c>
      <c r="G536">
        <v>1</v>
      </c>
      <c r="H536">
        <v>0.62</v>
      </c>
      <c r="I536">
        <f t="shared" ref="I536:I537" si="399">H536/(SQRT(F536))*1.96</f>
        <v>0.19713147095810266</v>
      </c>
      <c r="J536">
        <f t="shared" si="385"/>
        <v>0.80286852904189732</v>
      </c>
      <c r="K536">
        <f t="shared" si="386"/>
        <v>1.1971314709581027</v>
      </c>
      <c r="L536" t="str">
        <f t="shared" si="381"/>
        <v>0.20</v>
      </c>
      <c r="M536" t="str">
        <f t="shared" si="382"/>
        <v>0.80</v>
      </c>
      <c r="N536" t="str">
        <f t="shared" si="383"/>
        <v>1.00 [0.20, 0.80]</v>
      </c>
    </row>
    <row r="537" spans="1:14" x14ac:dyDescent="0.35">
      <c r="A537">
        <v>425</v>
      </c>
      <c r="B537">
        <v>77</v>
      </c>
      <c r="C537" t="s">
        <v>73</v>
      </c>
      <c r="D537" t="s">
        <v>10</v>
      </c>
      <c r="E537" t="s">
        <v>16</v>
      </c>
      <c r="F537">
        <v>33</v>
      </c>
      <c r="G537">
        <v>3</v>
      </c>
      <c r="H537">
        <v>0.09</v>
      </c>
      <c r="I537">
        <f t="shared" si="399"/>
        <v>3.0707298510585099E-2</v>
      </c>
      <c r="J537">
        <f t="shared" si="385"/>
        <v>2.9692927014894148</v>
      </c>
      <c r="K537">
        <f t="shared" si="386"/>
        <v>3.0307072985105852</v>
      </c>
      <c r="L537" t="str">
        <f t="shared" si="381"/>
        <v>0.03</v>
      </c>
      <c r="M537" t="str">
        <f t="shared" si="382"/>
        <v>2.97</v>
      </c>
      <c r="N537" t="str">
        <f t="shared" si="383"/>
        <v>3.00 [0.03, 2.97]</v>
      </c>
    </row>
    <row r="538" spans="1:14" x14ac:dyDescent="0.35">
      <c r="A538">
        <v>22</v>
      </c>
      <c r="B538">
        <v>77</v>
      </c>
      <c r="C538" t="s">
        <v>73</v>
      </c>
      <c r="D538" t="s">
        <v>11</v>
      </c>
      <c r="E538" t="s">
        <v>16</v>
      </c>
      <c r="F538">
        <v>72</v>
      </c>
      <c r="G538">
        <v>0.34699999999999998</v>
      </c>
      <c r="H538">
        <v>1.006350491996358</v>
      </c>
      <c r="I538">
        <f t="shared" ref="I538" si="400">H538*1.96</f>
        <v>1.9724469643128615</v>
      </c>
      <c r="J538">
        <f t="shared" si="385"/>
        <v>-1.6254469643128615</v>
      </c>
      <c r="K538">
        <f t="shared" si="386"/>
        <v>2.3194469643128617</v>
      </c>
      <c r="L538" t="str">
        <f t="shared" si="381"/>
        <v>1.97</v>
      </c>
      <c r="M538" t="str">
        <f t="shared" si="382"/>
        <v>-1.63</v>
      </c>
      <c r="N538" t="str">
        <f t="shared" si="383"/>
        <v>0.35 [1.97, -1.63]</v>
      </c>
    </row>
    <row r="539" spans="1:14" x14ac:dyDescent="0.35">
      <c r="A539">
        <v>602</v>
      </c>
      <c r="B539">
        <v>77</v>
      </c>
      <c r="C539" t="s">
        <v>73</v>
      </c>
      <c r="D539" t="s">
        <v>8</v>
      </c>
      <c r="E539" t="s">
        <v>14</v>
      </c>
      <c r="F539">
        <v>38</v>
      </c>
      <c r="G539">
        <v>1</v>
      </c>
      <c r="H539">
        <v>0.62</v>
      </c>
      <c r="I539">
        <f t="shared" ref="I539:I540" si="401">H539/(SQRT(F539))*1.96</f>
        <v>0.19713147095810266</v>
      </c>
      <c r="J539">
        <f t="shared" si="385"/>
        <v>0.80286852904189732</v>
      </c>
      <c r="K539">
        <f t="shared" si="386"/>
        <v>1.1971314709581027</v>
      </c>
      <c r="L539" t="str">
        <f t="shared" si="381"/>
        <v>0.20</v>
      </c>
      <c r="M539" t="str">
        <f t="shared" si="382"/>
        <v>0.80</v>
      </c>
      <c r="N539" t="str">
        <f t="shared" si="383"/>
        <v>1.00 [0.20, 0.80]</v>
      </c>
    </row>
    <row r="540" spans="1:14" x14ac:dyDescent="0.35">
      <c r="A540">
        <v>603</v>
      </c>
      <c r="B540">
        <v>77</v>
      </c>
      <c r="C540" t="s">
        <v>73</v>
      </c>
      <c r="D540" t="s">
        <v>10</v>
      </c>
      <c r="E540" t="s">
        <v>14</v>
      </c>
      <c r="F540">
        <v>33</v>
      </c>
      <c r="G540">
        <v>3</v>
      </c>
      <c r="H540">
        <v>0.09</v>
      </c>
      <c r="I540">
        <f t="shared" si="401"/>
        <v>3.0707298510585099E-2</v>
      </c>
      <c r="J540">
        <f t="shared" si="385"/>
        <v>2.9692927014894148</v>
      </c>
      <c r="K540">
        <f t="shared" si="386"/>
        <v>3.0307072985105852</v>
      </c>
      <c r="L540" t="str">
        <f t="shared" si="381"/>
        <v>0.03</v>
      </c>
      <c r="M540" t="str">
        <f t="shared" si="382"/>
        <v>2.97</v>
      </c>
      <c r="N540" t="str">
        <f t="shared" si="383"/>
        <v>3.00 [0.03, 2.97]</v>
      </c>
    </row>
    <row r="541" spans="1:14" x14ac:dyDescent="0.35">
      <c r="A541">
        <v>22</v>
      </c>
      <c r="B541">
        <v>77</v>
      </c>
      <c r="C541" t="s">
        <v>73</v>
      </c>
      <c r="D541" t="s">
        <v>11</v>
      </c>
      <c r="E541" t="s">
        <v>14</v>
      </c>
      <c r="F541">
        <v>72</v>
      </c>
      <c r="G541">
        <v>0.34699999999999998</v>
      </c>
      <c r="H541">
        <v>1.006350491996358</v>
      </c>
      <c r="I541">
        <f t="shared" ref="I541" si="402">H541*1.96</f>
        <v>1.9724469643128615</v>
      </c>
      <c r="J541">
        <f t="shared" si="385"/>
        <v>-1.6254469643128615</v>
      </c>
      <c r="K541">
        <f t="shared" si="386"/>
        <v>2.3194469643128617</v>
      </c>
      <c r="L541" t="str">
        <f t="shared" si="381"/>
        <v>1.97</v>
      </c>
      <c r="M541" t="str">
        <f t="shared" si="382"/>
        <v>-1.63</v>
      </c>
      <c r="N541" t="str">
        <f t="shared" si="383"/>
        <v>0.35 [1.97, -1.63]</v>
      </c>
    </row>
    <row r="542" spans="1:14" x14ac:dyDescent="0.35">
      <c r="A542">
        <v>480</v>
      </c>
      <c r="B542">
        <v>77</v>
      </c>
      <c r="C542" t="s">
        <v>73</v>
      </c>
      <c r="D542" t="s">
        <v>8</v>
      </c>
      <c r="E542" t="s">
        <v>9</v>
      </c>
      <c r="F542">
        <v>38</v>
      </c>
      <c r="G542">
        <v>4</v>
      </c>
      <c r="H542">
        <v>1.64</v>
      </c>
      <c r="I542">
        <f t="shared" ref="I542:I543" si="403">H542/(SQRT(F542))*1.96</f>
        <v>0.52144453608272312</v>
      </c>
      <c r="J542">
        <f t="shared" si="385"/>
        <v>3.4785554639172771</v>
      </c>
      <c r="K542">
        <f t="shared" si="386"/>
        <v>4.5214445360827229</v>
      </c>
      <c r="L542" t="str">
        <f t="shared" si="381"/>
        <v>0.52</v>
      </c>
      <c r="M542" t="str">
        <f t="shared" si="382"/>
        <v>3.48</v>
      </c>
      <c r="N542" t="str">
        <f t="shared" si="383"/>
        <v>4.00 [0.52, 3.48]</v>
      </c>
    </row>
    <row r="543" spans="1:14" x14ac:dyDescent="0.35">
      <c r="A543">
        <v>481</v>
      </c>
      <c r="B543">
        <v>77</v>
      </c>
      <c r="C543" t="s">
        <v>73</v>
      </c>
      <c r="D543" t="s">
        <v>10</v>
      </c>
      <c r="E543" t="s">
        <v>9</v>
      </c>
      <c r="F543">
        <v>33</v>
      </c>
      <c r="G543">
        <v>5</v>
      </c>
      <c r="H543">
        <v>2.16</v>
      </c>
      <c r="I543">
        <f t="shared" si="403"/>
        <v>0.73697516425404241</v>
      </c>
      <c r="J543">
        <f t="shared" si="385"/>
        <v>4.2630248357459575</v>
      </c>
      <c r="K543">
        <f t="shared" si="386"/>
        <v>5.7369751642540425</v>
      </c>
      <c r="L543" t="str">
        <f t="shared" si="381"/>
        <v>0.74</v>
      </c>
      <c r="M543" t="str">
        <f t="shared" si="382"/>
        <v>4.26</v>
      </c>
      <c r="N543" t="str">
        <f t="shared" si="383"/>
        <v>5.00 [0.74, 4.26]</v>
      </c>
    </row>
    <row r="544" spans="1:14" x14ac:dyDescent="0.35">
      <c r="A544">
        <v>18</v>
      </c>
      <c r="B544">
        <v>77</v>
      </c>
      <c r="C544" t="s">
        <v>73</v>
      </c>
      <c r="D544" t="s">
        <v>11</v>
      </c>
      <c r="E544" t="s">
        <v>9</v>
      </c>
      <c r="F544">
        <v>71</v>
      </c>
      <c r="G544">
        <v>0.52700000000000002</v>
      </c>
      <c r="H544">
        <v>0.24199999999999999</v>
      </c>
      <c r="I544">
        <f t="shared" ref="I544" si="404">H544*1.96</f>
        <v>0.47431999999999996</v>
      </c>
      <c r="J544">
        <f t="shared" si="385"/>
        <v>5.268000000000006E-2</v>
      </c>
      <c r="K544">
        <f t="shared" si="386"/>
        <v>1.00132</v>
      </c>
      <c r="L544" t="str">
        <f t="shared" si="381"/>
        <v>0.47</v>
      </c>
      <c r="M544" t="str">
        <f t="shared" si="382"/>
        <v>0.05</v>
      </c>
      <c r="N544" t="str">
        <f t="shared" si="383"/>
        <v>0.53 [0.47, 0.05]</v>
      </c>
    </row>
    <row r="545" spans="1:14" x14ac:dyDescent="0.35">
      <c r="A545">
        <v>284</v>
      </c>
      <c r="B545">
        <v>82</v>
      </c>
      <c r="C545" t="s">
        <v>74</v>
      </c>
      <c r="D545" t="s">
        <v>8</v>
      </c>
      <c r="E545" t="s">
        <v>17</v>
      </c>
      <c r="F545">
        <v>24</v>
      </c>
      <c r="G545">
        <v>5</v>
      </c>
      <c r="H545">
        <v>1.42</v>
      </c>
      <c r="I545">
        <f t="shared" ref="I545:I546" si="405">H545/(SQRT(F545))*1.96</f>
        <v>0.56811832100951176</v>
      </c>
      <c r="J545">
        <f t="shared" si="385"/>
        <v>4.4318816789904885</v>
      </c>
      <c r="K545">
        <f t="shared" si="386"/>
        <v>5.5681183210095115</v>
      </c>
      <c r="L545" t="str">
        <f t="shared" si="381"/>
        <v>0.57</v>
      </c>
      <c r="M545" t="str">
        <f t="shared" si="382"/>
        <v>4.43</v>
      </c>
      <c r="N545" t="str">
        <f t="shared" si="383"/>
        <v>5.00 [0.57, 4.43]</v>
      </c>
    </row>
    <row r="546" spans="1:14" x14ac:dyDescent="0.35">
      <c r="A546">
        <v>285</v>
      </c>
      <c r="B546">
        <v>82</v>
      </c>
      <c r="C546" t="s">
        <v>74</v>
      </c>
      <c r="D546" t="s">
        <v>10</v>
      </c>
      <c r="E546" t="s">
        <v>17</v>
      </c>
      <c r="F546">
        <v>24</v>
      </c>
      <c r="G546">
        <v>5</v>
      </c>
      <c r="H546">
        <v>1.42</v>
      </c>
      <c r="I546">
        <f t="shared" si="405"/>
        <v>0.56811832100951176</v>
      </c>
      <c r="J546">
        <f t="shared" si="385"/>
        <v>4.4318816789904885</v>
      </c>
      <c r="K546">
        <f t="shared" si="386"/>
        <v>5.5681183210095115</v>
      </c>
      <c r="L546" t="str">
        <f t="shared" si="381"/>
        <v>0.57</v>
      </c>
      <c r="M546" t="str">
        <f t="shared" si="382"/>
        <v>4.43</v>
      </c>
      <c r="N546" t="str">
        <f t="shared" si="383"/>
        <v>5.00 [0.57, 4.43]</v>
      </c>
    </row>
    <row r="547" spans="1:14" x14ac:dyDescent="0.35">
      <c r="A547">
        <v>18</v>
      </c>
      <c r="B547">
        <v>82</v>
      </c>
      <c r="C547" t="s">
        <v>74</v>
      </c>
      <c r="D547" t="s">
        <v>11</v>
      </c>
      <c r="E547" t="s">
        <v>17</v>
      </c>
      <c r="F547">
        <v>49</v>
      </c>
      <c r="G547">
        <v>1</v>
      </c>
      <c r="H547">
        <v>0.68476238326232586</v>
      </c>
      <c r="I547">
        <f t="shared" ref="I547" si="406">H547*1.96</f>
        <v>1.3421342711941586</v>
      </c>
      <c r="J547">
        <f t="shared" si="385"/>
        <v>-0.34213427119415862</v>
      </c>
      <c r="K547">
        <f t="shared" si="386"/>
        <v>2.3421342711941584</v>
      </c>
      <c r="L547" t="str">
        <f t="shared" si="381"/>
        <v>1.34</v>
      </c>
      <c r="M547" t="str">
        <f t="shared" si="382"/>
        <v>-0.34</v>
      </c>
      <c r="N547" t="str">
        <f t="shared" si="383"/>
        <v>1.00 [1.34, -0.34]</v>
      </c>
    </row>
    <row r="548" spans="1:14" x14ac:dyDescent="0.35">
      <c r="A548">
        <v>542</v>
      </c>
      <c r="B548">
        <v>82</v>
      </c>
      <c r="C548" t="s">
        <v>74</v>
      </c>
      <c r="D548" t="s">
        <v>8</v>
      </c>
      <c r="E548" t="s">
        <v>15</v>
      </c>
      <c r="F548">
        <v>24</v>
      </c>
      <c r="G548">
        <v>0</v>
      </c>
      <c r="H548">
        <v>1.42</v>
      </c>
      <c r="I548">
        <f t="shared" ref="I548:I549" si="407">H548/(SQRT(F548))*1.96</f>
        <v>0.56811832100951176</v>
      </c>
      <c r="J548">
        <f t="shared" si="385"/>
        <v>-0.56811832100951176</v>
      </c>
      <c r="K548">
        <f t="shared" si="386"/>
        <v>0.56811832100951176</v>
      </c>
      <c r="L548" t="str">
        <f t="shared" si="381"/>
        <v>0.57</v>
      </c>
      <c r="M548" t="str">
        <f t="shared" si="382"/>
        <v>-0.57</v>
      </c>
      <c r="N548" t="str">
        <f t="shared" si="383"/>
        <v>0.00 [0.57, -0.57]</v>
      </c>
    </row>
    <row r="549" spans="1:14" x14ac:dyDescent="0.35">
      <c r="A549">
        <v>543</v>
      </c>
      <c r="B549">
        <v>82</v>
      </c>
      <c r="C549" t="s">
        <v>74</v>
      </c>
      <c r="D549" t="s">
        <v>10</v>
      </c>
      <c r="E549" t="s">
        <v>15</v>
      </c>
      <c r="F549">
        <v>24</v>
      </c>
      <c r="G549">
        <v>0</v>
      </c>
      <c r="H549">
        <v>1.42</v>
      </c>
      <c r="I549">
        <f t="shared" si="407"/>
        <v>0.56811832100951176</v>
      </c>
      <c r="J549">
        <f t="shared" si="385"/>
        <v>-0.56811832100951176</v>
      </c>
      <c r="K549">
        <f t="shared" si="386"/>
        <v>0.56811832100951176</v>
      </c>
      <c r="L549" t="str">
        <f t="shared" si="381"/>
        <v>0.57</v>
      </c>
      <c r="M549" t="str">
        <f t="shared" si="382"/>
        <v>-0.57</v>
      </c>
      <c r="N549" t="str">
        <f t="shared" si="383"/>
        <v>0.00 [0.57, -0.57]</v>
      </c>
    </row>
    <row r="550" spans="1:14" x14ac:dyDescent="0.35">
      <c r="A550">
        <v>18</v>
      </c>
      <c r="B550">
        <v>82</v>
      </c>
      <c r="C550" t="s">
        <v>74</v>
      </c>
      <c r="D550" t="s">
        <v>11</v>
      </c>
      <c r="E550" t="s">
        <v>15</v>
      </c>
      <c r="F550">
        <v>49</v>
      </c>
      <c r="G550">
        <v>1</v>
      </c>
      <c r="H550">
        <v>2.0207259421636898</v>
      </c>
      <c r="I550">
        <f t="shared" ref="I550" si="408">H550*1.96</f>
        <v>3.960622846640832</v>
      </c>
      <c r="J550">
        <f t="shared" si="385"/>
        <v>-2.960622846640832</v>
      </c>
      <c r="K550">
        <f t="shared" si="386"/>
        <v>4.960622846640832</v>
      </c>
      <c r="L550" t="str">
        <f t="shared" si="381"/>
        <v>3.96</v>
      </c>
      <c r="M550" t="str">
        <f t="shared" si="382"/>
        <v>-2.96</v>
      </c>
      <c r="N550" t="str">
        <f t="shared" si="383"/>
        <v>1.00 [3.96, -2.96]</v>
      </c>
    </row>
    <row r="551" spans="1:14" x14ac:dyDescent="0.35">
      <c r="A551">
        <v>426</v>
      </c>
      <c r="B551">
        <v>82</v>
      </c>
      <c r="C551" t="s">
        <v>74</v>
      </c>
      <c r="D551" t="s">
        <v>8</v>
      </c>
      <c r="E551" t="s">
        <v>16</v>
      </c>
      <c r="F551">
        <v>24</v>
      </c>
      <c r="G551">
        <v>5</v>
      </c>
      <c r="H551">
        <v>1.77</v>
      </c>
      <c r="I551">
        <f t="shared" ref="I551:I552" si="409">H551/(SQRT(F551))*1.96</f>
        <v>0.70814748463861688</v>
      </c>
      <c r="J551">
        <f t="shared" si="385"/>
        <v>4.2918525153613833</v>
      </c>
      <c r="K551">
        <f t="shared" si="386"/>
        <v>5.7081474846386167</v>
      </c>
      <c r="L551" t="str">
        <f t="shared" si="381"/>
        <v>0.71</v>
      </c>
      <c r="M551" t="str">
        <f t="shared" si="382"/>
        <v>4.29</v>
      </c>
      <c r="N551" t="str">
        <f t="shared" si="383"/>
        <v>5.00 [0.71, 4.29]</v>
      </c>
    </row>
    <row r="552" spans="1:14" x14ac:dyDescent="0.35">
      <c r="A552">
        <v>427</v>
      </c>
      <c r="B552">
        <v>82</v>
      </c>
      <c r="C552" t="s">
        <v>74</v>
      </c>
      <c r="D552" t="s">
        <v>10</v>
      </c>
      <c r="E552" t="s">
        <v>16</v>
      </c>
      <c r="F552">
        <v>24</v>
      </c>
      <c r="G552">
        <v>6</v>
      </c>
      <c r="H552">
        <v>1.42</v>
      </c>
      <c r="I552">
        <f t="shared" si="409"/>
        <v>0.56811832100951176</v>
      </c>
      <c r="J552">
        <f t="shared" si="385"/>
        <v>5.4318816789904885</v>
      </c>
      <c r="K552">
        <f t="shared" si="386"/>
        <v>6.5681183210095115</v>
      </c>
      <c r="L552" t="str">
        <f t="shared" si="381"/>
        <v>0.57</v>
      </c>
      <c r="M552" t="str">
        <f t="shared" si="382"/>
        <v>5.43</v>
      </c>
      <c r="N552" t="str">
        <f t="shared" si="383"/>
        <v>6.00 [0.57, 5.43]</v>
      </c>
    </row>
    <row r="553" spans="1:14" x14ac:dyDescent="0.35">
      <c r="A553">
        <v>23</v>
      </c>
      <c r="B553">
        <v>82</v>
      </c>
      <c r="C553" t="s">
        <v>74</v>
      </c>
      <c r="D553" t="s">
        <v>11</v>
      </c>
      <c r="E553" t="s">
        <v>16</v>
      </c>
      <c r="F553">
        <v>49</v>
      </c>
      <c r="G553">
        <v>0.80200000000000005</v>
      </c>
      <c r="H553">
        <v>0.66622178752068717</v>
      </c>
      <c r="I553">
        <f t="shared" ref="I553" si="410">H553*1.96</f>
        <v>1.3057947035405468</v>
      </c>
      <c r="J553">
        <f t="shared" si="385"/>
        <v>-0.50379470354054678</v>
      </c>
      <c r="K553">
        <f t="shared" si="386"/>
        <v>2.1077947035405469</v>
      </c>
      <c r="L553" t="str">
        <f t="shared" si="381"/>
        <v>1.31</v>
      </c>
      <c r="M553" t="str">
        <f t="shared" si="382"/>
        <v>-0.50</v>
      </c>
      <c r="N553" t="str">
        <f t="shared" si="383"/>
        <v>0.80 [1.31, -0.50]</v>
      </c>
    </row>
    <row r="554" spans="1:14" x14ac:dyDescent="0.35">
      <c r="A554">
        <v>604</v>
      </c>
      <c r="B554">
        <v>82</v>
      </c>
      <c r="C554" t="s">
        <v>74</v>
      </c>
      <c r="D554" t="s">
        <v>8</v>
      </c>
      <c r="E554" t="s">
        <v>14</v>
      </c>
      <c r="F554">
        <v>24</v>
      </c>
      <c r="G554">
        <v>0</v>
      </c>
      <c r="H554">
        <v>1.77</v>
      </c>
      <c r="I554">
        <f t="shared" ref="I554:I555" si="411">H554/(SQRT(F554))*1.96</f>
        <v>0.70814748463861688</v>
      </c>
      <c r="J554">
        <f t="shared" si="385"/>
        <v>-0.70814748463861688</v>
      </c>
      <c r="K554">
        <f t="shared" si="386"/>
        <v>0.70814748463861688</v>
      </c>
      <c r="L554" t="str">
        <f t="shared" si="381"/>
        <v>0.71</v>
      </c>
      <c r="M554" t="str">
        <f t="shared" si="382"/>
        <v>-0.71</v>
      </c>
      <c r="N554" t="str">
        <f t="shared" si="383"/>
        <v>0.00 [0.71, -0.71]</v>
      </c>
    </row>
    <row r="555" spans="1:14" x14ac:dyDescent="0.35">
      <c r="A555">
        <v>605</v>
      </c>
      <c r="B555">
        <v>82</v>
      </c>
      <c r="C555" t="s">
        <v>74</v>
      </c>
      <c r="D555" t="s">
        <v>10</v>
      </c>
      <c r="E555" t="s">
        <v>14</v>
      </c>
      <c r="F555">
        <v>24</v>
      </c>
      <c r="G555">
        <v>0</v>
      </c>
      <c r="H555">
        <v>1.42</v>
      </c>
      <c r="I555">
        <f t="shared" si="411"/>
        <v>0.56811832100951176</v>
      </c>
      <c r="J555">
        <f t="shared" si="385"/>
        <v>-0.56811832100951176</v>
      </c>
      <c r="K555">
        <f t="shared" si="386"/>
        <v>0.56811832100951176</v>
      </c>
      <c r="L555" t="str">
        <f t="shared" si="381"/>
        <v>0.57</v>
      </c>
      <c r="M555" t="str">
        <f t="shared" si="382"/>
        <v>-0.57</v>
      </c>
      <c r="N555" t="str">
        <f t="shared" si="383"/>
        <v>0.00 [0.57, -0.57]</v>
      </c>
    </row>
    <row r="556" spans="1:14" x14ac:dyDescent="0.35">
      <c r="A556">
        <v>23</v>
      </c>
      <c r="B556">
        <v>82</v>
      </c>
      <c r="C556" t="s">
        <v>74</v>
      </c>
      <c r="D556" t="s">
        <v>11</v>
      </c>
      <c r="E556" t="s">
        <v>14</v>
      </c>
      <c r="F556">
        <v>49</v>
      </c>
      <c r="G556">
        <v>1</v>
      </c>
      <c r="H556">
        <v>2.0207259421636898</v>
      </c>
      <c r="I556">
        <f t="shared" ref="I556" si="412">H556*1.96</f>
        <v>3.960622846640832</v>
      </c>
      <c r="J556">
        <f t="shared" si="385"/>
        <v>-2.960622846640832</v>
      </c>
      <c r="K556">
        <f t="shared" si="386"/>
        <v>4.960622846640832</v>
      </c>
      <c r="L556" t="str">
        <f t="shared" si="381"/>
        <v>3.96</v>
      </c>
      <c r="M556" t="str">
        <f t="shared" si="382"/>
        <v>-2.96</v>
      </c>
      <c r="N556" t="str">
        <f t="shared" si="383"/>
        <v>1.00 [3.96, -2.96]</v>
      </c>
    </row>
    <row r="557" spans="1:14" x14ac:dyDescent="0.35">
      <c r="A557">
        <v>110</v>
      </c>
      <c r="B557">
        <v>84</v>
      </c>
      <c r="C557" t="s">
        <v>75</v>
      </c>
      <c r="D557" t="s">
        <v>10</v>
      </c>
      <c r="E557" t="s">
        <v>27</v>
      </c>
      <c r="F557">
        <v>43</v>
      </c>
      <c r="G557">
        <v>76</v>
      </c>
      <c r="H557">
        <v>15</v>
      </c>
      <c r="I557">
        <f t="shared" ref="I557:I558" si="413">H557/(SQRT(F557))*1.96</f>
        <v>4.4834579677785769</v>
      </c>
      <c r="J557">
        <f t="shared" si="385"/>
        <v>71.516542032221423</v>
      </c>
      <c r="K557">
        <f t="shared" si="386"/>
        <v>80.483457967778577</v>
      </c>
      <c r="L557" t="str">
        <f t="shared" si="381"/>
        <v>4.48</v>
      </c>
      <c r="M557" t="str">
        <f t="shared" si="382"/>
        <v>71.52</v>
      </c>
      <c r="N557" t="str">
        <f t="shared" si="383"/>
        <v>76.00 [4.48, 71.52]</v>
      </c>
    </row>
    <row r="558" spans="1:14" x14ac:dyDescent="0.35">
      <c r="A558">
        <v>111</v>
      </c>
      <c r="B558">
        <v>84</v>
      </c>
      <c r="C558" t="s">
        <v>75</v>
      </c>
      <c r="D558" t="s">
        <v>28</v>
      </c>
      <c r="E558" t="s">
        <v>27</v>
      </c>
      <c r="F558">
        <v>42</v>
      </c>
      <c r="G558">
        <v>76</v>
      </c>
      <c r="H558">
        <v>17</v>
      </c>
      <c r="I558">
        <f t="shared" si="413"/>
        <v>5.1413876207369027</v>
      </c>
      <c r="J558">
        <f t="shared" si="385"/>
        <v>70.858612379263093</v>
      </c>
      <c r="K558">
        <f t="shared" si="386"/>
        <v>81.141387620736907</v>
      </c>
      <c r="L558" t="str">
        <f t="shared" si="381"/>
        <v>5.14</v>
      </c>
      <c r="M558" t="str">
        <f t="shared" si="382"/>
        <v>70.86</v>
      </c>
      <c r="N558" t="str">
        <f t="shared" si="383"/>
        <v>76.00 [5.14, 70.86]</v>
      </c>
    </row>
    <row r="559" spans="1:14" x14ac:dyDescent="0.35">
      <c r="A559">
        <v>19</v>
      </c>
      <c r="B559">
        <v>84</v>
      </c>
      <c r="C559" t="s">
        <v>75</v>
      </c>
      <c r="D559" t="s">
        <v>39</v>
      </c>
      <c r="E559" t="s">
        <v>27</v>
      </c>
      <c r="F559">
        <v>85</v>
      </c>
      <c r="G559">
        <v>0</v>
      </c>
      <c r="H559">
        <v>0.217</v>
      </c>
      <c r="I559">
        <f t="shared" ref="I559" si="414">H559*1.96</f>
        <v>0.42531999999999998</v>
      </c>
      <c r="J559">
        <f t="shared" si="385"/>
        <v>-0.42531999999999998</v>
      </c>
      <c r="K559">
        <f t="shared" si="386"/>
        <v>0.42531999999999998</v>
      </c>
      <c r="L559" t="str">
        <f t="shared" si="381"/>
        <v>0.43</v>
      </c>
      <c r="M559" t="str">
        <f t="shared" si="382"/>
        <v>-0.43</v>
      </c>
      <c r="N559" t="str">
        <f t="shared" si="383"/>
        <v>0.00 [0.43, -0.43]</v>
      </c>
    </row>
    <row r="560" spans="1:14" x14ac:dyDescent="0.35">
      <c r="A560">
        <v>24</v>
      </c>
      <c r="B560">
        <v>85</v>
      </c>
      <c r="C560" t="s">
        <v>76</v>
      </c>
      <c r="D560" t="s">
        <v>8</v>
      </c>
      <c r="E560" t="s">
        <v>22</v>
      </c>
      <c r="F560">
        <v>32</v>
      </c>
      <c r="G560">
        <v>0</v>
      </c>
      <c r="H560">
        <v>0.09</v>
      </c>
      <c r="I560">
        <f t="shared" ref="I560:I561" si="415">H560/(SQRT(F560))*1.96</f>
        <v>3.1183409050326745E-2</v>
      </c>
      <c r="J560">
        <f t="shared" si="385"/>
        <v>-3.1183409050326745E-2</v>
      </c>
      <c r="K560">
        <f t="shared" si="386"/>
        <v>3.1183409050326745E-2</v>
      </c>
      <c r="L560" t="str">
        <f t="shared" si="381"/>
        <v>0.03</v>
      </c>
      <c r="M560" t="str">
        <f t="shared" si="382"/>
        <v>-0.03</v>
      </c>
      <c r="N560" t="str">
        <f t="shared" si="383"/>
        <v>0.00 [0.03, -0.03]</v>
      </c>
    </row>
    <row r="561" spans="1:14" x14ac:dyDescent="0.35">
      <c r="A561">
        <v>25</v>
      </c>
      <c r="B561">
        <v>85</v>
      </c>
      <c r="C561" t="s">
        <v>76</v>
      </c>
      <c r="D561" t="s">
        <v>10</v>
      </c>
      <c r="E561" t="s">
        <v>22</v>
      </c>
      <c r="F561">
        <v>32</v>
      </c>
      <c r="G561">
        <v>2</v>
      </c>
      <c r="H561">
        <v>0.47</v>
      </c>
      <c r="I561">
        <f t="shared" si="415"/>
        <v>0.16284669170726185</v>
      </c>
      <c r="J561">
        <f t="shared" si="385"/>
        <v>1.8371533082927383</v>
      </c>
      <c r="K561">
        <f t="shared" si="386"/>
        <v>2.1628466917072617</v>
      </c>
      <c r="L561" t="str">
        <f t="shared" si="381"/>
        <v>0.16</v>
      </c>
      <c r="M561" t="str">
        <f t="shared" si="382"/>
        <v>1.84</v>
      </c>
      <c r="N561" t="str">
        <f t="shared" si="383"/>
        <v>2.00 [0.16, 1.84]</v>
      </c>
    </row>
    <row r="562" spans="1:14" x14ac:dyDescent="0.35">
      <c r="A562">
        <v>7</v>
      </c>
      <c r="B562">
        <v>85</v>
      </c>
      <c r="C562" t="s">
        <v>76</v>
      </c>
      <c r="D562" t="s">
        <v>11</v>
      </c>
      <c r="E562" t="s">
        <v>22</v>
      </c>
      <c r="F562">
        <v>65</v>
      </c>
      <c r="G562">
        <v>0.188</v>
      </c>
      <c r="H562">
        <v>1.569899147503856</v>
      </c>
      <c r="I562">
        <f t="shared" ref="I562" si="416">H562*1.96</f>
        <v>3.0770023291075574</v>
      </c>
      <c r="J562">
        <f t="shared" si="385"/>
        <v>-2.8890023291075573</v>
      </c>
      <c r="K562">
        <f t="shared" si="386"/>
        <v>3.2650023291075576</v>
      </c>
      <c r="L562" t="str">
        <f t="shared" si="381"/>
        <v>3.08</v>
      </c>
      <c r="M562" t="str">
        <f t="shared" si="382"/>
        <v>-2.89</v>
      </c>
      <c r="N562" t="str">
        <f t="shared" si="383"/>
        <v>0.19 [3.08, -2.89]</v>
      </c>
    </row>
    <row r="563" spans="1:14" x14ac:dyDescent="0.35">
      <c r="A563">
        <v>112</v>
      </c>
      <c r="B563">
        <v>85</v>
      </c>
      <c r="C563" t="s">
        <v>76</v>
      </c>
      <c r="D563" t="s">
        <v>8</v>
      </c>
      <c r="E563" t="s">
        <v>27</v>
      </c>
      <c r="F563">
        <v>32</v>
      </c>
      <c r="G563">
        <v>89.4</v>
      </c>
      <c r="H563">
        <v>9.1999999999999993</v>
      </c>
      <c r="I563">
        <f t="shared" ref="I563:I564" si="417">H563/(SQRT(F563))*1.96</f>
        <v>3.1876373695889555</v>
      </c>
      <c r="J563">
        <f t="shared" si="385"/>
        <v>86.21236263041105</v>
      </c>
      <c r="K563">
        <f t="shared" si="386"/>
        <v>92.587637369588961</v>
      </c>
      <c r="L563" t="str">
        <f t="shared" si="381"/>
        <v>3.19</v>
      </c>
      <c r="M563" t="str">
        <f t="shared" si="382"/>
        <v>86.21</v>
      </c>
      <c r="N563" t="str">
        <f t="shared" si="383"/>
        <v>89.40 [3.19, 86.21]</v>
      </c>
    </row>
    <row r="564" spans="1:14" x14ac:dyDescent="0.35">
      <c r="A564">
        <v>113</v>
      </c>
      <c r="B564">
        <v>85</v>
      </c>
      <c r="C564" t="s">
        <v>76</v>
      </c>
      <c r="D564" t="s">
        <v>10</v>
      </c>
      <c r="E564" t="s">
        <v>27</v>
      </c>
      <c r="F564">
        <v>32</v>
      </c>
      <c r="G564">
        <v>94.8</v>
      </c>
      <c r="H564">
        <v>6.4</v>
      </c>
      <c r="I564">
        <f t="shared" si="417"/>
        <v>2.2174868658010132</v>
      </c>
      <c r="J564">
        <f t="shared" si="385"/>
        <v>92.58251313419899</v>
      </c>
      <c r="K564">
        <f t="shared" si="386"/>
        <v>97.017486865801004</v>
      </c>
      <c r="L564" t="str">
        <f t="shared" si="381"/>
        <v>2.22</v>
      </c>
      <c r="M564" t="str">
        <f t="shared" si="382"/>
        <v>92.58</v>
      </c>
      <c r="N564" t="str">
        <f t="shared" si="383"/>
        <v>94.80 [2.22, 92.58]</v>
      </c>
    </row>
    <row r="565" spans="1:14" x14ac:dyDescent="0.35">
      <c r="A565">
        <v>20</v>
      </c>
      <c r="B565">
        <v>85</v>
      </c>
      <c r="C565" t="s">
        <v>76</v>
      </c>
      <c r="D565" t="s">
        <v>11</v>
      </c>
      <c r="E565" t="s">
        <v>27</v>
      </c>
      <c r="F565">
        <v>64</v>
      </c>
      <c r="G565">
        <v>0.68100000000000005</v>
      </c>
      <c r="H565">
        <v>0.25700000000000001</v>
      </c>
      <c r="I565">
        <f t="shared" ref="I565" si="418">H565*1.96</f>
        <v>0.50372000000000006</v>
      </c>
      <c r="J565">
        <f t="shared" si="385"/>
        <v>0.17727999999999999</v>
      </c>
      <c r="K565">
        <f t="shared" si="386"/>
        <v>1.18472</v>
      </c>
      <c r="L565" t="str">
        <f t="shared" si="381"/>
        <v>0.50</v>
      </c>
      <c r="M565" t="str">
        <f t="shared" si="382"/>
        <v>0.18</v>
      </c>
      <c r="N565" t="str">
        <f t="shared" si="383"/>
        <v>0.68 [0.50, 0.18]</v>
      </c>
    </row>
    <row r="566" spans="1:14" x14ac:dyDescent="0.35">
      <c r="A566">
        <v>214</v>
      </c>
      <c r="B566">
        <v>85</v>
      </c>
      <c r="C566" t="s">
        <v>76</v>
      </c>
      <c r="D566" t="s">
        <v>8</v>
      </c>
      <c r="E566" t="s">
        <v>13</v>
      </c>
      <c r="F566">
        <v>32</v>
      </c>
      <c r="G566">
        <v>0</v>
      </c>
      <c r="H566">
        <v>0.8</v>
      </c>
      <c r="I566">
        <f t="shared" ref="I566:I567" si="419">H566/(SQRT(F566))*1.96</f>
        <v>0.27718585822512665</v>
      </c>
      <c r="J566">
        <f t="shared" si="385"/>
        <v>-0.27718585822512665</v>
      </c>
      <c r="K566">
        <f t="shared" si="386"/>
        <v>0.27718585822512665</v>
      </c>
      <c r="L566" t="str">
        <f t="shared" si="381"/>
        <v>0.28</v>
      </c>
      <c r="M566" t="str">
        <f t="shared" si="382"/>
        <v>-0.28</v>
      </c>
      <c r="N566" t="str">
        <f t="shared" si="383"/>
        <v>0.00 [0.28, -0.28]</v>
      </c>
    </row>
    <row r="567" spans="1:14" x14ac:dyDescent="0.35">
      <c r="A567">
        <v>215</v>
      </c>
      <c r="B567">
        <v>85</v>
      </c>
      <c r="C567" t="s">
        <v>76</v>
      </c>
      <c r="D567" t="s">
        <v>10</v>
      </c>
      <c r="E567" t="s">
        <v>13</v>
      </c>
      <c r="F567">
        <v>32</v>
      </c>
      <c r="G567">
        <v>0.3</v>
      </c>
      <c r="H567">
        <v>0.7</v>
      </c>
      <c r="I567">
        <f t="shared" si="419"/>
        <v>0.24253762594698575</v>
      </c>
      <c r="J567">
        <f t="shared" si="385"/>
        <v>5.7462374053014242E-2</v>
      </c>
      <c r="K567">
        <f t="shared" si="386"/>
        <v>0.54253762594698574</v>
      </c>
      <c r="L567" t="str">
        <f t="shared" si="381"/>
        <v>0.24</v>
      </c>
      <c r="M567" t="str">
        <f t="shared" si="382"/>
        <v>0.06</v>
      </c>
      <c r="N567" t="str">
        <f t="shared" si="383"/>
        <v>0.30 [0.24, 0.06]</v>
      </c>
    </row>
    <row r="568" spans="1:14" x14ac:dyDescent="0.35">
      <c r="A568">
        <v>28</v>
      </c>
      <c r="B568">
        <v>85</v>
      </c>
      <c r="C568" t="s">
        <v>76</v>
      </c>
      <c r="D568" t="s">
        <v>11</v>
      </c>
      <c r="E568" t="s">
        <v>13</v>
      </c>
      <c r="F568">
        <v>64</v>
      </c>
      <c r="G568">
        <v>0.39900000000000002</v>
      </c>
      <c r="H568">
        <v>0.253</v>
      </c>
      <c r="I568">
        <f t="shared" ref="I568" si="420">H568*1.96</f>
        <v>0.49587999999999999</v>
      </c>
      <c r="J568">
        <f t="shared" si="385"/>
        <v>-9.6879999999999966E-2</v>
      </c>
      <c r="K568">
        <f t="shared" si="386"/>
        <v>0.89488000000000001</v>
      </c>
      <c r="L568" t="str">
        <f t="shared" si="381"/>
        <v>0.50</v>
      </c>
      <c r="M568" t="str">
        <f t="shared" si="382"/>
        <v>-0.10</v>
      </c>
      <c r="N568" t="str">
        <f t="shared" si="383"/>
        <v>0.40 [0.50, -0.10]</v>
      </c>
    </row>
    <row r="569" spans="1:14" x14ac:dyDescent="0.35">
      <c r="A569">
        <v>26</v>
      </c>
      <c r="B569">
        <v>87</v>
      </c>
      <c r="C569" t="s">
        <v>77</v>
      </c>
      <c r="D569" t="s">
        <v>8</v>
      </c>
      <c r="E569" t="s">
        <v>22</v>
      </c>
      <c r="F569">
        <v>273</v>
      </c>
      <c r="G569">
        <v>12</v>
      </c>
      <c r="H569">
        <v>0.79</v>
      </c>
      <c r="I569">
        <f t="shared" ref="I569:I570" si="421">H569/(SQRT(F569))*1.96</f>
        <v>9.3713431158437388E-2</v>
      </c>
      <c r="J569">
        <f t="shared" si="385"/>
        <v>11.906286568841562</v>
      </c>
      <c r="K569">
        <f t="shared" si="386"/>
        <v>12.093713431158438</v>
      </c>
      <c r="L569" t="str">
        <f t="shared" si="381"/>
        <v>0.09</v>
      </c>
      <c r="M569" t="str">
        <f t="shared" si="382"/>
        <v>11.91</v>
      </c>
      <c r="N569" t="str">
        <f t="shared" si="383"/>
        <v>12.00 [0.09, 11.91]</v>
      </c>
    </row>
    <row r="570" spans="1:14" x14ac:dyDescent="0.35">
      <c r="A570">
        <v>27</v>
      </c>
      <c r="B570">
        <v>87</v>
      </c>
      <c r="C570" t="s">
        <v>77</v>
      </c>
      <c r="D570" t="s">
        <v>10</v>
      </c>
      <c r="E570" t="s">
        <v>22</v>
      </c>
      <c r="F570">
        <v>283</v>
      </c>
      <c r="G570">
        <v>12</v>
      </c>
      <c r="H570">
        <v>0.78</v>
      </c>
      <c r="I570">
        <f t="shared" si="421"/>
        <v>9.087772704070457E-2</v>
      </c>
      <c r="J570">
        <f t="shared" si="385"/>
        <v>11.909122272959296</v>
      </c>
      <c r="K570">
        <f t="shared" si="386"/>
        <v>12.090877727040704</v>
      </c>
      <c r="L570" t="str">
        <f t="shared" si="381"/>
        <v>0.09</v>
      </c>
      <c r="M570" t="str">
        <f t="shared" si="382"/>
        <v>11.91</v>
      </c>
      <c r="N570" t="str">
        <f t="shared" si="383"/>
        <v>12.00 [0.09, 11.91]</v>
      </c>
    </row>
    <row r="571" spans="1:14" x14ac:dyDescent="0.35">
      <c r="A571">
        <v>8</v>
      </c>
      <c r="B571">
        <v>87</v>
      </c>
      <c r="C571" t="s">
        <v>77</v>
      </c>
      <c r="D571" t="s">
        <v>11</v>
      </c>
      <c r="E571" t="s">
        <v>22</v>
      </c>
      <c r="F571">
        <v>557</v>
      </c>
      <c r="G571">
        <v>1.038</v>
      </c>
      <c r="H571">
        <v>0.40929384862820761</v>
      </c>
      <c r="I571">
        <f t="shared" ref="I571" si="422">H571*1.96</f>
        <v>0.80221594331128687</v>
      </c>
      <c r="J571">
        <f t="shared" si="385"/>
        <v>0.23578405668871316</v>
      </c>
      <c r="K571">
        <f t="shared" si="386"/>
        <v>1.840215943311287</v>
      </c>
      <c r="L571" t="str">
        <f t="shared" si="381"/>
        <v>0.80</v>
      </c>
      <c r="M571" t="str">
        <f t="shared" si="382"/>
        <v>0.24</v>
      </c>
      <c r="N571" t="str">
        <f t="shared" si="383"/>
        <v>1.04 [0.80, 0.24]</v>
      </c>
    </row>
    <row r="572" spans="1:14" x14ac:dyDescent="0.35">
      <c r="A572">
        <v>114</v>
      </c>
      <c r="B572">
        <v>87</v>
      </c>
      <c r="C572" t="s">
        <v>77</v>
      </c>
      <c r="D572" t="s">
        <v>8</v>
      </c>
      <c r="E572" t="s">
        <v>27</v>
      </c>
      <c r="F572">
        <v>296</v>
      </c>
      <c r="G572">
        <v>89.4</v>
      </c>
      <c r="H572">
        <v>10.9</v>
      </c>
      <c r="I572">
        <f t="shared" ref="I572:I573" si="423">H572/(SQRT(F572))*1.96</f>
        <v>1.2417572770614775</v>
      </c>
      <c r="J572">
        <f t="shared" si="385"/>
        <v>88.158242722938525</v>
      </c>
      <c r="K572">
        <f t="shared" si="386"/>
        <v>90.641757277061487</v>
      </c>
      <c r="L572" t="str">
        <f t="shared" si="381"/>
        <v>1.24</v>
      </c>
      <c r="M572" t="str">
        <f t="shared" si="382"/>
        <v>88.16</v>
      </c>
      <c r="N572" t="str">
        <f t="shared" si="383"/>
        <v>89.40 [1.24, 88.16]</v>
      </c>
    </row>
    <row r="573" spans="1:14" x14ac:dyDescent="0.35">
      <c r="A573">
        <v>115</v>
      </c>
      <c r="B573">
        <v>87</v>
      </c>
      <c r="C573" t="s">
        <v>77</v>
      </c>
      <c r="D573" t="s">
        <v>10</v>
      </c>
      <c r="E573" t="s">
        <v>27</v>
      </c>
      <c r="F573">
        <v>297</v>
      </c>
      <c r="G573">
        <v>91</v>
      </c>
      <c r="H573">
        <v>10.3</v>
      </c>
      <c r="I573">
        <f t="shared" si="423"/>
        <v>1.1714265728112094</v>
      </c>
      <c r="J573">
        <f t="shared" si="385"/>
        <v>89.828573427188786</v>
      </c>
      <c r="K573">
        <f t="shared" si="386"/>
        <v>92.171426572811214</v>
      </c>
      <c r="L573" t="str">
        <f t="shared" si="381"/>
        <v>1.17</v>
      </c>
      <c r="M573" t="str">
        <f t="shared" si="382"/>
        <v>89.83</v>
      </c>
      <c r="N573" t="str">
        <f t="shared" si="383"/>
        <v>91.00 [1.17, 89.83]</v>
      </c>
    </row>
    <row r="574" spans="1:14" x14ac:dyDescent="0.35">
      <c r="A574">
        <v>21</v>
      </c>
      <c r="B574">
        <v>87</v>
      </c>
      <c r="C574" t="s">
        <v>77</v>
      </c>
      <c r="D574" t="s">
        <v>11</v>
      </c>
      <c r="E574" t="s">
        <v>27</v>
      </c>
      <c r="F574">
        <v>593</v>
      </c>
      <c r="G574">
        <v>0.151</v>
      </c>
      <c r="H574">
        <v>8.2000000000000003E-2</v>
      </c>
      <c r="I574">
        <f t="shared" ref="I574" si="424">H574*1.96</f>
        <v>0.16072</v>
      </c>
      <c r="J574">
        <f t="shared" si="385"/>
        <v>-9.7200000000000064E-3</v>
      </c>
      <c r="K574">
        <f t="shared" si="386"/>
        <v>0.31172</v>
      </c>
      <c r="L574" t="str">
        <f t="shared" si="381"/>
        <v>0.16</v>
      </c>
      <c r="M574" t="str">
        <f t="shared" si="382"/>
        <v>-0.01</v>
      </c>
      <c r="N574" t="str">
        <f t="shared" si="383"/>
        <v>0.15 [0.16, -0.01]</v>
      </c>
    </row>
    <row r="575" spans="1:14" x14ac:dyDescent="0.35">
      <c r="A575">
        <v>216</v>
      </c>
      <c r="B575">
        <v>87</v>
      </c>
      <c r="C575" t="s">
        <v>77</v>
      </c>
      <c r="D575" t="s">
        <v>8</v>
      </c>
      <c r="E575" t="s">
        <v>13</v>
      </c>
      <c r="F575">
        <v>296</v>
      </c>
      <c r="G575">
        <v>1.2</v>
      </c>
      <c r="H575">
        <v>1.4</v>
      </c>
      <c r="I575">
        <f t="shared" ref="I575:I576" si="425">H575/(SQRT(F575))*1.96</f>
        <v>0.15949176035652005</v>
      </c>
      <c r="J575">
        <f t="shared" si="385"/>
        <v>1.0405082396434799</v>
      </c>
      <c r="K575">
        <f t="shared" si="386"/>
        <v>1.35949176035652</v>
      </c>
      <c r="L575" t="str">
        <f t="shared" si="381"/>
        <v>0.16</v>
      </c>
      <c r="M575" t="str">
        <f t="shared" si="382"/>
        <v>1.04</v>
      </c>
      <c r="N575" t="str">
        <f t="shared" si="383"/>
        <v>1.20 [0.16, 1.04]</v>
      </c>
    </row>
    <row r="576" spans="1:14" x14ac:dyDescent="0.35">
      <c r="A576">
        <v>217</v>
      </c>
      <c r="B576">
        <v>87</v>
      </c>
      <c r="C576" t="s">
        <v>77</v>
      </c>
      <c r="D576" t="s">
        <v>10</v>
      </c>
      <c r="E576" t="s">
        <v>13</v>
      </c>
      <c r="F576">
        <v>297</v>
      </c>
      <c r="G576">
        <v>0.9</v>
      </c>
      <c r="H576">
        <v>1</v>
      </c>
      <c r="I576">
        <f t="shared" si="425"/>
        <v>0.11373073522438924</v>
      </c>
      <c r="J576">
        <f t="shared" si="385"/>
        <v>0.78626926477561077</v>
      </c>
      <c r="K576">
        <f t="shared" si="386"/>
        <v>1.0137307352243892</v>
      </c>
      <c r="L576" t="str">
        <f t="shared" si="381"/>
        <v>0.11</v>
      </c>
      <c r="M576" t="str">
        <f t="shared" si="382"/>
        <v>0.79</v>
      </c>
      <c r="N576" t="str">
        <f t="shared" si="383"/>
        <v>0.90 [0.11, 0.79]</v>
      </c>
    </row>
    <row r="577" spans="1:14" x14ac:dyDescent="0.35">
      <c r="A577">
        <v>29</v>
      </c>
      <c r="B577">
        <v>87</v>
      </c>
      <c r="C577" t="s">
        <v>77</v>
      </c>
      <c r="D577" t="s">
        <v>11</v>
      </c>
      <c r="E577" t="s">
        <v>13</v>
      </c>
      <c r="F577">
        <v>593</v>
      </c>
      <c r="G577">
        <v>0.247</v>
      </c>
      <c r="H577">
        <v>8.2000000000000003E-2</v>
      </c>
      <c r="I577">
        <f t="shared" ref="I577" si="426">H577*1.96</f>
        <v>0.16072</v>
      </c>
      <c r="J577">
        <f t="shared" si="385"/>
        <v>8.6279999999999996E-2</v>
      </c>
      <c r="K577">
        <f t="shared" si="386"/>
        <v>0.40771999999999997</v>
      </c>
      <c r="L577" t="str">
        <f t="shared" si="381"/>
        <v>0.16</v>
      </c>
      <c r="M577" t="str">
        <f t="shared" si="382"/>
        <v>0.09</v>
      </c>
      <c r="N577" t="str">
        <f t="shared" si="383"/>
        <v>0.25 [0.16, 0.09]</v>
      </c>
    </row>
    <row r="578" spans="1:14" x14ac:dyDescent="0.35">
      <c r="A578">
        <v>356</v>
      </c>
      <c r="B578">
        <v>87</v>
      </c>
      <c r="C578" t="s">
        <v>77</v>
      </c>
      <c r="D578" t="s">
        <v>8</v>
      </c>
      <c r="E578" t="s">
        <v>19</v>
      </c>
      <c r="F578">
        <v>296</v>
      </c>
      <c r="G578">
        <v>89</v>
      </c>
      <c r="H578">
        <v>12.4</v>
      </c>
      <c r="I578">
        <f t="shared" ref="I578:I579" si="427">H578/(SQRT(F578))*1.96</f>
        <v>1.4126413060148919</v>
      </c>
      <c r="J578">
        <f t="shared" si="385"/>
        <v>87.587358693985109</v>
      </c>
      <c r="K578">
        <f t="shared" si="386"/>
        <v>90.412641306014891</v>
      </c>
      <c r="L578" t="str">
        <f t="shared" si="381"/>
        <v>1.41</v>
      </c>
      <c r="M578" t="str">
        <f t="shared" si="382"/>
        <v>87.59</v>
      </c>
      <c r="N578" t="str">
        <f t="shared" si="383"/>
        <v>89.00 [1.41, 87.59]</v>
      </c>
    </row>
    <row r="579" spans="1:14" x14ac:dyDescent="0.35">
      <c r="A579">
        <v>357</v>
      </c>
      <c r="B579">
        <v>87</v>
      </c>
      <c r="C579" t="s">
        <v>77</v>
      </c>
      <c r="D579" t="s">
        <v>10</v>
      </c>
      <c r="E579" t="s">
        <v>19</v>
      </c>
      <c r="F579">
        <v>297</v>
      </c>
      <c r="G579">
        <v>91.1</v>
      </c>
      <c r="H579">
        <v>11.9</v>
      </c>
      <c r="I579">
        <f t="shared" si="427"/>
        <v>1.353395749170232</v>
      </c>
      <c r="J579">
        <f t="shared" si="385"/>
        <v>89.746604250829762</v>
      </c>
      <c r="K579">
        <f t="shared" si="386"/>
        <v>92.453395749170227</v>
      </c>
      <c r="L579" t="str">
        <f t="shared" ref="L579:L642" si="428">TEXT(I579,"#0.00")</f>
        <v>1.35</v>
      </c>
      <c r="M579" t="str">
        <f t="shared" ref="M579:M642" si="429">TEXT(J579,"#0.00")</f>
        <v>89.75</v>
      </c>
      <c r="N579" t="str">
        <f t="shared" ref="N579:N642" si="430">TEXT(G579,"#0.00")&amp;" ["&amp;L579&amp;", "&amp;M579&amp;"]"</f>
        <v>91.10 [1.35, 89.75]</v>
      </c>
    </row>
    <row r="580" spans="1:14" x14ac:dyDescent="0.35">
      <c r="A580">
        <v>26</v>
      </c>
      <c r="B580">
        <v>87</v>
      </c>
      <c r="C580" t="s">
        <v>77</v>
      </c>
      <c r="D580" t="s">
        <v>11</v>
      </c>
      <c r="E580" t="s">
        <v>19</v>
      </c>
      <c r="F580">
        <v>593</v>
      </c>
      <c r="G580">
        <v>0.17299999999999999</v>
      </c>
      <c r="H580">
        <v>8.2000000000000003E-2</v>
      </c>
      <c r="I580">
        <f t="shared" ref="I580" si="431">H580*1.96</f>
        <v>0.16072</v>
      </c>
      <c r="J580">
        <f t="shared" si="385"/>
        <v>1.2279999999999985E-2</v>
      </c>
      <c r="K580">
        <f t="shared" si="386"/>
        <v>0.33372000000000002</v>
      </c>
      <c r="L580" t="str">
        <f t="shared" si="428"/>
        <v>0.16</v>
      </c>
      <c r="M580" t="str">
        <f t="shared" si="429"/>
        <v>0.01</v>
      </c>
      <c r="N580" t="str">
        <f t="shared" si="430"/>
        <v>0.17 [0.16, 0.01]</v>
      </c>
    </row>
    <row r="581" spans="1:14" x14ac:dyDescent="0.35">
      <c r="A581">
        <v>482</v>
      </c>
      <c r="B581">
        <v>87</v>
      </c>
      <c r="C581" t="s">
        <v>77</v>
      </c>
      <c r="D581" t="s">
        <v>8</v>
      </c>
      <c r="E581" t="s">
        <v>9</v>
      </c>
      <c r="F581">
        <v>296</v>
      </c>
      <c r="G581">
        <v>6.6</v>
      </c>
      <c r="H581">
        <v>1.6</v>
      </c>
      <c r="I581">
        <f t="shared" ref="I581:I582" si="432">H581/(SQRT(F581))*1.96</f>
        <v>0.18227629755030866</v>
      </c>
      <c r="J581">
        <f t="shared" ref="J581:J644" si="433">G581-I581</f>
        <v>6.4177237024496909</v>
      </c>
      <c r="K581">
        <f t="shared" ref="K581:K644" si="434">G581+I581</f>
        <v>6.7822762975503084</v>
      </c>
      <c r="L581" t="str">
        <f t="shared" si="428"/>
        <v>0.18</v>
      </c>
      <c r="M581" t="str">
        <f t="shared" si="429"/>
        <v>6.42</v>
      </c>
      <c r="N581" t="str">
        <f t="shared" si="430"/>
        <v>6.60 [0.18, 6.42]</v>
      </c>
    </row>
    <row r="582" spans="1:14" x14ac:dyDescent="0.35">
      <c r="A582">
        <v>483</v>
      </c>
      <c r="B582">
        <v>87</v>
      </c>
      <c r="C582" t="s">
        <v>77</v>
      </c>
      <c r="D582" t="s">
        <v>10</v>
      </c>
      <c r="E582" t="s">
        <v>9</v>
      </c>
      <c r="F582">
        <v>297</v>
      </c>
      <c r="G582">
        <v>6.7</v>
      </c>
      <c r="H582">
        <v>1.7</v>
      </c>
      <c r="I582">
        <f t="shared" si="432"/>
        <v>0.19334224988146173</v>
      </c>
      <c r="J582">
        <f t="shared" si="433"/>
        <v>6.5066577501185385</v>
      </c>
      <c r="K582">
        <f t="shared" si="434"/>
        <v>6.8933422498814618</v>
      </c>
      <c r="L582" t="str">
        <f t="shared" si="428"/>
        <v>0.19</v>
      </c>
      <c r="M582" t="str">
        <f t="shared" si="429"/>
        <v>6.51</v>
      </c>
      <c r="N582" t="str">
        <f t="shared" si="430"/>
        <v>6.70 [0.19, 6.51]</v>
      </c>
    </row>
    <row r="583" spans="1:14" x14ac:dyDescent="0.35">
      <c r="A583">
        <v>19</v>
      </c>
      <c r="B583">
        <v>87</v>
      </c>
      <c r="C583" t="s">
        <v>77</v>
      </c>
      <c r="D583" t="s">
        <v>11</v>
      </c>
      <c r="E583" t="s">
        <v>9</v>
      </c>
      <c r="F583">
        <v>593</v>
      </c>
      <c r="G583">
        <v>6.0999999999999999E-2</v>
      </c>
      <c r="H583">
        <v>8.2000000000000003E-2</v>
      </c>
      <c r="I583">
        <f t="shared" ref="I583" si="435">H583*1.96</f>
        <v>0.16072</v>
      </c>
      <c r="J583">
        <f t="shared" si="433"/>
        <v>-9.9720000000000003E-2</v>
      </c>
      <c r="K583">
        <f t="shared" si="434"/>
        <v>0.22172</v>
      </c>
      <c r="L583" t="str">
        <f t="shared" si="428"/>
        <v>0.16</v>
      </c>
      <c r="M583" t="str">
        <f t="shared" si="429"/>
        <v>-0.10</v>
      </c>
      <c r="N583" t="str">
        <f t="shared" si="430"/>
        <v>0.06 [0.16, -0.10]</v>
      </c>
    </row>
    <row r="584" spans="1:14" x14ac:dyDescent="0.35">
      <c r="A584">
        <v>116</v>
      </c>
      <c r="B584">
        <v>89</v>
      </c>
      <c r="C584" t="s">
        <v>78</v>
      </c>
      <c r="D584" t="s">
        <v>10</v>
      </c>
      <c r="E584" t="s">
        <v>27</v>
      </c>
      <c r="F584">
        <v>16</v>
      </c>
      <c r="G584">
        <v>90.13</v>
      </c>
      <c r="H584">
        <v>6.99</v>
      </c>
      <c r="I584">
        <f t="shared" ref="I584:I585" si="436">H584/(SQRT(F584))*1.96</f>
        <v>3.4251</v>
      </c>
      <c r="J584">
        <f t="shared" si="433"/>
        <v>86.704899999999995</v>
      </c>
      <c r="K584">
        <f t="shared" si="434"/>
        <v>93.555099999999996</v>
      </c>
      <c r="L584" t="str">
        <f t="shared" si="428"/>
        <v>3.43</v>
      </c>
      <c r="M584" t="str">
        <f t="shared" si="429"/>
        <v>86.70</v>
      </c>
      <c r="N584" t="str">
        <f t="shared" si="430"/>
        <v>90.13 [3.43, 86.70]</v>
      </c>
    </row>
    <row r="585" spans="1:14" x14ac:dyDescent="0.35">
      <c r="A585">
        <v>117</v>
      </c>
      <c r="B585">
        <v>89</v>
      </c>
      <c r="C585" t="s">
        <v>78</v>
      </c>
      <c r="D585" t="s">
        <v>28</v>
      </c>
      <c r="E585" t="s">
        <v>27</v>
      </c>
      <c r="F585">
        <v>17</v>
      </c>
      <c r="G585">
        <v>87.12</v>
      </c>
      <c r="H585">
        <v>6.61</v>
      </c>
      <c r="I585">
        <f t="shared" si="436"/>
        <v>3.1421945437207155</v>
      </c>
      <c r="J585">
        <f t="shared" si="433"/>
        <v>83.977805456279285</v>
      </c>
      <c r="K585">
        <f t="shared" si="434"/>
        <v>90.262194543720724</v>
      </c>
      <c r="L585" t="str">
        <f t="shared" si="428"/>
        <v>3.14</v>
      </c>
      <c r="M585" t="str">
        <f t="shared" si="429"/>
        <v>83.98</v>
      </c>
      <c r="N585" t="str">
        <f t="shared" si="430"/>
        <v>87.12 [3.14, 83.98]</v>
      </c>
    </row>
    <row r="586" spans="1:14" x14ac:dyDescent="0.35">
      <c r="A586">
        <v>22</v>
      </c>
      <c r="B586">
        <v>89</v>
      </c>
      <c r="C586" t="s">
        <v>78</v>
      </c>
      <c r="D586" t="s">
        <v>39</v>
      </c>
      <c r="E586" t="s">
        <v>27</v>
      </c>
      <c r="F586">
        <v>33</v>
      </c>
      <c r="G586">
        <v>0.443</v>
      </c>
      <c r="H586">
        <v>0.35299999999999998</v>
      </c>
      <c r="I586">
        <f t="shared" ref="I586" si="437">H586*1.96</f>
        <v>0.69187999999999994</v>
      </c>
      <c r="J586">
        <f t="shared" si="433"/>
        <v>-0.24887999999999993</v>
      </c>
      <c r="K586">
        <f t="shared" si="434"/>
        <v>1.1348799999999999</v>
      </c>
      <c r="L586" t="str">
        <f t="shared" si="428"/>
        <v>0.69</v>
      </c>
      <c r="M586" t="str">
        <f t="shared" si="429"/>
        <v>-0.25</v>
      </c>
      <c r="N586" t="str">
        <f t="shared" si="430"/>
        <v>0.44 [0.69, -0.25]</v>
      </c>
    </row>
    <row r="587" spans="1:14" x14ac:dyDescent="0.35">
      <c r="A587">
        <v>358</v>
      </c>
      <c r="B587">
        <v>89</v>
      </c>
      <c r="C587" t="s">
        <v>78</v>
      </c>
      <c r="D587" t="s">
        <v>10</v>
      </c>
      <c r="E587" t="s">
        <v>19</v>
      </c>
      <c r="F587">
        <v>16</v>
      </c>
      <c r="G587">
        <v>90.06</v>
      </c>
      <c r="H587">
        <v>7.33</v>
      </c>
      <c r="I587">
        <f t="shared" ref="I587:I588" si="438">H587/(SQRT(F587))*1.96</f>
        <v>3.5916999999999999</v>
      </c>
      <c r="J587">
        <f t="shared" si="433"/>
        <v>86.468299999999999</v>
      </c>
      <c r="K587">
        <f t="shared" si="434"/>
        <v>93.651700000000005</v>
      </c>
      <c r="L587" t="str">
        <f t="shared" si="428"/>
        <v>3.59</v>
      </c>
      <c r="M587" t="str">
        <f t="shared" si="429"/>
        <v>86.47</v>
      </c>
      <c r="N587" t="str">
        <f t="shared" si="430"/>
        <v>90.06 [3.59, 86.47]</v>
      </c>
    </row>
    <row r="588" spans="1:14" x14ac:dyDescent="0.35">
      <c r="A588">
        <v>359</v>
      </c>
      <c r="B588">
        <v>89</v>
      </c>
      <c r="C588" t="s">
        <v>78</v>
      </c>
      <c r="D588" t="s">
        <v>28</v>
      </c>
      <c r="E588" t="s">
        <v>19</v>
      </c>
      <c r="F588">
        <v>17</v>
      </c>
      <c r="G588">
        <v>90</v>
      </c>
      <c r="H588">
        <v>4.26</v>
      </c>
      <c r="I588">
        <f t="shared" si="438"/>
        <v>2.0250754548033658</v>
      </c>
      <c r="J588">
        <f t="shared" si="433"/>
        <v>87.974924545196629</v>
      </c>
      <c r="K588">
        <f t="shared" si="434"/>
        <v>92.025075454803371</v>
      </c>
      <c r="L588" t="str">
        <f t="shared" si="428"/>
        <v>2.03</v>
      </c>
      <c r="M588" t="str">
        <f t="shared" si="429"/>
        <v>87.97</v>
      </c>
      <c r="N588" t="str">
        <f t="shared" si="430"/>
        <v>90.00 [2.03, 87.97]</v>
      </c>
    </row>
    <row r="589" spans="1:14" x14ac:dyDescent="0.35">
      <c r="A589">
        <v>27</v>
      </c>
      <c r="B589">
        <v>89</v>
      </c>
      <c r="C589" t="s">
        <v>78</v>
      </c>
      <c r="D589" t="s">
        <v>39</v>
      </c>
      <c r="E589" t="s">
        <v>19</v>
      </c>
      <c r="F589">
        <v>33</v>
      </c>
      <c r="G589">
        <v>0.01</v>
      </c>
      <c r="H589">
        <v>0.34799999999999998</v>
      </c>
      <c r="I589">
        <f t="shared" ref="I589" si="439">H589*1.96</f>
        <v>0.68207999999999991</v>
      </c>
      <c r="J589">
        <f t="shared" si="433"/>
        <v>-0.6720799999999999</v>
      </c>
      <c r="K589">
        <f t="shared" si="434"/>
        <v>0.69207999999999992</v>
      </c>
      <c r="L589" t="str">
        <f t="shared" si="428"/>
        <v>0.68</v>
      </c>
      <c r="M589" t="str">
        <f t="shared" si="429"/>
        <v>-0.67</v>
      </c>
      <c r="N589" t="str">
        <f t="shared" si="430"/>
        <v>0.01 [0.68, -0.67]</v>
      </c>
    </row>
    <row r="590" spans="1:14" x14ac:dyDescent="0.35">
      <c r="A590">
        <v>28</v>
      </c>
      <c r="B590">
        <v>90</v>
      </c>
      <c r="C590" t="s">
        <v>79</v>
      </c>
      <c r="D590" t="s">
        <v>8</v>
      </c>
      <c r="E590" t="s">
        <v>22</v>
      </c>
      <c r="F590">
        <v>32</v>
      </c>
      <c r="G590">
        <v>3</v>
      </c>
      <c r="H590">
        <v>0.68</v>
      </c>
      <c r="I590">
        <f t="shared" ref="I590:I591" si="440">H590/(SQRT(F590))*1.96</f>
        <v>0.23560797949135764</v>
      </c>
      <c r="J590">
        <f t="shared" si="433"/>
        <v>2.7643920205086423</v>
      </c>
      <c r="K590">
        <f t="shared" si="434"/>
        <v>3.2356079794913577</v>
      </c>
      <c r="L590" t="str">
        <f t="shared" si="428"/>
        <v>0.24</v>
      </c>
      <c r="M590" t="str">
        <f t="shared" si="429"/>
        <v>2.76</v>
      </c>
      <c r="N590" t="str">
        <f t="shared" si="430"/>
        <v>3.00 [0.24, 2.76]</v>
      </c>
    </row>
    <row r="591" spans="1:14" x14ac:dyDescent="0.35">
      <c r="A591">
        <v>29</v>
      </c>
      <c r="B591">
        <v>90</v>
      </c>
      <c r="C591" t="s">
        <v>79</v>
      </c>
      <c r="D591" t="s">
        <v>10</v>
      </c>
      <c r="E591" t="s">
        <v>22</v>
      </c>
      <c r="F591">
        <v>32</v>
      </c>
      <c r="G591">
        <v>4</v>
      </c>
      <c r="H591">
        <v>0.91</v>
      </c>
      <c r="I591">
        <f t="shared" si="440"/>
        <v>0.31529891373108154</v>
      </c>
      <c r="J591">
        <f t="shared" si="433"/>
        <v>3.6847010862689187</v>
      </c>
      <c r="K591">
        <f t="shared" si="434"/>
        <v>4.3152989137310813</v>
      </c>
      <c r="L591" t="str">
        <f t="shared" si="428"/>
        <v>0.32</v>
      </c>
      <c r="M591" t="str">
        <f t="shared" si="429"/>
        <v>3.68</v>
      </c>
      <c r="N591" t="str">
        <f t="shared" si="430"/>
        <v>4.00 [0.32, 3.68]</v>
      </c>
    </row>
    <row r="592" spans="1:14" x14ac:dyDescent="0.35">
      <c r="A592">
        <v>9</v>
      </c>
      <c r="B592">
        <v>90</v>
      </c>
      <c r="C592" t="s">
        <v>79</v>
      </c>
      <c r="D592" t="s">
        <v>11</v>
      </c>
      <c r="E592" t="s">
        <v>22</v>
      </c>
      <c r="F592">
        <v>65</v>
      </c>
      <c r="G592">
        <v>0.751</v>
      </c>
      <c r="H592">
        <v>0.76035094020556282</v>
      </c>
      <c r="I592">
        <f t="shared" ref="I592" si="441">H592*1.96</f>
        <v>1.4902878428029032</v>
      </c>
      <c r="J592">
        <f t="shared" si="433"/>
        <v>-0.73928784280290316</v>
      </c>
      <c r="K592">
        <f t="shared" si="434"/>
        <v>2.2412878428029033</v>
      </c>
      <c r="L592" t="str">
        <f t="shared" si="428"/>
        <v>1.49</v>
      </c>
      <c r="M592" t="str">
        <f t="shared" si="429"/>
        <v>-0.74</v>
      </c>
      <c r="N592" t="str">
        <f t="shared" si="430"/>
        <v>0.75 [1.49, -0.74]</v>
      </c>
    </row>
    <row r="593" spans="1:14" x14ac:dyDescent="0.35">
      <c r="A593">
        <v>360</v>
      </c>
      <c r="B593">
        <v>90</v>
      </c>
      <c r="C593" t="s">
        <v>79</v>
      </c>
      <c r="D593" t="s">
        <v>8</v>
      </c>
      <c r="E593" t="s">
        <v>19</v>
      </c>
      <c r="F593">
        <v>21</v>
      </c>
      <c r="G593">
        <v>90.3</v>
      </c>
      <c r="H593">
        <v>12.19</v>
      </c>
      <c r="I593">
        <f t="shared" ref="I593:I594" si="442">H593/(SQRT(F593))*1.96</f>
        <v>5.2137491206744242</v>
      </c>
      <c r="J593">
        <f t="shared" si="433"/>
        <v>85.086250879325576</v>
      </c>
      <c r="K593">
        <f t="shared" si="434"/>
        <v>95.513749120674419</v>
      </c>
      <c r="L593" t="str">
        <f t="shared" si="428"/>
        <v>5.21</v>
      </c>
      <c r="M593" t="str">
        <f t="shared" si="429"/>
        <v>85.09</v>
      </c>
      <c r="N593" t="str">
        <f t="shared" si="430"/>
        <v>90.30 [5.21, 85.09]</v>
      </c>
    </row>
    <row r="594" spans="1:14" x14ac:dyDescent="0.35">
      <c r="A594">
        <v>361</v>
      </c>
      <c r="B594">
        <v>90</v>
      </c>
      <c r="C594" t="s">
        <v>79</v>
      </c>
      <c r="D594" t="s">
        <v>10</v>
      </c>
      <c r="E594" t="s">
        <v>19</v>
      </c>
      <c r="F594">
        <v>23</v>
      </c>
      <c r="G594">
        <v>90.4</v>
      </c>
      <c r="H594">
        <v>12.75</v>
      </c>
      <c r="I594">
        <f t="shared" si="442"/>
        <v>5.2107752072862983</v>
      </c>
      <c r="J594">
        <f t="shared" si="433"/>
        <v>85.189224792713702</v>
      </c>
      <c r="K594">
        <f t="shared" si="434"/>
        <v>95.610775207286309</v>
      </c>
      <c r="L594" t="str">
        <f t="shared" si="428"/>
        <v>5.21</v>
      </c>
      <c r="M594" t="str">
        <f t="shared" si="429"/>
        <v>85.19</v>
      </c>
      <c r="N594" t="str">
        <f t="shared" si="430"/>
        <v>90.40 [5.21, 85.19]</v>
      </c>
    </row>
    <row r="595" spans="1:14" x14ac:dyDescent="0.35">
      <c r="A595">
        <v>28</v>
      </c>
      <c r="B595">
        <v>90</v>
      </c>
      <c r="C595" t="s">
        <v>79</v>
      </c>
      <c r="D595" t="s">
        <v>11</v>
      </c>
      <c r="E595" t="s">
        <v>19</v>
      </c>
      <c r="F595">
        <v>44</v>
      </c>
      <c r="G595">
        <v>8.0000000000000002E-3</v>
      </c>
      <c r="H595">
        <v>0.30199999999999999</v>
      </c>
      <c r="I595">
        <f t="shared" ref="I595" si="443">H595*1.96</f>
        <v>0.59192</v>
      </c>
      <c r="J595">
        <f t="shared" si="433"/>
        <v>-0.58391999999999999</v>
      </c>
      <c r="K595">
        <f t="shared" si="434"/>
        <v>0.59992000000000001</v>
      </c>
      <c r="L595" t="str">
        <f t="shared" si="428"/>
        <v>0.59</v>
      </c>
      <c r="M595" t="str">
        <f t="shared" si="429"/>
        <v>-0.58</v>
      </c>
      <c r="N595" t="str">
        <f t="shared" si="430"/>
        <v>0.01 [0.59, -0.58]</v>
      </c>
    </row>
    <row r="596" spans="1:14" x14ac:dyDescent="0.35">
      <c r="A596">
        <v>484</v>
      </c>
      <c r="B596">
        <v>90</v>
      </c>
      <c r="C596" t="s">
        <v>79</v>
      </c>
      <c r="D596" t="s">
        <v>8</v>
      </c>
      <c r="E596" t="s">
        <v>9</v>
      </c>
      <c r="F596">
        <v>20</v>
      </c>
      <c r="G596">
        <v>6.8</v>
      </c>
      <c r="H596">
        <v>3.27</v>
      </c>
      <c r="I596">
        <f t="shared" ref="I596:I597" si="444">H596/(SQRT(F596))*1.96</f>
        <v>1.4331406881391651</v>
      </c>
      <c r="J596">
        <f t="shared" si="433"/>
        <v>5.3668593118608348</v>
      </c>
      <c r="K596">
        <f t="shared" si="434"/>
        <v>8.2331406881391658</v>
      </c>
      <c r="L596" t="str">
        <f t="shared" si="428"/>
        <v>1.43</v>
      </c>
      <c r="M596" t="str">
        <f t="shared" si="429"/>
        <v>5.37</v>
      </c>
      <c r="N596" t="str">
        <f t="shared" si="430"/>
        <v>6.80 [1.43, 5.37]</v>
      </c>
    </row>
    <row r="597" spans="1:14" x14ac:dyDescent="0.35">
      <c r="A597">
        <v>485</v>
      </c>
      <c r="B597">
        <v>90</v>
      </c>
      <c r="C597" t="s">
        <v>79</v>
      </c>
      <c r="D597" t="s">
        <v>10</v>
      </c>
      <c r="E597" t="s">
        <v>9</v>
      </c>
      <c r="F597">
        <v>24</v>
      </c>
      <c r="G597">
        <v>5.3</v>
      </c>
      <c r="H597">
        <v>3.58</v>
      </c>
      <c r="I597">
        <f t="shared" si="444"/>
        <v>1.4322983022634173</v>
      </c>
      <c r="J597">
        <f t="shared" si="433"/>
        <v>3.8677016977365826</v>
      </c>
      <c r="K597">
        <f t="shared" si="434"/>
        <v>6.7322983022634171</v>
      </c>
      <c r="L597" t="str">
        <f t="shared" si="428"/>
        <v>1.43</v>
      </c>
      <c r="M597" t="str">
        <f t="shared" si="429"/>
        <v>3.87</v>
      </c>
      <c r="N597" t="str">
        <f t="shared" si="430"/>
        <v>5.30 [1.43, 3.87]</v>
      </c>
    </row>
    <row r="598" spans="1:14" x14ac:dyDescent="0.35">
      <c r="A598">
        <v>20</v>
      </c>
      <c r="B598">
        <v>90</v>
      </c>
      <c r="C598" t="s">
        <v>79</v>
      </c>
      <c r="D598" t="s">
        <v>11</v>
      </c>
      <c r="E598" t="s">
        <v>9</v>
      </c>
      <c r="F598">
        <v>44</v>
      </c>
      <c r="G598">
        <v>0.436</v>
      </c>
      <c r="H598">
        <v>0.30599999999999999</v>
      </c>
      <c r="I598">
        <f t="shared" ref="I598" si="445">H598*1.96</f>
        <v>0.59975999999999996</v>
      </c>
      <c r="J598">
        <f t="shared" si="433"/>
        <v>-0.16375999999999996</v>
      </c>
      <c r="K598">
        <f t="shared" si="434"/>
        <v>1.03576</v>
      </c>
      <c r="L598" t="str">
        <f t="shared" si="428"/>
        <v>0.60</v>
      </c>
      <c r="M598" t="str">
        <f t="shared" si="429"/>
        <v>-0.16</v>
      </c>
      <c r="N598" t="str">
        <f t="shared" si="430"/>
        <v>0.44 [0.60, -0.16]</v>
      </c>
    </row>
    <row r="599" spans="1:14" x14ac:dyDescent="0.35">
      <c r="A599">
        <v>118</v>
      </c>
      <c r="B599">
        <v>93</v>
      </c>
      <c r="C599" t="s">
        <v>81</v>
      </c>
      <c r="D599" t="s">
        <v>10</v>
      </c>
      <c r="E599" t="s">
        <v>27</v>
      </c>
      <c r="F599">
        <v>14</v>
      </c>
      <c r="G599">
        <v>90</v>
      </c>
      <c r="H599">
        <v>1.76</v>
      </c>
      <c r="I599">
        <f t="shared" ref="I599:I600" si="446">H599/(SQRT(F599))*1.96</f>
        <v>0.92194438010109914</v>
      </c>
      <c r="J599">
        <f t="shared" si="433"/>
        <v>89.078055619898905</v>
      </c>
      <c r="K599">
        <f t="shared" si="434"/>
        <v>90.921944380101095</v>
      </c>
      <c r="L599" t="str">
        <f t="shared" si="428"/>
        <v>0.92</v>
      </c>
      <c r="M599" t="str">
        <f t="shared" si="429"/>
        <v>89.08</v>
      </c>
      <c r="N599" t="str">
        <f t="shared" si="430"/>
        <v>90.00 [0.92, 89.08]</v>
      </c>
    </row>
    <row r="600" spans="1:14" x14ac:dyDescent="0.35">
      <c r="A600">
        <v>119</v>
      </c>
      <c r="B600">
        <v>93</v>
      </c>
      <c r="C600" t="s">
        <v>81</v>
      </c>
      <c r="D600" t="s">
        <v>28</v>
      </c>
      <c r="E600" t="s">
        <v>27</v>
      </c>
      <c r="F600">
        <v>14</v>
      </c>
      <c r="G600">
        <v>88.17</v>
      </c>
      <c r="H600">
        <v>2.4900000000000002</v>
      </c>
      <c r="I600">
        <f t="shared" si="446"/>
        <v>1.304341765029396</v>
      </c>
      <c r="J600">
        <f t="shared" si="433"/>
        <v>86.86565823497061</v>
      </c>
      <c r="K600">
        <f t="shared" si="434"/>
        <v>89.474341765029394</v>
      </c>
      <c r="L600" t="str">
        <f t="shared" si="428"/>
        <v>1.30</v>
      </c>
      <c r="M600" t="str">
        <f t="shared" si="429"/>
        <v>86.87</v>
      </c>
      <c r="N600" t="str">
        <f t="shared" si="430"/>
        <v>88.17 [1.30, 86.87]</v>
      </c>
    </row>
    <row r="601" spans="1:14" x14ac:dyDescent="0.35">
      <c r="A601">
        <v>23</v>
      </c>
      <c r="B601">
        <v>93</v>
      </c>
      <c r="C601" t="s">
        <v>81</v>
      </c>
      <c r="D601" t="s">
        <v>39</v>
      </c>
      <c r="E601" t="s">
        <v>27</v>
      </c>
      <c r="F601">
        <v>28</v>
      </c>
      <c r="G601">
        <v>0.84899999999999998</v>
      </c>
      <c r="H601">
        <v>0.39600000000000002</v>
      </c>
      <c r="I601">
        <f t="shared" ref="I601" si="447">H601*1.96</f>
        <v>0.77616000000000007</v>
      </c>
      <c r="J601">
        <f t="shared" si="433"/>
        <v>7.2839999999999905E-2</v>
      </c>
      <c r="K601">
        <f t="shared" si="434"/>
        <v>1.6251600000000002</v>
      </c>
      <c r="L601" t="str">
        <f t="shared" si="428"/>
        <v>0.78</v>
      </c>
      <c r="M601" t="str">
        <f t="shared" si="429"/>
        <v>0.07</v>
      </c>
      <c r="N601" t="str">
        <f t="shared" si="430"/>
        <v>0.85 [0.78, 0.07]</v>
      </c>
    </row>
    <row r="602" spans="1:14" x14ac:dyDescent="0.35">
      <c r="A602">
        <v>362</v>
      </c>
      <c r="B602">
        <v>93</v>
      </c>
      <c r="C602" t="s">
        <v>80</v>
      </c>
      <c r="D602" t="s">
        <v>8</v>
      </c>
      <c r="E602" t="s">
        <v>19</v>
      </c>
      <c r="F602">
        <v>14</v>
      </c>
      <c r="G602">
        <v>96</v>
      </c>
      <c r="H602">
        <v>2.93</v>
      </c>
      <c r="I602">
        <f t="shared" ref="I602:I603" si="448">H602/(SQRT(F602))*1.96</f>
        <v>1.5348278600546708</v>
      </c>
      <c r="J602">
        <f t="shared" si="433"/>
        <v>94.465172139945324</v>
      </c>
      <c r="K602">
        <f t="shared" si="434"/>
        <v>97.534827860054676</v>
      </c>
      <c r="L602" t="str">
        <f t="shared" si="428"/>
        <v>1.53</v>
      </c>
      <c r="M602" t="str">
        <f t="shared" si="429"/>
        <v>94.47</v>
      </c>
      <c r="N602" t="str">
        <f t="shared" si="430"/>
        <v>96.00 [1.53, 94.47]</v>
      </c>
    </row>
    <row r="603" spans="1:14" x14ac:dyDescent="0.35">
      <c r="A603">
        <v>363</v>
      </c>
      <c r="B603">
        <v>93</v>
      </c>
      <c r="C603" t="s">
        <v>80</v>
      </c>
      <c r="D603" t="s">
        <v>28</v>
      </c>
      <c r="E603" t="s">
        <v>19</v>
      </c>
      <c r="F603">
        <v>14</v>
      </c>
      <c r="G603">
        <v>95.33</v>
      </c>
      <c r="H603">
        <v>2.64</v>
      </c>
      <c r="I603">
        <f t="shared" si="448"/>
        <v>1.3829165701516488</v>
      </c>
      <c r="J603">
        <f t="shared" si="433"/>
        <v>93.947083429848348</v>
      </c>
      <c r="K603">
        <f t="shared" si="434"/>
        <v>96.712916570151648</v>
      </c>
      <c r="L603" t="str">
        <f t="shared" si="428"/>
        <v>1.38</v>
      </c>
      <c r="M603" t="str">
        <f t="shared" si="429"/>
        <v>93.95</v>
      </c>
      <c r="N603" t="str">
        <f t="shared" si="430"/>
        <v>95.33 [1.38, 93.95]</v>
      </c>
    </row>
    <row r="604" spans="1:14" x14ac:dyDescent="0.35">
      <c r="A604">
        <v>29</v>
      </c>
      <c r="B604">
        <v>93</v>
      </c>
      <c r="C604" t="s">
        <v>80</v>
      </c>
      <c r="D604" t="s">
        <v>26</v>
      </c>
      <c r="E604" t="s">
        <v>19</v>
      </c>
      <c r="F604">
        <v>28</v>
      </c>
      <c r="G604">
        <v>0.24</v>
      </c>
      <c r="H604">
        <v>0.379</v>
      </c>
      <c r="I604">
        <f t="shared" ref="I604" si="449">H604*1.96</f>
        <v>0.74283999999999994</v>
      </c>
      <c r="J604">
        <f t="shared" si="433"/>
        <v>-0.50283999999999995</v>
      </c>
      <c r="K604">
        <f t="shared" si="434"/>
        <v>0.98283999999999994</v>
      </c>
      <c r="L604" t="str">
        <f t="shared" si="428"/>
        <v>0.74</v>
      </c>
      <c r="M604" t="str">
        <f t="shared" si="429"/>
        <v>-0.50</v>
      </c>
      <c r="N604" t="str">
        <f t="shared" si="430"/>
        <v>0.24 [0.74, -0.50]</v>
      </c>
    </row>
    <row r="605" spans="1:14" x14ac:dyDescent="0.35">
      <c r="A605">
        <v>224</v>
      </c>
      <c r="B605">
        <v>95</v>
      </c>
      <c r="C605" t="s">
        <v>82</v>
      </c>
      <c r="D605" t="s">
        <v>8</v>
      </c>
      <c r="E605" t="s">
        <v>13</v>
      </c>
      <c r="F605">
        <v>23</v>
      </c>
      <c r="G605">
        <v>1.1000000000000001</v>
      </c>
      <c r="H605">
        <v>0.65</v>
      </c>
      <c r="I605">
        <f t="shared" ref="I605:I606" si="450">H605/(SQRT(F605))*1.96</f>
        <v>0.26564736350871332</v>
      </c>
      <c r="J605">
        <f t="shared" si="433"/>
        <v>0.83435263649128677</v>
      </c>
      <c r="K605">
        <f t="shared" si="434"/>
        <v>1.3656473635087134</v>
      </c>
      <c r="L605" t="str">
        <f t="shared" si="428"/>
        <v>0.27</v>
      </c>
      <c r="M605" t="str">
        <f t="shared" si="429"/>
        <v>0.83</v>
      </c>
      <c r="N605" t="str">
        <f t="shared" si="430"/>
        <v>1.10 [0.27, 0.83]</v>
      </c>
    </row>
    <row r="606" spans="1:14" x14ac:dyDescent="0.35">
      <c r="A606">
        <v>225</v>
      </c>
      <c r="B606">
        <v>95</v>
      </c>
      <c r="C606" t="s">
        <v>82</v>
      </c>
      <c r="D606" t="s">
        <v>10</v>
      </c>
      <c r="E606" t="s">
        <v>13</v>
      </c>
      <c r="F606">
        <v>31</v>
      </c>
      <c r="G606">
        <v>1.7</v>
      </c>
      <c r="H606">
        <v>0.97</v>
      </c>
      <c r="I606">
        <f t="shared" si="450"/>
        <v>0.34146560021330447</v>
      </c>
      <c r="J606">
        <f t="shared" si="433"/>
        <v>1.3585343997866954</v>
      </c>
      <c r="K606">
        <f t="shared" si="434"/>
        <v>2.0414656002133045</v>
      </c>
      <c r="L606" t="str">
        <f t="shared" si="428"/>
        <v>0.34</v>
      </c>
      <c r="M606" t="str">
        <f t="shared" si="429"/>
        <v>1.36</v>
      </c>
      <c r="N606" t="str">
        <f t="shared" si="430"/>
        <v>1.70 [0.34, 1.36]</v>
      </c>
    </row>
    <row r="607" spans="1:14" x14ac:dyDescent="0.35">
      <c r="A607">
        <v>30</v>
      </c>
      <c r="B607">
        <v>95</v>
      </c>
      <c r="C607" t="s">
        <v>82</v>
      </c>
      <c r="D607" t="s">
        <v>11</v>
      </c>
      <c r="E607" t="s">
        <v>13</v>
      </c>
      <c r="F607">
        <v>54</v>
      </c>
      <c r="G607">
        <v>0.70599999999999996</v>
      </c>
      <c r="H607">
        <v>0.28399999999999997</v>
      </c>
      <c r="I607">
        <f t="shared" ref="I607" si="451">H607*1.96</f>
        <v>0.55663999999999991</v>
      </c>
      <c r="J607">
        <f t="shared" si="433"/>
        <v>0.14936000000000005</v>
      </c>
      <c r="K607">
        <f t="shared" si="434"/>
        <v>1.2626399999999998</v>
      </c>
      <c r="L607" t="str">
        <f t="shared" si="428"/>
        <v>0.56</v>
      </c>
      <c r="M607" t="str">
        <f t="shared" si="429"/>
        <v>0.15</v>
      </c>
      <c r="N607" t="str">
        <f t="shared" si="430"/>
        <v>0.71 [0.56, 0.15]</v>
      </c>
    </row>
    <row r="608" spans="1:14" x14ac:dyDescent="0.35">
      <c r="A608">
        <v>30</v>
      </c>
      <c r="B608">
        <v>96</v>
      </c>
      <c r="C608" t="s">
        <v>83</v>
      </c>
      <c r="D608" t="s">
        <v>8</v>
      </c>
      <c r="E608" t="s">
        <v>22</v>
      </c>
      <c r="F608">
        <v>29</v>
      </c>
      <c r="G608">
        <v>3</v>
      </c>
      <c r="H608">
        <v>0.72</v>
      </c>
      <c r="I608">
        <f t="shared" ref="I608:I609" si="452">H608/(SQRT(F608))*1.96</f>
        <v>0.26205326123545558</v>
      </c>
      <c r="J608">
        <f t="shared" si="433"/>
        <v>2.7379467387645446</v>
      </c>
      <c r="K608">
        <f t="shared" si="434"/>
        <v>3.2620532612354554</v>
      </c>
      <c r="L608" t="str">
        <f t="shared" si="428"/>
        <v>0.26</v>
      </c>
      <c r="M608" t="str">
        <f t="shared" si="429"/>
        <v>2.74</v>
      </c>
      <c r="N608" t="str">
        <f t="shared" si="430"/>
        <v>3.00 [0.26, 2.74]</v>
      </c>
    </row>
    <row r="609" spans="1:14" x14ac:dyDescent="0.35">
      <c r="A609">
        <v>31</v>
      </c>
      <c r="B609">
        <v>96</v>
      </c>
      <c r="C609" t="s">
        <v>83</v>
      </c>
      <c r="D609" t="s">
        <v>10</v>
      </c>
      <c r="E609" t="s">
        <v>22</v>
      </c>
      <c r="F609">
        <v>25</v>
      </c>
      <c r="G609">
        <v>3</v>
      </c>
      <c r="H609">
        <v>0.8</v>
      </c>
      <c r="I609">
        <f t="shared" si="452"/>
        <v>0.31359999999999999</v>
      </c>
      <c r="J609">
        <f t="shared" si="433"/>
        <v>2.6863999999999999</v>
      </c>
      <c r="K609">
        <f t="shared" si="434"/>
        <v>3.3136000000000001</v>
      </c>
      <c r="L609" t="str">
        <f t="shared" si="428"/>
        <v>0.31</v>
      </c>
      <c r="M609" t="str">
        <f t="shared" si="429"/>
        <v>2.69</v>
      </c>
      <c r="N609" t="str">
        <f t="shared" si="430"/>
        <v>3.00 [0.31, 2.69]</v>
      </c>
    </row>
    <row r="610" spans="1:14" x14ac:dyDescent="0.35">
      <c r="A610">
        <v>10</v>
      </c>
      <c r="B610">
        <v>96</v>
      </c>
      <c r="C610" t="s">
        <v>83</v>
      </c>
      <c r="D610" t="s">
        <v>11</v>
      </c>
      <c r="E610" t="s">
        <v>22</v>
      </c>
      <c r="F610">
        <v>55</v>
      </c>
      <c r="G610">
        <v>0.84599999999999997</v>
      </c>
      <c r="H610">
        <v>0.80953360359200366</v>
      </c>
      <c r="I610">
        <f t="shared" ref="I610" si="453">H610*1.96</f>
        <v>1.5866858630403271</v>
      </c>
      <c r="J610">
        <f t="shared" si="433"/>
        <v>-0.74068586304032713</v>
      </c>
      <c r="K610">
        <f t="shared" si="434"/>
        <v>2.432685863040327</v>
      </c>
      <c r="L610" t="str">
        <f t="shared" si="428"/>
        <v>1.59</v>
      </c>
      <c r="M610" t="str">
        <f t="shared" si="429"/>
        <v>-0.74</v>
      </c>
      <c r="N610" t="str">
        <f t="shared" si="430"/>
        <v>0.85 [1.59, -0.74]</v>
      </c>
    </row>
    <row r="611" spans="1:14" x14ac:dyDescent="0.35">
      <c r="A611">
        <v>120</v>
      </c>
      <c r="B611">
        <v>96</v>
      </c>
      <c r="C611" t="s">
        <v>83</v>
      </c>
      <c r="D611" t="s">
        <v>8</v>
      </c>
      <c r="E611" t="s">
        <v>27</v>
      </c>
      <c r="F611">
        <v>29</v>
      </c>
      <c r="G611">
        <v>86.72</v>
      </c>
      <c r="H611">
        <v>2.27</v>
      </c>
      <c r="I611">
        <f t="shared" ref="I611:I612" si="454">H611/(SQRT(F611))*1.96</f>
        <v>0.8261956986173391</v>
      </c>
      <c r="J611">
        <f t="shared" si="433"/>
        <v>85.893804301382659</v>
      </c>
      <c r="K611">
        <f t="shared" si="434"/>
        <v>87.546195698617339</v>
      </c>
      <c r="L611" t="str">
        <f t="shared" si="428"/>
        <v>0.83</v>
      </c>
      <c r="M611" t="str">
        <f t="shared" si="429"/>
        <v>85.89</v>
      </c>
      <c r="N611" t="str">
        <f t="shared" si="430"/>
        <v>86.72 [0.83, 85.89]</v>
      </c>
    </row>
    <row r="612" spans="1:14" x14ac:dyDescent="0.35">
      <c r="A612">
        <v>121</v>
      </c>
      <c r="B612">
        <v>96</v>
      </c>
      <c r="C612" t="s">
        <v>83</v>
      </c>
      <c r="D612" t="s">
        <v>10</v>
      </c>
      <c r="E612" t="s">
        <v>27</v>
      </c>
      <c r="F612">
        <v>25</v>
      </c>
      <c r="G612">
        <v>92.95</v>
      </c>
      <c r="H612">
        <v>1.99</v>
      </c>
      <c r="I612">
        <f t="shared" si="454"/>
        <v>0.78008</v>
      </c>
      <c r="J612">
        <f t="shared" si="433"/>
        <v>92.169920000000005</v>
      </c>
      <c r="K612">
        <f t="shared" si="434"/>
        <v>93.730080000000001</v>
      </c>
      <c r="L612" t="str">
        <f t="shared" si="428"/>
        <v>0.78</v>
      </c>
      <c r="M612" t="str">
        <f t="shared" si="429"/>
        <v>92.17</v>
      </c>
      <c r="N612" t="str">
        <f t="shared" si="430"/>
        <v>92.95 [0.78, 92.17]</v>
      </c>
    </row>
    <row r="613" spans="1:14" x14ac:dyDescent="0.35">
      <c r="A613">
        <v>24</v>
      </c>
      <c r="B613">
        <v>96</v>
      </c>
      <c r="C613" t="s">
        <v>83</v>
      </c>
      <c r="D613" t="s">
        <v>11</v>
      </c>
      <c r="E613" t="s">
        <v>27</v>
      </c>
      <c r="F613">
        <v>54</v>
      </c>
      <c r="G613">
        <v>2.9039999999999999</v>
      </c>
      <c r="H613">
        <v>0.39400000000000002</v>
      </c>
      <c r="I613">
        <f t="shared" ref="I613" si="455">H613*1.96</f>
        <v>0.77224000000000004</v>
      </c>
      <c r="J613">
        <f t="shared" si="433"/>
        <v>2.1317599999999999</v>
      </c>
      <c r="K613">
        <f t="shared" si="434"/>
        <v>3.67624</v>
      </c>
      <c r="L613" t="str">
        <f t="shared" si="428"/>
        <v>0.77</v>
      </c>
      <c r="M613" t="str">
        <f t="shared" si="429"/>
        <v>2.13</v>
      </c>
      <c r="N613" t="str">
        <f t="shared" si="430"/>
        <v>2.90 [0.77, 2.13]</v>
      </c>
    </row>
    <row r="614" spans="1:14" x14ac:dyDescent="0.35">
      <c r="A614">
        <v>226</v>
      </c>
      <c r="B614">
        <v>96</v>
      </c>
      <c r="C614" t="s">
        <v>83</v>
      </c>
      <c r="D614" t="s">
        <v>8</v>
      </c>
      <c r="E614" t="s">
        <v>13</v>
      </c>
      <c r="F614">
        <v>29</v>
      </c>
      <c r="G614">
        <v>0.9</v>
      </c>
      <c r="H614">
        <v>0.27</v>
      </c>
      <c r="I614">
        <f t="shared" ref="I614:I615" si="456">H614/(SQRT(F614))*1.96</f>
        <v>9.8269972963295857E-2</v>
      </c>
      <c r="J614">
        <f t="shared" si="433"/>
        <v>0.80173002703670415</v>
      </c>
      <c r="K614">
        <f t="shared" si="434"/>
        <v>0.99826997296329589</v>
      </c>
      <c r="L614" t="str">
        <f t="shared" si="428"/>
        <v>0.10</v>
      </c>
      <c r="M614" t="str">
        <f t="shared" si="429"/>
        <v>0.80</v>
      </c>
      <c r="N614" t="str">
        <f t="shared" si="430"/>
        <v>0.90 [0.10, 0.80]</v>
      </c>
    </row>
    <row r="615" spans="1:14" x14ac:dyDescent="0.35">
      <c r="A615">
        <v>227</v>
      </c>
      <c r="B615">
        <v>96</v>
      </c>
      <c r="C615" t="s">
        <v>83</v>
      </c>
      <c r="D615" t="s">
        <v>10</v>
      </c>
      <c r="E615" t="s">
        <v>13</v>
      </c>
      <c r="F615">
        <v>25</v>
      </c>
      <c r="G615">
        <v>0.64</v>
      </c>
      <c r="H615">
        <v>0.36</v>
      </c>
      <c r="I615">
        <f t="shared" si="456"/>
        <v>0.14112</v>
      </c>
      <c r="J615">
        <f t="shared" si="433"/>
        <v>0.49887999999999999</v>
      </c>
      <c r="K615">
        <f t="shared" si="434"/>
        <v>0.78112000000000004</v>
      </c>
      <c r="L615" t="str">
        <f t="shared" si="428"/>
        <v>0.14</v>
      </c>
      <c r="M615" t="str">
        <f t="shared" si="429"/>
        <v>0.50</v>
      </c>
      <c r="N615" t="str">
        <f t="shared" si="430"/>
        <v>0.64 [0.14, 0.50]</v>
      </c>
    </row>
    <row r="616" spans="1:14" x14ac:dyDescent="0.35">
      <c r="A616">
        <v>31</v>
      </c>
      <c r="B616">
        <v>96</v>
      </c>
      <c r="C616" t="s">
        <v>83</v>
      </c>
      <c r="D616" t="s">
        <v>11</v>
      </c>
      <c r="E616" t="s">
        <v>13</v>
      </c>
      <c r="F616">
        <v>54</v>
      </c>
      <c r="G616">
        <v>0.82599999999999996</v>
      </c>
      <c r="H616">
        <v>0.28499999999999998</v>
      </c>
      <c r="I616">
        <f t="shared" ref="I616" si="457">H616*1.96</f>
        <v>0.55859999999999999</v>
      </c>
      <c r="J616">
        <f t="shared" si="433"/>
        <v>0.26739999999999997</v>
      </c>
      <c r="K616">
        <f t="shared" si="434"/>
        <v>1.3845999999999998</v>
      </c>
      <c r="L616" t="str">
        <f t="shared" si="428"/>
        <v>0.56</v>
      </c>
      <c r="M616" t="str">
        <f t="shared" si="429"/>
        <v>0.27</v>
      </c>
      <c r="N616" t="str">
        <f t="shared" si="430"/>
        <v>0.83 [0.56, 0.27]</v>
      </c>
    </row>
    <row r="617" spans="1:14" x14ac:dyDescent="0.35">
      <c r="A617">
        <v>364</v>
      </c>
      <c r="B617">
        <v>96</v>
      </c>
      <c r="C617" t="s">
        <v>83</v>
      </c>
      <c r="D617" t="s">
        <v>8</v>
      </c>
      <c r="E617" t="s">
        <v>19</v>
      </c>
      <c r="F617">
        <v>29</v>
      </c>
      <c r="G617">
        <v>87.28</v>
      </c>
      <c r="H617">
        <v>1.76</v>
      </c>
      <c r="I617">
        <f t="shared" ref="I617:I618" si="458">H617/(SQRT(F617))*1.96</f>
        <v>0.64057463857555819</v>
      </c>
      <c r="J617">
        <f t="shared" si="433"/>
        <v>86.639425361424443</v>
      </c>
      <c r="K617">
        <f t="shared" si="434"/>
        <v>87.920574638575559</v>
      </c>
      <c r="L617" t="str">
        <f t="shared" si="428"/>
        <v>0.64</v>
      </c>
      <c r="M617" t="str">
        <f t="shared" si="429"/>
        <v>86.64</v>
      </c>
      <c r="N617" t="str">
        <f t="shared" si="430"/>
        <v>87.28 [0.64, 86.64]</v>
      </c>
    </row>
    <row r="618" spans="1:14" x14ac:dyDescent="0.35">
      <c r="A618">
        <v>365</v>
      </c>
      <c r="B618">
        <v>96</v>
      </c>
      <c r="C618" t="s">
        <v>83</v>
      </c>
      <c r="D618" t="s">
        <v>10</v>
      </c>
      <c r="E618" t="s">
        <v>19</v>
      </c>
      <c r="F618">
        <v>25</v>
      </c>
      <c r="G618">
        <v>91.82</v>
      </c>
      <c r="H618">
        <v>1.71</v>
      </c>
      <c r="I618">
        <f t="shared" si="458"/>
        <v>0.67031999999999992</v>
      </c>
      <c r="J618">
        <f t="shared" si="433"/>
        <v>91.149679999999989</v>
      </c>
      <c r="K618">
        <f t="shared" si="434"/>
        <v>92.490319999999997</v>
      </c>
      <c r="L618" t="str">
        <f t="shared" si="428"/>
        <v>0.67</v>
      </c>
      <c r="M618" t="str">
        <f t="shared" si="429"/>
        <v>91.15</v>
      </c>
      <c r="N618" t="str">
        <f t="shared" si="430"/>
        <v>91.82 [0.67, 91.15]</v>
      </c>
    </row>
    <row r="619" spans="1:14" x14ac:dyDescent="0.35">
      <c r="A619">
        <v>30</v>
      </c>
      <c r="B619">
        <v>96</v>
      </c>
      <c r="C619" t="s">
        <v>83</v>
      </c>
      <c r="D619" t="s">
        <v>11</v>
      </c>
      <c r="E619" t="s">
        <v>19</v>
      </c>
      <c r="F619">
        <v>54</v>
      </c>
      <c r="G619">
        <v>2.6139999999999999</v>
      </c>
      <c r="H619">
        <v>0.374</v>
      </c>
      <c r="I619">
        <f t="shared" ref="I619" si="459">H619*1.96</f>
        <v>0.73304000000000002</v>
      </c>
      <c r="J619">
        <f t="shared" si="433"/>
        <v>1.88096</v>
      </c>
      <c r="K619">
        <f t="shared" si="434"/>
        <v>3.3470399999999998</v>
      </c>
      <c r="L619" t="str">
        <f t="shared" si="428"/>
        <v>0.73</v>
      </c>
      <c r="M619" t="str">
        <f t="shared" si="429"/>
        <v>1.88</v>
      </c>
      <c r="N619" t="str">
        <f t="shared" si="430"/>
        <v>2.61 [0.73, 1.88]</v>
      </c>
    </row>
    <row r="620" spans="1:14" x14ac:dyDescent="0.35">
      <c r="A620">
        <v>488</v>
      </c>
      <c r="B620">
        <v>96</v>
      </c>
      <c r="C620" t="s">
        <v>83</v>
      </c>
      <c r="D620" t="s">
        <v>8</v>
      </c>
      <c r="E620" t="s">
        <v>9</v>
      </c>
      <c r="F620">
        <v>29</v>
      </c>
      <c r="G620">
        <v>6.2</v>
      </c>
      <c r="H620">
        <v>0.35</v>
      </c>
      <c r="I620">
        <f t="shared" ref="I620:I621" si="460">H620/(SQRT(F620))*1.96</f>
        <v>0.12738700198945757</v>
      </c>
      <c r="J620">
        <f t="shared" si="433"/>
        <v>6.072612998010543</v>
      </c>
      <c r="K620">
        <f t="shared" si="434"/>
        <v>6.3273870019894574</v>
      </c>
      <c r="L620" t="str">
        <f t="shared" si="428"/>
        <v>0.13</v>
      </c>
      <c r="M620" t="str">
        <f t="shared" si="429"/>
        <v>6.07</v>
      </c>
      <c r="N620" t="str">
        <f t="shared" si="430"/>
        <v>6.20 [0.13, 6.07]</v>
      </c>
    </row>
    <row r="621" spans="1:14" x14ac:dyDescent="0.35">
      <c r="A621">
        <v>489</v>
      </c>
      <c r="B621">
        <v>96</v>
      </c>
      <c r="C621" t="s">
        <v>83</v>
      </c>
      <c r="D621" t="s">
        <v>10</v>
      </c>
      <c r="E621" t="s">
        <v>9</v>
      </c>
      <c r="F621">
        <v>25</v>
      </c>
      <c r="G621">
        <v>6.14</v>
      </c>
      <c r="H621">
        <v>0.37</v>
      </c>
      <c r="I621">
        <f t="shared" si="460"/>
        <v>0.14504</v>
      </c>
      <c r="J621">
        <f t="shared" si="433"/>
        <v>5.9949599999999998</v>
      </c>
      <c r="K621">
        <f t="shared" si="434"/>
        <v>6.2850399999999995</v>
      </c>
      <c r="L621" t="str">
        <f t="shared" si="428"/>
        <v>0.15</v>
      </c>
      <c r="M621" t="str">
        <f t="shared" si="429"/>
        <v>5.99</v>
      </c>
      <c r="N621" t="str">
        <f t="shared" si="430"/>
        <v>6.14 [0.15, 5.99]</v>
      </c>
    </row>
    <row r="622" spans="1:14" x14ac:dyDescent="0.35">
      <c r="A622">
        <v>21</v>
      </c>
      <c r="B622">
        <v>96</v>
      </c>
      <c r="C622" t="s">
        <v>83</v>
      </c>
      <c r="D622" t="s">
        <v>11</v>
      </c>
      <c r="E622" t="s">
        <v>9</v>
      </c>
      <c r="F622">
        <v>54</v>
      </c>
      <c r="G622">
        <v>0.16700000000000001</v>
      </c>
      <c r="H622">
        <v>0.27300000000000002</v>
      </c>
      <c r="I622">
        <f t="shared" ref="I622" si="461">H622*1.96</f>
        <v>0.53508</v>
      </c>
      <c r="J622">
        <f t="shared" si="433"/>
        <v>-0.36807999999999996</v>
      </c>
      <c r="K622">
        <f t="shared" si="434"/>
        <v>0.70208000000000004</v>
      </c>
      <c r="L622" t="str">
        <f t="shared" si="428"/>
        <v>0.54</v>
      </c>
      <c r="M622" t="str">
        <f t="shared" si="429"/>
        <v>-0.37</v>
      </c>
      <c r="N622" t="str">
        <f t="shared" si="430"/>
        <v>0.17 [0.54, -0.37]</v>
      </c>
    </row>
    <row r="623" spans="1:14" x14ac:dyDescent="0.35">
      <c r="A623">
        <v>32</v>
      </c>
      <c r="B623">
        <v>97</v>
      </c>
      <c r="C623" t="s">
        <v>84</v>
      </c>
      <c r="D623" t="s">
        <v>10</v>
      </c>
      <c r="E623" t="s">
        <v>22</v>
      </c>
      <c r="F623">
        <v>36</v>
      </c>
      <c r="G623">
        <v>1</v>
      </c>
      <c r="H623">
        <v>0.26</v>
      </c>
      <c r="I623">
        <f t="shared" ref="I623:I624" si="462">H623/(SQRT(F623))*1.96</f>
        <v>8.4933333333333333E-2</v>
      </c>
      <c r="J623">
        <f t="shared" si="433"/>
        <v>0.91506666666666669</v>
      </c>
      <c r="K623">
        <f t="shared" si="434"/>
        <v>1.0849333333333333</v>
      </c>
      <c r="L623" t="str">
        <f t="shared" si="428"/>
        <v>0.08</v>
      </c>
      <c r="M623" t="str">
        <f t="shared" si="429"/>
        <v>0.92</v>
      </c>
      <c r="N623" t="str">
        <f t="shared" si="430"/>
        <v>1.00 [0.08, 0.92]</v>
      </c>
    </row>
    <row r="624" spans="1:14" x14ac:dyDescent="0.35">
      <c r="A624">
        <v>33</v>
      </c>
      <c r="B624">
        <v>97</v>
      </c>
      <c r="C624" t="s">
        <v>84</v>
      </c>
      <c r="D624" t="s">
        <v>28</v>
      </c>
      <c r="E624" t="s">
        <v>22</v>
      </c>
      <c r="F624">
        <v>33</v>
      </c>
      <c r="G624">
        <v>0</v>
      </c>
      <c r="H624">
        <v>0.09</v>
      </c>
      <c r="I624">
        <f t="shared" si="462"/>
        <v>3.0707298510585099E-2</v>
      </c>
      <c r="J624">
        <f t="shared" si="433"/>
        <v>-3.0707298510585099E-2</v>
      </c>
      <c r="K624">
        <f t="shared" si="434"/>
        <v>3.0707298510585099E-2</v>
      </c>
      <c r="L624" t="str">
        <f t="shared" si="428"/>
        <v>0.03</v>
      </c>
      <c r="M624" t="str">
        <f t="shared" si="429"/>
        <v>-0.03</v>
      </c>
      <c r="N624" t="str">
        <f t="shared" si="430"/>
        <v>0.00 [0.03, -0.03]</v>
      </c>
    </row>
    <row r="625" spans="1:14" x14ac:dyDescent="0.35">
      <c r="A625">
        <v>11</v>
      </c>
      <c r="B625">
        <v>97</v>
      </c>
      <c r="C625" t="s">
        <v>84</v>
      </c>
      <c r="D625" t="s">
        <v>39</v>
      </c>
      <c r="E625" t="s">
        <v>22</v>
      </c>
      <c r="F625">
        <v>70</v>
      </c>
      <c r="G625">
        <v>2.8290000000000002</v>
      </c>
      <c r="H625">
        <v>1.650921295986312</v>
      </c>
      <c r="I625">
        <f t="shared" ref="I625" si="463">H625*1.96</f>
        <v>3.2358057401331712</v>
      </c>
      <c r="J625">
        <f t="shared" si="433"/>
        <v>-0.40680574013317106</v>
      </c>
      <c r="K625">
        <f t="shared" si="434"/>
        <v>6.0648057401331714</v>
      </c>
      <c r="L625" t="str">
        <f t="shared" si="428"/>
        <v>3.24</v>
      </c>
      <c r="M625" t="str">
        <f t="shared" si="429"/>
        <v>-0.41</v>
      </c>
      <c r="N625" t="str">
        <f t="shared" si="430"/>
        <v>2.83 [3.24, -0.41]</v>
      </c>
    </row>
    <row r="626" spans="1:14" x14ac:dyDescent="0.35">
      <c r="A626">
        <v>228</v>
      </c>
      <c r="B626">
        <v>97</v>
      </c>
      <c r="C626" t="s">
        <v>84</v>
      </c>
      <c r="D626" t="s">
        <v>10</v>
      </c>
      <c r="E626" t="s">
        <v>13</v>
      </c>
      <c r="F626">
        <v>36</v>
      </c>
      <c r="G626">
        <v>3.77</v>
      </c>
      <c r="H626">
        <v>2.0099999999999998</v>
      </c>
      <c r="I626">
        <f t="shared" ref="I626:I627" si="464">H626/(SQRT(F626))*1.96</f>
        <v>0.65659999999999996</v>
      </c>
      <c r="J626">
        <f t="shared" si="433"/>
        <v>3.1133999999999999</v>
      </c>
      <c r="K626">
        <f t="shared" si="434"/>
        <v>4.4265999999999996</v>
      </c>
      <c r="L626" t="str">
        <f t="shared" si="428"/>
        <v>0.66</v>
      </c>
      <c r="M626" t="str">
        <f t="shared" si="429"/>
        <v>3.11</v>
      </c>
      <c r="N626" t="str">
        <f t="shared" si="430"/>
        <v>3.77 [0.66, 3.11]</v>
      </c>
    </row>
    <row r="627" spans="1:14" x14ac:dyDescent="0.35">
      <c r="A627">
        <v>229</v>
      </c>
      <c r="B627">
        <v>97</v>
      </c>
      <c r="C627" t="s">
        <v>84</v>
      </c>
      <c r="D627" t="s">
        <v>28</v>
      </c>
      <c r="E627" t="s">
        <v>13</v>
      </c>
      <c r="F627">
        <v>33</v>
      </c>
      <c r="G627">
        <v>2.73</v>
      </c>
      <c r="H627">
        <v>1.64</v>
      </c>
      <c r="I627">
        <f t="shared" si="464"/>
        <v>0.55955521730399516</v>
      </c>
      <c r="J627">
        <f t="shared" si="433"/>
        <v>2.1704447826960047</v>
      </c>
      <c r="K627">
        <f t="shared" si="434"/>
        <v>3.2895552173039952</v>
      </c>
      <c r="L627" t="str">
        <f t="shared" si="428"/>
        <v>0.56</v>
      </c>
      <c r="M627" t="str">
        <f t="shared" si="429"/>
        <v>2.17</v>
      </c>
      <c r="N627" t="str">
        <f t="shared" si="430"/>
        <v>2.73 [0.56, 2.17]</v>
      </c>
    </row>
    <row r="628" spans="1:14" x14ac:dyDescent="0.35">
      <c r="A628">
        <v>32</v>
      </c>
      <c r="B628">
        <v>97</v>
      </c>
      <c r="C628" t="s">
        <v>84</v>
      </c>
      <c r="D628" t="s">
        <v>39</v>
      </c>
      <c r="E628" t="s">
        <v>13</v>
      </c>
      <c r="F628">
        <v>69</v>
      </c>
      <c r="G628">
        <v>0.56399999999999995</v>
      </c>
      <c r="H628">
        <v>0.246</v>
      </c>
      <c r="I628">
        <f t="shared" ref="I628" si="465">H628*1.96</f>
        <v>0.48215999999999998</v>
      </c>
      <c r="J628">
        <f t="shared" si="433"/>
        <v>8.1839999999999968E-2</v>
      </c>
      <c r="K628">
        <f t="shared" si="434"/>
        <v>1.04616</v>
      </c>
      <c r="L628" t="str">
        <f t="shared" si="428"/>
        <v>0.48</v>
      </c>
      <c r="M628" t="str">
        <f t="shared" si="429"/>
        <v>0.08</v>
      </c>
      <c r="N628" t="str">
        <f t="shared" si="430"/>
        <v>0.56 [0.48, 0.08]</v>
      </c>
    </row>
    <row r="629" spans="1:14" x14ac:dyDescent="0.35">
      <c r="A629">
        <v>366</v>
      </c>
      <c r="B629">
        <v>97</v>
      </c>
      <c r="C629" t="s">
        <v>84</v>
      </c>
      <c r="D629" t="s">
        <v>10</v>
      </c>
      <c r="E629" t="s">
        <v>19</v>
      </c>
      <c r="F629">
        <v>36</v>
      </c>
      <c r="G629">
        <v>92.4</v>
      </c>
      <c r="H629">
        <v>4.32</v>
      </c>
      <c r="I629">
        <f t="shared" ref="I629:I630" si="466">H629/(SQRT(F629))*1.96</f>
        <v>1.4112000000000002</v>
      </c>
      <c r="J629">
        <f t="shared" si="433"/>
        <v>90.988800000000012</v>
      </c>
      <c r="K629">
        <f t="shared" si="434"/>
        <v>93.811199999999999</v>
      </c>
      <c r="L629" t="str">
        <f t="shared" si="428"/>
        <v>1.41</v>
      </c>
      <c r="M629" t="str">
        <f t="shared" si="429"/>
        <v>90.99</v>
      </c>
      <c r="N629" t="str">
        <f t="shared" si="430"/>
        <v>92.40 [1.41, 90.99]</v>
      </c>
    </row>
    <row r="630" spans="1:14" x14ac:dyDescent="0.35">
      <c r="A630">
        <v>367</v>
      </c>
      <c r="B630">
        <v>97</v>
      </c>
      <c r="C630" t="s">
        <v>84</v>
      </c>
      <c r="D630" t="s">
        <v>28</v>
      </c>
      <c r="E630" t="s">
        <v>19</v>
      </c>
      <c r="F630">
        <v>33</v>
      </c>
      <c r="G630">
        <v>88.2</v>
      </c>
      <c r="H630">
        <v>3.36</v>
      </c>
      <c r="I630">
        <f t="shared" si="466"/>
        <v>1.1464058110618436</v>
      </c>
      <c r="J630">
        <f t="shared" si="433"/>
        <v>87.053594188938163</v>
      </c>
      <c r="K630">
        <f t="shared" si="434"/>
        <v>89.346405811061842</v>
      </c>
      <c r="L630" t="str">
        <f t="shared" si="428"/>
        <v>1.15</v>
      </c>
      <c r="M630" t="str">
        <f t="shared" si="429"/>
        <v>87.05</v>
      </c>
      <c r="N630" t="str">
        <f t="shared" si="430"/>
        <v>88.20 [1.15, 87.05]</v>
      </c>
    </row>
    <row r="631" spans="1:14" x14ac:dyDescent="0.35">
      <c r="A631">
        <v>31</v>
      </c>
      <c r="B631">
        <v>97</v>
      </c>
      <c r="C631" t="s">
        <v>84</v>
      </c>
      <c r="D631" t="s">
        <v>39</v>
      </c>
      <c r="E631" t="s">
        <v>19</v>
      </c>
      <c r="F631">
        <v>69</v>
      </c>
      <c r="I631">
        <f t="shared" ref="I631" si="467">H631*1.96</f>
        <v>0</v>
      </c>
      <c r="J631">
        <f t="shared" si="433"/>
        <v>0</v>
      </c>
      <c r="K631">
        <f t="shared" si="434"/>
        <v>0</v>
      </c>
      <c r="L631" t="str">
        <f t="shared" si="428"/>
        <v>0.00</v>
      </c>
      <c r="M631" t="str">
        <f t="shared" si="429"/>
        <v>0.00</v>
      </c>
      <c r="N631" t="str">
        <f t="shared" si="430"/>
        <v>0.00 [0.00, 0.00]</v>
      </c>
    </row>
    <row r="632" spans="1:14" x14ac:dyDescent="0.35">
      <c r="A632">
        <v>430</v>
      </c>
      <c r="B632">
        <v>97</v>
      </c>
      <c r="C632" t="s">
        <v>84</v>
      </c>
      <c r="D632" t="s">
        <v>10</v>
      </c>
      <c r="E632" t="s">
        <v>16</v>
      </c>
      <c r="F632">
        <v>36</v>
      </c>
      <c r="G632">
        <v>5</v>
      </c>
      <c r="H632">
        <v>1.07</v>
      </c>
      <c r="I632">
        <f t="shared" ref="I632:I633" si="468">H632/(SQRT(F632))*1.96</f>
        <v>0.34953333333333336</v>
      </c>
      <c r="J632">
        <f t="shared" si="433"/>
        <v>4.6504666666666665</v>
      </c>
      <c r="K632">
        <f t="shared" si="434"/>
        <v>5.3495333333333335</v>
      </c>
      <c r="L632" t="str">
        <f t="shared" si="428"/>
        <v>0.35</v>
      </c>
      <c r="M632" t="str">
        <f t="shared" si="429"/>
        <v>4.65</v>
      </c>
      <c r="N632" t="str">
        <f t="shared" si="430"/>
        <v>5.00 [0.35, 4.65]</v>
      </c>
    </row>
    <row r="633" spans="1:14" x14ac:dyDescent="0.35">
      <c r="A633">
        <v>431</v>
      </c>
      <c r="B633">
        <v>97</v>
      </c>
      <c r="C633" t="s">
        <v>84</v>
      </c>
      <c r="D633" t="s">
        <v>28</v>
      </c>
      <c r="E633" t="s">
        <v>16</v>
      </c>
      <c r="F633">
        <v>33</v>
      </c>
      <c r="G633">
        <v>0</v>
      </c>
      <c r="H633">
        <v>0.09</v>
      </c>
      <c r="I633">
        <f t="shared" si="468"/>
        <v>3.0707298510585099E-2</v>
      </c>
      <c r="J633">
        <f t="shared" si="433"/>
        <v>-3.0707298510585099E-2</v>
      </c>
      <c r="K633">
        <f t="shared" si="434"/>
        <v>3.0707298510585099E-2</v>
      </c>
      <c r="L633" t="str">
        <f t="shared" si="428"/>
        <v>0.03</v>
      </c>
      <c r="M633" t="str">
        <f t="shared" si="429"/>
        <v>-0.03</v>
      </c>
      <c r="N633" t="str">
        <f t="shared" si="430"/>
        <v>0.00 [0.03, -0.03]</v>
      </c>
    </row>
    <row r="634" spans="1:14" x14ac:dyDescent="0.35">
      <c r="A634">
        <v>24</v>
      </c>
      <c r="B634">
        <v>97</v>
      </c>
      <c r="C634" t="s">
        <v>84</v>
      </c>
      <c r="D634" t="s">
        <v>39</v>
      </c>
      <c r="E634" t="s">
        <v>16</v>
      </c>
      <c r="F634">
        <v>70</v>
      </c>
      <c r="G634">
        <v>11.71</v>
      </c>
      <c r="H634">
        <v>1.4981252539882439</v>
      </c>
      <c r="I634">
        <f t="shared" ref="I634" si="469">H634*1.96</f>
        <v>2.936325497816958</v>
      </c>
      <c r="J634">
        <f t="shared" si="433"/>
        <v>8.7736745021830433</v>
      </c>
      <c r="K634">
        <f t="shared" si="434"/>
        <v>14.646325497816958</v>
      </c>
      <c r="L634" t="str">
        <f t="shared" si="428"/>
        <v>2.94</v>
      </c>
      <c r="M634" t="str">
        <f t="shared" si="429"/>
        <v>8.77</v>
      </c>
      <c r="N634" t="str">
        <f t="shared" si="430"/>
        <v>11.71 [2.94, 8.77]</v>
      </c>
    </row>
    <row r="635" spans="1:14" x14ac:dyDescent="0.35">
      <c r="A635">
        <v>608</v>
      </c>
      <c r="B635">
        <v>97</v>
      </c>
      <c r="C635" t="s">
        <v>84</v>
      </c>
      <c r="D635" t="s">
        <v>10</v>
      </c>
      <c r="E635" t="s">
        <v>14</v>
      </c>
      <c r="F635">
        <v>36</v>
      </c>
      <c r="G635">
        <v>1</v>
      </c>
      <c r="H635">
        <v>1.07</v>
      </c>
      <c r="I635">
        <f t="shared" ref="I635:I636" si="470">H635/(SQRT(F635))*1.96</f>
        <v>0.34953333333333336</v>
      </c>
      <c r="J635">
        <f t="shared" si="433"/>
        <v>0.65046666666666664</v>
      </c>
      <c r="K635">
        <f t="shared" si="434"/>
        <v>1.3495333333333335</v>
      </c>
      <c r="L635" t="str">
        <f t="shared" si="428"/>
        <v>0.35</v>
      </c>
      <c r="M635" t="str">
        <f t="shared" si="429"/>
        <v>0.65</v>
      </c>
      <c r="N635" t="str">
        <f t="shared" si="430"/>
        <v>1.00 [0.35, 0.65]</v>
      </c>
    </row>
    <row r="636" spans="1:14" x14ac:dyDescent="0.35">
      <c r="A636">
        <v>609</v>
      </c>
      <c r="B636">
        <v>97</v>
      </c>
      <c r="C636" t="s">
        <v>84</v>
      </c>
      <c r="D636" t="s">
        <v>28</v>
      </c>
      <c r="E636" t="s">
        <v>14</v>
      </c>
      <c r="F636">
        <v>33</v>
      </c>
      <c r="G636">
        <v>0</v>
      </c>
      <c r="H636">
        <v>0.09</v>
      </c>
      <c r="I636">
        <f t="shared" si="470"/>
        <v>3.0707298510585099E-2</v>
      </c>
      <c r="J636">
        <f t="shared" si="433"/>
        <v>-3.0707298510585099E-2</v>
      </c>
      <c r="K636">
        <f t="shared" si="434"/>
        <v>3.0707298510585099E-2</v>
      </c>
      <c r="L636" t="str">
        <f t="shared" si="428"/>
        <v>0.03</v>
      </c>
      <c r="M636" t="str">
        <f t="shared" si="429"/>
        <v>-0.03</v>
      </c>
      <c r="N636" t="str">
        <f t="shared" si="430"/>
        <v>0.00 [0.03, -0.03]</v>
      </c>
    </row>
    <row r="637" spans="1:14" x14ac:dyDescent="0.35">
      <c r="A637">
        <v>24</v>
      </c>
      <c r="B637">
        <v>97</v>
      </c>
      <c r="C637" t="s">
        <v>84</v>
      </c>
      <c r="D637" t="s">
        <v>39</v>
      </c>
      <c r="E637" t="s">
        <v>14</v>
      </c>
      <c r="F637">
        <v>70</v>
      </c>
      <c r="G637">
        <v>2.8290000000000002</v>
      </c>
      <c r="H637">
        <v>1.650921295986312</v>
      </c>
      <c r="I637">
        <f t="shared" ref="I637" si="471">H637*1.96</f>
        <v>3.2358057401331712</v>
      </c>
      <c r="J637">
        <f t="shared" si="433"/>
        <v>-0.40680574013317106</v>
      </c>
      <c r="K637">
        <f t="shared" si="434"/>
        <v>6.0648057401331714</v>
      </c>
      <c r="L637" t="str">
        <f t="shared" si="428"/>
        <v>3.24</v>
      </c>
      <c r="M637" t="str">
        <f t="shared" si="429"/>
        <v>-0.41</v>
      </c>
      <c r="N637" t="str">
        <f t="shared" si="430"/>
        <v>2.83 [3.24, -0.41]</v>
      </c>
    </row>
    <row r="638" spans="1:14" x14ac:dyDescent="0.35">
      <c r="A638">
        <v>288</v>
      </c>
      <c r="B638">
        <v>98</v>
      </c>
      <c r="C638" t="s">
        <v>85</v>
      </c>
      <c r="D638" t="s">
        <v>10</v>
      </c>
      <c r="E638" t="s">
        <v>17</v>
      </c>
      <c r="F638">
        <v>68</v>
      </c>
      <c r="G638">
        <v>36</v>
      </c>
      <c r="H638">
        <v>0.57999999999999996</v>
      </c>
      <c r="I638">
        <f t="shared" ref="I638:I639" si="472">H638/(SQRT(F638))*1.96</f>
        <v>0.13785724927065163</v>
      </c>
      <c r="J638">
        <f t="shared" si="433"/>
        <v>35.862142750729348</v>
      </c>
      <c r="K638">
        <f t="shared" si="434"/>
        <v>36.137857249270652</v>
      </c>
      <c r="L638" t="str">
        <f t="shared" si="428"/>
        <v>0.14</v>
      </c>
      <c r="M638" t="str">
        <f t="shared" si="429"/>
        <v>35.86</v>
      </c>
      <c r="N638" t="str">
        <f t="shared" si="430"/>
        <v>36.00 [0.14, 35.86]</v>
      </c>
    </row>
    <row r="639" spans="1:14" x14ac:dyDescent="0.35">
      <c r="A639">
        <v>289</v>
      </c>
      <c r="B639">
        <v>98</v>
      </c>
      <c r="C639" t="s">
        <v>85</v>
      </c>
      <c r="D639" t="s">
        <v>35</v>
      </c>
      <c r="E639" t="s">
        <v>17</v>
      </c>
      <c r="F639">
        <v>64</v>
      </c>
      <c r="G639">
        <v>35</v>
      </c>
      <c r="H639">
        <v>0.9</v>
      </c>
      <c r="I639">
        <f t="shared" si="472"/>
        <v>0.2205</v>
      </c>
      <c r="J639">
        <f t="shared" si="433"/>
        <v>34.779499999999999</v>
      </c>
      <c r="K639">
        <f t="shared" si="434"/>
        <v>35.220500000000001</v>
      </c>
      <c r="L639" t="str">
        <f t="shared" si="428"/>
        <v>0.22</v>
      </c>
      <c r="M639" t="str">
        <f t="shared" si="429"/>
        <v>34.78</v>
      </c>
      <c r="N639" t="str">
        <f t="shared" si="430"/>
        <v>35.00 [0.22, 34.78]</v>
      </c>
    </row>
    <row r="640" spans="1:14" x14ac:dyDescent="0.35">
      <c r="A640">
        <v>19</v>
      </c>
      <c r="B640">
        <v>98</v>
      </c>
      <c r="C640" t="s">
        <v>85</v>
      </c>
      <c r="D640" t="s">
        <v>36</v>
      </c>
      <c r="E640" t="s">
        <v>17</v>
      </c>
      <c r="F640">
        <v>133</v>
      </c>
      <c r="G640">
        <v>0.93200000000000005</v>
      </c>
      <c r="H640">
        <v>0.34828010706781592</v>
      </c>
      <c r="I640">
        <f t="shared" ref="I640" si="473">H640*1.96</f>
        <v>0.68262900985291919</v>
      </c>
      <c r="J640">
        <f t="shared" si="433"/>
        <v>0.24937099014708086</v>
      </c>
      <c r="K640">
        <f t="shared" si="434"/>
        <v>1.6146290098529192</v>
      </c>
      <c r="L640" t="str">
        <f t="shared" si="428"/>
        <v>0.68</v>
      </c>
      <c r="M640" t="str">
        <f t="shared" si="429"/>
        <v>0.25</v>
      </c>
      <c r="N640" t="str">
        <f t="shared" si="430"/>
        <v>0.93 [0.68, 0.25]</v>
      </c>
    </row>
    <row r="641" spans="1:14" x14ac:dyDescent="0.35">
      <c r="A641">
        <v>546</v>
      </c>
      <c r="B641">
        <v>98</v>
      </c>
      <c r="C641" t="s">
        <v>85</v>
      </c>
      <c r="D641" t="s">
        <v>10</v>
      </c>
      <c r="E641" t="s">
        <v>15</v>
      </c>
      <c r="F641">
        <v>68</v>
      </c>
      <c r="G641">
        <v>4</v>
      </c>
      <c r="H641">
        <v>0.57999999999999996</v>
      </c>
      <c r="I641">
        <f t="shared" ref="I641:I642" si="474">H641/(SQRT(F641))*1.96</f>
        <v>0.13785724927065163</v>
      </c>
      <c r="J641">
        <f t="shared" si="433"/>
        <v>3.8621427507293484</v>
      </c>
      <c r="K641">
        <f t="shared" si="434"/>
        <v>4.1378572492706516</v>
      </c>
      <c r="L641" t="str">
        <f t="shared" si="428"/>
        <v>0.14</v>
      </c>
      <c r="M641" t="str">
        <f t="shared" si="429"/>
        <v>3.86</v>
      </c>
      <c r="N641" t="str">
        <f t="shared" si="430"/>
        <v>4.00 [0.14, 3.86]</v>
      </c>
    </row>
    <row r="642" spans="1:14" x14ac:dyDescent="0.35">
      <c r="A642">
        <v>547</v>
      </c>
      <c r="B642">
        <v>98</v>
      </c>
      <c r="C642" t="s">
        <v>85</v>
      </c>
      <c r="D642" t="s">
        <v>35</v>
      </c>
      <c r="E642" t="s">
        <v>15</v>
      </c>
      <c r="F642">
        <v>64</v>
      </c>
      <c r="G642">
        <v>6</v>
      </c>
      <c r="H642">
        <v>0.9</v>
      </c>
      <c r="I642">
        <f t="shared" si="474"/>
        <v>0.2205</v>
      </c>
      <c r="J642">
        <f t="shared" si="433"/>
        <v>5.7794999999999996</v>
      </c>
      <c r="K642">
        <f t="shared" si="434"/>
        <v>6.2205000000000004</v>
      </c>
      <c r="L642" t="str">
        <f t="shared" si="428"/>
        <v>0.22</v>
      </c>
      <c r="M642" t="str">
        <f t="shared" si="429"/>
        <v>5.78</v>
      </c>
      <c r="N642" t="str">
        <f t="shared" si="430"/>
        <v>6.00 [0.22, 5.78]</v>
      </c>
    </row>
    <row r="643" spans="1:14" x14ac:dyDescent="0.35">
      <c r="A643">
        <v>19</v>
      </c>
      <c r="B643">
        <v>98</v>
      </c>
      <c r="C643" t="s">
        <v>85</v>
      </c>
      <c r="D643" t="s">
        <v>36</v>
      </c>
      <c r="E643" t="s">
        <v>15</v>
      </c>
      <c r="F643">
        <v>133</v>
      </c>
      <c r="G643">
        <v>0.627</v>
      </c>
      <c r="H643">
        <v>0.63948006644360766</v>
      </c>
      <c r="I643">
        <f t="shared" ref="I643" si="475">H643*1.96</f>
        <v>1.2533809302294709</v>
      </c>
      <c r="J643">
        <f t="shared" si="433"/>
        <v>-0.62638093022947094</v>
      </c>
      <c r="K643">
        <f t="shared" si="434"/>
        <v>1.8803809302294709</v>
      </c>
      <c r="L643" t="str">
        <f t="shared" ref="L643:L661" si="476">TEXT(I643,"#0.00")</f>
        <v>1.25</v>
      </c>
      <c r="M643" t="str">
        <f t="shared" ref="M643:M661" si="477">TEXT(J643,"#0.00")</f>
        <v>-0.63</v>
      </c>
      <c r="N643" t="str">
        <f t="shared" ref="N643:N661" si="478">TEXT(G643,"#0.00")&amp;" ["&amp;L643&amp;", "&amp;M643&amp;"]"</f>
        <v>0.63 [1.25, -0.63]</v>
      </c>
    </row>
    <row r="644" spans="1:14" x14ac:dyDescent="0.35">
      <c r="A644">
        <v>368</v>
      </c>
      <c r="B644">
        <v>98</v>
      </c>
      <c r="C644" t="s">
        <v>85</v>
      </c>
      <c r="D644" t="s">
        <v>10</v>
      </c>
      <c r="E644" t="s">
        <v>19</v>
      </c>
      <c r="F644">
        <v>68</v>
      </c>
      <c r="G644">
        <v>96</v>
      </c>
      <c r="H644">
        <v>6.99</v>
      </c>
      <c r="I644">
        <f t="shared" ref="I644:I645" si="479">H644/(SQRT(F644))*1.96</f>
        <v>1.6614175386238881</v>
      </c>
      <c r="J644">
        <f t="shared" si="433"/>
        <v>94.338582461376106</v>
      </c>
      <c r="K644">
        <f t="shared" si="434"/>
        <v>97.661417538623894</v>
      </c>
      <c r="L644" t="str">
        <f t="shared" si="476"/>
        <v>1.66</v>
      </c>
      <c r="M644" t="str">
        <f t="shared" si="477"/>
        <v>94.34</v>
      </c>
      <c r="N644" t="str">
        <f t="shared" si="478"/>
        <v>96.00 [1.66, 94.34]</v>
      </c>
    </row>
    <row r="645" spans="1:14" x14ac:dyDescent="0.35">
      <c r="A645">
        <v>369</v>
      </c>
      <c r="B645">
        <v>98</v>
      </c>
      <c r="C645" t="s">
        <v>85</v>
      </c>
      <c r="D645" t="s">
        <v>35</v>
      </c>
      <c r="E645" t="s">
        <v>19</v>
      </c>
      <c r="F645">
        <v>64</v>
      </c>
      <c r="G645">
        <v>93</v>
      </c>
      <c r="H645">
        <v>5.78</v>
      </c>
      <c r="I645">
        <f t="shared" si="479"/>
        <v>1.4161000000000001</v>
      </c>
      <c r="J645">
        <f t="shared" ref="J645:J661" si="480">G645-I645</f>
        <v>91.5839</v>
      </c>
      <c r="K645">
        <f t="shared" ref="K645:K661" si="481">G645+I645</f>
        <v>94.4161</v>
      </c>
      <c r="L645" t="str">
        <f t="shared" si="476"/>
        <v>1.42</v>
      </c>
      <c r="M645" t="str">
        <f t="shared" si="477"/>
        <v>91.58</v>
      </c>
      <c r="N645" t="str">
        <f t="shared" si="478"/>
        <v>93.00 [1.42, 91.58]</v>
      </c>
    </row>
    <row r="646" spans="1:14" x14ac:dyDescent="0.35">
      <c r="A646">
        <v>32</v>
      </c>
      <c r="B646">
        <v>98</v>
      </c>
      <c r="C646" t="s">
        <v>85</v>
      </c>
      <c r="D646" t="s">
        <v>36</v>
      </c>
      <c r="E646" t="s">
        <v>19</v>
      </c>
      <c r="F646">
        <v>132</v>
      </c>
      <c r="G646">
        <v>0.46600000000000003</v>
      </c>
      <c r="H646">
        <v>0.17699999999999999</v>
      </c>
      <c r="I646">
        <f t="shared" ref="I646" si="482">H646*1.96</f>
        <v>0.34691999999999995</v>
      </c>
      <c r="J646">
        <f t="shared" si="480"/>
        <v>0.11908000000000007</v>
      </c>
      <c r="K646">
        <f t="shared" si="481"/>
        <v>0.81291999999999998</v>
      </c>
      <c r="L646" t="str">
        <f t="shared" si="476"/>
        <v>0.35</v>
      </c>
      <c r="M646" t="str">
        <f t="shared" si="477"/>
        <v>0.12</v>
      </c>
      <c r="N646" t="str">
        <f t="shared" si="478"/>
        <v>0.47 [0.35, 0.12]</v>
      </c>
    </row>
    <row r="647" spans="1:14" x14ac:dyDescent="0.35">
      <c r="A647">
        <v>432</v>
      </c>
      <c r="B647">
        <v>98</v>
      </c>
      <c r="C647" t="s">
        <v>85</v>
      </c>
      <c r="D647" t="s">
        <v>10</v>
      </c>
      <c r="E647" t="s">
        <v>16</v>
      </c>
      <c r="F647">
        <v>68</v>
      </c>
      <c r="G647">
        <v>26</v>
      </c>
      <c r="H647">
        <v>0.31</v>
      </c>
      <c r="I647">
        <f t="shared" ref="I647:I648" si="483">H647/(SQRT(F647))*1.96</f>
        <v>7.368232288603796E-2</v>
      </c>
      <c r="J647">
        <f t="shared" si="480"/>
        <v>25.926317677113961</v>
      </c>
      <c r="K647">
        <f t="shared" si="481"/>
        <v>26.073682322886039</v>
      </c>
      <c r="L647" t="str">
        <f t="shared" si="476"/>
        <v>0.07</v>
      </c>
      <c r="M647" t="str">
        <f t="shared" si="477"/>
        <v>25.93</v>
      </c>
      <c r="N647" t="str">
        <f t="shared" si="478"/>
        <v>26.00 [0.07, 25.93]</v>
      </c>
    </row>
    <row r="648" spans="1:14" x14ac:dyDescent="0.35">
      <c r="A648">
        <v>433</v>
      </c>
      <c r="B648">
        <v>98</v>
      </c>
      <c r="C648" t="s">
        <v>85</v>
      </c>
      <c r="D648" t="s">
        <v>35</v>
      </c>
      <c r="E648" t="s">
        <v>16</v>
      </c>
      <c r="F648">
        <v>64</v>
      </c>
      <c r="G648">
        <v>33</v>
      </c>
      <c r="H648">
        <v>0.46</v>
      </c>
      <c r="I648">
        <f t="shared" si="483"/>
        <v>0.11270000000000001</v>
      </c>
      <c r="J648">
        <f t="shared" si="480"/>
        <v>32.887300000000003</v>
      </c>
      <c r="K648">
        <f t="shared" si="481"/>
        <v>33.112699999999997</v>
      </c>
      <c r="L648" t="str">
        <f t="shared" si="476"/>
        <v>0.11</v>
      </c>
      <c r="M648" t="str">
        <f t="shared" si="477"/>
        <v>32.89</v>
      </c>
      <c r="N648" t="str">
        <f t="shared" si="478"/>
        <v>33.00 [0.11, 32.89]</v>
      </c>
    </row>
    <row r="649" spans="1:14" x14ac:dyDescent="0.35">
      <c r="A649">
        <v>25</v>
      </c>
      <c r="B649">
        <v>98</v>
      </c>
      <c r="C649" t="s">
        <v>85</v>
      </c>
      <c r="D649" t="s">
        <v>36</v>
      </c>
      <c r="E649" t="s">
        <v>16</v>
      </c>
      <c r="F649">
        <v>133</v>
      </c>
      <c r="G649">
        <v>0.58399999999999996</v>
      </c>
      <c r="H649">
        <v>0.35164496818654079</v>
      </c>
      <c r="I649">
        <f t="shared" ref="I649" si="484">H649*1.96</f>
        <v>0.68922413764561996</v>
      </c>
      <c r="J649">
        <f t="shared" si="480"/>
        <v>-0.10522413764562</v>
      </c>
      <c r="K649">
        <f t="shared" si="481"/>
        <v>1.2732241376456199</v>
      </c>
      <c r="L649" t="str">
        <f t="shared" si="476"/>
        <v>0.69</v>
      </c>
      <c r="M649" t="str">
        <f t="shared" si="477"/>
        <v>-0.11</v>
      </c>
      <c r="N649" t="str">
        <f t="shared" si="478"/>
        <v>0.58 [0.69, -0.11]</v>
      </c>
    </row>
    <row r="650" spans="1:14" x14ac:dyDescent="0.35">
      <c r="A650">
        <v>610</v>
      </c>
      <c r="B650">
        <v>98</v>
      </c>
      <c r="C650" t="s">
        <v>85</v>
      </c>
      <c r="D650" t="s">
        <v>10</v>
      </c>
      <c r="E650" t="s">
        <v>14</v>
      </c>
      <c r="F650">
        <v>68</v>
      </c>
      <c r="G650">
        <v>2</v>
      </c>
      <c r="H650">
        <v>0.31</v>
      </c>
      <c r="I650">
        <f t="shared" ref="I650:I651" si="485">H650/(SQRT(F650))*1.96</f>
        <v>7.368232288603796E-2</v>
      </c>
      <c r="J650">
        <f t="shared" si="480"/>
        <v>1.9263176771139621</v>
      </c>
      <c r="K650">
        <f t="shared" si="481"/>
        <v>2.0736823228860382</v>
      </c>
      <c r="L650" t="str">
        <f t="shared" si="476"/>
        <v>0.07</v>
      </c>
      <c r="M650" t="str">
        <f t="shared" si="477"/>
        <v>1.93</v>
      </c>
      <c r="N650" t="str">
        <f t="shared" si="478"/>
        <v>2.00 [0.07, 1.93]</v>
      </c>
    </row>
    <row r="651" spans="1:14" x14ac:dyDescent="0.35">
      <c r="A651">
        <v>611</v>
      </c>
      <c r="B651">
        <v>98</v>
      </c>
      <c r="C651" t="s">
        <v>85</v>
      </c>
      <c r="D651" t="s">
        <v>35</v>
      </c>
      <c r="E651" t="s">
        <v>14</v>
      </c>
      <c r="F651">
        <v>64</v>
      </c>
      <c r="G651">
        <v>3</v>
      </c>
      <c r="H651">
        <v>0.46</v>
      </c>
      <c r="I651">
        <f t="shared" si="485"/>
        <v>0.11270000000000001</v>
      </c>
      <c r="J651">
        <f t="shared" si="480"/>
        <v>2.8873000000000002</v>
      </c>
      <c r="K651">
        <f t="shared" si="481"/>
        <v>3.1126999999999998</v>
      </c>
      <c r="L651" t="str">
        <f t="shared" si="476"/>
        <v>0.11</v>
      </c>
      <c r="M651" t="str">
        <f t="shared" si="477"/>
        <v>2.89</v>
      </c>
      <c r="N651" t="str">
        <f t="shared" si="478"/>
        <v>3.00 [0.11, 2.89]</v>
      </c>
    </row>
    <row r="652" spans="1:14" x14ac:dyDescent="0.35">
      <c r="A652">
        <v>25</v>
      </c>
      <c r="B652">
        <v>98</v>
      </c>
      <c r="C652" t="s">
        <v>85</v>
      </c>
      <c r="D652" t="s">
        <v>36</v>
      </c>
      <c r="E652" t="s">
        <v>14</v>
      </c>
      <c r="F652">
        <v>133</v>
      </c>
      <c r="G652">
        <v>0.66</v>
      </c>
      <c r="H652">
        <v>0.84691159130617155</v>
      </c>
      <c r="I652">
        <f t="shared" ref="I652" si="486">H652*1.96</f>
        <v>1.6599467189600963</v>
      </c>
      <c r="J652">
        <f t="shared" si="480"/>
        <v>-0.99994671896009624</v>
      </c>
      <c r="K652">
        <f t="shared" si="481"/>
        <v>2.3199467189600962</v>
      </c>
      <c r="L652" t="str">
        <f t="shared" si="476"/>
        <v>1.66</v>
      </c>
      <c r="M652" t="str">
        <f t="shared" si="477"/>
        <v>-1.00</v>
      </c>
      <c r="N652" t="str">
        <f t="shared" si="478"/>
        <v>0.66 [1.66, -1.00]</v>
      </c>
    </row>
    <row r="653" spans="1:14" x14ac:dyDescent="0.35">
      <c r="A653">
        <v>490</v>
      </c>
      <c r="B653">
        <v>98</v>
      </c>
      <c r="C653" t="s">
        <v>85</v>
      </c>
      <c r="D653" t="s">
        <v>10</v>
      </c>
      <c r="E653" t="s">
        <v>9</v>
      </c>
      <c r="F653">
        <v>68</v>
      </c>
      <c r="G653">
        <v>5</v>
      </c>
      <c r="H653">
        <v>1.48</v>
      </c>
      <c r="I653">
        <f t="shared" ref="I653:I654" si="487">H653/(SQRT(F653))*1.96</f>
        <v>0.35177367055269732</v>
      </c>
      <c r="J653">
        <f t="shared" si="480"/>
        <v>4.6482263294473025</v>
      </c>
      <c r="K653">
        <f t="shared" si="481"/>
        <v>5.3517736705526975</v>
      </c>
      <c r="L653" t="str">
        <f t="shared" si="476"/>
        <v>0.35</v>
      </c>
      <c r="M653" t="str">
        <f t="shared" si="477"/>
        <v>4.65</v>
      </c>
      <c r="N653" t="str">
        <f t="shared" si="478"/>
        <v>5.00 [0.35, 4.65]</v>
      </c>
    </row>
    <row r="654" spans="1:14" x14ac:dyDescent="0.35">
      <c r="A654">
        <v>491</v>
      </c>
      <c r="B654">
        <v>98</v>
      </c>
      <c r="C654" t="s">
        <v>85</v>
      </c>
      <c r="D654" t="s">
        <v>35</v>
      </c>
      <c r="E654" t="s">
        <v>9</v>
      </c>
      <c r="F654">
        <v>64</v>
      </c>
      <c r="G654">
        <v>5</v>
      </c>
      <c r="H654">
        <v>1.07</v>
      </c>
      <c r="I654">
        <f t="shared" si="487"/>
        <v>0.26214999999999999</v>
      </c>
      <c r="J654">
        <f t="shared" si="480"/>
        <v>4.7378499999999999</v>
      </c>
      <c r="K654">
        <f t="shared" si="481"/>
        <v>5.2621500000000001</v>
      </c>
      <c r="L654" t="str">
        <f t="shared" si="476"/>
        <v>0.26</v>
      </c>
      <c r="M654" t="str">
        <f t="shared" si="477"/>
        <v>4.74</v>
      </c>
      <c r="N654" t="str">
        <f t="shared" si="478"/>
        <v>5.00 [0.26, 4.74]</v>
      </c>
    </row>
    <row r="655" spans="1:14" x14ac:dyDescent="0.35">
      <c r="A655">
        <v>22</v>
      </c>
      <c r="B655">
        <v>98</v>
      </c>
      <c r="C655" t="s">
        <v>85</v>
      </c>
      <c r="D655" t="s">
        <v>36</v>
      </c>
      <c r="E655" t="s">
        <v>9</v>
      </c>
      <c r="F655">
        <v>132</v>
      </c>
      <c r="G655">
        <v>0</v>
      </c>
      <c r="H655">
        <v>0.17399999999999999</v>
      </c>
      <c r="I655">
        <f t="shared" ref="I655" si="488">H655*1.96</f>
        <v>0.34103999999999995</v>
      </c>
      <c r="J655">
        <f t="shared" si="480"/>
        <v>-0.34103999999999995</v>
      </c>
      <c r="K655">
        <f t="shared" si="481"/>
        <v>0.34103999999999995</v>
      </c>
      <c r="L655" t="str">
        <f t="shared" si="476"/>
        <v>0.34</v>
      </c>
      <c r="M655" t="str">
        <f t="shared" si="477"/>
        <v>-0.34</v>
      </c>
      <c r="N655" t="str">
        <f t="shared" si="478"/>
        <v>0.00 [0.34, -0.34]</v>
      </c>
    </row>
    <row r="656" spans="1:14" x14ac:dyDescent="0.35">
      <c r="A656">
        <v>122</v>
      </c>
      <c r="B656">
        <v>100</v>
      </c>
      <c r="C656" t="s">
        <v>86</v>
      </c>
      <c r="D656" t="s">
        <v>8</v>
      </c>
      <c r="E656" t="s">
        <v>27</v>
      </c>
      <c r="F656">
        <v>40</v>
      </c>
      <c r="G656">
        <v>82</v>
      </c>
      <c r="H656">
        <v>20</v>
      </c>
      <c r="I656">
        <f t="shared" ref="I656:I657" si="489">H656/(SQRT(F656))*1.96</f>
        <v>6.1980642139300226</v>
      </c>
      <c r="J656">
        <f t="shared" si="480"/>
        <v>75.801935786069976</v>
      </c>
      <c r="K656">
        <f t="shared" si="481"/>
        <v>88.198064213930024</v>
      </c>
      <c r="L656" t="str">
        <f t="shared" si="476"/>
        <v>6.20</v>
      </c>
      <c r="M656" t="str">
        <f t="shared" si="477"/>
        <v>75.80</v>
      </c>
      <c r="N656" t="str">
        <f t="shared" si="478"/>
        <v>82.00 [6.20, 75.80]</v>
      </c>
    </row>
    <row r="657" spans="1:14" x14ac:dyDescent="0.35">
      <c r="A657">
        <v>123</v>
      </c>
      <c r="B657">
        <v>100</v>
      </c>
      <c r="C657" t="s">
        <v>86</v>
      </c>
      <c r="D657" t="s">
        <v>10</v>
      </c>
      <c r="E657" t="s">
        <v>27</v>
      </c>
      <c r="F657">
        <v>39</v>
      </c>
      <c r="G657">
        <v>88</v>
      </c>
      <c r="H657">
        <v>9</v>
      </c>
      <c r="I657">
        <f t="shared" si="489"/>
        <v>2.824660633121737</v>
      </c>
      <c r="J657">
        <f t="shared" si="480"/>
        <v>85.175339366878262</v>
      </c>
      <c r="K657">
        <f t="shared" si="481"/>
        <v>90.824660633121738</v>
      </c>
      <c r="L657" t="str">
        <f t="shared" si="476"/>
        <v>2.82</v>
      </c>
      <c r="M657" t="str">
        <f t="shared" si="477"/>
        <v>85.18</v>
      </c>
      <c r="N657" t="str">
        <f t="shared" si="478"/>
        <v>88.00 [2.82, 85.18]</v>
      </c>
    </row>
    <row r="658" spans="1:14" x14ac:dyDescent="0.35">
      <c r="A658">
        <v>25</v>
      </c>
      <c r="B658">
        <v>100</v>
      </c>
      <c r="C658" t="s">
        <v>86</v>
      </c>
      <c r="D658" t="s">
        <v>11</v>
      </c>
      <c r="E658" t="s">
        <v>27</v>
      </c>
      <c r="F658">
        <v>79</v>
      </c>
      <c r="G658">
        <v>0.38500000000000001</v>
      </c>
      <c r="H658">
        <v>0.22700000000000001</v>
      </c>
      <c r="I658">
        <f t="shared" ref="I658" si="490">H658*1.96</f>
        <v>0.44491999999999998</v>
      </c>
      <c r="J658">
        <f t="shared" si="480"/>
        <v>-5.9919999999999973E-2</v>
      </c>
      <c r="K658">
        <f t="shared" si="481"/>
        <v>0.82991999999999999</v>
      </c>
      <c r="L658" t="str">
        <f t="shared" si="476"/>
        <v>0.44</v>
      </c>
      <c r="M658" t="str">
        <f t="shared" si="477"/>
        <v>-0.06</v>
      </c>
      <c r="N658" t="str">
        <f t="shared" si="478"/>
        <v>0.39 [0.44, -0.06]</v>
      </c>
    </row>
    <row r="659" spans="1:14" x14ac:dyDescent="0.35">
      <c r="A659">
        <v>232</v>
      </c>
      <c r="B659">
        <v>100</v>
      </c>
      <c r="C659" t="s">
        <v>86</v>
      </c>
      <c r="D659" t="s">
        <v>8</v>
      </c>
      <c r="E659" t="s">
        <v>13</v>
      </c>
      <c r="F659">
        <v>40</v>
      </c>
      <c r="G659">
        <v>0.4</v>
      </c>
      <c r="H659">
        <v>0.6</v>
      </c>
      <c r="I659">
        <f t="shared" ref="I659:I660" si="491">H659/(SQRT(F659))*1.96</f>
        <v>0.18594192641790069</v>
      </c>
      <c r="J659">
        <f t="shared" si="480"/>
        <v>0.21405807358209933</v>
      </c>
      <c r="K659">
        <f t="shared" si="481"/>
        <v>0.58594192641790066</v>
      </c>
      <c r="L659" t="str">
        <f t="shared" si="476"/>
        <v>0.19</v>
      </c>
      <c r="M659" t="str">
        <f t="shared" si="477"/>
        <v>0.21</v>
      </c>
      <c r="N659" t="str">
        <f t="shared" si="478"/>
        <v>0.40 [0.19, 0.21]</v>
      </c>
    </row>
    <row r="660" spans="1:14" x14ac:dyDescent="0.35">
      <c r="A660">
        <v>233</v>
      </c>
      <c r="B660">
        <v>100</v>
      </c>
      <c r="C660" t="s">
        <v>86</v>
      </c>
      <c r="D660" t="s">
        <v>10</v>
      </c>
      <c r="E660" t="s">
        <v>13</v>
      </c>
      <c r="F660">
        <v>39</v>
      </c>
      <c r="G660">
        <v>1.1000000000000001</v>
      </c>
      <c r="H660">
        <v>1.9</v>
      </c>
      <c r="I660">
        <f t="shared" si="491"/>
        <v>0.59631724477014436</v>
      </c>
      <c r="J660">
        <f t="shared" si="480"/>
        <v>0.50368275522985573</v>
      </c>
      <c r="K660">
        <f t="shared" si="481"/>
        <v>1.6963172447701445</v>
      </c>
      <c r="L660" t="str">
        <f t="shared" si="476"/>
        <v>0.60</v>
      </c>
      <c r="M660" t="str">
        <f t="shared" si="477"/>
        <v>0.50</v>
      </c>
      <c r="N660" t="str">
        <f t="shared" si="478"/>
        <v>1.10 [0.60, 0.50]</v>
      </c>
    </row>
    <row r="661" spans="1:14" x14ac:dyDescent="0.35">
      <c r="A661">
        <v>33</v>
      </c>
      <c r="B661">
        <v>100</v>
      </c>
      <c r="C661" t="s">
        <v>86</v>
      </c>
      <c r="D661" t="s">
        <v>11</v>
      </c>
      <c r="E661" t="s">
        <v>13</v>
      </c>
      <c r="F661">
        <v>79</v>
      </c>
      <c r="G661">
        <v>0.5</v>
      </c>
      <c r="H661">
        <v>0.22900000000000001</v>
      </c>
      <c r="I661">
        <f t="shared" ref="I661" si="492">H661*1.96</f>
        <v>0.44884000000000002</v>
      </c>
      <c r="J661">
        <f t="shared" si="480"/>
        <v>5.1159999999999983E-2</v>
      </c>
      <c r="K661">
        <f t="shared" si="481"/>
        <v>0.94884000000000002</v>
      </c>
      <c r="L661" t="str">
        <f t="shared" si="476"/>
        <v>0.45</v>
      </c>
      <c r="M661" t="str">
        <f t="shared" si="477"/>
        <v>0.05</v>
      </c>
      <c r="N661" t="str">
        <f t="shared" si="478"/>
        <v>0.50 [0.45, 0.05]</v>
      </c>
    </row>
    <row r="662" spans="1:14" x14ac:dyDescent="0.35">
      <c r="C662" t="s">
        <v>11</v>
      </c>
      <c r="D662">
        <f>COUNTIF($D$2:$D$661,C662)</f>
        <v>150</v>
      </c>
    </row>
  </sheetData>
  <sortState xmlns:xlrd2="http://schemas.microsoft.com/office/spreadsheetml/2017/richdata2" ref="A2:H661">
    <sortCondition ref="C2:C661"/>
    <sortCondition ref="E2:E661"/>
    <sortCondition ref="D2:D661" customList="BPTB,HT,QT,PLT,AT,TA,BPTB vs. HT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3D26-E643-4926-A5C2-D46386068D7F}">
  <sheetPr filterMode="1"/>
  <dimension ref="B1:E661"/>
  <sheetViews>
    <sheetView tabSelected="1" topLeftCell="C1" zoomScale="83" workbookViewId="0">
      <selection activeCell="D25" sqref="D25"/>
    </sheetView>
  </sheetViews>
  <sheetFormatPr defaultRowHeight="14.5" x14ac:dyDescent="0.35"/>
  <cols>
    <col min="3" max="3" width="34.36328125" bestFit="1" customWidth="1"/>
    <col min="4" max="4" width="23.6328125" bestFit="1" customWidth="1"/>
  </cols>
  <sheetData>
    <row r="1" spans="2:5" x14ac:dyDescent="0.35">
      <c r="D1" t="s">
        <v>1</v>
      </c>
      <c r="E1" t="s">
        <v>2</v>
      </c>
    </row>
    <row r="2" spans="2:5" hidden="1" x14ac:dyDescent="0.35">
      <c r="B2" t="str">
        <f>_xlfn.TEXTJOIN("; ",TRUE,Sheet1!C2:D2)</f>
        <v>Ageberg et al., 2009; BPTB</v>
      </c>
      <c r="C2" t="str" cm="1">
        <f t="array" ref="C2:C177">_xlfn.UNIQUE(B2:B661)</f>
        <v>Ageberg et al., 2009; BPTB</v>
      </c>
      <c r="D2" t="s">
        <v>97</v>
      </c>
      <c r="E2">
        <f ca="1">COUNTIF($E$2:$E$177,D2)</f>
        <v>1</v>
      </c>
    </row>
    <row r="3" spans="2:5" hidden="1" x14ac:dyDescent="0.35">
      <c r="B3" t="str">
        <f>_xlfn.TEXTJOIN("; ",TRUE,Sheet1!C3:D3)</f>
        <v>Ageberg et al., 2009; HT</v>
      </c>
      <c r="C3" t="str">
        <v>Ageberg et al., 2009; HT</v>
      </c>
      <c r="D3" t="s">
        <v>103</v>
      </c>
      <c r="E3">
        <f ca="1">COUNTIF($E$2:$E$177,D3)</f>
        <v>1</v>
      </c>
    </row>
    <row r="4" spans="2:5" hidden="1" x14ac:dyDescent="0.35">
      <c r="B4" t="str">
        <f>_xlfn.TEXTJOIN("; ",TRUE,Sheet1!C4:D4)</f>
        <v>Ageberg et al., 2009; BPTB vs. HT</v>
      </c>
      <c r="C4" t="str">
        <v>Ageberg et al., 2009; BPTB vs. HT</v>
      </c>
      <c r="D4" t="s">
        <v>96</v>
      </c>
      <c r="E4">
        <f ca="1">COUNTIF($E$2:$E$177,D4)</f>
        <v>3</v>
      </c>
    </row>
    <row r="5" spans="2:5" hidden="1" x14ac:dyDescent="0.35">
      <c r="B5" t="str">
        <f>_xlfn.TEXTJOIN("; ",TRUE,Sheet1!C5:D5)</f>
        <v>Aglietti et al., 2004; BPTB</v>
      </c>
      <c r="C5" t="str">
        <v>Aglietti et al., 2004; BPTB</v>
      </c>
      <c r="D5" t="s">
        <v>102</v>
      </c>
      <c r="E5">
        <f ca="1">COUNTIF($E$2:$E$177,D5)</f>
        <v>3</v>
      </c>
    </row>
    <row r="6" spans="2:5" hidden="1" x14ac:dyDescent="0.35">
      <c r="B6" t="str">
        <f>_xlfn.TEXTJOIN("; ",TRUE,Sheet1!C6:D6)</f>
        <v>Aglietti et al., 2004; HT</v>
      </c>
      <c r="C6" t="str">
        <v>Aglietti et al., 2004; HT</v>
      </c>
      <c r="D6" t="s">
        <v>98</v>
      </c>
      <c r="E6">
        <f ca="1">COUNTIF($E$2:$E$177,D6)</f>
        <v>4</v>
      </c>
    </row>
    <row r="7" spans="2:5" hidden="1" x14ac:dyDescent="0.35">
      <c r="B7" t="str">
        <f>_xlfn.TEXTJOIN("; ",TRUE,Sheet1!C7:D7)</f>
        <v>Aglietti et al., 2004; BPTB vs. HT</v>
      </c>
      <c r="C7" t="str">
        <v>Aglietti et al., 2004; BPTB vs. HT</v>
      </c>
      <c r="D7" t="s">
        <v>100</v>
      </c>
      <c r="E7">
        <f ca="1">COUNTIF($E$2:$E$177,D7)</f>
        <v>4</v>
      </c>
    </row>
    <row r="8" spans="2:5" hidden="1" x14ac:dyDescent="0.35">
      <c r="B8" t="str">
        <f>_xlfn.TEXTJOIN("; ",TRUE,Sheet1!C8:D8)</f>
        <v>Aglietti et al., 2004; BPTB</v>
      </c>
      <c r="C8" t="str">
        <v>Ahldén et al., 2009; BPTB</v>
      </c>
      <c r="D8" t="s">
        <v>104</v>
      </c>
      <c r="E8">
        <f ca="1">COUNTIF($E$2:$E$177,D8)</f>
        <v>4</v>
      </c>
    </row>
    <row r="9" spans="2:5" hidden="1" x14ac:dyDescent="0.35">
      <c r="B9" t="str">
        <f>_xlfn.TEXTJOIN("; ",TRUE,Sheet1!C9:D9)</f>
        <v>Aglietti et al., 2004; HT</v>
      </c>
      <c r="C9" t="str">
        <v>Ahldén et al., 2009; HT</v>
      </c>
      <c r="D9" t="s">
        <v>101</v>
      </c>
      <c r="E9">
        <f ca="1">COUNTIF($E$2:$E$177,D9)</f>
        <v>7</v>
      </c>
    </row>
    <row r="10" spans="2:5" hidden="1" x14ac:dyDescent="0.35">
      <c r="B10" t="str">
        <f>_xlfn.TEXTJOIN("; ",TRUE,Sheet1!C10:D10)</f>
        <v>Aglietti et al., 2004; BPTB vs. HT</v>
      </c>
      <c r="C10" t="str">
        <v>Ahldén et al., 2009; BPTB vs. HT</v>
      </c>
      <c r="D10" t="s">
        <v>95</v>
      </c>
      <c r="E10">
        <f ca="1">COUNTIF($E$2:$E$177,D10)</f>
        <v>10</v>
      </c>
    </row>
    <row r="11" spans="2:5" hidden="1" x14ac:dyDescent="0.35">
      <c r="B11" t="str">
        <f>_xlfn.TEXTJOIN("; ",TRUE,Sheet1!C11:D11)</f>
        <v>Aglietti et al., 2004; BPTB</v>
      </c>
      <c r="C11" t="str">
        <v>Anderson et al., 2001; BPTB</v>
      </c>
      <c r="D11" t="s">
        <v>99</v>
      </c>
      <c r="E11">
        <f ca="1">COUNTIF($E$2:$E$177,D11)</f>
        <v>40</v>
      </c>
    </row>
    <row r="12" spans="2:5" hidden="1" x14ac:dyDescent="0.35">
      <c r="B12" t="str">
        <f>_xlfn.TEXTJOIN("; ",TRUE,Sheet1!C12:D12)</f>
        <v>Aglietti et al., 2004; HT</v>
      </c>
      <c r="C12" t="str">
        <v>Anderson et al., 2001; HT</v>
      </c>
      <c r="D12" t="s">
        <v>93</v>
      </c>
      <c r="E12">
        <f ca="1">COUNTIF($E$2:$E$177,D12)</f>
        <v>44</v>
      </c>
    </row>
    <row r="13" spans="2:5" hidden="1" x14ac:dyDescent="0.35">
      <c r="B13" t="str">
        <f>_xlfn.TEXTJOIN("; ",TRUE,Sheet1!C13:D13)</f>
        <v>Aglietti et al., 2004; BPTB vs. HT</v>
      </c>
      <c r="C13" t="str">
        <v>Anderson et al., 2001; BPTB vs. HT</v>
      </c>
      <c r="D13" t="s">
        <v>94</v>
      </c>
      <c r="E13">
        <f ca="1">COUNTIF($E$2:$E$177,D13)</f>
        <v>55</v>
      </c>
    </row>
    <row r="14" spans="2:5" hidden="1" x14ac:dyDescent="0.35">
      <c r="B14" t="str">
        <f>_xlfn.TEXTJOIN("; ",TRUE,Sheet1!C14:D14)</f>
        <v>Aglietti et al., 2004; BPTB</v>
      </c>
      <c r="C14" t="str">
        <v>Anz et al., 2023; BPTB</v>
      </c>
      <c r="D14" t="str" cm="1">
        <f t="array" ref="D14:E14">_xlfn.TEXTSPLIT(C14,"; ")</f>
        <v>Anz et al., 2023</v>
      </c>
      <c r="E14" t="str">
        <v>BPTB</v>
      </c>
    </row>
    <row r="15" spans="2:5" hidden="1" x14ac:dyDescent="0.35">
      <c r="B15" t="str">
        <f>_xlfn.TEXTJOIN("; ",TRUE,Sheet1!C15:D15)</f>
        <v>Aglietti et al., 2004; HT</v>
      </c>
      <c r="C15" t="str">
        <v>Anz et al., 2023; HT</v>
      </c>
      <c r="D15" t="str" cm="1">
        <f t="array" ref="D15:E15">_xlfn.TEXTSPLIT(C15,"; ")</f>
        <v>Anz et al., 2023</v>
      </c>
      <c r="E15" t="str">
        <v>HT</v>
      </c>
    </row>
    <row r="16" spans="2:5" hidden="1" x14ac:dyDescent="0.35">
      <c r="B16" t="str">
        <f>_xlfn.TEXTJOIN("; ",TRUE,Sheet1!C16:D16)</f>
        <v>Aglietti et al., 2004; BPTB vs. HT</v>
      </c>
      <c r="C16" t="str">
        <v>Anz et al., 2023; BPTB vs. HT</v>
      </c>
      <c r="D16" t="str" cm="1">
        <f t="array" ref="D16:E16">_xlfn.TEXTSPLIT(C16,"; ")</f>
        <v>Anz et al., 2023</v>
      </c>
      <c r="E16" t="str">
        <v>BPTB vs. HT</v>
      </c>
    </row>
    <row r="17" spans="2:5" hidden="1" x14ac:dyDescent="0.35">
      <c r="B17" t="str">
        <f>_xlfn.TEXTJOIN("; ",TRUE,Sheet1!C17:D17)</f>
        <v>Aglietti et al., 2004; BPTB</v>
      </c>
      <c r="C17" t="str">
        <v>Aune et al., 2001; BPTB</v>
      </c>
      <c r="D17" t="str" cm="1">
        <f t="array" ref="D17:E17">_xlfn.TEXTSPLIT(C17,"; ")</f>
        <v>Aune et al., 2001</v>
      </c>
      <c r="E17" t="str">
        <v>BPTB</v>
      </c>
    </row>
    <row r="18" spans="2:5" hidden="1" x14ac:dyDescent="0.35">
      <c r="B18" t="str">
        <f>_xlfn.TEXTJOIN("; ",TRUE,Sheet1!C18:D18)</f>
        <v>Aglietti et al., 2004; HT</v>
      </c>
      <c r="C18" t="str">
        <v>Aune et al., 2001; HT</v>
      </c>
      <c r="D18" t="str" cm="1">
        <f t="array" ref="D18:E18">_xlfn.TEXTSPLIT(C18,"; ")</f>
        <v>Aune et al., 2001</v>
      </c>
      <c r="E18" t="str">
        <v>HT</v>
      </c>
    </row>
    <row r="19" spans="2:5" hidden="1" x14ac:dyDescent="0.35">
      <c r="B19" t="str">
        <f>_xlfn.TEXTJOIN("; ",TRUE,Sheet1!C19:D19)</f>
        <v>Aglietti et al., 2004; BPTB vs. HT</v>
      </c>
      <c r="C19" t="str">
        <v>Aune et al., 2001; BPTB vs. HT</v>
      </c>
      <c r="D19" t="str" cm="1">
        <f t="array" ref="D19:E19">_xlfn.TEXTSPLIT(C19,"; ")</f>
        <v>Aune et al., 2001</v>
      </c>
      <c r="E19" t="str">
        <v>BPTB vs. HT</v>
      </c>
    </row>
    <row r="20" spans="2:5" hidden="1" x14ac:dyDescent="0.35">
      <c r="B20" t="str">
        <f>_xlfn.TEXTJOIN("; ",TRUE,Sheet1!C20:D20)</f>
        <v>Ahldén et al., 2009; BPTB</v>
      </c>
      <c r="C20" t="str">
        <v>Barenius et al., 2010; BPTB</v>
      </c>
      <c r="D20" t="str" cm="1">
        <f t="array" ref="D20:E20">_xlfn.TEXTSPLIT(C20,"; ")</f>
        <v>Barenius et al., 2010</v>
      </c>
      <c r="E20" t="str">
        <v>BPTB</v>
      </c>
    </row>
    <row r="21" spans="2:5" hidden="1" x14ac:dyDescent="0.35">
      <c r="B21" t="str">
        <f>_xlfn.TEXTJOIN("; ",TRUE,Sheet1!C21:D21)</f>
        <v>Ahldén et al., 2009; HT</v>
      </c>
      <c r="C21" t="str">
        <v>Barenius et al., 2010; HT</v>
      </c>
      <c r="D21" t="str" cm="1">
        <f t="array" ref="D21:E21">_xlfn.TEXTSPLIT(C21,"; ")</f>
        <v>Barenius et al., 2010</v>
      </c>
      <c r="E21" t="str">
        <v>HT</v>
      </c>
    </row>
    <row r="22" spans="2:5" hidden="1" x14ac:dyDescent="0.35">
      <c r="B22" t="str">
        <f>_xlfn.TEXTJOIN("; ",TRUE,Sheet1!C22:D22)</f>
        <v>Ahldén et al., 2009; BPTB vs. HT</v>
      </c>
      <c r="C22" t="str">
        <v>Barenius et al., 2010; BPTB vs. HT</v>
      </c>
      <c r="D22" t="str" cm="1">
        <f t="array" ref="D22:E22">_xlfn.TEXTSPLIT(C22,"; ")</f>
        <v>Barenius et al., 2010</v>
      </c>
      <c r="E22" t="str">
        <v>BPTB vs. HT</v>
      </c>
    </row>
    <row r="23" spans="2:5" hidden="1" x14ac:dyDescent="0.35">
      <c r="B23" t="str">
        <f>_xlfn.TEXTJOIN("; ",TRUE,Sheet1!C23:D23)</f>
        <v>Ahldén et al., 2009; BPTB</v>
      </c>
      <c r="C23" t="str">
        <v>Barié et al., 2020; BPTB</v>
      </c>
      <c r="D23" t="str" cm="1">
        <f t="array" ref="D23:E23">_xlfn.TEXTSPLIT(C23,"; ")</f>
        <v>Barié et al., 2020</v>
      </c>
      <c r="E23" t="str">
        <v>BPTB</v>
      </c>
    </row>
    <row r="24" spans="2:5" hidden="1" x14ac:dyDescent="0.35">
      <c r="B24" t="str">
        <f>_xlfn.TEXTJOIN("; ",TRUE,Sheet1!C24:D24)</f>
        <v>Ahldén et al., 2009; HT</v>
      </c>
      <c r="C24" t="str">
        <v>Barié et al., 2020; QT</v>
      </c>
      <c r="D24" t="str" cm="1">
        <f t="array" ref="D24:E24">_xlfn.TEXTSPLIT(C24,"; ")</f>
        <v>Barié et al., 2020</v>
      </c>
      <c r="E24" t="str">
        <v>QT</v>
      </c>
    </row>
    <row r="25" spans="2:5" x14ac:dyDescent="0.35">
      <c r="B25" t="str">
        <f>_xlfn.TEXTJOIN("; ",TRUE,Sheet1!C25:D25)</f>
        <v>Ahldén et al., 2009; BPTB vs. HT</v>
      </c>
      <c r="C25" t="str">
        <v>Barié et al., 2020; BPTB vs. QT</v>
      </c>
      <c r="D25" t="str" cm="1">
        <f t="array" ref="D25:E25">_xlfn.TEXTSPLIT(C25,"; ")</f>
        <v>Barié et al., 2020</v>
      </c>
      <c r="E25" t="str">
        <v>BPTB vs. QT</v>
      </c>
    </row>
    <row r="26" spans="2:5" hidden="1" x14ac:dyDescent="0.35">
      <c r="B26" t="str">
        <f>_xlfn.TEXTJOIN("; ",TRUE,Sheet1!C26:D26)</f>
        <v>Ahldén et al., 2009; BPTB</v>
      </c>
      <c r="C26" t="str">
        <v>Beynnon et al., 2002; BPTB</v>
      </c>
      <c r="D26" t="str" cm="1">
        <f t="array" ref="D26:E26">_xlfn.TEXTSPLIT(C26,"; ")</f>
        <v>Beynnon et al., 2002</v>
      </c>
      <c r="E26" t="str">
        <v>BPTB</v>
      </c>
    </row>
    <row r="27" spans="2:5" hidden="1" x14ac:dyDescent="0.35">
      <c r="B27" t="str">
        <f>_xlfn.TEXTJOIN("; ",TRUE,Sheet1!C27:D27)</f>
        <v>Ahldén et al., 2009; HT</v>
      </c>
      <c r="C27" t="str">
        <v>Beynnon et al., 2002; HT</v>
      </c>
      <c r="D27" t="str" cm="1">
        <f t="array" ref="D27:E27">_xlfn.TEXTSPLIT(C27,"; ")</f>
        <v>Beynnon et al., 2002</v>
      </c>
      <c r="E27" t="str">
        <v>HT</v>
      </c>
    </row>
    <row r="28" spans="2:5" hidden="1" x14ac:dyDescent="0.35">
      <c r="B28" t="str">
        <f>_xlfn.TEXTJOIN("; ",TRUE,Sheet1!C28:D28)</f>
        <v>Ahldén et al., 2009; BPTB vs. HT</v>
      </c>
      <c r="C28" t="str">
        <v>Beynnon et al., 2002; BPTB vs. HT</v>
      </c>
      <c r="D28" t="str" cm="1">
        <f t="array" ref="D28:E28">_xlfn.TEXTSPLIT(C28,"; ")</f>
        <v>Beynnon et al., 2002</v>
      </c>
      <c r="E28" t="str">
        <v>BPTB vs. HT</v>
      </c>
    </row>
    <row r="29" spans="2:5" hidden="1" x14ac:dyDescent="0.35">
      <c r="B29" t="str">
        <f>_xlfn.TEXTJOIN("; ",TRUE,Sheet1!C29:D29)</f>
        <v>Anderson et al., 2001; BPTB</v>
      </c>
      <c r="C29" t="str">
        <v>Bi et al., 2018; HT</v>
      </c>
      <c r="D29" t="str" cm="1">
        <f t="array" ref="D29:E29">_xlfn.TEXTSPLIT(C29,"; ")</f>
        <v>Bi et al., 2018</v>
      </c>
      <c r="E29" t="str">
        <v>HT</v>
      </c>
    </row>
    <row r="30" spans="2:5" hidden="1" x14ac:dyDescent="0.35">
      <c r="B30" t="str">
        <f>_xlfn.TEXTJOIN("; ",TRUE,Sheet1!C30:D30)</f>
        <v>Anderson et al., 2001; HT</v>
      </c>
      <c r="C30" t="str">
        <v>Bi et al., 2018; PLT</v>
      </c>
      <c r="D30" t="str" cm="1">
        <f t="array" ref="D30:E30">_xlfn.TEXTSPLIT(C30,"; ")</f>
        <v>Bi et al., 2018</v>
      </c>
      <c r="E30" t="str">
        <v>PLT</v>
      </c>
    </row>
    <row r="31" spans="2:5" hidden="1" x14ac:dyDescent="0.35">
      <c r="B31" t="str">
        <f>_xlfn.TEXTJOIN("; ",TRUE,Sheet1!C31:D31)</f>
        <v>Anderson et al., 2001; BPTB vs. HT</v>
      </c>
      <c r="C31" t="str">
        <v>Bi et al., 2018; HT vs. PLT</v>
      </c>
      <c r="D31" t="str" cm="1">
        <f t="array" ref="D31:E31">_xlfn.TEXTSPLIT(C31,"; ")</f>
        <v>Bi et al., 2018</v>
      </c>
      <c r="E31" t="str">
        <v>HT vs. PLT</v>
      </c>
    </row>
    <row r="32" spans="2:5" hidden="1" x14ac:dyDescent="0.35">
      <c r="B32" t="str">
        <f>_xlfn.TEXTJOIN("; ",TRUE,Sheet1!C32:D32)</f>
        <v>Anderson et al., 2001; BPTB</v>
      </c>
      <c r="C32" t="str">
        <v>Björnsson et al., 2016; BPTB</v>
      </c>
      <c r="D32" t="str" cm="1">
        <f t="array" ref="D32:E32">_xlfn.TEXTSPLIT(C32,"; ")</f>
        <v>Björnsson et al., 2016</v>
      </c>
      <c r="E32" t="str">
        <v>BPTB</v>
      </c>
    </row>
    <row r="33" spans="2:5" hidden="1" x14ac:dyDescent="0.35">
      <c r="B33" t="str">
        <f>_xlfn.TEXTJOIN("; ",TRUE,Sheet1!C33:D33)</f>
        <v>Anderson et al., 2001; HT</v>
      </c>
      <c r="C33" t="str">
        <v>Björnsson et al., 2016; HT</v>
      </c>
      <c r="D33" t="str" cm="1">
        <f t="array" ref="D33:E33">_xlfn.TEXTSPLIT(C33,"; ")</f>
        <v>Björnsson et al., 2016</v>
      </c>
      <c r="E33" t="str">
        <v>HT</v>
      </c>
    </row>
    <row r="34" spans="2:5" hidden="1" x14ac:dyDescent="0.35">
      <c r="B34" t="str">
        <f>_xlfn.TEXTJOIN("; ",TRUE,Sheet1!C34:D34)</f>
        <v>Anderson et al., 2001; BPTB vs. HT</v>
      </c>
      <c r="C34" t="str">
        <v>Björnsson et al., 2016; BPTB vs. HT</v>
      </c>
      <c r="D34" t="str" cm="1">
        <f t="array" ref="D34:E34">_xlfn.TEXTSPLIT(C34,"; ")</f>
        <v>Björnsson et al., 2016</v>
      </c>
      <c r="E34" t="str">
        <v>BPTB vs. HT</v>
      </c>
    </row>
    <row r="35" spans="2:5" hidden="1" x14ac:dyDescent="0.35">
      <c r="B35" t="str">
        <f>_xlfn.TEXTJOIN("; ",TRUE,Sheet1!C35:D35)</f>
        <v>Anderson et al., 2001; BPTB</v>
      </c>
      <c r="C35" t="str">
        <v>Bottoni et al., 2015; HT</v>
      </c>
      <c r="D35" t="str" cm="1">
        <f t="array" ref="D35:E35">_xlfn.TEXTSPLIT(C35,"; ")</f>
        <v>Bottoni et al., 2015</v>
      </c>
      <c r="E35" t="str">
        <v>HT</v>
      </c>
    </row>
    <row r="36" spans="2:5" hidden="1" x14ac:dyDescent="0.35">
      <c r="B36" t="str">
        <f>_xlfn.TEXTJOIN("; ",TRUE,Sheet1!C36:D36)</f>
        <v>Anderson et al., 2001; HT</v>
      </c>
      <c r="C36" t="str">
        <v>Bottoni et al., 2015; TA</v>
      </c>
      <c r="D36" t="str" cm="1">
        <f t="array" ref="D36:E36">_xlfn.TEXTSPLIT(C36,"; ")</f>
        <v>Bottoni et al., 2015</v>
      </c>
      <c r="E36" t="str">
        <v>TA</v>
      </c>
    </row>
    <row r="37" spans="2:5" hidden="1" x14ac:dyDescent="0.35">
      <c r="B37" t="str">
        <f>_xlfn.TEXTJOIN("; ",TRUE,Sheet1!C37:D37)</f>
        <v>Anderson et al., 2001; BPTB vs. HT</v>
      </c>
      <c r="C37" t="str">
        <v>Bottoni et al., 2015; HT vs. TA</v>
      </c>
      <c r="D37" t="str" cm="1">
        <f t="array" ref="D37:E37">_xlfn.TEXTSPLIT(C37,"; ")</f>
        <v>Bottoni et al., 2015</v>
      </c>
      <c r="E37" t="str">
        <v>HT vs. TA</v>
      </c>
    </row>
    <row r="38" spans="2:5" hidden="1" x14ac:dyDescent="0.35">
      <c r="B38" t="str">
        <f>_xlfn.TEXTJOIN("; ",TRUE,Sheet1!C38:D38)</f>
        <v>Anz et al., 2023; BPTB</v>
      </c>
      <c r="C38" t="str">
        <v>Butt et al., 2024; HT</v>
      </c>
      <c r="D38" t="str" cm="1">
        <f t="array" ref="D38:E38">_xlfn.TEXTSPLIT(C38,"; ")</f>
        <v>Butt et al., 2024</v>
      </c>
      <c r="E38" t="str">
        <v>HT</v>
      </c>
    </row>
    <row r="39" spans="2:5" hidden="1" x14ac:dyDescent="0.35">
      <c r="B39" t="str">
        <f>_xlfn.TEXTJOIN("; ",TRUE,Sheet1!C39:D39)</f>
        <v>Anz et al., 2023; HT</v>
      </c>
      <c r="C39" t="str">
        <v>Butt et al., 2024; PLT</v>
      </c>
      <c r="D39" t="str" cm="1">
        <f t="array" ref="D39:E39">_xlfn.TEXTSPLIT(C39,"; ")</f>
        <v>Butt et al., 2024</v>
      </c>
      <c r="E39" t="str">
        <v>PLT</v>
      </c>
    </row>
    <row r="40" spans="2:5" hidden="1" x14ac:dyDescent="0.35">
      <c r="B40" t="str">
        <f>_xlfn.TEXTJOIN("; ",TRUE,Sheet1!C40:D40)</f>
        <v>Anz et al., 2023; BPTB vs. HT</v>
      </c>
      <c r="C40" t="str">
        <v>Butt et al., 2024; HT vs. PLT</v>
      </c>
      <c r="D40" t="str" cm="1">
        <f t="array" ref="D40:E40">_xlfn.TEXTSPLIT(C40,"; ")</f>
        <v>Butt et al., 2024</v>
      </c>
      <c r="E40" t="str">
        <v>HT vs. PLT</v>
      </c>
    </row>
    <row r="41" spans="2:5" hidden="1" x14ac:dyDescent="0.35">
      <c r="B41" t="str">
        <f>_xlfn.TEXTJOIN("; ",TRUE,Sheet1!C41:D41)</f>
        <v>Aune et al., 2001; BPTB</v>
      </c>
      <c r="C41" t="str">
        <v>Calvert et al., 2025; HT</v>
      </c>
      <c r="D41" t="str" cm="1">
        <f t="array" ref="D41:E41">_xlfn.TEXTSPLIT(C41,"; ")</f>
        <v>Calvert et al., 2025</v>
      </c>
      <c r="E41" t="str">
        <v>HT</v>
      </c>
    </row>
    <row r="42" spans="2:5" hidden="1" x14ac:dyDescent="0.35">
      <c r="B42" t="str">
        <f>_xlfn.TEXTJOIN("; ",TRUE,Sheet1!C42:D42)</f>
        <v>Aune et al., 2001; HT</v>
      </c>
      <c r="C42" t="str">
        <v>Calvert et al., 2025; QT</v>
      </c>
      <c r="D42" t="str" cm="1">
        <f t="array" ref="D42:E42">_xlfn.TEXTSPLIT(C42,"; ")</f>
        <v>Calvert et al., 2025</v>
      </c>
      <c r="E42" t="str">
        <v>QT</v>
      </c>
    </row>
    <row r="43" spans="2:5" x14ac:dyDescent="0.35">
      <c r="B43" t="str">
        <f>_xlfn.TEXTJOIN("; ",TRUE,Sheet1!C43:D43)</f>
        <v>Aune et al., 2001; BPTB vs. HT</v>
      </c>
      <c r="C43" t="str">
        <v>Calvert et al., 2025; HT vs. QT</v>
      </c>
      <c r="D43" t="str" cm="1">
        <f t="array" ref="D43:E43">_xlfn.TEXTSPLIT(C43,"; ")</f>
        <v>Calvert et al., 2025</v>
      </c>
      <c r="E43" t="str">
        <v>HT vs. QT</v>
      </c>
    </row>
    <row r="44" spans="2:5" hidden="1" x14ac:dyDescent="0.35">
      <c r="B44" t="str">
        <f>_xlfn.TEXTJOIN("; ",TRUE,Sheet1!C44:D44)</f>
        <v>Barenius et al., 2010; BPTB</v>
      </c>
      <c r="C44" t="str">
        <v>Ejerhed et al., 2003; BPTB</v>
      </c>
      <c r="D44" t="str" cm="1">
        <f t="array" ref="D44:E44">_xlfn.TEXTSPLIT(C44,"; ")</f>
        <v>Ejerhed et al., 2003</v>
      </c>
      <c r="E44" t="str">
        <v>BPTB</v>
      </c>
    </row>
    <row r="45" spans="2:5" hidden="1" x14ac:dyDescent="0.35">
      <c r="B45" t="str">
        <f>_xlfn.TEXTJOIN("; ",TRUE,Sheet1!C45:D45)</f>
        <v>Barenius et al., 2010; HT</v>
      </c>
      <c r="C45" t="str">
        <v>Ejerhed et al., 2003; HT</v>
      </c>
      <c r="D45" t="str" cm="1">
        <f t="array" ref="D45:E45">_xlfn.TEXTSPLIT(C45,"; ")</f>
        <v>Ejerhed et al., 2003</v>
      </c>
      <c r="E45" t="str">
        <v>HT</v>
      </c>
    </row>
    <row r="46" spans="2:5" hidden="1" x14ac:dyDescent="0.35">
      <c r="B46" t="str">
        <f>_xlfn.TEXTJOIN("; ",TRUE,Sheet1!C46:D46)</f>
        <v>Barenius et al., 2010; BPTB vs. HT</v>
      </c>
      <c r="C46" t="str">
        <v>Ejerhed et al., 2003; BPTB vs. HT</v>
      </c>
      <c r="D46" t="str" cm="1">
        <f t="array" ref="D46:E46">_xlfn.TEXTSPLIT(C46,"; ")</f>
        <v>Ejerhed et al., 2003</v>
      </c>
      <c r="E46" t="str">
        <v>BPTB vs. HT</v>
      </c>
    </row>
    <row r="47" spans="2:5" hidden="1" x14ac:dyDescent="0.35">
      <c r="B47" t="str">
        <f>_xlfn.TEXTJOIN("; ",TRUE,Sheet1!C47:D47)</f>
        <v>Barenius et al., 2010; BPTB</v>
      </c>
      <c r="C47" t="str">
        <v>Eriksson et al., 2001; BPTB</v>
      </c>
      <c r="D47" t="str" cm="1">
        <f t="array" ref="D47:E47">_xlfn.TEXTSPLIT(C47,"; ")</f>
        <v>Eriksson et al., 2001</v>
      </c>
      <c r="E47" t="str">
        <v>BPTB</v>
      </c>
    </row>
    <row r="48" spans="2:5" hidden="1" x14ac:dyDescent="0.35">
      <c r="B48" t="str">
        <f>_xlfn.TEXTJOIN("; ",TRUE,Sheet1!C48:D48)</f>
        <v>Barenius et al., 2010; HT</v>
      </c>
      <c r="C48" t="str">
        <v>Eriksson et al., 2001; HT</v>
      </c>
      <c r="D48" t="str" cm="1">
        <f t="array" ref="D48:E48">_xlfn.TEXTSPLIT(C48,"; ")</f>
        <v>Eriksson et al., 2001</v>
      </c>
      <c r="E48" t="str">
        <v>HT</v>
      </c>
    </row>
    <row r="49" spans="2:5" hidden="1" x14ac:dyDescent="0.35">
      <c r="B49" t="str">
        <f>_xlfn.TEXTJOIN("; ",TRUE,Sheet1!C49:D49)</f>
        <v>Barenius et al., 2010; BPTB vs. HT</v>
      </c>
      <c r="C49" t="str">
        <v>Eriksson et al., 2001; BPTB vs. HT</v>
      </c>
      <c r="D49" t="str" cm="1">
        <f t="array" ref="D49:E49">_xlfn.TEXTSPLIT(C49,"; ")</f>
        <v>Eriksson et al., 2001</v>
      </c>
      <c r="E49" t="str">
        <v>BPTB vs. HT</v>
      </c>
    </row>
    <row r="50" spans="2:5" hidden="1" x14ac:dyDescent="0.35">
      <c r="B50" t="str">
        <f>_xlfn.TEXTJOIN("; ",TRUE,Sheet1!C50:D50)</f>
        <v>Barié et al., 2020; BPTB</v>
      </c>
      <c r="C50" t="str">
        <v>Feller &amp; Webster, 2003; BPTB</v>
      </c>
      <c r="D50" t="str" cm="1">
        <f t="array" ref="D50:E50">_xlfn.TEXTSPLIT(C50,"; ")</f>
        <v>Feller &amp; Webster, 2003</v>
      </c>
      <c r="E50" t="str">
        <v>BPTB</v>
      </c>
    </row>
    <row r="51" spans="2:5" hidden="1" x14ac:dyDescent="0.35">
      <c r="B51" t="str">
        <f>_xlfn.TEXTJOIN("; ",TRUE,Sheet1!C51:D51)</f>
        <v>Barié et al., 2020; QT</v>
      </c>
      <c r="C51" t="str">
        <v>Feller &amp; Webster, 2003; HT</v>
      </c>
      <c r="D51" t="str" cm="1">
        <f t="array" ref="D51:E51">_xlfn.TEXTSPLIT(C51,"; ")</f>
        <v>Feller &amp; Webster, 2003</v>
      </c>
      <c r="E51" t="str">
        <v>HT</v>
      </c>
    </row>
    <row r="52" spans="2:5" hidden="1" x14ac:dyDescent="0.35">
      <c r="B52" t="str">
        <f>_xlfn.TEXTJOIN("; ",TRUE,Sheet1!C52:D52)</f>
        <v>Barié et al., 2020; BPTB vs. QT</v>
      </c>
      <c r="C52" t="str">
        <v>Feller &amp; Webster, 2003; BPTB vs. HT</v>
      </c>
      <c r="D52" t="str" cm="1">
        <f t="array" ref="D52:E52">_xlfn.TEXTSPLIT(C52,"; ")</f>
        <v>Feller &amp; Webster, 2003</v>
      </c>
      <c r="E52" t="str">
        <v>BPTB vs. HT</v>
      </c>
    </row>
    <row r="53" spans="2:5" hidden="1" x14ac:dyDescent="0.35">
      <c r="B53" t="str">
        <f>_xlfn.TEXTJOIN("; ",TRUE,Sheet1!C53:D53)</f>
        <v>Barié et al., 2020; BPTB</v>
      </c>
      <c r="C53" t="str">
        <v>Gifstad et al., 2013; BPTB</v>
      </c>
      <c r="D53" t="str" cm="1">
        <f t="array" ref="D53:E53">_xlfn.TEXTSPLIT(C53,"; ")</f>
        <v>Gifstad et al., 2013</v>
      </c>
      <c r="E53" t="str">
        <v>BPTB</v>
      </c>
    </row>
    <row r="54" spans="2:5" hidden="1" x14ac:dyDescent="0.35">
      <c r="B54" t="str">
        <f>_xlfn.TEXTJOIN("; ",TRUE,Sheet1!C54:D54)</f>
        <v>Barié et al., 2020; QT</v>
      </c>
      <c r="C54" t="str">
        <v>Gifstad et al., 2013; HT</v>
      </c>
      <c r="D54" t="str" cm="1">
        <f t="array" ref="D54:E54">_xlfn.TEXTSPLIT(C54,"; ")</f>
        <v>Gifstad et al., 2013</v>
      </c>
      <c r="E54" t="str">
        <v>HT</v>
      </c>
    </row>
    <row r="55" spans="2:5" hidden="1" x14ac:dyDescent="0.35">
      <c r="B55" t="str">
        <f>_xlfn.TEXTJOIN("; ",TRUE,Sheet1!C55:D55)</f>
        <v>Barié et al., 2020; BPTB vs. QT</v>
      </c>
      <c r="C55" t="str">
        <v>Gifstad et al., 2013; BPTB vs. HT</v>
      </c>
      <c r="D55" t="str" cm="1">
        <f t="array" ref="D55:E55">_xlfn.TEXTSPLIT(C55,"; ")</f>
        <v>Gifstad et al., 2013</v>
      </c>
      <c r="E55" t="str">
        <v>BPTB vs. HT</v>
      </c>
    </row>
    <row r="56" spans="2:5" hidden="1" x14ac:dyDescent="0.35">
      <c r="B56" t="str">
        <f>_xlfn.TEXTJOIN("; ",TRUE,Sheet1!C56:D56)</f>
        <v>Barié et al., 2020; BPTB</v>
      </c>
      <c r="C56" t="str">
        <v>Guglielmetti et al., 2021; BPTB</v>
      </c>
      <c r="D56" t="str" cm="1">
        <f t="array" ref="D56:E56">_xlfn.TEXTSPLIT(C56,"; ")</f>
        <v>Guglielmetti et al., 2021</v>
      </c>
      <c r="E56" t="str">
        <v>BPTB</v>
      </c>
    </row>
    <row r="57" spans="2:5" hidden="1" x14ac:dyDescent="0.35">
      <c r="B57" t="str">
        <f>_xlfn.TEXTJOIN("; ",TRUE,Sheet1!C57:D57)</f>
        <v>Barié et al., 2020; QT</v>
      </c>
      <c r="C57" t="str">
        <v>Guglielmetti et al., 2021; HT</v>
      </c>
      <c r="D57" t="str" cm="1">
        <f t="array" ref="D57:E57">_xlfn.TEXTSPLIT(C57,"; ")</f>
        <v>Guglielmetti et al., 2021</v>
      </c>
      <c r="E57" t="str">
        <v>HT</v>
      </c>
    </row>
    <row r="58" spans="2:5" hidden="1" x14ac:dyDescent="0.35">
      <c r="B58" t="str">
        <f>_xlfn.TEXTJOIN("; ",TRUE,Sheet1!C58:D58)</f>
        <v>Barié et al., 2020; BPTB vs. QT</v>
      </c>
      <c r="C58" t="str">
        <v>Guglielmetti et al., 2021; BPTB vs. HT</v>
      </c>
      <c r="D58" t="str" cm="1">
        <f t="array" ref="D58:E58">_xlfn.TEXTSPLIT(C58,"; ")</f>
        <v>Guglielmetti et al., 2021</v>
      </c>
      <c r="E58" t="str">
        <v>BPTB vs. HT</v>
      </c>
    </row>
    <row r="59" spans="2:5" hidden="1" x14ac:dyDescent="0.35">
      <c r="B59" t="str">
        <f>_xlfn.TEXTJOIN("; ",TRUE,Sheet1!C59:D59)</f>
        <v>Barié et al., 2020; BPTB</v>
      </c>
      <c r="C59" t="str">
        <v>Harilainen et al., 2006; BPTB</v>
      </c>
      <c r="D59" t="str" cm="1">
        <f t="array" ref="D59:E59">_xlfn.TEXTSPLIT(C59,"; ")</f>
        <v>Harilainen et al., 2006</v>
      </c>
      <c r="E59" t="str">
        <v>BPTB</v>
      </c>
    </row>
    <row r="60" spans="2:5" hidden="1" x14ac:dyDescent="0.35">
      <c r="B60" t="str">
        <f>_xlfn.TEXTJOIN("; ",TRUE,Sheet1!C60:D60)</f>
        <v>Barié et al., 2020; QT</v>
      </c>
      <c r="C60" t="str">
        <v>Harilainen et al., 2006; HT</v>
      </c>
      <c r="D60" t="str" cm="1">
        <f t="array" ref="D60:E60">_xlfn.TEXTSPLIT(C60,"; ")</f>
        <v>Harilainen et al., 2006</v>
      </c>
      <c r="E60" t="str">
        <v>HT</v>
      </c>
    </row>
    <row r="61" spans="2:5" hidden="1" x14ac:dyDescent="0.35">
      <c r="B61" t="str">
        <f>_xlfn.TEXTJOIN("; ",TRUE,Sheet1!C61:D61)</f>
        <v>Barié et al., 2020; BPTB vs. QT</v>
      </c>
      <c r="C61" t="str">
        <v>Harilainen et al., 2006; BPTB vs. HT</v>
      </c>
      <c r="D61" t="str" cm="1">
        <f t="array" ref="D61:E61">_xlfn.TEXTSPLIT(C61,"; ")</f>
        <v>Harilainen et al., 2006</v>
      </c>
      <c r="E61" t="str">
        <v>BPTB vs. HT</v>
      </c>
    </row>
    <row r="62" spans="2:5" hidden="1" x14ac:dyDescent="0.35">
      <c r="B62" t="str">
        <f>_xlfn.TEXTJOIN("; ",TRUE,Sheet1!C62:D62)</f>
        <v>Beynnon et al., 2002; BPTB</v>
      </c>
      <c r="C62" t="str">
        <v>Heijne &amp; Werner, 2010; BPTB</v>
      </c>
      <c r="D62" t="str" cm="1">
        <f t="array" ref="D62:E62">_xlfn.TEXTSPLIT(C62,"; ")</f>
        <v>Heijne &amp; Werner, 2010</v>
      </c>
      <c r="E62" t="str">
        <v>BPTB</v>
      </c>
    </row>
    <row r="63" spans="2:5" hidden="1" x14ac:dyDescent="0.35">
      <c r="B63" t="str">
        <f>_xlfn.TEXTJOIN("; ",TRUE,Sheet1!C63:D63)</f>
        <v>Beynnon et al., 2002; HT</v>
      </c>
      <c r="C63" t="str">
        <v>Heijne &amp; Werner, 2010; HT</v>
      </c>
      <c r="D63" t="str" cm="1">
        <f t="array" ref="D63:E63">_xlfn.TEXTSPLIT(C63,"; ")</f>
        <v>Heijne &amp; Werner, 2010</v>
      </c>
      <c r="E63" t="str">
        <v>HT</v>
      </c>
    </row>
    <row r="64" spans="2:5" hidden="1" x14ac:dyDescent="0.35">
      <c r="B64" t="str">
        <f>_xlfn.TEXTJOIN("; ",TRUE,Sheet1!C64:D64)</f>
        <v>Beynnon et al., 2002; BPTB vs. HT</v>
      </c>
      <c r="C64" t="str">
        <v>Heijne &amp; Werner, 2010; BPTB vs. HT</v>
      </c>
      <c r="D64" t="str" cm="1">
        <f t="array" ref="D64:E64">_xlfn.TEXTSPLIT(C64,"; ")</f>
        <v>Heijne &amp; Werner, 2010</v>
      </c>
      <c r="E64" t="str">
        <v>BPTB vs. HT</v>
      </c>
    </row>
    <row r="65" spans="2:5" hidden="1" x14ac:dyDescent="0.35">
      <c r="B65" t="str">
        <f>_xlfn.TEXTJOIN("; ",TRUE,Sheet1!C65:D65)</f>
        <v>Beynnon et al., 2002; BPTB</v>
      </c>
      <c r="C65" t="str">
        <v>Holm et al., 2010; BPTB</v>
      </c>
      <c r="D65" t="str" cm="1">
        <f t="array" ref="D65:E65">_xlfn.TEXTSPLIT(C65,"; ")</f>
        <v>Holm et al., 2010</v>
      </c>
      <c r="E65" t="str">
        <v>BPTB</v>
      </c>
    </row>
    <row r="66" spans="2:5" hidden="1" x14ac:dyDescent="0.35">
      <c r="B66" t="str">
        <f>_xlfn.TEXTJOIN("; ",TRUE,Sheet1!C66:D66)</f>
        <v>Beynnon et al., 2002; HT</v>
      </c>
      <c r="C66" t="str">
        <v>Holm et al., 2010; HT</v>
      </c>
      <c r="D66" t="str" cm="1">
        <f t="array" ref="D66:E66">_xlfn.TEXTSPLIT(C66,"; ")</f>
        <v>Holm et al., 2010</v>
      </c>
      <c r="E66" t="str">
        <v>HT</v>
      </c>
    </row>
    <row r="67" spans="2:5" hidden="1" x14ac:dyDescent="0.35">
      <c r="B67" t="str">
        <f>_xlfn.TEXTJOIN("; ",TRUE,Sheet1!C67:D67)</f>
        <v>Beynnon et al., 2002; BPTB vs. HT</v>
      </c>
      <c r="C67" t="str">
        <v>Holm et al., 2010; BPTB vs. HT</v>
      </c>
      <c r="D67" t="str" cm="1">
        <f t="array" ref="D67:E67">_xlfn.TEXTSPLIT(C67,"; ")</f>
        <v>Holm et al., 2010</v>
      </c>
      <c r="E67" t="str">
        <v>BPTB vs. HT</v>
      </c>
    </row>
    <row r="68" spans="2:5" hidden="1" x14ac:dyDescent="0.35">
      <c r="B68" t="str">
        <f>_xlfn.TEXTJOIN("; ",TRUE,Sheet1!C68:D68)</f>
        <v>Beynnon et al., 2002; BPTB</v>
      </c>
      <c r="C68" t="str">
        <v>Horstmann et al., 2022; HT</v>
      </c>
      <c r="D68" t="str" cm="1">
        <f t="array" ref="D68:E68">_xlfn.TEXTSPLIT(C68,"; ")</f>
        <v>Horstmann et al., 2022</v>
      </c>
      <c r="E68" t="str">
        <v>HT</v>
      </c>
    </row>
    <row r="69" spans="2:5" hidden="1" x14ac:dyDescent="0.35">
      <c r="B69" t="str">
        <f>_xlfn.TEXTJOIN("; ",TRUE,Sheet1!C69:D69)</f>
        <v>Beynnon et al., 2002; HT</v>
      </c>
      <c r="C69" t="str">
        <v>Horstmann et al., 2022; QT</v>
      </c>
      <c r="D69" t="str" cm="1">
        <f t="array" ref="D69:E69">_xlfn.TEXTSPLIT(C69,"; ")</f>
        <v>Horstmann et al., 2022</v>
      </c>
      <c r="E69" t="str">
        <v>QT</v>
      </c>
    </row>
    <row r="70" spans="2:5" x14ac:dyDescent="0.35">
      <c r="B70" t="str">
        <f>_xlfn.TEXTJOIN("; ",TRUE,Sheet1!C70:D70)</f>
        <v>Beynnon et al., 2002; BPTB vs. HT</v>
      </c>
      <c r="C70" t="str">
        <v>Horstmann et al., 2022; HT vs. QT</v>
      </c>
      <c r="D70" t="str" cm="1">
        <f t="array" ref="D70:E70">_xlfn.TEXTSPLIT(C70,"; ")</f>
        <v>Horstmann et al., 2022</v>
      </c>
      <c r="E70" t="str">
        <v>HT vs. QT</v>
      </c>
    </row>
    <row r="71" spans="2:5" hidden="1" x14ac:dyDescent="0.35">
      <c r="B71" t="str">
        <f>_xlfn.TEXTJOIN("; ",TRUE,Sheet1!C71:D71)</f>
        <v>Beynnon et al., 2002; BPTB</v>
      </c>
      <c r="C71" t="str">
        <v>Ibrahim et al., 2005; BPTB</v>
      </c>
      <c r="D71" t="str" cm="1">
        <f t="array" ref="D71:E71">_xlfn.TEXTSPLIT(C71,"; ")</f>
        <v>Ibrahim et al., 2005</v>
      </c>
      <c r="E71" t="str">
        <v>BPTB</v>
      </c>
    </row>
    <row r="72" spans="2:5" hidden="1" x14ac:dyDescent="0.35">
      <c r="B72" t="str">
        <f>_xlfn.TEXTJOIN("; ",TRUE,Sheet1!C72:D72)</f>
        <v>Beynnon et al., 2002; HT</v>
      </c>
      <c r="C72" t="str">
        <v>Ibrahim et al., 2005; HT</v>
      </c>
      <c r="D72" t="str" cm="1">
        <f t="array" ref="D72:E72">_xlfn.TEXTSPLIT(C72,"; ")</f>
        <v>Ibrahim et al., 2005</v>
      </c>
      <c r="E72" t="str">
        <v>HT</v>
      </c>
    </row>
    <row r="73" spans="2:5" hidden="1" x14ac:dyDescent="0.35">
      <c r="B73" t="str">
        <f>_xlfn.TEXTJOIN("; ",TRUE,Sheet1!C73:D73)</f>
        <v>Beynnon et al., 2002; BPTB vs. HT</v>
      </c>
      <c r="C73" t="str">
        <v>Ibrahim et al., 2005; BPTB vs. HT</v>
      </c>
      <c r="D73" t="str" cm="1">
        <f t="array" ref="D73:E73">_xlfn.TEXTSPLIT(C73,"; ")</f>
        <v>Ibrahim et al., 2005</v>
      </c>
      <c r="E73" t="str">
        <v>BPTB vs. HT</v>
      </c>
    </row>
    <row r="74" spans="2:5" hidden="1" x14ac:dyDescent="0.35">
      <c r="B74" t="str">
        <f>_xlfn.TEXTJOIN("; ",TRUE,Sheet1!C74:D74)</f>
        <v>Bi et al., 2018; HT</v>
      </c>
      <c r="C74" t="str">
        <v>Iliopoulos et al., 2017; BPTB</v>
      </c>
      <c r="D74" t="str" cm="1">
        <f t="array" ref="D74:E74">_xlfn.TEXTSPLIT(C74,"; ")</f>
        <v>Iliopoulos et al., 2017</v>
      </c>
      <c r="E74" t="str">
        <v>BPTB</v>
      </c>
    </row>
    <row r="75" spans="2:5" hidden="1" x14ac:dyDescent="0.35">
      <c r="B75" t="str">
        <f>_xlfn.TEXTJOIN("; ",TRUE,Sheet1!C75:D75)</f>
        <v>Bi et al., 2018; PLT</v>
      </c>
      <c r="C75" t="str">
        <v>Iliopoulos et al., 2017; HT</v>
      </c>
      <c r="D75" t="str" cm="1">
        <f t="array" ref="D75:E75">_xlfn.TEXTSPLIT(C75,"; ")</f>
        <v>Iliopoulos et al., 2017</v>
      </c>
      <c r="E75" t="str">
        <v>HT</v>
      </c>
    </row>
    <row r="76" spans="2:5" hidden="1" x14ac:dyDescent="0.35">
      <c r="B76" t="str">
        <f>_xlfn.TEXTJOIN("; ",TRUE,Sheet1!C76:D76)</f>
        <v>Bi et al., 2018; HT vs. PLT</v>
      </c>
      <c r="C76" t="str">
        <v>Iliopoulos et al., 2017; BPTB vs. HT</v>
      </c>
      <c r="D76" t="str" cm="1">
        <f t="array" ref="D76:E76">_xlfn.TEXTSPLIT(C76,"; ")</f>
        <v>Iliopoulos et al., 2017</v>
      </c>
      <c r="E76" t="str">
        <v>BPTB vs. HT</v>
      </c>
    </row>
    <row r="77" spans="2:5" hidden="1" x14ac:dyDescent="0.35">
      <c r="B77" t="str">
        <f>_xlfn.TEXTJOIN("; ",TRUE,Sheet1!C77:D77)</f>
        <v>Bi et al., 2018; HT</v>
      </c>
      <c r="C77" t="str">
        <v>Jansson et al., 2003; BPTB</v>
      </c>
      <c r="D77" t="str" cm="1">
        <f t="array" ref="D77:E77">_xlfn.TEXTSPLIT(C77,"; ")</f>
        <v>Jansson et al., 2003</v>
      </c>
      <c r="E77" t="str">
        <v>BPTB</v>
      </c>
    </row>
    <row r="78" spans="2:5" hidden="1" x14ac:dyDescent="0.35">
      <c r="B78" t="str">
        <f>_xlfn.TEXTJOIN("; ",TRUE,Sheet1!C78:D78)</f>
        <v>Bi et al., 2018; PLT</v>
      </c>
      <c r="C78" t="str">
        <v>Jansson et al., 2003; HT</v>
      </c>
      <c r="D78" t="str" cm="1">
        <f t="array" ref="D78:E78">_xlfn.TEXTSPLIT(C78,"; ")</f>
        <v>Jansson et al., 2003</v>
      </c>
      <c r="E78" t="str">
        <v>HT</v>
      </c>
    </row>
    <row r="79" spans="2:5" hidden="1" x14ac:dyDescent="0.35">
      <c r="B79" t="str">
        <f>_xlfn.TEXTJOIN("; ",TRUE,Sheet1!C79:D79)</f>
        <v>Bi et al., 2018; HT vs. PLT</v>
      </c>
      <c r="C79" t="str">
        <v>Jansson et al., 2003; BPTB vs. HT</v>
      </c>
      <c r="D79" t="str" cm="1">
        <f t="array" ref="D79:E79">_xlfn.TEXTSPLIT(C79,"; ")</f>
        <v>Jansson et al., 2003</v>
      </c>
      <c r="E79" t="str">
        <v>BPTB vs. HT</v>
      </c>
    </row>
    <row r="80" spans="2:5" hidden="1" x14ac:dyDescent="0.35">
      <c r="B80" t="str">
        <f>_xlfn.TEXTJOIN("; ",TRUE,Sheet1!C80:D80)</f>
        <v>Bi et al., 2018; HT</v>
      </c>
      <c r="C80" t="str">
        <v>Kautzner et al., 2015; BPTB</v>
      </c>
      <c r="D80" t="str" cm="1">
        <f t="array" ref="D80:E80">_xlfn.TEXTSPLIT(C80,"; ")</f>
        <v>Kautzner et al., 2015</v>
      </c>
      <c r="E80" t="str">
        <v>BPTB</v>
      </c>
    </row>
    <row r="81" spans="2:5" hidden="1" x14ac:dyDescent="0.35">
      <c r="B81" t="str">
        <f>_xlfn.TEXTJOIN("; ",TRUE,Sheet1!C81:D81)</f>
        <v>Bi et al., 2018; PLT</v>
      </c>
      <c r="C81" t="str">
        <v>Kautzner et al., 2015; HT</v>
      </c>
      <c r="D81" t="str" cm="1">
        <f t="array" ref="D81:E81">_xlfn.TEXTSPLIT(C81,"; ")</f>
        <v>Kautzner et al., 2015</v>
      </c>
      <c r="E81" t="str">
        <v>HT</v>
      </c>
    </row>
    <row r="82" spans="2:5" hidden="1" x14ac:dyDescent="0.35">
      <c r="B82" t="str">
        <f>_xlfn.TEXTJOIN("; ",TRUE,Sheet1!C82:D82)</f>
        <v>Bi et al., 2018; HT vs. PLT</v>
      </c>
      <c r="C82" t="str">
        <v>Kautzner et al., 2015; BPTB vs. HT</v>
      </c>
      <c r="D82" t="str" cm="1">
        <f t="array" ref="D82:E82">_xlfn.TEXTSPLIT(C82,"; ")</f>
        <v>Kautzner et al., 2015</v>
      </c>
      <c r="E82" t="str">
        <v>BPTB vs. HT</v>
      </c>
    </row>
    <row r="83" spans="2:5" hidden="1" x14ac:dyDescent="0.35">
      <c r="B83" t="str">
        <f>_xlfn.TEXTJOIN("; ",TRUE,Sheet1!C83:D83)</f>
        <v>Bi et al., 2018; HT</v>
      </c>
      <c r="C83" t="str">
        <v>Komzak et al., 2022; BPTB</v>
      </c>
      <c r="D83" t="str" cm="1">
        <f t="array" ref="D83:E83">_xlfn.TEXTSPLIT(C83,"; ")</f>
        <v>Komzak et al., 2022</v>
      </c>
      <c r="E83" t="str">
        <v>BPTB</v>
      </c>
    </row>
    <row r="84" spans="2:5" hidden="1" x14ac:dyDescent="0.35">
      <c r="B84" t="str">
        <f>_xlfn.TEXTJOIN("; ",TRUE,Sheet1!C84:D84)</f>
        <v>Bi et al., 2018; PLT</v>
      </c>
      <c r="C84" t="str">
        <v>Komzak et al., 2022; QT</v>
      </c>
      <c r="D84" t="str" cm="1">
        <f t="array" ref="D84:E84">_xlfn.TEXTSPLIT(C84,"; ")</f>
        <v>Komzak et al., 2022</v>
      </c>
      <c r="E84" t="str">
        <v>QT</v>
      </c>
    </row>
    <row r="85" spans="2:5" x14ac:dyDescent="0.35">
      <c r="B85" t="str">
        <f>_xlfn.TEXTJOIN("; ",TRUE,Sheet1!C85:D85)</f>
        <v>Bi et al., 2018; HT vs. PLT</v>
      </c>
      <c r="C85" t="str">
        <v>Komzak et al., 2022; BPTB vs. QT</v>
      </c>
      <c r="D85" t="str" cm="1">
        <f t="array" ref="D85:E85">_xlfn.TEXTSPLIT(C85,"; ")</f>
        <v>Komzak et al., 2022</v>
      </c>
      <c r="E85" t="str">
        <v>BPTB vs. QT</v>
      </c>
    </row>
    <row r="86" spans="2:5" hidden="1" x14ac:dyDescent="0.35">
      <c r="B86" t="str">
        <f>_xlfn.TEXTJOIN("; ",TRUE,Sheet1!C86:D86)</f>
        <v>Björnsson et al., 2016; BPTB</v>
      </c>
      <c r="C86" t="str">
        <v>Konrads et al., 2016; BPTB</v>
      </c>
      <c r="D86" t="str" cm="1">
        <f t="array" ref="D86:E86">_xlfn.TEXTSPLIT(C86,"; ")</f>
        <v>Konrads et al., 2016</v>
      </c>
      <c r="E86" t="str">
        <v>BPTB</v>
      </c>
    </row>
    <row r="87" spans="2:5" hidden="1" x14ac:dyDescent="0.35">
      <c r="B87" t="str">
        <f>_xlfn.TEXTJOIN("; ",TRUE,Sheet1!C87:D87)</f>
        <v>Björnsson et al., 2016; HT</v>
      </c>
      <c r="C87" t="str">
        <v>Konrads et al., 2016; HT</v>
      </c>
      <c r="D87" t="str" cm="1">
        <f t="array" ref="D87:E87">_xlfn.TEXTSPLIT(C87,"; ")</f>
        <v>Konrads et al., 2016</v>
      </c>
      <c r="E87" t="str">
        <v>HT</v>
      </c>
    </row>
    <row r="88" spans="2:5" hidden="1" x14ac:dyDescent="0.35">
      <c r="B88" t="str">
        <f>_xlfn.TEXTJOIN("; ",TRUE,Sheet1!C88:D88)</f>
        <v>Björnsson et al., 2016; BPTB vs. HT</v>
      </c>
      <c r="C88" t="str">
        <v>Konrads et al., 2016; BPTB vs. HT</v>
      </c>
      <c r="D88" t="str" cm="1">
        <f t="array" ref="D88:E88">_xlfn.TEXTSPLIT(C88,"; ")</f>
        <v>Konrads et al., 2016</v>
      </c>
      <c r="E88" t="str">
        <v>BPTB vs. HT</v>
      </c>
    </row>
    <row r="89" spans="2:5" hidden="1" x14ac:dyDescent="0.35">
      <c r="B89" t="str">
        <f>_xlfn.TEXTJOIN("; ",TRUE,Sheet1!C89:D89)</f>
        <v>Björnsson et al., 2016; BPTB</v>
      </c>
      <c r="C89" t="str">
        <v>Laoruengthana et al., 2009; BPTB</v>
      </c>
      <c r="D89" t="str" cm="1">
        <f t="array" ref="D89:E89">_xlfn.TEXTSPLIT(C89,"; ")</f>
        <v>Laoruengthana et al., 2009</v>
      </c>
      <c r="E89" t="str">
        <v>BPTB</v>
      </c>
    </row>
    <row r="90" spans="2:5" hidden="1" x14ac:dyDescent="0.35">
      <c r="B90" t="str">
        <f>_xlfn.TEXTJOIN("; ",TRUE,Sheet1!C90:D90)</f>
        <v>Björnsson et al., 2016; HT</v>
      </c>
      <c r="C90" t="str">
        <v>Laoruengthana et al., 2009; HT</v>
      </c>
      <c r="D90" t="str" cm="1">
        <f t="array" ref="D90:E90">_xlfn.TEXTSPLIT(C90,"; ")</f>
        <v>Laoruengthana et al., 2009</v>
      </c>
      <c r="E90" t="str">
        <v>HT</v>
      </c>
    </row>
    <row r="91" spans="2:5" hidden="1" x14ac:dyDescent="0.35">
      <c r="B91" t="str">
        <f>_xlfn.TEXTJOIN("; ",TRUE,Sheet1!C91:D91)</f>
        <v>Björnsson et al., 2016; BPTB vs. HT</v>
      </c>
      <c r="C91" t="str">
        <v>Laoruengthana et al., 2009; BPTB vs. HT</v>
      </c>
      <c r="D91" t="str" cm="1">
        <f t="array" ref="D91:E91">_xlfn.TEXTSPLIT(C91,"; ")</f>
        <v>Laoruengthana et al., 2009</v>
      </c>
      <c r="E91" t="str">
        <v>BPTB vs. HT</v>
      </c>
    </row>
    <row r="92" spans="2:5" hidden="1" x14ac:dyDescent="0.35">
      <c r="B92" t="str">
        <f>_xlfn.TEXTJOIN("; ",TRUE,Sheet1!C92:D92)</f>
        <v>Björnsson et al., 2016; BPTB</v>
      </c>
      <c r="C92" t="str">
        <v>Lawhorn et al., 2012; HT</v>
      </c>
      <c r="D92" t="str" cm="1">
        <f t="array" ref="D92:E92">_xlfn.TEXTSPLIT(C92,"; ")</f>
        <v>Lawhorn et al., 2012</v>
      </c>
      <c r="E92" t="str">
        <v>HT</v>
      </c>
    </row>
    <row r="93" spans="2:5" hidden="1" x14ac:dyDescent="0.35">
      <c r="B93" t="str">
        <f>_xlfn.TEXTJOIN("; ",TRUE,Sheet1!C93:D93)</f>
        <v>Björnsson et al., 2016; HT</v>
      </c>
      <c r="C93" t="str">
        <v>Lawhorn et al., 2012; TA</v>
      </c>
      <c r="D93" t="str" cm="1">
        <f t="array" ref="D93:E93">_xlfn.TEXTSPLIT(C93,"; ")</f>
        <v>Lawhorn et al., 2012</v>
      </c>
      <c r="E93" t="str">
        <v>TA</v>
      </c>
    </row>
    <row r="94" spans="2:5" hidden="1" x14ac:dyDescent="0.35">
      <c r="B94" t="str">
        <f>_xlfn.TEXTJOIN("; ",TRUE,Sheet1!C94:D94)</f>
        <v>Björnsson et al., 2016; BPTB vs. HT</v>
      </c>
      <c r="C94" t="str">
        <v>Lawhorn et al., 2012; HT vs. TA</v>
      </c>
      <c r="D94" t="str" cm="1">
        <f t="array" ref="D94:E94">_xlfn.TEXTSPLIT(C94,"; ")</f>
        <v>Lawhorn et al., 2012</v>
      </c>
      <c r="E94" t="str">
        <v>HT vs. TA</v>
      </c>
    </row>
    <row r="95" spans="2:5" hidden="1" x14ac:dyDescent="0.35">
      <c r="B95" t="str">
        <f>_xlfn.TEXTJOIN("; ",TRUE,Sheet1!C95:D95)</f>
        <v>Björnsson et al., 2016; BPTB</v>
      </c>
      <c r="C95" t="str">
        <v>Laxdal et al., 2005; BPTB</v>
      </c>
      <c r="D95" t="str" cm="1">
        <f t="array" ref="D95:E95">_xlfn.TEXTSPLIT(C95,"; ")</f>
        <v>Laxdal et al., 2005</v>
      </c>
      <c r="E95" t="str">
        <v>BPTB</v>
      </c>
    </row>
    <row r="96" spans="2:5" hidden="1" x14ac:dyDescent="0.35">
      <c r="B96" t="str">
        <f>_xlfn.TEXTJOIN("; ",TRUE,Sheet1!C96:D96)</f>
        <v>Björnsson et al., 2016; HT</v>
      </c>
      <c r="C96" t="str">
        <v>Laxdal et al., 2005; HT</v>
      </c>
      <c r="D96" t="str" cm="1">
        <f t="array" ref="D96:E96">_xlfn.TEXTSPLIT(C96,"; ")</f>
        <v>Laxdal et al., 2005</v>
      </c>
      <c r="E96" t="str">
        <v>HT</v>
      </c>
    </row>
    <row r="97" spans="2:5" hidden="1" x14ac:dyDescent="0.35">
      <c r="B97" t="str">
        <f>_xlfn.TEXTJOIN("; ",TRUE,Sheet1!C97:D97)</f>
        <v>Björnsson et al., 2016; BPTB vs. HT</v>
      </c>
      <c r="C97" t="str">
        <v>Laxdal et al., 2005; BPTB vs. HT</v>
      </c>
      <c r="D97" t="str" cm="1">
        <f t="array" ref="D97:E97">_xlfn.TEXTSPLIT(C97,"; ")</f>
        <v>Laxdal et al., 2005</v>
      </c>
      <c r="E97" t="str">
        <v>BPTB vs. HT</v>
      </c>
    </row>
    <row r="98" spans="2:5" hidden="1" x14ac:dyDescent="0.35">
      <c r="B98" t="str">
        <f>_xlfn.TEXTJOIN("; ",TRUE,Sheet1!C98:D98)</f>
        <v>Björnsson et al., 2016; BPTB</v>
      </c>
      <c r="C98" t="str">
        <v>Li et al., 2015; HT</v>
      </c>
      <c r="D98" t="str" cm="1">
        <f t="array" ref="D98:E98">_xlfn.TEXTSPLIT(C98,"; ")</f>
        <v>Li et al., 2015</v>
      </c>
      <c r="E98" t="str">
        <v>HT</v>
      </c>
    </row>
    <row r="99" spans="2:5" hidden="1" x14ac:dyDescent="0.35">
      <c r="B99" t="str">
        <f>_xlfn.TEXTJOIN("; ",TRUE,Sheet1!C99:D99)</f>
        <v>Björnsson et al., 2016; HT</v>
      </c>
      <c r="C99" t="str">
        <v>Li et al., 2015; TA</v>
      </c>
      <c r="D99" t="str" cm="1">
        <f t="array" ref="D99:E99">_xlfn.TEXTSPLIT(C99,"; ")</f>
        <v>Li et al., 2015</v>
      </c>
      <c r="E99" t="str">
        <v>TA</v>
      </c>
    </row>
    <row r="100" spans="2:5" hidden="1" x14ac:dyDescent="0.35">
      <c r="B100" t="str">
        <f>_xlfn.TEXTJOIN("; ",TRUE,Sheet1!C100:D100)</f>
        <v>Björnsson et al., 2016; BPTB vs. HT</v>
      </c>
      <c r="C100" t="str">
        <v>Li et al., 2015; HT vs. TA</v>
      </c>
      <c r="D100" t="str" cm="1">
        <f t="array" ref="D100:E100">_xlfn.TEXTSPLIT(C100,"; ")</f>
        <v>Li et al., 2015</v>
      </c>
      <c r="E100" t="str">
        <v>HT vs. TA</v>
      </c>
    </row>
    <row r="101" spans="2:5" hidden="1" x14ac:dyDescent="0.35">
      <c r="B101" t="str">
        <f>_xlfn.TEXTJOIN("; ",TRUE,Sheet1!C101:D101)</f>
        <v>Björnsson et al., 2016; BPTB</v>
      </c>
      <c r="C101" t="str">
        <v>Lidén et al., 2007; BPTB</v>
      </c>
      <c r="D101" t="str" cm="1">
        <f t="array" ref="D101:E101">_xlfn.TEXTSPLIT(C101,"; ")</f>
        <v>Lidén et al., 2007</v>
      </c>
      <c r="E101" t="str">
        <v>BPTB</v>
      </c>
    </row>
    <row r="102" spans="2:5" hidden="1" x14ac:dyDescent="0.35">
      <c r="B102" t="str">
        <f>_xlfn.TEXTJOIN("; ",TRUE,Sheet1!C102:D102)</f>
        <v>Björnsson et al., 2016; HT</v>
      </c>
      <c r="C102" t="str">
        <v>Lidén et al., 2007; HT</v>
      </c>
      <c r="D102" t="str" cm="1">
        <f t="array" ref="D102:E102">_xlfn.TEXTSPLIT(C102,"; ")</f>
        <v>Lidén et al., 2007</v>
      </c>
      <c r="E102" t="str">
        <v>HT</v>
      </c>
    </row>
    <row r="103" spans="2:5" hidden="1" x14ac:dyDescent="0.35">
      <c r="B103" t="str">
        <f>_xlfn.TEXTJOIN("; ",TRUE,Sheet1!C103:D103)</f>
        <v>Björnsson et al., 2016; BPTB vs. HT</v>
      </c>
      <c r="C103" t="str">
        <v>Lidén et al., 2007; BPTB vs. HT</v>
      </c>
      <c r="D103" t="str" cm="1">
        <f t="array" ref="D103:E103">_xlfn.TEXTSPLIT(C103,"; ")</f>
        <v>Lidén et al., 2007</v>
      </c>
      <c r="E103" t="str">
        <v>BPTB vs. HT</v>
      </c>
    </row>
    <row r="104" spans="2:5" hidden="1" x14ac:dyDescent="0.35">
      <c r="B104" t="str">
        <f>_xlfn.TEXTJOIN("; ",TRUE,Sheet1!C104:D104)</f>
        <v>Björnsson et al., 2016; BPTB</v>
      </c>
      <c r="C104" t="str">
        <v>Lind et al., 2020; HT</v>
      </c>
      <c r="D104" t="str" cm="1">
        <f t="array" ref="D104:E104">_xlfn.TEXTSPLIT(C104,"; ")</f>
        <v>Lind et al., 2020</v>
      </c>
      <c r="E104" t="str">
        <v>HT</v>
      </c>
    </row>
    <row r="105" spans="2:5" hidden="1" x14ac:dyDescent="0.35">
      <c r="B105" t="str">
        <f>_xlfn.TEXTJOIN("; ",TRUE,Sheet1!C105:D105)</f>
        <v>Björnsson et al., 2016; HT</v>
      </c>
      <c r="C105" t="str">
        <v>Lind et al., 2020; QT</v>
      </c>
      <c r="D105" t="str" cm="1">
        <f t="array" ref="D105:E105">_xlfn.TEXTSPLIT(C105,"; ")</f>
        <v>Lind et al., 2020</v>
      </c>
      <c r="E105" t="str">
        <v>QT</v>
      </c>
    </row>
    <row r="106" spans="2:5" x14ac:dyDescent="0.35">
      <c r="B106" t="str">
        <f>_xlfn.TEXTJOIN("; ",TRUE,Sheet1!C106:D106)</f>
        <v>Björnsson et al., 2016; BPTB vs. HT</v>
      </c>
      <c r="C106" t="str">
        <v>Lind et al., 2020; HT vs. QT</v>
      </c>
      <c r="D106" t="str" cm="1">
        <f t="array" ref="D106:E106">_xlfn.TEXTSPLIT(C106,"; ")</f>
        <v>Lind et al., 2020</v>
      </c>
      <c r="E106" t="str">
        <v>HT vs. QT</v>
      </c>
    </row>
    <row r="107" spans="2:5" hidden="1" x14ac:dyDescent="0.35">
      <c r="B107" t="str">
        <f>_xlfn.TEXTJOIN("; ",TRUE,Sheet1!C107:D107)</f>
        <v>Bottoni et al., 2015; HT</v>
      </c>
      <c r="C107" t="str">
        <v>Lucidi et al., 2025; BPTB</v>
      </c>
      <c r="D107" t="str" cm="1">
        <f t="array" ref="D107:E107">_xlfn.TEXTSPLIT(C107,"; ")</f>
        <v>Lucidi et al., 2025</v>
      </c>
      <c r="E107" t="str">
        <v>BPTB</v>
      </c>
    </row>
    <row r="108" spans="2:5" hidden="1" x14ac:dyDescent="0.35">
      <c r="B108" t="str">
        <f>_xlfn.TEXTJOIN("; ",TRUE,Sheet1!C108:D108)</f>
        <v>Bottoni et al., 2015; TA</v>
      </c>
      <c r="C108" t="str">
        <v>Lucidi et al., 2025; HT</v>
      </c>
      <c r="D108" t="str" cm="1">
        <f t="array" ref="D108:E108">_xlfn.TEXTSPLIT(C108,"; ")</f>
        <v>Lucidi et al., 2025</v>
      </c>
      <c r="E108" t="str">
        <v>HT</v>
      </c>
    </row>
    <row r="109" spans="2:5" hidden="1" x14ac:dyDescent="0.35">
      <c r="B109" t="str">
        <f>_xlfn.TEXTJOIN("; ",TRUE,Sheet1!C109:D109)</f>
        <v>Bottoni et al., 2015; HT vs. TA</v>
      </c>
      <c r="C109" t="str">
        <v>Lucidi et al., 2025; BPTB vs. HT</v>
      </c>
      <c r="D109" t="str" cm="1">
        <f t="array" ref="D109:E109">_xlfn.TEXTSPLIT(C109,"; ")</f>
        <v>Lucidi et al., 2025</v>
      </c>
      <c r="E109" t="str">
        <v>BPTB vs. HT</v>
      </c>
    </row>
    <row r="110" spans="2:5" hidden="1" x14ac:dyDescent="0.35">
      <c r="B110" t="str">
        <f>_xlfn.TEXTJOIN("; ",TRUE,Sheet1!C110:D110)</f>
        <v>Bottoni et al., 2015; HT</v>
      </c>
      <c r="C110" t="str">
        <v>Lui et al., 2012; BPTB</v>
      </c>
      <c r="D110" t="str" cm="1">
        <f t="array" ref="D110:E110">_xlfn.TEXTSPLIT(C110,"; ")</f>
        <v>Lui et al., 2012</v>
      </c>
      <c r="E110" t="str">
        <v>BPTB</v>
      </c>
    </row>
    <row r="111" spans="2:5" hidden="1" x14ac:dyDescent="0.35">
      <c r="B111" t="str">
        <f>_xlfn.TEXTJOIN("; ",TRUE,Sheet1!C111:D111)</f>
        <v>Bottoni et al., 2015; TA</v>
      </c>
      <c r="C111" t="str">
        <v>Lui et al., 2012; HT</v>
      </c>
      <c r="D111" t="str" cm="1">
        <f t="array" ref="D111:E111">_xlfn.TEXTSPLIT(C111,"; ")</f>
        <v>Lui et al., 2012</v>
      </c>
      <c r="E111" t="str">
        <v>HT</v>
      </c>
    </row>
    <row r="112" spans="2:5" hidden="1" x14ac:dyDescent="0.35">
      <c r="B112" t="str">
        <f>_xlfn.TEXTJOIN("; ",TRUE,Sheet1!C112:D112)</f>
        <v>Bottoni et al., 2015; HT vs. TA</v>
      </c>
      <c r="C112" t="str">
        <v>Lui et al., 2012; BPTB vs. HT</v>
      </c>
      <c r="D112" t="str" cm="1">
        <f t="array" ref="D112:E112">_xlfn.TEXTSPLIT(C112,"; ")</f>
        <v>Lui et al., 2012</v>
      </c>
      <c r="E112" t="str">
        <v>BPTB vs. HT</v>
      </c>
    </row>
    <row r="113" spans="2:5" hidden="1" x14ac:dyDescent="0.35">
      <c r="B113" t="str">
        <f>_xlfn.TEXTJOIN("; ",TRUE,Sheet1!C113:D113)</f>
        <v>Butt et al., 2024; HT</v>
      </c>
      <c r="C113" t="str">
        <v>Lund et al., 2014; BPTB</v>
      </c>
      <c r="D113" t="str" cm="1">
        <f t="array" ref="D113:E113">_xlfn.TEXTSPLIT(C113,"; ")</f>
        <v>Lund et al., 2014</v>
      </c>
      <c r="E113" t="str">
        <v>BPTB</v>
      </c>
    </row>
    <row r="114" spans="2:5" hidden="1" x14ac:dyDescent="0.35">
      <c r="B114" t="str">
        <f>_xlfn.TEXTJOIN("; ",TRUE,Sheet1!C114:D114)</f>
        <v>Butt et al., 2024; PLT</v>
      </c>
      <c r="C114" t="str">
        <v>Lund et al., 2014; QT</v>
      </c>
      <c r="D114" t="str" cm="1">
        <f t="array" ref="D114:E114">_xlfn.TEXTSPLIT(C114,"; ")</f>
        <v>Lund et al., 2014</v>
      </c>
      <c r="E114" t="str">
        <v>QT</v>
      </c>
    </row>
    <row r="115" spans="2:5" x14ac:dyDescent="0.35">
      <c r="B115" t="str">
        <f>_xlfn.TEXTJOIN("; ",TRUE,Sheet1!C115:D115)</f>
        <v>Butt et al., 2024; HT vs. PLT</v>
      </c>
      <c r="C115" t="str">
        <v>Lund et al., 2014; BPTB vs. QT</v>
      </c>
      <c r="D115" t="str" cm="1">
        <f t="array" ref="D115:E115">_xlfn.TEXTSPLIT(C115,"; ")</f>
        <v>Lund et al., 2014</v>
      </c>
      <c r="E115" t="str">
        <v>BPTB vs. QT</v>
      </c>
    </row>
    <row r="116" spans="2:5" hidden="1" x14ac:dyDescent="0.35">
      <c r="B116" t="str">
        <f>_xlfn.TEXTJOIN("; ",TRUE,Sheet1!C116:D116)</f>
        <v>Butt et al., 2024; HT</v>
      </c>
      <c r="C116" t="str">
        <v>Malik et al., 2026; HT</v>
      </c>
      <c r="D116" t="str" cm="1">
        <f t="array" ref="D116:E116">_xlfn.TEXTSPLIT(C116,"; ")</f>
        <v>Malik et al., 2026</v>
      </c>
      <c r="E116" t="str">
        <v>HT</v>
      </c>
    </row>
    <row r="117" spans="2:5" hidden="1" x14ac:dyDescent="0.35">
      <c r="B117" t="str">
        <f>_xlfn.TEXTJOIN("; ",TRUE,Sheet1!C117:D117)</f>
        <v>Butt et al., 2024; PLT</v>
      </c>
      <c r="C117" t="str">
        <v>Malik et al., 2026; PLT</v>
      </c>
      <c r="D117" t="str" cm="1">
        <f t="array" ref="D117:E117">_xlfn.TEXTSPLIT(C117,"; ")</f>
        <v>Malik et al., 2026</v>
      </c>
      <c r="E117" t="str">
        <v>PLT</v>
      </c>
    </row>
    <row r="118" spans="2:5" hidden="1" x14ac:dyDescent="0.35">
      <c r="B118" t="str">
        <f>_xlfn.TEXTJOIN("; ",TRUE,Sheet1!C118:D118)</f>
        <v>Butt et al., 2024; HT vs. PLT</v>
      </c>
      <c r="C118" t="str">
        <v>Malik et al., 2026; HT vs. PLT</v>
      </c>
      <c r="D118" t="str" cm="1">
        <f t="array" ref="D118:E118">_xlfn.TEXTSPLIT(C118,"; ")</f>
        <v>Malik et al., 2026</v>
      </c>
      <c r="E118" t="str">
        <v>HT vs. PLT</v>
      </c>
    </row>
    <row r="119" spans="2:5" hidden="1" x14ac:dyDescent="0.35">
      <c r="B119" t="str">
        <f>_xlfn.TEXTJOIN("; ",TRUE,Sheet1!C119:D119)</f>
        <v>Calvert et al., 2025; HT</v>
      </c>
      <c r="C119" t="str">
        <v>Matsumoto et al., 2006; BPTB</v>
      </c>
      <c r="D119" t="str" cm="1">
        <f t="array" ref="D119:E119">_xlfn.TEXTSPLIT(C119,"; ")</f>
        <v>Matsumoto et al., 2006</v>
      </c>
      <c r="E119" t="str">
        <v>BPTB</v>
      </c>
    </row>
    <row r="120" spans="2:5" hidden="1" x14ac:dyDescent="0.35">
      <c r="B120" t="str">
        <f>_xlfn.TEXTJOIN("; ",TRUE,Sheet1!C120:D120)</f>
        <v>Calvert et al., 2025; QT</v>
      </c>
      <c r="C120" t="str">
        <v>Matsumoto et al., 2006; HT</v>
      </c>
      <c r="D120" t="str" cm="1">
        <f t="array" ref="D120:E120">_xlfn.TEXTSPLIT(C120,"; ")</f>
        <v>Matsumoto et al., 2006</v>
      </c>
      <c r="E120" t="str">
        <v>HT</v>
      </c>
    </row>
    <row r="121" spans="2:5" hidden="1" x14ac:dyDescent="0.35">
      <c r="B121" t="str">
        <f>_xlfn.TEXTJOIN("; ",TRUE,Sheet1!C121:D121)</f>
        <v>Calvert et al., 2025; HT vs. QT</v>
      </c>
      <c r="C121" t="str">
        <v>Matsumoto et al., 2006; BPTB vs. HT</v>
      </c>
      <c r="D121" t="str" cm="1">
        <f t="array" ref="D121:E121">_xlfn.TEXTSPLIT(C121,"; ")</f>
        <v>Matsumoto et al., 2006</v>
      </c>
      <c r="E121" t="str">
        <v>BPTB vs. HT</v>
      </c>
    </row>
    <row r="122" spans="2:5" hidden="1" x14ac:dyDescent="0.35">
      <c r="B122" t="str">
        <f>_xlfn.TEXTJOIN("; ",TRUE,Sheet1!C122:D122)</f>
        <v>Calvert et al., 2025; HT</v>
      </c>
      <c r="C122" t="str">
        <v>Mohtadi et al., 2016; BPTB</v>
      </c>
      <c r="D122" t="str" cm="1">
        <f t="array" ref="D122:E122">_xlfn.TEXTSPLIT(C122,"; ")</f>
        <v>Mohtadi et al., 2016</v>
      </c>
      <c r="E122" t="str">
        <v>BPTB</v>
      </c>
    </row>
    <row r="123" spans="2:5" hidden="1" x14ac:dyDescent="0.35">
      <c r="B123" t="str">
        <f>_xlfn.TEXTJOIN("; ",TRUE,Sheet1!C123:D123)</f>
        <v>Calvert et al., 2025; QT</v>
      </c>
      <c r="C123" t="str">
        <v>Mohtadi et al., 2016; HT</v>
      </c>
      <c r="D123" t="str" cm="1">
        <f t="array" ref="D123:E123">_xlfn.TEXTSPLIT(C123,"; ")</f>
        <v>Mohtadi et al., 2016</v>
      </c>
      <c r="E123" t="str">
        <v>HT</v>
      </c>
    </row>
    <row r="124" spans="2:5" hidden="1" x14ac:dyDescent="0.35">
      <c r="B124" t="str">
        <f>_xlfn.TEXTJOIN("; ",TRUE,Sheet1!C124:D124)</f>
        <v>Calvert et al., 2025; HT vs. QT</v>
      </c>
      <c r="C124" t="str">
        <v>Mohtadi et al., 2016; BPTB vs. HT</v>
      </c>
      <c r="D124" t="str" cm="1">
        <f t="array" ref="D124:E124">_xlfn.TEXTSPLIT(C124,"; ")</f>
        <v>Mohtadi et al., 2016</v>
      </c>
      <c r="E124" t="str">
        <v>BPTB vs. HT</v>
      </c>
    </row>
    <row r="125" spans="2:5" hidden="1" x14ac:dyDescent="0.35">
      <c r="B125" t="str">
        <f>_xlfn.TEXTJOIN("; ",TRUE,Sheet1!C125:D125)</f>
        <v>Ejerhed et al., 2003; BPTB</v>
      </c>
      <c r="C125" t="str">
        <v>Moraiti et al., 2010; BPTB</v>
      </c>
      <c r="D125" t="str" cm="1">
        <f t="array" ref="D125:E125">_xlfn.TEXTSPLIT(C125,"; ")</f>
        <v>Moraiti et al., 2010</v>
      </c>
      <c r="E125" t="str">
        <v>BPTB</v>
      </c>
    </row>
    <row r="126" spans="2:5" hidden="1" x14ac:dyDescent="0.35">
      <c r="B126" t="str">
        <f>_xlfn.TEXTJOIN("; ",TRUE,Sheet1!C126:D126)</f>
        <v>Ejerhed et al., 2003; HT</v>
      </c>
      <c r="C126" t="str">
        <v>Moraiti et al., 2010; HT</v>
      </c>
      <c r="D126" t="str" cm="1">
        <f t="array" ref="D126:E126">_xlfn.TEXTSPLIT(C126,"; ")</f>
        <v>Moraiti et al., 2010</v>
      </c>
      <c r="E126" t="str">
        <v>HT</v>
      </c>
    </row>
    <row r="127" spans="2:5" hidden="1" x14ac:dyDescent="0.35">
      <c r="B127" t="str">
        <f>_xlfn.TEXTJOIN("; ",TRUE,Sheet1!C127:D127)</f>
        <v>Ejerhed et al., 2003; BPTB vs. HT</v>
      </c>
      <c r="C127" t="str">
        <v>Moraiti et al., 2010; BPTB vs. HT</v>
      </c>
      <c r="D127" t="str" cm="1">
        <f t="array" ref="D127:E127">_xlfn.TEXTSPLIT(C127,"; ")</f>
        <v>Moraiti et al., 2010</v>
      </c>
      <c r="E127" t="str">
        <v>BPTB vs. HT</v>
      </c>
    </row>
    <row r="128" spans="2:5" hidden="1" x14ac:dyDescent="0.35">
      <c r="B128" t="str">
        <f>_xlfn.TEXTJOIN("; ",TRUE,Sheet1!C128:D128)</f>
        <v>Ejerhed et al., 2003; BPTB</v>
      </c>
      <c r="C128" t="str">
        <v>Noh et al., 2011; HT</v>
      </c>
      <c r="D128" t="str" cm="1">
        <f t="array" ref="D128:E128">_xlfn.TEXTSPLIT(C128,"; ")</f>
        <v>Noh et al., 2011</v>
      </c>
      <c r="E128" t="str">
        <v>HT</v>
      </c>
    </row>
    <row r="129" spans="2:5" hidden="1" x14ac:dyDescent="0.35">
      <c r="B129" t="str">
        <f>_xlfn.TEXTJOIN("; ",TRUE,Sheet1!C129:D129)</f>
        <v>Ejerhed et al., 2003; HT</v>
      </c>
      <c r="C129" t="str">
        <v>Noh et al., 2011; AT</v>
      </c>
      <c r="D129" t="str" cm="1">
        <f t="array" ref="D129:E129">_xlfn.TEXTSPLIT(C129,"; ")</f>
        <v>Noh et al., 2011</v>
      </c>
      <c r="E129" t="str">
        <v>AT</v>
      </c>
    </row>
    <row r="130" spans="2:5" hidden="1" x14ac:dyDescent="0.35">
      <c r="B130" t="str">
        <f>_xlfn.TEXTJOIN("; ",TRUE,Sheet1!C130:D130)</f>
        <v>Ejerhed et al., 2003; BPTB vs. HT</v>
      </c>
      <c r="C130" t="str">
        <v>Noh et al., 2011; HT vs. AT</v>
      </c>
      <c r="D130" t="str" cm="1">
        <f t="array" ref="D130:E130">_xlfn.TEXTSPLIT(C130,"; ")</f>
        <v>Noh et al., 2011</v>
      </c>
      <c r="E130" t="str">
        <v>HT vs. AT</v>
      </c>
    </row>
    <row r="131" spans="2:5" hidden="1" x14ac:dyDescent="0.35">
      <c r="B131" t="str">
        <f>_xlfn.TEXTJOIN("; ",TRUE,Sheet1!C131:D131)</f>
        <v>Ejerhed et al., 2003; BPTB</v>
      </c>
      <c r="C131" t="str">
        <v>Papalia et al., 2015; BPTB</v>
      </c>
      <c r="D131" t="str" cm="1">
        <f t="array" ref="D131:E131">_xlfn.TEXTSPLIT(C131,"; ")</f>
        <v>Papalia et al., 2015</v>
      </c>
      <c r="E131" t="str">
        <v>BPTB</v>
      </c>
    </row>
    <row r="132" spans="2:5" hidden="1" x14ac:dyDescent="0.35">
      <c r="B132" t="str">
        <f>_xlfn.TEXTJOIN("; ",TRUE,Sheet1!C132:D132)</f>
        <v>Ejerhed et al., 2003; HT</v>
      </c>
      <c r="C132" t="str">
        <v>Papalia et al., 2015; HT</v>
      </c>
      <c r="D132" t="str" cm="1">
        <f t="array" ref="D132:E132">_xlfn.TEXTSPLIT(C132,"; ")</f>
        <v>Papalia et al., 2015</v>
      </c>
      <c r="E132" t="str">
        <v>HT</v>
      </c>
    </row>
    <row r="133" spans="2:5" hidden="1" x14ac:dyDescent="0.35">
      <c r="B133" t="str">
        <f>_xlfn.TEXTJOIN("; ",TRUE,Sheet1!C133:D133)</f>
        <v>Ejerhed et al., 2003; BPTB vs. HT</v>
      </c>
      <c r="C133" t="str">
        <v>Papalia et al., 2015; BPTB vs. HT</v>
      </c>
      <c r="D133" t="str" cm="1">
        <f t="array" ref="D133:E133">_xlfn.TEXTSPLIT(C133,"; ")</f>
        <v>Papalia et al., 2015</v>
      </c>
      <c r="E133" t="str">
        <v>BPTB vs. HT</v>
      </c>
    </row>
    <row r="134" spans="2:5" hidden="1" x14ac:dyDescent="0.35">
      <c r="B134" t="str">
        <f>_xlfn.TEXTJOIN("; ",TRUE,Sheet1!C134:D134)</f>
        <v>Ejerhed et al., 2003; BPTB</v>
      </c>
      <c r="C134" t="str">
        <v>Pinczewski et al., 2007; BPTB</v>
      </c>
      <c r="D134" t="str" cm="1">
        <f t="array" ref="D134:E134">_xlfn.TEXTSPLIT(C134,"; ")</f>
        <v>Pinczewski et al., 2007</v>
      </c>
      <c r="E134" t="str">
        <v>BPTB</v>
      </c>
    </row>
    <row r="135" spans="2:5" hidden="1" x14ac:dyDescent="0.35">
      <c r="B135" t="str">
        <f>_xlfn.TEXTJOIN("; ",TRUE,Sheet1!C135:D135)</f>
        <v>Ejerhed et al., 2003; HT</v>
      </c>
      <c r="C135" t="str">
        <v>Pinczewski et al., 2007; HT</v>
      </c>
      <c r="D135" t="str" cm="1">
        <f t="array" ref="D135:E135">_xlfn.TEXTSPLIT(C135,"; ")</f>
        <v>Pinczewski et al., 2007</v>
      </c>
      <c r="E135" t="str">
        <v>HT</v>
      </c>
    </row>
    <row r="136" spans="2:5" hidden="1" x14ac:dyDescent="0.35">
      <c r="B136" t="str">
        <f>_xlfn.TEXTJOIN("; ",TRUE,Sheet1!C136:D136)</f>
        <v>Ejerhed et al., 2003; BPTB vs. HT</v>
      </c>
      <c r="C136" t="str">
        <v>Pinczewski et al., 2007; BPTB vs. HT</v>
      </c>
      <c r="D136" t="str" cm="1">
        <f t="array" ref="D136:E136">_xlfn.TEXTSPLIT(C136,"; ")</f>
        <v>Pinczewski et al., 2007</v>
      </c>
      <c r="E136" t="str">
        <v>BPTB vs. HT</v>
      </c>
    </row>
    <row r="137" spans="2:5" hidden="1" x14ac:dyDescent="0.35">
      <c r="B137" t="str">
        <f>_xlfn.TEXTJOIN("; ",TRUE,Sheet1!C137:D137)</f>
        <v>Ejerhed et al., 2003; BPTB</v>
      </c>
      <c r="C137" t="str">
        <v>Popovic et al., 2024; BPTB</v>
      </c>
      <c r="D137" t="str" cm="1">
        <f t="array" ref="D137:E137">_xlfn.TEXTSPLIT(C137,"; ")</f>
        <v>Popovic et al., 2024</v>
      </c>
      <c r="E137" t="str">
        <v>BPTB</v>
      </c>
    </row>
    <row r="138" spans="2:5" hidden="1" x14ac:dyDescent="0.35">
      <c r="B138" t="str">
        <f>_xlfn.TEXTJOIN("; ",TRUE,Sheet1!C138:D138)</f>
        <v>Ejerhed et al., 2003; HT</v>
      </c>
      <c r="C138" t="str">
        <v>Popovic et al., 2024; HT</v>
      </c>
      <c r="D138" t="str" cm="1">
        <f t="array" ref="D138:E138">_xlfn.TEXTSPLIT(C138,"; ")</f>
        <v>Popovic et al., 2024</v>
      </c>
      <c r="E138" t="str">
        <v>HT</v>
      </c>
    </row>
    <row r="139" spans="2:5" hidden="1" x14ac:dyDescent="0.35">
      <c r="B139" t="str">
        <f>_xlfn.TEXTJOIN("; ",TRUE,Sheet1!C139:D139)</f>
        <v>Ejerhed et al., 2003; BPTB vs. HT</v>
      </c>
      <c r="C139" t="str">
        <v>Popovic et al., 2024; BPTB vs. HT</v>
      </c>
      <c r="D139" t="str" cm="1">
        <f t="array" ref="D139:E139">_xlfn.TEXTSPLIT(C139,"; ")</f>
        <v>Popovic et al., 2024</v>
      </c>
      <c r="E139" t="str">
        <v>BPTB vs. HT</v>
      </c>
    </row>
    <row r="140" spans="2:5" hidden="1" x14ac:dyDescent="0.35">
      <c r="B140" t="str">
        <f>_xlfn.TEXTJOIN("; ",TRUE,Sheet1!C140:D140)</f>
        <v>Eriksson et al., 2001; BPTB</v>
      </c>
      <c r="C140" t="str">
        <v>Sajovic et al., 2018; BPTB</v>
      </c>
      <c r="D140" t="str" cm="1">
        <f t="array" ref="D140:E140">_xlfn.TEXTSPLIT(C140,"; ")</f>
        <v>Sajovic et al., 2018</v>
      </c>
      <c r="E140" t="str">
        <v>BPTB</v>
      </c>
    </row>
    <row r="141" spans="2:5" hidden="1" x14ac:dyDescent="0.35">
      <c r="B141" t="str">
        <f>_xlfn.TEXTJOIN("; ",TRUE,Sheet1!C141:D141)</f>
        <v>Eriksson et al., 2001; HT</v>
      </c>
      <c r="C141" t="str">
        <v>Sajovic et al., 2018; HT</v>
      </c>
      <c r="D141" t="str" cm="1">
        <f t="array" ref="D141:E141">_xlfn.TEXTSPLIT(C141,"; ")</f>
        <v>Sajovic et al., 2018</v>
      </c>
      <c r="E141" t="str">
        <v>HT</v>
      </c>
    </row>
    <row r="142" spans="2:5" hidden="1" x14ac:dyDescent="0.35">
      <c r="B142" t="str">
        <f>_xlfn.TEXTJOIN("; ",TRUE,Sheet1!C142:D142)</f>
        <v>Eriksson et al., 2001; BPTB vs. HT</v>
      </c>
      <c r="C142" t="str">
        <v>Sajovic et al., 2018; BPTB vs. HT</v>
      </c>
      <c r="D142" t="str" cm="1">
        <f t="array" ref="D142:E142">_xlfn.TEXTSPLIT(C142,"; ")</f>
        <v>Sajovic et al., 2018</v>
      </c>
      <c r="E142" t="str">
        <v>BPTB vs. HT</v>
      </c>
    </row>
    <row r="143" spans="2:5" hidden="1" x14ac:dyDescent="0.35">
      <c r="B143" t="str">
        <f>_xlfn.TEXTJOIN("; ",TRUE,Sheet1!C143:D143)</f>
        <v>Eriksson et al., 2001; BPTB</v>
      </c>
      <c r="C143" t="str">
        <v>Sinding et al., 2020; HT</v>
      </c>
      <c r="D143" t="str" cm="1">
        <f t="array" ref="D143:E143">_xlfn.TEXTSPLIT(C143,"; ")</f>
        <v>Sinding et al., 2020</v>
      </c>
      <c r="E143" t="str">
        <v>HT</v>
      </c>
    </row>
    <row r="144" spans="2:5" hidden="1" x14ac:dyDescent="0.35">
      <c r="B144" t="str">
        <f>_xlfn.TEXTJOIN("; ",TRUE,Sheet1!C144:D144)</f>
        <v>Eriksson et al., 2001; HT</v>
      </c>
      <c r="C144" t="str">
        <v>Sinding et al., 2020; QT</v>
      </c>
      <c r="D144" t="str" cm="1">
        <f t="array" ref="D144:E144">_xlfn.TEXTSPLIT(C144,"; ")</f>
        <v>Sinding et al., 2020</v>
      </c>
      <c r="E144" t="str">
        <v>QT</v>
      </c>
    </row>
    <row r="145" spans="2:5" x14ac:dyDescent="0.35">
      <c r="B145" t="str">
        <f>_xlfn.TEXTJOIN("; ",TRUE,Sheet1!C145:D145)</f>
        <v>Eriksson et al., 2001; BPTB vs. HT</v>
      </c>
      <c r="C145" t="str">
        <v>Sinding et al., 2020; HT vs. QT</v>
      </c>
      <c r="D145" t="str" cm="1">
        <f t="array" ref="D145:E145">_xlfn.TEXTSPLIT(C145,"; ")</f>
        <v>Sinding et al., 2020</v>
      </c>
      <c r="E145" t="str">
        <v>HT vs. QT</v>
      </c>
    </row>
    <row r="146" spans="2:5" hidden="1" x14ac:dyDescent="0.35">
      <c r="B146" t="str">
        <f>_xlfn.TEXTJOIN("; ",TRUE,Sheet1!C146:D146)</f>
        <v>Eriksson et al., 2001; BPTB</v>
      </c>
      <c r="C146" t="str">
        <v>Smith et al., 2020; BPTB</v>
      </c>
      <c r="D146" t="str" cm="1">
        <f t="array" ref="D146:E146">_xlfn.TEXTSPLIT(C146,"; ")</f>
        <v>Smith et al., 2020</v>
      </c>
      <c r="E146" t="str">
        <v>BPTB</v>
      </c>
    </row>
    <row r="147" spans="2:5" hidden="1" x14ac:dyDescent="0.35">
      <c r="B147" t="str">
        <f>_xlfn.TEXTJOIN("; ",TRUE,Sheet1!C147:D147)</f>
        <v>Eriksson et al., 2001; HT</v>
      </c>
      <c r="C147" t="str">
        <v>Smith et al., 2020; HT</v>
      </c>
      <c r="D147" t="str" cm="1">
        <f t="array" ref="D147:E147">_xlfn.TEXTSPLIT(C147,"; ")</f>
        <v>Smith et al., 2020</v>
      </c>
      <c r="E147" t="str">
        <v>HT</v>
      </c>
    </row>
    <row r="148" spans="2:5" hidden="1" x14ac:dyDescent="0.35">
      <c r="B148" t="str">
        <f>_xlfn.TEXTJOIN("; ",TRUE,Sheet1!C148:D148)</f>
        <v>Eriksson et al., 2001; BPTB vs. HT</v>
      </c>
      <c r="C148" t="str">
        <v>Smith et al., 2020; BPTB vs. HT</v>
      </c>
      <c r="D148" t="str" cm="1">
        <f t="array" ref="D148:E148">_xlfn.TEXTSPLIT(C148,"; ")</f>
        <v>Smith et al., 2020</v>
      </c>
      <c r="E148" t="str">
        <v>BPTB vs. HT</v>
      </c>
    </row>
    <row r="149" spans="2:5" hidden="1" x14ac:dyDescent="0.35">
      <c r="B149" t="str">
        <f>_xlfn.TEXTJOIN("; ",TRUE,Sheet1!C149:D149)</f>
        <v>Feller &amp; Webster, 2003; BPTB</v>
      </c>
      <c r="C149" t="str">
        <v>Sonnery-cottet et al., 2026; BPTB</v>
      </c>
      <c r="D149" t="str" cm="1">
        <f t="array" ref="D149:E149">_xlfn.TEXTSPLIT(C149,"; ")</f>
        <v>Sonnery-cottet et al., 2026</v>
      </c>
      <c r="E149" t="str">
        <v>BPTB</v>
      </c>
    </row>
    <row r="150" spans="2:5" hidden="1" x14ac:dyDescent="0.35">
      <c r="B150" t="str">
        <f>_xlfn.TEXTJOIN("; ",TRUE,Sheet1!C150:D150)</f>
        <v>Feller &amp; Webster, 2003; HT</v>
      </c>
      <c r="C150" t="str">
        <v>Sonnery-cottet et al., 2026; HT</v>
      </c>
      <c r="D150" t="str" cm="1">
        <f t="array" ref="D150:E150">_xlfn.TEXTSPLIT(C150,"; ")</f>
        <v>Sonnery-cottet et al., 2026</v>
      </c>
      <c r="E150" t="str">
        <v>HT</v>
      </c>
    </row>
    <row r="151" spans="2:5" hidden="1" x14ac:dyDescent="0.35">
      <c r="B151" t="str">
        <f>_xlfn.TEXTJOIN("; ",TRUE,Sheet1!C151:D151)</f>
        <v>Feller &amp; Webster, 2003; BPTB vs. HT</v>
      </c>
      <c r="C151" t="str">
        <v>Sonnery-cottet et al., 2026; BPTB vs. HT</v>
      </c>
      <c r="D151" t="str" cm="1">
        <f t="array" ref="D151:E151">_xlfn.TEXTSPLIT(C151,"; ")</f>
        <v>Sonnery-cottet et al., 2026</v>
      </c>
      <c r="E151" t="str">
        <v>BPTB vs. HT</v>
      </c>
    </row>
    <row r="152" spans="2:5" hidden="1" x14ac:dyDescent="0.35">
      <c r="B152" t="str">
        <f>_xlfn.TEXTJOIN("; ",TRUE,Sheet1!C152:D152)</f>
        <v>Feller &amp; Webster, 2003; BPTB</v>
      </c>
      <c r="C152" t="str">
        <v>Tang et al., 2023; HT</v>
      </c>
      <c r="D152" t="str" cm="1">
        <f t="array" ref="D152:E152">_xlfn.TEXTSPLIT(C152,"; ")</f>
        <v>Tang et al., 2023</v>
      </c>
      <c r="E152" t="str">
        <v>HT</v>
      </c>
    </row>
    <row r="153" spans="2:5" hidden="1" x14ac:dyDescent="0.35">
      <c r="B153" t="str">
        <f>_xlfn.TEXTJOIN("; ",TRUE,Sheet1!C153:D153)</f>
        <v>Feller &amp; Webster, 2003; HT</v>
      </c>
      <c r="C153" t="str">
        <v>Tang et al., 2023; QT</v>
      </c>
      <c r="D153" t="str" cm="1">
        <f t="array" ref="D153:E153">_xlfn.TEXTSPLIT(C153,"; ")</f>
        <v>Tang et al., 2023</v>
      </c>
      <c r="E153" t="str">
        <v>QT</v>
      </c>
    </row>
    <row r="154" spans="2:5" x14ac:dyDescent="0.35">
      <c r="B154" t="str">
        <f>_xlfn.TEXTJOIN("; ",TRUE,Sheet1!C154:D154)</f>
        <v>Feller &amp; Webster, 2003; BPTB vs. HT</v>
      </c>
      <c r="C154" t="str">
        <v>Tang et al., 2023; HT vs. QT</v>
      </c>
      <c r="D154" t="str" cm="1">
        <f t="array" ref="D154:E154">_xlfn.TEXTSPLIT(C154,"; ")</f>
        <v>Tang et al., 2023</v>
      </c>
      <c r="E154" t="str">
        <v>HT vs. QT</v>
      </c>
    </row>
    <row r="155" spans="2:5" hidden="1" x14ac:dyDescent="0.35">
      <c r="B155" t="str">
        <f>_xlfn.TEXTJOIN("; ",TRUE,Sheet1!C155:D155)</f>
        <v>Feller &amp; Webster, 2003; BPTB</v>
      </c>
      <c r="C155" t="str">
        <v>Taylor et al., 2009; BPTB</v>
      </c>
      <c r="D155" t="str" cm="1">
        <f t="array" ref="D155:E155">_xlfn.TEXTSPLIT(C155,"; ")</f>
        <v>Taylor et al., 2009</v>
      </c>
      <c r="E155" t="str">
        <v>BPTB</v>
      </c>
    </row>
    <row r="156" spans="2:5" hidden="1" x14ac:dyDescent="0.35">
      <c r="B156" t="str">
        <f>_xlfn.TEXTJOIN("; ",TRUE,Sheet1!C156:D156)</f>
        <v>Feller &amp; Webster, 2003; HT</v>
      </c>
      <c r="C156" t="str">
        <v>Taylor et al., 2009; HT</v>
      </c>
      <c r="D156" t="str" cm="1">
        <f t="array" ref="D156:E156">_xlfn.TEXTSPLIT(C156,"; ")</f>
        <v>Taylor et al., 2009</v>
      </c>
      <c r="E156" t="str">
        <v>HT</v>
      </c>
    </row>
    <row r="157" spans="2:5" hidden="1" x14ac:dyDescent="0.35">
      <c r="B157" t="str">
        <f>_xlfn.TEXTJOIN("; ",TRUE,Sheet1!C157:D157)</f>
        <v>Feller &amp; Webster, 2003; BPTB vs. HT</v>
      </c>
      <c r="C157" t="str">
        <v>Taylor et al., 2009; BPTB vs. HT</v>
      </c>
      <c r="D157" t="str" cm="1">
        <f t="array" ref="D157:E157">_xlfn.TEXTSPLIT(C157,"; ")</f>
        <v>Taylor et al., 2009</v>
      </c>
      <c r="E157" t="str">
        <v>BPTB vs. HT</v>
      </c>
    </row>
    <row r="158" spans="2:5" hidden="1" x14ac:dyDescent="0.35">
      <c r="B158" t="str">
        <f>_xlfn.TEXTJOIN("; ",TRUE,Sheet1!C158:D158)</f>
        <v>Feller &amp; Webster, 2003; BPTB</v>
      </c>
      <c r="C158" t="str">
        <v>Vilchez-Cavazos et al., 2020; HT</v>
      </c>
      <c r="D158" t="str" cm="1">
        <f t="array" ref="D158:E158">_xlfn.TEXTSPLIT(C158,"; ")</f>
        <v>Vilchez-Cavazos et al., 2020</v>
      </c>
      <c r="E158" t="str">
        <v>HT</v>
      </c>
    </row>
    <row r="159" spans="2:5" hidden="1" x14ac:dyDescent="0.35">
      <c r="B159" t="str">
        <f>_xlfn.TEXTJOIN("; ",TRUE,Sheet1!C159:D159)</f>
        <v>Feller &amp; Webster, 2003; HT</v>
      </c>
      <c r="C159" t="str">
        <v>Vilchez-Cavazos et al., 2020; QT</v>
      </c>
      <c r="D159" t="str" cm="1">
        <f t="array" ref="D159:E159">_xlfn.TEXTSPLIT(C159,"; ")</f>
        <v>Vilchez-Cavazos et al., 2020</v>
      </c>
      <c r="E159" t="str">
        <v>QT</v>
      </c>
    </row>
    <row r="160" spans="2:5" x14ac:dyDescent="0.35">
      <c r="B160" t="str">
        <f>_xlfn.TEXTJOIN("; ",TRUE,Sheet1!C160:D160)</f>
        <v>Feller &amp; Webster, 2003; BPTB vs. HT</v>
      </c>
      <c r="C160" t="str">
        <v>Vilchez-Cavazos et al., 2020; HT vs. QT</v>
      </c>
      <c r="D160" t="str" cm="1">
        <f t="array" ref="D160:E160">_xlfn.TEXTSPLIT(C160,"; ")</f>
        <v>Vilchez-Cavazos et al., 2020</v>
      </c>
      <c r="E160" t="str">
        <v>HT vs. QT</v>
      </c>
    </row>
    <row r="161" spans="2:5" hidden="1" x14ac:dyDescent="0.35">
      <c r="B161" t="str">
        <f>_xlfn.TEXTJOIN("; ",TRUE,Sheet1!C161:D161)</f>
        <v>Feller &amp; Webster, 2003; BPTB</v>
      </c>
      <c r="C161" t="str">
        <v>Vilchez-cavazos et al., 2020; BPTB</v>
      </c>
      <c r="D161" t="str" cm="1">
        <f t="array" ref="D161:E161">_xlfn.TEXTSPLIT(C161,"; ")</f>
        <v>Vilchez-cavazos et al., 2020</v>
      </c>
      <c r="E161" t="str">
        <v>BPTB</v>
      </c>
    </row>
    <row r="162" spans="2:5" x14ac:dyDescent="0.35">
      <c r="B162" t="str">
        <f>_xlfn.TEXTJOIN("; ",TRUE,Sheet1!C162:D162)</f>
        <v>Feller &amp; Webster, 2003; HT</v>
      </c>
      <c r="C162" t="str">
        <v>Vilchez-cavazos et al., 2020; BPTB vs. QT</v>
      </c>
      <c r="D162" t="str" cm="1">
        <f t="array" ref="D162:E162">_xlfn.TEXTSPLIT(C162,"; ")</f>
        <v>Vilchez-cavazos et al., 2020</v>
      </c>
      <c r="E162" t="str">
        <v>BPTB vs. QT</v>
      </c>
    </row>
    <row r="163" spans="2:5" hidden="1" x14ac:dyDescent="0.35">
      <c r="B163" t="str">
        <f>_xlfn.TEXTJOIN("; ",TRUE,Sheet1!C163:D163)</f>
        <v>Feller &amp; Webster, 2003; BPTB vs. HT</v>
      </c>
      <c r="C163" t="str">
        <v>Webster et al., 2001; BPTB</v>
      </c>
      <c r="D163" t="str" cm="1">
        <f t="array" ref="D163:E163">_xlfn.TEXTSPLIT(C163,"; ")</f>
        <v>Webster et al., 2001</v>
      </c>
      <c r="E163" t="str">
        <v>BPTB</v>
      </c>
    </row>
    <row r="164" spans="2:5" hidden="1" x14ac:dyDescent="0.35">
      <c r="B164" t="str">
        <f>_xlfn.TEXTJOIN("; ",TRUE,Sheet1!C164:D164)</f>
        <v>Gifstad et al., 2013; BPTB</v>
      </c>
      <c r="C164" t="str">
        <v>Webster et al., 2001; HT</v>
      </c>
      <c r="D164" t="str" cm="1">
        <f t="array" ref="D164:E164">_xlfn.TEXTSPLIT(C164,"; ")</f>
        <v>Webster et al., 2001</v>
      </c>
      <c r="E164" t="str">
        <v>HT</v>
      </c>
    </row>
    <row r="165" spans="2:5" hidden="1" x14ac:dyDescent="0.35">
      <c r="B165" t="str">
        <f>_xlfn.TEXTJOIN("; ",TRUE,Sheet1!C165:D165)</f>
        <v>Gifstad et al., 2013; HT</v>
      </c>
      <c r="C165" t="str">
        <v>Webster et al., 2001; BPTB vs. HT</v>
      </c>
      <c r="D165" t="str" cm="1">
        <f t="array" ref="D165:E165">_xlfn.TEXTSPLIT(C165,"; ")</f>
        <v>Webster et al., 2001</v>
      </c>
      <c r="E165" t="str">
        <v>BPTB vs. HT</v>
      </c>
    </row>
    <row r="166" spans="2:5" hidden="1" x14ac:dyDescent="0.35">
      <c r="B166" t="str">
        <f>_xlfn.TEXTJOIN("; ",TRUE,Sheet1!C166:D166)</f>
        <v>Gifstad et al., 2013; BPTB vs. HT</v>
      </c>
      <c r="C166" t="str">
        <v>Wipfler et al., 2011; BPTB</v>
      </c>
      <c r="D166" t="str" cm="1">
        <f t="array" ref="D166:E166">_xlfn.TEXTSPLIT(C166,"; ")</f>
        <v>Wipfler et al., 2011</v>
      </c>
      <c r="E166" t="str">
        <v>BPTB</v>
      </c>
    </row>
    <row r="167" spans="2:5" hidden="1" x14ac:dyDescent="0.35">
      <c r="B167" t="str">
        <f>_xlfn.TEXTJOIN("; ",TRUE,Sheet1!C167:D167)</f>
        <v>Gifstad et al., 2013; BPTB</v>
      </c>
      <c r="C167" t="str">
        <v>Wipfler et al., 2011; HT</v>
      </c>
      <c r="D167" t="str" cm="1">
        <f t="array" ref="D167:E167">_xlfn.TEXTSPLIT(C167,"; ")</f>
        <v>Wipfler et al., 2011</v>
      </c>
      <c r="E167" t="str">
        <v>HT</v>
      </c>
    </row>
    <row r="168" spans="2:5" hidden="1" x14ac:dyDescent="0.35">
      <c r="B168" t="str">
        <f>_xlfn.TEXTJOIN("; ",TRUE,Sheet1!C168:D168)</f>
        <v>Gifstad et al., 2013; HT</v>
      </c>
      <c r="C168" t="str">
        <v>Wipfler et al., 2011; BPTB vs. HT</v>
      </c>
      <c r="D168" t="str" cm="1">
        <f t="array" ref="D168:E168">_xlfn.TEXTSPLIT(C168,"; ")</f>
        <v>Wipfler et al., 2011</v>
      </c>
      <c r="E168" t="str">
        <v>BPTB vs. HT</v>
      </c>
    </row>
    <row r="169" spans="2:5" hidden="1" x14ac:dyDescent="0.35">
      <c r="B169" t="str">
        <f>_xlfn.TEXTJOIN("; ",TRUE,Sheet1!C169:D169)</f>
        <v>Gifstad et al., 2013; BPTB vs. HT</v>
      </c>
      <c r="C169" t="str">
        <v>Yadav et al., 2025; HT</v>
      </c>
      <c r="D169" t="str" cm="1">
        <f t="array" ref="D169:E169">_xlfn.TEXTSPLIT(C169,"; ")</f>
        <v>Yadav et al., 2025</v>
      </c>
      <c r="E169" t="str">
        <v>HT</v>
      </c>
    </row>
    <row r="170" spans="2:5" hidden="1" x14ac:dyDescent="0.35">
      <c r="B170" t="str">
        <f>_xlfn.TEXTJOIN("; ",TRUE,Sheet1!C170:D170)</f>
        <v>Gifstad et al., 2013; BPTB</v>
      </c>
      <c r="C170" t="str">
        <v>Yadav et al., 2025; QT</v>
      </c>
      <c r="D170" t="str" cm="1">
        <f t="array" ref="D170:E170">_xlfn.TEXTSPLIT(C170,"; ")</f>
        <v>Yadav et al., 2025</v>
      </c>
      <c r="E170" t="str">
        <v>QT</v>
      </c>
    </row>
    <row r="171" spans="2:5" x14ac:dyDescent="0.35">
      <c r="B171" t="str">
        <f>_xlfn.TEXTJOIN("; ",TRUE,Sheet1!C171:D171)</f>
        <v>Gifstad et al., 2013; HT</v>
      </c>
      <c r="C171" t="str">
        <v>Yadav et al., 2025; HT vs. QT</v>
      </c>
      <c r="D171" t="str" cm="1">
        <f t="array" ref="D171:E171">_xlfn.TEXTSPLIT(C171,"; ")</f>
        <v>Yadav et al., 2025</v>
      </c>
      <c r="E171" t="str">
        <v>HT vs. QT</v>
      </c>
    </row>
    <row r="172" spans="2:5" hidden="1" x14ac:dyDescent="0.35">
      <c r="B172" t="str">
        <f>_xlfn.TEXTJOIN("; ",TRUE,Sheet1!C172:D172)</f>
        <v>Gifstad et al., 2013; BPTB vs. HT</v>
      </c>
      <c r="C172" t="str">
        <v>Yoo et al., 2017; HT</v>
      </c>
      <c r="D172" t="str" cm="1">
        <f t="array" ref="D172:E172">_xlfn.TEXTSPLIT(C172,"; ")</f>
        <v>Yoo et al., 2017</v>
      </c>
      <c r="E172" t="str">
        <v>HT</v>
      </c>
    </row>
    <row r="173" spans="2:5" hidden="1" x14ac:dyDescent="0.35">
      <c r="B173" t="str">
        <f>_xlfn.TEXTJOIN("; ",TRUE,Sheet1!C173:D173)</f>
        <v>Guglielmetti et al., 2021; BPTB</v>
      </c>
      <c r="C173" t="str">
        <v>Yoo et al., 2017; TA</v>
      </c>
      <c r="D173" t="str" cm="1">
        <f t="array" ref="D173:E173">_xlfn.TEXTSPLIT(C173,"; ")</f>
        <v>Yoo et al., 2017</v>
      </c>
      <c r="E173" t="str">
        <v>TA</v>
      </c>
    </row>
    <row r="174" spans="2:5" hidden="1" x14ac:dyDescent="0.35">
      <c r="B174" t="str">
        <f>_xlfn.TEXTJOIN("; ",TRUE,Sheet1!C174:D174)</f>
        <v>Guglielmetti et al., 2021; HT</v>
      </c>
      <c r="C174" t="str">
        <v>Yoo et al., 2017; HT vs. TA</v>
      </c>
      <c r="D174" t="str" cm="1">
        <f t="array" ref="D174:E174">_xlfn.TEXTSPLIT(C174,"; ")</f>
        <v>Yoo et al., 2017</v>
      </c>
      <c r="E174" t="str">
        <v>HT vs. TA</v>
      </c>
    </row>
    <row r="175" spans="2:5" hidden="1" x14ac:dyDescent="0.35">
      <c r="B175" t="str">
        <f>_xlfn.TEXTJOIN("; ",TRUE,Sheet1!C175:D175)</f>
        <v>Guglielmetti et al., 2021; BPTB vs. HT</v>
      </c>
      <c r="C175" t="str">
        <v>Zaffagnini et al., 2011; BPTB</v>
      </c>
      <c r="D175" t="str" cm="1">
        <f t="array" ref="D175:E175">_xlfn.TEXTSPLIT(C175,"; ")</f>
        <v>Zaffagnini et al., 2011</v>
      </c>
      <c r="E175" t="str">
        <v>BPTB</v>
      </c>
    </row>
    <row r="176" spans="2:5" hidden="1" x14ac:dyDescent="0.35">
      <c r="B176" t="str">
        <f>_xlfn.TEXTJOIN("; ",TRUE,Sheet1!C176:D176)</f>
        <v>Guglielmetti et al., 2021; BPTB</v>
      </c>
      <c r="C176" t="str">
        <v>Zaffagnini et al., 2011; HT</v>
      </c>
      <c r="D176" t="str" cm="1">
        <f t="array" ref="D176:E176">_xlfn.TEXTSPLIT(C176,"; ")</f>
        <v>Zaffagnini et al., 2011</v>
      </c>
      <c r="E176" t="str">
        <v>HT</v>
      </c>
    </row>
    <row r="177" spans="2:5" hidden="1" x14ac:dyDescent="0.35">
      <c r="B177" t="str">
        <f>_xlfn.TEXTJOIN("; ",TRUE,Sheet1!C177:D177)</f>
        <v>Guglielmetti et al., 2021; HT</v>
      </c>
      <c r="C177" t="str">
        <v>Zaffagnini et al., 2011; BPTB vs. HT</v>
      </c>
      <c r="D177" t="str" cm="1">
        <f t="array" ref="D177:E177">_xlfn.TEXTSPLIT(C177,"; ")</f>
        <v>Zaffagnini et al., 2011</v>
      </c>
      <c r="E177" t="str">
        <v>BPTB vs. HT</v>
      </c>
    </row>
    <row r="178" spans="2:5" hidden="1" x14ac:dyDescent="0.35">
      <c r="B178" t="str">
        <f>_xlfn.TEXTJOIN("; ",TRUE,Sheet1!C178:D178)</f>
        <v>Guglielmetti et al., 2021; BPTB vs. HT</v>
      </c>
      <c r="D178" t="e" cm="1">
        <f t="array" ref="D178">_xlfn.TEXTSPLIT(C178,"; ")</f>
        <v>#VALUE!</v>
      </c>
    </row>
    <row r="179" spans="2:5" hidden="1" x14ac:dyDescent="0.35">
      <c r="B179" t="str">
        <f>_xlfn.TEXTJOIN("; ",TRUE,Sheet1!C179:D179)</f>
        <v>Guglielmetti et al., 2021; BPTB</v>
      </c>
      <c r="D179" t="e" cm="1">
        <f t="array" ref="D179">_xlfn.TEXTSPLIT(C179,"; ")</f>
        <v>#VALUE!</v>
      </c>
    </row>
    <row r="180" spans="2:5" hidden="1" x14ac:dyDescent="0.35">
      <c r="B180" t="str">
        <f>_xlfn.TEXTJOIN("; ",TRUE,Sheet1!C180:D180)</f>
        <v>Guglielmetti et al., 2021; HT</v>
      </c>
      <c r="D180" t="e" cm="1">
        <f t="array" ref="D180">_xlfn.TEXTSPLIT(C180,"; ")</f>
        <v>#VALUE!</v>
      </c>
    </row>
    <row r="181" spans="2:5" hidden="1" x14ac:dyDescent="0.35">
      <c r="B181" t="str">
        <f>_xlfn.TEXTJOIN("; ",TRUE,Sheet1!C181:D181)</f>
        <v>Guglielmetti et al., 2021; BPTB vs. HT</v>
      </c>
      <c r="D181" t="e" cm="1">
        <f t="array" ref="D181">_xlfn.TEXTSPLIT(C181,"; ")</f>
        <v>#VALUE!</v>
      </c>
    </row>
    <row r="182" spans="2:5" hidden="1" x14ac:dyDescent="0.35">
      <c r="B182" t="str">
        <f>_xlfn.TEXTJOIN("; ",TRUE,Sheet1!C182:D182)</f>
        <v>Guglielmetti et al., 2021; BPTB</v>
      </c>
      <c r="D182" t="e" cm="1">
        <f t="array" ref="D182">_xlfn.TEXTSPLIT(C182,"; ")</f>
        <v>#VALUE!</v>
      </c>
    </row>
    <row r="183" spans="2:5" hidden="1" x14ac:dyDescent="0.35">
      <c r="B183" t="str">
        <f>_xlfn.TEXTJOIN("; ",TRUE,Sheet1!C183:D183)</f>
        <v>Guglielmetti et al., 2021; HT</v>
      </c>
      <c r="D183" t="e" cm="1">
        <f t="array" ref="D183">_xlfn.TEXTSPLIT(C183,"; ")</f>
        <v>#VALUE!</v>
      </c>
    </row>
    <row r="184" spans="2:5" hidden="1" x14ac:dyDescent="0.35">
      <c r="B184" t="str">
        <f>_xlfn.TEXTJOIN("; ",TRUE,Sheet1!C184:D184)</f>
        <v>Guglielmetti et al., 2021; BPTB vs. HT</v>
      </c>
      <c r="D184" t="e" cm="1">
        <f t="array" ref="D184">_xlfn.TEXTSPLIT(C184,"; ")</f>
        <v>#VALUE!</v>
      </c>
    </row>
    <row r="185" spans="2:5" hidden="1" x14ac:dyDescent="0.35">
      <c r="B185" t="str">
        <f>_xlfn.TEXTJOIN("; ",TRUE,Sheet1!C185:D185)</f>
        <v>Guglielmetti et al., 2021; BPTB</v>
      </c>
      <c r="D185" t="e" cm="1">
        <f t="array" ref="D185">_xlfn.TEXTSPLIT(C185,"; ")</f>
        <v>#VALUE!</v>
      </c>
    </row>
    <row r="186" spans="2:5" hidden="1" x14ac:dyDescent="0.35">
      <c r="B186" t="str">
        <f>_xlfn.TEXTJOIN("; ",TRUE,Sheet1!C186:D186)</f>
        <v>Guglielmetti et al., 2021; HT</v>
      </c>
      <c r="D186" t="e" cm="1">
        <f t="array" ref="D186">_xlfn.TEXTSPLIT(C186,"; ")</f>
        <v>#VALUE!</v>
      </c>
    </row>
    <row r="187" spans="2:5" hidden="1" x14ac:dyDescent="0.35">
      <c r="B187" t="str">
        <f>_xlfn.TEXTJOIN("; ",TRUE,Sheet1!C187:D187)</f>
        <v>Guglielmetti et al., 2021; BPTB vs. HT</v>
      </c>
      <c r="D187" t="e" cm="1">
        <f t="array" ref="D187">_xlfn.TEXTSPLIT(C187,"; ")</f>
        <v>#VALUE!</v>
      </c>
    </row>
    <row r="188" spans="2:5" hidden="1" x14ac:dyDescent="0.35">
      <c r="B188" t="str">
        <f>_xlfn.TEXTJOIN("; ",TRUE,Sheet1!C188:D188)</f>
        <v>Guglielmetti et al., 2021; BPTB</v>
      </c>
      <c r="D188" t="e" cm="1">
        <f t="array" ref="D188">_xlfn.TEXTSPLIT(C188,"; ")</f>
        <v>#VALUE!</v>
      </c>
    </row>
    <row r="189" spans="2:5" hidden="1" x14ac:dyDescent="0.35">
      <c r="B189" t="str">
        <f>_xlfn.TEXTJOIN("; ",TRUE,Sheet1!C189:D189)</f>
        <v>Guglielmetti et al., 2021; HT</v>
      </c>
      <c r="D189" t="e" cm="1">
        <f t="array" ref="D189">_xlfn.TEXTSPLIT(C189,"; ")</f>
        <v>#VALUE!</v>
      </c>
    </row>
    <row r="190" spans="2:5" hidden="1" x14ac:dyDescent="0.35">
      <c r="B190" t="str">
        <f>_xlfn.TEXTJOIN("; ",TRUE,Sheet1!C190:D190)</f>
        <v>Guglielmetti et al., 2021; BPTB vs. HT</v>
      </c>
    </row>
    <row r="191" spans="2:5" hidden="1" x14ac:dyDescent="0.35">
      <c r="B191" t="str">
        <f>_xlfn.TEXTJOIN("; ",TRUE,Sheet1!C191:D191)</f>
        <v>Harilainen et al., 2006; BPTB</v>
      </c>
    </row>
    <row r="192" spans="2:5" hidden="1" x14ac:dyDescent="0.35">
      <c r="B192" t="str">
        <f>_xlfn.TEXTJOIN("; ",TRUE,Sheet1!C192:D192)</f>
        <v>Harilainen et al., 2006; HT</v>
      </c>
    </row>
    <row r="193" spans="2:2" hidden="1" x14ac:dyDescent="0.35">
      <c r="B193" t="str">
        <f>_xlfn.TEXTJOIN("; ",TRUE,Sheet1!C193:D193)</f>
        <v>Harilainen et al., 2006; BPTB vs. HT</v>
      </c>
    </row>
    <row r="194" spans="2:2" hidden="1" x14ac:dyDescent="0.35">
      <c r="B194" t="str">
        <f>_xlfn.TEXTJOIN("; ",TRUE,Sheet1!C194:D194)</f>
        <v>Harilainen et al., 2006; BPTB</v>
      </c>
    </row>
    <row r="195" spans="2:2" hidden="1" x14ac:dyDescent="0.35">
      <c r="B195" t="str">
        <f>_xlfn.TEXTJOIN("; ",TRUE,Sheet1!C195:D195)</f>
        <v>Harilainen et al., 2006; HT</v>
      </c>
    </row>
    <row r="196" spans="2:2" hidden="1" x14ac:dyDescent="0.35">
      <c r="B196" t="str">
        <f>_xlfn.TEXTJOIN("; ",TRUE,Sheet1!C196:D196)</f>
        <v>Harilainen et al., 2006; BPTB vs. HT</v>
      </c>
    </row>
    <row r="197" spans="2:2" hidden="1" x14ac:dyDescent="0.35">
      <c r="B197" t="str">
        <f>_xlfn.TEXTJOIN("; ",TRUE,Sheet1!C197:D197)</f>
        <v>Harilainen et al., 2006; BPTB</v>
      </c>
    </row>
    <row r="198" spans="2:2" hidden="1" x14ac:dyDescent="0.35">
      <c r="B198" t="str">
        <f>_xlfn.TEXTJOIN("; ",TRUE,Sheet1!C198:D198)</f>
        <v>Harilainen et al., 2006; HT</v>
      </c>
    </row>
    <row r="199" spans="2:2" hidden="1" x14ac:dyDescent="0.35">
      <c r="B199" t="str">
        <f>_xlfn.TEXTJOIN("; ",TRUE,Sheet1!C199:D199)</f>
        <v>Harilainen et al., 2006; BPTB vs. HT</v>
      </c>
    </row>
    <row r="200" spans="2:2" hidden="1" x14ac:dyDescent="0.35">
      <c r="B200" t="str">
        <f>_xlfn.TEXTJOIN("; ",TRUE,Sheet1!C200:D200)</f>
        <v>Harilainen et al., 2006; BPTB</v>
      </c>
    </row>
    <row r="201" spans="2:2" hidden="1" x14ac:dyDescent="0.35">
      <c r="B201" t="str">
        <f>_xlfn.TEXTJOIN("; ",TRUE,Sheet1!C201:D201)</f>
        <v>Harilainen et al., 2006; HT</v>
      </c>
    </row>
    <row r="202" spans="2:2" hidden="1" x14ac:dyDescent="0.35">
      <c r="B202" t="str">
        <f>_xlfn.TEXTJOIN("; ",TRUE,Sheet1!C202:D202)</f>
        <v>Harilainen et al., 2006; BPTB vs. HT</v>
      </c>
    </row>
    <row r="203" spans="2:2" hidden="1" x14ac:dyDescent="0.35">
      <c r="B203" t="str">
        <f>_xlfn.TEXTJOIN("; ",TRUE,Sheet1!C203:D203)</f>
        <v>Harilainen et al., 2006; BPTB</v>
      </c>
    </row>
    <row r="204" spans="2:2" hidden="1" x14ac:dyDescent="0.35">
      <c r="B204" t="str">
        <f>_xlfn.TEXTJOIN("; ",TRUE,Sheet1!C204:D204)</f>
        <v>Harilainen et al., 2006; HT</v>
      </c>
    </row>
    <row r="205" spans="2:2" hidden="1" x14ac:dyDescent="0.35">
      <c r="B205" t="str">
        <f>_xlfn.TEXTJOIN("; ",TRUE,Sheet1!C205:D205)</f>
        <v>Harilainen et al., 2006; BPTB vs. HT</v>
      </c>
    </row>
    <row r="206" spans="2:2" hidden="1" x14ac:dyDescent="0.35">
      <c r="B206" t="str">
        <f>_xlfn.TEXTJOIN("; ",TRUE,Sheet1!C206:D206)</f>
        <v>Harilainen et al., 2006; BPTB</v>
      </c>
    </row>
    <row r="207" spans="2:2" hidden="1" x14ac:dyDescent="0.35">
      <c r="B207" t="str">
        <f>_xlfn.TEXTJOIN("; ",TRUE,Sheet1!C207:D207)</f>
        <v>Harilainen et al., 2006; HT</v>
      </c>
    </row>
    <row r="208" spans="2:2" hidden="1" x14ac:dyDescent="0.35">
      <c r="B208" t="str">
        <f>_xlfn.TEXTJOIN("; ",TRUE,Sheet1!C208:D208)</f>
        <v>Harilainen et al., 2006; BPTB vs. HT</v>
      </c>
    </row>
    <row r="209" spans="2:2" hidden="1" x14ac:dyDescent="0.35">
      <c r="B209" t="str">
        <f>_xlfn.TEXTJOIN("; ",TRUE,Sheet1!C209:D209)</f>
        <v>Harilainen et al., 2006; BPTB</v>
      </c>
    </row>
    <row r="210" spans="2:2" hidden="1" x14ac:dyDescent="0.35">
      <c r="B210" t="str">
        <f>_xlfn.TEXTJOIN("; ",TRUE,Sheet1!C210:D210)</f>
        <v>Harilainen et al., 2006; HT</v>
      </c>
    </row>
    <row r="211" spans="2:2" hidden="1" x14ac:dyDescent="0.35">
      <c r="B211" t="str">
        <f>_xlfn.TEXTJOIN("; ",TRUE,Sheet1!C211:D211)</f>
        <v>Harilainen et al., 2006; BPTB vs. HT</v>
      </c>
    </row>
    <row r="212" spans="2:2" hidden="1" x14ac:dyDescent="0.35">
      <c r="B212" t="str">
        <f>_xlfn.TEXTJOIN("; ",TRUE,Sheet1!C212:D212)</f>
        <v>Heijne &amp; Werner, 2010; BPTB</v>
      </c>
    </row>
    <row r="213" spans="2:2" hidden="1" x14ac:dyDescent="0.35">
      <c r="B213" t="str">
        <f>_xlfn.TEXTJOIN("; ",TRUE,Sheet1!C213:D213)</f>
        <v>Heijne &amp; Werner, 2010; HT</v>
      </c>
    </row>
    <row r="214" spans="2:2" hidden="1" x14ac:dyDescent="0.35">
      <c r="B214" t="str">
        <f>_xlfn.TEXTJOIN("; ",TRUE,Sheet1!C214:D214)</f>
        <v>Heijne &amp; Werner, 2010; BPTB vs. HT</v>
      </c>
    </row>
    <row r="215" spans="2:2" hidden="1" x14ac:dyDescent="0.35">
      <c r="B215" t="str">
        <f>_xlfn.TEXTJOIN("; ",TRUE,Sheet1!C215:D215)</f>
        <v>Heijne &amp; Werner, 2010; BPTB</v>
      </c>
    </row>
    <row r="216" spans="2:2" hidden="1" x14ac:dyDescent="0.35">
      <c r="B216" t="str">
        <f>_xlfn.TEXTJOIN("; ",TRUE,Sheet1!C216:D216)</f>
        <v>Heijne &amp; Werner, 2010; HT</v>
      </c>
    </row>
    <row r="217" spans="2:2" hidden="1" x14ac:dyDescent="0.35">
      <c r="B217" t="str">
        <f>_xlfn.TEXTJOIN("; ",TRUE,Sheet1!C217:D217)</f>
        <v>Heijne &amp; Werner, 2010; BPTB vs. HT</v>
      </c>
    </row>
    <row r="218" spans="2:2" hidden="1" x14ac:dyDescent="0.35">
      <c r="B218" t="str">
        <f>_xlfn.TEXTJOIN("; ",TRUE,Sheet1!C218:D218)</f>
        <v>Heijne &amp; Werner, 2010; BPTB</v>
      </c>
    </row>
    <row r="219" spans="2:2" hidden="1" x14ac:dyDescent="0.35">
      <c r="B219" t="str">
        <f>_xlfn.TEXTJOIN("; ",TRUE,Sheet1!C219:D219)</f>
        <v>Heijne &amp; Werner, 2010; HT</v>
      </c>
    </row>
    <row r="220" spans="2:2" hidden="1" x14ac:dyDescent="0.35">
      <c r="B220" t="str">
        <f>_xlfn.TEXTJOIN("; ",TRUE,Sheet1!C220:D220)</f>
        <v>Heijne &amp; Werner, 2010; BPTB vs. HT</v>
      </c>
    </row>
    <row r="221" spans="2:2" hidden="1" x14ac:dyDescent="0.35">
      <c r="B221" t="str">
        <f>_xlfn.TEXTJOIN("; ",TRUE,Sheet1!C221:D221)</f>
        <v>Holm et al., 2010; BPTB</v>
      </c>
    </row>
    <row r="222" spans="2:2" hidden="1" x14ac:dyDescent="0.35">
      <c r="B222" t="str">
        <f>_xlfn.TEXTJOIN("; ",TRUE,Sheet1!C222:D222)</f>
        <v>Holm et al., 2010; HT</v>
      </c>
    </row>
    <row r="223" spans="2:2" hidden="1" x14ac:dyDescent="0.35">
      <c r="B223" t="str">
        <f>_xlfn.TEXTJOIN("; ",TRUE,Sheet1!C223:D223)</f>
        <v>Holm et al., 2010; BPTB vs. HT</v>
      </c>
    </row>
    <row r="224" spans="2:2" hidden="1" x14ac:dyDescent="0.35">
      <c r="B224" t="str">
        <f>_xlfn.TEXTJOIN("; ",TRUE,Sheet1!C224:D224)</f>
        <v>Holm et al., 2010; BPTB</v>
      </c>
    </row>
    <row r="225" spans="2:2" hidden="1" x14ac:dyDescent="0.35">
      <c r="B225" t="str">
        <f>_xlfn.TEXTJOIN("; ",TRUE,Sheet1!C225:D225)</f>
        <v>Holm et al., 2010; HT</v>
      </c>
    </row>
    <row r="226" spans="2:2" hidden="1" x14ac:dyDescent="0.35">
      <c r="B226" t="str">
        <f>_xlfn.TEXTJOIN("; ",TRUE,Sheet1!C226:D226)</f>
        <v>Holm et al., 2010; BPTB vs. HT</v>
      </c>
    </row>
    <row r="227" spans="2:2" hidden="1" x14ac:dyDescent="0.35">
      <c r="B227" t="str">
        <f>_xlfn.TEXTJOIN("; ",TRUE,Sheet1!C227:D227)</f>
        <v>Horstmann et al., 2022; HT</v>
      </c>
    </row>
    <row r="228" spans="2:2" hidden="1" x14ac:dyDescent="0.35">
      <c r="B228" t="str">
        <f>_xlfn.TEXTJOIN("; ",TRUE,Sheet1!C228:D228)</f>
        <v>Horstmann et al., 2022; QT</v>
      </c>
    </row>
    <row r="229" spans="2:2" hidden="1" x14ac:dyDescent="0.35">
      <c r="B229" t="str">
        <f>_xlfn.TEXTJOIN("; ",TRUE,Sheet1!C229:D229)</f>
        <v>Horstmann et al., 2022; HT vs. QT</v>
      </c>
    </row>
    <row r="230" spans="2:2" hidden="1" x14ac:dyDescent="0.35">
      <c r="B230" t="str">
        <f>_xlfn.TEXTJOIN("; ",TRUE,Sheet1!C230:D230)</f>
        <v>Horstmann et al., 2022; HT</v>
      </c>
    </row>
    <row r="231" spans="2:2" hidden="1" x14ac:dyDescent="0.35">
      <c r="B231" t="str">
        <f>_xlfn.TEXTJOIN("; ",TRUE,Sheet1!C231:D231)</f>
        <v>Horstmann et al., 2022; QT</v>
      </c>
    </row>
    <row r="232" spans="2:2" hidden="1" x14ac:dyDescent="0.35">
      <c r="B232" t="str">
        <f>_xlfn.TEXTJOIN("; ",TRUE,Sheet1!C232:D232)</f>
        <v>Horstmann et al., 2022; HT vs. QT</v>
      </c>
    </row>
    <row r="233" spans="2:2" hidden="1" x14ac:dyDescent="0.35">
      <c r="B233" t="str">
        <f>_xlfn.TEXTJOIN("; ",TRUE,Sheet1!C233:D233)</f>
        <v>Horstmann et al., 2022; HT</v>
      </c>
    </row>
    <row r="234" spans="2:2" hidden="1" x14ac:dyDescent="0.35">
      <c r="B234" t="str">
        <f>_xlfn.TEXTJOIN("; ",TRUE,Sheet1!C234:D234)</f>
        <v>Horstmann et al., 2022; QT</v>
      </c>
    </row>
    <row r="235" spans="2:2" hidden="1" x14ac:dyDescent="0.35">
      <c r="B235" t="str">
        <f>_xlfn.TEXTJOIN("; ",TRUE,Sheet1!C235:D235)</f>
        <v>Horstmann et al., 2022; HT vs. QT</v>
      </c>
    </row>
    <row r="236" spans="2:2" hidden="1" x14ac:dyDescent="0.35">
      <c r="B236" t="str">
        <f>_xlfn.TEXTJOIN("; ",TRUE,Sheet1!C236:D236)</f>
        <v>Horstmann et al., 2022; HT</v>
      </c>
    </row>
    <row r="237" spans="2:2" hidden="1" x14ac:dyDescent="0.35">
      <c r="B237" t="str">
        <f>_xlfn.TEXTJOIN("; ",TRUE,Sheet1!C237:D237)</f>
        <v>Horstmann et al., 2022; QT</v>
      </c>
    </row>
    <row r="238" spans="2:2" hidden="1" x14ac:dyDescent="0.35">
      <c r="B238" t="str">
        <f>_xlfn.TEXTJOIN("; ",TRUE,Sheet1!C238:D238)</f>
        <v>Horstmann et al., 2022; HT vs. QT</v>
      </c>
    </row>
    <row r="239" spans="2:2" hidden="1" x14ac:dyDescent="0.35">
      <c r="B239" t="str">
        <f>_xlfn.TEXTJOIN("; ",TRUE,Sheet1!C239:D239)</f>
        <v>Horstmann et al., 2022; HT</v>
      </c>
    </row>
    <row r="240" spans="2:2" hidden="1" x14ac:dyDescent="0.35">
      <c r="B240" t="str">
        <f>_xlfn.TEXTJOIN("; ",TRUE,Sheet1!C240:D240)</f>
        <v>Horstmann et al., 2022; QT</v>
      </c>
    </row>
    <row r="241" spans="2:2" hidden="1" x14ac:dyDescent="0.35">
      <c r="B241" t="str">
        <f>_xlfn.TEXTJOIN("; ",TRUE,Sheet1!C241:D241)</f>
        <v>Horstmann et al., 2022; HT vs. QT</v>
      </c>
    </row>
    <row r="242" spans="2:2" hidden="1" x14ac:dyDescent="0.35">
      <c r="B242" t="str">
        <f>_xlfn.TEXTJOIN("; ",TRUE,Sheet1!C242:D242)</f>
        <v>Ibrahim et al., 2005; BPTB</v>
      </c>
    </row>
    <row r="243" spans="2:2" hidden="1" x14ac:dyDescent="0.35">
      <c r="B243" t="str">
        <f>_xlfn.TEXTJOIN("; ",TRUE,Sheet1!C243:D243)</f>
        <v>Ibrahim et al., 2005; HT</v>
      </c>
    </row>
    <row r="244" spans="2:2" hidden="1" x14ac:dyDescent="0.35">
      <c r="B244" t="str">
        <f>_xlfn.TEXTJOIN("; ",TRUE,Sheet1!C244:D244)</f>
        <v>Ibrahim et al., 2005; BPTB vs. HT</v>
      </c>
    </row>
    <row r="245" spans="2:2" hidden="1" x14ac:dyDescent="0.35">
      <c r="B245" t="str">
        <f>_xlfn.TEXTJOIN("; ",TRUE,Sheet1!C245:D245)</f>
        <v>Ibrahim et al., 2005; BPTB</v>
      </c>
    </row>
    <row r="246" spans="2:2" hidden="1" x14ac:dyDescent="0.35">
      <c r="B246" t="str">
        <f>_xlfn.TEXTJOIN("; ",TRUE,Sheet1!C246:D246)</f>
        <v>Ibrahim et al., 2005; HT</v>
      </c>
    </row>
    <row r="247" spans="2:2" hidden="1" x14ac:dyDescent="0.35">
      <c r="B247" t="str">
        <f>_xlfn.TEXTJOIN("; ",TRUE,Sheet1!C247:D247)</f>
        <v>Ibrahim et al., 2005; BPTB vs. HT</v>
      </c>
    </row>
    <row r="248" spans="2:2" hidden="1" x14ac:dyDescent="0.35">
      <c r="B248" t="str">
        <f>_xlfn.TEXTJOIN("; ",TRUE,Sheet1!C248:D248)</f>
        <v>Ibrahim et al., 2005; BPTB</v>
      </c>
    </row>
    <row r="249" spans="2:2" hidden="1" x14ac:dyDescent="0.35">
      <c r="B249" t="str">
        <f>_xlfn.TEXTJOIN("; ",TRUE,Sheet1!C249:D249)</f>
        <v>Ibrahim et al., 2005; HT</v>
      </c>
    </row>
    <row r="250" spans="2:2" hidden="1" x14ac:dyDescent="0.35">
      <c r="B250" t="str">
        <f>_xlfn.TEXTJOIN("; ",TRUE,Sheet1!C250:D250)</f>
        <v>Ibrahim et al., 2005; BPTB vs. HT</v>
      </c>
    </row>
    <row r="251" spans="2:2" hidden="1" x14ac:dyDescent="0.35">
      <c r="B251" t="str">
        <f>_xlfn.TEXTJOIN("; ",TRUE,Sheet1!C251:D251)</f>
        <v>Ibrahim et al., 2005; BPTB</v>
      </c>
    </row>
    <row r="252" spans="2:2" hidden="1" x14ac:dyDescent="0.35">
      <c r="B252" t="str">
        <f>_xlfn.TEXTJOIN("; ",TRUE,Sheet1!C252:D252)</f>
        <v>Ibrahim et al., 2005; HT</v>
      </c>
    </row>
    <row r="253" spans="2:2" hidden="1" x14ac:dyDescent="0.35">
      <c r="B253" t="str">
        <f>_xlfn.TEXTJOIN("; ",TRUE,Sheet1!C253:D253)</f>
        <v>Ibrahim et al., 2005; BPTB vs. HT</v>
      </c>
    </row>
    <row r="254" spans="2:2" hidden="1" x14ac:dyDescent="0.35">
      <c r="B254" t="str">
        <f>_xlfn.TEXTJOIN("; ",TRUE,Sheet1!C254:D254)</f>
        <v>Ibrahim et al., 2005; BPTB</v>
      </c>
    </row>
    <row r="255" spans="2:2" hidden="1" x14ac:dyDescent="0.35">
      <c r="B255" t="str">
        <f>_xlfn.TEXTJOIN("; ",TRUE,Sheet1!C255:D255)</f>
        <v>Ibrahim et al., 2005; HT</v>
      </c>
    </row>
    <row r="256" spans="2:2" hidden="1" x14ac:dyDescent="0.35">
      <c r="B256" t="str">
        <f>_xlfn.TEXTJOIN("; ",TRUE,Sheet1!C256:D256)</f>
        <v>Ibrahim et al., 2005; BPTB vs. HT</v>
      </c>
    </row>
    <row r="257" spans="2:2" hidden="1" x14ac:dyDescent="0.35">
      <c r="B257" t="str">
        <f>_xlfn.TEXTJOIN("; ",TRUE,Sheet1!C257:D257)</f>
        <v>Iliopoulos et al., 2017; BPTB</v>
      </c>
    </row>
    <row r="258" spans="2:2" hidden="1" x14ac:dyDescent="0.35">
      <c r="B258" t="str">
        <f>_xlfn.TEXTJOIN("; ",TRUE,Sheet1!C258:D258)</f>
        <v>Iliopoulos et al., 2017; HT</v>
      </c>
    </row>
    <row r="259" spans="2:2" hidden="1" x14ac:dyDescent="0.35">
      <c r="B259" t="str">
        <f>_xlfn.TEXTJOIN("; ",TRUE,Sheet1!C259:D259)</f>
        <v>Iliopoulos et al., 2017; BPTB vs. HT</v>
      </c>
    </row>
    <row r="260" spans="2:2" hidden="1" x14ac:dyDescent="0.35">
      <c r="B260" t="str">
        <f>_xlfn.TEXTJOIN("; ",TRUE,Sheet1!C260:D260)</f>
        <v>Iliopoulos et al., 2017; BPTB</v>
      </c>
    </row>
    <row r="261" spans="2:2" hidden="1" x14ac:dyDescent="0.35">
      <c r="B261" t="str">
        <f>_xlfn.TEXTJOIN("; ",TRUE,Sheet1!C261:D261)</f>
        <v>Iliopoulos et al., 2017; HT</v>
      </c>
    </row>
    <row r="262" spans="2:2" hidden="1" x14ac:dyDescent="0.35">
      <c r="B262" t="str">
        <f>_xlfn.TEXTJOIN("; ",TRUE,Sheet1!C262:D262)</f>
        <v>Iliopoulos et al., 2017; BPTB vs. HT</v>
      </c>
    </row>
    <row r="263" spans="2:2" hidden="1" x14ac:dyDescent="0.35">
      <c r="B263" t="str">
        <f>_xlfn.TEXTJOIN("; ",TRUE,Sheet1!C263:D263)</f>
        <v>Jansson et al., 2003; BPTB</v>
      </c>
    </row>
    <row r="264" spans="2:2" hidden="1" x14ac:dyDescent="0.35">
      <c r="B264" t="str">
        <f>_xlfn.TEXTJOIN("; ",TRUE,Sheet1!C264:D264)</f>
        <v>Jansson et al., 2003; HT</v>
      </c>
    </row>
    <row r="265" spans="2:2" hidden="1" x14ac:dyDescent="0.35">
      <c r="B265" t="str">
        <f>_xlfn.TEXTJOIN("; ",TRUE,Sheet1!C265:D265)</f>
        <v>Jansson et al., 2003; BPTB vs. HT</v>
      </c>
    </row>
    <row r="266" spans="2:2" hidden="1" x14ac:dyDescent="0.35">
      <c r="B266" t="str">
        <f>_xlfn.TEXTJOIN("; ",TRUE,Sheet1!C266:D266)</f>
        <v>Jansson et al., 2003; BPTB</v>
      </c>
    </row>
    <row r="267" spans="2:2" hidden="1" x14ac:dyDescent="0.35">
      <c r="B267" t="str">
        <f>_xlfn.TEXTJOIN("; ",TRUE,Sheet1!C267:D267)</f>
        <v>Jansson et al., 2003; HT</v>
      </c>
    </row>
    <row r="268" spans="2:2" hidden="1" x14ac:dyDescent="0.35">
      <c r="B268" t="str">
        <f>_xlfn.TEXTJOIN("; ",TRUE,Sheet1!C268:D268)</f>
        <v>Jansson et al., 2003; BPTB vs. HT</v>
      </c>
    </row>
    <row r="269" spans="2:2" hidden="1" x14ac:dyDescent="0.35">
      <c r="B269" t="str">
        <f>_xlfn.TEXTJOIN("; ",TRUE,Sheet1!C269:D269)</f>
        <v>Jansson et al., 2003; BPTB</v>
      </c>
    </row>
    <row r="270" spans="2:2" hidden="1" x14ac:dyDescent="0.35">
      <c r="B270" t="str">
        <f>_xlfn.TEXTJOIN("; ",TRUE,Sheet1!C270:D270)</f>
        <v>Jansson et al., 2003; HT</v>
      </c>
    </row>
    <row r="271" spans="2:2" hidden="1" x14ac:dyDescent="0.35">
      <c r="B271" t="str">
        <f>_xlfn.TEXTJOIN("; ",TRUE,Sheet1!C271:D271)</f>
        <v>Jansson et al., 2003; BPTB vs. HT</v>
      </c>
    </row>
    <row r="272" spans="2:2" hidden="1" x14ac:dyDescent="0.35">
      <c r="B272" t="str">
        <f>_xlfn.TEXTJOIN("; ",TRUE,Sheet1!C272:D272)</f>
        <v>Jansson et al., 2003; BPTB</v>
      </c>
    </row>
    <row r="273" spans="2:2" hidden="1" x14ac:dyDescent="0.35">
      <c r="B273" t="str">
        <f>_xlfn.TEXTJOIN("; ",TRUE,Sheet1!C273:D273)</f>
        <v>Jansson et al., 2003; HT</v>
      </c>
    </row>
    <row r="274" spans="2:2" hidden="1" x14ac:dyDescent="0.35">
      <c r="B274" t="str">
        <f>_xlfn.TEXTJOIN("; ",TRUE,Sheet1!C274:D274)</f>
        <v>Jansson et al., 2003; BPTB vs. HT</v>
      </c>
    </row>
    <row r="275" spans="2:2" hidden="1" x14ac:dyDescent="0.35">
      <c r="B275" t="str">
        <f>_xlfn.TEXTJOIN("; ",TRUE,Sheet1!C275:D275)</f>
        <v>Jansson et al., 2003; BPTB</v>
      </c>
    </row>
    <row r="276" spans="2:2" hidden="1" x14ac:dyDescent="0.35">
      <c r="B276" t="str">
        <f>_xlfn.TEXTJOIN("; ",TRUE,Sheet1!C276:D276)</f>
        <v>Jansson et al., 2003; HT</v>
      </c>
    </row>
    <row r="277" spans="2:2" hidden="1" x14ac:dyDescent="0.35">
      <c r="B277" t="str">
        <f>_xlfn.TEXTJOIN("; ",TRUE,Sheet1!C277:D277)</f>
        <v>Jansson et al., 2003; BPTB vs. HT</v>
      </c>
    </row>
    <row r="278" spans="2:2" hidden="1" x14ac:dyDescent="0.35">
      <c r="B278" t="str">
        <f>_xlfn.TEXTJOIN("; ",TRUE,Sheet1!C278:D278)</f>
        <v>Jansson et al., 2003; BPTB</v>
      </c>
    </row>
    <row r="279" spans="2:2" hidden="1" x14ac:dyDescent="0.35">
      <c r="B279" t="str">
        <f>_xlfn.TEXTJOIN("; ",TRUE,Sheet1!C279:D279)</f>
        <v>Jansson et al., 2003; HT</v>
      </c>
    </row>
    <row r="280" spans="2:2" hidden="1" x14ac:dyDescent="0.35">
      <c r="B280" t="str">
        <f>_xlfn.TEXTJOIN("; ",TRUE,Sheet1!C280:D280)</f>
        <v>Jansson et al., 2003; BPTB vs. HT</v>
      </c>
    </row>
    <row r="281" spans="2:2" hidden="1" x14ac:dyDescent="0.35">
      <c r="B281" t="str">
        <f>_xlfn.TEXTJOIN("; ",TRUE,Sheet1!C281:D281)</f>
        <v>Kautzner et al., 2015; BPTB</v>
      </c>
    </row>
    <row r="282" spans="2:2" hidden="1" x14ac:dyDescent="0.35">
      <c r="B282" t="str">
        <f>_xlfn.TEXTJOIN("; ",TRUE,Sheet1!C282:D282)</f>
        <v>Kautzner et al., 2015; HT</v>
      </c>
    </row>
    <row r="283" spans="2:2" hidden="1" x14ac:dyDescent="0.35">
      <c r="B283" t="str">
        <f>_xlfn.TEXTJOIN("; ",TRUE,Sheet1!C283:D283)</f>
        <v>Kautzner et al., 2015; BPTB vs. HT</v>
      </c>
    </row>
    <row r="284" spans="2:2" hidden="1" x14ac:dyDescent="0.35">
      <c r="B284" t="str">
        <f>_xlfn.TEXTJOIN("; ",TRUE,Sheet1!C284:D284)</f>
        <v>Kautzner et al., 2015; BPTB</v>
      </c>
    </row>
    <row r="285" spans="2:2" hidden="1" x14ac:dyDescent="0.35">
      <c r="B285" t="str">
        <f>_xlfn.TEXTJOIN("; ",TRUE,Sheet1!C285:D285)</f>
        <v>Kautzner et al., 2015; HT</v>
      </c>
    </row>
    <row r="286" spans="2:2" hidden="1" x14ac:dyDescent="0.35">
      <c r="B286" t="str">
        <f>_xlfn.TEXTJOIN("; ",TRUE,Sheet1!C286:D286)</f>
        <v>Kautzner et al., 2015; BPTB vs. HT</v>
      </c>
    </row>
    <row r="287" spans="2:2" hidden="1" x14ac:dyDescent="0.35">
      <c r="B287" t="str">
        <f>_xlfn.TEXTJOIN("; ",TRUE,Sheet1!C287:D287)</f>
        <v>Kautzner et al., 2015; BPTB</v>
      </c>
    </row>
    <row r="288" spans="2:2" hidden="1" x14ac:dyDescent="0.35">
      <c r="B288" t="str">
        <f>_xlfn.TEXTJOIN("; ",TRUE,Sheet1!C288:D288)</f>
        <v>Kautzner et al., 2015; HT</v>
      </c>
    </row>
    <row r="289" spans="2:2" hidden="1" x14ac:dyDescent="0.35">
      <c r="B289" t="str">
        <f>_xlfn.TEXTJOIN("; ",TRUE,Sheet1!C289:D289)</f>
        <v>Kautzner et al., 2015; BPTB vs. HT</v>
      </c>
    </row>
    <row r="290" spans="2:2" hidden="1" x14ac:dyDescent="0.35">
      <c r="B290" t="str">
        <f>_xlfn.TEXTJOIN("; ",TRUE,Sheet1!C290:D290)</f>
        <v>Komzak et al., 2022; BPTB</v>
      </c>
    </row>
    <row r="291" spans="2:2" hidden="1" x14ac:dyDescent="0.35">
      <c r="B291" t="str">
        <f>_xlfn.TEXTJOIN("; ",TRUE,Sheet1!C291:D291)</f>
        <v>Komzak et al., 2022; QT</v>
      </c>
    </row>
    <row r="292" spans="2:2" hidden="1" x14ac:dyDescent="0.35">
      <c r="B292" t="str">
        <f>_xlfn.TEXTJOIN("; ",TRUE,Sheet1!C292:D292)</f>
        <v>Komzak et al., 2022; BPTB vs. QT</v>
      </c>
    </row>
    <row r="293" spans="2:2" hidden="1" x14ac:dyDescent="0.35">
      <c r="B293" t="str">
        <f>_xlfn.TEXTJOIN("; ",TRUE,Sheet1!C293:D293)</f>
        <v>Komzak et al., 2022; BPTB</v>
      </c>
    </row>
    <row r="294" spans="2:2" hidden="1" x14ac:dyDescent="0.35">
      <c r="B294" t="str">
        <f>_xlfn.TEXTJOIN("; ",TRUE,Sheet1!C294:D294)</f>
        <v>Komzak et al., 2022; QT</v>
      </c>
    </row>
    <row r="295" spans="2:2" hidden="1" x14ac:dyDescent="0.35">
      <c r="B295" t="str">
        <f>_xlfn.TEXTJOIN("; ",TRUE,Sheet1!C295:D295)</f>
        <v>Komzak et al., 2022; BPTB vs. QT</v>
      </c>
    </row>
    <row r="296" spans="2:2" hidden="1" x14ac:dyDescent="0.35">
      <c r="B296" t="str">
        <f>_xlfn.TEXTJOIN("; ",TRUE,Sheet1!C296:D296)</f>
        <v>Konrads et al., 2016; BPTB</v>
      </c>
    </row>
    <row r="297" spans="2:2" hidden="1" x14ac:dyDescent="0.35">
      <c r="B297" t="str">
        <f>_xlfn.TEXTJOIN("; ",TRUE,Sheet1!C297:D297)</f>
        <v>Konrads et al., 2016; HT</v>
      </c>
    </row>
    <row r="298" spans="2:2" hidden="1" x14ac:dyDescent="0.35">
      <c r="B298" t="str">
        <f>_xlfn.TEXTJOIN("; ",TRUE,Sheet1!C298:D298)</f>
        <v>Konrads et al., 2016; BPTB vs. HT</v>
      </c>
    </row>
    <row r="299" spans="2:2" hidden="1" x14ac:dyDescent="0.35">
      <c r="B299" t="str">
        <f>_xlfn.TEXTJOIN("; ",TRUE,Sheet1!C299:D299)</f>
        <v>Konrads et al., 2016; BPTB</v>
      </c>
    </row>
    <row r="300" spans="2:2" hidden="1" x14ac:dyDescent="0.35">
      <c r="B300" t="str">
        <f>_xlfn.TEXTJOIN("; ",TRUE,Sheet1!C300:D300)</f>
        <v>Konrads et al., 2016; HT</v>
      </c>
    </row>
    <row r="301" spans="2:2" hidden="1" x14ac:dyDescent="0.35">
      <c r="B301" t="str">
        <f>_xlfn.TEXTJOIN("; ",TRUE,Sheet1!C301:D301)</f>
        <v>Konrads et al., 2016; BPTB vs. HT</v>
      </c>
    </row>
    <row r="302" spans="2:2" hidden="1" x14ac:dyDescent="0.35">
      <c r="B302" t="str">
        <f>_xlfn.TEXTJOIN("; ",TRUE,Sheet1!C302:D302)</f>
        <v>Konrads et al., 2016; BPTB</v>
      </c>
    </row>
    <row r="303" spans="2:2" hidden="1" x14ac:dyDescent="0.35">
      <c r="B303" t="str">
        <f>_xlfn.TEXTJOIN("; ",TRUE,Sheet1!C303:D303)</f>
        <v>Konrads et al., 2016; HT</v>
      </c>
    </row>
    <row r="304" spans="2:2" hidden="1" x14ac:dyDescent="0.35">
      <c r="B304" t="str">
        <f>_xlfn.TEXTJOIN("; ",TRUE,Sheet1!C304:D304)</f>
        <v>Konrads et al., 2016; BPTB vs. HT</v>
      </c>
    </row>
    <row r="305" spans="2:2" hidden="1" x14ac:dyDescent="0.35">
      <c r="B305" t="str">
        <f>_xlfn.TEXTJOIN("; ",TRUE,Sheet1!C305:D305)</f>
        <v>Konrads et al., 2016; BPTB</v>
      </c>
    </row>
    <row r="306" spans="2:2" hidden="1" x14ac:dyDescent="0.35">
      <c r="B306" t="str">
        <f>_xlfn.TEXTJOIN("; ",TRUE,Sheet1!C306:D306)</f>
        <v>Konrads et al., 2016; HT</v>
      </c>
    </row>
    <row r="307" spans="2:2" hidden="1" x14ac:dyDescent="0.35">
      <c r="B307" t="str">
        <f>_xlfn.TEXTJOIN("; ",TRUE,Sheet1!C307:D307)</f>
        <v>Konrads et al., 2016; BPTB vs. HT</v>
      </c>
    </row>
    <row r="308" spans="2:2" hidden="1" x14ac:dyDescent="0.35">
      <c r="B308" t="str">
        <f>_xlfn.TEXTJOIN("; ",TRUE,Sheet1!C308:D308)</f>
        <v>Konrads et al., 2016; BPTB</v>
      </c>
    </row>
    <row r="309" spans="2:2" hidden="1" x14ac:dyDescent="0.35">
      <c r="B309" t="str">
        <f>_xlfn.TEXTJOIN("; ",TRUE,Sheet1!C309:D309)</f>
        <v>Konrads et al., 2016; HT</v>
      </c>
    </row>
    <row r="310" spans="2:2" hidden="1" x14ac:dyDescent="0.35">
      <c r="B310" t="str">
        <f>_xlfn.TEXTJOIN("; ",TRUE,Sheet1!C310:D310)</f>
        <v>Konrads et al., 2016; BPTB vs. HT</v>
      </c>
    </row>
    <row r="311" spans="2:2" hidden="1" x14ac:dyDescent="0.35">
      <c r="B311" t="str">
        <f>_xlfn.TEXTJOIN("; ",TRUE,Sheet1!C311:D311)</f>
        <v>Laoruengthana et al., 2009; BPTB</v>
      </c>
    </row>
    <row r="312" spans="2:2" hidden="1" x14ac:dyDescent="0.35">
      <c r="B312" t="str">
        <f>_xlfn.TEXTJOIN("; ",TRUE,Sheet1!C312:D312)</f>
        <v>Laoruengthana et al., 2009; HT</v>
      </c>
    </row>
    <row r="313" spans="2:2" hidden="1" x14ac:dyDescent="0.35">
      <c r="B313" t="str">
        <f>_xlfn.TEXTJOIN("; ",TRUE,Sheet1!C313:D313)</f>
        <v>Laoruengthana et al., 2009; BPTB vs. HT</v>
      </c>
    </row>
    <row r="314" spans="2:2" hidden="1" x14ac:dyDescent="0.35">
      <c r="B314" t="str">
        <f>_xlfn.TEXTJOIN("; ",TRUE,Sheet1!C314:D314)</f>
        <v>Laoruengthana et al., 2009; BPTB</v>
      </c>
    </row>
    <row r="315" spans="2:2" hidden="1" x14ac:dyDescent="0.35">
      <c r="B315" t="str">
        <f>_xlfn.TEXTJOIN("; ",TRUE,Sheet1!C315:D315)</f>
        <v>Laoruengthana et al., 2009; HT</v>
      </c>
    </row>
    <row r="316" spans="2:2" hidden="1" x14ac:dyDescent="0.35">
      <c r="B316" t="str">
        <f>_xlfn.TEXTJOIN("; ",TRUE,Sheet1!C316:D316)</f>
        <v>Laoruengthana et al., 2009; BPTB vs. HT</v>
      </c>
    </row>
    <row r="317" spans="2:2" hidden="1" x14ac:dyDescent="0.35">
      <c r="B317" t="str">
        <f>_xlfn.TEXTJOIN("; ",TRUE,Sheet1!C317:D317)</f>
        <v>Laoruengthana et al., 2009; BPTB</v>
      </c>
    </row>
    <row r="318" spans="2:2" hidden="1" x14ac:dyDescent="0.35">
      <c r="B318" t="str">
        <f>_xlfn.TEXTJOIN("; ",TRUE,Sheet1!C318:D318)</f>
        <v>Laoruengthana et al., 2009; HT</v>
      </c>
    </row>
    <row r="319" spans="2:2" hidden="1" x14ac:dyDescent="0.35">
      <c r="B319" t="str">
        <f>_xlfn.TEXTJOIN("; ",TRUE,Sheet1!C319:D319)</f>
        <v>Laoruengthana et al., 2009; BPTB vs. HT</v>
      </c>
    </row>
    <row r="320" spans="2:2" hidden="1" x14ac:dyDescent="0.35">
      <c r="B320" t="str">
        <f>_xlfn.TEXTJOIN("; ",TRUE,Sheet1!C320:D320)</f>
        <v>Lawhorn et al., 2012; HT</v>
      </c>
    </row>
    <row r="321" spans="2:2" hidden="1" x14ac:dyDescent="0.35">
      <c r="B321" t="str">
        <f>_xlfn.TEXTJOIN("; ",TRUE,Sheet1!C321:D321)</f>
        <v>Lawhorn et al., 2012; TA</v>
      </c>
    </row>
    <row r="322" spans="2:2" hidden="1" x14ac:dyDescent="0.35">
      <c r="B322" t="str">
        <f>_xlfn.TEXTJOIN("; ",TRUE,Sheet1!C322:D322)</f>
        <v>Lawhorn et al., 2012; HT vs. TA</v>
      </c>
    </row>
    <row r="323" spans="2:2" hidden="1" x14ac:dyDescent="0.35">
      <c r="B323" t="str">
        <f>_xlfn.TEXTJOIN("; ",TRUE,Sheet1!C323:D323)</f>
        <v>Lawhorn et al., 2012; HT</v>
      </c>
    </row>
    <row r="324" spans="2:2" hidden="1" x14ac:dyDescent="0.35">
      <c r="B324" t="str">
        <f>_xlfn.TEXTJOIN("; ",TRUE,Sheet1!C324:D324)</f>
        <v>Lawhorn et al., 2012; TA</v>
      </c>
    </row>
    <row r="325" spans="2:2" hidden="1" x14ac:dyDescent="0.35">
      <c r="B325" t="str">
        <f>_xlfn.TEXTJOIN("; ",TRUE,Sheet1!C325:D325)</f>
        <v>Lawhorn et al., 2012; HT vs. TA</v>
      </c>
    </row>
    <row r="326" spans="2:2" hidden="1" x14ac:dyDescent="0.35">
      <c r="B326" t="str">
        <f>_xlfn.TEXTJOIN("; ",TRUE,Sheet1!C326:D326)</f>
        <v>Laxdal et al., 2005; BPTB</v>
      </c>
    </row>
    <row r="327" spans="2:2" hidden="1" x14ac:dyDescent="0.35">
      <c r="B327" t="str">
        <f>_xlfn.TEXTJOIN("; ",TRUE,Sheet1!C327:D327)</f>
        <v>Laxdal et al., 2005; HT</v>
      </c>
    </row>
    <row r="328" spans="2:2" hidden="1" x14ac:dyDescent="0.35">
      <c r="B328" t="str">
        <f>_xlfn.TEXTJOIN("; ",TRUE,Sheet1!C328:D328)</f>
        <v>Laxdal et al., 2005; BPTB vs. HT</v>
      </c>
    </row>
    <row r="329" spans="2:2" hidden="1" x14ac:dyDescent="0.35">
      <c r="B329" t="str">
        <f>_xlfn.TEXTJOIN("; ",TRUE,Sheet1!C329:D329)</f>
        <v>Laxdal et al., 2005; BPTB</v>
      </c>
    </row>
    <row r="330" spans="2:2" hidden="1" x14ac:dyDescent="0.35">
      <c r="B330" t="str">
        <f>_xlfn.TEXTJOIN("; ",TRUE,Sheet1!C330:D330)</f>
        <v>Laxdal et al., 2005; HT</v>
      </c>
    </row>
    <row r="331" spans="2:2" hidden="1" x14ac:dyDescent="0.35">
      <c r="B331" t="str">
        <f>_xlfn.TEXTJOIN("; ",TRUE,Sheet1!C331:D331)</f>
        <v>Laxdal et al., 2005; BPTB vs. HT</v>
      </c>
    </row>
    <row r="332" spans="2:2" hidden="1" x14ac:dyDescent="0.35">
      <c r="B332" t="str">
        <f>_xlfn.TEXTJOIN("; ",TRUE,Sheet1!C332:D332)</f>
        <v>Laxdal et al., 2005; BPTB</v>
      </c>
    </row>
    <row r="333" spans="2:2" hidden="1" x14ac:dyDescent="0.35">
      <c r="B333" t="str">
        <f>_xlfn.TEXTJOIN("; ",TRUE,Sheet1!C333:D333)</f>
        <v>Laxdal et al., 2005; HT</v>
      </c>
    </row>
    <row r="334" spans="2:2" hidden="1" x14ac:dyDescent="0.35">
      <c r="B334" t="str">
        <f>_xlfn.TEXTJOIN("; ",TRUE,Sheet1!C334:D334)</f>
        <v>Laxdal et al., 2005; BPTB vs. HT</v>
      </c>
    </row>
    <row r="335" spans="2:2" hidden="1" x14ac:dyDescent="0.35">
      <c r="B335" t="str">
        <f>_xlfn.TEXTJOIN("; ",TRUE,Sheet1!C335:D335)</f>
        <v>Laxdal et al., 2005; BPTB</v>
      </c>
    </row>
    <row r="336" spans="2:2" hidden="1" x14ac:dyDescent="0.35">
      <c r="B336" t="str">
        <f>_xlfn.TEXTJOIN("; ",TRUE,Sheet1!C336:D336)</f>
        <v>Laxdal et al., 2005; HT</v>
      </c>
    </row>
    <row r="337" spans="2:2" hidden="1" x14ac:dyDescent="0.35">
      <c r="B337" t="str">
        <f>_xlfn.TEXTJOIN("; ",TRUE,Sheet1!C337:D337)</f>
        <v>Laxdal et al., 2005; BPTB vs. HT</v>
      </c>
    </row>
    <row r="338" spans="2:2" hidden="1" x14ac:dyDescent="0.35">
      <c r="B338" t="str">
        <f>_xlfn.TEXTJOIN("; ",TRUE,Sheet1!C338:D338)</f>
        <v>Li et al., 2015; HT</v>
      </c>
    </row>
    <row r="339" spans="2:2" hidden="1" x14ac:dyDescent="0.35">
      <c r="B339" t="str">
        <f>_xlfn.TEXTJOIN("; ",TRUE,Sheet1!C339:D339)</f>
        <v>Li et al., 2015; TA</v>
      </c>
    </row>
    <row r="340" spans="2:2" hidden="1" x14ac:dyDescent="0.35">
      <c r="B340" t="str">
        <f>_xlfn.TEXTJOIN("; ",TRUE,Sheet1!C340:D340)</f>
        <v>Li et al., 2015; HT vs. TA</v>
      </c>
    </row>
    <row r="341" spans="2:2" hidden="1" x14ac:dyDescent="0.35">
      <c r="B341" t="str">
        <f>_xlfn.TEXTJOIN("; ",TRUE,Sheet1!C341:D341)</f>
        <v>Li et al., 2015; HT</v>
      </c>
    </row>
    <row r="342" spans="2:2" hidden="1" x14ac:dyDescent="0.35">
      <c r="B342" t="str">
        <f>_xlfn.TEXTJOIN("; ",TRUE,Sheet1!C342:D342)</f>
        <v>Li et al., 2015; TA</v>
      </c>
    </row>
    <row r="343" spans="2:2" hidden="1" x14ac:dyDescent="0.35">
      <c r="B343" t="str">
        <f>_xlfn.TEXTJOIN("; ",TRUE,Sheet1!C343:D343)</f>
        <v>Li et al., 2015; HT vs. TA</v>
      </c>
    </row>
    <row r="344" spans="2:2" hidden="1" x14ac:dyDescent="0.35">
      <c r="B344" t="str">
        <f>_xlfn.TEXTJOIN("; ",TRUE,Sheet1!C344:D344)</f>
        <v>Li et al., 2015; HT</v>
      </c>
    </row>
    <row r="345" spans="2:2" hidden="1" x14ac:dyDescent="0.35">
      <c r="B345" t="str">
        <f>_xlfn.TEXTJOIN("; ",TRUE,Sheet1!C345:D345)</f>
        <v>Li et al., 2015; TA</v>
      </c>
    </row>
    <row r="346" spans="2:2" hidden="1" x14ac:dyDescent="0.35">
      <c r="B346" t="str">
        <f>_xlfn.TEXTJOIN("; ",TRUE,Sheet1!C346:D346)</f>
        <v>Li et al., 2015; HT vs. TA</v>
      </c>
    </row>
    <row r="347" spans="2:2" hidden="1" x14ac:dyDescent="0.35">
      <c r="B347" t="str">
        <f>_xlfn.TEXTJOIN("; ",TRUE,Sheet1!C347:D347)</f>
        <v>Li et al., 2015; HT</v>
      </c>
    </row>
    <row r="348" spans="2:2" hidden="1" x14ac:dyDescent="0.35">
      <c r="B348" t="str">
        <f>_xlfn.TEXTJOIN("; ",TRUE,Sheet1!C348:D348)</f>
        <v>Li et al., 2015; TA</v>
      </c>
    </row>
    <row r="349" spans="2:2" hidden="1" x14ac:dyDescent="0.35">
      <c r="B349" t="str">
        <f>_xlfn.TEXTJOIN("; ",TRUE,Sheet1!C349:D349)</f>
        <v>Li et al., 2015; HT vs. TA</v>
      </c>
    </row>
    <row r="350" spans="2:2" hidden="1" x14ac:dyDescent="0.35">
      <c r="B350" t="str">
        <f>_xlfn.TEXTJOIN("; ",TRUE,Sheet1!C350:D350)</f>
        <v>Li et al., 2015; HT</v>
      </c>
    </row>
    <row r="351" spans="2:2" hidden="1" x14ac:dyDescent="0.35">
      <c r="B351" t="str">
        <f>_xlfn.TEXTJOIN("; ",TRUE,Sheet1!C351:D351)</f>
        <v>Li et al., 2015; TA</v>
      </c>
    </row>
    <row r="352" spans="2:2" hidden="1" x14ac:dyDescent="0.35">
      <c r="B352" t="str">
        <f>_xlfn.TEXTJOIN("; ",TRUE,Sheet1!C352:D352)</f>
        <v>Li et al., 2015; HT vs. TA</v>
      </c>
    </row>
    <row r="353" spans="2:2" hidden="1" x14ac:dyDescent="0.35">
      <c r="B353" t="str">
        <f>_xlfn.TEXTJOIN("; ",TRUE,Sheet1!C353:D353)</f>
        <v>Li et al., 2015; HT</v>
      </c>
    </row>
    <row r="354" spans="2:2" hidden="1" x14ac:dyDescent="0.35">
      <c r="B354" t="str">
        <f>_xlfn.TEXTJOIN("; ",TRUE,Sheet1!C354:D354)</f>
        <v>Li et al., 2015; TA</v>
      </c>
    </row>
    <row r="355" spans="2:2" hidden="1" x14ac:dyDescent="0.35">
      <c r="B355" t="str">
        <f>_xlfn.TEXTJOIN("; ",TRUE,Sheet1!C355:D355)</f>
        <v>Li et al., 2015; HT vs. TA</v>
      </c>
    </row>
    <row r="356" spans="2:2" hidden="1" x14ac:dyDescent="0.35">
      <c r="B356" t="str">
        <f>_xlfn.TEXTJOIN("; ",TRUE,Sheet1!C356:D356)</f>
        <v>Li et al., 2015; HT</v>
      </c>
    </row>
    <row r="357" spans="2:2" hidden="1" x14ac:dyDescent="0.35">
      <c r="B357" t="str">
        <f>_xlfn.TEXTJOIN("; ",TRUE,Sheet1!C357:D357)</f>
        <v>Li et al., 2015; TA</v>
      </c>
    </row>
    <row r="358" spans="2:2" hidden="1" x14ac:dyDescent="0.35">
      <c r="B358" t="str">
        <f>_xlfn.TEXTJOIN("; ",TRUE,Sheet1!C358:D358)</f>
        <v>Li et al., 2015; HT vs. TA</v>
      </c>
    </row>
    <row r="359" spans="2:2" hidden="1" x14ac:dyDescent="0.35">
      <c r="B359" t="str">
        <f>_xlfn.TEXTJOIN("; ",TRUE,Sheet1!C359:D359)</f>
        <v>Li et al., 2015; HT</v>
      </c>
    </row>
    <row r="360" spans="2:2" hidden="1" x14ac:dyDescent="0.35">
      <c r="B360" t="str">
        <f>_xlfn.TEXTJOIN("; ",TRUE,Sheet1!C360:D360)</f>
        <v>Li et al., 2015; TA</v>
      </c>
    </row>
    <row r="361" spans="2:2" hidden="1" x14ac:dyDescent="0.35">
      <c r="B361" t="str">
        <f>_xlfn.TEXTJOIN("; ",TRUE,Sheet1!C361:D361)</f>
        <v>Li et al., 2015; HT vs. TA</v>
      </c>
    </row>
    <row r="362" spans="2:2" hidden="1" x14ac:dyDescent="0.35">
      <c r="B362" t="str">
        <f>_xlfn.TEXTJOIN("; ",TRUE,Sheet1!C362:D362)</f>
        <v>Lidén et al., 2007; BPTB</v>
      </c>
    </row>
    <row r="363" spans="2:2" hidden="1" x14ac:dyDescent="0.35">
      <c r="B363" t="str">
        <f>_xlfn.TEXTJOIN("; ",TRUE,Sheet1!C363:D363)</f>
        <v>Lidén et al., 2007; HT</v>
      </c>
    </row>
    <row r="364" spans="2:2" hidden="1" x14ac:dyDescent="0.35">
      <c r="B364" t="str">
        <f>_xlfn.TEXTJOIN("; ",TRUE,Sheet1!C364:D364)</f>
        <v>Lidén et al., 2007; BPTB vs. HT</v>
      </c>
    </row>
    <row r="365" spans="2:2" hidden="1" x14ac:dyDescent="0.35">
      <c r="B365" t="str">
        <f>_xlfn.TEXTJOIN("; ",TRUE,Sheet1!C365:D365)</f>
        <v>Lidén et al., 2007; BPTB</v>
      </c>
    </row>
    <row r="366" spans="2:2" hidden="1" x14ac:dyDescent="0.35">
      <c r="B366" t="str">
        <f>_xlfn.TEXTJOIN("; ",TRUE,Sheet1!C366:D366)</f>
        <v>Lidén et al., 2007; HT</v>
      </c>
    </row>
    <row r="367" spans="2:2" hidden="1" x14ac:dyDescent="0.35">
      <c r="B367" t="str">
        <f>_xlfn.TEXTJOIN("; ",TRUE,Sheet1!C367:D367)</f>
        <v>Lidén et al., 2007; BPTB vs. HT</v>
      </c>
    </row>
    <row r="368" spans="2:2" hidden="1" x14ac:dyDescent="0.35">
      <c r="B368" t="str">
        <f>_xlfn.TEXTJOIN("; ",TRUE,Sheet1!C368:D368)</f>
        <v>Lidén et al., 2007; BPTB</v>
      </c>
    </row>
    <row r="369" spans="2:2" hidden="1" x14ac:dyDescent="0.35">
      <c r="B369" t="str">
        <f>_xlfn.TEXTJOIN("; ",TRUE,Sheet1!C369:D369)</f>
        <v>Lidén et al., 2007; HT</v>
      </c>
    </row>
    <row r="370" spans="2:2" hidden="1" x14ac:dyDescent="0.35">
      <c r="B370" t="str">
        <f>_xlfn.TEXTJOIN("; ",TRUE,Sheet1!C370:D370)</f>
        <v>Lidén et al., 2007; BPTB vs. HT</v>
      </c>
    </row>
    <row r="371" spans="2:2" hidden="1" x14ac:dyDescent="0.35">
      <c r="B371" t="str">
        <f>_xlfn.TEXTJOIN("; ",TRUE,Sheet1!C371:D371)</f>
        <v>Lidén et al., 2007; BPTB</v>
      </c>
    </row>
    <row r="372" spans="2:2" hidden="1" x14ac:dyDescent="0.35">
      <c r="B372" t="str">
        <f>_xlfn.TEXTJOIN("; ",TRUE,Sheet1!C372:D372)</f>
        <v>Lidén et al., 2007; HT</v>
      </c>
    </row>
    <row r="373" spans="2:2" hidden="1" x14ac:dyDescent="0.35">
      <c r="B373" t="str">
        <f>_xlfn.TEXTJOIN("; ",TRUE,Sheet1!C373:D373)</f>
        <v>Lidén et al., 2007; BPTB vs. HT</v>
      </c>
    </row>
    <row r="374" spans="2:2" hidden="1" x14ac:dyDescent="0.35">
      <c r="B374" t="str">
        <f>_xlfn.TEXTJOIN("; ",TRUE,Sheet1!C374:D374)</f>
        <v>Lidén et al., 2007; BPTB</v>
      </c>
    </row>
    <row r="375" spans="2:2" hidden="1" x14ac:dyDescent="0.35">
      <c r="B375" t="str">
        <f>_xlfn.TEXTJOIN("; ",TRUE,Sheet1!C375:D375)</f>
        <v>Lidén et al., 2007; HT</v>
      </c>
    </row>
    <row r="376" spans="2:2" hidden="1" x14ac:dyDescent="0.35">
      <c r="B376" t="str">
        <f>_xlfn.TEXTJOIN("; ",TRUE,Sheet1!C376:D376)</f>
        <v>Lidén et al., 2007; BPTB vs. HT</v>
      </c>
    </row>
    <row r="377" spans="2:2" hidden="1" x14ac:dyDescent="0.35">
      <c r="B377" t="str">
        <f>_xlfn.TEXTJOIN("; ",TRUE,Sheet1!C377:D377)</f>
        <v>Lind et al., 2020; HT</v>
      </c>
    </row>
    <row r="378" spans="2:2" hidden="1" x14ac:dyDescent="0.35">
      <c r="B378" t="str">
        <f>_xlfn.TEXTJOIN("; ",TRUE,Sheet1!C378:D378)</f>
        <v>Lind et al., 2020; QT</v>
      </c>
    </row>
    <row r="379" spans="2:2" hidden="1" x14ac:dyDescent="0.35">
      <c r="B379" t="str">
        <f>_xlfn.TEXTJOIN("; ",TRUE,Sheet1!C379:D379)</f>
        <v>Lind et al., 2020; HT vs. QT</v>
      </c>
    </row>
    <row r="380" spans="2:2" hidden="1" x14ac:dyDescent="0.35">
      <c r="B380" t="str">
        <f>_xlfn.TEXTJOIN("; ",TRUE,Sheet1!C380:D380)</f>
        <v>Lind et al., 2020; HT</v>
      </c>
    </row>
    <row r="381" spans="2:2" hidden="1" x14ac:dyDescent="0.35">
      <c r="B381" t="str">
        <f>_xlfn.TEXTJOIN("; ",TRUE,Sheet1!C381:D381)</f>
        <v>Lind et al., 2020; QT</v>
      </c>
    </row>
    <row r="382" spans="2:2" hidden="1" x14ac:dyDescent="0.35">
      <c r="B382" t="str">
        <f>_xlfn.TEXTJOIN("; ",TRUE,Sheet1!C382:D382)</f>
        <v>Lind et al., 2020; HT vs. QT</v>
      </c>
    </row>
    <row r="383" spans="2:2" hidden="1" x14ac:dyDescent="0.35">
      <c r="B383" t="str">
        <f>_xlfn.TEXTJOIN("; ",TRUE,Sheet1!C383:D383)</f>
        <v>Lind et al., 2020; HT</v>
      </c>
    </row>
    <row r="384" spans="2:2" hidden="1" x14ac:dyDescent="0.35">
      <c r="B384" t="str">
        <f>_xlfn.TEXTJOIN("; ",TRUE,Sheet1!C384:D384)</f>
        <v>Lind et al., 2020; QT</v>
      </c>
    </row>
    <row r="385" spans="2:2" hidden="1" x14ac:dyDescent="0.35">
      <c r="B385" t="str">
        <f>_xlfn.TEXTJOIN("; ",TRUE,Sheet1!C385:D385)</f>
        <v>Lind et al., 2020; HT vs. QT</v>
      </c>
    </row>
    <row r="386" spans="2:2" hidden="1" x14ac:dyDescent="0.35">
      <c r="B386" t="str">
        <f>_xlfn.TEXTJOIN("; ",TRUE,Sheet1!C386:D386)</f>
        <v>Lind et al., 2020; HT</v>
      </c>
    </row>
    <row r="387" spans="2:2" hidden="1" x14ac:dyDescent="0.35">
      <c r="B387" t="str">
        <f>_xlfn.TEXTJOIN("; ",TRUE,Sheet1!C387:D387)</f>
        <v>Lind et al., 2020; QT</v>
      </c>
    </row>
    <row r="388" spans="2:2" hidden="1" x14ac:dyDescent="0.35">
      <c r="B388" t="str">
        <f>_xlfn.TEXTJOIN("; ",TRUE,Sheet1!C388:D388)</f>
        <v>Lind et al., 2020; HT vs. QT</v>
      </c>
    </row>
    <row r="389" spans="2:2" hidden="1" x14ac:dyDescent="0.35">
      <c r="B389" t="str">
        <f>_xlfn.TEXTJOIN("; ",TRUE,Sheet1!C389:D389)</f>
        <v>Lind et al., 2020; HT</v>
      </c>
    </row>
    <row r="390" spans="2:2" hidden="1" x14ac:dyDescent="0.35">
      <c r="B390" t="str">
        <f>_xlfn.TEXTJOIN("; ",TRUE,Sheet1!C390:D390)</f>
        <v>Lind et al., 2020; QT</v>
      </c>
    </row>
    <row r="391" spans="2:2" hidden="1" x14ac:dyDescent="0.35">
      <c r="B391" t="str">
        <f>_xlfn.TEXTJOIN("; ",TRUE,Sheet1!C391:D391)</f>
        <v>Lind et al., 2020; HT vs. QT</v>
      </c>
    </row>
    <row r="392" spans="2:2" hidden="1" x14ac:dyDescent="0.35">
      <c r="B392" t="str">
        <f>_xlfn.TEXTJOIN("; ",TRUE,Sheet1!C392:D392)</f>
        <v>Lucidi et al., 2025; BPTB</v>
      </c>
    </row>
    <row r="393" spans="2:2" hidden="1" x14ac:dyDescent="0.35">
      <c r="B393" t="str">
        <f>_xlfn.TEXTJOIN("; ",TRUE,Sheet1!C393:D393)</f>
        <v>Lucidi et al., 2025; HT</v>
      </c>
    </row>
    <row r="394" spans="2:2" hidden="1" x14ac:dyDescent="0.35">
      <c r="B394" t="str">
        <f>_xlfn.TEXTJOIN("; ",TRUE,Sheet1!C394:D394)</f>
        <v>Lucidi et al., 2025; BPTB vs. HT</v>
      </c>
    </row>
    <row r="395" spans="2:2" hidden="1" x14ac:dyDescent="0.35">
      <c r="B395" t="str">
        <f>_xlfn.TEXTJOIN("; ",TRUE,Sheet1!C395:D395)</f>
        <v>Lucidi et al., 2025; BPTB</v>
      </c>
    </row>
    <row r="396" spans="2:2" hidden="1" x14ac:dyDescent="0.35">
      <c r="B396" t="str">
        <f>_xlfn.TEXTJOIN("; ",TRUE,Sheet1!C396:D396)</f>
        <v>Lucidi et al., 2025; HT</v>
      </c>
    </row>
    <row r="397" spans="2:2" hidden="1" x14ac:dyDescent="0.35">
      <c r="B397" t="str">
        <f>_xlfn.TEXTJOIN("; ",TRUE,Sheet1!C397:D397)</f>
        <v>Lucidi et al., 2025; BPTB vs. HT</v>
      </c>
    </row>
    <row r="398" spans="2:2" hidden="1" x14ac:dyDescent="0.35">
      <c r="B398" t="str">
        <f>_xlfn.TEXTJOIN("; ",TRUE,Sheet1!C398:D398)</f>
        <v>Lucidi et al., 2025; BPTB</v>
      </c>
    </row>
    <row r="399" spans="2:2" hidden="1" x14ac:dyDescent="0.35">
      <c r="B399" t="str">
        <f>_xlfn.TEXTJOIN("; ",TRUE,Sheet1!C399:D399)</f>
        <v>Lucidi et al., 2025; HT</v>
      </c>
    </row>
    <row r="400" spans="2:2" hidden="1" x14ac:dyDescent="0.35">
      <c r="B400" t="str">
        <f>_xlfn.TEXTJOIN("; ",TRUE,Sheet1!C400:D400)</f>
        <v>Lucidi et al., 2025; BPTB vs. HT</v>
      </c>
    </row>
    <row r="401" spans="2:2" hidden="1" x14ac:dyDescent="0.35">
      <c r="B401" t="str">
        <f>_xlfn.TEXTJOIN("; ",TRUE,Sheet1!C401:D401)</f>
        <v>Lucidi et al., 2025; BPTB</v>
      </c>
    </row>
    <row r="402" spans="2:2" hidden="1" x14ac:dyDescent="0.35">
      <c r="B402" t="str">
        <f>_xlfn.TEXTJOIN("; ",TRUE,Sheet1!C402:D402)</f>
        <v>Lucidi et al., 2025; HT</v>
      </c>
    </row>
    <row r="403" spans="2:2" hidden="1" x14ac:dyDescent="0.35">
      <c r="B403" t="str">
        <f>_xlfn.TEXTJOIN("; ",TRUE,Sheet1!C403:D403)</f>
        <v>Lucidi et al., 2025; BPTB vs. HT</v>
      </c>
    </row>
    <row r="404" spans="2:2" hidden="1" x14ac:dyDescent="0.35">
      <c r="B404" t="str">
        <f>_xlfn.TEXTJOIN("; ",TRUE,Sheet1!C404:D404)</f>
        <v>Lucidi et al., 2025; BPTB</v>
      </c>
    </row>
    <row r="405" spans="2:2" hidden="1" x14ac:dyDescent="0.35">
      <c r="B405" t="str">
        <f>_xlfn.TEXTJOIN("; ",TRUE,Sheet1!C405:D405)</f>
        <v>Lucidi et al., 2025; HT</v>
      </c>
    </row>
    <row r="406" spans="2:2" hidden="1" x14ac:dyDescent="0.35">
      <c r="B406" t="str">
        <f>_xlfn.TEXTJOIN("; ",TRUE,Sheet1!C406:D406)</f>
        <v>Lucidi et al., 2025; BPTB vs. HT</v>
      </c>
    </row>
    <row r="407" spans="2:2" hidden="1" x14ac:dyDescent="0.35">
      <c r="B407" t="str">
        <f>_xlfn.TEXTJOIN("; ",TRUE,Sheet1!C407:D407)</f>
        <v>Lucidi et al., 2025; BPTB</v>
      </c>
    </row>
    <row r="408" spans="2:2" hidden="1" x14ac:dyDescent="0.35">
      <c r="B408" t="str">
        <f>_xlfn.TEXTJOIN("; ",TRUE,Sheet1!C408:D408)</f>
        <v>Lucidi et al., 2025; HT</v>
      </c>
    </row>
    <row r="409" spans="2:2" hidden="1" x14ac:dyDescent="0.35">
      <c r="B409" t="str">
        <f>_xlfn.TEXTJOIN("; ",TRUE,Sheet1!C409:D409)</f>
        <v>Lucidi et al., 2025; BPTB vs. HT</v>
      </c>
    </row>
    <row r="410" spans="2:2" hidden="1" x14ac:dyDescent="0.35">
      <c r="B410" t="str">
        <f>_xlfn.TEXTJOIN("; ",TRUE,Sheet1!C410:D410)</f>
        <v>Lucidi et al., 2025; BPTB</v>
      </c>
    </row>
    <row r="411" spans="2:2" hidden="1" x14ac:dyDescent="0.35">
      <c r="B411" t="str">
        <f>_xlfn.TEXTJOIN("; ",TRUE,Sheet1!C411:D411)</f>
        <v>Lucidi et al., 2025; HT</v>
      </c>
    </row>
    <row r="412" spans="2:2" hidden="1" x14ac:dyDescent="0.35">
      <c r="B412" t="str">
        <f>_xlfn.TEXTJOIN("; ",TRUE,Sheet1!C412:D412)</f>
        <v>Lucidi et al., 2025; BPTB vs. HT</v>
      </c>
    </row>
    <row r="413" spans="2:2" hidden="1" x14ac:dyDescent="0.35">
      <c r="B413" t="str">
        <f>_xlfn.TEXTJOIN("; ",TRUE,Sheet1!C413:D413)</f>
        <v>Lui et al., 2012; BPTB</v>
      </c>
    </row>
    <row r="414" spans="2:2" hidden="1" x14ac:dyDescent="0.35">
      <c r="B414" t="str">
        <f>_xlfn.TEXTJOIN("; ",TRUE,Sheet1!C414:D414)</f>
        <v>Lui et al., 2012; HT</v>
      </c>
    </row>
    <row r="415" spans="2:2" hidden="1" x14ac:dyDescent="0.35">
      <c r="B415" t="str">
        <f>_xlfn.TEXTJOIN("; ",TRUE,Sheet1!C415:D415)</f>
        <v>Lui et al., 2012; BPTB vs. HT</v>
      </c>
    </row>
    <row r="416" spans="2:2" hidden="1" x14ac:dyDescent="0.35">
      <c r="B416" t="str">
        <f>_xlfn.TEXTJOIN("; ",TRUE,Sheet1!C416:D416)</f>
        <v>Lui et al., 2012; BPTB</v>
      </c>
    </row>
    <row r="417" spans="2:2" hidden="1" x14ac:dyDescent="0.35">
      <c r="B417" t="str">
        <f>_xlfn.TEXTJOIN("; ",TRUE,Sheet1!C417:D417)</f>
        <v>Lui et al., 2012; HT</v>
      </c>
    </row>
    <row r="418" spans="2:2" hidden="1" x14ac:dyDescent="0.35">
      <c r="B418" t="str">
        <f>_xlfn.TEXTJOIN("; ",TRUE,Sheet1!C418:D418)</f>
        <v>Lui et al., 2012; BPTB vs. HT</v>
      </c>
    </row>
    <row r="419" spans="2:2" hidden="1" x14ac:dyDescent="0.35">
      <c r="B419" t="str">
        <f>_xlfn.TEXTJOIN("; ",TRUE,Sheet1!C419:D419)</f>
        <v>Lui et al., 2012; BPTB</v>
      </c>
    </row>
    <row r="420" spans="2:2" hidden="1" x14ac:dyDescent="0.35">
      <c r="B420" t="str">
        <f>_xlfn.TEXTJOIN("; ",TRUE,Sheet1!C420:D420)</f>
        <v>Lui et al., 2012; HT</v>
      </c>
    </row>
    <row r="421" spans="2:2" hidden="1" x14ac:dyDescent="0.35">
      <c r="B421" t="str">
        <f>_xlfn.TEXTJOIN("; ",TRUE,Sheet1!C421:D421)</f>
        <v>Lui et al., 2012; BPTB vs. HT</v>
      </c>
    </row>
    <row r="422" spans="2:2" hidden="1" x14ac:dyDescent="0.35">
      <c r="B422" t="str">
        <f>_xlfn.TEXTJOIN("; ",TRUE,Sheet1!C422:D422)</f>
        <v>Lui et al., 2012; BPTB</v>
      </c>
    </row>
    <row r="423" spans="2:2" hidden="1" x14ac:dyDescent="0.35">
      <c r="B423" t="str">
        <f>_xlfn.TEXTJOIN("; ",TRUE,Sheet1!C423:D423)</f>
        <v>Lui et al., 2012; HT</v>
      </c>
    </row>
    <row r="424" spans="2:2" hidden="1" x14ac:dyDescent="0.35">
      <c r="B424" t="str">
        <f>_xlfn.TEXTJOIN("; ",TRUE,Sheet1!C424:D424)</f>
        <v>Lui et al., 2012; BPTB vs. HT</v>
      </c>
    </row>
    <row r="425" spans="2:2" hidden="1" x14ac:dyDescent="0.35">
      <c r="B425" t="str">
        <f>_xlfn.TEXTJOIN("; ",TRUE,Sheet1!C425:D425)</f>
        <v>Lui et al., 2012; BPTB</v>
      </c>
    </row>
    <row r="426" spans="2:2" hidden="1" x14ac:dyDescent="0.35">
      <c r="B426" t="str">
        <f>_xlfn.TEXTJOIN("; ",TRUE,Sheet1!C426:D426)</f>
        <v>Lui et al., 2012; HT</v>
      </c>
    </row>
    <row r="427" spans="2:2" hidden="1" x14ac:dyDescent="0.35">
      <c r="B427" t="str">
        <f>_xlfn.TEXTJOIN("; ",TRUE,Sheet1!C427:D427)</f>
        <v>Lui et al., 2012; BPTB vs. HT</v>
      </c>
    </row>
    <row r="428" spans="2:2" hidden="1" x14ac:dyDescent="0.35">
      <c r="B428" t="str">
        <f>_xlfn.TEXTJOIN("; ",TRUE,Sheet1!C428:D428)</f>
        <v>Lund et al., 2014; BPTB</v>
      </c>
    </row>
    <row r="429" spans="2:2" hidden="1" x14ac:dyDescent="0.35">
      <c r="B429" t="str">
        <f>_xlfn.TEXTJOIN("; ",TRUE,Sheet1!C429:D429)</f>
        <v>Lund et al., 2014; QT</v>
      </c>
    </row>
    <row r="430" spans="2:2" hidden="1" x14ac:dyDescent="0.35">
      <c r="B430" t="str">
        <f>_xlfn.TEXTJOIN("; ",TRUE,Sheet1!C430:D430)</f>
        <v>Lund et al., 2014; BPTB vs. QT</v>
      </c>
    </row>
    <row r="431" spans="2:2" hidden="1" x14ac:dyDescent="0.35">
      <c r="B431" t="str">
        <f>_xlfn.TEXTJOIN("; ",TRUE,Sheet1!C431:D431)</f>
        <v>Lund et al., 2014; BPTB</v>
      </c>
    </row>
    <row r="432" spans="2:2" hidden="1" x14ac:dyDescent="0.35">
      <c r="B432" t="str">
        <f>_xlfn.TEXTJOIN("; ",TRUE,Sheet1!C432:D432)</f>
        <v>Lund et al., 2014; QT</v>
      </c>
    </row>
    <row r="433" spans="2:2" hidden="1" x14ac:dyDescent="0.35">
      <c r="B433" t="str">
        <f>_xlfn.TEXTJOIN("; ",TRUE,Sheet1!C433:D433)</f>
        <v>Lund et al., 2014; BPTB vs. QT</v>
      </c>
    </row>
    <row r="434" spans="2:2" hidden="1" x14ac:dyDescent="0.35">
      <c r="B434" t="str">
        <f>_xlfn.TEXTJOIN("; ",TRUE,Sheet1!C434:D434)</f>
        <v>Lund et al., 2014; BPTB</v>
      </c>
    </row>
    <row r="435" spans="2:2" hidden="1" x14ac:dyDescent="0.35">
      <c r="B435" t="str">
        <f>_xlfn.TEXTJOIN("; ",TRUE,Sheet1!C435:D435)</f>
        <v>Lund et al., 2014; QT</v>
      </c>
    </row>
    <row r="436" spans="2:2" hidden="1" x14ac:dyDescent="0.35">
      <c r="B436" t="str">
        <f>_xlfn.TEXTJOIN("; ",TRUE,Sheet1!C436:D436)</f>
        <v>Lund et al., 2014; BPTB vs. QT</v>
      </c>
    </row>
    <row r="437" spans="2:2" hidden="1" x14ac:dyDescent="0.35">
      <c r="B437" t="str">
        <f>_xlfn.TEXTJOIN("; ",TRUE,Sheet1!C437:D437)</f>
        <v>Lund et al., 2014; BPTB</v>
      </c>
    </row>
    <row r="438" spans="2:2" hidden="1" x14ac:dyDescent="0.35">
      <c r="B438" t="str">
        <f>_xlfn.TEXTJOIN("; ",TRUE,Sheet1!C438:D438)</f>
        <v>Lund et al., 2014; QT</v>
      </c>
    </row>
    <row r="439" spans="2:2" hidden="1" x14ac:dyDescent="0.35">
      <c r="B439" t="str">
        <f>_xlfn.TEXTJOIN("; ",TRUE,Sheet1!C439:D439)</f>
        <v>Lund et al., 2014; BPTB vs. QT</v>
      </c>
    </row>
    <row r="440" spans="2:2" hidden="1" x14ac:dyDescent="0.35">
      <c r="B440" t="str">
        <f>_xlfn.TEXTJOIN("; ",TRUE,Sheet1!C440:D440)</f>
        <v>Malik et al., 2026; HT</v>
      </c>
    </row>
    <row r="441" spans="2:2" hidden="1" x14ac:dyDescent="0.35">
      <c r="B441" t="str">
        <f>_xlfn.TEXTJOIN("; ",TRUE,Sheet1!C441:D441)</f>
        <v>Malik et al., 2026; PLT</v>
      </c>
    </row>
    <row r="442" spans="2:2" hidden="1" x14ac:dyDescent="0.35">
      <c r="B442" t="str">
        <f>_xlfn.TEXTJOIN("; ",TRUE,Sheet1!C442:D442)</f>
        <v>Malik et al., 2026; HT vs. PLT</v>
      </c>
    </row>
    <row r="443" spans="2:2" hidden="1" x14ac:dyDescent="0.35">
      <c r="B443" t="str">
        <f>_xlfn.TEXTJOIN("; ",TRUE,Sheet1!C443:D443)</f>
        <v>Malik et al., 2026; HT</v>
      </c>
    </row>
    <row r="444" spans="2:2" hidden="1" x14ac:dyDescent="0.35">
      <c r="B444" t="str">
        <f>_xlfn.TEXTJOIN("; ",TRUE,Sheet1!C444:D444)</f>
        <v>Malik et al., 2026; PLT</v>
      </c>
    </row>
    <row r="445" spans="2:2" hidden="1" x14ac:dyDescent="0.35">
      <c r="B445" t="str">
        <f>_xlfn.TEXTJOIN("; ",TRUE,Sheet1!C445:D445)</f>
        <v>Malik et al., 2026; HT vs. PLT</v>
      </c>
    </row>
    <row r="446" spans="2:2" hidden="1" x14ac:dyDescent="0.35">
      <c r="B446" t="str">
        <f>_xlfn.TEXTJOIN("; ",TRUE,Sheet1!C446:D446)</f>
        <v>Malik et al., 2026; HT</v>
      </c>
    </row>
    <row r="447" spans="2:2" hidden="1" x14ac:dyDescent="0.35">
      <c r="B447" t="str">
        <f>_xlfn.TEXTJOIN("; ",TRUE,Sheet1!C447:D447)</f>
        <v>Malik et al., 2026; PLT</v>
      </c>
    </row>
    <row r="448" spans="2:2" hidden="1" x14ac:dyDescent="0.35">
      <c r="B448" t="str">
        <f>_xlfn.TEXTJOIN("; ",TRUE,Sheet1!C448:D448)</f>
        <v>Malik et al., 2026; HT vs. PLT</v>
      </c>
    </row>
    <row r="449" spans="2:2" hidden="1" x14ac:dyDescent="0.35">
      <c r="B449" t="str">
        <f>_xlfn.TEXTJOIN("; ",TRUE,Sheet1!C449:D449)</f>
        <v>Malik et al., 2026; HT</v>
      </c>
    </row>
    <row r="450" spans="2:2" hidden="1" x14ac:dyDescent="0.35">
      <c r="B450" t="str">
        <f>_xlfn.TEXTJOIN("; ",TRUE,Sheet1!C450:D450)</f>
        <v>Malik et al., 2026; PLT</v>
      </c>
    </row>
    <row r="451" spans="2:2" hidden="1" x14ac:dyDescent="0.35">
      <c r="B451" t="str">
        <f>_xlfn.TEXTJOIN("; ",TRUE,Sheet1!C451:D451)</f>
        <v>Malik et al., 2026; HT vs. PLT</v>
      </c>
    </row>
    <row r="452" spans="2:2" hidden="1" x14ac:dyDescent="0.35">
      <c r="B452" t="str">
        <f>_xlfn.TEXTJOIN("; ",TRUE,Sheet1!C452:D452)</f>
        <v>Malik et al., 2026; HT</v>
      </c>
    </row>
    <row r="453" spans="2:2" hidden="1" x14ac:dyDescent="0.35">
      <c r="B453" t="str">
        <f>_xlfn.TEXTJOIN("; ",TRUE,Sheet1!C453:D453)</f>
        <v>Malik et al., 2026; PLT</v>
      </c>
    </row>
    <row r="454" spans="2:2" hidden="1" x14ac:dyDescent="0.35">
      <c r="B454" t="str">
        <f>_xlfn.TEXTJOIN("; ",TRUE,Sheet1!C454:D454)</f>
        <v>Malik et al., 2026; HT vs. PLT</v>
      </c>
    </row>
    <row r="455" spans="2:2" hidden="1" x14ac:dyDescent="0.35">
      <c r="B455" t="str">
        <f>_xlfn.TEXTJOIN("; ",TRUE,Sheet1!C455:D455)</f>
        <v>Malik et al., 2026; HT</v>
      </c>
    </row>
    <row r="456" spans="2:2" hidden="1" x14ac:dyDescent="0.35">
      <c r="B456" t="str">
        <f>_xlfn.TEXTJOIN("; ",TRUE,Sheet1!C456:D456)</f>
        <v>Malik et al., 2026; PLT</v>
      </c>
    </row>
    <row r="457" spans="2:2" hidden="1" x14ac:dyDescent="0.35">
      <c r="B457" t="str">
        <f>_xlfn.TEXTJOIN("; ",TRUE,Sheet1!C457:D457)</f>
        <v>Malik et al., 2026; HT vs. PLT</v>
      </c>
    </row>
    <row r="458" spans="2:2" hidden="1" x14ac:dyDescent="0.35">
      <c r="B458" t="str">
        <f>_xlfn.TEXTJOIN("; ",TRUE,Sheet1!C458:D458)</f>
        <v>Malik et al., 2026; HT</v>
      </c>
    </row>
    <row r="459" spans="2:2" hidden="1" x14ac:dyDescent="0.35">
      <c r="B459" t="str">
        <f>_xlfn.TEXTJOIN("; ",TRUE,Sheet1!C459:D459)</f>
        <v>Malik et al., 2026; PLT</v>
      </c>
    </row>
    <row r="460" spans="2:2" hidden="1" x14ac:dyDescent="0.35">
      <c r="B460" t="str">
        <f>_xlfn.TEXTJOIN("; ",TRUE,Sheet1!C460:D460)</f>
        <v>Malik et al., 2026; HT vs. PLT</v>
      </c>
    </row>
    <row r="461" spans="2:2" hidden="1" x14ac:dyDescent="0.35">
      <c r="B461" t="str">
        <f>_xlfn.TEXTJOIN("; ",TRUE,Sheet1!C461:D461)</f>
        <v>Malik et al., 2026; HT</v>
      </c>
    </row>
    <row r="462" spans="2:2" hidden="1" x14ac:dyDescent="0.35">
      <c r="B462" t="str">
        <f>_xlfn.TEXTJOIN("; ",TRUE,Sheet1!C462:D462)</f>
        <v>Malik et al., 2026; PLT</v>
      </c>
    </row>
    <row r="463" spans="2:2" hidden="1" x14ac:dyDescent="0.35">
      <c r="B463" t="str">
        <f>_xlfn.TEXTJOIN("; ",TRUE,Sheet1!C463:D463)</f>
        <v>Malik et al., 2026; HT vs. PLT</v>
      </c>
    </row>
    <row r="464" spans="2:2" hidden="1" x14ac:dyDescent="0.35">
      <c r="B464" t="str">
        <f>_xlfn.TEXTJOIN("; ",TRUE,Sheet1!C464:D464)</f>
        <v>Matsumoto et al., 2006; BPTB</v>
      </c>
    </row>
    <row r="465" spans="2:2" hidden="1" x14ac:dyDescent="0.35">
      <c r="B465" t="str">
        <f>_xlfn.TEXTJOIN("; ",TRUE,Sheet1!C465:D465)</f>
        <v>Matsumoto et al., 2006; HT</v>
      </c>
    </row>
    <row r="466" spans="2:2" hidden="1" x14ac:dyDescent="0.35">
      <c r="B466" t="str">
        <f>_xlfn.TEXTJOIN("; ",TRUE,Sheet1!C466:D466)</f>
        <v>Matsumoto et al., 2006; BPTB vs. HT</v>
      </c>
    </row>
    <row r="467" spans="2:2" hidden="1" x14ac:dyDescent="0.35">
      <c r="B467" t="str">
        <f>_xlfn.TEXTJOIN("; ",TRUE,Sheet1!C467:D467)</f>
        <v>Matsumoto et al., 2006; BPTB</v>
      </c>
    </row>
    <row r="468" spans="2:2" hidden="1" x14ac:dyDescent="0.35">
      <c r="B468" t="str">
        <f>_xlfn.TEXTJOIN("; ",TRUE,Sheet1!C468:D468)</f>
        <v>Matsumoto et al., 2006; HT</v>
      </c>
    </row>
    <row r="469" spans="2:2" hidden="1" x14ac:dyDescent="0.35">
      <c r="B469" t="str">
        <f>_xlfn.TEXTJOIN("; ",TRUE,Sheet1!C469:D469)</f>
        <v>Matsumoto et al., 2006; BPTB vs. HT</v>
      </c>
    </row>
    <row r="470" spans="2:2" hidden="1" x14ac:dyDescent="0.35">
      <c r="B470" t="str">
        <f>_xlfn.TEXTJOIN("; ",TRUE,Sheet1!C470:D470)</f>
        <v>Mohtadi et al., 2016; BPTB</v>
      </c>
    </row>
    <row r="471" spans="2:2" hidden="1" x14ac:dyDescent="0.35">
      <c r="B471" t="str">
        <f>_xlfn.TEXTJOIN("; ",TRUE,Sheet1!C471:D471)</f>
        <v>Mohtadi et al., 2016; HT</v>
      </c>
    </row>
    <row r="472" spans="2:2" hidden="1" x14ac:dyDescent="0.35">
      <c r="B472" t="str">
        <f>_xlfn.TEXTJOIN("; ",TRUE,Sheet1!C472:D472)</f>
        <v>Mohtadi et al., 2016; BPTB vs. HT</v>
      </c>
    </row>
    <row r="473" spans="2:2" hidden="1" x14ac:dyDescent="0.35">
      <c r="B473" t="str">
        <f>_xlfn.TEXTJOIN("; ",TRUE,Sheet1!C473:D473)</f>
        <v>Moraiti et al., 2010; BPTB</v>
      </c>
    </row>
    <row r="474" spans="2:2" hidden="1" x14ac:dyDescent="0.35">
      <c r="B474" t="str">
        <f>_xlfn.TEXTJOIN("; ",TRUE,Sheet1!C474:D474)</f>
        <v>Moraiti et al., 2010; HT</v>
      </c>
    </row>
    <row r="475" spans="2:2" hidden="1" x14ac:dyDescent="0.35">
      <c r="B475" t="str">
        <f>_xlfn.TEXTJOIN("; ",TRUE,Sheet1!C475:D475)</f>
        <v>Moraiti et al., 2010; BPTB vs. HT</v>
      </c>
    </row>
    <row r="476" spans="2:2" hidden="1" x14ac:dyDescent="0.35">
      <c r="B476" t="str">
        <f>_xlfn.TEXTJOIN("; ",TRUE,Sheet1!C476:D476)</f>
        <v>Moraiti et al., 2010; BPTB</v>
      </c>
    </row>
    <row r="477" spans="2:2" hidden="1" x14ac:dyDescent="0.35">
      <c r="B477" t="str">
        <f>_xlfn.TEXTJOIN("; ",TRUE,Sheet1!C477:D477)</f>
        <v>Moraiti et al., 2010; HT</v>
      </c>
    </row>
    <row r="478" spans="2:2" hidden="1" x14ac:dyDescent="0.35">
      <c r="B478" t="str">
        <f>_xlfn.TEXTJOIN("; ",TRUE,Sheet1!C478:D478)</f>
        <v>Moraiti et al., 2010; BPTB vs. HT</v>
      </c>
    </row>
    <row r="479" spans="2:2" hidden="1" x14ac:dyDescent="0.35">
      <c r="B479" t="str">
        <f>_xlfn.TEXTJOIN("; ",TRUE,Sheet1!C479:D479)</f>
        <v>Noh et al., 2011; HT</v>
      </c>
    </row>
    <row r="480" spans="2:2" hidden="1" x14ac:dyDescent="0.35">
      <c r="B480" t="str">
        <f>_xlfn.TEXTJOIN("; ",TRUE,Sheet1!C480:D480)</f>
        <v>Noh et al., 2011; AT</v>
      </c>
    </row>
    <row r="481" spans="2:2" hidden="1" x14ac:dyDescent="0.35">
      <c r="B481" t="str">
        <f>_xlfn.TEXTJOIN("; ",TRUE,Sheet1!C481:D481)</f>
        <v>Noh et al., 2011; HT vs. AT</v>
      </c>
    </row>
    <row r="482" spans="2:2" hidden="1" x14ac:dyDescent="0.35">
      <c r="B482" t="str">
        <f>_xlfn.TEXTJOIN("; ",TRUE,Sheet1!C482:D482)</f>
        <v>Noh et al., 2011; HT</v>
      </c>
    </row>
    <row r="483" spans="2:2" hidden="1" x14ac:dyDescent="0.35">
      <c r="B483" t="str">
        <f>_xlfn.TEXTJOIN("; ",TRUE,Sheet1!C483:D483)</f>
        <v>Noh et al., 2011; AT</v>
      </c>
    </row>
    <row r="484" spans="2:2" hidden="1" x14ac:dyDescent="0.35">
      <c r="B484" t="str">
        <f>_xlfn.TEXTJOIN("; ",TRUE,Sheet1!C484:D484)</f>
        <v>Noh et al., 2011; HT vs. AT</v>
      </c>
    </row>
    <row r="485" spans="2:2" hidden="1" x14ac:dyDescent="0.35">
      <c r="B485" t="str">
        <f>_xlfn.TEXTJOIN("; ",TRUE,Sheet1!C485:D485)</f>
        <v>Noh et al., 2011; HT</v>
      </c>
    </row>
    <row r="486" spans="2:2" hidden="1" x14ac:dyDescent="0.35">
      <c r="B486" t="str">
        <f>_xlfn.TEXTJOIN("; ",TRUE,Sheet1!C486:D486)</f>
        <v>Noh et al., 2011; AT</v>
      </c>
    </row>
    <row r="487" spans="2:2" hidden="1" x14ac:dyDescent="0.35">
      <c r="B487" t="str">
        <f>_xlfn.TEXTJOIN("; ",TRUE,Sheet1!C487:D487)</f>
        <v>Noh et al., 2011; HT vs. AT</v>
      </c>
    </row>
    <row r="488" spans="2:2" hidden="1" x14ac:dyDescent="0.35">
      <c r="B488" t="str">
        <f>_xlfn.TEXTJOIN("; ",TRUE,Sheet1!C488:D488)</f>
        <v>Noh et al., 2011; HT</v>
      </c>
    </row>
    <row r="489" spans="2:2" hidden="1" x14ac:dyDescent="0.35">
      <c r="B489" t="str">
        <f>_xlfn.TEXTJOIN("; ",TRUE,Sheet1!C489:D489)</f>
        <v>Noh et al., 2011; AT</v>
      </c>
    </row>
    <row r="490" spans="2:2" hidden="1" x14ac:dyDescent="0.35">
      <c r="B490" t="str">
        <f>_xlfn.TEXTJOIN("; ",TRUE,Sheet1!C490:D490)</f>
        <v>Noh et al., 2011; HT vs. AT</v>
      </c>
    </row>
    <row r="491" spans="2:2" hidden="1" x14ac:dyDescent="0.35">
      <c r="B491" t="str">
        <f>_xlfn.TEXTJOIN("; ",TRUE,Sheet1!C491:D491)</f>
        <v>Noh et al., 2011; HT</v>
      </c>
    </row>
    <row r="492" spans="2:2" hidden="1" x14ac:dyDescent="0.35">
      <c r="B492" t="str">
        <f>_xlfn.TEXTJOIN("; ",TRUE,Sheet1!C492:D492)</f>
        <v>Noh et al., 2011; AT</v>
      </c>
    </row>
    <row r="493" spans="2:2" hidden="1" x14ac:dyDescent="0.35">
      <c r="B493" t="str">
        <f>_xlfn.TEXTJOIN("; ",TRUE,Sheet1!C493:D493)</f>
        <v>Noh et al., 2011; HT vs. AT</v>
      </c>
    </row>
    <row r="494" spans="2:2" hidden="1" x14ac:dyDescent="0.35">
      <c r="B494" t="str">
        <f>_xlfn.TEXTJOIN("; ",TRUE,Sheet1!C494:D494)</f>
        <v>Noh et al., 2011; HT</v>
      </c>
    </row>
    <row r="495" spans="2:2" hidden="1" x14ac:dyDescent="0.35">
      <c r="B495" t="str">
        <f>_xlfn.TEXTJOIN("; ",TRUE,Sheet1!C495:D495)</f>
        <v>Noh et al., 2011; AT</v>
      </c>
    </row>
    <row r="496" spans="2:2" hidden="1" x14ac:dyDescent="0.35">
      <c r="B496" t="str">
        <f>_xlfn.TEXTJOIN("; ",TRUE,Sheet1!C496:D496)</f>
        <v>Noh et al., 2011; HT vs. AT</v>
      </c>
    </row>
    <row r="497" spans="2:2" hidden="1" x14ac:dyDescent="0.35">
      <c r="B497" t="str">
        <f>_xlfn.TEXTJOIN("; ",TRUE,Sheet1!C497:D497)</f>
        <v>Papalia et al., 2015; BPTB</v>
      </c>
    </row>
    <row r="498" spans="2:2" hidden="1" x14ac:dyDescent="0.35">
      <c r="B498" t="str">
        <f>_xlfn.TEXTJOIN("; ",TRUE,Sheet1!C498:D498)</f>
        <v>Papalia et al., 2015; HT</v>
      </c>
    </row>
    <row r="499" spans="2:2" hidden="1" x14ac:dyDescent="0.35">
      <c r="B499" t="str">
        <f>_xlfn.TEXTJOIN("; ",TRUE,Sheet1!C499:D499)</f>
        <v>Papalia et al., 2015; BPTB vs. HT</v>
      </c>
    </row>
    <row r="500" spans="2:2" hidden="1" x14ac:dyDescent="0.35">
      <c r="B500" t="str">
        <f>_xlfn.TEXTJOIN("; ",TRUE,Sheet1!C500:D500)</f>
        <v>Papalia et al., 2015; BPTB</v>
      </c>
    </row>
    <row r="501" spans="2:2" hidden="1" x14ac:dyDescent="0.35">
      <c r="B501" t="str">
        <f>_xlfn.TEXTJOIN("; ",TRUE,Sheet1!C501:D501)</f>
        <v>Papalia et al., 2015; HT</v>
      </c>
    </row>
    <row r="502" spans="2:2" hidden="1" x14ac:dyDescent="0.35">
      <c r="B502" t="str">
        <f>_xlfn.TEXTJOIN("; ",TRUE,Sheet1!C502:D502)</f>
        <v>Papalia et al., 2015; BPTB vs. HT</v>
      </c>
    </row>
    <row r="503" spans="2:2" hidden="1" x14ac:dyDescent="0.35">
      <c r="B503" t="str">
        <f>_xlfn.TEXTJOIN("; ",TRUE,Sheet1!C503:D503)</f>
        <v>Pinczewski et al., 2007; BPTB</v>
      </c>
    </row>
    <row r="504" spans="2:2" hidden="1" x14ac:dyDescent="0.35">
      <c r="B504" t="str">
        <f>_xlfn.TEXTJOIN("; ",TRUE,Sheet1!C504:D504)</f>
        <v>Pinczewski et al., 2007; HT</v>
      </c>
    </row>
    <row r="505" spans="2:2" hidden="1" x14ac:dyDescent="0.35">
      <c r="B505" t="str">
        <f>_xlfn.TEXTJOIN("; ",TRUE,Sheet1!C505:D505)</f>
        <v>Pinczewski et al., 2007; BPTB vs. HT</v>
      </c>
    </row>
    <row r="506" spans="2:2" hidden="1" x14ac:dyDescent="0.35">
      <c r="B506" t="str">
        <f>_xlfn.TEXTJOIN("; ",TRUE,Sheet1!C506:D506)</f>
        <v>Pinczewski et al., 2007; BPTB</v>
      </c>
    </row>
    <row r="507" spans="2:2" hidden="1" x14ac:dyDescent="0.35">
      <c r="B507" t="str">
        <f>_xlfn.TEXTJOIN("; ",TRUE,Sheet1!C507:D507)</f>
        <v>Pinczewski et al., 2007; HT</v>
      </c>
    </row>
    <row r="508" spans="2:2" hidden="1" x14ac:dyDescent="0.35">
      <c r="B508" t="str">
        <f>_xlfn.TEXTJOIN("; ",TRUE,Sheet1!C508:D508)</f>
        <v>Pinczewski et al., 2007; BPTB vs. HT</v>
      </c>
    </row>
    <row r="509" spans="2:2" hidden="1" x14ac:dyDescent="0.35">
      <c r="B509" t="str">
        <f>_xlfn.TEXTJOIN("; ",TRUE,Sheet1!C509:D509)</f>
        <v>Pinczewski et al., 2007; BPTB</v>
      </c>
    </row>
    <row r="510" spans="2:2" hidden="1" x14ac:dyDescent="0.35">
      <c r="B510" t="str">
        <f>_xlfn.TEXTJOIN("; ",TRUE,Sheet1!C510:D510)</f>
        <v>Pinczewski et al., 2007; HT</v>
      </c>
    </row>
    <row r="511" spans="2:2" hidden="1" x14ac:dyDescent="0.35">
      <c r="B511" t="str">
        <f>_xlfn.TEXTJOIN("; ",TRUE,Sheet1!C511:D511)</f>
        <v>Pinczewski et al., 2007; BPTB vs. HT</v>
      </c>
    </row>
    <row r="512" spans="2:2" hidden="1" x14ac:dyDescent="0.35">
      <c r="B512" t="str">
        <f>_xlfn.TEXTJOIN("; ",TRUE,Sheet1!C512:D512)</f>
        <v>Pinczewski et al., 2007; BPTB</v>
      </c>
    </row>
    <row r="513" spans="2:2" hidden="1" x14ac:dyDescent="0.35">
      <c r="B513" t="str">
        <f>_xlfn.TEXTJOIN("; ",TRUE,Sheet1!C513:D513)</f>
        <v>Pinczewski et al., 2007; HT</v>
      </c>
    </row>
    <row r="514" spans="2:2" hidden="1" x14ac:dyDescent="0.35">
      <c r="B514" t="str">
        <f>_xlfn.TEXTJOIN("; ",TRUE,Sheet1!C514:D514)</f>
        <v>Pinczewski et al., 2007; BPTB vs. HT</v>
      </c>
    </row>
    <row r="515" spans="2:2" hidden="1" x14ac:dyDescent="0.35">
      <c r="B515" t="str">
        <f>_xlfn.TEXTJOIN("; ",TRUE,Sheet1!C515:D515)</f>
        <v>Pinczewski et al., 2007; BPTB</v>
      </c>
    </row>
    <row r="516" spans="2:2" hidden="1" x14ac:dyDescent="0.35">
      <c r="B516" t="str">
        <f>_xlfn.TEXTJOIN("; ",TRUE,Sheet1!C516:D516)</f>
        <v>Pinczewski et al., 2007; HT</v>
      </c>
    </row>
    <row r="517" spans="2:2" hidden="1" x14ac:dyDescent="0.35">
      <c r="B517" t="str">
        <f>_xlfn.TEXTJOIN("; ",TRUE,Sheet1!C517:D517)</f>
        <v>Pinczewski et al., 2007; BPTB vs. HT</v>
      </c>
    </row>
    <row r="518" spans="2:2" hidden="1" x14ac:dyDescent="0.35">
      <c r="B518" t="str">
        <f>_xlfn.TEXTJOIN("; ",TRUE,Sheet1!C518:D518)</f>
        <v>Pinczewski et al., 2007; BPTB</v>
      </c>
    </row>
    <row r="519" spans="2:2" hidden="1" x14ac:dyDescent="0.35">
      <c r="B519" t="str">
        <f>_xlfn.TEXTJOIN("; ",TRUE,Sheet1!C519:D519)</f>
        <v>Pinczewski et al., 2007; HT</v>
      </c>
    </row>
    <row r="520" spans="2:2" hidden="1" x14ac:dyDescent="0.35">
      <c r="B520" t="str">
        <f>_xlfn.TEXTJOIN("; ",TRUE,Sheet1!C520:D520)</f>
        <v>Pinczewski et al., 2007; BPTB vs. HT</v>
      </c>
    </row>
    <row r="521" spans="2:2" hidden="1" x14ac:dyDescent="0.35">
      <c r="B521" t="str">
        <f>_xlfn.TEXTJOIN("; ",TRUE,Sheet1!C521:D521)</f>
        <v>Popovic et al., 2024; BPTB</v>
      </c>
    </row>
    <row r="522" spans="2:2" hidden="1" x14ac:dyDescent="0.35">
      <c r="B522" t="str">
        <f>_xlfn.TEXTJOIN("; ",TRUE,Sheet1!C522:D522)</f>
        <v>Popovic et al., 2024; HT</v>
      </c>
    </row>
    <row r="523" spans="2:2" hidden="1" x14ac:dyDescent="0.35">
      <c r="B523" t="str">
        <f>_xlfn.TEXTJOIN("; ",TRUE,Sheet1!C523:D523)</f>
        <v>Popovic et al., 2024; BPTB vs. HT</v>
      </c>
    </row>
    <row r="524" spans="2:2" hidden="1" x14ac:dyDescent="0.35">
      <c r="B524" t="str">
        <f>_xlfn.TEXTJOIN("; ",TRUE,Sheet1!C524:D524)</f>
        <v>Popovic et al., 2024; BPTB</v>
      </c>
    </row>
    <row r="525" spans="2:2" hidden="1" x14ac:dyDescent="0.35">
      <c r="B525" t="str">
        <f>_xlfn.TEXTJOIN("; ",TRUE,Sheet1!C525:D525)</f>
        <v>Popovic et al., 2024; HT</v>
      </c>
    </row>
    <row r="526" spans="2:2" hidden="1" x14ac:dyDescent="0.35">
      <c r="B526" t="str">
        <f>_xlfn.TEXTJOIN("; ",TRUE,Sheet1!C526:D526)</f>
        <v>Popovic et al., 2024; BPTB vs. HT</v>
      </c>
    </row>
    <row r="527" spans="2:2" hidden="1" x14ac:dyDescent="0.35">
      <c r="B527" t="str">
        <f>_xlfn.TEXTJOIN("; ",TRUE,Sheet1!C527:D527)</f>
        <v>Popovic et al., 2024; BPTB</v>
      </c>
    </row>
    <row r="528" spans="2:2" hidden="1" x14ac:dyDescent="0.35">
      <c r="B528" t="str">
        <f>_xlfn.TEXTJOIN("; ",TRUE,Sheet1!C528:D528)</f>
        <v>Popovic et al., 2024; HT</v>
      </c>
    </row>
    <row r="529" spans="2:2" hidden="1" x14ac:dyDescent="0.35">
      <c r="B529" t="str">
        <f>_xlfn.TEXTJOIN("; ",TRUE,Sheet1!C529:D529)</f>
        <v>Popovic et al., 2024; BPTB vs. HT</v>
      </c>
    </row>
    <row r="530" spans="2:2" hidden="1" x14ac:dyDescent="0.35">
      <c r="B530" t="str">
        <f>_xlfn.TEXTJOIN("; ",TRUE,Sheet1!C530:D530)</f>
        <v>Popovic et al., 2024; BPTB</v>
      </c>
    </row>
    <row r="531" spans="2:2" hidden="1" x14ac:dyDescent="0.35">
      <c r="B531" t="str">
        <f>_xlfn.TEXTJOIN("; ",TRUE,Sheet1!C531:D531)</f>
        <v>Popovic et al., 2024; HT</v>
      </c>
    </row>
    <row r="532" spans="2:2" hidden="1" x14ac:dyDescent="0.35">
      <c r="B532" t="str">
        <f>_xlfn.TEXTJOIN("; ",TRUE,Sheet1!C532:D532)</f>
        <v>Popovic et al., 2024; BPTB vs. HT</v>
      </c>
    </row>
    <row r="533" spans="2:2" hidden="1" x14ac:dyDescent="0.35">
      <c r="B533" t="str">
        <f>_xlfn.TEXTJOIN("; ",TRUE,Sheet1!C533:D533)</f>
        <v>Popovic et al., 2024; BPTB</v>
      </c>
    </row>
    <row r="534" spans="2:2" hidden="1" x14ac:dyDescent="0.35">
      <c r="B534" t="str">
        <f>_xlfn.TEXTJOIN("; ",TRUE,Sheet1!C534:D534)</f>
        <v>Popovic et al., 2024; HT</v>
      </c>
    </row>
    <row r="535" spans="2:2" hidden="1" x14ac:dyDescent="0.35">
      <c r="B535" t="str">
        <f>_xlfn.TEXTJOIN("; ",TRUE,Sheet1!C535:D535)</f>
        <v>Popovic et al., 2024; BPTB vs. HT</v>
      </c>
    </row>
    <row r="536" spans="2:2" hidden="1" x14ac:dyDescent="0.35">
      <c r="B536" t="str">
        <f>_xlfn.TEXTJOIN("; ",TRUE,Sheet1!C536:D536)</f>
        <v>Popovic et al., 2024; BPTB</v>
      </c>
    </row>
    <row r="537" spans="2:2" hidden="1" x14ac:dyDescent="0.35">
      <c r="B537" t="str">
        <f>_xlfn.TEXTJOIN("; ",TRUE,Sheet1!C537:D537)</f>
        <v>Popovic et al., 2024; HT</v>
      </c>
    </row>
    <row r="538" spans="2:2" hidden="1" x14ac:dyDescent="0.35">
      <c r="B538" t="str">
        <f>_xlfn.TEXTJOIN("; ",TRUE,Sheet1!C538:D538)</f>
        <v>Popovic et al., 2024; BPTB vs. HT</v>
      </c>
    </row>
    <row r="539" spans="2:2" hidden="1" x14ac:dyDescent="0.35">
      <c r="B539" t="str">
        <f>_xlfn.TEXTJOIN("; ",TRUE,Sheet1!C539:D539)</f>
        <v>Popovic et al., 2024; BPTB</v>
      </c>
    </row>
    <row r="540" spans="2:2" hidden="1" x14ac:dyDescent="0.35">
      <c r="B540" t="str">
        <f>_xlfn.TEXTJOIN("; ",TRUE,Sheet1!C540:D540)</f>
        <v>Popovic et al., 2024; HT</v>
      </c>
    </row>
    <row r="541" spans="2:2" hidden="1" x14ac:dyDescent="0.35">
      <c r="B541" t="str">
        <f>_xlfn.TEXTJOIN("; ",TRUE,Sheet1!C541:D541)</f>
        <v>Popovic et al., 2024; BPTB vs. HT</v>
      </c>
    </row>
    <row r="542" spans="2:2" hidden="1" x14ac:dyDescent="0.35">
      <c r="B542" t="str">
        <f>_xlfn.TEXTJOIN("; ",TRUE,Sheet1!C542:D542)</f>
        <v>Popovic et al., 2024; BPTB</v>
      </c>
    </row>
    <row r="543" spans="2:2" hidden="1" x14ac:dyDescent="0.35">
      <c r="B543" t="str">
        <f>_xlfn.TEXTJOIN("; ",TRUE,Sheet1!C543:D543)</f>
        <v>Popovic et al., 2024; HT</v>
      </c>
    </row>
    <row r="544" spans="2:2" hidden="1" x14ac:dyDescent="0.35">
      <c r="B544" t="str">
        <f>_xlfn.TEXTJOIN("; ",TRUE,Sheet1!C544:D544)</f>
        <v>Popovic et al., 2024; BPTB vs. HT</v>
      </c>
    </row>
    <row r="545" spans="2:2" hidden="1" x14ac:dyDescent="0.35">
      <c r="B545" t="str">
        <f>_xlfn.TEXTJOIN("; ",TRUE,Sheet1!C545:D545)</f>
        <v>Sajovic et al., 2018; BPTB</v>
      </c>
    </row>
    <row r="546" spans="2:2" hidden="1" x14ac:dyDescent="0.35">
      <c r="B546" t="str">
        <f>_xlfn.TEXTJOIN("; ",TRUE,Sheet1!C546:D546)</f>
        <v>Sajovic et al., 2018; HT</v>
      </c>
    </row>
    <row r="547" spans="2:2" hidden="1" x14ac:dyDescent="0.35">
      <c r="B547" t="str">
        <f>_xlfn.TEXTJOIN("; ",TRUE,Sheet1!C547:D547)</f>
        <v>Sajovic et al., 2018; BPTB vs. HT</v>
      </c>
    </row>
    <row r="548" spans="2:2" hidden="1" x14ac:dyDescent="0.35">
      <c r="B548" t="str">
        <f>_xlfn.TEXTJOIN("; ",TRUE,Sheet1!C548:D548)</f>
        <v>Sajovic et al., 2018; BPTB</v>
      </c>
    </row>
    <row r="549" spans="2:2" hidden="1" x14ac:dyDescent="0.35">
      <c r="B549" t="str">
        <f>_xlfn.TEXTJOIN("; ",TRUE,Sheet1!C549:D549)</f>
        <v>Sajovic et al., 2018; HT</v>
      </c>
    </row>
    <row r="550" spans="2:2" hidden="1" x14ac:dyDescent="0.35">
      <c r="B550" t="str">
        <f>_xlfn.TEXTJOIN("; ",TRUE,Sheet1!C550:D550)</f>
        <v>Sajovic et al., 2018; BPTB vs. HT</v>
      </c>
    </row>
    <row r="551" spans="2:2" hidden="1" x14ac:dyDescent="0.35">
      <c r="B551" t="str">
        <f>_xlfn.TEXTJOIN("; ",TRUE,Sheet1!C551:D551)</f>
        <v>Sajovic et al., 2018; BPTB</v>
      </c>
    </row>
    <row r="552" spans="2:2" hidden="1" x14ac:dyDescent="0.35">
      <c r="B552" t="str">
        <f>_xlfn.TEXTJOIN("; ",TRUE,Sheet1!C552:D552)</f>
        <v>Sajovic et al., 2018; HT</v>
      </c>
    </row>
    <row r="553" spans="2:2" hidden="1" x14ac:dyDescent="0.35">
      <c r="B553" t="str">
        <f>_xlfn.TEXTJOIN("; ",TRUE,Sheet1!C553:D553)</f>
        <v>Sajovic et al., 2018; BPTB vs. HT</v>
      </c>
    </row>
    <row r="554" spans="2:2" hidden="1" x14ac:dyDescent="0.35">
      <c r="B554" t="str">
        <f>_xlfn.TEXTJOIN("; ",TRUE,Sheet1!C554:D554)</f>
        <v>Sajovic et al., 2018; BPTB</v>
      </c>
    </row>
    <row r="555" spans="2:2" hidden="1" x14ac:dyDescent="0.35">
      <c r="B555" t="str">
        <f>_xlfn.TEXTJOIN("; ",TRUE,Sheet1!C555:D555)</f>
        <v>Sajovic et al., 2018; HT</v>
      </c>
    </row>
    <row r="556" spans="2:2" hidden="1" x14ac:dyDescent="0.35">
      <c r="B556" t="str">
        <f>_xlfn.TEXTJOIN("; ",TRUE,Sheet1!C556:D556)</f>
        <v>Sajovic et al., 2018; BPTB vs. HT</v>
      </c>
    </row>
    <row r="557" spans="2:2" hidden="1" x14ac:dyDescent="0.35">
      <c r="B557" t="str">
        <f>_xlfn.TEXTJOIN("; ",TRUE,Sheet1!C557:D557)</f>
        <v>Sinding et al., 2020; HT</v>
      </c>
    </row>
    <row r="558" spans="2:2" hidden="1" x14ac:dyDescent="0.35">
      <c r="B558" t="str">
        <f>_xlfn.TEXTJOIN("; ",TRUE,Sheet1!C558:D558)</f>
        <v>Sinding et al., 2020; QT</v>
      </c>
    </row>
    <row r="559" spans="2:2" hidden="1" x14ac:dyDescent="0.35">
      <c r="B559" t="str">
        <f>_xlfn.TEXTJOIN("; ",TRUE,Sheet1!C559:D559)</f>
        <v>Sinding et al., 2020; HT vs. QT</v>
      </c>
    </row>
    <row r="560" spans="2:2" hidden="1" x14ac:dyDescent="0.35">
      <c r="B560" t="str">
        <f>_xlfn.TEXTJOIN("; ",TRUE,Sheet1!C560:D560)</f>
        <v>Smith et al., 2020; BPTB</v>
      </c>
    </row>
    <row r="561" spans="2:2" hidden="1" x14ac:dyDescent="0.35">
      <c r="B561" t="str">
        <f>_xlfn.TEXTJOIN("; ",TRUE,Sheet1!C561:D561)</f>
        <v>Smith et al., 2020; HT</v>
      </c>
    </row>
    <row r="562" spans="2:2" hidden="1" x14ac:dyDescent="0.35">
      <c r="B562" t="str">
        <f>_xlfn.TEXTJOIN("; ",TRUE,Sheet1!C562:D562)</f>
        <v>Smith et al., 2020; BPTB vs. HT</v>
      </c>
    </row>
    <row r="563" spans="2:2" hidden="1" x14ac:dyDescent="0.35">
      <c r="B563" t="str">
        <f>_xlfn.TEXTJOIN("; ",TRUE,Sheet1!C563:D563)</f>
        <v>Smith et al., 2020; BPTB</v>
      </c>
    </row>
    <row r="564" spans="2:2" hidden="1" x14ac:dyDescent="0.35">
      <c r="B564" t="str">
        <f>_xlfn.TEXTJOIN("; ",TRUE,Sheet1!C564:D564)</f>
        <v>Smith et al., 2020; HT</v>
      </c>
    </row>
    <row r="565" spans="2:2" hidden="1" x14ac:dyDescent="0.35">
      <c r="B565" t="str">
        <f>_xlfn.TEXTJOIN("; ",TRUE,Sheet1!C565:D565)</f>
        <v>Smith et al., 2020; BPTB vs. HT</v>
      </c>
    </row>
    <row r="566" spans="2:2" hidden="1" x14ac:dyDescent="0.35">
      <c r="B566" t="str">
        <f>_xlfn.TEXTJOIN("; ",TRUE,Sheet1!C566:D566)</f>
        <v>Smith et al., 2020; BPTB</v>
      </c>
    </row>
    <row r="567" spans="2:2" hidden="1" x14ac:dyDescent="0.35">
      <c r="B567" t="str">
        <f>_xlfn.TEXTJOIN("; ",TRUE,Sheet1!C567:D567)</f>
        <v>Smith et al., 2020; HT</v>
      </c>
    </row>
    <row r="568" spans="2:2" hidden="1" x14ac:dyDescent="0.35">
      <c r="B568" t="str">
        <f>_xlfn.TEXTJOIN("; ",TRUE,Sheet1!C568:D568)</f>
        <v>Smith et al., 2020; BPTB vs. HT</v>
      </c>
    </row>
    <row r="569" spans="2:2" hidden="1" x14ac:dyDescent="0.35">
      <c r="B569" t="str">
        <f>_xlfn.TEXTJOIN("; ",TRUE,Sheet1!C569:D569)</f>
        <v>Sonnery-cottet et al., 2026; BPTB</v>
      </c>
    </row>
    <row r="570" spans="2:2" hidden="1" x14ac:dyDescent="0.35">
      <c r="B570" t="str">
        <f>_xlfn.TEXTJOIN("; ",TRUE,Sheet1!C570:D570)</f>
        <v>Sonnery-cottet et al., 2026; HT</v>
      </c>
    </row>
    <row r="571" spans="2:2" hidden="1" x14ac:dyDescent="0.35">
      <c r="B571" t="str">
        <f>_xlfn.TEXTJOIN("; ",TRUE,Sheet1!C571:D571)</f>
        <v>Sonnery-cottet et al., 2026; BPTB vs. HT</v>
      </c>
    </row>
    <row r="572" spans="2:2" hidden="1" x14ac:dyDescent="0.35">
      <c r="B572" t="str">
        <f>_xlfn.TEXTJOIN("; ",TRUE,Sheet1!C572:D572)</f>
        <v>Sonnery-cottet et al., 2026; BPTB</v>
      </c>
    </row>
    <row r="573" spans="2:2" hidden="1" x14ac:dyDescent="0.35">
      <c r="B573" t="str">
        <f>_xlfn.TEXTJOIN("; ",TRUE,Sheet1!C573:D573)</f>
        <v>Sonnery-cottet et al., 2026; HT</v>
      </c>
    </row>
    <row r="574" spans="2:2" hidden="1" x14ac:dyDescent="0.35">
      <c r="B574" t="str">
        <f>_xlfn.TEXTJOIN("; ",TRUE,Sheet1!C574:D574)</f>
        <v>Sonnery-cottet et al., 2026; BPTB vs. HT</v>
      </c>
    </row>
    <row r="575" spans="2:2" hidden="1" x14ac:dyDescent="0.35">
      <c r="B575" t="str">
        <f>_xlfn.TEXTJOIN("; ",TRUE,Sheet1!C575:D575)</f>
        <v>Sonnery-cottet et al., 2026; BPTB</v>
      </c>
    </row>
    <row r="576" spans="2:2" hidden="1" x14ac:dyDescent="0.35">
      <c r="B576" t="str">
        <f>_xlfn.TEXTJOIN("; ",TRUE,Sheet1!C576:D576)</f>
        <v>Sonnery-cottet et al., 2026; HT</v>
      </c>
    </row>
    <row r="577" spans="2:2" hidden="1" x14ac:dyDescent="0.35">
      <c r="B577" t="str">
        <f>_xlfn.TEXTJOIN("; ",TRUE,Sheet1!C577:D577)</f>
        <v>Sonnery-cottet et al., 2026; BPTB vs. HT</v>
      </c>
    </row>
    <row r="578" spans="2:2" hidden="1" x14ac:dyDescent="0.35">
      <c r="B578" t="str">
        <f>_xlfn.TEXTJOIN("; ",TRUE,Sheet1!C578:D578)</f>
        <v>Sonnery-cottet et al., 2026; BPTB</v>
      </c>
    </row>
    <row r="579" spans="2:2" hidden="1" x14ac:dyDescent="0.35">
      <c r="B579" t="str">
        <f>_xlfn.TEXTJOIN("; ",TRUE,Sheet1!C579:D579)</f>
        <v>Sonnery-cottet et al., 2026; HT</v>
      </c>
    </row>
    <row r="580" spans="2:2" hidden="1" x14ac:dyDescent="0.35">
      <c r="B580" t="str">
        <f>_xlfn.TEXTJOIN("; ",TRUE,Sheet1!C580:D580)</f>
        <v>Sonnery-cottet et al., 2026; BPTB vs. HT</v>
      </c>
    </row>
    <row r="581" spans="2:2" hidden="1" x14ac:dyDescent="0.35">
      <c r="B581" t="str">
        <f>_xlfn.TEXTJOIN("; ",TRUE,Sheet1!C581:D581)</f>
        <v>Sonnery-cottet et al., 2026; BPTB</v>
      </c>
    </row>
    <row r="582" spans="2:2" hidden="1" x14ac:dyDescent="0.35">
      <c r="B582" t="str">
        <f>_xlfn.TEXTJOIN("; ",TRUE,Sheet1!C582:D582)</f>
        <v>Sonnery-cottet et al., 2026; HT</v>
      </c>
    </row>
    <row r="583" spans="2:2" hidden="1" x14ac:dyDescent="0.35">
      <c r="B583" t="str">
        <f>_xlfn.TEXTJOIN("; ",TRUE,Sheet1!C583:D583)</f>
        <v>Sonnery-cottet et al., 2026; BPTB vs. HT</v>
      </c>
    </row>
    <row r="584" spans="2:2" hidden="1" x14ac:dyDescent="0.35">
      <c r="B584" t="str">
        <f>_xlfn.TEXTJOIN("; ",TRUE,Sheet1!C584:D584)</f>
        <v>Tang et al., 2023; HT</v>
      </c>
    </row>
    <row r="585" spans="2:2" hidden="1" x14ac:dyDescent="0.35">
      <c r="B585" t="str">
        <f>_xlfn.TEXTJOIN("; ",TRUE,Sheet1!C585:D585)</f>
        <v>Tang et al., 2023; QT</v>
      </c>
    </row>
    <row r="586" spans="2:2" hidden="1" x14ac:dyDescent="0.35">
      <c r="B586" t="str">
        <f>_xlfn.TEXTJOIN("; ",TRUE,Sheet1!C586:D586)</f>
        <v>Tang et al., 2023; HT vs. QT</v>
      </c>
    </row>
    <row r="587" spans="2:2" hidden="1" x14ac:dyDescent="0.35">
      <c r="B587" t="str">
        <f>_xlfn.TEXTJOIN("; ",TRUE,Sheet1!C587:D587)</f>
        <v>Tang et al., 2023; HT</v>
      </c>
    </row>
    <row r="588" spans="2:2" hidden="1" x14ac:dyDescent="0.35">
      <c r="B588" t="str">
        <f>_xlfn.TEXTJOIN("; ",TRUE,Sheet1!C588:D588)</f>
        <v>Tang et al., 2023; QT</v>
      </c>
    </row>
    <row r="589" spans="2:2" hidden="1" x14ac:dyDescent="0.35">
      <c r="B589" t="str">
        <f>_xlfn.TEXTJOIN("; ",TRUE,Sheet1!C589:D589)</f>
        <v>Tang et al., 2023; HT vs. QT</v>
      </c>
    </row>
    <row r="590" spans="2:2" hidden="1" x14ac:dyDescent="0.35">
      <c r="B590" t="str">
        <f>_xlfn.TEXTJOIN("; ",TRUE,Sheet1!C590:D590)</f>
        <v>Taylor et al., 2009; BPTB</v>
      </c>
    </row>
    <row r="591" spans="2:2" hidden="1" x14ac:dyDescent="0.35">
      <c r="B591" t="str">
        <f>_xlfn.TEXTJOIN("; ",TRUE,Sheet1!C591:D591)</f>
        <v>Taylor et al., 2009; HT</v>
      </c>
    </row>
    <row r="592" spans="2:2" hidden="1" x14ac:dyDescent="0.35">
      <c r="B592" t="str">
        <f>_xlfn.TEXTJOIN("; ",TRUE,Sheet1!C592:D592)</f>
        <v>Taylor et al., 2009; BPTB vs. HT</v>
      </c>
    </row>
    <row r="593" spans="2:2" hidden="1" x14ac:dyDescent="0.35">
      <c r="B593" t="str">
        <f>_xlfn.TEXTJOIN("; ",TRUE,Sheet1!C593:D593)</f>
        <v>Taylor et al., 2009; BPTB</v>
      </c>
    </row>
    <row r="594" spans="2:2" hidden="1" x14ac:dyDescent="0.35">
      <c r="B594" t="str">
        <f>_xlfn.TEXTJOIN("; ",TRUE,Sheet1!C594:D594)</f>
        <v>Taylor et al., 2009; HT</v>
      </c>
    </row>
    <row r="595" spans="2:2" hidden="1" x14ac:dyDescent="0.35">
      <c r="B595" t="str">
        <f>_xlfn.TEXTJOIN("; ",TRUE,Sheet1!C595:D595)</f>
        <v>Taylor et al., 2009; BPTB vs. HT</v>
      </c>
    </row>
    <row r="596" spans="2:2" hidden="1" x14ac:dyDescent="0.35">
      <c r="B596" t="str">
        <f>_xlfn.TEXTJOIN("; ",TRUE,Sheet1!C596:D596)</f>
        <v>Taylor et al., 2009; BPTB</v>
      </c>
    </row>
    <row r="597" spans="2:2" hidden="1" x14ac:dyDescent="0.35">
      <c r="B597" t="str">
        <f>_xlfn.TEXTJOIN("; ",TRUE,Sheet1!C597:D597)</f>
        <v>Taylor et al., 2009; HT</v>
      </c>
    </row>
    <row r="598" spans="2:2" hidden="1" x14ac:dyDescent="0.35">
      <c r="B598" t="str">
        <f>_xlfn.TEXTJOIN("; ",TRUE,Sheet1!C598:D598)</f>
        <v>Taylor et al., 2009; BPTB vs. HT</v>
      </c>
    </row>
    <row r="599" spans="2:2" hidden="1" x14ac:dyDescent="0.35">
      <c r="B599" t="str">
        <f>_xlfn.TEXTJOIN("; ",TRUE,Sheet1!C599:D599)</f>
        <v>Vilchez-Cavazos et al., 2020; HT</v>
      </c>
    </row>
    <row r="600" spans="2:2" hidden="1" x14ac:dyDescent="0.35">
      <c r="B600" t="str">
        <f>_xlfn.TEXTJOIN("; ",TRUE,Sheet1!C600:D600)</f>
        <v>Vilchez-Cavazos et al., 2020; QT</v>
      </c>
    </row>
    <row r="601" spans="2:2" hidden="1" x14ac:dyDescent="0.35">
      <c r="B601" t="str">
        <f>_xlfn.TEXTJOIN("; ",TRUE,Sheet1!C601:D601)</f>
        <v>Vilchez-Cavazos et al., 2020; HT vs. QT</v>
      </c>
    </row>
    <row r="602" spans="2:2" hidden="1" x14ac:dyDescent="0.35">
      <c r="B602" t="str">
        <f>_xlfn.TEXTJOIN("; ",TRUE,Sheet1!C602:D602)</f>
        <v>Vilchez-cavazos et al., 2020; BPTB</v>
      </c>
    </row>
    <row r="603" spans="2:2" hidden="1" x14ac:dyDescent="0.35">
      <c r="B603" t="str">
        <f>_xlfn.TEXTJOIN("; ",TRUE,Sheet1!C603:D603)</f>
        <v>Vilchez-cavazos et al., 2020; QT</v>
      </c>
    </row>
    <row r="604" spans="2:2" hidden="1" x14ac:dyDescent="0.35">
      <c r="B604" t="str">
        <f>_xlfn.TEXTJOIN("; ",TRUE,Sheet1!C604:D604)</f>
        <v>Vilchez-cavazos et al., 2020; BPTB vs. QT</v>
      </c>
    </row>
    <row r="605" spans="2:2" hidden="1" x14ac:dyDescent="0.35">
      <c r="B605" t="str">
        <f>_xlfn.TEXTJOIN("; ",TRUE,Sheet1!C605:D605)</f>
        <v>Webster et al., 2001; BPTB</v>
      </c>
    </row>
    <row r="606" spans="2:2" hidden="1" x14ac:dyDescent="0.35">
      <c r="B606" t="str">
        <f>_xlfn.TEXTJOIN("; ",TRUE,Sheet1!C606:D606)</f>
        <v>Webster et al., 2001; HT</v>
      </c>
    </row>
    <row r="607" spans="2:2" hidden="1" x14ac:dyDescent="0.35">
      <c r="B607" t="str">
        <f>_xlfn.TEXTJOIN("; ",TRUE,Sheet1!C607:D607)</f>
        <v>Webster et al., 2001; BPTB vs. HT</v>
      </c>
    </row>
    <row r="608" spans="2:2" hidden="1" x14ac:dyDescent="0.35">
      <c r="B608" t="str">
        <f>_xlfn.TEXTJOIN("; ",TRUE,Sheet1!C608:D608)</f>
        <v>Wipfler et al., 2011; BPTB</v>
      </c>
    </row>
    <row r="609" spans="2:2" hidden="1" x14ac:dyDescent="0.35">
      <c r="B609" t="str">
        <f>_xlfn.TEXTJOIN("; ",TRUE,Sheet1!C609:D609)</f>
        <v>Wipfler et al., 2011; HT</v>
      </c>
    </row>
    <row r="610" spans="2:2" hidden="1" x14ac:dyDescent="0.35">
      <c r="B610" t="str">
        <f>_xlfn.TEXTJOIN("; ",TRUE,Sheet1!C610:D610)</f>
        <v>Wipfler et al., 2011; BPTB vs. HT</v>
      </c>
    </row>
    <row r="611" spans="2:2" hidden="1" x14ac:dyDescent="0.35">
      <c r="B611" t="str">
        <f>_xlfn.TEXTJOIN("; ",TRUE,Sheet1!C611:D611)</f>
        <v>Wipfler et al., 2011; BPTB</v>
      </c>
    </row>
    <row r="612" spans="2:2" hidden="1" x14ac:dyDescent="0.35">
      <c r="B612" t="str">
        <f>_xlfn.TEXTJOIN("; ",TRUE,Sheet1!C612:D612)</f>
        <v>Wipfler et al., 2011; HT</v>
      </c>
    </row>
    <row r="613" spans="2:2" hidden="1" x14ac:dyDescent="0.35">
      <c r="B613" t="str">
        <f>_xlfn.TEXTJOIN("; ",TRUE,Sheet1!C613:D613)</f>
        <v>Wipfler et al., 2011; BPTB vs. HT</v>
      </c>
    </row>
    <row r="614" spans="2:2" hidden="1" x14ac:dyDescent="0.35">
      <c r="B614" t="str">
        <f>_xlfn.TEXTJOIN("; ",TRUE,Sheet1!C614:D614)</f>
        <v>Wipfler et al., 2011; BPTB</v>
      </c>
    </row>
    <row r="615" spans="2:2" hidden="1" x14ac:dyDescent="0.35">
      <c r="B615" t="str">
        <f>_xlfn.TEXTJOIN("; ",TRUE,Sheet1!C615:D615)</f>
        <v>Wipfler et al., 2011; HT</v>
      </c>
    </row>
    <row r="616" spans="2:2" hidden="1" x14ac:dyDescent="0.35">
      <c r="B616" t="str">
        <f>_xlfn.TEXTJOIN("; ",TRUE,Sheet1!C616:D616)</f>
        <v>Wipfler et al., 2011; BPTB vs. HT</v>
      </c>
    </row>
    <row r="617" spans="2:2" hidden="1" x14ac:dyDescent="0.35">
      <c r="B617" t="str">
        <f>_xlfn.TEXTJOIN("; ",TRUE,Sheet1!C617:D617)</f>
        <v>Wipfler et al., 2011; BPTB</v>
      </c>
    </row>
    <row r="618" spans="2:2" hidden="1" x14ac:dyDescent="0.35">
      <c r="B618" t="str">
        <f>_xlfn.TEXTJOIN("; ",TRUE,Sheet1!C618:D618)</f>
        <v>Wipfler et al., 2011; HT</v>
      </c>
    </row>
    <row r="619" spans="2:2" hidden="1" x14ac:dyDescent="0.35">
      <c r="B619" t="str">
        <f>_xlfn.TEXTJOIN("; ",TRUE,Sheet1!C619:D619)</f>
        <v>Wipfler et al., 2011; BPTB vs. HT</v>
      </c>
    </row>
    <row r="620" spans="2:2" hidden="1" x14ac:dyDescent="0.35">
      <c r="B620" t="str">
        <f>_xlfn.TEXTJOIN("; ",TRUE,Sheet1!C620:D620)</f>
        <v>Wipfler et al., 2011; BPTB</v>
      </c>
    </row>
    <row r="621" spans="2:2" hidden="1" x14ac:dyDescent="0.35">
      <c r="B621" t="str">
        <f>_xlfn.TEXTJOIN("; ",TRUE,Sheet1!C621:D621)</f>
        <v>Wipfler et al., 2011; HT</v>
      </c>
    </row>
    <row r="622" spans="2:2" hidden="1" x14ac:dyDescent="0.35">
      <c r="B622" t="str">
        <f>_xlfn.TEXTJOIN("; ",TRUE,Sheet1!C622:D622)</f>
        <v>Wipfler et al., 2011; BPTB vs. HT</v>
      </c>
    </row>
    <row r="623" spans="2:2" hidden="1" x14ac:dyDescent="0.35">
      <c r="B623" t="str">
        <f>_xlfn.TEXTJOIN("; ",TRUE,Sheet1!C623:D623)</f>
        <v>Yadav et al., 2025; HT</v>
      </c>
    </row>
    <row r="624" spans="2:2" hidden="1" x14ac:dyDescent="0.35">
      <c r="B624" t="str">
        <f>_xlfn.TEXTJOIN("; ",TRUE,Sheet1!C624:D624)</f>
        <v>Yadav et al., 2025; QT</v>
      </c>
    </row>
    <row r="625" spans="2:2" hidden="1" x14ac:dyDescent="0.35">
      <c r="B625" t="str">
        <f>_xlfn.TEXTJOIN("; ",TRUE,Sheet1!C625:D625)</f>
        <v>Yadav et al., 2025; HT vs. QT</v>
      </c>
    </row>
    <row r="626" spans="2:2" hidden="1" x14ac:dyDescent="0.35">
      <c r="B626" t="str">
        <f>_xlfn.TEXTJOIN("; ",TRUE,Sheet1!C626:D626)</f>
        <v>Yadav et al., 2025; HT</v>
      </c>
    </row>
    <row r="627" spans="2:2" hidden="1" x14ac:dyDescent="0.35">
      <c r="B627" t="str">
        <f>_xlfn.TEXTJOIN("; ",TRUE,Sheet1!C627:D627)</f>
        <v>Yadav et al., 2025; QT</v>
      </c>
    </row>
    <row r="628" spans="2:2" hidden="1" x14ac:dyDescent="0.35">
      <c r="B628" t="str">
        <f>_xlfn.TEXTJOIN("; ",TRUE,Sheet1!C628:D628)</f>
        <v>Yadav et al., 2025; HT vs. QT</v>
      </c>
    </row>
    <row r="629" spans="2:2" hidden="1" x14ac:dyDescent="0.35">
      <c r="B629" t="str">
        <f>_xlfn.TEXTJOIN("; ",TRUE,Sheet1!C629:D629)</f>
        <v>Yadav et al., 2025; HT</v>
      </c>
    </row>
    <row r="630" spans="2:2" hidden="1" x14ac:dyDescent="0.35">
      <c r="B630" t="str">
        <f>_xlfn.TEXTJOIN("; ",TRUE,Sheet1!C630:D630)</f>
        <v>Yadav et al., 2025; QT</v>
      </c>
    </row>
    <row r="631" spans="2:2" hidden="1" x14ac:dyDescent="0.35">
      <c r="B631" t="str">
        <f>_xlfn.TEXTJOIN("; ",TRUE,Sheet1!C631:D631)</f>
        <v>Yadav et al., 2025; HT vs. QT</v>
      </c>
    </row>
    <row r="632" spans="2:2" hidden="1" x14ac:dyDescent="0.35">
      <c r="B632" t="str">
        <f>_xlfn.TEXTJOIN("; ",TRUE,Sheet1!C632:D632)</f>
        <v>Yadav et al., 2025; HT</v>
      </c>
    </row>
    <row r="633" spans="2:2" hidden="1" x14ac:dyDescent="0.35">
      <c r="B633" t="str">
        <f>_xlfn.TEXTJOIN("; ",TRUE,Sheet1!C633:D633)</f>
        <v>Yadav et al., 2025; QT</v>
      </c>
    </row>
    <row r="634" spans="2:2" hidden="1" x14ac:dyDescent="0.35">
      <c r="B634" t="str">
        <f>_xlfn.TEXTJOIN("; ",TRUE,Sheet1!C634:D634)</f>
        <v>Yadav et al., 2025; HT vs. QT</v>
      </c>
    </row>
    <row r="635" spans="2:2" hidden="1" x14ac:dyDescent="0.35">
      <c r="B635" t="str">
        <f>_xlfn.TEXTJOIN("; ",TRUE,Sheet1!C635:D635)</f>
        <v>Yadav et al., 2025; HT</v>
      </c>
    </row>
    <row r="636" spans="2:2" hidden="1" x14ac:dyDescent="0.35">
      <c r="B636" t="str">
        <f>_xlfn.TEXTJOIN("; ",TRUE,Sheet1!C636:D636)</f>
        <v>Yadav et al., 2025; QT</v>
      </c>
    </row>
    <row r="637" spans="2:2" hidden="1" x14ac:dyDescent="0.35">
      <c r="B637" t="str">
        <f>_xlfn.TEXTJOIN("; ",TRUE,Sheet1!C637:D637)</f>
        <v>Yadav et al., 2025; HT vs. QT</v>
      </c>
    </row>
    <row r="638" spans="2:2" hidden="1" x14ac:dyDescent="0.35">
      <c r="B638" t="str">
        <f>_xlfn.TEXTJOIN("; ",TRUE,Sheet1!C638:D638)</f>
        <v>Yoo et al., 2017; HT</v>
      </c>
    </row>
    <row r="639" spans="2:2" hidden="1" x14ac:dyDescent="0.35">
      <c r="B639" t="str">
        <f>_xlfn.TEXTJOIN("; ",TRUE,Sheet1!C639:D639)</f>
        <v>Yoo et al., 2017; TA</v>
      </c>
    </row>
    <row r="640" spans="2:2" hidden="1" x14ac:dyDescent="0.35">
      <c r="B640" t="str">
        <f>_xlfn.TEXTJOIN("; ",TRUE,Sheet1!C640:D640)</f>
        <v>Yoo et al., 2017; HT vs. TA</v>
      </c>
    </row>
    <row r="641" spans="2:2" hidden="1" x14ac:dyDescent="0.35">
      <c r="B641" t="str">
        <f>_xlfn.TEXTJOIN("; ",TRUE,Sheet1!C641:D641)</f>
        <v>Yoo et al., 2017; HT</v>
      </c>
    </row>
    <row r="642" spans="2:2" hidden="1" x14ac:dyDescent="0.35">
      <c r="B642" t="str">
        <f>_xlfn.TEXTJOIN("; ",TRUE,Sheet1!C642:D642)</f>
        <v>Yoo et al., 2017; TA</v>
      </c>
    </row>
    <row r="643" spans="2:2" hidden="1" x14ac:dyDescent="0.35">
      <c r="B643" t="str">
        <f>_xlfn.TEXTJOIN("; ",TRUE,Sheet1!C643:D643)</f>
        <v>Yoo et al., 2017; HT vs. TA</v>
      </c>
    </row>
    <row r="644" spans="2:2" hidden="1" x14ac:dyDescent="0.35">
      <c r="B644" t="str">
        <f>_xlfn.TEXTJOIN("; ",TRUE,Sheet1!C644:D644)</f>
        <v>Yoo et al., 2017; HT</v>
      </c>
    </row>
    <row r="645" spans="2:2" hidden="1" x14ac:dyDescent="0.35">
      <c r="B645" t="str">
        <f>_xlfn.TEXTJOIN("; ",TRUE,Sheet1!C645:D645)</f>
        <v>Yoo et al., 2017; TA</v>
      </c>
    </row>
    <row r="646" spans="2:2" hidden="1" x14ac:dyDescent="0.35">
      <c r="B646" t="str">
        <f>_xlfn.TEXTJOIN("; ",TRUE,Sheet1!C646:D646)</f>
        <v>Yoo et al., 2017; HT vs. TA</v>
      </c>
    </row>
    <row r="647" spans="2:2" hidden="1" x14ac:dyDescent="0.35">
      <c r="B647" t="str">
        <f>_xlfn.TEXTJOIN("; ",TRUE,Sheet1!C647:D647)</f>
        <v>Yoo et al., 2017; HT</v>
      </c>
    </row>
    <row r="648" spans="2:2" hidden="1" x14ac:dyDescent="0.35">
      <c r="B648" t="str">
        <f>_xlfn.TEXTJOIN("; ",TRUE,Sheet1!C648:D648)</f>
        <v>Yoo et al., 2017; TA</v>
      </c>
    </row>
    <row r="649" spans="2:2" hidden="1" x14ac:dyDescent="0.35">
      <c r="B649" t="str">
        <f>_xlfn.TEXTJOIN("; ",TRUE,Sheet1!C649:D649)</f>
        <v>Yoo et al., 2017; HT vs. TA</v>
      </c>
    </row>
    <row r="650" spans="2:2" hidden="1" x14ac:dyDescent="0.35">
      <c r="B650" t="str">
        <f>_xlfn.TEXTJOIN("; ",TRUE,Sheet1!C650:D650)</f>
        <v>Yoo et al., 2017; HT</v>
      </c>
    </row>
    <row r="651" spans="2:2" hidden="1" x14ac:dyDescent="0.35">
      <c r="B651" t="str">
        <f>_xlfn.TEXTJOIN("; ",TRUE,Sheet1!C651:D651)</f>
        <v>Yoo et al., 2017; TA</v>
      </c>
    </row>
    <row r="652" spans="2:2" hidden="1" x14ac:dyDescent="0.35">
      <c r="B652" t="str">
        <f>_xlfn.TEXTJOIN("; ",TRUE,Sheet1!C652:D652)</f>
        <v>Yoo et al., 2017; HT vs. TA</v>
      </c>
    </row>
    <row r="653" spans="2:2" hidden="1" x14ac:dyDescent="0.35">
      <c r="B653" t="str">
        <f>_xlfn.TEXTJOIN("; ",TRUE,Sheet1!C653:D653)</f>
        <v>Yoo et al., 2017; HT</v>
      </c>
    </row>
    <row r="654" spans="2:2" hidden="1" x14ac:dyDescent="0.35">
      <c r="B654" t="str">
        <f>_xlfn.TEXTJOIN("; ",TRUE,Sheet1!C654:D654)</f>
        <v>Yoo et al., 2017; TA</v>
      </c>
    </row>
    <row r="655" spans="2:2" hidden="1" x14ac:dyDescent="0.35">
      <c r="B655" t="str">
        <f>_xlfn.TEXTJOIN("; ",TRUE,Sheet1!C655:D655)</f>
        <v>Yoo et al., 2017; HT vs. TA</v>
      </c>
    </row>
    <row r="656" spans="2:2" hidden="1" x14ac:dyDescent="0.35">
      <c r="B656" t="str">
        <f>_xlfn.TEXTJOIN("; ",TRUE,Sheet1!C656:D656)</f>
        <v>Zaffagnini et al., 2011; BPTB</v>
      </c>
    </row>
    <row r="657" spans="2:2" hidden="1" x14ac:dyDescent="0.35">
      <c r="B657" t="str">
        <f>_xlfn.TEXTJOIN("; ",TRUE,Sheet1!C657:D657)</f>
        <v>Zaffagnini et al., 2011; HT</v>
      </c>
    </row>
    <row r="658" spans="2:2" hidden="1" x14ac:dyDescent="0.35">
      <c r="B658" t="str">
        <f>_xlfn.TEXTJOIN("; ",TRUE,Sheet1!C658:D658)</f>
        <v>Zaffagnini et al., 2011; BPTB vs. HT</v>
      </c>
    </row>
    <row r="659" spans="2:2" hidden="1" x14ac:dyDescent="0.35">
      <c r="B659" t="str">
        <f>_xlfn.TEXTJOIN("; ",TRUE,Sheet1!C659:D659)</f>
        <v>Zaffagnini et al., 2011; BPTB</v>
      </c>
    </row>
    <row r="660" spans="2:2" hidden="1" x14ac:dyDescent="0.35">
      <c r="B660" t="str">
        <f>_xlfn.TEXTJOIN("; ",TRUE,Sheet1!C660:D660)</f>
        <v>Zaffagnini et al., 2011; HT</v>
      </c>
    </row>
    <row r="661" spans="2:2" hidden="1" x14ac:dyDescent="0.35">
      <c r="B661" t="str">
        <f>_xlfn.TEXTJOIN("; ",TRUE,Sheet1!C661:D661)</f>
        <v>Zaffagnini et al., 2011; BPTB vs. HT</v>
      </c>
    </row>
  </sheetData>
  <autoFilter ref="D1:E661" xr:uid="{AE953D26-E643-4926-A5C2-D46386068D7F}">
    <filterColumn colId="1">
      <filters>
        <filter val="BPTB vs. QT"/>
        <filter val="HT vs. QT"/>
      </filters>
    </filterColumn>
    <sortState xmlns:xlrd2="http://schemas.microsoft.com/office/spreadsheetml/2017/richdata2" ref="D2:E661">
      <sortCondition ref="E1:E17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81BD-89CD-4D1C-A914-D6EC6E085298}">
  <dimension ref="A1:J162"/>
  <sheetViews>
    <sheetView workbookViewId="0">
      <selection activeCell="K3" sqref="K3"/>
    </sheetView>
  </sheetViews>
  <sheetFormatPr defaultRowHeight="14.5" x14ac:dyDescent="0.35"/>
  <cols>
    <col min="5" max="5" width="13.6328125" bestFit="1" customWidth="1"/>
  </cols>
  <sheetData>
    <row r="1" spans="1:10" ht="15" thickBot="1" x14ac:dyDescent="0.4">
      <c r="A1" s="1" t="s">
        <v>87</v>
      </c>
      <c r="B1" s="2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10" x14ac:dyDescent="0.35">
      <c r="A2" s="3">
        <v>1</v>
      </c>
      <c r="B2" s="4" t="s">
        <v>7</v>
      </c>
      <c r="C2" s="3" t="s">
        <v>9</v>
      </c>
      <c r="D2" s="3">
        <v>36</v>
      </c>
      <c r="E2" s="3">
        <v>0.74399999999999999</v>
      </c>
      <c r="F2" s="3">
        <v>0.34699999999999998</v>
      </c>
      <c r="G2">
        <f>1.96*F2</f>
        <v>0.68011999999999995</v>
      </c>
      <c r="H2" t="str">
        <f>TEXT(E2-G2,"#0.00")</f>
        <v>0.06</v>
      </c>
      <c r="I2" t="str">
        <f>TEXT(E2+G2,"0.00")</f>
        <v>1.42</v>
      </c>
      <c r="J2" t="str">
        <f>E2&amp;" ["&amp;H2&amp;", "&amp;I2&amp;"]"</f>
        <v>0.744 [0.06, 1.42]</v>
      </c>
    </row>
    <row r="3" spans="1:10" x14ac:dyDescent="0.35">
      <c r="A3" s="3">
        <v>2</v>
      </c>
      <c r="B3" s="6" t="s">
        <v>12</v>
      </c>
      <c r="C3" s="3" t="s">
        <v>13</v>
      </c>
      <c r="D3" s="3">
        <v>120</v>
      </c>
      <c r="E3" s="3">
        <v>0.20899999999999999</v>
      </c>
      <c r="F3" s="3">
        <v>0.183</v>
      </c>
      <c r="G3">
        <f t="shared" ref="G3:G8" si="0">1.96*F3</f>
        <v>0.35868</v>
      </c>
      <c r="H3" t="str">
        <f t="shared" ref="H3:H66" si="1">TEXT(E3-G3,"#0.00")</f>
        <v>-0.15</v>
      </c>
      <c r="I3" t="str">
        <f t="shared" ref="I3:I66" si="2">TEXT(E3+G3,"0.00")</f>
        <v>0.57</v>
      </c>
      <c r="J3" t="str">
        <f t="shared" ref="J3:J8" si="3">E3&amp;" ["&amp;H3&amp;", "&amp;I3&amp;"]"</f>
        <v>0.209 [-0.15, 0.57]</v>
      </c>
    </row>
    <row r="4" spans="1:10" x14ac:dyDescent="0.35">
      <c r="A4" s="3">
        <v>2</v>
      </c>
      <c r="B4" s="6"/>
      <c r="C4" s="3" t="s">
        <v>17</v>
      </c>
      <c r="D4" s="3">
        <v>121</v>
      </c>
      <c r="E4" s="3">
        <v>1</v>
      </c>
      <c r="F4" s="3">
        <v>2.0083160439999999</v>
      </c>
      <c r="G4">
        <f t="shared" si="0"/>
        <v>3.9362994462399996</v>
      </c>
      <c r="H4" t="str">
        <f t="shared" si="1"/>
        <v>-2.94</v>
      </c>
      <c r="I4" t="str">
        <f t="shared" si="2"/>
        <v>4.94</v>
      </c>
      <c r="J4" t="str">
        <f t="shared" si="3"/>
        <v>1 [-2.94, 4.94]</v>
      </c>
    </row>
    <row r="5" spans="1:10" x14ac:dyDescent="0.35">
      <c r="A5" s="3">
        <v>2</v>
      </c>
      <c r="B5" s="6"/>
      <c r="C5" s="3" t="s">
        <v>15</v>
      </c>
      <c r="D5" s="3">
        <v>121</v>
      </c>
      <c r="E5" s="3">
        <v>1</v>
      </c>
      <c r="F5" s="3">
        <v>2.0083160439999999</v>
      </c>
      <c r="G5">
        <f t="shared" si="0"/>
        <v>3.9362994462399996</v>
      </c>
      <c r="H5" t="str">
        <f t="shared" si="1"/>
        <v>-2.94</v>
      </c>
      <c r="I5" t="str">
        <f t="shared" si="2"/>
        <v>4.94</v>
      </c>
      <c r="J5" t="str">
        <f t="shared" si="3"/>
        <v>1 [-2.94, 4.94]</v>
      </c>
    </row>
    <row r="6" spans="1:10" x14ac:dyDescent="0.35">
      <c r="A6" s="3">
        <v>2</v>
      </c>
      <c r="B6" s="6"/>
      <c r="C6" s="3" t="s">
        <v>16</v>
      </c>
      <c r="D6" s="3">
        <v>121</v>
      </c>
      <c r="E6" s="3">
        <v>0.89500000000000002</v>
      </c>
      <c r="F6" s="3">
        <v>0.47180799099999998</v>
      </c>
      <c r="G6">
        <f t="shared" si="0"/>
        <v>0.92474366235999994</v>
      </c>
      <c r="H6" t="str">
        <f t="shared" si="1"/>
        <v>-0.03</v>
      </c>
      <c r="I6" t="str">
        <f t="shared" si="2"/>
        <v>1.82</v>
      </c>
      <c r="J6" t="str">
        <f t="shared" si="3"/>
        <v>0.895 [-0.03, 1.82]</v>
      </c>
    </row>
    <row r="7" spans="1:10" x14ac:dyDescent="0.35">
      <c r="A7" s="3">
        <v>2</v>
      </c>
      <c r="B7" s="6"/>
      <c r="C7" s="3" t="s">
        <v>14</v>
      </c>
      <c r="D7" s="3">
        <v>121</v>
      </c>
      <c r="E7" s="3">
        <v>1</v>
      </c>
      <c r="F7" s="3">
        <v>2.0083160439999999</v>
      </c>
      <c r="G7">
        <f t="shared" si="0"/>
        <v>3.9362994462399996</v>
      </c>
      <c r="H7" t="str">
        <f t="shared" si="1"/>
        <v>-2.94</v>
      </c>
      <c r="I7" t="str">
        <f t="shared" si="2"/>
        <v>4.94</v>
      </c>
      <c r="J7" t="str">
        <f t="shared" si="3"/>
        <v>1 [-2.94, 4.94]</v>
      </c>
    </row>
    <row r="8" spans="1:10" x14ac:dyDescent="0.35">
      <c r="A8" s="3">
        <v>3</v>
      </c>
      <c r="B8" s="6" t="s">
        <v>18</v>
      </c>
      <c r="C8" s="3" t="s">
        <v>13</v>
      </c>
      <c r="D8" s="3">
        <v>47</v>
      </c>
      <c r="E8" s="3">
        <v>0.40100000000000002</v>
      </c>
      <c r="F8" s="3">
        <v>0.29499999999999998</v>
      </c>
      <c r="G8">
        <f t="shared" si="0"/>
        <v>0.57819999999999994</v>
      </c>
      <c r="H8" t="str">
        <f t="shared" si="1"/>
        <v>-0.18</v>
      </c>
      <c r="I8" t="str">
        <f t="shared" si="2"/>
        <v>0.98</v>
      </c>
      <c r="J8" t="str">
        <f t="shared" si="3"/>
        <v>0.401 [-0.18, 0.98]</v>
      </c>
    </row>
    <row r="9" spans="1:10" x14ac:dyDescent="0.35">
      <c r="A9" s="3">
        <v>3</v>
      </c>
      <c r="B9" s="6"/>
      <c r="C9" s="3" t="s">
        <v>19</v>
      </c>
      <c r="D9" s="3">
        <v>47</v>
      </c>
      <c r="E9" s="3">
        <v>8.4000000000000005E-2</v>
      </c>
      <c r="F9" s="3">
        <v>0.29199999999999998</v>
      </c>
      <c r="G9">
        <f t="shared" ref="G9:G72" si="4">1.96*F9</f>
        <v>0.57231999999999994</v>
      </c>
      <c r="H9" t="str">
        <f t="shared" si="1"/>
        <v>-0.49</v>
      </c>
      <c r="I9" t="str">
        <f t="shared" si="2"/>
        <v>0.66</v>
      </c>
      <c r="J9" t="str">
        <f t="shared" ref="J9:J72" si="5">E9&amp;" ["&amp;H9&amp;", "&amp;I9&amp;"]"</f>
        <v>0.084 [-0.49, 0.66]</v>
      </c>
    </row>
    <row r="10" spans="1:10" x14ac:dyDescent="0.35">
      <c r="A10" s="3">
        <v>3</v>
      </c>
      <c r="B10" s="6"/>
      <c r="C10" s="3" t="s">
        <v>9</v>
      </c>
      <c r="D10" s="3">
        <v>47</v>
      </c>
      <c r="E10" s="3">
        <v>5.0000000000000001E-3</v>
      </c>
      <c r="F10" s="3">
        <v>0.29199999999999998</v>
      </c>
      <c r="G10">
        <f t="shared" si="4"/>
        <v>0.57231999999999994</v>
      </c>
      <c r="H10" t="str">
        <f t="shared" si="1"/>
        <v>-0.57</v>
      </c>
      <c r="I10" t="str">
        <f t="shared" si="2"/>
        <v>0.58</v>
      </c>
      <c r="J10" t="str">
        <f t="shared" si="5"/>
        <v>0.005 [-0.57, 0.58]</v>
      </c>
    </row>
    <row r="11" spans="1:10" x14ac:dyDescent="0.35">
      <c r="A11" s="3">
        <v>5</v>
      </c>
      <c r="B11" s="6" t="s">
        <v>20</v>
      </c>
      <c r="C11" s="3" t="s">
        <v>13</v>
      </c>
      <c r="D11" s="3">
        <v>68</v>
      </c>
      <c r="E11" s="3">
        <v>0.46500000000000002</v>
      </c>
      <c r="F11" s="3">
        <v>0.246</v>
      </c>
      <c r="G11">
        <f t="shared" si="4"/>
        <v>0.48215999999999998</v>
      </c>
      <c r="H11" t="str">
        <f t="shared" si="1"/>
        <v>-0.02</v>
      </c>
      <c r="I11" t="str">
        <f t="shared" si="2"/>
        <v>0.95</v>
      </c>
      <c r="J11" t="str">
        <f t="shared" si="5"/>
        <v>0.465 [-0.02, 0.95]</v>
      </c>
    </row>
    <row r="12" spans="1:10" ht="16" x14ac:dyDescent="0.4">
      <c r="A12" s="3">
        <v>5</v>
      </c>
      <c r="B12" s="6"/>
      <c r="C12" s="3" t="s">
        <v>16</v>
      </c>
      <c r="D12" s="3">
        <v>69</v>
      </c>
      <c r="E12" s="3">
        <v>-8.8999999999999996E-2</v>
      </c>
      <c r="F12" s="5"/>
      <c r="G12">
        <f t="shared" si="4"/>
        <v>0</v>
      </c>
      <c r="H12" t="str">
        <f t="shared" si="1"/>
        <v>-0.09</v>
      </c>
      <c r="I12" t="str">
        <f t="shared" si="2"/>
        <v>-0.09</v>
      </c>
      <c r="J12" t="str">
        <f t="shared" si="5"/>
        <v>-0.089 [-0.09, -0.09]</v>
      </c>
    </row>
    <row r="13" spans="1:10" x14ac:dyDescent="0.35">
      <c r="A13" s="3">
        <v>5</v>
      </c>
      <c r="B13" s="6"/>
      <c r="C13" s="3" t="s">
        <v>14</v>
      </c>
      <c r="D13" s="3">
        <v>69</v>
      </c>
      <c r="E13" s="3">
        <v>0.16900000000000001</v>
      </c>
      <c r="F13" s="3">
        <v>0.56351258400000004</v>
      </c>
      <c r="G13">
        <f t="shared" si="4"/>
        <v>1.1044846646399999</v>
      </c>
      <c r="H13" t="str">
        <f t="shared" si="1"/>
        <v>-0.94</v>
      </c>
      <c r="I13" t="str">
        <f t="shared" si="2"/>
        <v>1.27</v>
      </c>
      <c r="J13" t="str">
        <f t="shared" si="5"/>
        <v>0.169 [-0.94, 1.27]</v>
      </c>
    </row>
    <row r="14" spans="1:10" x14ac:dyDescent="0.35">
      <c r="A14" s="3">
        <v>6</v>
      </c>
      <c r="B14" s="4" t="s">
        <v>21</v>
      </c>
      <c r="C14" s="3" t="s">
        <v>22</v>
      </c>
      <c r="D14" s="3">
        <v>17</v>
      </c>
      <c r="E14" s="3">
        <v>1</v>
      </c>
      <c r="F14" s="3">
        <v>2.061552813</v>
      </c>
      <c r="G14">
        <f t="shared" si="4"/>
        <v>4.0406435134800001</v>
      </c>
      <c r="H14" t="str">
        <f t="shared" si="1"/>
        <v>-3.04</v>
      </c>
      <c r="I14" t="str">
        <f t="shared" si="2"/>
        <v>5.04</v>
      </c>
      <c r="J14" t="str">
        <f t="shared" si="5"/>
        <v>1 [-3.04, 5.04]</v>
      </c>
    </row>
    <row r="15" spans="1:10" x14ac:dyDescent="0.35">
      <c r="A15" s="3">
        <v>7</v>
      </c>
      <c r="B15" s="4" t="s">
        <v>23</v>
      </c>
      <c r="C15" s="3" t="s">
        <v>13</v>
      </c>
      <c r="D15" s="3">
        <v>61</v>
      </c>
      <c r="E15" s="3">
        <v>0.16</v>
      </c>
      <c r="F15" s="3">
        <v>0.25700000000000001</v>
      </c>
      <c r="G15">
        <f t="shared" si="4"/>
        <v>0.50372000000000006</v>
      </c>
      <c r="H15" t="str">
        <f t="shared" si="1"/>
        <v>-0.34</v>
      </c>
      <c r="I15" t="str">
        <f t="shared" si="2"/>
        <v>0.66</v>
      </c>
      <c r="J15" t="str">
        <f t="shared" si="5"/>
        <v>0.16 [-0.34, 0.66]</v>
      </c>
    </row>
    <row r="16" spans="1:10" x14ac:dyDescent="0.35">
      <c r="A16" s="3">
        <v>9</v>
      </c>
      <c r="B16" s="6" t="s">
        <v>24</v>
      </c>
      <c r="C16" s="3" t="s">
        <v>19</v>
      </c>
      <c r="D16" s="3">
        <v>153</v>
      </c>
      <c r="E16" s="3">
        <v>4.9000000000000002E-2</v>
      </c>
      <c r="F16" s="3">
        <v>0.16200000000000001</v>
      </c>
      <c r="G16">
        <f t="shared" si="4"/>
        <v>0.31752000000000002</v>
      </c>
      <c r="H16" t="str">
        <f t="shared" si="1"/>
        <v>-0.27</v>
      </c>
      <c r="I16" t="str">
        <f t="shared" si="2"/>
        <v>0.37</v>
      </c>
      <c r="J16" t="str">
        <f t="shared" si="5"/>
        <v>0.049 [-0.27, 0.37]</v>
      </c>
    </row>
    <row r="17" spans="1:10" x14ac:dyDescent="0.35">
      <c r="A17" s="3">
        <v>9</v>
      </c>
      <c r="B17" s="6"/>
      <c r="C17" s="3" t="s">
        <v>9</v>
      </c>
      <c r="D17" s="3">
        <v>153</v>
      </c>
      <c r="E17" s="3">
        <v>0.92300000000000004</v>
      </c>
      <c r="F17" s="3">
        <v>0.17</v>
      </c>
      <c r="G17">
        <f t="shared" si="4"/>
        <v>0.3332</v>
      </c>
      <c r="H17" t="str">
        <f t="shared" si="1"/>
        <v>0.59</v>
      </c>
      <c r="I17" t="str">
        <f t="shared" si="2"/>
        <v>1.26</v>
      </c>
      <c r="J17" t="str">
        <f t="shared" si="5"/>
        <v>0.923 [0.59, 1.26]</v>
      </c>
    </row>
    <row r="18" spans="1:10" x14ac:dyDescent="0.35">
      <c r="A18" s="3">
        <v>11</v>
      </c>
      <c r="B18" s="6" t="s">
        <v>29</v>
      </c>
      <c r="C18" s="3" t="s">
        <v>17</v>
      </c>
      <c r="D18" s="3">
        <v>45</v>
      </c>
      <c r="E18" s="3">
        <v>0.14599999999999999</v>
      </c>
      <c r="F18" s="3">
        <v>0.85671796600000005</v>
      </c>
      <c r="G18">
        <f t="shared" si="4"/>
        <v>1.67916721336</v>
      </c>
      <c r="H18" t="str">
        <f t="shared" si="1"/>
        <v>-1.53</v>
      </c>
      <c r="I18" t="str">
        <f t="shared" si="2"/>
        <v>1.83</v>
      </c>
      <c r="J18" t="str">
        <f t="shared" si="5"/>
        <v>0.146 [-1.53, 1.83]</v>
      </c>
    </row>
    <row r="19" spans="1:10" x14ac:dyDescent="0.35">
      <c r="A19" s="3">
        <v>11</v>
      </c>
      <c r="B19" s="6"/>
      <c r="C19" s="3" t="s">
        <v>15</v>
      </c>
      <c r="D19" s="3">
        <v>45</v>
      </c>
      <c r="E19" s="3">
        <v>3</v>
      </c>
      <c r="F19" s="3">
        <v>0.62063289099999996</v>
      </c>
      <c r="G19">
        <f t="shared" si="4"/>
        <v>1.2164404663599999</v>
      </c>
      <c r="H19" t="str">
        <f t="shared" si="1"/>
        <v>1.78</v>
      </c>
      <c r="I19" t="str">
        <f t="shared" si="2"/>
        <v>4.22</v>
      </c>
      <c r="J19" t="str">
        <f t="shared" si="5"/>
        <v>3 [1.78, 4.22]</v>
      </c>
    </row>
    <row r="20" spans="1:10" x14ac:dyDescent="0.35">
      <c r="A20" s="3">
        <v>11</v>
      </c>
      <c r="B20" s="6"/>
      <c r="C20" s="3" t="s">
        <v>16</v>
      </c>
      <c r="D20" s="3">
        <v>45</v>
      </c>
      <c r="E20" s="3">
        <v>0.252</v>
      </c>
      <c r="F20" s="3">
        <v>0.72147910500000001</v>
      </c>
      <c r="G20">
        <f t="shared" si="4"/>
        <v>1.4140990458</v>
      </c>
      <c r="H20" t="str">
        <f t="shared" si="1"/>
        <v>-1.16</v>
      </c>
      <c r="I20" t="str">
        <f t="shared" si="2"/>
        <v>1.67</v>
      </c>
      <c r="J20" t="str">
        <f t="shared" si="5"/>
        <v>0.252 [-1.16, 1.67]</v>
      </c>
    </row>
    <row r="21" spans="1:10" x14ac:dyDescent="0.35">
      <c r="A21" s="3">
        <v>11</v>
      </c>
      <c r="B21" s="6"/>
      <c r="C21" s="3" t="s">
        <v>14</v>
      </c>
      <c r="D21" s="3">
        <v>45</v>
      </c>
      <c r="E21" s="3">
        <v>5.6879999999999997</v>
      </c>
      <c r="F21" s="3">
        <v>0.96469262899999997</v>
      </c>
      <c r="G21">
        <f t="shared" si="4"/>
        <v>1.8907975528399998</v>
      </c>
      <c r="H21" t="str">
        <f t="shared" si="1"/>
        <v>3.80</v>
      </c>
      <c r="I21" t="str">
        <f t="shared" si="2"/>
        <v>7.58</v>
      </c>
      <c r="J21" t="str">
        <f t="shared" si="5"/>
        <v>5.688 [3.80, 7.58]</v>
      </c>
    </row>
    <row r="22" spans="1:10" x14ac:dyDescent="0.35">
      <c r="A22" s="3">
        <v>13</v>
      </c>
      <c r="B22" s="6" t="s">
        <v>33</v>
      </c>
      <c r="C22" s="3" t="s">
        <v>27</v>
      </c>
      <c r="D22" s="3">
        <v>147</v>
      </c>
      <c r="E22" s="3">
        <v>0.34100000000000003</v>
      </c>
      <c r="F22" s="3">
        <v>0.16900000000000001</v>
      </c>
      <c r="G22">
        <f t="shared" si="4"/>
        <v>0.33124000000000003</v>
      </c>
      <c r="H22" t="str">
        <f t="shared" si="1"/>
        <v>0.01</v>
      </c>
      <c r="I22" t="str">
        <f t="shared" si="2"/>
        <v>0.67</v>
      </c>
      <c r="J22" t="str">
        <f t="shared" si="5"/>
        <v>0.341 [0.01, 0.67]</v>
      </c>
    </row>
    <row r="23" spans="1:10" x14ac:dyDescent="0.35">
      <c r="A23" s="3">
        <v>13</v>
      </c>
      <c r="B23" s="6"/>
      <c r="C23" s="3" t="s">
        <v>17</v>
      </c>
      <c r="D23" s="3">
        <v>148</v>
      </c>
      <c r="E23" s="3">
        <v>0.27600000000000002</v>
      </c>
      <c r="F23" s="3">
        <v>0.36774102400000003</v>
      </c>
      <c r="G23">
        <f t="shared" si="4"/>
        <v>0.72077240704000001</v>
      </c>
      <c r="H23" t="str">
        <f t="shared" si="1"/>
        <v>-0.44</v>
      </c>
      <c r="I23" t="str">
        <f t="shared" si="2"/>
        <v>1.00</v>
      </c>
      <c r="J23" t="str">
        <f t="shared" si="5"/>
        <v>0.276 [-0.44, 1.00]</v>
      </c>
    </row>
    <row r="24" spans="1:10" x14ac:dyDescent="0.35">
      <c r="A24" s="3">
        <v>13</v>
      </c>
      <c r="B24" s="6"/>
      <c r="C24" s="3" t="s">
        <v>15</v>
      </c>
      <c r="D24" s="3">
        <v>148</v>
      </c>
      <c r="E24" s="3">
        <v>0.42</v>
      </c>
      <c r="F24" s="3">
        <v>0.46232899</v>
      </c>
      <c r="G24">
        <f t="shared" si="4"/>
        <v>0.90616482040000002</v>
      </c>
      <c r="H24" t="str">
        <f t="shared" si="1"/>
        <v>-0.49</v>
      </c>
      <c r="I24" t="str">
        <f t="shared" si="2"/>
        <v>1.33</v>
      </c>
      <c r="J24" t="str">
        <f t="shared" si="5"/>
        <v>0.42 [-0.49, 1.33]</v>
      </c>
    </row>
    <row r="25" spans="1:10" x14ac:dyDescent="0.35">
      <c r="A25" s="3">
        <v>13</v>
      </c>
      <c r="B25" s="6"/>
      <c r="C25" s="3" t="s">
        <v>19</v>
      </c>
      <c r="D25" s="3">
        <v>147</v>
      </c>
      <c r="E25" s="3">
        <v>8.1000000000000003E-2</v>
      </c>
      <c r="F25" s="3">
        <v>0.16700000000000001</v>
      </c>
      <c r="G25">
        <f t="shared" si="4"/>
        <v>0.32732</v>
      </c>
      <c r="H25" t="str">
        <f t="shared" si="1"/>
        <v>-0.25</v>
      </c>
      <c r="I25" t="str">
        <f t="shared" si="2"/>
        <v>0.41</v>
      </c>
      <c r="J25" t="str">
        <f t="shared" si="5"/>
        <v>0.081 [-0.25, 0.41]</v>
      </c>
    </row>
    <row r="26" spans="1:10" x14ac:dyDescent="0.35">
      <c r="A26" s="3">
        <v>13</v>
      </c>
      <c r="B26" s="6"/>
      <c r="C26" s="3" t="s">
        <v>16</v>
      </c>
      <c r="D26" s="3">
        <v>148</v>
      </c>
      <c r="E26" s="3">
        <v>1.5409999999999999</v>
      </c>
      <c r="F26" s="3">
        <v>0.34443631699999999</v>
      </c>
      <c r="G26">
        <f t="shared" si="4"/>
        <v>0.67509518132000002</v>
      </c>
      <c r="H26" t="str">
        <f t="shared" si="1"/>
        <v>0.87</v>
      </c>
      <c r="I26" t="str">
        <f t="shared" si="2"/>
        <v>2.22</v>
      </c>
      <c r="J26" t="str">
        <f t="shared" si="5"/>
        <v>1.541 [0.87, 2.22]</v>
      </c>
    </row>
    <row r="27" spans="1:10" x14ac:dyDescent="0.35">
      <c r="A27" s="3">
        <v>13</v>
      </c>
      <c r="B27" s="6"/>
      <c r="C27" s="3" t="s">
        <v>14</v>
      </c>
      <c r="D27" s="3">
        <v>148</v>
      </c>
      <c r="E27" s="3">
        <v>1.379</v>
      </c>
      <c r="F27" s="3">
        <v>0.433798187</v>
      </c>
      <c r="G27">
        <f t="shared" si="4"/>
        <v>0.85024444651999997</v>
      </c>
      <c r="H27" t="str">
        <f t="shared" si="1"/>
        <v>0.53</v>
      </c>
      <c r="I27" t="str">
        <f t="shared" si="2"/>
        <v>2.23</v>
      </c>
      <c r="J27" t="str">
        <f t="shared" si="5"/>
        <v>1.379 [0.53, 2.23]</v>
      </c>
    </row>
    <row r="28" spans="1:10" x14ac:dyDescent="0.35">
      <c r="A28" s="3">
        <v>13</v>
      </c>
      <c r="B28" s="6"/>
      <c r="C28" s="3" t="s">
        <v>9</v>
      </c>
      <c r="D28" s="3">
        <v>147</v>
      </c>
      <c r="E28" s="3">
        <v>5.8999999999999997E-2</v>
      </c>
      <c r="F28" s="3">
        <v>0.16700000000000001</v>
      </c>
      <c r="G28">
        <f t="shared" si="4"/>
        <v>0.32732</v>
      </c>
      <c r="H28" t="str">
        <f t="shared" si="1"/>
        <v>-0.27</v>
      </c>
      <c r="I28" t="str">
        <f t="shared" si="2"/>
        <v>0.39</v>
      </c>
      <c r="J28" t="str">
        <f t="shared" si="5"/>
        <v>0.059 [-0.27, 0.39]</v>
      </c>
    </row>
    <row r="29" spans="1:10" x14ac:dyDescent="0.35">
      <c r="A29" s="3">
        <v>23</v>
      </c>
      <c r="B29" s="4" t="s">
        <v>40</v>
      </c>
      <c r="C29" s="3" t="s">
        <v>13</v>
      </c>
      <c r="D29" s="3">
        <v>66</v>
      </c>
      <c r="E29" s="3">
        <v>4.8000000000000001E-2</v>
      </c>
      <c r="F29" s="3">
        <v>0.246</v>
      </c>
      <c r="G29">
        <f t="shared" si="4"/>
        <v>0.48215999999999998</v>
      </c>
      <c r="H29" t="str">
        <f t="shared" si="1"/>
        <v>-0.43</v>
      </c>
      <c r="I29" t="str">
        <f t="shared" si="2"/>
        <v>0.53</v>
      </c>
      <c r="J29" t="str">
        <f t="shared" si="5"/>
        <v>0.048 [-0.43, 0.53]</v>
      </c>
    </row>
    <row r="30" spans="1:10" x14ac:dyDescent="0.35">
      <c r="A30" s="3">
        <v>23</v>
      </c>
      <c r="B30" s="4"/>
      <c r="C30" s="3" t="s">
        <v>17</v>
      </c>
      <c r="D30" s="3">
        <v>67</v>
      </c>
      <c r="E30" s="3">
        <v>0.69699999999999995</v>
      </c>
      <c r="F30" s="3">
        <v>0.490994019</v>
      </c>
      <c r="G30">
        <f t="shared" si="4"/>
        <v>0.96234827723999994</v>
      </c>
      <c r="H30" t="str">
        <f t="shared" si="1"/>
        <v>-0.27</v>
      </c>
      <c r="I30" t="str">
        <f t="shared" si="2"/>
        <v>1.66</v>
      </c>
      <c r="J30" t="str">
        <f t="shared" si="5"/>
        <v>0.697 [-0.27, 1.66]</v>
      </c>
    </row>
    <row r="31" spans="1:10" x14ac:dyDescent="0.35">
      <c r="A31" s="3">
        <v>23</v>
      </c>
      <c r="B31" s="4"/>
      <c r="C31" s="3" t="s">
        <v>15</v>
      </c>
      <c r="D31" s="3">
        <v>67</v>
      </c>
      <c r="E31" s="3">
        <v>5.6669999999999998</v>
      </c>
      <c r="F31" s="3">
        <v>1.569313575</v>
      </c>
      <c r="G31">
        <f t="shared" si="4"/>
        <v>3.0758546070000001</v>
      </c>
      <c r="H31" t="str">
        <f t="shared" si="1"/>
        <v>2.59</v>
      </c>
      <c r="I31" t="str">
        <f t="shared" si="2"/>
        <v>8.74</v>
      </c>
      <c r="J31" t="str">
        <f t="shared" si="5"/>
        <v>5.667 [2.59, 8.74]</v>
      </c>
    </row>
    <row r="32" spans="1:10" x14ac:dyDescent="0.35">
      <c r="A32" s="3">
        <v>23</v>
      </c>
      <c r="B32" s="4"/>
      <c r="C32" s="3" t="s">
        <v>19</v>
      </c>
      <c r="D32" s="3">
        <v>66</v>
      </c>
      <c r="E32" s="3">
        <v>0.25600000000000001</v>
      </c>
      <c r="F32" s="3">
        <v>0.247</v>
      </c>
      <c r="G32">
        <f t="shared" si="4"/>
        <v>0.48411999999999999</v>
      </c>
      <c r="H32" t="str">
        <f t="shared" si="1"/>
        <v>-0.23</v>
      </c>
      <c r="I32" t="str">
        <f t="shared" si="2"/>
        <v>0.74</v>
      </c>
      <c r="J32" t="str">
        <f t="shared" si="5"/>
        <v>0.256 [-0.23, 0.74]</v>
      </c>
    </row>
    <row r="33" spans="1:10" x14ac:dyDescent="0.35">
      <c r="A33" s="3">
        <v>23</v>
      </c>
      <c r="B33" s="4"/>
      <c r="C33" s="3" t="s">
        <v>9</v>
      </c>
      <c r="D33" s="3">
        <v>66</v>
      </c>
      <c r="E33" s="3">
        <v>0.36599999999999999</v>
      </c>
      <c r="F33" s="3">
        <v>0.248</v>
      </c>
      <c r="G33">
        <f t="shared" si="4"/>
        <v>0.48608000000000001</v>
      </c>
      <c r="H33" t="str">
        <f t="shared" si="1"/>
        <v>-0.12</v>
      </c>
      <c r="I33" t="str">
        <f t="shared" si="2"/>
        <v>0.85</v>
      </c>
      <c r="J33" t="str">
        <f t="shared" si="5"/>
        <v>0.366 [-0.12, 0.85]</v>
      </c>
    </row>
    <row r="34" spans="1:10" x14ac:dyDescent="0.35">
      <c r="A34" s="3">
        <v>25</v>
      </c>
      <c r="B34" s="4" t="s">
        <v>41</v>
      </c>
      <c r="C34" s="3" t="s">
        <v>13</v>
      </c>
      <c r="D34" s="3">
        <v>89</v>
      </c>
      <c r="E34" s="3">
        <v>0.161</v>
      </c>
      <c r="F34" s="3">
        <v>0.21299999999999999</v>
      </c>
      <c r="G34">
        <f t="shared" si="4"/>
        <v>0.41747999999999996</v>
      </c>
      <c r="H34" t="str">
        <f t="shared" si="1"/>
        <v>-0.26</v>
      </c>
      <c r="I34" t="str">
        <f t="shared" si="2"/>
        <v>0.58</v>
      </c>
      <c r="J34" t="str">
        <f t="shared" si="5"/>
        <v>0.161 [-0.26, 0.58]</v>
      </c>
    </row>
    <row r="35" spans="1:10" x14ac:dyDescent="0.35">
      <c r="A35" s="3">
        <v>25</v>
      </c>
      <c r="B35" s="4"/>
      <c r="C35" s="3" t="s">
        <v>16</v>
      </c>
      <c r="D35" s="3">
        <v>90</v>
      </c>
      <c r="E35" s="3">
        <v>0.25900000000000001</v>
      </c>
      <c r="F35" s="3">
        <v>0.518285895</v>
      </c>
      <c r="G35">
        <f t="shared" si="4"/>
        <v>1.0158403542000001</v>
      </c>
      <c r="H35" t="str">
        <f t="shared" si="1"/>
        <v>-0.76</v>
      </c>
      <c r="I35" t="str">
        <f t="shared" si="2"/>
        <v>1.27</v>
      </c>
      <c r="J35" t="str">
        <f t="shared" si="5"/>
        <v>0.259 [-0.76, 1.27]</v>
      </c>
    </row>
    <row r="36" spans="1:10" x14ac:dyDescent="0.35">
      <c r="A36" s="3">
        <v>25</v>
      </c>
      <c r="B36" s="4"/>
      <c r="C36" s="3" t="s">
        <v>14</v>
      </c>
      <c r="D36" s="3">
        <v>90</v>
      </c>
      <c r="E36" s="3">
        <v>1.119</v>
      </c>
      <c r="F36" s="3">
        <v>2.0112399459999999</v>
      </c>
      <c r="G36">
        <f t="shared" si="4"/>
        <v>3.9420302941599998</v>
      </c>
      <c r="H36" t="str">
        <f t="shared" si="1"/>
        <v>-2.82</v>
      </c>
      <c r="I36" t="str">
        <f t="shared" si="2"/>
        <v>5.06</v>
      </c>
      <c r="J36" t="str">
        <f t="shared" si="5"/>
        <v>1.119 [-2.82, 5.06]</v>
      </c>
    </row>
    <row r="37" spans="1:10" x14ac:dyDescent="0.35">
      <c r="A37" s="3">
        <v>26</v>
      </c>
      <c r="B37" s="4" t="s">
        <v>42</v>
      </c>
      <c r="C37" s="3" t="s">
        <v>13</v>
      </c>
      <c r="D37" s="3">
        <v>48</v>
      </c>
      <c r="E37" s="3">
        <v>0.55000000000000004</v>
      </c>
      <c r="F37" s="3">
        <v>0.29699999999999999</v>
      </c>
      <c r="G37">
        <f t="shared" si="4"/>
        <v>0.58211999999999997</v>
      </c>
      <c r="H37" t="str">
        <f t="shared" si="1"/>
        <v>-0.03</v>
      </c>
      <c r="I37" t="str">
        <f t="shared" si="2"/>
        <v>1.13</v>
      </c>
      <c r="J37" t="str">
        <f t="shared" si="5"/>
        <v>0.55 [-0.03, 1.13]</v>
      </c>
    </row>
    <row r="38" spans="1:10" x14ac:dyDescent="0.35">
      <c r="A38" s="3">
        <v>26</v>
      </c>
      <c r="B38" s="4"/>
      <c r="C38" s="3" t="s">
        <v>17</v>
      </c>
      <c r="D38" s="3">
        <v>49</v>
      </c>
      <c r="E38" s="3">
        <v>3.2000000000000001E-2</v>
      </c>
      <c r="F38" s="3">
        <v>0.86761008100000003</v>
      </c>
      <c r="G38">
        <f t="shared" si="4"/>
        <v>1.7005157587599999</v>
      </c>
      <c r="H38" t="str">
        <f t="shared" si="1"/>
        <v>-1.67</v>
      </c>
      <c r="I38" t="str">
        <f t="shared" si="2"/>
        <v>1.73</v>
      </c>
      <c r="J38" t="str">
        <f t="shared" si="5"/>
        <v>0.032 [-1.67, 1.73]</v>
      </c>
    </row>
    <row r="39" spans="1:10" x14ac:dyDescent="0.35">
      <c r="A39" s="3">
        <v>26</v>
      </c>
      <c r="B39" s="4"/>
      <c r="C39" s="3" t="s">
        <v>15</v>
      </c>
      <c r="D39" s="3">
        <v>49</v>
      </c>
      <c r="E39" s="3">
        <v>0.77800000000000002</v>
      </c>
      <c r="F39" s="3">
        <v>2.021053212</v>
      </c>
      <c r="G39">
        <f t="shared" si="4"/>
        <v>3.9612642955199999</v>
      </c>
      <c r="H39" t="str">
        <f t="shared" si="1"/>
        <v>-3.18</v>
      </c>
      <c r="I39" t="str">
        <f t="shared" si="2"/>
        <v>4.74</v>
      </c>
      <c r="J39" t="str">
        <f t="shared" si="5"/>
        <v>0.778 [-3.18, 4.74]</v>
      </c>
    </row>
    <row r="40" spans="1:10" x14ac:dyDescent="0.35">
      <c r="A40" s="3">
        <v>26</v>
      </c>
      <c r="B40" s="4"/>
      <c r="C40" s="3" t="s">
        <v>16</v>
      </c>
      <c r="D40" s="3">
        <v>49</v>
      </c>
      <c r="E40" s="3">
        <v>0.126</v>
      </c>
      <c r="F40" s="3">
        <v>0.792840773</v>
      </c>
      <c r="G40">
        <f t="shared" si="4"/>
        <v>1.5539679150799999</v>
      </c>
      <c r="H40" t="str">
        <f t="shared" si="1"/>
        <v>-1.43</v>
      </c>
      <c r="I40" t="str">
        <f t="shared" si="2"/>
        <v>1.68</v>
      </c>
      <c r="J40" t="str">
        <f t="shared" si="5"/>
        <v>0.126 [-1.43, 1.68]</v>
      </c>
    </row>
    <row r="41" spans="1:10" x14ac:dyDescent="0.35">
      <c r="A41" s="3">
        <v>26</v>
      </c>
      <c r="B41" s="4"/>
      <c r="C41" s="3" t="s">
        <v>14</v>
      </c>
      <c r="D41" s="3">
        <v>49</v>
      </c>
      <c r="E41" s="3">
        <v>0.77800000000000002</v>
      </c>
      <c r="F41" s="3">
        <v>2.021053212</v>
      </c>
      <c r="G41">
        <f t="shared" si="4"/>
        <v>3.9612642955199999</v>
      </c>
      <c r="H41" t="str">
        <f t="shared" si="1"/>
        <v>-3.18</v>
      </c>
      <c r="I41" t="str">
        <f t="shared" si="2"/>
        <v>4.74</v>
      </c>
      <c r="J41" t="str">
        <f t="shared" si="5"/>
        <v>0.778 [-3.18, 4.74]</v>
      </c>
    </row>
    <row r="42" spans="1:10" x14ac:dyDescent="0.35">
      <c r="A42" s="3">
        <v>30</v>
      </c>
      <c r="B42" s="4" t="s">
        <v>43</v>
      </c>
      <c r="C42" s="3" t="s">
        <v>13</v>
      </c>
      <c r="D42" s="3">
        <v>77</v>
      </c>
      <c r="E42" s="3">
        <v>0</v>
      </c>
      <c r="F42" s="3">
        <v>0.22800000000000001</v>
      </c>
      <c r="G42">
        <f t="shared" si="4"/>
        <v>0.44688</v>
      </c>
      <c r="H42" t="str">
        <f t="shared" si="1"/>
        <v>-0.45</v>
      </c>
      <c r="I42" t="str">
        <f t="shared" si="2"/>
        <v>0.45</v>
      </c>
      <c r="J42" t="str">
        <f t="shared" si="5"/>
        <v>0 [-0.45, 0.45]</v>
      </c>
    </row>
    <row r="43" spans="1:10" x14ac:dyDescent="0.35">
      <c r="A43" s="3">
        <v>30</v>
      </c>
      <c r="B43" s="4"/>
      <c r="C43" s="3" t="s">
        <v>17</v>
      </c>
      <c r="D43" s="3">
        <v>78</v>
      </c>
      <c r="E43" s="3">
        <v>1.1240000000000001</v>
      </c>
      <c r="F43" s="3">
        <v>0.46707429299999997</v>
      </c>
      <c r="G43">
        <f t="shared" si="4"/>
        <v>0.91546561427999995</v>
      </c>
      <c r="H43" t="str">
        <f t="shared" si="1"/>
        <v>0.21</v>
      </c>
      <c r="I43" t="str">
        <f t="shared" si="2"/>
        <v>2.04</v>
      </c>
      <c r="J43" t="str">
        <f t="shared" si="5"/>
        <v>1.124 [0.21, 2.04]</v>
      </c>
    </row>
    <row r="44" spans="1:10" x14ac:dyDescent="0.35">
      <c r="A44" s="3">
        <v>30</v>
      </c>
      <c r="B44" s="4"/>
      <c r="C44" s="3" t="s">
        <v>15</v>
      </c>
      <c r="D44" s="3">
        <v>78</v>
      </c>
      <c r="E44" s="3">
        <v>0.875</v>
      </c>
      <c r="F44" s="3">
        <v>1.1776692070000001</v>
      </c>
      <c r="G44">
        <f t="shared" si="4"/>
        <v>2.3082316457200003</v>
      </c>
      <c r="H44" t="str">
        <f t="shared" si="1"/>
        <v>-1.43</v>
      </c>
      <c r="I44" t="str">
        <f t="shared" si="2"/>
        <v>3.18</v>
      </c>
      <c r="J44" t="str">
        <f t="shared" si="5"/>
        <v>0.875 [-1.43, 3.18]</v>
      </c>
    </row>
    <row r="45" spans="1:10" x14ac:dyDescent="0.35">
      <c r="A45" s="3">
        <v>32</v>
      </c>
      <c r="B45" s="4" t="s">
        <v>44</v>
      </c>
      <c r="C45" s="3" t="s">
        <v>27</v>
      </c>
      <c r="D45" s="3">
        <v>62</v>
      </c>
      <c r="E45" s="3">
        <v>0.245</v>
      </c>
      <c r="F45" s="3">
        <v>0.255</v>
      </c>
      <c r="G45">
        <f t="shared" si="4"/>
        <v>0.49980000000000002</v>
      </c>
      <c r="H45" t="str">
        <f t="shared" si="1"/>
        <v>-0.25</v>
      </c>
      <c r="I45" t="str">
        <f t="shared" si="2"/>
        <v>0.74</v>
      </c>
      <c r="J45" t="str">
        <f t="shared" si="5"/>
        <v>0.245 [-0.25, 0.74]</v>
      </c>
    </row>
    <row r="46" spans="1:10" x14ac:dyDescent="0.35">
      <c r="A46" s="3">
        <v>32</v>
      </c>
      <c r="B46" s="4"/>
      <c r="C46" s="3" t="s">
        <v>17</v>
      </c>
      <c r="D46" s="3">
        <v>63</v>
      </c>
      <c r="E46" s="3">
        <v>1</v>
      </c>
      <c r="F46" s="3">
        <v>0.54903133500000001</v>
      </c>
      <c r="G46">
        <f t="shared" si="4"/>
        <v>1.0761014166</v>
      </c>
      <c r="H46" t="str">
        <f t="shared" si="1"/>
        <v>-0.08</v>
      </c>
      <c r="I46" t="str">
        <f t="shared" si="2"/>
        <v>2.08</v>
      </c>
      <c r="J46" t="str">
        <f t="shared" si="5"/>
        <v>1 [-0.08, 2.08]</v>
      </c>
    </row>
    <row r="47" spans="1:10" x14ac:dyDescent="0.35">
      <c r="A47" s="3">
        <v>32</v>
      </c>
      <c r="B47" s="4"/>
      <c r="C47" s="3" t="s">
        <v>15</v>
      </c>
      <c r="D47" s="3">
        <v>63</v>
      </c>
      <c r="E47" s="3">
        <v>0.69</v>
      </c>
      <c r="F47" s="3">
        <v>0.86943161300000005</v>
      </c>
      <c r="G47">
        <f t="shared" si="4"/>
        <v>1.7040859614800001</v>
      </c>
      <c r="H47" t="str">
        <f t="shared" si="1"/>
        <v>-1.01</v>
      </c>
      <c r="I47" t="str">
        <f t="shared" si="2"/>
        <v>2.39</v>
      </c>
      <c r="J47" t="str">
        <f t="shared" si="5"/>
        <v>0.69 [-1.01, 2.39]</v>
      </c>
    </row>
    <row r="48" spans="1:10" x14ac:dyDescent="0.35">
      <c r="A48" s="3">
        <v>32</v>
      </c>
      <c r="B48" s="4"/>
      <c r="C48" s="3" t="s">
        <v>19</v>
      </c>
      <c r="D48" s="3">
        <v>62</v>
      </c>
      <c r="E48" s="3">
        <v>0.15</v>
      </c>
      <c r="F48" s="3">
        <v>0.254</v>
      </c>
      <c r="G48">
        <f t="shared" si="4"/>
        <v>0.49784</v>
      </c>
      <c r="H48" t="str">
        <f t="shared" si="1"/>
        <v>-0.35</v>
      </c>
      <c r="I48" t="str">
        <f t="shared" si="2"/>
        <v>0.65</v>
      </c>
      <c r="J48" t="str">
        <f t="shared" si="5"/>
        <v>0.15 [-0.35, 0.65]</v>
      </c>
    </row>
    <row r="49" spans="1:10" x14ac:dyDescent="0.35">
      <c r="A49" s="3">
        <v>32</v>
      </c>
      <c r="B49" s="4"/>
      <c r="C49" s="3" t="s">
        <v>16</v>
      </c>
      <c r="D49" s="3">
        <v>63</v>
      </c>
      <c r="E49" s="3">
        <v>0.625</v>
      </c>
      <c r="F49" s="3">
        <v>0.56378820699999999</v>
      </c>
      <c r="G49">
        <f t="shared" si="4"/>
        <v>1.10502488572</v>
      </c>
      <c r="H49" t="str">
        <f t="shared" si="1"/>
        <v>-0.48</v>
      </c>
      <c r="I49" t="str">
        <f t="shared" si="2"/>
        <v>1.73</v>
      </c>
      <c r="J49" t="str">
        <f t="shared" si="5"/>
        <v>0.625 [-0.48, 1.73]</v>
      </c>
    </row>
    <row r="50" spans="1:10" x14ac:dyDescent="0.35">
      <c r="A50" s="3">
        <v>32</v>
      </c>
      <c r="B50" s="4"/>
      <c r="C50" s="3" t="s">
        <v>14</v>
      </c>
      <c r="D50" s="3">
        <v>63</v>
      </c>
      <c r="E50" s="3">
        <v>1.724</v>
      </c>
      <c r="F50" s="3">
        <v>1.0651210069999999</v>
      </c>
      <c r="G50">
        <f t="shared" si="4"/>
        <v>2.0876371737199997</v>
      </c>
      <c r="H50" t="str">
        <f t="shared" si="1"/>
        <v>-0.36</v>
      </c>
      <c r="I50" t="str">
        <f t="shared" si="2"/>
        <v>3.81</v>
      </c>
      <c r="J50" t="str">
        <f t="shared" si="5"/>
        <v>1.724 [-0.36, 3.81]</v>
      </c>
    </row>
    <row r="51" spans="1:10" x14ac:dyDescent="0.35">
      <c r="A51" s="3">
        <v>33</v>
      </c>
      <c r="B51" s="4" t="s">
        <v>45</v>
      </c>
      <c r="C51" s="3" t="s">
        <v>13</v>
      </c>
      <c r="D51" s="3">
        <v>74</v>
      </c>
      <c r="E51" s="3">
        <v>8.5999999999999993E-2</v>
      </c>
      <c r="F51" s="3">
        <v>0.23300000000000001</v>
      </c>
      <c r="G51">
        <f t="shared" si="4"/>
        <v>0.45668000000000003</v>
      </c>
      <c r="H51" t="str">
        <f t="shared" si="1"/>
        <v>-0.37</v>
      </c>
      <c r="I51" t="str">
        <f t="shared" si="2"/>
        <v>0.54</v>
      </c>
      <c r="J51" t="str">
        <f t="shared" si="5"/>
        <v>0.086 [-0.37, 0.54]</v>
      </c>
    </row>
    <row r="52" spans="1:10" x14ac:dyDescent="0.35">
      <c r="A52" s="3">
        <v>33</v>
      </c>
      <c r="B52" s="4"/>
      <c r="C52" s="3" t="s">
        <v>17</v>
      </c>
      <c r="D52" s="3">
        <v>75</v>
      </c>
      <c r="E52" s="3">
        <v>1.3979999999999999</v>
      </c>
      <c r="F52" s="3">
        <v>0.581578916</v>
      </c>
      <c r="G52">
        <f t="shared" si="4"/>
        <v>1.1398946753599999</v>
      </c>
      <c r="H52" t="str">
        <f t="shared" si="1"/>
        <v>0.26</v>
      </c>
      <c r="I52" t="str">
        <f t="shared" si="2"/>
        <v>2.54</v>
      </c>
      <c r="J52" t="str">
        <f t="shared" si="5"/>
        <v>1.398 [0.26, 2.54]</v>
      </c>
    </row>
    <row r="53" spans="1:10" x14ac:dyDescent="0.35">
      <c r="A53" s="3">
        <v>33</v>
      </c>
      <c r="B53" s="4"/>
      <c r="C53" s="3" t="s">
        <v>15</v>
      </c>
      <c r="D53" s="3">
        <v>75</v>
      </c>
      <c r="E53" s="3">
        <v>0.32400000000000001</v>
      </c>
      <c r="F53" s="3">
        <v>1.649688295</v>
      </c>
      <c r="G53">
        <f t="shared" si="4"/>
        <v>3.2333890581999998</v>
      </c>
      <c r="H53" t="str">
        <f t="shared" si="1"/>
        <v>-2.91</v>
      </c>
      <c r="I53" t="str">
        <f t="shared" si="2"/>
        <v>3.56</v>
      </c>
      <c r="J53" t="str">
        <f t="shared" si="5"/>
        <v>0.324 [-2.91, 3.56]</v>
      </c>
    </row>
    <row r="54" spans="1:10" x14ac:dyDescent="0.35">
      <c r="A54" s="3">
        <v>33</v>
      </c>
      <c r="B54" s="4"/>
      <c r="C54" s="3" t="s">
        <v>19</v>
      </c>
      <c r="D54" s="3">
        <v>74</v>
      </c>
      <c r="E54" s="3">
        <v>0.379</v>
      </c>
      <c r="F54" s="3">
        <v>0.23499999999999999</v>
      </c>
      <c r="G54">
        <f t="shared" si="4"/>
        <v>0.46059999999999995</v>
      </c>
      <c r="H54" t="str">
        <f t="shared" si="1"/>
        <v>-0.08</v>
      </c>
      <c r="I54" t="str">
        <f t="shared" si="2"/>
        <v>0.84</v>
      </c>
      <c r="J54" t="str">
        <f t="shared" si="5"/>
        <v>0.379 [-0.08, 0.84]</v>
      </c>
    </row>
    <row r="55" spans="1:10" x14ac:dyDescent="0.35">
      <c r="A55" s="3">
        <v>33</v>
      </c>
      <c r="B55" s="4"/>
      <c r="C55" s="3" t="s">
        <v>16</v>
      </c>
      <c r="D55" s="3">
        <v>75</v>
      </c>
      <c r="E55" s="3">
        <v>1</v>
      </c>
      <c r="F55" s="3">
        <v>0.71066905499999999</v>
      </c>
      <c r="G55">
        <f t="shared" si="4"/>
        <v>1.3929113477999999</v>
      </c>
      <c r="H55" t="str">
        <f t="shared" si="1"/>
        <v>-0.39</v>
      </c>
      <c r="I55" t="str">
        <f t="shared" si="2"/>
        <v>2.39</v>
      </c>
      <c r="J55" t="str">
        <f t="shared" si="5"/>
        <v>1 [-0.39, 2.39]</v>
      </c>
    </row>
    <row r="56" spans="1:10" x14ac:dyDescent="0.35">
      <c r="A56" s="3">
        <v>33</v>
      </c>
      <c r="B56" s="4"/>
      <c r="C56" s="3" t="s">
        <v>14</v>
      </c>
      <c r="D56" s="3">
        <v>75</v>
      </c>
      <c r="E56" s="3">
        <v>0.32400000000000001</v>
      </c>
      <c r="F56" s="3">
        <v>1.649688295</v>
      </c>
      <c r="G56">
        <f t="shared" si="4"/>
        <v>3.2333890581999998</v>
      </c>
      <c r="H56" t="str">
        <f t="shared" si="1"/>
        <v>-2.91</v>
      </c>
      <c r="I56" t="str">
        <f t="shared" si="2"/>
        <v>3.56</v>
      </c>
      <c r="J56" t="str">
        <f t="shared" si="5"/>
        <v>0.324 [-2.91, 3.56]</v>
      </c>
    </row>
    <row r="57" spans="1:10" x14ac:dyDescent="0.35">
      <c r="A57" s="3">
        <v>33</v>
      </c>
      <c r="B57" s="4"/>
      <c r="C57" s="3" t="s">
        <v>9</v>
      </c>
      <c r="D57" s="3">
        <v>74</v>
      </c>
      <c r="E57" s="3">
        <v>6.0999999999999999E-2</v>
      </c>
      <c r="F57" s="3">
        <v>0.23300000000000001</v>
      </c>
      <c r="G57">
        <f t="shared" si="4"/>
        <v>0.45668000000000003</v>
      </c>
      <c r="H57" t="str">
        <f t="shared" si="1"/>
        <v>-0.40</v>
      </c>
      <c r="I57" t="str">
        <f t="shared" si="2"/>
        <v>0.52</v>
      </c>
      <c r="J57" t="str">
        <f t="shared" si="5"/>
        <v>0.061 [-0.40, 0.52]</v>
      </c>
    </row>
    <row r="58" spans="1:10" x14ac:dyDescent="0.35">
      <c r="A58" s="3">
        <v>34</v>
      </c>
      <c r="B58" s="4" t="s">
        <v>46</v>
      </c>
      <c r="C58" s="3" t="s">
        <v>16</v>
      </c>
      <c r="D58" s="3">
        <v>60</v>
      </c>
      <c r="E58" s="3">
        <v>0.247</v>
      </c>
      <c r="F58" s="3">
        <v>0.56586145899999996</v>
      </c>
      <c r="G58">
        <f t="shared" si="4"/>
        <v>1.1090884596399999</v>
      </c>
      <c r="H58" t="str">
        <f t="shared" si="1"/>
        <v>-0.86</v>
      </c>
      <c r="I58" t="str">
        <f t="shared" si="2"/>
        <v>1.36</v>
      </c>
      <c r="J58" t="str">
        <f t="shared" si="5"/>
        <v>0.247 [-0.86, 1.36]</v>
      </c>
    </row>
    <row r="59" spans="1:10" x14ac:dyDescent="0.35">
      <c r="A59" s="3">
        <v>34</v>
      </c>
      <c r="B59" s="4"/>
      <c r="C59" s="3" t="s">
        <v>14</v>
      </c>
      <c r="D59" s="3">
        <v>60</v>
      </c>
      <c r="E59" s="3">
        <v>0.32</v>
      </c>
      <c r="F59" s="3">
        <v>0.69858244300000005</v>
      </c>
      <c r="G59">
        <f t="shared" si="4"/>
        <v>1.3692215882800001</v>
      </c>
      <c r="H59" t="str">
        <f t="shared" si="1"/>
        <v>-1.05</v>
      </c>
      <c r="I59" t="str">
        <f t="shared" si="2"/>
        <v>1.69</v>
      </c>
      <c r="J59" t="str">
        <f t="shared" si="5"/>
        <v>0.32 [-1.05, 1.69]</v>
      </c>
    </row>
    <row r="60" spans="1:10" x14ac:dyDescent="0.35">
      <c r="A60" s="3">
        <v>34</v>
      </c>
      <c r="B60" s="4"/>
      <c r="C60" s="3" t="s">
        <v>9</v>
      </c>
      <c r="D60" s="3">
        <v>59</v>
      </c>
      <c r="E60" s="3">
        <v>0.86899999999999999</v>
      </c>
      <c r="F60" s="3">
        <v>0.27300000000000002</v>
      </c>
      <c r="G60">
        <f t="shared" si="4"/>
        <v>0.53508</v>
      </c>
      <c r="H60" t="str">
        <f t="shared" si="1"/>
        <v>0.33</v>
      </c>
      <c r="I60" t="str">
        <f t="shared" si="2"/>
        <v>1.40</v>
      </c>
      <c r="J60" t="str">
        <f t="shared" si="5"/>
        <v>0.869 [0.33, 1.40]</v>
      </c>
    </row>
    <row r="61" spans="1:10" x14ac:dyDescent="0.35">
      <c r="A61" s="3">
        <v>35</v>
      </c>
      <c r="B61" s="4" t="s">
        <v>47</v>
      </c>
      <c r="C61" s="3" t="s">
        <v>13</v>
      </c>
      <c r="D61" s="3">
        <v>57</v>
      </c>
      <c r="E61" s="3">
        <v>0.29799999999999999</v>
      </c>
      <c r="F61" s="3">
        <v>0.26600000000000001</v>
      </c>
      <c r="G61">
        <f t="shared" si="4"/>
        <v>0.52136000000000005</v>
      </c>
      <c r="H61" t="str">
        <f t="shared" si="1"/>
        <v>-0.22</v>
      </c>
      <c r="I61" t="str">
        <f t="shared" si="2"/>
        <v>0.82</v>
      </c>
      <c r="J61" t="str">
        <f t="shared" si="5"/>
        <v>0.298 [-0.22, 0.82]</v>
      </c>
    </row>
    <row r="62" spans="1:10" ht="16" x14ac:dyDescent="0.4">
      <c r="A62" s="3">
        <v>35</v>
      </c>
      <c r="B62" s="5"/>
      <c r="C62" s="3" t="s">
        <v>19</v>
      </c>
      <c r="D62" s="3">
        <v>57</v>
      </c>
      <c r="E62" s="3">
        <v>0.125</v>
      </c>
      <c r="F62" s="3">
        <v>0.26500000000000001</v>
      </c>
      <c r="G62">
        <f t="shared" si="4"/>
        <v>0.51939999999999997</v>
      </c>
      <c r="H62" t="str">
        <f t="shared" si="1"/>
        <v>-0.39</v>
      </c>
      <c r="I62" t="str">
        <f t="shared" si="2"/>
        <v>0.64</v>
      </c>
      <c r="J62" t="str">
        <f t="shared" si="5"/>
        <v>0.125 [-0.39, 0.64]</v>
      </c>
    </row>
    <row r="63" spans="1:10" x14ac:dyDescent="0.35">
      <c r="A63" s="3">
        <v>37</v>
      </c>
      <c r="B63" s="4" t="s">
        <v>49</v>
      </c>
      <c r="C63" s="3" t="s">
        <v>17</v>
      </c>
      <c r="D63" s="3">
        <v>87</v>
      </c>
      <c r="E63" s="3">
        <v>0.81699999999999995</v>
      </c>
      <c r="F63" s="3">
        <v>0.60775321400000004</v>
      </c>
      <c r="G63">
        <f t="shared" si="4"/>
        <v>1.1911962994400001</v>
      </c>
      <c r="H63" t="str">
        <f t="shared" si="1"/>
        <v>-0.37</v>
      </c>
      <c r="I63" t="str">
        <f t="shared" si="2"/>
        <v>2.01</v>
      </c>
      <c r="J63" t="str">
        <f t="shared" si="5"/>
        <v>0.817 [-0.37, 2.01]</v>
      </c>
    </row>
    <row r="64" spans="1:10" x14ac:dyDescent="0.35">
      <c r="A64" s="3">
        <v>37</v>
      </c>
      <c r="B64" s="4"/>
      <c r="C64" s="3" t="s">
        <v>15</v>
      </c>
      <c r="D64" s="3">
        <v>87</v>
      </c>
      <c r="E64" s="3">
        <v>1.1499999999999999</v>
      </c>
      <c r="F64" s="3">
        <v>2.0116508469999999</v>
      </c>
      <c r="G64">
        <f t="shared" si="4"/>
        <v>3.9428356601199996</v>
      </c>
      <c r="H64" t="str">
        <f t="shared" si="1"/>
        <v>-2.79</v>
      </c>
      <c r="I64" t="str">
        <f t="shared" si="2"/>
        <v>5.09</v>
      </c>
      <c r="J64" t="str">
        <f t="shared" si="5"/>
        <v>1.15 [-2.79, 5.09]</v>
      </c>
    </row>
    <row r="65" spans="1:10" x14ac:dyDescent="0.35">
      <c r="A65" s="3">
        <v>37</v>
      </c>
      <c r="B65" s="4"/>
      <c r="C65" s="3" t="s">
        <v>19</v>
      </c>
      <c r="D65" s="3">
        <v>86</v>
      </c>
      <c r="E65" s="3">
        <v>0.29199999999999998</v>
      </c>
      <c r="F65" s="3">
        <v>0.217</v>
      </c>
      <c r="G65">
        <f t="shared" si="4"/>
        <v>0.42531999999999998</v>
      </c>
      <c r="H65" t="str">
        <f t="shared" si="1"/>
        <v>-0.13</v>
      </c>
      <c r="I65" t="str">
        <f t="shared" si="2"/>
        <v>0.72</v>
      </c>
      <c r="J65" t="str">
        <f t="shared" si="5"/>
        <v>0.292 [-0.13, 0.72]</v>
      </c>
    </row>
    <row r="66" spans="1:10" x14ac:dyDescent="0.35">
      <c r="A66" s="3">
        <v>37</v>
      </c>
      <c r="B66" s="4"/>
      <c r="C66" s="3" t="s">
        <v>16</v>
      </c>
      <c r="D66" s="3">
        <v>86</v>
      </c>
      <c r="E66" s="3">
        <v>0.68400000000000005</v>
      </c>
      <c r="F66" s="3">
        <v>0.59587221499999998</v>
      </c>
      <c r="G66">
        <f t="shared" si="4"/>
        <v>1.1679095414</v>
      </c>
      <c r="H66" t="str">
        <f t="shared" si="1"/>
        <v>-0.48</v>
      </c>
      <c r="I66" t="str">
        <f t="shared" si="2"/>
        <v>1.85</v>
      </c>
      <c r="J66" t="str">
        <f t="shared" si="5"/>
        <v>0.684 [-0.48, 1.85]</v>
      </c>
    </row>
    <row r="67" spans="1:10" x14ac:dyDescent="0.35">
      <c r="A67" s="3">
        <v>37</v>
      </c>
      <c r="B67" s="4"/>
      <c r="C67" s="3" t="s">
        <v>14</v>
      </c>
      <c r="D67" s="3">
        <v>86</v>
      </c>
      <c r="E67" s="3">
        <v>1.125</v>
      </c>
      <c r="F67" s="3">
        <v>2.0117709170000002</v>
      </c>
      <c r="G67">
        <f t="shared" si="4"/>
        <v>3.9430709973200004</v>
      </c>
      <c r="H67" t="str">
        <f t="shared" ref="H67:H130" si="6">TEXT(E67-G67,"#0.00")</f>
        <v>-2.82</v>
      </c>
      <c r="I67" t="str">
        <f t="shared" ref="I67:I130" si="7">TEXT(E67+G67,"0.00")</f>
        <v>5.07</v>
      </c>
      <c r="J67" t="str">
        <f t="shared" si="5"/>
        <v>1.125 [-2.82, 5.07]</v>
      </c>
    </row>
    <row r="68" spans="1:10" x14ac:dyDescent="0.35">
      <c r="A68" s="3">
        <v>38</v>
      </c>
      <c r="B68" s="4" t="s">
        <v>50</v>
      </c>
      <c r="C68" s="3" t="s">
        <v>27</v>
      </c>
      <c r="D68" s="3">
        <v>90</v>
      </c>
      <c r="E68" s="3">
        <v>0.15</v>
      </c>
      <c r="F68" s="3">
        <v>0.21099999999999999</v>
      </c>
      <c r="G68">
        <f t="shared" si="4"/>
        <v>0.41355999999999998</v>
      </c>
      <c r="H68" t="str">
        <f t="shared" si="6"/>
        <v>-0.26</v>
      </c>
      <c r="I68" t="str">
        <f t="shared" si="7"/>
        <v>0.56</v>
      </c>
      <c r="J68" t="str">
        <f t="shared" si="5"/>
        <v>0.15 [-0.26, 0.56]</v>
      </c>
    </row>
    <row r="69" spans="1:10" ht="16" x14ac:dyDescent="0.4">
      <c r="A69" s="3">
        <v>38</v>
      </c>
      <c r="B69" s="5"/>
      <c r="C69" s="3" t="s">
        <v>19</v>
      </c>
      <c r="D69" s="3">
        <v>90</v>
      </c>
      <c r="E69" s="3">
        <v>0.58799999999999997</v>
      </c>
      <c r="F69" s="3">
        <v>0.215</v>
      </c>
      <c r="G69">
        <f t="shared" si="4"/>
        <v>0.4214</v>
      </c>
      <c r="H69" t="str">
        <f t="shared" si="6"/>
        <v>0.17</v>
      </c>
      <c r="I69" t="str">
        <f t="shared" si="7"/>
        <v>1.01</v>
      </c>
      <c r="J69" t="str">
        <f t="shared" si="5"/>
        <v>0.588 [0.17, 1.01]</v>
      </c>
    </row>
    <row r="70" spans="1:10" x14ac:dyDescent="0.35">
      <c r="A70" s="3">
        <v>41</v>
      </c>
      <c r="B70" s="4" t="s">
        <v>51</v>
      </c>
      <c r="C70" s="3" t="s">
        <v>13</v>
      </c>
      <c r="D70" s="3">
        <v>89</v>
      </c>
      <c r="E70" s="3">
        <v>0.189</v>
      </c>
      <c r="F70" s="3">
        <v>0.21299999999999999</v>
      </c>
      <c r="G70">
        <f t="shared" si="4"/>
        <v>0.41747999999999996</v>
      </c>
      <c r="H70" t="str">
        <f t="shared" si="6"/>
        <v>-0.23</v>
      </c>
      <c r="I70" t="str">
        <f t="shared" si="7"/>
        <v>0.61</v>
      </c>
      <c r="J70" t="str">
        <f t="shared" si="5"/>
        <v>0.189 [-0.23, 0.61]</v>
      </c>
    </row>
    <row r="71" spans="1:10" x14ac:dyDescent="0.35">
      <c r="A71" s="3">
        <v>41</v>
      </c>
      <c r="B71" s="4"/>
      <c r="C71" s="3" t="s">
        <v>17</v>
      </c>
      <c r="D71" s="3">
        <v>90</v>
      </c>
      <c r="E71" s="3">
        <v>1.0860000000000001</v>
      </c>
      <c r="F71" s="3">
        <v>0.53868481999999995</v>
      </c>
      <c r="G71">
        <f t="shared" si="4"/>
        <v>1.0558222471999998</v>
      </c>
      <c r="H71" t="str">
        <f t="shared" si="6"/>
        <v>0.03</v>
      </c>
      <c r="I71" t="str">
        <f t="shared" si="7"/>
        <v>2.14</v>
      </c>
      <c r="J71" t="str">
        <f t="shared" si="5"/>
        <v>1.086 [0.03, 2.14]</v>
      </c>
    </row>
    <row r="72" spans="1:10" x14ac:dyDescent="0.35">
      <c r="A72" s="3">
        <v>41</v>
      </c>
      <c r="B72" s="4"/>
      <c r="C72" s="3" t="s">
        <v>15</v>
      </c>
      <c r="D72" s="3">
        <v>90</v>
      </c>
      <c r="E72" s="3">
        <v>1.07</v>
      </c>
      <c r="F72" s="3">
        <v>2.0112172789999998</v>
      </c>
      <c r="G72">
        <f t="shared" si="4"/>
        <v>3.9419858668399996</v>
      </c>
      <c r="H72" t="str">
        <f t="shared" si="6"/>
        <v>-2.87</v>
      </c>
      <c r="I72" t="str">
        <f t="shared" si="7"/>
        <v>5.01</v>
      </c>
      <c r="J72" t="str">
        <f t="shared" si="5"/>
        <v>1.07 [-2.87, 5.01]</v>
      </c>
    </row>
    <row r="73" spans="1:10" x14ac:dyDescent="0.35">
      <c r="A73" s="3">
        <v>41</v>
      </c>
      <c r="B73" s="4"/>
      <c r="C73" s="3" t="s">
        <v>16</v>
      </c>
      <c r="D73" s="3">
        <v>90</v>
      </c>
      <c r="E73" s="3">
        <v>1.075</v>
      </c>
      <c r="F73" s="3">
        <v>0.787200346</v>
      </c>
      <c r="G73">
        <f t="shared" ref="G73:G136" si="8">1.96*F73</f>
        <v>1.54291267816</v>
      </c>
      <c r="H73" t="str">
        <f t="shared" si="6"/>
        <v>-0.47</v>
      </c>
      <c r="I73" t="str">
        <f t="shared" si="7"/>
        <v>2.62</v>
      </c>
      <c r="J73" t="str">
        <f t="shared" ref="J73:J136" si="9">E73&amp;" ["&amp;H73&amp;", "&amp;I73&amp;"]"</f>
        <v>1.075 [-0.47, 2.62]</v>
      </c>
    </row>
    <row r="74" spans="1:10" x14ac:dyDescent="0.35">
      <c r="A74" s="3">
        <v>41</v>
      </c>
      <c r="B74" s="4"/>
      <c r="C74" s="3" t="s">
        <v>14</v>
      </c>
      <c r="D74" s="3">
        <v>90</v>
      </c>
      <c r="E74" s="3">
        <v>1.07</v>
      </c>
      <c r="F74" s="3">
        <v>2.0112172789999998</v>
      </c>
      <c r="G74">
        <f t="shared" si="8"/>
        <v>3.9419858668399996</v>
      </c>
      <c r="H74" t="str">
        <f t="shared" si="6"/>
        <v>-2.87</v>
      </c>
      <c r="I74" t="str">
        <f t="shared" si="7"/>
        <v>5.01</v>
      </c>
      <c r="J74" t="str">
        <f t="shared" si="9"/>
        <v>1.07 [-2.87, 5.01]</v>
      </c>
    </row>
    <row r="75" spans="1:10" x14ac:dyDescent="0.35">
      <c r="A75" s="3">
        <v>41</v>
      </c>
      <c r="B75" s="4"/>
      <c r="C75" s="3" t="s">
        <v>9</v>
      </c>
      <c r="D75" s="3">
        <v>89</v>
      </c>
      <c r="E75" s="3">
        <v>8.1000000000000003E-2</v>
      </c>
      <c r="F75" s="3">
        <v>0.21199999999999999</v>
      </c>
      <c r="G75">
        <f t="shared" si="8"/>
        <v>0.41552</v>
      </c>
      <c r="H75" t="str">
        <f t="shared" si="6"/>
        <v>-0.33</v>
      </c>
      <c r="I75" t="str">
        <f t="shared" si="7"/>
        <v>0.50</v>
      </c>
      <c r="J75" t="str">
        <f t="shared" si="9"/>
        <v>0.081 [-0.33, 0.50]</v>
      </c>
    </row>
    <row r="76" spans="1:10" x14ac:dyDescent="0.35">
      <c r="A76" s="3">
        <v>43</v>
      </c>
      <c r="B76" s="4" t="s">
        <v>52</v>
      </c>
      <c r="C76" s="3" t="s">
        <v>22</v>
      </c>
      <c r="D76" s="3">
        <v>148</v>
      </c>
      <c r="E76" s="3">
        <v>0.192</v>
      </c>
      <c r="F76" s="3">
        <v>1.558075101</v>
      </c>
      <c r="G76">
        <f t="shared" si="8"/>
        <v>3.05382719796</v>
      </c>
      <c r="H76" t="str">
        <f t="shared" si="6"/>
        <v>-2.86</v>
      </c>
      <c r="I76" t="str">
        <f t="shared" si="7"/>
        <v>3.25</v>
      </c>
      <c r="J76" t="str">
        <f t="shared" si="9"/>
        <v>0.192 [-2.86, 3.25]</v>
      </c>
    </row>
    <row r="77" spans="1:10" x14ac:dyDescent="0.35">
      <c r="A77" s="3">
        <v>43</v>
      </c>
      <c r="B77" s="4"/>
      <c r="C77" s="3" t="s">
        <v>13</v>
      </c>
      <c r="D77" s="3">
        <v>147</v>
      </c>
      <c r="E77" s="3">
        <v>0.30199999999999999</v>
      </c>
      <c r="F77" s="3">
        <v>0.16600000000000001</v>
      </c>
      <c r="G77">
        <f t="shared" si="8"/>
        <v>0.32536000000000004</v>
      </c>
      <c r="H77" t="str">
        <f t="shared" si="6"/>
        <v>-0.02</v>
      </c>
      <c r="I77" t="str">
        <f t="shared" si="7"/>
        <v>0.63</v>
      </c>
      <c r="J77" t="str">
        <f t="shared" si="9"/>
        <v>0.302 [-0.02, 0.63]</v>
      </c>
    </row>
    <row r="78" spans="1:10" x14ac:dyDescent="0.35">
      <c r="A78" s="3">
        <v>43</v>
      </c>
      <c r="B78" s="4"/>
      <c r="C78" s="3" t="s">
        <v>19</v>
      </c>
      <c r="D78" s="3">
        <v>147</v>
      </c>
      <c r="E78" s="3">
        <v>0.26500000000000001</v>
      </c>
      <c r="F78" s="3">
        <v>0.16600000000000001</v>
      </c>
      <c r="G78">
        <f t="shared" si="8"/>
        <v>0.32536000000000004</v>
      </c>
      <c r="H78" t="str">
        <f t="shared" si="6"/>
        <v>-0.06</v>
      </c>
      <c r="I78" t="str">
        <f t="shared" si="7"/>
        <v>0.59</v>
      </c>
      <c r="J78" t="str">
        <f t="shared" si="9"/>
        <v>0.265 [-0.06, 0.59]</v>
      </c>
    </row>
    <row r="79" spans="1:10" x14ac:dyDescent="0.35">
      <c r="A79" s="3">
        <v>45</v>
      </c>
      <c r="B79" s="4" t="s">
        <v>54</v>
      </c>
      <c r="C79" s="3" t="s">
        <v>13</v>
      </c>
      <c r="D79" s="3">
        <v>47</v>
      </c>
      <c r="E79" s="3">
        <v>0.61</v>
      </c>
      <c r="F79" s="3">
        <v>0.29899999999999999</v>
      </c>
      <c r="G79">
        <f t="shared" si="8"/>
        <v>0.58604000000000001</v>
      </c>
      <c r="H79" t="str">
        <f t="shared" si="6"/>
        <v>0.02</v>
      </c>
      <c r="I79" t="str">
        <f t="shared" si="7"/>
        <v>1.20</v>
      </c>
      <c r="J79" t="str">
        <f t="shared" si="9"/>
        <v>0.61 [0.02, 1.20]</v>
      </c>
    </row>
    <row r="80" spans="1:10" x14ac:dyDescent="0.35">
      <c r="A80" s="3">
        <v>45</v>
      </c>
      <c r="B80" s="4"/>
      <c r="C80" s="3" t="s">
        <v>17</v>
      </c>
      <c r="D80" s="3">
        <v>48</v>
      </c>
      <c r="E80" s="3">
        <v>0.55400000000000005</v>
      </c>
      <c r="F80" s="3">
        <v>0.59197712300000005</v>
      </c>
      <c r="G80">
        <f t="shared" si="8"/>
        <v>1.1602751610800002</v>
      </c>
      <c r="H80" t="str">
        <f t="shared" si="6"/>
        <v>-0.61</v>
      </c>
      <c r="I80" t="str">
        <f t="shared" si="7"/>
        <v>1.71</v>
      </c>
      <c r="J80" t="str">
        <f t="shared" si="9"/>
        <v>0.554 [-0.61, 1.71]</v>
      </c>
    </row>
    <row r="81" spans="1:10" x14ac:dyDescent="0.35">
      <c r="A81" s="3">
        <v>45</v>
      </c>
      <c r="B81" s="4"/>
      <c r="C81" s="3" t="s">
        <v>15</v>
      </c>
      <c r="D81" s="3">
        <v>48</v>
      </c>
      <c r="E81" s="3">
        <v>0.17499999999999999</v>
      </c>
      <c r="F81" s="3">
        <v>1.577747037</v>
      </c>
      <c r="G81">
        <f t="shared" si="8"/>
        <v>3.09238419252</v>
      </c>
      <c r="H81" t="str">
        <f t="shared" si="6"/>
        <v>-2.92</v>
      </c>
      <c r="I81" t="str">
        <f t="shared" si="7"/>
        <v>3.27</v>
      </c>
      <c r="J81" t="str">
        <f t="shared" si="9"/>
        <v>0.175 [-2.92, 3.27]</v>
      </c>
    </row>
    <row r="82" spans="1:10" x14ac:dyDescent="0.35">
      <c r="A82" s="3">
        <v>45</v>
      </c>
      <c r="B82" s="4"/>
      <c r="C82" s="3" t="s">
        <v>19</v>
      </c>
      <c r="D82" s="3">
        <v>47</v>
      </c>
      <c r="E82" s="3">
        <v>2.1999999999999999E-2</v>
      </c>
      <c r="F82" s="3">
        <v>0.29199999999999998</v>
      </c>
      <c r="G82">
        <f t="shared" si="8"/>
        <v>0.57231999999999994</v>
      </c>
      <c r="H82" t="str">
        <f t="shared" si="6"/>
        <v>-0.55</v>
      </c>
      <c r="I82" t="str">
        <f t="shared" si="7"/>
        <v>0.59</v>
      </c>
      <c r="J82" t="str">
        <f t="shared" si="9"/>
        <v>0.022 [-0.55, 0.59]</v>
      </c>
    </row>
    <row r="83" spans="1:10" x14ac:dyDescent="0.35">
      <c r="A83" s="3">
        <v>45</v>
      </c>
      <c r="B83" s="4"/>
      <c r="C83" s="3" t="s">
        <v>9</v>
      </c>
      <c r="D83" s="3">
        <v>47</v>
      </c>
      <c r="E83" s="3">
        <v>0.68400000000000005</v>
      </c>
      <c r="F83" s="3">
        <v>0.30099999999999999</v>
      </c>
      <c r="G83">
        <f t="shared" si="8"/>
        <v>0.58995999999999993</v>
      </c>
      <c r="H83" t="str">
        <f t="shared" si="6"/>
        <v>0.09</v>
      </c>
      <c r="I83" t="str">
        <f t="shared" si="7"/>
        <v>1.27</v>
      </c>
      <c r="J83" t="str">
        <f t="shared" si="9"/>
        <v>0.684 [0.09, 1.27]</v>
      </c>
    </row>
    <row r="84" spans="1:10" x14ac:dyDescent="0.35">
      <c r="A84" s="3">
        <v>46</v>
      </c>
      <c r="B84" s="4" t="s">
        <v>55</v>
      </c>
      <c r="C84" s="3" t="s">
        <v>13</v>
      </c>
      <c r="D84" s="3">
        <v>28</v>
      </c>
      <c r="E84" s="3">
        <v>0.44700000000000001</v>
      </c>
      <c r="F84" s="3">
        <v>0.38400000000000001</v>
      </c>
      <c r="G84">
        <f t="shared" si="8"/>
        <v>0.75263999999999998</v>
      </c>
      <c r="H84" t="str">
        <f t="shared" si="6"/>
        <v>-0.31</v>
      </c>
      <c r="I84" t="str">
        <f t="shared" si="7"/>
        <v>1.20</v>
      </c>
      <c r="J84" t="str">
        <f t="shared" si="9"/>
        <v>0.447 [-0.31, 1.20]</v>
      </c>
    </row>
    <row r="85" spans="1:10" x14ac:dyDescent="0.35">
      <c r="A85" s="3">
        <v>46</v>
      </c>
      <c r="B85" s="4"/>
      <c r="C85" s="3" t="s">
        <v>16</v>
      </c>
      <c r="D85" s="3">
        <v>29</v>
      </c>
      <c r="E85" s="3">
        <v>0.84599999999999997</v>
      </c>
      <c r="F85" s="3">
        <v>0.98378461500000003</v>
      </c>
      <c r="G85">
        <f t="shared" si="8"/>
        <v>1.9282178454000001</v>
      </c>
      <c r="H85" t="str">
        <f t="shared" si="6"/>
        <v>-1.08</v>
      </c>
      <c r="I85" t="str">
        <f t="shared" si="7"/>
        <v>2.77</v>
      </c>
      <c r="J85" t="str">
        <f t="shared" si="9"/>
        <v>0.846 [-1.08, 2.77]</v>
      </c>
    </row>
    <row r="86" spans="1:10" x14ac:dyDescent="0.35">
      <c r="A86" s="3">
        <v>46</v>
      </c>
      <c r="B86" s="4"/>
      <c r="C86" s="3" t="s">
        <v>14</v>
      </c>
      <c r="D86" s="3">
        <v>29</v>
      </c>
      <c r="E86" s="3">
        <v>0.86699999999999999</v>
      </c>
      <c r="F86" s="3">
        <v>2.035580935</v>
      </c>
      <c r="G86">
        <f t="shared" si="8"/>
        <v>3.9897386325999999</v>
      </c>
      <c r="H86" t="str">
        <f t="shared" si="6"/>
        <v>-3.12</v>
      </c>
      <c r="I86" t="str">
        <f t="shared" si="7"/>
        <v>4.86</v>
      </c>
      <c r="J86" t="str">
        <f t="shared" si="9"/>
        <v>0.867 [-3.12, 4.86]</v>
      </c>
    </row>
    <row r="87" spans="1:10" x14ac:dyDescent="0.35">
      <c r="A87" s="3">
        <v>49</v>
      </c>
      <c r="B87" s="4" t="s">
        <v>57</v>
      </c>
      <c r="C87" s="3" t="s">
        <v>22</v>
      </c>
      <c r="D87" s="3">
        <v>119</v>
      </c>
      <c r="E87" s="3">
        <v>1.169</v>
      </c>
      <c r="F87" s="3">
        <v>1.0514112360000001</v>
      </c>
      <c r="G87">
        <f t="shared" si="8"/>
        <v>2.0607660225600002</v>
      </c>
      <c r="H87" t="str">
        <f t="shared" si="6"/>
        <v>-0.89</v>
      </c>
      <c r="I87" t="str">
        <f t="shared" si="7"/>
        <v>3.23</v>
      </c>
      <c r="J87" t="str">
        <f t="shared" si="9"/>
        <v>1.169 [-0.89, 3.23]</v>
      </c>
    </row>
    <row r="88" spans="1:10" x14ac:dyDescent="0.35">
      <c r="A88" s="3">
        <v>49</v>
      </c>
      <c r="B88" s="4"/>
      <c r="C88" s="3" t="s">
        <v>13</v>
      </c>
      <c r="D88" s="3">
        <v>118</v>
      </c>
      <c r="E88" s="3">
        <v>0.16200000000000001</v>
      </c>
      <c r="F88" s="3">
        <v>0.19500000000000001</v>
      </c>
      <c r="G88">
        <f t="shared" si="8"/>
        <v>0.38219999999999998</v>
      </c>
      <c r="H88" t="str">
        <f t="shared" si="6"/>
        <v>-0.22</v>
      </c>
      <c r="I88" t="str">
        <f t="shared" si="7"/>
        <v>0.54</v>
      </c>
      <c r="J88" t="str">
        <f t="shared" si="9"/>
        <v>0.162 [-0.22, 0.54]</v>
      </c>
    </row>
    <row r="89" spans="1:10" x14ac:dyDescent="0.35">
      <c r="A89" s="3">
        <v>49</v>
      </c>
      <c r="B89" s="4"/>
      <c r="C89" s="3" t="s">
        <v>19</v>
      </c>
      <c r="D89" s="3">
        <v>118</v>
      </c>
      <c r="E89" s="3">
        <v>0.13200000000000001</v>
      </c>
      <c r="F89" s="3">
        <v>0.19500000000000001</v>
      </c>
      <c r="G89">
        <f t="shared" si="8"/>
        <v>0.38219999999999998</v>
      </c>
      <c r="H89" t="str">
        <f t="shared" si="6"/>
        <v>-0.25</v>
      </c>
      <c r="I89" t="str">
        <f t="shared" si="7"/>
        <v>0.51</v>
      </c>
      <c r="J89" t="str">
        <f t="shared" si="9"/>
        <v>0.132 [-0.25, 0.51]</v>
      </c>
    </row>
    <row r="90" spans="1:10" x14ac:dyDescent="0.35">
      <c r="A90" s="3">
        <v>49</v>
      </c>
      <c r="B90" s="4"/>
      <c r="C90" s="3" t="s">
        <v>9</v>
      </c>
      <c r="D90" s="3">
        <v>118</v>
      </c>
      <c r="E90" s="3">
        <v>1.165</v>
      </c>
      <c r="F90" s="3">
        <v>0.20899999999999999</v>
      </c>
      <c r="G90">
        <f t="shared" si="8"/>
        <v>0.40963999999999995</v>
      </c>
      <c r="H90" t="str">
        <f t="shared" si="6"/>
        <v>0.76</v>
      </c>
      <c r="I90" t="str">
        <f t="shared" si="7"/>
        <v>1.57</v>
      </c>
      <c r="J90" t="str">
        <f t="shared" si="9"/>
        <v>1.165 [0.76, 1.57]</v>
      </c>
    </row>
    <row r="91" spans="1:10" x14ac:dyDescent="0.35">
      <c r="A91" s="3">
        <v>52</v>
      </c>
      <c r="B91" s="4" t="s">
        <v>59</v>
      </c>
      <c r="C91" s="3" t="s">
        <v>13</v>
      </c>
      <c r="D91" s="3">
        <v>62</v>
      </c>
      <c r="E91" s="3">
        <v>0.124</v>
      </c>
      <c r="F91" s="3">
        <v>0.254</v>
      </c>
      <c r="G91">
        <f t="shared" si="8"/>
        <v>0.49784</v>
      </c>
      <c r="H91" t="str">
        <f t="shared" si="6"/>
        <v>-0.37</v>
      </c>
      <c r="I91" t="str">
        <f t="shared" si="7"/>
        <v>0.62</v>
      </c>
      <c r="J91" t="str">
        <f t="shared" si="9"/>
        <v>0.124 [-0.37, 0.62]</v>
      </c>
    </row>
    <row r="92" spans="1:10" x14ac:dyDescent="0.35">
      <c r="A92" s="3">
        <v>52</v>
      </c>
      <c r="B92" s="4"/>
      <c r="C92" s="3" t="s">
        <v>17</v>
      </c>
      <c r="D92" s="3">
        <v>63</v>
      </c>
      <c r="E92" s="3">
        <v>0.76</v>
      </c>
      <c r="F92" s="3">
        <v>0.62434994200000005</v>
      </c>
      <c r="G92">
        <f t="shared" si="8"/>
        <v>1.22372588632</v>
      </c>
      <c r="H92" t="str">
        <f t="shared" si="6"/>
        <v>-0.46</v>
      </c>
      <c r="I92" t="str">
        <f t="shared" si="7"/>
        <v>1.98</v>
      </c>
      <c r="J92" t="str">
        <f t="shared" si="9"/>
        <v>0.76 [-0.46, 1.98]</v>
      </c>
    </row>
    <row r="93" spans="1:10" x14ac:dyDescent="0.35">
      <c r="A93" s="3">
        <v>52</v>
      </c>
      <c r="B93" s="4"/>
      <c r="C93" s="3" t="s">
        <v>15</v>
      </c>
      <c r="D93" s="3">
        <v>63</v>
      </c>
      <c r="E93" s="3">
        <v>0.621</v>
      </c>
      <c r="F93" s="3">
        <v>1.0651210069999999</v>
      </c>
      <c r="G93">
        <f t="shared" si="8"/>
        <v>2.0876371737199997</v>
      </c>
      <c r="H93" t="str">
        <f t="shared" si="6"/>
        <v>-1.47</v>
      </c>
      <c r="I93" t="str">
        <f t="shared" si="7"/>
        <v>2.71</v>
      </c>
      <c r="J93" t="str">
        <f t="shared" si="9"/>
        <v>0.621 [-1.47, 2.71]</v>
      </c>
    </row>
    <row r="94" spans="1:10" x14ac:dyDescent="0.35">
      <c r="A94" s="3">
        <v>52</v>
      </c>
      <c r="B94" s="4"/>
      <c r="C94" s="3" t="s">
        <v>19</v>
      </c>
      <c r="D94" s="3">
        <v>62</v>
      </c>
      <c r="E94" s="3">
        <v>0.58199999999999996</v>
      </c>
      <c r="F94" s="3">
        <v>0.26</v>
      </c>
      <c r="G94">
        <f t="shared" si="8"/>
        <v>0.50960000000000005</v>
      </c>
      <c r="H94" t="str">
        <f t="shared" si="6"/>
        <v>0.07</v>
      </c>
      <c r="I94" t="str">
        <f t="shared" si="7"/>
        <v>1.09</v>
      </c>
      <c r="J94" t="str">
        <f t="shared" si="9"/>
        <v>0.582 [0.07, 1.09]</v>
      </c>
    </row>
    <row r="95" spans="1:10" x14ac:dyDescent="0.35">
      <c r="A95" s="3">
        <v>52</v>
      </c>
      <c r="B95" s="4"/>
      <c r="C95" s="3" t="s">
        <v>9</v>
      </c>
      <c r="D95" s="3">
        <v>62</v>
      </c>
      <c r="E95" s="3">
        <v>0.58699999999999997</v>
      </c>
      <c r="F95" s="3">
        <v>0.26</v>
      </c>
      <c r="G95">
        <f t="shared" si="8"/>
        <v>0.50960000000000005</v>
      </c>
      <c r="H95" t="str">
        <f t="shared" si="6"/>
        <v>0.08</v>
      </c>
      <c r="I95" t="str">
        <f t="shared" si="7"/>
        <v>1.10</v>
      </c>
      <c r="J95" t="str">
        <f t="shared" si="9"/>
        <v>0.587 [0.08, 1.10]</v>
      </c>
    </row>
    <row r="96" spans="1:10" x14ac:dyDescent="0.35">
      <c r="A96" s="3">
        <v>54</v>
      </c>
      <c r="B96" s="4" t="s">
        <v>61</v>
      </c>
      <c r="C96" s="3" t="s">
        <v>22</v>
      </c>
      <c r="D96" s="3">
        <v>40</v>
      </c>
      <c r="E96" s="3">
        <v>3.036</v>
      </c>
      <c r="F96" s="3">
        <v>0.74913582300000003</v>
      </c>
      <c r="G96">
        <f t="shared" si="8"/>
        <v>1.46830621308</v>
      </c>
      <c r="H96" t="str">
        <f t="shared" si="6"/>
        <v>1.57</v>
      </c>
      <c r="I96" t="str">
        <f t="shared" si="7"/>
        <v>4.50</v>
      </c>
      <c r="J96" t="str">
        <f t="shared" si="9"/>
        <v>3.036 [1.57, 4.50]</v>
      </c>
    </row>
    <row r="97" spans="1:10" x14ac:dyDescent="0.35">
      <c r="A97" s="3">
        <v>54</v>
      </c>
      <c r="B97" s="4"/>
      <c r="C97" s="3" t="s">
        <v>27</v>
      </c>
      <c r="D97" s="3">
        <v>39</v>
      </c>
      <c r="E97" s="3">
        <v>0.25</v>
      </c>
      <c r="F97" s="3">
        <v>0.32200000000000001</v>
      </c>
      <c r="G97">
        <f t="shared" si="8"/>
        <v>0.63112000000000001</v>
      </c>
      <c r="H97" t="str">
        <f t="shared" si="6"/>
        <v>-0.38</v>
      </c>
      <c r="I97" t="str">
        <f t="shared" si="7"/>
        <v>0.88</v>
      </c>
      <c r="J97" t="str">
        <f t="shared" si="9"/>
        <v>0.25 [-0.38, 0.88]</v>
      </c>
    </row>
    <row r="98" spans="1:10" x14ac:dyDescent="0.35">
      <c r="A98" s="3">
        <v>54</v>
      </c>
      <c r="B98" s="4"/>
      <c r="C98" s="3" t="s">
        <v>13</v>
      </c>
      <c r="D98" s="3">
        <v>39</v>
      </c>
      <c r="E98" s="3">
        <v>1.1359999999999999</v>
      </c>
      <c r="F98" s="3">
        <v>0.34699999999999998</v>
      </c>
      <c r="G98">
        <f t="shared" si="8"/>
        <v>0.68011999999999995</v>
      </c>
      <c r="H98" t="str">
        <f t="shared" si="6"/>
        <v>0.46</v>
      </c>
      <c r="I98" t="str">
        <f t="shared" si="7"/>
        <v>1.82</v>
      </c>
      <c r="J98" t="str">
        <f t="shared" si="9"/>
        <v>1.136 [0.46, 1.82]</v>
      </c>
    </row>
    <row r="99" spans="1:10" x14ac:dyDescent="0.35">
      <c r="A99" s="3">
        <v>54</v>
      </c>
      <c r="B99" s="4"/>
      <c r="C99" s="3" t="s">
        <v>19</v>
      </c>
      <c r="D99" s="3">
        <v>39</v>
      </c>
      <c r="E99" s="3">
        <v>0.40699999999999997</v>
      </c>
      <c r="F99" s="3">
        <v>0.32400000000000001</v>
      </c>
      <c r="G99">
        <f t="shared" si="8"/>
        <v>0.63504000000000005</v>
      </c>
      <c r="H99" t="str">
        <f t="shared" si="6"/>
        <v>-0.23</v>
      </c>
      <c r="I99" t="str">
        <f t="shared" si="7"/>
        <v>1.04</v>
      </c>
      <c r="J99" t="str">
        <f t="shared" si="9"/>
        <v>0.407 [-0.23, 1.04]</v>
      </c>
    </row>
    <row r="100" spans="1:10" x14ac:dyDescent="0.35">
      <c r="A100" s="3">
        <v>54</v>
      </c>
      <c r="B100" s="4"/>
      <c r="C100" s="3" t="s">
        <v>16</v>
      </c>
      <c r="D100" s="3">
        <v>40</v>
      </c>
      <c r="E100" s="3">
        <v>1.7050000000000001</v>
      </c>
      <c r="F100" s="3">
        <v>0.68202017199999998</v>
      </c>
      <c r="G100">
        <f t="shared" si="8"/>
        <v>1.3367595371199998</v>
      </c>
      <c r="H100" t="str">
        <f t="shared" si="6"/>
        <v>0.37</v>
      </c>
      <c r="I100" t="str">
        <f t="shared" si="7"/>
        <v>3.04</v>
      </c>
      <c r="J100" t="str">
        <f t="shared" si="9"/>
        <v>1.705 [0.37, 3.04]</v>
      </c>
    </row>
    <row r="101" spans="1:10" x14ac:dyDescent="0.35">
      <c r="A101" s="3">
        <v>54</v>
      </c>
      <c r="B101" s="4"/>
      <c r="C101" s="3" t="s">
        <v>14</v>
      </c>
      <c r="D101" s="3">
        <v>40</v>
      </c>
      <c r="E101" s="3">
        <v>1.7050000000000001</v>
      </c>
      <c r="F101" s="3">
        <v>0.68202017199999998</v>
      </c>
      <c r="G101">
        <f t="shared" si="8"/>
        <v>1.3367595371199998</v>
      </c>
      <c r="H101" t="str">
        <f t="shared" si="6"/>
        <v>0.37</v>
      </c>
      <c r="I101" t="str">
        <f t="shared" si="7"/>
        <v>3.04</v>
      </c>
      <c r="J101" t="str">
        <f t="shared" si="9"/>
        <v>1.705 [0.37, 3.04]</v>
      </c>
    </row>
    <row r="102" spans="1:10" x14ac:dyDescent="0.35">
      <c r="A102" s="3">
        <v>54</v>
      </c>
      <c r="B102" s="4"/>
      <c r="C102" s="3" t="s">
        <v>9</v>
      </c>
      <c r="D102" s="3">
        <v>39</v>
      </c>
      <c r="E102" s="3">
        <v>1.056</v>
      </c>
      <c r="F102" s="3">
        <v>0.34300000000000003</v>
      </c>
      <c r="G102">
        <f t="shared" si="8"/>
        <v>0.67227999999999999</v>
      </c>
      <c r="H102" t="str">
        <f t="shared" si="6"/>
        <v>0.38</v>
      </c>
      <c r="I102" t="str">
        <f t="shared" si="7"/>
        <v>1.73</v>
      </c>
      <c r="J102" t="str">
        <f t="shared" si="9"/>
        <v>1.056 [0.38, 1.73]</v>
      </c>
    </row>
    <row r="103" spans="1:10" x14ac:dyDescent="0.35">
      <c r="A103" s="3">
        <v>55</v>
      </c>
      <c r="B103" s="4" t="s">
        <v>62</v>
      </c>
      <c r="C103" s="3" t="s">
        <v>27</v>
      </c>
      <c r="D103" s="3">
        <v>31</v>
      </c>
      <c r="E103" s="3">
        <v>8.7999999999999995E-2</v>
      </c>
      <c r="F103" s="3">
        <v>0.36099999999999999</v>
      </c>
      <c r="G103">
        <f t="shared" si="8"/>
        <v>0.70755999999999997</v>
      </c>
      <c r="H103" t="str">
        <f t="shared" si="6"/>
        <v>-0.62</v>
      </c>
      <c r="I103" t="str">
        <f t="shared" si="7"/>
        <v>0.80</v>
      </c>
      <c r="J103" t="str">
        <f t="shared" si="9"/>
        <v>0.088 [-0.62, 0.80]</v>
      </c>
    </row>
    <row r="104" spans="1:10" x14ac:dyDescent="0.35">
      <c r="A104" s="3">
        <v>55</v>
      </c>
      <c r="B104" s="4"/>
      <c r="C104" s="3" t="s">
        <v>13</v>
      </c>
      <c r="D104" s="3">
        <v>31</v>
      </c>
      <c r="E104" s="3">
        <v>0.39600000000000002</v>
      </c>
      <c r="F104" s="3">
        <v>0.36499999999999999</v>
      </c>
      <c r="G104">
        <f t="shared" si="8"/>
        <v>0.71539999999999992</v>
      </c>
      <c r="H104" t="str">
        <f t="shared" si="6"/>
        <v>-0.32</v>
      </c>
      <c r="I104" t="str">
        <f t="shared" si="7"/>
        <v>1.11</v>
      </c>
      <c r="J104" t="str">
        <f t="shared" si="9"/>
        <v>0.396 [-0.32, 1.11]</v>
      </c>
    </row>
    <row r="105" spans="1:10" x14ac:dyDescent="0.35">
      <c r="A105" s="3">
        <v>55</v>
      </c>
      <c r="B105" s="4"/>
      <c r="C105" s="3" t="s">
        <v>17</v>
      </c>
      <c r="D105" s="3">
        <v>32</v>
      </c>
      <c r="E105" s="3">
        <v>0.76200000000000001</v>
      </c>
      <c r="F105" s="3">
        <v>0.75297906100000001</v>
      </c>
      <c r="G105">
        <f t="shared" si="8"/>
        <v>1.4758389595599999</v>
      </c>
      <c r="H105" t="str">
        <f t="shared" si="6"/>
        <v>-0.71</v>
      </c>
      <c r="I105" t="str">
        <f t="shared" si="7"/>
        <v>2.24</v>
      </c>
      <c r="J105" t="str">
        <f t="shared" si="9"/>
        <v>0.762 [-0.71, 2.24]</v>
      </c>
    </row>
    <row r="106" spans="1:10" x14ac:dyDescent="0.35">
      <c r="A106" s="3">
        <v>55</v>
      </c>
      <c r="B106" s="4"/>
      <c r="C106" s="3" t="s">
        <v>15</v>
      </c>
      <c r="D106" s="3">
        <v>32</v>
      </c>
      <c r="E106" s="3">
        <v>1.214</v>
      </c>
      <c r="F106" s="3">
        <v>2.0323021680000002</v>
      </c>
      <c r="G106">
        <f t="shared" si="8"/>
        <v>3.9833122492800004</v>
      </c>
      <c r="H106" t="str">
        <f t="shared" si="6"/>
        <v>-2.77</v>
      </c>
      <c r="I106" t="str">
        <f t="shared" si="7"/>
        <v>5.20</v>
      </c>
      <c r="J106" t="str">
        <f t="shared" si="9"/>
        <v>1.214 [-2.77, 5.20]</v>
      </c>
    </row>
    <row r="107" spans="1:10" x14ac:dyDescent="0.35">
      <c r="A107" s="3">
        <v>55</v>
      </c>
      <c r="B107" s="4"/>
      <c r="C107" s="3" t="s">
        <v>19</v>
      </c>
      <c r="D107" s="3">
        <v>31</v>
      </c>
      <c r="E107" s="3">
        <v>0.27300000000000002</v>
      </c>
      <c r="F107" s="3">
        <v>0.36299999999999999</v>
      </c>
      <c r="G107">
        <f t="shared" si="8"/>
        <v>0.71148</v>
      </c>
      <c r="H107" t="str">
        <f t="shared" si="6"/>
        <v>-0.44</v>
      </c>
      <c r="I107" t="str">
        <f t="shared" si="7"/>
        <v>0.98</v>
      </c>
      <c r="J107" t="str">
        <f t="shared" si="9"/>
        <v>0.273 [-0.44, 0.98]</v>
      </c>
    </row>
    <row r="108" spans="1:10" x14ac:dyDescent="0.35">
      <c r="A108" s="3">
        <v>62</v>
      </c>
      <c r="B108" s="4" t="s">
        <v>65</v>
      </c>
      <c r="C108" s="3" t="s">
        <v>27</v>
      </c>
      <c r="D108" s="3">
        <v>72</v>
      </c>
      <c r="E108" s="3">
        <v>0.25600000000000001</v>
      </c>
      <c r="F108" s="3">
        <v>0.23699999999999999</v>
      </c>
      <c r="G108">
        <f t="shared" si="8"/>
        <v>0.46451999999999999</v>
      </c>
      <c r="H108" t="str">
        <f t="shared" si="6"/>
        <v>-0.21</v>
      </c>
      <c r="I108" t="str">
        <f t="shared" si="7"/>
        <v>0.72</v>
      </c>
      <c r="J108" t="str">
        <f t="shared" si="9"/>
        <v>0.256 [-0.21, 0.72]</v>
      </c>
    </row>
    <row r="109" spans="1:10" x14ac:dyDescent="0.35">
      <c r="A109" s="3">
        <v>62</v>
      </c>
      <c r="B109" s="4"/>
      <c r="C109" s="3" t="s">
        <v>13</v>
      </c>
      <c r="D109" s="3">
        <v>72</v>
      </c>
      <c r="E109" s="3">
        <v>0.27900000000000003</v>
      </c>
      <c r="F109" s="3">
        <v>0.23699999999999999</v>
      </c>
      <c r="G109">
        <f t="shared" si="8"/>
        <v>0.46451999999999999</v>
      </c>
      <c r="H109" t="str">
        <f t="shared" si="6"/>
        <v>-0.19</v>
      </c>
      <c r="I109" t="str">
        <f t="shared" si="7"/>
        <v>0.74</v>
      </c>
      <c r="J109" t="str">
        <f t="shared" si="9"/>
        <v>0.279 [-0.19, 0.74]</v>
      </c>
    </row>
    <row r="110" spans="1:10" x14ac:dyDescent="0.35">
      <c r="A110" s="3">
        <v>66</v>
      </c>
      <c r="B110" s="4" t="s">
        <v>66</v>
      </c>
      <c r="C110" s="3" t="s">
        <v>22</v>
      </c>
      <c r="D110" s="3">
        <v>221</v>
      </c>
      <c r="E110" s="3">
        <v>0.752</v>
      </c>
      <c r="F110" s="3">
        <v>0.33869646599999997</v>
      </c>
      <c r="G110">
        <f t="shared" si="8"/>
        <v>0.66384507335999998</v>
      </c>
      <c r="H110" t="str">
        <f t="shared" si="6"/>
        <v>0.09</v>
      </c>
      <c r="I110" t="str">
        <f t="shared" si="7"/>
        <v>1.42</v>
      </c>
      <c r="J110" t="str">
        <f t="shared" si="9"/>
        <v>0.752 [0.09, 1.42]</v>
      </c>
    </row>
    <row r="111" spans="1:10" x14ac:dyDescent="0.35">
      <c r="A111" s="3">
        <v>68</v>
      </c>
      <c r="B111" s="4" t="s">
        <v>67</v>
      </c>
      <c r="C111" s="3" t="s">
        <v>27</v>
      </c>
      <c r="D111" s="3">
        <v>12</v>
      </c>
      <c r="E111" s="3">
        <v>0.23200000000000001</v>
      </c>
      <c r="F111" s="3">
        <v>0.57999999999999996</v>
      </c>
      <c r="G111">
        <f t="shared" si="8"/>
        <v>1.1367999999999998</v>
      </c>
      <c r="H111" t="str">
        <f t="shared" si="6"/>
        <v>-0.90</v>
      </c>
      <c r="I111" t="str">
        <f t="shared" si="7"/>
        <v>1.37</v>
      </c>
      <c r="J111" t="str">
        <f t="shared" si="9"/>
        <v>0.232 [-0.90, 1.37]</v>
      </c>
    </row>
    <row r="112" spans="1:10" ht="16" x14ac:dyDescent="0.4">
      <c r="A112" s="3">
        <v>68</v>
      </c>
      <c r="B112" s="5"/>
      <c r="C112" s="3" t="s">
        <v>19</v>
      </c>
      <c r="D112" s="3">
        <v>12</v>
      </c>
      <c r="E112" s="3">
        <v>0.24299999999999999</v>
      </c>
      <c r="F112" s="3">
        <v>0.57999999999999996</v>
      </c>
      <c r="G112">
        <f t="shared" si="8"/>
        <v>1.1367999999999998</v>
      </c>
      <c r="H112" t="str">
        <f t="shared" si="6"/>
        <v>-0.89</v>
      </c>
      <c r="I112" t="str">
        <f t="shared" si="7"/>
        <v>1.38</v>
      </c>
      <c r="J112" t="str">
        <f t="shared" si="9"/>
        <v>0.243 [-0.89, 1.38]</v>
      </c>
    </row>
    <row r="113" spans="1:10" x14ac:dyDescent="0.35">
      <c r="A113" s="3">
        <v>73</v>
      </c>
      <c r="B113" s="4" t="s">
        <v>71</v>
      </c>
      <c r="C113" s="3" t="s">
        <v>27</v>
      </c>
      <c r="D113" s="3">
        <v>40</v>
      </c>
      <c r="E113" s="3">
        <v>0.45100000000000001</v>
      </c>
      <c r="F113" s="3">
        <v>0.32</v>
      </c>
      <c r="G113">
        <f t="shared" si="8"/>
        <v>0.62719999999999998</v>
      </c>
      <c r="H113" t="str">
        <f t="shared" si="6"/>
        <v>-0.18</v>
      </c>
      <c r="I113" t="str">
        <f t="shared" si="7"/>
        <v>1.08</v>
      </c>
      <c r="J113" t="str">
        <f t="shared" si="9"/>
        <v>0.451 [-0.18, 1.08]</v>
      </c>
    </row>
    <row r="114" spans="1:10" ht="16" x14ac:dyDescent="0.4">
      <c r="A114" s="3">
        <v>73</v>
      </c>
      <c r="B114" s="5"/>
      <c r="C114" s="3" t="s">
        <v>19</v>
      </c>
      <c r="D114" s="3">
        <v>40</v>
      </c>
      <c r="E114" s="3">
        <v>0.47399999999999998</v>
      </c>
      <c r="F114" s="3">
        <v>0.32100000000000001</v>
      </c>
      <c r="G114">
        <f t="shared" si="8"/>
        <v>0.62916000000000005</v>
      </c>
      <c r="H114" t="str">
        <f t="shared" si="6"/>
        <v>-0.16</v>
      </c>
      <c r="I114" t="str">
        <f t="shared" si="7"/>
        <v>1.10</v>
      </c>
      <c r="J114" t="str">
        <f t="shared" si="9"/>
        <v>0.474 [-0.16, 1.10]</v>
      </c>
    </row>
    <row r="115" spans="1:10" x14ac:dyDescent="0.35">
      <c r="A115" s="3">
        <v>76</v>
      </c>
      <c r="B115" s="4" t="s">
        <v>72</v>
      </c>
      <c r="C115" s="3" t="s">
        <v>22</v>
      </c>
      <c r="D115" s="3">
        <v>181</v>
      </c>
      <c r="E115" s="3">
        <v>0.56399999999999995</v>
      </c>
      <c r="F115" s="3">
        <v>0.488059462</v>
      </c>
      <c r="G115">
        <f t="shared" si="8"/>
        <v>0.95659654551999995</v>
      </c>
      <c r="H115" t="str">
        <f t="shared" si="6"/>
        <v>-0.39</v>
      </c>
      <c r="I115" t="str">
        <f t="shared" si="7"/>
        <v>1.52</v>
      </c>
      <c r="J115" t="str">
        <f t="shared" si="9"/>
        <v>0.564 [-0.39, 1.52]</v>
      </c>
    </row>
    <row r="116" spans="1:10" x14ac:dyDescent="0.35">
      <c r="A116" s="3">
        <v>76</v>
      </c>
      <c r="B116" s="4"/>
      <c r="C116" s="3" t="s">
        <v>13</v>
      </c>
      <c r="D116" s="3">
        <v>112</v>
      </c>
      <c r="E116" s="3">
        <v>0.247</v>
      </c>
      <c r="F116" s="3">
        <v>0.19</v>
      </c>
      <c r="G116">
        <f t="shared" si="8"/>
        <v>0.37240000000000001</v>
      </c>
      <c r="H116" t="str">
        <f t="shared" si="6"/>
        <v>-0.13</v>
      </c>
      <c r="I116" t="str">
        <f t="shared" si="7"/>
        <v>0.62</v>
      </c>
      <c r="J116" t="str">
        <f t="shared" si="9"/>
        <v>0.247 [-0.13, 0.62]</v>
      </c>
    </row>
    <row r="117" spans="1:10" x14ac:dyDescent="0.35">
      <c r="A117" s="3">
        <v>76</v>
      </c>
      <c r="B117" s="4"/>
      <c r="C117" s="3" t="s">
        <v>17</v>
      </c>
      <c r="D117" s="3">
        <v>112</v>
      </c>
      <c r="E117" s="3">
        <v>0.89900000000000002</v>
      </c>
      <c r="F117" s="3">
        <v>0.46928993099999999</v>
      </c>
      <c r="G117">
        <f t="shared" si="8"/>
        <v>0.91980826475999999</v>
      </c>
      <c r="H117" t="str">
        <f t="shared" si="6"/>
        <v>-0.02</v>
      </c>
      <c r="I117" t="str">
        <f t="shared" si="7"/>
        <v>1.82</v>
      </c>
      <c r="J117" t="str">
        <f t="shared" si="9"/>
        <v>0.899 [-0.02, 1.82]</v>
      </c>
    </row>
    <row r="118" spans="1:10" x14ac:dyDescent="0.35">
      <c r="A118" s="3">
        <v>76</v>
      </c>
      <c r="B118" s="4"/>
      <c r="C118" s="3" t="s">
        <v>15</v>
      </c>
      <c r="D118" s="3">
        <v>112</v>
      </c>
      <c r="E118" s="3">
        <v>0.35799999999999998</v>
      </c>
      <c r="F118" s="3">
        <v>1.644104148</v>
      </c>
      <c r="G118">
        <f t="shared" si="8"/>
        <v>3.22244413008</v>
      </c>
      <c r="H118" t="str">
        <f t="shared" si="6"/>
        <v>-2.86</v>
      </c>
      <c r="I118" t="str">
        <f t="shared" si="7"/>
        <v>3.58</v>
      </c>
      <c r="J118" t="str">
        <f t="shared" si="9"/>
        <v>0.358 [-2.86, 3.58]</v>
      </c>
    </row>
    <row r="119" spans="1:10" x14ac:dyDescent="0.35">
      <c r="A119" s="3">
        <v>76</v>
      </c>
      <c r="B119" s="4"/>
      <c r="C119" s="3" t="s">
        <v>16</v>
      </c>
      <c r="D119" s="3">
        <v>112</v>
      </c>
      <c r="E119" s="3">
        <v>0.67400000000000004</v>
      </c>
      <c r="F119" s="3">
        <v>0.58335115800000004</v>
      </c>
      <c r="G119">
        <f t="shared" si="8"/>
        <v>1.14336826968</v>
      </c>
      <c r="H119" t="str">
        <f t="shared" si="6"/>
        <v>-0.47</v>
      </c>
      <c r="I119" t="str">
        <f t="shared" si="7"/>
        <v>1.82</v>
      </c>
      <c r="J119" t="str">
        <f t="shared" si="9"/>
        <v>0.674 [-0.47, 1.82]</v>
      </c>
    </row>
    <row r="120" spans="1:10" x14ac:dyDescent="0.35">
      <c r="A120" s="3">
        <v>76</v>
      </c>
      <c r="B120" s="4"/>
      <c r="C120" s="3" t="s">
        <v>14</v>
      </c>
      <c r="D120" s="3">
        <v>112</v>
      </c>
      <c r="E120" s="3">
        <v>1.0940000000000001</v>
      </c>
      <c r="F120" s="3">
        <v>2.0090070440000001</v>
      </c>
      <c r="G120">
        <f t="shared" si="8"/>
        <v>3.9376538062400002</v>
      </c>
      <c r="H120" t="str">
        <f t="shared" si="6"/>
        <v>-2.84</v>
      </c>
      <c r="I120" t="str">
        <f t="shared" si="7"/>
        <v>5.03</v>
      </c>
      <c r="J120" t="str">
        <f t="shared" si="9"/>
        <v>1.094 [-2.84, 5.03]</v>
      </c>
    </row>
    <row r="121" spans="1:10" x14ac:dyDescent="0.35">
      <c r="A121" s="3">
        <v>77</v>
      </c>
      <c r="B121" s="4" t="s">
        <v>73</v>
      </c>
      <c r="C121" s="3" t="s">
        <v>22</v>
      </c>
      <c r="D121" s="3">
        <v>72</v>
      </c>
      <c r="E121" s="3">
        <v>0.64400000000000002</v>
      </c>
      <c r="F121" s="3">
        <v>0.75563926299999995</v>
      </c>
      <c r="G121">
        <f t="shared" si="8"/>
        <v>1.4810529554799998</v>
      </c>
      <c r="H121" t="str">
        <f t="shared" si="6"/>
        <v>-0.84</v>
      </c>
      <c r="I121" t="str">
        <f t="shared" si="7"/>
        <v>2.13</v>
      </c>
      <c r="J121" t="str">
        <f t="shared" si="9"/>
        <v>0.644 [-0.84, 2.13]</v>
      </c>
    </row>
    <row r="122" spans="1:10" x14ac:dyDescent="0.35">
      <c r="A122" s="3">
        <v>77</v>
      </c>
      <c r="B122" s="4"/>
      <c r="C122" s="3" t="s">
        <v>13</v>
      </c>
      <c r="D122" s="3">
        <v>71</v>
      </c>
      <c r="E122" s="3">
        <v>7.1999999999999995E-2</v>
      </c>
      <c r="F122" s="3">
        <v>0.23799999999999999</v>
      </c>
      <c r="G122">
        <f t="shared" si="8"/>
        <v>0.46647999999999995</v>
      </c>
      <c r="H122" t="str">
        <f t="shared" si="6"/>
        <v>-0.39</v>
      </c>
      <c r="I122" t="str">
        <f t="shared" si="7"/>
        <v>0.54</v>
      </c>
      <c r="J122" t="str">
        <f t="shared" si="9"/>
        <v>0.072 [-0.39, 0.54]</v>
      </c>
    </row>
    <row r="123" spans="1:10" x14ac:dyDescent="0.35">
      <c r="A123" s="3">
        <v>77</v>
      </c>
      <c r="B123" s="4"/>
      <c r="C123" s="3" t="s">
        <v>17</v>
      </c>
      <c r="D123" s="3">
        <v>72</v>
      </c>
      <c r="E123" s="3">
        <v>6.7000000000000004E-2</v>
      </c>
      <c r="F123" s="3">
        <v>1.497948015</v>
      </c>
      <c r="G123">
        <f t="shared" si="8"/>
        <v>2.9359781093999997</v>
      </c>
      <c r="H123" t="str">
        <f t="shared" si="6"/>
        <v>-2.87</v>
      </c>
      <c r="I123" t="str">
        <f t="shared" si="7"/>
        <v>3.00</v>
      </c>
      <c r="J123" t="str">
        <f t="shared" si="9"/>
        <v>0.067 [-2.87, 3.00]</v>
      </c>
    </row>
    <row r="124" spans="1:10" x14ac:dyDescent="0.35">
      <c r="A124" s="3">
        <v>77</v>
      </c>
      <c r="B124" s="4"/>
      <c r="C124" s="3" t="s">
        <v>15</v>
      </c>
      <c r="D124" s="3">
        <v>72</v>
      </c>
      <c r="E124" s="3">
        <v>1.6679999999999999</v>
      </c>
      <c r="F124" s="3">
        <v>0.59772768399999998</v>
      </c>
      <c r="G124">
        <f t="shared" si="8"/>
        <v>1.17154626064</v>
      </c>
      <c r="H124" t="str">
        <f t="shared" si="6"/>
        <v>0.50</v>
      </c>
      <c r="I124" t="str">
        <f t="shared" si="7"/>
        <v>2.84</v>
      </c>
      <c r="J124" t="str">
        <f t="shared" si="9"/>
        <v>1.668 [0.50, 2.84]</v>
      </c>
    </row>
    <row r="125" spans="1:10" x14ac:dyDescent="0.35">
      <c r="A125" s="3">
        <v>77</v>
      </c>
      <c r="B125" s="4"/>
      <c r="C125" s="3" t="s">
        <v>19</v>
      </c>
      <c r="D125" s="3">
        <v>71</v>
      </c>
      <c r="E125" s="3">
        <v>0.19900000000000001</v>
      </c>
      <c r="F125" s="3">
        <v>0.23899999999999999</v>
      </c>
      <c r="G125">
        <f t="shared" si="8"/>
        <v>0.46843999999999997</v>
      </c>
      <c r="H125" t="str">
        <f t="shared" si="6"/>
        <v>-0.27</v>
      </c>
      <c r="I125" t="str">
        <f t="shared" si="7"/>
        <v>0.67</v>
      </c>
      <c r="J125" t="str">
        <f t="shared" si="9"/>
        <v>0.199 [-0.27, 0.67]</v>
      </c>
    </row>
    <row r="126" spans="1:10" x14ac:dyDescent="0.35">
      <c r="A126" s="3">
        <v>77</v>
      </c>
      <c r="B126" s="4"/>
      <c r="C126" s="3" t="s">
        <v>16</v>
      </c>
      <c r="D126" s="3">
        <v>72</v>
      </c>
      <c r="E126" s="3">
        <v>0.34699999999999998</v>
      </c>
      <c r="F126" s="3">
        <v>1.0063504919999999</v>
      </c>
      <c r="G126">
        <f t="shared" si="8"/>
        <v>1.9724469643199998</v>
      </c>
      <c r="H126" t="str">
        <f t="shared" si="6"/>
        <v>-1.63</v>
      </c>
      <c r="I126" t="str">
        <f t="shared" si="7"/>
        <v>2.32</v>
      </c>
      <c r="J126" t="str">
        <f t="shared" si="9"/>
        <v>0.347 [-1.63, 2.32]</v>
      </c>
    </row>
    <row r="127" spans="1:10" x14ac:dyDescent="0.35">
      <c r="A127" s="3">
        <v>77</v>
      </c>
      <c r="B127" s="4"/>
      <c r="C127" s="3" t="s">
        <v>14</v>
      </c>
      <c r="D127" s="3">
        <v>72</v>
      </c>
      <c r="E127" s="3">
        <v>0.34699999999999998</v>
      </c>
      <c r="F127" s="3">
        <v>1.0063504919999999</v>
      </c>
      <c r="G127">
        <f t="shared" si="8"/>
        <v>1.9724469643199998</v>
      </c>
      <c r="H127" t="str">
        <f t="shared" si="6"/>
        <v>-1.63</v>
      </c>
      <c r="I127" t="str">
        <f t="shared" si="7"/>
        <v>2.32</v>
      </c>
      <c r="J127" t="str">
        <f t="shared" si="9"/>
        <v>0.347 [-1.63, 2.32]</v>
      </c>
    </row>
    <row r="128" spans="1:10" x14ac:dyDescent="0.35">
      <c r="A128" s="3">
        <v>77</v>
      </c>
      <c r="B128" s="4"/>
      <c r="C128" s="3" t="s">
        <v>9</v>
      </c>
      <c r="D128" s="3">
        <v>71</v>
      </c>
      <c r="E128" s="3">
        <v>0.52700000000000002</v>
      </c>
      <c r="F128" s="3">
        <v>0.24199999999999999</v>
      </c>
      <c r="G128">
        <f t="shared" si="8"/>
        <v>0.47431999999999996</v>
      </c>
      <c r="H128" t="str">
        <f t="shared" si="6"/>
        <v>0.05</v>
      </c>
      <c r="I128" t="str">
        <f t="shared" si="7"/>
        <v>1.00</v>
      </c>
      <c r="J128" t="str">
        <f t="shared" si="9"/>
        <v>0.527 [0.05, 1.00]</v>
      </c>
    </row>
    <row r="129" spans="1:10" x14ac:dyDescent="0.35">
      <c r="A129" s="3">
        <v>82</v>
      </c>
      <c r="B129" s="4" t="s">
        <v>74</v>
      </c>
      <c r="C129" s="3" t="s">
        <v>17</v>
      </c>
      <c r="D129" s="3">
        <v>49</v>
      </c>
      <c r="E129" s="3">
        <v>1</v>
      </c>
      <c r="F129" s="3">
        <v>0.68476238300000003</v>
      </c>
      <c r="G129">
        <f t="shared" si="8"/>
        <v>1.3421342706800001</v>
      </c>
      <c r="H129" t="str">
        <f t="shared" si="6"/>
        <v>-0.34</v>
      </c>
      <c r="I129" t="str">
        <f t="shared" si="7"/>
        <v>2.34</v>
      </c>
      <c r="J129" t="str">
        <f t="shared" si="9"/>
        <v>1 [-0.34, 2.34]</v>
      </c>
    </row>
    <row r="130" spans="1:10" x14ac:dyDescent="0.35">
      <c r="A130" s="3">
        <v>82</v>
      </c>
      <c r="B130" s="4"/>
      <c r="C130" s="3" t="s">
        <v>15</v>
      </c>
      <c r="D130" s="3">
        <v>49</v>
      </c>
      <c r="E130" s="3">
        <v>1</v>
      </c>
      <c r="F130" s="3">
        <v>2.0207259419999999</v>
      </c>
      <c r="G130">
        <f t="shared" si="8"/>
        <v>3.9606228463199997</v>
      </c>
      <c r="H130" t="str">
        <f t="shared" si="6"/>
        <v>-2.96</v>
      </c>
      <c r="I130" t="str">
        <f t="shared" si="7"/>
        <v>4.96</v>
      </c>
      <c r="J130" t="str">
        <f t="shared" si="9"/>
        <v>1 [-2.96, 4.96]</v>
      </c>
    </row>
    <row r="131" spans="1:10" x14ac:dyDescent="0.35">
      <c r="A131" s="3">
        <v>82</v>
      </c>
      <c r="B131" s="4"/>
      <c r="C131" s="3" t="s">
        <v>16</v>
      </c>
      <c r="D131" s="3">
        <v>49</v>
      </c>
      <c r="E131" s="3">
        <v>0.80200000000000005</v>
      </c>
      <c r="F131" s="3">
        <v>0.66622178799999998</v>
      </c>
      <c r="G131">
        <f t="shared" si="8"/>
        <v>1.30579470448</v>
      </c>
      <c r="H131" t="str">
        <f t="shared" ref="H131:H162" si="10">TEXT(E131-G131,"#0.00")</f>
        <v>-0.50</v>
      </c>
      <c r="I131" t="str">
        <f t="shared" ref="I131:I162" si="11">TEXT(E131+G131,"0.00")</f>
        <v>2.11</v>
      </c>
      <c r="J131" t="str">
        <f t="shared" si="9"/>
        <v>0.802 [-0.50, 2.11]</v>
      </c>
    </row>
    <row r="132" spans="1:10" x14ac:dyDescent="0.35">
      <c r="A132" s="3">
        <v>82</v>
      </c>
      <c r="B132" s="4"/>
      <c r="C132" s="3" t="s">
        <v>14</v>
      </c>
      <c r="D132" s="3">
        <v>49</v>
      </c>
      <c r="E132" s="3">
        <v>1</v>
      </c>
      <c r="F132" s="3">
        <v>2.0207259419999999</v>
      </c>
      <c r="G132">
        <f t="shared" si="8"/>
        <v>3.9606228463199997</v>
      </c>
      <c r="H132" t="str">
        <f t="shared" si="10"/>
        <v>-2.96</v>
      </c>
      <c r="I132" t="str">
        <f t="shared" si="11"/>
        <v>4.96</v>
      </c>
      <c r="J132" t="str">
        <f t="shared" si="9"/>
        <v>1 [-2.96, 4.96]</v>
      </c>
    </row>
    <row r="133" spans="1:10" x14ac:dyDescent="0.35">
      <c r="A133" s="3">
        <v>85</v>
      </c>
      <c r="B133" s="4" t="s">
        <v>76</v>
      </c>
      <c r="C133" s="3" t="s">
        <v>22</v>
      </c>
      <c r="D133" s="3">
        <v>65</v>
      </c>
      <c r="E133" s="3">
        <v>0.188</v>
      </c>
      <c r="F133" s="3">
        <v>1.569899148</v>
      </c>
      <c r="G133">
        <f t="shared" si="8"/>
        <v>3.07700233008</v>
      </c>
      <c r="H133" t="str">
        <f t="shared" si="10"/>
        <v>-2.89</v>
      </c>
      <c r="I133" t="str">
        <f t="shared" si="11"/>
        <v>3.27</v>
      </c>
      <c r="J133" t="str">
        <f t="shared" si="9"/>
        <v>0.188 [-2.89, 3.27]</v>
      </c>
    </row>
    <row r="134" spans="1:10" x14ac:dyDescent="0.35">
      <c r="A134" s="3">
        <v>85</v>
      </c>
      <c r="B134" s="4"/>
      <c r="C134" s="3" t="s">
        <v>27</v>
      </c>
      <c r="D134" s="3">
        <v>64</v>
      </c>
      <c r="E134" s="3">
        <v>0.68100000000000005</v>
      </c>
      <c r="F134" s="3">
        <v>0.25700000000000001</v>
      </c>
      <c r="G134">
        <f t="shared" si="8"/>
        <v>0.50372000000000006</v>
      </c>
      <c r="H134" t="str">
        <f t="shared" si="10"/>
        <v>0.18</v>
      </c>
      <c r="I134" t="str">
        <f t="shared" si="11"/>
        <v>1.18</v>
      </c>
      <c r="J134" t="str">
        <f t="shared" si="9"/>
        <v>0.681 [0.18, 1.18]</v>
      </c>
    </row>
    <row r="135" spans="1:10" x14ac:dyDescent="0.35">
      <c r="A135" s="3">
        <v>85</v>
      </c>
      <c r="B135" s="4"/>
      <c r="C135" s="3" t="s">
        <v>13</v>
      </c>
      <c r="D135" s="3">
        <v>64</v>
      </c>
      <c r="E135" s="3">
        <v>0.39900000000000002</v>
      </c>
      <c r="F135" s="3">
        <v>0.253</v>
      </c>
      <c r="G135">
        <f t="shared" si="8"/>
        <v>0.49587999999999999</v>
      </c>
      <c r="H135" t="str">
        <f t="shared" si="10"/>
        <v>-0.10</v>
      </c>
      <c r="I135" t="str">
        <f t="shared" si="11"/>
        <v>0.89</v>
      </c>
      <c r="J135" t="str">
        <f t="shared" si="9"/>
        <v>0.399 [-0.10, 0.89]</v>
      </c>
    </row>
    <row r="136" spans="1:10" x14ac:dyDescent="0.35">
      <c r="A136" s="3">
        <v>87</v>
      </c>
      <c r="B136" s="4" t="s">
        <v>77</v>
      </c>
      <c r="C136" s="3" t="s">
        <v>22</v>
      </c>
      <c r="D136" s="3">
        <v>557</v>
      </c>
      <c r="E136" s="3">
        <v>1.038</v>
      </c>
      <c r="F136" s="3">
        <v>0.40929384899999999</v>
      </c>
      <c r="G136">
        <f t="shared" si="8"/>
        <v>0.80221594403999996</v>
      </c>
      <c r="H136" t="str">
        <f t="shared" si="10"/>
        <v>0.24</v>
      </c>
      <c r="I136" t="str">
        <f t="shared" si="11"/>
        <v>1.84</v>
      </c>
      <c r="J136" t="str">
        <f t="shared" si="9"/>
        <v>1.038 [0.24, 1.84]</v>
      </c>
    </row>
    <row r="137" spans="1:10" x14ac:dyDescent="0.35">
      <c r="A137" s="3">
        <v>87</v>
      </c>
      <c r="B137" s="4"/>
      <c r="C137" s="3" t="s">
        <v>27</v>
      </c>
      <c r="D137" s="3">
        <v>593</v>
      </c>
      <c r="E137" s="3">
        <v>0.151</v>
      </c>
      <c r="F137" s="3">
        <v>8.2000000000000003E-2</v>
      </c>
      <c r="G137">
        <f t="shared" ref="G137:G162" si="12">1.96*F137</f>
        <v>0.16072</v>
      </c>
      <c r="H137" t="str">
        <f t="shared" si="10"/>
        <v>-0.01</v>
      </c>
      <c r="I137" t="str">
        <f t="shared" si="11"/>
        <v>0.31</v>
      </c>
      <c r="J137" t="str">
        <f t="shared" ref="J137:J162" si="13">E137&amp;" ["&amp;H137&amp;", "&amp;I137&amp;"]"</f>
        <v>0.151 [-0.01, 0.31]</v>
      </c>
    </row>
    <row r="138" spans="1:10" x14ac:dyDescent="0.35">
      <c r="A138" s="3">
        <v>87</v>
      </c>
      <c r="B138" s="4"/>
      <c r="C138" s="3" t="s">
        <v>13</v>
      </c>
      <c r="D138" s="3">
        <v>593</v>
      </c>
      <c r="E138" s="3">
        <v>0.247</v>
      </c>
      <c r="F138" s="3">
        <v>8.2000000000000003E-2</v>
      </c>
      <c r="G138">
        <f t="shared" si="12"/>
        <v>0.16072</v>
      </c>
      <c r="H138" t="str">
        <f t="shared" si="10"/>
        <v>0.09</v>
      </c>
      <c r="I138" t="str">
        <f t="shared" si="11"/>
        <v>0.41</v>
      </c>
      <c r="J138" t="str">
        <f t="shared" si="13"/>
        <v>0.247 [0.09, 0.41]</v>
      </c>
    </row>
    <row r="139" spans="1:10" x14ac:dyDescent="0.35">
      <c r="A139" s="3">
        <v>87</v>
      </c>
      <c r="B139" s="4"/>
      <c r="C139" s="3" t="s">
        <v>19</v>
      </c>
      <c r="D139" s="3">
        <v>593</v>
      </c>
      <c r="E139" s="3">
        <v>0.17299999999999999</v>
      </c>
      <c r="F139" s="3">
        <v>8.2000000000000003E-2</v>
      </c>
      <c r="G139">
        <f t="shared" si="12"/>
        <v>0.16072</v>
      </c>
      <c r="H139" t="str">
        <f t="shared" si="10"/>
        <v>0.01</v>
      </c>
      <c r="I139" t="str">
        <f t="shared" si="11"/>
        <v>0.33</v>
      </c>
      <c r="J139" t="str">
        <f t="shared" si="13"/>
        <v>0.173 [0.01, 0.33]</v>
      </c>
    </row>
    <row r="140" spans="1:10" x14ac:dyDescent="0.35">
      <c r="A140" s="3">
        <v>87</v>
      </c>
      <c r="B140" s="4"/>
      <c r="C140" s="3" t="s">
        <v>9</v>
      </c>
      <c r="D140" s="3">
        <v>593</v>
      </c>
      <c r="E140" s="3">
        <v>6.0999999999999999E-2</v>
      </c>
      <c r="F140" s="3">
        <v>8.2000000000000003E-2</v>
      </c>
      <c r="G140">
        <f t="shared" si="12"/>
        <v>0.16072</v>
      </c>
      <c r="H140" t="str">
        <f t="shared" si="10"/>
        <v>-0.10</v>
      </c>
      <c r="I140" t="str">
        <f t="shared" si="11"/>
        <v>0.22</v>
      </c>
      <c r="J140" t="str">
        <f t="shared" si="13"/>
        <v>0.061 [-0.10, 0.22]</v>
      </c>
    </row>
    <row r="141" spans="1:10" x14ac:dyDescent="0.35">
      <c r="A141" s="3">
        <v>90</v>
      </c>
      <c r="B141" s="4" t="s">
        <v>79</v>
      </c>
      <c r="C141" s="3" t="s">
        <v>22</v>
      </c>
      <c r="D141" s="3">
        <v>65</v>
      </c>
      <c r="E141" s="3">
        <v>0.751</v>
      </c>
      <c r="F141" s="3">
        <v>0.76035094000000003</v>
      </c>
      <c r="G141">
        <f t="shared" si="12"/>
        <v>1.4902878424000001</v>
      </c>
      <c r="H141" t="str">
        <f t="shared" si="10"/>
        <v>-0.74</v>
      </c>
      <c r="I141" t="str">
        <f t="shared" si="11"/>
        <v>2.24</v>
      </c>
      <c r="J141" t="str">
        <f t="shared" si="13"/>
        <v>0.751 [-0.74, 2.24]</v>
      </c>
    </row>
    <row r="142" spans="1:10" x14ac:dyDescent="0.35">
      <c r="A142" s="3">
        <v>90</v>
      </c>
      <c r="B142" s="4"/>
      <c r="C142" s="3" t="s">
        <v>19</v>
      </c>
      <c r="D142" s="3">
        <v>44</v>
      </c>
      <c r="E142" s="3">
        <v>8.0000000000000002E-3</v>
      </c>
      <c r="F142" s="3">
        <v>0.30199999999999999</v>
      </c>
      <c r="G142">
        <f t="shared" si="12"/>
        <v>0.59192</v>
      </c>
      <c r="H142" t="str">
        <f t="shared" si="10"/>
        <v>-0.58</v>
      </c>
      <c r="I142" t="str">
        <f t="shared" si="11"/>
        <v>0.60</v>
      </c>
      <c r="J142" t="str">
        <f t="shared" si="13"/>
        <v>0.008 [-0.58, 0.60]</v>
      </c>
    </row>
    <row r="143" spans="1:10" x14ac:dyDescent="0.35">
      <c r="A143" s="3">
        <v>90</v>
      </c>
      <c r="B143" s="4"/>
      <c r="C143" s="3" t="s">
        <v>9</v>
      </c>
      <c r="D143" s="3">
        <v>44</v>
      </c>
      <c r="E143" s="3">
        <v>0.436</v>
      </c>
      <c r="F143" s="3">
        <v>0.30599999999999999</v>
      </c>
      <c r="G143">
        <f t="shared" si="12"/>
        <v>0.59975999999999996</v>
      </c>
      <c r="H143" t="str">
        <f t="shared" si="10"/>
        <v>-0.16</v>
      </c>
      <c r="I143" t="str">
        <f t="shared" si="11"/>
        <v>1.04</v>
      </c>
      <c r="J143" t="str">
        <f t="shared" si="13"/>
        <v>0.436 [-0.16, 1.04]</v>
      </c>
    </row>
    <row r="144" spans="1:10" x14ac:dyDescent="0.35">
      <c r="A144" s="3">
        <v>95</v>
      </c>
      <c r="B144" s="4" t="s">
        <v>82</v>
      </c>
      <c r="C144" s="3" t="s">
        <v>13</v>
      </c>
      <c r="D144" s="3">
        <v>54</v>
      </c>
      <c r="E144" s="3">
        <v>0.70599999999999996</v>
      </c>
      <c r="F144" s="3">
        <v>0.28399999999999997</v>
      </c>
      <c r="G144">
        <f t="shared" si="12"/>
        <v>0.55663999999999991</v>
      </c>
      <c r="H144" t="str">
        <f t="shared" si="10"/>
        <v>0.15</v>
      </c>
      <c r="I144" t="str">
        <f t="shared" si="11"/>
        <v>1.26</v>
      </c>
      <c r="J144" t="str">
        <f t="shared" si="13"/>
        <v>0.706 [0.15, 1.26]</v>
      </c>
    </row>
    <row r="145" spans="1:10" x14ac:dyDescent="0.35">
      <c r="A145" s="3">
        <v>96</v>
      </c>
      <c r="B145" s="4" t="s">
        <v>83</v>
      </c>
      <c r="C145" s="3" t="s">
        <v>22</v>
      </c>
      <c r="D145" s="3">
        <v>55</v>
      </c>
      <c r="E145" s="3">
        <v>0.84599999999999997</v>
      </c>
      <c r="F145" s="3">
        <v>0.80953360399999996</v>
      </c>
      <c r="G145">
        <f t="shared" si="12"/>
        <v>1.5866858638399999</v>
      </c>
      <c r="H145" t="str">
        <f t="shared" si="10"/>
        <v>-0.74</v>
      </c>
      <c r="I145" t="str">
        <f t="shared" si="11"/>
        <v>2.43</v>
      </c>
      <c r="J145" t="str">
        <f t="shared" si="13"/>
        <v>0.846 [-0.74, 2.43]</v>
      </c>
    </row>
    <row r="146" spans="1:10" x14ac:dyDescent="0.35">
      <c r="A146" s="3">
        <v>96</v>
      </c>
      <c r="B146" s="4"/>
      <c r="C146" s="3" t="s">
        <v>27</v>
      </c>
      <c r="D146" s="3">
        <v>54</v>
      </c>
      <c r="E146" s="3">
        <v>2.9039999999999999</v>
      </c>
      <c r="F146" s="3">
        <v>0.39400000000000002</v>
      </c>
      <c r="G146">
        <f t="shared" si="12"/>
        <v>0.77224000000000004</v>
      </c>
      <c r="H146" t="str">
        <f t="shared" si="10"/>
        <v>2.13</v>
      </c>
      <c r="I146" t="str">
        <f t="shared" si="11"/>
        <v>3.68</v>
      </c>
      <c r="J146" t="str">
        <f t="shared" si="13"/>
        <v>2.904 [2.13, 3.68]</v>
      </c>
    </row>
    <row r="147" spans="1:10" x14ac:dyDescent="0.35">
      <c r="A147" s="3">
        <v>96</v>
      </c>
      <c r="B147" s="4"/>
      <c r="C147" s="3" t="s">
        <v>13</v>
      </c>
      <c r="D147" s="3">
        <v>54</v>
      </c>
      <c r="E147" s="3">
        <v>0.82599999999999996</v>
      </c>
      <c r="F147" s="3">
        <v>0.28499999999999998</v>
      </c>
      <c r="G147">
        <f t="shared" si="12"/>
        <v>0.55859999999999999</v>
      </c>
      <c r="H147" t="str">
        <f t="shared" si="10"/>
        <v>0.27</v>
      </c>
      <c r="I147" t="str">
        <f t="shared" si="11"/>
        <v>1.38</v>
      </c>
      <c r="J147" t="str">
        <f t="shared" si="13"/>
        <v>0.826 [0.27, 1.38]</v>
      </c>
    </row>
    <row r="148" spans="1:10" x14ac:dyDescent="0.35">
      <c r="A148" s="3">
        <v>96</v>
      </c>
      <c r="B148" s="4"/>
      <c r="C148" s="3" t="s">
        <v>19</v>
      </c>
      <c r="D148" s="3">
        <v>54</v>
      </c>
      <c r="E148" s="3">
        <v>2.6139999999999999</v>
      </c>
      <c r="F148" s="3">
        <v>0.374</v>
      </c>
      <c r="G148">
        <f t="shared" si="12"/>
        <v>0.73304000000000002</v>
      </c>
      <c r="H148" t="str">
        <f t="shared" si="10"/>
        <v>1.88</v>
      </c>
      <c r="I148" t="str">
        <f t="shared" si="11"/>
        <v>3.35</v>
      </c>
      <c r="J148" t="str">
        <f t="shared" si="13"/>
        <v>2.614 [1.88, 3.35]</v>
      </c>
    </row>
    <row r="149" spans="1:10" x14ac:dyDescent="0.35">
      <c r="A149" s="3">
        <v>96</v>
      </c>
      <c r="B149" s="4"/>
      <c r="C149" s="3" t="s">
        <v>9</v>
      </c>
      <c r="D149" s="3">
        <v>54</v>
      </c>
      <c r="E149" s="3">
        <v>0.16700000000000001</v>
      </c>
      <c r="F149" s="3">
        <v>0.27300000000000002</v>
      </c>
      <c r="G149">
        <f t="shared" si="12"/>
        <v>0.53508</v>
      </c>
      <c r="H149" t="str">
        <f t="shared" si="10"/>
        <v>-0.37</v>
      </c>
      <c r="I149" t="str">
        <f t="shared" si="11"/>
        <v>0.70</v>
      </c>
      <c r="J149" t="str">
        <f t="shared" si="13"/>
        <v>0.167 [-0.37, 0.70]</v>
      </c>
    </row>
    <row r="150" spans="1:10" x14ac:dyDescent="0.35">
      <c r="A150" s="3">
        <v>100</v>
      </c>
      <c r="B150" s="4" t="s">
        <v>86</v>
      </c>
      <c r="C150" s="3" t="s">
        <v>27</v>
      </c>
      <c r="D150" s="3">
        <v>79</v>
      </c>
      <c r="E150" s="3">
        <v>0.38500000000000001</v>
      </c>
      <c r="F150" s="3">
        <v>0.22700000000000001</v>
      </c>
      <c r="G150">
        <f t="shared" si="12"/>
        <v>0.44491999999999998</v>
      </c>
      <c r="H150" t="str">
        <f t="shared" si="10"/>
        <v>-0.06</v>
      </c>
      <c r="I150" t="str">
        <f t="shared" si="11"/>
        <v>0.83</v>
      </c>
      <c r="J150" t="str">
        <f t="shared" si="13"/>
        <v>0.385 [-0.06, 0.83]</v>
      </c>
    </row>
    <row r="151" spans="1:10" x14ac:dyDescent="0.35">
      <c r="A151" s="3">
        <v>100</v>
      </c>
      <c r="B151" s="4" t="s">
        <v>86</v>
      </c>
      <c r="C151" s="3" t="s">
        <v>13</v>
      </c>
      <c r="D151" s="3">
        <v>79</v>
      </c>
      <c r="E151" s="3">
        <v>0.5</v>
      </c>
      <c r="F151" s="3">
        <v>0.22900000000000001</v>
      </c>
      <c r="G151">
        <f t="shared" si="12"/>
        <v>0.44884000000000002</v>
      </c>
      <c r="H151" t="str">
        <f t="shared" si="10"/>
        <v>0.05</v>
      </c>
      <c r="I151" t="str">
        <f t="shared" si="11"/>
        <v>0.95</v>
      </c>
      <c r="J151" t="str">
        <f t="shared" si="13"/>
        <v>0.5 [0.05, 0.95]</v>
      </c>
    </row>
    <row r="152" spans="1:10" x14ac:dyDescent="0.35">
      <c r="A152" s="3">
        <v>10</v>
      </c>
      <c r="B152" s="4" t="s">
        <v>25</v>
      </c>
      <c r="C152" s="3" t="s">
        <v>27</v>
      </c>
      <c r="D152" s="3">
        <v>86</v>
      </c>
      <c r="E152" s="3">
        <v>0.104</v>
      </c>
      <c r="F152" s="3">
        <v>0.216</v>
      </c>
      <c r="G152">
        <f t="shared" si="12"/>
        <v>0.42336000000000001</v>
      </c>
      <c r="H152" t="str">
        <f t="shared" si="10"/>
        <v>-0.32</v>
      </c>
      <c r="I152" t="str">
        <f t="shared" si="11"/>
        <v>0.53</v>
      </c>
      <c r="J152" t="str">
        <f t="shared" si="13"/>
        <v>0.104 [-0.32, 0.53]</v>
      </c>
    </row>
    <row r="153" spans="1:10" x14ac:dyDescent="0.35">
      <c r="A153" s="3">
        <v>10</v>
      </c>
      <c r="B153" s="4" t="s">
        <v>25</v>
      </c>
      <c r="C153" s="3" t="s">
        <v>13</v>
      </c>
      <c r="D153" s="3">
        <v>86</v>
      </c>
      <c r="E153" s="3">
        <v>0.04</v>
      </c>
      <c r="F153" s="3">
        <v>0.216</v>
      </c>
      <c r="G153">
        <f t="shared" si="12"/>
        <v>0.42336000000000001</v>
      </c>
      <c r="H153" t="str">
        <f t="shared" si="10"/>
        <v>-0.38</v>
      </c>
      <c r="I153" t="str">
        <f t="shared" si="11"/>
        <v>0.46</v>
      </c>
      <c r="J153" t="str">
        <f t="shared" si="13"/>
        <v>0.04 [-0.38, 0.46]</v>
      </c>
    </row>
    <row r="154" spans="1:10" x14ac:dyDescent="0.35">
      <c r="A154" s="3">
        <v>10</v>
      </c>
      <c r="B154" s="4" t="s">
        <v>25</v>
      </c>
      <c r="C154" s="3" t="s">
        <v>19</v>
      </c>
      <c r="D154" s="3">
        <v>86</v>
      </c>
      <c r="E154" s="3">
        <v>5.5E-2</v>
      </c>
      <c r="F154" s="3">
        <v>0.216</v>
      </c>
      <c r="G154">
        <f t="shared" si="12"/>
        <v>0.42336000000000001</v>
      </c>
      <c r="H154" t="str">
        <f t="shared" si="10"/>
        <v>-0.37</v>
      </c>
      <c r="I154" t="str">
        <f t="shared" si="11"/>
        <v>0.48</v>
      </c>
      <c r="J154" t="str">
        <f t="shared" si="13"/>
        <v>0.055 [-0.37, 0.48]</v>
      </c>
    </row>
    <row r="155" spans="1:10" x14ac:dyDescent="0.35">
      <c r="A155" s="3">
        <v>10</v>
      </c>
      <c r="B155" s="4" t="s">
        <v>25</v>
      </c>
      <c r="C155" s="3" t="s">
        <v>9</v>
      </c>
      <c r="D155" s="3">
        <v>86</v>
      </c>
      <c r="E155" s="3">
        <v>0</v>
      </c>
      <c r="F155" s="3">
        <v>0.216</v>
      </c>
      <c r="G155">
        <f t="shared" si="12"/>
        <v>0.42336000000000001</v>
      </c>
      <c r="H155" t="str">
        <f t="shared" si="10"/>
        <v>-0.42</v>
      </c>
      <c r="I155" t="str">
        <f t="shared" si="11"/>
        <v>0.42</v>
      </c>
      <c r="J155" t="str">
        <f t="shared" si="13"/>
        <v>0 [-0.42, 0.42]</v>
      </c>
    </row>
    <row r="156" spans="1:10" x14ac:dyDescent="0.35">
      <c r="A156" s="3">
        <v>44</v>
      </c>
      <c r="B156" s="4" t="s">
        <v>53</v>
      </c>
      <c r="C156" s="3" t="s">
        <v>27</v>
      </c>
      <c r="D156" s="3">
        <v>72</v>
      </c>
      <c r="E156" s="3">
        <v>0.39600000000000002</v>
      </c>
      <c r="F156" s="3">
        <v>0.23799999999999999</v>
      </c>
      <c r="G156">
        <f t="shared" si="12"/>
        <v>0.46647999999999995</v>
      </c>
      <c r="H156" t="str">
        <f t="shared" si="10"/>
        <v>-0.07</v>
      </c>
      <c r="I156" t="str">
        <f t="shared" si="11"/>
        <v>0.86</v>
      </c>
      <c r="J156" t="str">
        <f t="shared" si="13"/>
        <v>0.396 [-0.07, 0.86]</v>
      </c>
    </row>
    <row r="157" spans="1:10" x14ac:dyDescent="0.35">
      <c r="A157" s="3">
        <v>44</v>
      </c>
      <c r="B157" s="4" t="s">
        <v>53</v>
      </c>
      <c r="C157" s="3" t="s">
        <v>19</v>
      </c>
      <c r="D157" s="3">
        <v>72</v>
      </c>
      <c r="E157" s="3">
        <v>0.39900000000000002</v>
      </c>
      <c r="F157" s="3">
        <v>0.23799999999999999</v>
      </c>
      <c r="G157">
        <f t="shared" si="12"/>
        <v>0.46647999999999995</v>
      </c>
      <c r="H157" t="str">
        <f t="shared" si="10"/>
        <v>-0.07</v>
      </c>
      <c r="I157" t="str">
        <f t="shared" si="11"/>
        <v>0.87</v>
      </c>
      <c r="J157" t="str">
        <f t="shared" si="13"/>
        <v>0.399 [-0.07, 0.87]</v>
      </c>
    </row>
    <row r="158" spans="1:10" x14ac:dyDescent="0.35">
      <c r="A158" s="3">
        <v>56</v>
      </c>
      <c r="B158" s="4" t="s">
        <v>63</v>
      </c>
      <c r="C158" s="3" t="s">
        <v>27</v>
      </c>
      <c r="D158" s="3">
        <v>39</v>
      </c>
      <c r="E158" s="3">
        <v>6.8000000000000005E-2</v>
      </c>
      <c r="F158" s="3">
        <v>0.32100000000000001</v>
      </c>
      <c r="G158">
        <f t="shared" si="12"/>
        <v>0.62916000000000005</v>
      </c>
      <c r="H158" t="str">
        <f t="shared" si="10"/>
        <v>-0.56</v>
      </c>
      <c r="I158" t="str">
        <f t="shared" si="11"/>
        <v>0.70</v>
      </c>
      <c r="J158" t="str">
        <f t="shared" si="13"/>
        <v>0.068 [-0.56, 0.70]</v>
      </c>
    </row>
    <row r="159" spans="1:10" x14ac:dyDescent="0.35">
      <c r="A159" s="3">
        <v>56</v>
      </c>
      <c r="B159" s="4" t="s">
        <v>63</v>
      </c>
      <c r="C159" s="3" t="s">
        <v>13</v>
      </c>
      <c r="D159" s="3">
        <v>39</v>
      </c>
      <c r="E159" s="3">
        <v>0.191</v>
      </c>
      <c r="F159" s="3">
        <v>0.32200000000000001</v>
      </c>
      <c r="G159">
        <f t="shared" si="12"/>
        <v>0.63112000000000001</v>
      </c>
      <c r="H159" t="str">
        <f t="shared" si="10"/>
        <v>-0.44</v>
      </c>
      <c r="I159" t="str">
        <f t="shared" si="11"/>
        <v>0.82</v>
      </c>
      <c r="J159" t="str">
        <f t="shared" si="13"/>
        <v>0.191 [-0.44, 0.82]</v>
      </c>
    </row>
    <row r="160" spans="1:10" x14ac:dyDescent="0.35">
      <c r="A160" s="3">
        <v>56</v>
      </c>
      <c r="B160" s="4" t="s">
        <v>63</v>
      </c>
      <c r="C160" s="3" t="s">
        <v>16</v>
      </c>
      <c r="D160" s="3">
        <v>40</v>
      </c>
      <c r="E160" s="3">
        <v>0.35699999999999998</v>
      </c>
      <c r="F160" s="3">
        <v>0.73956141600000003</v>
      </c>
      <c r="G160">
        <f t="shared" si="12"/>
        <v>1.44954037536</v>
      </c>
      <c r="H160" t="str">
        <f t="shared" si="10"/>
        <v>-1.09</v>
      </c>
      <c r="I160" t="str">
        <f t="shared" si="11"/>
        <v>1.81</v>
      </c>
      <c r="J160" t="str">
        <f t="shared" si="13"/>
        <v>0.357 [-1.09, 1.81]</v>
      </c>
    </row>
    <row r="161" spans="1:10" x14ac:dyDescent="0.35">
      <c r="A161" s="3">
        <v>56</v>
      </c>
      <c r="B161" s="4" t="s">
        <v>63</v>
      </c>
      <c r="C161" s="3" t="s">
        <v>14</v>
      </c>
      <c r="D161" s="3">
        <v>40</v>
      </c>
      <c r="E161" s="3">
        <v>0.35699999999999998</v>
      </c>
      <c r="F161" s="3">
        <v>0.73956141600000003</v>
      </c>
      <c r="G161">
        <f t="shared" si="12"/>
        <v>1.44954037536</v>
      </c>
      <c r="H161" t="str">
        <f t="shared" si="10"/>
        <v>-1.09</v>
      </c>
      <c r="I161" t="str">
        <f t="shared" si="11"/>
        <v>1.81</v>
      </c>
      <c r="J161" t="str">
        <f t="shared" si="13"/>
        <v>0.357 [-1.09, 1.81]</v>
      </c>
    </row>
    <row r="162" spans="1:10" x14ac:dyDescent="0.35">
      <c r="A162" s="3">
        <v>93</v>
      </c>
      <c r="B162" s="4" t="s">
        <v>80</v>
      </c>
      <c r="C162" s="3" t="s">
        <v>19</v>
      </c>
      <c r="D162" s="3">
        <v>28</v>
      </c>
      <c r="E162" s="3">
        <v>0.24</v>
      </c>
      <c r="F162" s="3">
        <v>0.379</v>
      </c>
      <c r="G162">
        <f t="shared" si="12"/>
        <v>0.74283999999999994</v>
      </c>
      <c r="H162" t="str">
        <f t="shared" si="10"/>
        <v>-0.50</v>
      </c>
      <c r="I162" t="str">
        <f t="shared" si="11"/>
        <v>0.98</v>
      </c>
      <c r="J162" t="str">
        <f t="shared" si="13"/>
        <v>0.24 [-0.50, 0.98]</v>
      </c>
    </row>
  </sheetData>
  <mergeCells count="6">
    <mergeCell ref="B3:B7"/>
    <mergeCell ref="B8:B10"/>
    <mergeCell ref="B11:B13"/>
    <mergeCell ref="B16:B17"/>
    <mergeCell ref="B18:B21"/>
    <mergeCell ref="B22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bptb vs. 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2026-10-02T12:09:45Z</dcterms:created>
  <dcterms:modified xsi:type="dcterms:W3CDTF">2026-10-02T14:55:58Z</dcterms:modified>
</cp:coreProperties>
</file>