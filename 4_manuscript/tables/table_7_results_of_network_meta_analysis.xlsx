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Shared drives\github\dong-wkim\network_meta-analysis\4_manuscript\tables\"/>
    </mc:Choice>
  </mc:AlternateContent>
  <xr:revisionPtr revIDLastSave="0" documentId="13_ncr:1_{7BDF20C9-8666-491D-B20E-BEEFF02E904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2" i="1" l="1"/>
  <c r="D21" i="1"/>
  <c r="D20" i="1"/>
  <c r="D19" i="1"/>
</calcChain>
</file>

<file path=xl/sharedStrings.xml><?xml version="1.0" encoding="utf-8"?>
<sst xmlns="http://schemas.openxmlformats.org/spreadsheetml/2006/main" count="255" uniqueCount="143">
  <si>
    <t>Outcome</t>
  </si>
  <si>
    <t>Subgroup</t>
  </si>
  <si>
    <t>Rank</t>
  </si>
  <si>
    <t>SUCRA</t>
  </si>
  <si>
    <t>BPTB</t>
  </si>
  <si>
    <t>HT</t>
  </si>
  <si>
    <t>QT</t>
  </si>
  <si>
    <t>PLT</t>
  </si>
  <si>
    <t>AT</t>
  </si>
  <si>
    <t>TA</t>
  </si>
  <si>
    <t>IKDC subjective</t>
  </si>
  <si>
    <t>0.502 [0.069; 0.936]</t>
  </si>
  <si>
    <t>0.202 [-0.078; 0.483]</t>
  </si>
  <si>
    <t>0.360 [0.122; 0.599]</t>
  </si>
  <si>
    <t>0.302 [0.12; 0.484]</t>
  </si>
  <si>
    <t>0.194 [-0.064; 0.451]</t>
  </si>
  <si>
    <t>0.365 [-0.243; 0.973]</t>
  </si>
  <si>
    <t>0.533 [0.211; 0.854]</t>
  </si>
  <si>
    <t>0.172 [-0.118; 0.463]</t>
  </si>
  <si>
    <t>0.580 [0.052; 1.108]</t>
  </si>
  <si>
    <t>0.220 [-0.251; 0.691]</t>
  </si>
  <si>
    <t>0.047 [-0.506; 0.601]</t>
  </si>
  <si>
    <t>0.723 [0.099; 1.348]</t>
  </si>
  <si>
    <t>0.363 [-0.214; 0.941]</t>
  </si>
  <si>
    <t>0.191 [-0.456; 0.837]</t>
  </si>
  <si>
    <t>0.143 [-0.602; 0.889]</t>
  </si>
  <si>
    <t>Lysholm</t>
  </si>
  <si>
    <t>0.329 [0.143; 0.514]</t>
  </si>
  <si>
    <t>0.215 [-0.074; 0.504]</t>
  </si>
  <si>
    <t>0.282 [0.122; 0.442]</t>
  </si>
  <si>
    <t>0.422 [-0.047; 0.89]</t>
  </si>
  <si>
    <t>0.388 [-0.2; 0.976]</t>
  </si>
  <si>
    <t>0.276 [-0.212; 0.764]</t>
  </si>
  <si>
    <t>0.396 [0.113; 0.68]</t>
  </si>
  <si>
    <t>0.501 [0.202; 0.800]</t>
  </si>
  <si>
    <t>0.219 [-0.072; 0.511]</t>
  </si>
  <si>
    <t>0.667 [0.100; 1.235]</t>
  </si>
  <si>
    <t>0.385 [-0.159; 0.930]</t>
  </si>
  <si>
    <t>0.166 [-0.451; 0.784]</t>
  </si>
  <si>
    <t>0.558 [-0.195; 1.311]</t>
  </si>
  <si>
    <t>0.276 [-0.460; 1.012]</t>
  </si>
  <si>
    <t>0.057 [-0.735; 0.848]</t>
  </si>
  <si>
    <t>-0.109 [-1.025; 0.806]</t>
  </si>
  <si>
    <t>0.656 [0.142; 1.170]</t>
  </si>
  <si>
    <t>0.374 [-0.114; 0.862]</t>
  </si>
  <si>
    <t>0.155 [-0.414; 0.724]</t>
  </si>
  <si>
    <t>-0.011 [-0.742; 0.720]</t>
  </si>
  <si>
    <t>0.098 [-0.785; 0.981]</t>
  </si>
  <si>
    <t>Tegner</t>
  </si>
  <si>
    <t>0.498 [0.29; 0.707]</t>
  </si>
  <si>
    <t>0.478 [0.271; 0.686]</t>
  </si>
  <si>
    <t>&lt; 0.001</t>
  </si>
  <si>
    <t>0.04 [-0.196; 0.276]</t>
  </si>
  <si>
    <t>0.279 [-0.278; 0.836]</t>
  </si>
  <si>
    <t>-0.199 [-0.755; 0.357]</t>
  </si>
  <si>
    <t>1.004 [0.115; 1.893]</t>
  </si>
  <si>
    <t>0.526 [-0.338; 1.390]</t>
  </si>
  <si>
    <t>0.725 [-0.303; 1.753]</t>
  </si>
  <si>
    <t>0.478 [-0.363; 1.320]</t>
  </si>
  <si>
    <t>0.000 [-0.815; 0.815]</t>
  </si>
  <si>
    <t>0.199 [-0.788; 1.186]</t>
  </si>
  <si>
    <t>-0.526 [-1.714; 0.662]</t>
  </si>
  <si>
    <t>0.530 [0.035; 1.026]</t>
  </si>
  <si>
    <t>0.052 [-0.398; 0.502]</t>
  </si>
  <si>
    <t>0.251 [-0.464; 0.967]</t>
  </si>
  <si>
    <t>-0.474 [-1.449; 0.501]</t>
  </si>
  <si>
    <t>0.052 [-0.879; 0.984]</t>
  </si>
  <si>
    <t>Instrumented laxity</t>
  </si>
  <si>
    <t>0.285 [0.204; 0.367]</t>
  </si>
  <si>
    <t>0.087 [-0.265; 0.438]</t>
  </si>
  <si>
    <t>0.270 [0.190; 0.350]</t>
  </si>
  <si>
    <t>0.283 [-0.028; 0.594]</t>
  </si>
  <si>
    <t>0.238 [-0.06; 0.536]</t>
  </si>
  <si>
    <t>0.99 [0.471; 1.509]</t>
  </si>
  <si>
    <t>0.374 [0.154; 0.594]</t>
  </si>
  <si>
    <t>0.104 [-0.112; 0.321]</t>
  </si>
  <si>
    <t>0.508 [0.199; 0.816]</t>
  </si>
  <si>
    <t>0.238 [-0.060; 0.536]</t>
  </si>
  <si>
    <t>0.133 [-0.235; 0.502]</t>
  </si>
  <si>
    <t>1.260 [0.734; 1.785]</t>
  </si>
  <si>
    <t>0.990 [0.471; 1.509]</t>
  </si>
  <si>
    <t>0.886 [0.323; 1.448]</t>
  </si>
  <si>
    <t>0.752 [0.153; 1.351]</t>
  </si>
  <si>
    <t>Pivot-shift (≥ 1+)</t>
  </si>
  <si>
    <t>0.573 [0.411; 0.800]</t>
  </si>
  <si>
    <t>0.726 [0.305; 1.729]</t>
  </si>
  <si>
    <t>1.267 [0.546; 2.941]</t>
  </si>
  <si>
    <t>0.575 [0.192; 1.719]</t>
  </si>
  <si>
    <t>1.004 [0.354; 2.849]</t>
  </si>
  <si>
    <t>0.792 [0.207; 3.028]</t>
  </si>
  <si>
    <t>0.252 [0.072; 0.888]</t>
  </si>
  <si>
    <t>0.440 [0.131; 1.481]</t>
  </si>
  <si>
    <t>0.247 [0.079; 1.522]</t>
  </si>
  <si>
    <t>0.438 [0.088; 2.172]</t>
  </si>
  <si>
    <t>0.383 [0.188; 0.780]</t>
  </si>
  <si>
    <t>0.668 [0.356; 1.254]</t>
  </si>
  <si>
    <t>0.527 [0.184; 1.509]</t>
  </si>
  <si>
    <t>0.666 [0.197; 2.251]</t>
  </si>
  <si>
    <t>1.518 [0.387; 5.958]</t>
  </si>
  <si>
    <t>Pivot-shift (≥ 2+)</t>
  </si>
  <si>
    <t>0.980 [0.598; 1.606]</t>
  </si>
  <si>
    <t>0.560 [0.168; 1.871]</t>
  </si>
  <si>
    <t>0.571 [0.165; 1.978]</t>
  </si>
  <si>
    <t>1.532 [0.356; 6.597]</t>
  </si>
  <si>
    <t>1.563 [0.396; 6.174]</t>
  </si>
  <si>
    <t>2.736 [0.429; 16.348]</t>
  </si>
  <si>
    <t>0.380 [0.050; 2.921]</t>
  </si>
  <si>
    <t>0.388 [0.054; 2.803]</t>
  </si>
  <si>
    <t>0.679 [0.066; 7.019]</t>
  </si>
  <si>
    <t>0.248 [0.022; 2.758]</t>
  </si>
  <si>
    <t>0.758 [0.181; 3.172]</t>
  </si>
  <si>
    <t>0.773 [0.202; 2.963]</t>
  </si>
  <si>
    <t>1.354 [0.217; 8.436]</t>
  </si>
  <si>
    <t>0.495 [0.072; 3.380]</t>
  </si>
  <si>
    <t>1.993 [0.183; 21.767]</t>
  </si>
  <si>
    <t>Lachman (≥ 1+)</t>
  </si>
  <si>
    <t>0.676 [0.444; 1.028]</t>
  </si>
  <si>
    <t>0.990 [0.130; 7.508]</t>
  </si>
  <si>
    <t>1.464 [0.202; 10.630]</t>
  </si>
  <si>
    <t>0.651 [0.130; 3.268]</t>
  </si>
  <si>
    <t>0.963 [0.203; 4.573]</t>
  </si>
  <si>
    <t>0.658 [0.053; 8.187]</t>
  </si>
  <si>
    <t>0.429 [0.155; 1.188]</t>
  </si>
  <si>
    <t>0.635 [0.251; 1.605]</t>
  </si>
  <si>
    <t>0.434 [0.049; 3.870]</t>
  </si>
  <si>
    <t>0.659 [0.108; 4.041]</t>
  </si>
  <si>
    <t>Lachman (≥ 2+)</t>
  </si>
  <si>
    <t>1.249 [0.698;  2.235]</t>
  </si>
  <si>
    <t>1.828 [0.296; 11.289]</t>
  </si>
  <si>
    <t>1.464 [0.261;  8.215]</t>
  </si>
  <si>
    <t>0.485 [0.062;  3.808]</t>
  </si>
  <si>
    <t>0.388 [0.054;  2.803]</t>
  </si>
  <si>
    <t>0.265 [0.019;  3.655]</t>
  </si>
  <si>
    <t>0.730 [0.231;  2.307]</t>
  </si>
  <si>
    <t>0.584 [0.217;  1.577]</t>
  </si>
  <si>
    <t>0.399 [0.055;  2.921]</t>
  </si>
  <si>
    <t>1.506 [0.165; 13.771]</t>
  </si>
  <si>
    <t>Graft failure</t>
  </si>
  <si>
    <t xml:space="preserve"> 0.822 [0.566;  1.193]</t>
  </si>
  <si>
    <t>2.325 [0.089; 60.404]</t>
  </si>
  <si>
    <t xml:space="preserve">2.829 [0.111; 71.939] </t>
  </si>
  <si>
    <r>
      <t>BPTB, bone-patellar tendon-bone autograft; HT, hamstring tendon autograft; QT, quadriceps tendon autograft; PLT, peroneus longus tendon autograft; AT, Achilles tendon allograft; TA, tibialis anterior tendon allograft</t>
    </r>
    <r>
      <rPr>
        <vertAlign val="superscript"/>
        <sz val="9"/>
        <color theme="1"/>
        <rFont val="Times New Roman"/>
        <family val="1"/>
      </rPr>
      <t xml:space="preserve">
a </t>
    </r>
    <r>
      <rPr>
        <sz val="9"/>
        <color theme="1"/>
        <rFont val="Times New Roman"/>
        <family val="1"/>
      </rPr>
      <t xml:space="preserve">Pooled effect size estimates for continuous outcomes (IKDC subjective, Lysholm, Tegner, and instrumented laxity) are reported as standardised mean difference (SMD) and for dichotomous outcomes (pivot-shift, Lachman, and graft failure) are reported as odds ratio (OR). For dichotomous outcomes, the logORs of individual studies were pooled and backtransformed into ORs. 
</t>
    </r>
    <r>
      <rPr>
        <vertAlign val="superscript"/>
        <sz val="9"/>
        <color theme="1"/>
        <rFont val="Times New Roman"/>
        <family val="1"/>
      </rPr>
      <t xml:space="preserve">* </t>
    </r>
    <r>
      <rPr>
        <sz val="9"/>
        <color theme="1"/>
        <rFont val="Times New Roman"/>
        <family val="1"/>
      </rPr>
      <t xml:space="preserve">Denotes statistical significance, where </t>
    </r>
    <r>
      <rPr>
        <i/>
        <sz val="9"/>
        <color theme="1"/>
        <rFont val="Times New Roman"/>
        <family val="1"/>
      </rPr>
      <t>p</t>
    </r>
    <r>
      <rPr>
        <sz val="9"/>
        <color theme="1"/>
        <rFont val="Times New Roman"/>
        <family val="1"/>
      </rPr>
      <t>-value is less than 0.05.</t>
    </r>
  </si>
  <si>
    <r>
      <t xml:space="preserve">Effect Size </t>
    </r>
    <r>
      <rPr>
        <vertAlign val="superscript"/>
        <sz val="9"/>
        <color theme="1"/>
        <rFont val="Times New Roman"/>
        <family val="1"/>
      </rPr>
      <t>a</t>
    </r>
    <r>
      <rPr>
        <sz val="9"/>
        <color theme="1"/>
        <rFont val="Times New Roman"/>
        <family val="1"/>
      </rPr>
      <t xml:space="preserve"> [95%-CI], </t>
    </r>
    <r>
      <rPr>
        <i/>
        <sz val="9"/>
        <color theme="1"/>
        <rFont val="Times New Roman"/>
        <family val="1"/>
      </rPr>
      <t>p</t>
    </r>
    <r>
      <rPr>
        <sz val="9"/>
        <color theme="1"/>
        <rFont val="Times New Roman"/>
        <family val="1"/>
      </rPr>
      <t>-value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</si>
</sst>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0"/>
      <name val="Times New Roman"/>
      <family val="1"/>
    </font>
    <font>
      <b/>
      <sz val="9"/>
      <color theme="1"/>
      <name val="Times New Roman"/>
      <family val="1"/>
    </font>
    <font>
      <vertAlign val="superscript"/>
      <sz val="9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164" fontId="1" fillId="0" borderId="0" xfId="0" applyNumberFormat="1" applyFont="1"/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5"/>
  <sheetViews>
    <sheetView tabSelected="1" workbookViewId="0">
      <selection activeCell="C1" sqref="C1:N1"/>
    </sheetView>
  </sheetViews>
  <sheetFormatPr defaultColWidth="20.1796875" defaultRowHeight="11.5" x14ac:dyDescent="0.25"/>
  <cols>
    <col min="1" max="1" width="13.453125" style="3" bestFit="1" customWidth="1"/>
    <col min="2" max="2" width="7.08984375" style="3" bestFit="1" customWidth="1"/>
    <col min="3" max="3" width="15.54296875" style="3" bestFit="1" customWidth="1"/>
    <col min="4" max="4" width="5.90625" style="35" bestFit="1" customWidth="1"/>
    <col min="5" max="5" width="16.08984375" style="3" bestFit="1" customWidth="1"/>
    <col min="6" max="6" width="5.90625" style="35" bestFit="1" customWidth="1"/>
    <col min="7" max="7" width="15.54296875" style="3" bestFit="1" customWidth="1"/>
    <col min="8" max="8" width="5.36328125" style="35" bestFit="1" customWidth="1"/>
    <col min="9" max="9" width="16.08984375" style="3" bestFit="1" customWidth="1"/>
    <col min="10" max="10" width="5.36328125" style="3" bestFit="1" customWidth="1"/>
    <col min="11" max="11" width="16.08984375" style="3" bestFit="1" customWidth="1"/>
    <col min="12" max="12" width="5.36328125" style="3" bestFit="1" customWidth="1"/>
    <col min="13" max="13" width="15.54296875" style="3" bestFit="1" customWidth="1"/>
    <col min="14" max="14" width="7.453125" style="3" customWidth="1"/>
    <col min="15" max="15" width="4.26953125" style="3" bestFit="1" customWidth="1"/>
    <col min="16" max="16" width="6.1796875" style="3" bestFit="1" customWidth="1"/>
    <col min="17" max="16384" width="20.1796875" style="3"/>
  </cols>
  <sheetData>
    <row r="1" spans="1:16" ht="14" x14ac:dyDescent="0.25">
      <c r="A1" s="1" t="s">
        <v>0</v>
      </c>
      <c r="B1" s="2" t="s">
        <v>1</v>
      </c>
      <c r="C1" s="36" t="s">
        <v>142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2" t="s">
        <v>2</v>
      </c>
      <c r="P1" s="2" t="s">
        <v>3</v>
      </c>
    </row>
    <row r="2" spans="1:16" x14ac:dyDescent="0.25">
      <c r="A2" s="4"/>
      <c r="B2" s="5"/>
      <c r="C2" s="6" t="s">
        <v>4</v>
      </c>
      <c r="D2" s="6"/>
      <c r="E2" s="7" t="s">
        <v>5</v>
      </c>
      <c r="F2" s="7"/>
      <c r="G2" s="7" t="s">
        <v>6</v>
      </c>
      <c r="H2" s="7"/>
      <c r="I2" s="7" t="s">
        <v>7</v>
      </c>
      <c r="J2" s="7"/>
      <c r="K2" s="7" t="s">
        <v>8</v>
      </c>
      <c r="L2" s="7"/>
      <c r="M2" s="5" t="s">
        <v>9</v>
      </c>
      <c r="N2" s="5"/>
      <c r="O2" s="5"/>
      <c r="P2" s="5"/>
    </row>
    <row r="3" spans="1:16" x14ac:dyDescent="0.25">
      <c r="A3" s="6" t="s">
        <v>10</v>
      </c>
      <c r="B3" s="8" t="s">
        <v>4</v>
      </c>
      <c r="C3" s="9" t="s">
        <v>4</v>
      </c>
      <c r="D3" s="9"/>
      <c r="E3" s="10" t="s">
        <v>11</v>
      </c>
      <c r="F3" s="11">
        <v>2.3099999999999999E-2</v>
      </c>
      <c r="G3" s="10" t="s">
        <v>12</v>
      </c>
      <c r="H3" s="11">
        <v>0.15720000000000001</v>
      </c>
      <c r="I3" s="10"/>
      <c r="J3" s="10"/>
      <c r="K3" s="10"/>
      <c r="L3" s="10"/>
      <c r="M3" s="10"/>
      <c r="N3" s="10"/>
      <c r="O3" s="10">
        <v>1</v>
      </c>
      <c r="P3" s="10">
        <v>0.99270000000000003</v>
      </c>
    </row>
    <row r="4" spans="1:16" x14ac:dyDescent="0.25">
      <c r="A4" s="2">
        <v>1</v>
      </c>
      <c r="B4" s="12" t="s">
        <v>5</v>
      </c>
      <c r="C4" s="13" t="s">
        <v>13</v>
      </c>
      <c r="D4" s="14">
        <v>3.0999999999999999E-3</v>
      </c>
      <c r="E4" s="9" t="s">
        <v>5</v>
      </c>
      <c r="F4" s="9"/>
      <c r="G4" s="13" t="s">
        <v>14</v>
      </c>
      <c r="H4" s="14">
        <v>1.1999999999999999E-3</v>
      </c>
      <c r="I4" s="13" t="s">
        <v>15</v>
      </c>
      <c r="J4" s="13">
        <v>1.1999999999999999E-3</v>
      </c>
      <c r="K4" s="13"/>
      <c r="L4" s="13"/>
      <c r="M4" s="13" t="s">
        <v>16</v>
      </c>
      <c r="N4" s="13">
        <v>0.23980000000000001</v>
      </c>
      <c r="O4" s="13">
        <v>2</v>
      </c>
      <c r="P4" s="13">
        <v>0.6502</v>
      </c>
    </row>
    <row r="5" spans="1:16" x14ac:dyDescent="0.25">
      <c r="A5" s="2">
        <v>2</v>
      </c>
      <c r="B5" s="12" t="s">
        <v>6</v>
      </c>
      <c r="C5" s="13" t="s">
        <v>17</v>
      </c>
      <c r="D5" s="14">
        <v>3.1300000000000001E-2</v>
      </c>
      <c r="E5" s="13" t="s">
        <v>18</v>
      </c>
      <c r="F5" s="14">
        <v>0.3604</v>
      </c>
      <c r="G5" s="15" t="s">
        <v>6</v>
      </c>
      <c r="H5" s="15"/>
      <c r="I5" s="13"/>
      <c r="J5" s="13"/>
      <c r="K5" s="13"/>
      <c r="L5" s="13"/>
      <c r="M5" s="13"/>
      <c r="N5" s="13"/>
      <c r="O5" s="13">
        <v>3</v>
      </c>
      <c r="P5" s="13">
        <v>0.35110000000000002</v>
      </c>
    </row>
    <row r="6" spans="1:16" x14ac:dyDescent="0.25">
      <c r="A6" s="2">
        <v>3</v>
      </c>
      <c r="B6" s="12" t="s">
        <v>7</v>
      </c>
      <c r="C6" s="13" t="s">
        <v>19</v>
      </c>
      <c r="D6" s="14">
        <v>1.1999999999999999E-3</v>
      </c>
      <c r="E6" s="13" t="s">
        <v>20</v>
      </c>
      <c r="F6" s="14">
        <v>0.245</v>
      </c>
      <c r="G6" s="13" t="s">
        <v>21</v>
      </c>
      <c r="H6" s="14">
        <v>0.86670000000000003</v>
      </c>
      <c r="I6" s="16" t="s">
        <v>7</v>
      </c>
      <c r="J6" s="17"/>
      <c r="K6" s="13"/>
      <c r="L6" s="13"/>
      <c r="M6" s="13"/>
      <c r="N6" s="13"/>
      <c r="O6" s="13">
        <v>4</v>
      </c>
      <c r="P6" s="13">
        <v>0.31879999999999997</v>
      </c>
    </row>
    <row r="7" spans="1:16" x14ac:dyDescent="0.25">
      <c r="A7" s="2">
        <v>4</v>
      </c>
      <c r="B7" s="12" t="s">
        <v>8</v>
      </c>
      <c r="C7" s="13"/>
      <c r="D7" s="14"/>
      <c r="E7" s="13"/>
      <c r="F7" s="14"/>
      <c r="G7" s="13"/>
      <c r="H7" s="14"/>
      <c r="I7" s="13"/>
      <c r="J7" s="18"/>
      <c r="K7" s="19" t="s">
        <v>8</v>
      </c>
      <c r="L7" s="20"/>
      <c r="M7" s="13"/>
      <c r="N7" s="13"/>
      <c r="O7" s="13"/>
      <c r="P7" s="13"/>
    </row>
    <row r="8" spans="1:16" x14ac:dyDescent="0.25">
      <c r="A8" s="5">
        <v>5</v>
      </c>
      <c r="B8" s="21" t="s">
        <v>9</v>
      </c>
      <c r="C8" s="22" t="s">
        <v>22</v>
      </c>
      <c r="D8" s="23">
        <v>2.3199999999999998E-2</v>
      </c>
      <c r="E8" s="22" t="s">
        <v>23</v>
      </c>
      <c r="F8" s="23">
        <v>0.2175</v>
      </c>
      <c r="G8" s="22" t="s">
        <v>24</v>
      </c>
      <c r="H8" s="23">
        <v>0.56299999999999994</v>
      </c>
      <c r="I8" s="22" t="s">
        <v>25</v>
      </c>
      <c r="J8" s="23">
        <v>0.70599999999999996</v>
      </c>
      <c r="K8" s="22"/>
      <c r="L8" s="22"/>
      <c r="M8" s="24" t="s">
        <v>9</v>
      </c>
      <c r="N8" s="24"/>
      <c r="O8" s="22">
        <v>5</v>
      </c>
      <c r="P8" s="22">
        <v>0.18720000000000001</v>
      </c>
    </row>
    <row r="10" spans="1:16" x14ac:dyDescent="0.25">
      <c r="A10" s="6" t="s">
        <v>26</v>
      </c>
      <c r="B10" s="8" t="s">
        <v>4</v>
      </c>
      <c r="C10" s="25" t="s">
        <v>4</v>
      </c>
      <c r="D10" s="25"/>
      <c r="E10" s="10" t="s">
        <v>27</v>
      </c>
      <c r="F10" s="11">
        <v>5.0000000000000001E-4</v>
      </c>
      <c r="G10" s="10" t="s">
        <v>28</v>
      </c>
      <c r="H10" s="11">
        <v>0.1449</v>
      </c>
      <c r="I10" s="10"/>
      <c r="J10" s="10"/>
      <c r="K10" s="10"/>
      <c r="L10" s="10"/>
      <c r="M10" s="10"/>
      <c r="N10" s="10"/>
      <c r="O10" s="10">
        <v>1</v>
      </c>
      <c r="P10" s="10">
        <v>0.98199999999999998</v>
      </c>
    </row>
    <row r="11" spans="1:16" x14ac:dyDescent="0.25">
      <c r="A11" s="2">
        <v>1</v>
      </c>
      <c r="B11" s="12" t="s">
        <v>5</v>
      </c>
      <c r="C11" s="13" t="s">
        <v>29</v>
      </c>
      <c r="D11" s="14">
        <v>5.0000000000000001E-4</v>
      </c>
      <c r="E11" s="9" t="s">
        <v>5</v>
      </c>
      <c r="F11" s="9"/>
      <c r="G11" s="13" t="s">
        <v>30</v>
      </c>
      <c r="H11" s="14">
        <v>7.7700000000000005E-2</v>
      </c>
      <c r="I11" s="13" t="s">
        <v>31</v>
      </c>
      <c r="J11" s="13">
        <v>0.1961</v>
      </c>
      <c r="K11" s="13" t="s">
        <v>32</v>
      </c>
      <c r="L11" s="13">
        <v>0.26769999999999999</v>
      </c>
      <c r="M11" s="13" t="s">
        <v>33</v>
      </c>
      <c r="N11" s="13">
        <v>6.1999999999999998E-3</v>
      </c>
      <c r="O11" s="13">
        <v>2</v>
      </c>
      <c r="P11" s="13">
        <v>0.7107</v>
      </c>
    </row>
    <row r="12" spans="1:16" x14ac:dyDescent="0.25">
      <c r="A12" s="2">
        <v>2</v>
      </c>
      <c r="B12" s="12" t="s">
        <v>6</v>
      </c>
      <c r="C12" s="13" t="s">
        <v>34</v>
      </c>
      <c r="D12" s="14">
        <v>1E-3</v>
      </c>
      <c r="E12" s="13" t="s">
        <v>35</v>
      </c>
      <c r="F12" s="14">
        <v>0.14050000000000001</v>
      </c>
      <c r="G12" s="15" t="s">
        <v>6</v>
      </c>
      <c r="H12" s="15"/>
      <c r="I12" s="13"/>
      <c r="J12" s="13"/>
      <c r="K12" s="13"/>
      <c r="L12" s="13"/>
      <c r="M12" s="13"/>
      <c r="N12" s="13"/>
      <c r="O12" s="13">
        <v>3</v>
      </c>
      <c r="P12" s="13">
        <v>0.40350000000000003</v>
      </c>
    </row>
    <row r="13" spans="1:16" x14ac:dyDescent="0.25">
      <c r="A13" s="2">
        <v>3</v>
      </c>
      <c r="B13" s="12" t="s">
        <v>7</v>
      </c>
      <c r="C13" s="13" t="s">
        <v>36</v>
      </c>
      <c r="D13" s="14">
        <v>2.12E-2</v>
      </c>
      <c r="E13" s="13" t="s">
        <v>37</v>
      </c>
      <c r="F13" s="14">
        <v>0.1653</v>
      </c>
      <c r="G13" s="13" t="s">
        <v>38</v>
      </c>
      <c r="H13" s="14">
        <v>0.59789999999999999</v>
      </c>
      <c r="I13" s="16" t="s">
        <v>7</v>
      </c>
      <c r="J13" s="16"/>
      <c r="K13" s="13"/>
      <c r="L13" s="13"/>
      <c r="M13" s="13"/>
      <c r="N13" s="13"/>
      <c r="O13" s="13">
        <v>6</v>
      </c>
      <c r="P13" s="13">
        <v>0.25700000000000001</v>
      </c>
    </row>
    <row r="14" spans="1:16" x14ac:dyDescent="0.25">
      <c r="A14" s="2">
        <v>4</v>
      </c>
      <c r="B14" s="12" t="s">
        <v>8</v>
      </c>
      <c r="C14" s="13" t="s">
        <v>39</v>
      </c>
      <c r="D14" s="14">
        <v>0.14660000000000001</v>
      </c>
      <c r="E14" s="13" t="s">
        <v>40</v>
      </c>
      <c r="F14" s="14">
        <v>0.46229999999999999</v>
      </c>
      <c r="G14" s="13" t="s">
        <v>41</v>
      </c>
      <c r="H14" s="14">
        <v>0.81489999999999996</v>
      </c>
      <c r="I14" s="13" t="s">
        <v>42</v>
      </c>
      <c r="J14" s="14">
        <v>0.81489999999999996</v>
      </c>
      <c r="K14" s="20" t="s">
        <v>8</v>
      </c>
      <c r="L14" s="20"/>
      <c r="M14" s="13"/>
      <c r="N14" s="13"/>
      <c r="O14" s="13">
        <v>4</v>
      </c>
      <c r="P14" s="13">
        <v>0.38590000000000002</v>
      </c>
    </row>
    <row r="15" spans="1:16" x14ac:dyDescent="0.25">
      <c r="A15" s="5">
        <v>5</v>
      </c>
      <c r="B15" s="21" t="s">
        <v>9</v>
      </c>
      <c r="C15" s="22" t="s">
        <v>43</v>
      </c>
      <c r="D15" s="23">
        <v>1.235E-2</v>
      </c>
      <c r="E15" s="22" t="s">
        <v>44</v>
      </c>
      <c r="F15" s="23">
        <v>0.1331</v>
      </c>
      <c r="G15" s="22" t="s">
        <v>45</v>
      </c>
      <c r="H15" s="23">
        <v>0.97609999999999997</v>
      </c>
      <c r="I15" s="22" t="s">
        <v>46</v>
      </c>
      <c r="J15" s="23">
        <v>0.97609999999999997</v>
      </c>
      <c r="K15" s="22" t="s">
        <v>47</v>
      </c>
      <c r="L15" s="22">
        <v>0.82750000000000001</v>
      </c>
      <c r="M15" s="24" t="s">
        <v>9</v>
      </c>
      <c r="N15" s="24"/>
      <c r="O15" s="22">
        <v>5</v>
      </c>
      <c r="P15" s="22">
        <v>0.26100000000000001</v>
      </c>
    </row>
    <row r="17" spans="1:16" x14ac:dyDescent="0.25">
      <c r="A17" s="6" t="s">
        <v>48</v>
      </c>
      <c r="B17" s="8" t="s">
        <v>4</v>
      </c>
      <c r="C17" s="9" t="s">
        <v>4</v>
      </c>
      <c r="D17" s="9"/>
      <c r="E17" s="10" t="s">
        <v>49</v>
      </c>
      <c r="F17" s="11">
        <v>0</v>
      </c>
      <c r="G17" s="10"/>
      <c r="H17" s="11"/>
      <c r="I17" s="10"/>
      <c r="J17" s="10"/>
      <c r="K17" s="10"/>
      <c r="L17" s="10"/>
      <c r="M17" s="10"/>
      <c r="N17" s="10"/>
      <c r="O17" s="10">
        <v>1</v>
      </c>
      <c r="P17" s="10">
        <v>0.93320000000000003</v>
      </c>
    </row>
    <row r="18" spans="1:16" x14ac:dyDescent="0.25">
      <c r="A18" s="2">
        <v>1</v>
      </c>
      <c r="B18" s="12" t="s">
        <v>5</v>
      </c>
      <c r="C18" s="13" t="s">
        <v>50</v>
      </c>
      <c r="D18" s="14" t="s">
        <v>51</v>
      </c>
      <c r="E18" s="9" t="s">
        <v>5</v>
      </c>
      <c r="F18" s="9"/>
      <c r="G18" s="13"/>
      <c r="H18" s="14"/>
      <c r="I18" s="13"/>
      <c r="J18" s="13"/>
      <c r="K18" s="13"/>
      <c r="L18" s="13"/>
      <c r="M18" s="13" t="s">
        <v>52</v>
      </c>
      <c r="N18" s="13">
        <v>0.74</v>
      </c>
      <c r="O18" s="13">
        <v>4</v>
      </c>
      <c r="P18" s="13">
        <v>0.44259999999999999</v>
      </c>
    </row>
    <row r="19" spans="1:16" x14ac:dyDescent="0.25">
      <c r="A19" s="2">
        <v>2</v>
      </c>
      <c r="B19" s="12" t="s">
        <v>6</v>
      </c>
      <c r="C19" s="13" t="s">
        <v>53</v>
      </c>
      <c r="D19" s="14">
        <f>3.26*10^-1</f>
        <v>0.32600000000000001</v>
      </c>
      <c r="E19" s="13" t="s">
        <v>54</v>
      </c>
      <c r="F19" s="14">
        <v>0.4829</v>
      </c>
      <c r="G19" s="15" t="s">
        <v>6</v>
      </c>
      <c r="H19" s="15"/>
      <c r="I19" s="13"/>
      <c r="J19" s="13"/>
      <c r="K19" s="13"/>
      <c r="L19" s="13"/>
      <c r="M19" s="13"/>
      <c r="N19" s="13"/>
      <c r="O19" s="13">
        <v>2</v>
      </c>
      <c r="P19" s="13">
        <v>0.64670000000000005</v>
      </c>
    </row>
    <row r="20" spans="1:16" x14ac:dyDescent="0.25">
      <c r="A20" s="2">
        <v>3</v>
      </c>
      <c r="B20" s="12" t="s">
        <v>7</v>
      </c>
      <c r="C20" s="13" t="s">
        <v>55</v>
      </c>
      <c r="D20" s="14">
        <f>2.685*10^-2</f>
        <v>2.6850000000000002E-2</v>
      </c>
      <c r="E20" s="13" t="s">
        <v>56</v>
      </c>
      <c r="F20" s="14">
        <v>0.23300000000000001</v>
      </c>
      <c r="G20" s="13" t="s">
        <v>57</v>
      </c>
      <c r="H20" s="14">
        <v>0.1668</v>
      </c>
      <c r="I20" s="16" t="s">
        <v>7</v>
      </c>
      <c r="J20" s="16"/>
      <c r="K20" s="13"/>
      <c r="L20" s="13"/>
      <c r="M20" s="13"/>
      <c r="N20" s="13"/>
      <c r="O20" s="13">
        <v>6</v>
      </c>
      <c r="P20" s="13">
        <v>0.1154</v>
      </c>
    </row>
    <row r="21" spans="1:16" x14ac:dyDescent="0.25">
      <c r="A21" s="2">
        <v>4</v>
      </c>
      <c r="B21" s="12" t="s">
        <v>8</v>
      </c>
      <c r="C21" s="13" t="s">
        <v>58</v>
      </c>
      <c r="D21" s="14">
        <f>2.654*10^-1</f>
        <v>0.26540000000000002</v>
      </c>
      <c r="E21" s="13" t="s">
        <v>59</v>
      </c>
      <c r="F21" s="14">
        <v>1</v>
      </c>
      <c r="G21" s="13" t="s">
        <v>60</v>
      </c>
      <c r="H21" s="14">
        <v>0.69259999999999999</v>
      </c>
      <c r="I21" s="13" t="s">
        <v>61</v>
      </c>
      <c r="J21" s="13">
        <v>0.38569999999999999</v>
      </c>
      <c r="K21" s="20" t="s">
        <v>8</v>
      </c>
      <c r="L21" s="20"/>
      <c r="M21" s="13"/>
      <c r="N21" s="13"/>
      <c r="O21" s="13">
        <v>3</v>
      </c>
      <c r="P21" s="13">
        <v>0.4662</v>
      </c>
    </row>
    <row r="22" spans="1:16" x14ac:dyDescent="0.25">
      <c r="A22" s="5">
        <v>5</v>
      </c>
      <c r="B22" s="21" t="s">
        <v>9</v>
      </c>
      <c r="C22" s="22" t="s">
        <v>62</v>
      </c>
      <c r="D22" s="23">
        <f>3.6022*10^-2</f>
        <v>3.6021999999999998E-2</v>
      </c>
      <c r="E22" s="22" t="s">
        <v>63</v>
      </c>
      <c r="F22" s="23">
        <v>0.82050000000000001</v>
      </c>
      <c r="G22" s="22" t="s">
        <v>64</v>
      </c>
      <c r="H22" s="23">
        <v>0.4914</v>
      </c>
      <c r="I22" s="22" t="s">
        <v>65</v>
      </c>
      <c r="J22" s="22">
        <v>0.34060000000000001</v>
      </c>
      <c r="K22" s="22" t="s">
        <v>66</v>
      </c>
      <c r="L22" s="22">
        <v>0.91269999999999996</v>
      </c>
      <c r="M22" s="24" t="s">
        <v>9</v>
      </c>
      <c r="N22" s="24"/>
      <c r="O22" s="22">
        <v>5</v>
      </c>
      <c r="P22" s="22">
        <v>0.39610000000000001</v>
      </c>
    </row>
    <row r="24" spans="1:16" x14ac:dyDescent="0.25">
      <c r="A24" s="6" t="s">
        <v>67</v>
      </c>
      <c r="B24" s="8" t="s">
        <v>4</v>
      </c>
      <c r="C24" s="26" t="s">
        <v>4</v>
      </c>
      <c r="D24" s="27"/>
      <c r="E24" s="10" t="s">
        <v>68</v>
      </c>
      <c r="F24" s="11">
        <v>0</v>
      </c>
      <c r="G24" s="10" t="s">
        <v>69</v>
      </c>
      <c r="H24" s="11">
        <v>0.62819999999999998</v>
      </c>
      <c r="I24" s="10"/>
      <c r="J24" s="10"/>
      <c r="K24" s="10"/>
      <c r="L24" s="10"/>
      <c r="M24" s="10"/>
      <c r="N24" s="10"/>
      <c r="O24" s="10">
        <v>1</v>
      </c>
      <c r="P24" s="10">
        <v>0.99960000000000004</v>
      </c>
    </row>
    <row r="25" spans="1:16" x14ac:dyDescent="0.25">
      <c r="A25" s="2">
        <v>1</v>
      </c>
      <c r="B25" s="12" t="s">
        <v>5</v>
      </c>
      <c r="C25" s="13" t="s">
        <v>70</v>
      </c>
      <c r="D25" s="14" t="s">
        <v>51</v>
      </c>
      <c r="E25" s="26" t="s">
        <v>5</v>
      </c>
      <c r="F25" s="27"/>
      <c r="G25" s="13" t="s">
        <v>71</v>
      </c>
      <c r="H25" s="14">
        <v>7.4399999999999994E-2</v>
      </c>
      <c r="I25" s="13" t="s">
        <v>72</v>
      </c>
      <c r="J25" s="13">
        <v>0.1182</v>
      </c>
      <c r="K25" s="13"/>
      <c r="L25" s="13"/>
      <c r="M25" s="13" t="s">
        <v>73</v>
      </c>
      <c r="N25" s="13">
        <v>2.0000000000000001E-4</v>
      </c>
      <c r="O25" s="13">
        <v>2</v>
      </c>
      <c r="P25" s="13">
        <v>0.69230000000000003</v>
      </c>
    </row>
    <row r="26" spans="1:16" x14ac:dyDescent="0.25">
      <c r="A26" s="2">
        <v>2</v>
      </c>
      <c r="B26" s="12" t="s">
        <v>6</v>
      </c>
      <c r="C26" s="13" t="s">
        <v>74</v>
      </c>
      <c r="D26" s="14" t="s">
        <v>51</v>
      </c>
      <c r="E26" s="13" t="s">
        <v>75</v>
      </c>
      <c r="F26" s="14">
        <v>0.34399999999999997</v>
      </c>
      <c r="G26" s="28" t="s">
        <v>6</v>
      </c>
      <c r="H26" s="29"/>
      <c r="I26" s="13"/>
      <c r="J26" s="13"/>
      <c r="K26" s="13"/>
      <c r="L26" s="13"/>
      <c r="M26" s="13"/>
      <c r="N26" s="13"/>
      <c r="O26" s="13">
        <v>3</v>
      </c>
      <c r="P26" s="13">
        <v>0.48249999999999998</v>
      </c>
    </row>
    <row r="27" spans="1:16" x14ac:dyDescent="0.25">
      <c r="A27" s="2">
        <v>3</v>
      </c>
      <c r="B27" s="12" t="s">
        <v>7</v>
      </c>
      <c r="C27" s="13" t="s">
        <v>76</v>
      </c>
      <c r="D27" s="14">
        <v>1.2999999999999999E-3</v>
      </c>
      <c r="E27" s="13" t="s">
        <v>77</v>
      </c>
      <c r="F27" s="14">
        <v>0.1182</v>
      </c>
      <c r="G27" s="13" t="s">
        <v>78</v>
      </c>
      <c r="H27" s="14">
        <v>0.47810000000000002</v>
      </c>
      <c r="I27" s="30" t="s">
        <v>7</v>
      </c>
      <c r="J27" s="31"/>
      <c r="K27" s="13"/>
      <c r="L27" s="13"/>
      <c r="M27" s="13"/>
      <c r="N27" s="13"/>
      <c r="O27" s="13">
        <v>4</v>
      </c>
      <c r="P27" s="13">
        <v>0.3236</v>
      </c>
    </row>
    <row r="28" spans="1:16" x14ac:dyDescent="0.25">
      <c r="A28" s="2">
        <v>4</v>
      </c>
      <c r="B28" s="12" t="s">
        <v>8</v>
      </c>
      <c r="C28" s="13"/>
      <c r="D28" s="14"/>
      <c r="E28" s="13"/>
      <c r="F28" s="14"/>
      <c r="G28" s="13"/>
      <c r="H28" s="14"/>
      <c r="I28" s="13"/>
      <c r="J28" s="13"/>
      <c r="K28" s="32" t="s">
        <v>8</v>
      </c>
      <c r="L28" s="19"/>
      <c r="M28" s="13"/>
      <c r="N28" s="13"/>
      <c r="O28" s="13"/>
      <c r="P28" s="13"/>
    </row>
    <row r="29" spans="1:16" x14ac:dyDescent="0.25">
      <c r="A29" s="5">
        <v>5</v>
      </c>
      <c r="B29" s="21" t="s">
        <v>9</v>
      </c>
      <c r="C29" s="22" t="s">
        <v>79</v>
      </c>
      <c r="D29" s="23" t="s">
        <v>51</v>
      </c>
      <c r="E29" s="22" t="s">
        <v>80</v>
      </c>
      <c r="F29" s="23" t="s">
        <v>51</v>
      </c>
      <c r="G29" s="22" t="s">
        <v>81</v>
      </c>
      <c r="H29" s="23">
        <v>2E-3</v>
      </c>
      <c r="I29" s="22" t="s">
        <v>82</v>
      </c>
      <c r="J29" s="22">
        <v>1.38E-2</v>
      </c>
      <c r="K29" s="22"/>
      <c r="L29" s="22"/>
      <c r="M29" s="33" t="s">
        <v>9</v>
      </c>
      <c r="N29" s="34"/>
      <c r="O29" s="22">
        <v>5</v>
      </c>
      <c r="P29" s="22">
        <v>2E-3</v>
      </c>
    </row>
    <row r="31" spans="1:16" x14ac:dyDescent="0.25">
      <c r="A31" s="6" t="s">
        <v>83</v>
      </c>
      <c r="B31" s="8" t="s">
        <v>4</v>
      </c>
      <c r="C31" s="9" t="s">
        <v>4</v>
      </c>
      <c r="D31" s="9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>
        <v>1</v>
      </c>
      <c r="P31" s="10">
        <v>0.9345</v>
      </c>
    </row>
    <row r="32" spans="1:16" x14ac:dyDescent="0.25">
      <c r="A32" s="2">
        <v>1</v>
      </c>
      <c r="B32" s="12" t="s">
        <v>5</v>
      </c>
      <c r="C32" s="13" t="s">
        <v>84</v>
      </c>
      <c r="D32" s="13">
        <v>1.1000000000000001E-3</v>
      </c>
      <c r="E32" s="9" t="s">
        <v>5</v>
      </c>
      <c r="F32" s="9"/>
      <c r="G32" s="13"/>
      <c r="H32" s="13"/>
      <c r="I32" s="13"/>
      <c r="J32" s="13"/>
      <c r="K32" s="13"/>
      <c r="L32" s="13"/>
      <c r="M32" s="13"/>
      <c r="N32" s="13"/>
      <c r="O32" s="13">
        <v>2</v>
      </c>
      <c r="P32" s="13">
        <v>0.69850000000000001</v>
      </c>
    </row>
    <row r="33" spans="1:16" x14ac:dyDescent="0.25">
      <c r="A33" s="2">
        <v>2</v>
      </c>
      <c r="B33" s="12" t="s">
        <v>6</v>
      </c>
      <c r="C33" s="13" t="s">
        <v>85</v>
      </c>
      <c r="D33" s="13">
        <v>0.46960000000000002</v>
      </c>
      <c r="E33" s="13" t="s">
        <v>86</v>
      </c>
      <c r="F33" s="14">
        <v>0.58099999999999996</v>
      </c>
      <c r="G33" s="15" t="s">
        <v>6</v>
      </c>
      <c r="H33" s="15"/>
      <c r="I33" s="13"/>
      <c r="J33" s="13"/>
      <c r="K33" s="13"/>
      <c r="L33" s="13"/>
      <c r="M33" s="13"/>
      <c r="N33" s="13"/>
      <c r="O33" s="13">
        <v>6</v>
      </c>
      <c r="P33" s="13">
        <v>4.41E-2</v>
      </c>
    </row>
    <row r="34" spans="1:16" x14ac:dyDescent="0.25">
      <c r="A34" s="2">
        <v>3</v>
      </c>
      <c r="B34" s="12" t="s">
        <v>7</v>
      </c>
      <c r="C34" s="13" t="s">
        <v>87</v>
      </c>
      <c r="D34" s="13">
        <v>0.3221</v>
      </c>
      <c r="E34" s="13" t="s">
        <v>88</v>
      </c>
      <c r="F34" s="13">
        <v>0.99460000000000004</v>
      </c>
      <c r="G34" s="13" t="s">
        <v>89</v>
      </c>
      <c r="H34" s="13">
        <v>0.73350000000000004</v>
      </c>
      <c r="I34" s="16" t="s">
        <v>7</v>
      </c>
      <c r="J34" s="16"/>
      <c r="K34" s="13"/>
      <c r="L34" s="13"/>
      <c r="M34" s="13"/>
      <c r="N34" s="13"/>
      <c r="O34" s="13">
        <v>5</v>
      </c>
      <c r="P34" s="13">
        <v>0.35909999999999997</v>
      </c>
    </row>
    <row r="35" spans="1:16" x14ac:dyDescent="0.25">
      <c r="A35" s="2">
        <v>4</v>
      </c>
      <c r="B35" s="12" t="s">
        <v>8</v>
      </c>
      <c r="C35" s="13" t="s">
        <v>90</v>
      </c>
      <c r="D35" s="13">
        <v>3.1910000000000001E-2</v>
      </c>
      <c r="E35" s="13" t="s">
        <v>91</v>
      </c>
      <c r="F35" s="13">
        <v>0.18490000000000001</v>
      </c>
      <c r="G35" s="13" t="s">
        <v>92</v>
      </c>
      <c r="H35" s="13">
        <v>0.16059999999999999</v>
      </c>
      <c r="I35" s="13" t="s">
        <v>93</v>
      </c>
      <c r="J35" s="14">
        <v>0.31259999999999999</v>
      </c>
      <c r="K35" s="20" t="s">
        <v>8</v>
      </c>
      <c r="L35" s="20"/>
      <c r="M35" s="13"/>
      <c r="N35" s="13"/>
      <c r="O35" s="13">
        <v>3</v>
      </c>
      <c r="P35" s="13">
        <v>0.55940000000000001</v>
      </c>
    </row>
    <row r="36" spans="1:16" x14ac:dyDescent="0.25">
      <c r="A36" s="5">
        <v>5</v>
      </c>
      <c r="B36" s="21" t="s">
        <v>9</v>
      </c>
      <c r="C36" s="22" t="s">
        <v>94</v>
      </c>
      <c r="D36" s="22">
        <v>8.2000000000000007E-3</v>
      </c>
      <c r="E36" s="22" t="s">
        <v>95</v>
      </c>
      <c r="F36" s="22">
        <v>0.20910000000000001</v>
      </c>
      <c r="G36" s="22" t="s">
        <v>96</v>
      </c>
      <c r="H36" s="22">
        <v>0.2329</v>
      </c>
      <c r="I36" s="22" t="s">
        <v>97</v>
      </c>
      <c r="J36" s="23">
        <v>0.51259999999999994</v>
      </c>
      <c r="K36" s="22" t="s">
        <v>98</v>
      </c>
      <c r="L36" s="23">
        <v>0.54949999999999999</v>
      </c>
      <c r="M36" s="24" t="s">
        <v>9</v>
      </c>
      <c r="N36" s="24"/>
      <c r="O36" s="22">
        <v>4</v>
      </c>
      <c r="P36" s="22">
        <v>0.40439999999999998</v>
      </c>
    </row>
    <row r="37" spans="1:16" x14ac:dyDescent="0.25">
      <c r="D37" s="3"/>
      <c r="F37" s="3"/>
      <c r="H37" s="3"/>
    </row>
    <row r="38" spans="1:16" x14ac:dyDescent="0.25">
      <c r="A38" s="6" t="s">
        <v>99</v>
      </c>
      <c r="B38" s="8" t="s">
        <v>4</v>
      </c>
      <c r="C38" s="9" t="s">
        <v>4</v>
      </c>
      <c r="D38" s="9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>
        <v>1</v>
      </c>
      <c r="P38" s="10">
        <v>0.95550000000000002</v>
      </c>
    </row>
    <row r="39" spans="1:16" x14ac:dyDescent="0.25">
      <c r="A39" s="2">
        <v>1</v>
      </c>
      <c r="B39" s="12" t="s">
        <v>5</v>
      </c>
      <c r="C39" s="13" t="s">
        <v>100</v>
      </c>
      <c r="D39" s="13">
        <v>0.9476</v>
      </c>
      <c r="E39" s="9" t="s">
        <v>5</v>
      </c>
      <c r="F39" s="9"/>
      <c r="G39" s="13"/>
      <c r="H39" s="13"/>
      <c r="I39" s="13"/>
      <c r="J39" s="13"/>
      <c r="K39" s="13"/>
      <c r="L39" s="13"/>
      <c r="M39" s="13"/>
      <c r="N39" s="13"/>
      <c r="O39" s="13">
        <v>2</v>
      </c>
      <c r="P39" s="13">
        <v>0.63319999999999999</v>
      </c>
    </row>
    <row r="40" spans="1:16" x14ac:dyDescent="0.25">
      <c r="A40" s="2">
        <v>2</v>
      </c>
      <c r="B40" s="12" t="s">
        <v>6</v>
      </c>
      <c r="C40" s="13" t="s">
        <v>101</v>
      </c>
      <c r="D40" s="13">
        <v>0.3463</v>
      </c>
      <c r="E40" s="13" t="s">
        <v>102</v>
      </c>
      <c r="F40" s="13">
        <v>0.377</v>
      </c>
      <c r="G40" s="15" t="s">
        <v>6</v>
      </c>
      <c r="H40" s="15"/>
      <c r="I40" s="13"/>
      <c r="J40" s="13"/>
      <c r="K40" s="13"/>
      <c r="L40" s="13"/>
      <c r="M40" s="13"/>
      <c r="N40" s="13"/>
      <c r="O40" s="13">
        <v>4</v>
      </c>
      <c r="P40" s="13">
        <v>0.47620000000000001</v>
      </c>
    </row>
    <row r="41" spans="1:16" x14ac:dyDescent="0.25">
      <c r="A41" s="2">
        <v>3</v>
      </c>
      <c r="B41" s="12" t="s">
        <v>7</v>
      </c>
      <c r="C41" s="13" t="s">
        <v>103</v>
      </c>
      <c r="D41" s="13">
        <v>0.56659999999999999</v>
      </c>
      <c r="E41" s="13" t="s">
        <v>104</v>
      </c>
      <c r="F41" s="13">
        <v>0.52410000000000001</v>
      </c>
      <c r="G41" s="13" t="s">
        <v>105</v>
      </c>
      <c r="H41" s="13">
        <v>0.2868</v>
      </c>
      <c r="I41" s="16" t="s">
        <v>7</v>
      </c>
      <c r="J41" s="16"/>
      <c r="K41" s="13"/>
      <c r="L41" s="13"/>
      <c r="M41" s="13"/>
      <c r="N41" s="13"/>
      <c r="O41" s="13">
        <v>6</v>
      </c>
      <c r="P41" s="13">
        <v>0.1512</v>
      </c>
    </row>
    <row r="42" spans="1:16" x14ac:dyDescent="0.25">
      <c r="A42" s="2">
        <v>4</v>
      </c>
      <c r="B42" s="12" t="s">
        <v>8</v>
      </c>
      <c r="C42" s="13" t="s">
        <v>106</v>
      </c>
      <c r="D42" s="13">
        <v>0.35270000000000001</v>
      </c>
      <c r="E42" s="13" t="s">
        <v>107</v>
      </c>
      <c r="F42" s="13">
        <v>0.34810000000000002</v>
      </c>
      <c r="G42" s="13" t="s">
        <v>108</v>
      </c>
      <c r="H42" s="13">
        <v>0.74539999999999995</v>
      </c>
      <c r="I42" s="13" t="s">
        <v>109</v>
      </c>
      <c r="J42" s="14">
        <v>0.25679999999999997</v>
      </c>
      <c r="K42" s="20" t="s">
        <v>8</v>
      </c>
      <c r="L42" s="20"/>
      <c r="M42" s="13"/>
      <c r="N42" s="13"/>
      <c r="O42" s="13">
        <v>3</v>
      </c>
      <c r="P42" s="13">
        <v>0.50780000000000003</v>
      </c>
    </row>
    <row r="43" spans="1:16" x14ac:dyDescent="0.25">
      <c r="A43" s="5">
        <v>5</v>
      </c>
      <c r="B43" s="21" t="s">
        <v>9</v>
      </c>
      <c r="C43" s="22" t="s">
        <v>110</v>
      </c>
      <c r="D43" s="22">
        <v>0.70469999999999999</v>
      </c>
      <c r="E43" s="22" t="s">
        <v>111</v>
      </c>
      <c r="F43" s="22">
        <v>0.7077</v>
      </c>
      <c r="G43" s="22" t="s">
        <v>112</v>
      </c>
      <c r="H43" s="22">
        <v>0.74550000000000005</v>
      </c>
      <c r="I43" s="22" t="s">
        <v>113</v>
      </c>
      <c r="J43" s="23">
        <v>0.47299999999999998</v>
      </c>
      <c r="K43" s="22" t="s">
        <v>114</v>
      </c>
      <c r="L43" s="23">
        <v>0.57169999999999999</v>
      </c>
      <c r="M43" s="24" t="s">
        <v>9</v>
      </c>
      <c r="N43" s="24"/>
      <c r="O43" s="22">
        <v>5</v>
      </c>
      <c r="P43" s="22">
        <v>0.27610000000000001</v>
      </c>
    </row>
    <row r="44" spans="1:16" x14ac:dyDescent="0.25">
      <c r="D44" s="3"/>
      <c r="F44" s="3"/>
      <c r="H44" s="3"/>
    </row>
    <row r="45" spans="1:16" x14ac:dyDescent="0.25">
      <c r="A45" s="6" t="s">
        <v>115</v>
      </c>
      <c r="B45" s="8" t="s">
        <v>4</v>
      </c>
      <c r="C45" s="9" t="s">
        <v>4</v>
      </c>
      <c r="D45" s="9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>
        <v>1</v>
      </c>
      <c r="P45" s="10">
        <v>0.99829999999999997</v>
      </c>
    </row>
    <row r="46" spans="1:16" x14ac:dyDescent="0.25">
      <c r="A46" s="2"/>
      <c r="B46" s="12" t="s">
        <v>5</v>
      </c>
      <c r="C46" s="13" t="s">
        <v>116</v>
      </c>
      <c r="D46" s="13">
        <v>6.7400000000000002E-2</v>
      </c>
      <c r="E46" s="9" t="s">
        <v>5</v>
      </c>
      <c r="F46" s="9"/>
      <c r="G46" s="13"/>
      <c r="H46" s="13"/>
      <c r="I46" s="13"/>
      <c r="J46" s="13"/>
      <c r="K46" s="13"/>
      <c r="L46" s="13"/>
      <c r="M46" s="13"/>
      <c r="N46" s="13"/>
      <c r="O46" s="13">
        <v>2</v>
      </c>
      <c r="P46" s="13">
        <v>0.7228</v>
      </c>
    </row>
    <row r="47" spans="1:16" x14ac:dyDescent="0.25">
      <c r="A47" s="2"/>
      <c r="B47" s="12" t="s">
        <v>6</v>
      </c>
      <c r="C47" s="13"/>
      <c r="D47" s="13"/>
      <c r="E47" s="13"/>
      <c r="F47" s="13"/>
      <c r="G47" s="15" t="s">
        <v>6</v>
      </c>
      <c r="H47" s="15"/>
      <c r="I47" s="13"/>
      <c r="J47" s="13"/>
      <c r="K47" s="13"/>
      <c r="L47" s="13"/>
      <c r="M47" s="13"/>
      <c r="N47" s="13"/>
      <c r="O47" s="13"/>
      <c r="P47" s="13"/>
    </row>
    <row r="48" spans="1:16" x14ac:dyDescent="0.25">
      <c r="A48" s="2"/>
      <c r="B48" s="12" t="s">
        <v>7</v>
      </c>
      <c r="C48" s="13" t="s">
        <v>117</v>
      </c>
      <c r="D48" s="13">
        <v>0.99199999999999999</v>
      </c>
      <c r="E48" s="13" t="s">
        <v>118</v>
      </c>
      <c r="F48" s="13">
        <v>0.70620000000000005</v>
      </c>
      <c r="G48" s="13"/>
      <c r="H48" s="13"/>
      <c r="I48" s="16" t="s">
        <v>7</v>
      </c>
      <c r="J48" s="16"/>
      <c r="K48" s="13"/>
      <c r="L48" s="13"/>
      <c r="M48" s="13"/>
      <c r="N48" s="13"/>
      <c r="O48" s="13">
        <v>5</v>
      </c>
      <c r="P48" s="13">
        <v>0.14610000000000001</v>
      </c>
    </row>
    <row r="49" spans="1:16" x14ac:dyDescent="0.25">
      <c r="A49" s="2"/>
      <c r="B49" s="12" t="s">
        <v>8</v>
      </c>
      <c r="C49" s="13" t="s">
        <v>119</v>
      </c>
      <c r="D49" s="13">
        <v>0.60199999999999998</v>
      </c>
      <c r="E49" s="13" t="s">
        <v>120</v>
      </c>
      <c r="F49" s="13">
        <v>0.96209999999999996</v>
      </c>
      <c r="G49" s="13"/>
      <c r="H49" s="13"/>
      <c r="I49" s="13" t="s">
        <v>121</v>
      </c>
      <c r="J49" s="13">
        <v>0.74470000000000003</v>
      </c>
      <c r="K49" s="20" t="s">
        <v>8</v>
      </c>
      <c r="L49" s="20"/>
      <c r="M49" s="13"/>
      <c r="N49" s="13"/>
      <c r="O49" s="13">
        <v>4</v>
      </c>
      <c r="P49" s="13">
        <v>0.28539999999999999</v>
      </c>
    </row>
    <row r="50" spans="1:16" x14ac:dyDescent="0.25">
      <c r="A50" s="5"/>
      <c r="B50" s="21" t="s">
        <v>9</v>
      </c>
      <c r="C50" s="22" t="s">
        <v>122</v>
      </c>
      <c r="D50" s="22">
        <v>0.10340000000000001</v>
      </c>
      <c r="E50" s="22" t="s">
        <v>123</v>
      </c>
      <c r="F50" s="23">
        <v>0.33700000000000002</v>
      </c>
      <c r="G50" s="22"/>
      <c r="H50" s="22"/>
      <c r="I50" s="22" t="s">
        <v>124</v>
      </c>
      <c r="J50" s="22">
        <v>0.45429999999999998</v>
      </c>
      <c r="K50" s="22" t="s">
        <v>125</v>
      </c>
      <c r="L50" s="22">
        <v>0.65239999999999998</v>
      </c>
      <c r="M50" s="24" t="s">
        <v>9</v>
      </c>
      <c r="N50" s="24"/>
      <c r="O50" s="22">
        <v>3</v>
      </c>
      <c r="P50" s="22">
        <v>0.34739999999999999</v>
      </c>
    </row>
    <row r="51" spans="1:16" x14ac:dyDescent="0.25">
      <c r="D51" s="3"/>
      <c r="F51" s="3"/>
      <c r="H51" s="3"/>
    </row>
    <row r="52" spans="1:16" x14ac:dyDescent="0.25">
      <c r="A52" s="6" t="s">
        <v>126</v>
      </c>
      <c r="B52" s="8" t="s">
        <v>4</v>
      </c>
      <c r="C52" s="26" t="s">
        <v>4</v>
      </c>
      <c r="D52" s="27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>
        <v>1</v>
      </c>
      <c r="P52" s="10">
        <v>0.98980000000000001</v>
      </c>
    </row>
    <row r="53" spans="1:16" x14ac:dyDescent="0.25">
      <c r="A53" s="2">
        <v>1</v>
      </c>
      <c r="B53" s="12" t="s">
        <v>5</v>
      </c>
      <c r="C53" s="13" t="s">
        <v>127</v>
      </c>
      <c r="D53" s="13">
        <v>0.45429999999999998</v>
      </c>
      <c r="E53" s="26" t="s">
        <v>5</v>
      </c>
      <c r="F53" s="27"/>
      <c r="G53" s="13"/>
      <c r="H53" s="13"/>
      <c r="I53" s="13"/>
      <c r="J53" s="13"/>
      <c r="K53" s="13"/>
      <c r="L53" s="13"/>
      <c r="M53" s="13"/>
      <c r="N53" s="13"/>
      <c r="O53" s="13">
        <v>2</v>
      </c>
      <c r="P53" s="13">
        <v>0.60470000000000002</v>
      </c>
    </row>
    <row r="54" spans="1:16" x14ac:dyDescent="0.25">
      <c r="A54" s="2">
        <v>2</v>
      </c>
      <c r="B54" s="12" t="s">
        <v>6</v>
      </c>
      <c r="C54" s="13"/>
      <c r="D54" s="13"/>
      <c r="E54" s="13"/>
      <c r="F54" s="13"/>
      <c r="G54" s="28" t="s">
        <v>6</v>
      </c>
      <c r="H54" s="29"/>
      <c r="I54" s="13"/>
      <c r="J54" s="13"/>
      <c r="K54" s="13"/>
      <c r="L54" s="13"/>
      <c r="M54" s="13"/>
      <c r="N54" s="13"/>
      <c r="O54" s="13"/>
      <c r="P54" s="13"/>
    </row>
    <row r="55" spans="1:16" x14ac:dyDescent="0.25">
      <c r="A55" s="2">
        <v>3</v>
      </c>
      <c r="B55" s="12" t="s">
        <v>7</v>
      </c>
      <c r="C55" s="13" t="s">
        <v>128</v>
      </c>
      <c r="D55" s="13">
        <v>0.51590000000000003</v>
      </c>
      <c r="E55" s="13" t="s">
        <v>129</v>
      </c>
      <c r="F55" s="13">
        <v>0.66490000000000005</v>
      </c>
      <c r="G55" s="13"/>
      <c r="H55" s="13"/>
      <c r="I55" s="30" t="s">
        <v>7</v>
      </c>
      <c r="J55" s="31"/>
      <c r="K55" s="13"/>
      <c r="L55" s="13"/>
      <c r="M55" s="13"/>
      <c r="N55" s="13"/>
      <c r="O55" s="13">
        <v>5</v>
      </c>
      <c r="P55" s="13">
        <v>0.12690000000000001</v>
      </c>
    </row>
    <row r="56" spans="1:16" x14ac:dyDescent="0.25">
      <c r="A56" s="2">
        <v>4</v>
      </c>
      <c r="B56" s="12" t="s">
        <v>8</v>
      </c>
      <c r="C56" s="13" t="s">
        <v>130</v>
      </c>
      <c r="D56" s="13">
        <v>0.4909</v>
      </c>
      <c r="E56" s="13" t="s">
        <v>131</v>
      </c>
      <c r="F56" s="13">
        <v>0.34810000000000002</v>
      </c>
      <c r="G56" s="13"/>
      <c r="H56" s="13"/>
      <c r="I56" s="13" t="s">
        <v>132</v>
      </c>
      <c r="J56" s="13">
        <v>0.32129999999999997</v>
      </c>
      <c r="K56" s="32" t="s">
        <v>8</v>
      </c>
      <c r="L56" s="19"/>
      <c r="M56" s="13"/>
      <c r="N56" s="13"/>
      <c r="O56" s="13">
        <v>3</v>
      </c>
      <c r="P56" s="13">
        <v>0.43559999999999999</v>
      </c>
    </row>
    <row r="57" spans="1:16" x14ac:dyDescent="0.25">
      <c r="A57" s="5">
        <v>5</v>
      </c>
      <c r="B57" s="21" t="s">
        <v>9</v>
      </c>
      <c r="C57" s="22" t="s">
        <v>133</v>
      </c>
      <c r="D57" s="13">
        <v>0.59189999999999998</v>
      </c>
      <c r="E57" s="22" t="s">
        <v>134</v>
      </c>
      <c r="F57" s="22">
        <v>0.28910000000000002</v>
      </c>
      <c r="G57" s="22"/>
      <c r="H57" s="22"/>
      <c r="I57" s="22" t="s">
        <v>135</v>
      </c>
      <c r="J57" s="22">
        <v>0.36580000000000001</v>
      </c>
      <c r="K57" s="22" t="s">
        <v>136</v>
      </c>
      <c r="L57" s="22">
        <v>0.7167</v>
      </c>
      <c r="M57" s="33" t="s">
        <v>9</v>
      </c>
      <c r="N57" s="34"/>
      <c r="O57" s="22">
        <v>4</v>
      </c>
      <c r="P57" s="22">
        <v>0.34289999999999998</v>
      </c>
    </row>
    <row r="58" spans="1:16" x14ac:dyDescent="0.25">
      <c r="D58" s="3"/>
      <c r="F58" s="3"/>
      <c r="H58" s="3"/>
      <c r="M58" s="10"/>
      <c r="N58" s="10"/>
    </row>
    <row r="59" spans="1:16" x14ac:dyDescent="0.25">
      <c r="A59" s="6" t="s">
        <v>137</v>
      </c>
      <c r="B59" s="8" t="s">
        <v>4</v>
      </c>
      <c r="C59" s="26" t="s">
        <v>4</v>
      </c>
      <c r="D59" s="27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>
        <v>1</v>
      </c>
      <c r="P59" s="10">
        <v>0.99429999999999996</v>
      </c>
    </row>
    <row r="60" spans="1:16" x14ac:dyDescent="0.25">
      <c r="A60" s="2"/>
      <c r="B60" s="12" t="s">
        <v>5</v>
      </c>
      <c r="C60" s="13" t="s">
        <v>138</v>
      </c>
      <c r="D60" s="13">
        <v>0.30249999999999999</v>
      </c>
      <c r="E60" s="26" t="s">
        <v>5</v>
      </c>
      <c r="F60" s="27"/>
      <c r="G60" s="13"/>
      <c r="H60" s="13"/>
      <c r="I60" s="13"/>
      <c r="J60" s="13"/>
      <c r="K60" s="13"/>
      <c r="L60" s="13"/>
      <c r="M60" s="13"/>
      <c r="N60" s="13"/>
      <c r="O60" s="13">
        <v>2</v>
      </c>
      <c r="P60" s="13">
        <v>0.47839999999999999</v>
      </c>
    </row>
    <row r="61" spans="1:16" x14ac:dyDescent="0.25">
      <c r="A61" s="2"/>
      <c r="B61" s="12" t="s">
        <v>6</v>
      </c>
      <c r="C61" s="13" t="s">
        <v>139</v>
      </c>
      <c r="D61" s="13">
        <v>0.61170000000000002</v>
      </c>
      <c r="E61" s="13" t="s">
        <v>140</v>
      </c>
      <c r="F61" s="13">
        <v>0.52880000000000005</v>
      </c>
      <c r="G61" s="28" t="s">
        <v>6</v>
      </c>
      <c r="H61" s="29"/>
      <c r="I61" s="13"/>
      <c r="J61" s="13"/>
      <c r="K61" s="13"/>
      <c r="L61" s="13"/>
      <c r="M61" s="13"/>
      <c r="N61" s="13"/>
      <c r="O61" s="13">
        <v>3</v>
      </c>
      <c r="P61" s="13">
        <v>2.7300000000000001E-2</v>
      </c>
    </row>
    <row r="62" spans="1:16" x14ac:dyDescent="0.25">
      <c r="A62" s="2"/>
      <c r="B62" s="12" t="s">
        <v>7</v>
      </c>
      <c r="C62" s="13"/>
      <c r="D62" s="13"/>
      <c r="E62" s="13"/>
      <c r="F62" s="13"/>
      <c r="G62" s="13"/>
      <c r="H62" s="13"/>
      <c r="I62" s="30" t="s">
        <v>7</v>
      </c>
      <c r="J62" s="31"/>
      <c r="K62" s="13"/>
      <c r="L62" s="13"/>
      <c r="M62" s="13"/>
      <c r="N62" s="13"/>
      <c r="O62" s="13"/>
      <c r="P62" s="13"/>
    </row>
    <row r="63" spans="1:16" x14ac:dyDescent="0.25">
      <c r="A63" s="2"/>
      <c r="B63" s="12" t="s">
        <v>8</v>
      </c>
      <c r="C63" s="13"/>
      <c r="D63" s="13"/>
      <c r="E63" s="13"/>
      <c r="F63" s="13"/>
      <c r="G63" s="13"/>
      <c r="H63" s="13"/>
      <c r="I63" s="13"/>
      <c r="J63" s="13"/>
      <c r="K63" s="32" t="s">
        <v>8</v>
      </c>
      <c r="L63" s="19"/>
      <c r="M63" s="13"/>
      <c r="N63" s="13"/>
      <c r="O63" s="13"/>
      <c r="P63" s="13"/>
    </row>
    <row r="64" spans="1:16" x14ac:dyDescent="0.25">
      <c r="A64" s="5"/>
      <c r="B64" s="21" t="s">
        <v>9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33" t="s">
        <v>9</v>
      </c>
      <c r="N64" s="34"/>
      <c r="O64" s="22"/>
      <c r="P64" s="22"/>
    </row>
    <row r="65" spans="1:16" ht="67" customHeight="1" x14ac:dyDescent="0.25">
      <c r="A65" s="37" t="s">
        <v>141</v>
      </c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</row>
  </sheetData>
  <mergeCells count="75">
    <mergeCell ref="C1:N1"/>
    <mergeCell ref="A65:P65"/>
    <mergeCell ref="M57:N57"/>
    <mergeCell ref="A59:A64"/>
    <mergeCell ref="C59:D59"/>
    <mergeCell ref="E60:F60"/>
    <mergeCell ref="G61:H61"/>
    <mergeCell ref="I62:J62"/>
    <mergeCell ref="K63:L63"/>
    <mergeCell ref="M64:N64"/>
    <mergeCell ref="A52:A57"/>
    <mergeCell ref="C52:D52"/>
    <mergeCell ref="E53:F53"/>
    <mergeCell ref="G54:H54"/>
    <mergeCell ref="I55:J55"/>
    <mergeCell ref="K56:L56"/>
    <mergeCell ref="M43:N43"/>
    <mergeCell ref="A45:A50"/>
    <mergeCell ref="C45:D45"/>
    <mergeCell ref="E46:F46"/>
    <mergeCell ref="G47:H47"/>
    <mergeCell ref="I48:J48"/>
    <mergeCell ref="K49:L49"/>
    <mergeCell ref="M50:N50"/>
    <mergeCell ref="A38:A43"/>
    <mergeCell ref="C38:D38"/>
    <mergeCell ref="E39:F39"/>
    <mergeCell ref="G40:H40"/>
    <mergeCell ref="I41:J41"/>
    <mergeCell ref="K42:L42"/>
    <mergeCell ref="A31:A36"/>
    <mergeCell ref="C31:D31"/>
    <mergeCell ref="E32:F32"/>
    <mergeCell ref="G33:H33"/>
    <mergeCell ref="I34:J34"/>
    <mergeCell ref="K35:L35"/>
    <mergeCell ref="M36:N36"/>
    <mergeCell ref="M29:N29"/>
    <mergeCell ref="A24:A29"/>
    <mergeCell ref="C24:D24"/>
    <mergeCell ref="E25:F25"/>
    <mergeCell ref="G26:H26"/>
    <mergeCell ref="I27:J27"/>
    <mergeCell ref="K28:L28"/>
    <mergeCell ref="M15:N15"/>
    <mergeCell ref="A17:A22"/>
    <mergeCell ref="C17:D17"/>
    <mergeCell ref="E18:F18"/>
    <mergeCell ref="G19:H19"/>
    <mergeCell ref="I20:J20"/>
    <mergeCell ref="K21:L21"/>
    <mergeCell ref="M22:N22"/>
    <mergeCell ref="A10:A15"/>
    <mergeCell ref="C10:D10"/>
    <mergeCell ref="E11:F11"/>
    <mergeCell ref="G12:H12"/>
    <mergeCell ref="I13:J13"/>
    <mergeCell ref="K14:L14"/>
    <mergeCell ref="M2:N2"/>
    <mergeCell ref="A3:A8"/>
    <mergeCell ref="C3:D3"/>
    <mergeCell ref="E4:F4"/>
    <mergeCell ref="G5:H5"/>
    <mergeCell ref="I6:J6"/>
    <mergeCell ref="K7:L7"/>
    <mergeCell ref="M8:N8"/>
    <mergeCell ref="A1:A2"/>
    <mergeCell ref="B1:B2"/>
    <mergeCell ref="O1:O2"/>
    <mergeCell ref="P1:P2"/>
    <mergeCell ref="C2:D2"/>
    <mergeCell ref="E2:F2"/>
    <mergeCell ref="G2:H2"/>
    <mergeCell ref="I2:J2"/>
    <mergeCell ref="K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dcterms:created xsi:type="dcterms:W3CDTF">2015-06-05T18:17:20Z</dcterms:created>
  <dcterms:modified xsi:type="dcterms:W3CDTF">2026-10-09T07:58:40Z</dcterms:modified>
</cp:coreProperties>
</file>